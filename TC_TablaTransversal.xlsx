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t\Downloads\"/>
    </mc:Choice>
  </mc:AlternateContent>
  <xr:revisionPtr revIDLastSave="0" documentId="13_ncr:1_{2D4E1781-4039-401F-A6A7-D521275139ED}" xr6:coauthVersionLast="47" xr6:coauthVersionMax="47" xr10:uidLastSave="{00000000-0000-0000-0000-000000000000}"/>
  <bookViews>
    <workbookView xWindow="-120" yWindow="-120" windowWidth="29040" windowHeight="15720" activeTab="2" xr2:uid="{25072376-A1AC-4DD0-9B32-9549BC789B00}"/>
  </bookViews>
  <sheets>
    <sheet name="Tabla de mortalidad" sheetId="1" r:id="rId1"/>
    <sheet name="Tabla transversales abreviadas" sheetId="2" r:id="rId2"/>
    <sheet name="Hoja1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<sst xmlns="http://schemas.openxmlformats.org/spreadsheetml/2006/main" count="217" uniqueCount="211">
  <si>
    <t>1. Tablas de mortalidad generacionales: Tablas de vida</t>
  </si>
  <si>
    <t>TABLAS DE MORTALIDAD</t>
  </si>
  <si>
    <t>Cohorte ficticio</t>
  </si>
  <si>
    <t xml:space="preserve">"Tablas Transversales Abreviadas" </t>
  </si>
  <si>
    <t>1. Defunciones</t>
  </si>
  <si>
    <t xml:space="preserve">2. Población </t>
  </si>
  <si>
    <t>Construcción</t>
  </si>
  <si>
    <t>1. Calcular la tasa de mortalidad</t>
  </si>
  <si>
    <t>D/(Pi+Pf/2)</t>
  </si>
  <si>
    <t>nmx</t>
  </si>
  <si>
    <r>
      <t xml:space="preserve">Cuadro 4.2: </t>
    </r>
    <r>
      <rPr>
        <i/>
        <sz val="9"/>
        <rFont val="Calibri"/>
        <family val="2"/>
      </rPr>
      <t>Cálculo de las tasas de mortalidad de la población española en 2011</t>
    </r>
  </si>
  <si>
    <t>Defunciones 2011</t>
  </si>
  <si>
    <t>Población 1 de julio de 2011</t>
  </si>
  <si>
    <t>Tasas de mortalidad en 2011</t>
  </si>
  <si>
    <t>Edades</t>
  </si>
  <si>
    <t>Total</t>
  </si>
  <si>
    <t>Varones Mujeres</t>
  </si>
  <si>
    <t>Varones</t>
  </si>
  <si>
    <t>Mujeres</t>
  </si>
  <si>
    <t>0</t>
  </si>
  <si>
    <t>1.505</t>
  </si>
  <si>
    <t>687</t>
  </si>
  <si>
    <t>474.723</t>
  </si>
  <si>
    <t>229.738</t>
  </si>
  <si>
    <t>0,003170</t>
  </si>
  <si>
    <t>0,003339</t>
  </si>
  <si>
    <t>0,002990</t>
  </si>
  <si>
    <t>1</t>
  </si>
  <si>
    <t>329</t>
  </si>
  <si>
    <t>146</t>
  </si>
  <si>
    <t>2.008.178</t>
  </si>
  <si>
    <t>971.366</t>
  </si>
  <si>
    <t>0,000164</t>
  </si>
  <si>
    <t>0,000177</t>
  </si>
  <si>
    <t>0,000150</t>
  </si>
  <si>
    <t>5</t>
  </si>
  <si>
    <t>206</t>
  </si>
  <si>
    <t>83</t>
  </si>
  <si>
    <t>2.372.350</t>
  </si>
  <si>
    <t>1.152.604</t>
  </si>
  <si>
    <t>0,000087</t>
  </si>
  <si>
    <t>0,000101</t>
  </si>
  <si>
    <t>0,000072</t>
  </si>
  <si>
    <t>10</t>
  </si>
  <si>
    <t>237</t>
  </si>
  <si>
    <t>105</t>
  </si>
  <si>
    <t>2.184.749</t>
  </si>
  <si>
    <t>1.061.044</t>
  </si>
  <si>
    <t>0,000108</t>
  </si>
  <si>
    <t>0,000117</t>
  </si>
  <si>
    <t>0,000099</t>
  </si>
  <si>
    <t>15</t>
  </si>
  <si>
    <t>500</t>
  </si>
  <si>
    <t>185</t>
  </si>
  <si>
    <t>2.213.053</t>
  </si>
  <si>
    <t>1.073.037</t>
  </si>
  <si>
    <t>0,000226</t>
  </si>
  <si>
    <t>0,000276</t>
  </si>
  <si>
    <t>0,000172</t>
  </si>
  <si>
    <t>20</t>
  </si>
  <si>
    <t>779</t>
  </si>
  <si>
    <t>196</t>
  </si>
  <si>
    <t>2.533.993</t>
  </si>
  <si>
    <t>1.245.684</t>
  </si>
  <si>
    <t>0,000307</t>
  </si>
  <si>
    <t>0,000453</t>
  </si>
  <si>
    <t>0,000157</t>
  </si>
  <si>
    <t>25</t>
  </si>
  <si>
    <t>1.048</t>
  </si>
  <si>
    <t>309</t>
  </si>
  <si>
    <t>3.144.903</t>
  </si>
  <si>
    <t>1.551.663</t>
  </si>
  <si>
    <t>0,000333</t>
  </si>
  <si>
    <t>0,000464</t>
  </si>
  <si>
    <t>0,000199</t>
  </si>
  <si>
    <t>30</t>
  </si>
  <si>
    <t>1.738</t>
  </si>
  <si>
    <t>552</t>
  </si>
  <si>
    <t>3.940.637</t>
  </si>
  <si>
    <t>1.916.809</t>
  </si>
  <si>
    <t>0,000441</t>
  </si>
  <si>
    <t>0,000586</t>
  </si>
  <si>
    <t>0,000288</t>
  </si>
  <si>
    <t>35</t>
  </si>
  <si>
    <t>2.687</t>
  </si>
  <si>
    <t>910</t>
  </si>
  <si>
    <t>4.072.274</t>
  </si>
  <si>
    <t>1.972.083</t>
  </si>
  <si>
    <t>0,000660</t>
  </si>
  <si>
    <t>0,000846</t>
  </si>
  <si>
    <t>0,000461</t>
  </si>
  <si>
    <t>40</t>
  </si>
  <si>
    <t>4.459</t>
  </si>
  <si>
    <t>1.533</t>
  </si>
  <si>
    <t>3.828.441</t>
  </si>
  <si>
    <t>1.872.063</t>
  </si>
  <si>
    <t>0,001165</t>
  </si>
  <si>
    <t>0,001496</t>
  </si>
  <si>
    <t>0,000819</t>
  </si>
  <si>
    <t>45</t>
  </si>
  <si>
    <t>7.100</t>
  </si>
  <si>
    <t>2.359</t>
  </si>
  <si>
    <t>3.577.063</t>
  </si>
  <si>
    <t>1.774.286</t>
  </si>
  <si>
    <t>0,001985</t>
  </si>
  <si>
    <t>0,002630</t>
  </si>
  <si>
    <t>0,001330</t>
  </si>
  <si>
    <t>50</t>
  </si>
  <si>
    <t>10.522</t>
  </si>
  <si>
    <t>3.370</t>
  </si>
  <si>
    <t>3.196.785</t>
  </si>
  <si>
    <t>1.604.585</t>
  </si>
  <si>
    <t>0,003291</t>
  </si>
  <si>
    <t>0,004492</t>
  </si>
  <si>
    <t>0,002100</t>
  </si>
  <si>
    <t>55</t>
  </si>
  <si>
    <t>13.153</t>
  </si>
  <si>
    <t>4.001</t>
  </si>
  <si>
    <t>2.683.494</t>
  </si>
  <si>
    <t>1.361.180</t>
  </si>
  <si>
    <t>0,004901</t>
  </si>
  <si>
    <t>0,006921</t>
  </si>
  <si>
    <t>0,002939</t>
  </si>
  <si>
    <t>60</t>
  </si>
  <si>
    <t>17.493</t>
  </si>
  <si>
    <t>5.129</t>
  </si>
  <si>
    <t>2.453.413</t>
  </si>
  <si>
    <t>1.263.907</t>
  </si>
  <si>
    <t>0,007130</t>
  </si>
  <si>
    <t>0,010394</t>
  </si>
  <si>
    <t>0,004058</t>
  </si>
  <si>
    <t>65</t>
  </si>
  <si>
    <t>22.532</t>
  </si>
  <si>
    <t>6.899</t>
  </si>
  <si>
    <t>2.147.716</t>
  </si>
  <si>
    <t>1.126.382</t>
  </si>
  <si>
    <t>0,010491</t>
  </si>
  <si>
    <t>0,015306</t>
  </si>
  <si>
    <t>0,006125</t>
  </si>
  <si>
    <t>70</t>
  </si>
  <si>
    <t>29.946</t>
  </si>
  <si>
    <t>10.229</t>
  </si>
  <si>
    <t>1.738.529</t>
  </si>
  <si>
    <t>943.295</t>
  </si>
  <si>
    <t>0,017225</t>
  </si>
  <si>
    <t>0,024794</t>
  </si>
  <si>
    <t>0,010844</t>
  </si>
  <si>
    <t>75</t>
  </si>
  <si>
    <t>51.939</t>
  </si>
  <si>
    <t>21.126</t>
  </si>
  <si>
    <t>1.750.867</t>
  </si>
  <si>
    <t>995.099</t>
  </si>
  <si>
    <t>0,029665</t>
  </si>
  <si>
    <t>0,040770</t>
  </si>
  <si>
    <t>0,021230</t>
  </si>
  <si>
    <t>80</t>
  </si>
  <si>
    <t>72.313</t>
  </si>
  <si>
    <t>35.060</t>
  </si>
  <si>
    <t>1.306.510</t>
  </si>
  <si>
    <t>792.871</t>
  </si>
  <si>
    <t>0,055348</t>
  </si>
  <si>
    <t>0,072528</t>
  </si>
  <si>
    <t>0,044219</t>
  </si>
  <si>
    <t>85</t>
  </si>
  <si>
    <t>77.293</t>
  </si>
  <si>
    <t>44.639</t>
  </si>
  <si>
    <t>755.297</t>
  </si>
  <si>
    <t>496.809</t>
  </si>
  <si>
    <t>0,102335</t>
  </si>
  <si>
    <t>0,126327</t>
  </si>
  <si>
    <t>0,089851</t>
  </si>
  <si>
    <t>90</t>
  </si>
  <si>
    <t>48.781</t>
  </si>
  <si>
    <t>32.886</t>
  </si>
  <si>
    <t>274.289</t>
  </si>
  <si>
    <t>197.512</t>
  </si>
  <si>
    <t>0,177846</t>
  </si>
  <si>
    <t>0,207029</t>
  </si>
  <si>
    <t>0,166501</t>
  </si>
  <si>
    <t>95</t>
  </si>
  <si>
    <t>19.583</t>
  </si>
  <si>
    <t>14.654</t>
  </si>
  <si>
    <t>68.727</t>
  </si>
  <si>
    <t>52.814</t>
  </si>
  <si>
    <t>0,284940</t>
  </si>
  <si>
    <t>0,309757</t>
  </si>
  <si>
    <t>0,277463</t>
  </si>
  <si>
    <t>100</t>
  </si>
  <si>
    <t>3.768</t>
  </si>
  <si>
    <t>2.999</t>
  </si>
  <si>
    <t>10.266</t>
  </si>
  <si>
    <t>8.152</t>
  </si>
  <si>
    <t>0,367036</t>
  </si>
  <si>
    <t>0,363688</t>
  </si>
  <si>
    <t>0,367904</t>
  </si>
  <si>
    <t>387.911 199.854 188.057 46.736.257</t>
  </si>
  <si>
    <t>23.073.274</t>
  </si>
  <si>
    <t>23.662.983</t>
  </si>
  <si>
    <r>
      <t xml:space="preserve">Fuente: elaboración propia a partir de MNP y Cifras de Población, en </t>
    </r>
    <r>
      <rPr>
        <sz val="7.5"/>
        <rFont val="Calibri"/>
        <family val="2"/>
      </rPr>
      <t>www.ine.es</t>
    </r>
  </si>
  <si>
    <t>Insumos</t>
  </si>
  <si>
    <t>x</t>
  </si>
  <si>
    <t>n</t>
  </si>
  <si>
    <t>nqx</t>
  </si>
  <si>
    <t>npx</t>
  </si>
  <si>
    <t>lx</t>
  </si>
  <si>
    <t>ndx</t>
  </si>
  <si>
    <t>nLx</t>
  </si>
  <si>
    <t>Tx</t>
  </si>
  <si>
    <t>ex</t>
  </si>
  <si>
    <t>nZx</t>
  </si>
  <si>
    <t>nAx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</si>
</sst>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000"/>
    <numFmt numFmtId="172" formatCode="0.000000"/>
  </numFmts>
  <fonts count="9" x14ac:knownFonts="1">
    <font>
      <sz val="11"/>
      <color theme="1"/>
      <name val="Calibri"/>
      <family val="2"/>
      <scheme val="minor"/>
    </font>
    <font>
      <sz val="22"/>
      <color theme="0"/>
      <name val="Baguet Script"/>
    </font>
    <font>
      <sz val="11"/>
      <color theme="0"/>
      <name val="ADLaM Display"/>
    </font>
    <font>
      <sz val="10"/>
      <name val="Arial"/>
      <family val="2"/>
    </font>
    <font>
      <b/>
      <sz val="9"/>
      <name val="Calibri"/>
      <family val="2"/>
    </font>
    <font>
      <i/>
      <sz val="9"/>
      <name val="Calibri"/>
      <family val="2"/>
    </font>
    <font>
      <b/>
      <sz val="7"/>
      <name val="Calibri"/>
      <family val="2"/>
    </font>
    <font>
      <sz val="7.5"/>
      <name val="Calibri"/>
      <family val="2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>
      <alignment vertical="top"/>
    </xf>
  </cellStyleXfs>
  <cellXfs count="41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2" borderId="0" xfId="0" applyFill="1" applyAlignment="1">
      <alignment horizontal="right"/>
    </xf>
    <xf numFmtId="0" fontId="3" fillId="0" borderId="2" xfId="1" applyNumberFormat="1" applyFont="1" applyFill="1" applyBorder="1" applyAlignment="1" applyProtection="1">
      <alignment horizontal="left" vertical="top"/>
    </xf>
    <xf numFmtId="0" fontId="6" fillId="0" borderId="1" xfId="1" applyNumberFormat="1" applyFont="1" applyFill="1" applyBorder="1" applyAlignment="1" applyProtection="1">
      <alignment horizontal="left" vertical="center"/>
    </xf>
    <xf numFmtId="0" fontId="6" fillId="0" borderId="3" xfId="1" applyNumberFormat="1" applyFont="1" applyFill="1" applyBorder="1" applyAlignment="1" applyProtection="1">
      <alignment horizontal="left" vertical="center"/>
    </xf>
    <xf numFmtId="0" fontId="6" fillId="0" borderId="3" xfId="1" applyNumberFormat="1" applyFont="1" applyFill="1" applyBorder="1" applyAlignment="1" applyProtection="1">
      <alignment horizontal="center" vertical="center"/>
    </xf>
    <xf numFmtId="0" fontId="7" fillId="0" borderId="2" xfId="1" applyNumberFormat="1" applyFont="1" applyFill="1" applyBorder="1" applyAlignment="1" applyProtection="1">
      <alignment horizontal="left" vertical="center" indent="1"/>
    </xf>
    <xf numFmtId="0" fontId="7" fillId="0" borderId="2" xfId="1" applyNumberFormat="1" applyFont="1" applyFill="1" applyBorder="1" applyAlignment="1" applyProtection="1">
      <alignment horizontal="left" vertical="center"/>
    </xf>
    <xf numFmtId="1" fontId="7" fillId="4" borderId="2" xfId="1" applyNumberFormat="1" applyFont="1" applyFill="1" applyBorder="1" applyAlignment="1" applyProtection="1">
      <alignment vertical="center"/>
    </xf>
    <xf numFmtId="1" fontId="7" fillId="4" borderId="2" xfId="1" applyNumberFormat="1" applyFont="1" applyFill="1" applyBorder="1" applyAlignment="1" applyProtection="1">
      <alignment horizontal="right" vertical="center"/>
    </xf>
    <xf numFmtId="0" fontId="7" fillId="0" borderId="0" xfId="1" applyNumberFormat="1" applyFont="1" applyFill="1" applyBorder="1" applyAlignment="1" applyProtection="1">
      <alignment horizontal="left" vertical="center" indent="1"/>
    </xf>
    <xf numFmtId="1" fontId="7" fillId="4" borderId="0" xfId="1" applyNumberFormat="1" applyFont="1" applyFill="1" applyBorder="1" applyAlignment="1" applyProtection="1">
      <alignment vertical="center"/>
    </xf>
    <xf numFmtId="0" fontId="7" fillId="0" borderId="0" xfId="1" applyNumberFormat="1" applyFont="1" applyFill="1" applyBorder="1" applyAlignment="1" applyProtection="1">
      <alignment horizontal="left" vertical="center"/>
    </xf>
    <xf numFmtId="1" fontId="7" fillId="4" borderId="0" xfId="1" applyNumberFormat="1" applyFont="1" applyFill="1" applyBorder="1" applyAlignment="1" applyProtection="1">
      <alignment horizontal="right" vertical="center"/>
    </xf>
    <xf numFmtId="0" fontId="7" fillId="0" borderId="1" xfId="1" applyNumberFormat="1" applyFont="1" applyFill="1" applyBorder="1" applyAlignment="1" applyProtection="1">
      <alignment horizontal="left" vertical="center" indent="1"/>
    </xf>
    <xf numFmtId="0" fontId="7" fillId="0" borderId="1" xfId="1" applyNumberFormat="1" applyFont="1" applyFill="1" applyBorder="1" applyAlignment="1" applyProtection="1">
      <alignment horizontal="left" vertical="center"/>
    </xf>
    <xf numFmtId="1" fontId="7" fillId="4" borderId="1" xfId="1" applyNumberFormat="1" applyFont="1" applyFill="1" applyBorder="1" applyAlignment="1" applyProtection="1">
      <alignment vertical="center"/>
    </xf>
    <xf numFmtId="1" fontId="7" fillId="4" borderId="1" xfId="1" applyNumberFormat="1" applyFont="1" applyFill="1" applyBorder="1" applyAlignment="1" applyProtection="1">
      <alignment horizontal="right" vertical="center"/>
    </xf>
    <xf numFmtId="0" fontId="7" fillId="0" borderId="1" xfId="1" applyNumberFormat="1" applyFont="1" applyFill="1" applyBorder="1" applyAlignment="1" applyProtection="1">
      <alignment horizontal="center" vertical="center"/>
    </xf>
    <xf numFmtId="0" fontId="7" fillId="0" borderId="3" xfId="1" applyNumberFormat="1" applyFont="1" applyFill="1" applyBorder="1" applyAlignment="1" applyProtection="1">
      <alignment horizontal="left" vertical="center"/>
    </xf>
    <xf numFmtId="0" fontId="3" fillId="0" borderId="3" xfId="1" applyNumberFormat="1" applyFont="1" applyFill="1" applyBorder="1" applyAlignment="1" applyProtection="1">
      <alignment horizontal="left" vertical="top"/>
    </xf>
    <xf numFmtId="0" fontId="7" fillId="0" borderId="3" xfId="1" applyNumberFormat="1" applyFont="1" applyFill="1" applyBorder="1" applyAlignment="1" applyProtection="1">
      <alignment horizontal="left" vertical="center"/>
    </xf>
    <xf numFmtId="0" fontId="7" fillId="0" borderId="2" xfId="1" applyNumberFormat="1" applyFont="1" applyFill="1" applyBorder="1" applyAlignment="1" applyProtection="1">
      <alignment horizontal="left"/>
    </xf>
    <xf numFmtId="0" fontId="1" fillId="3" borderId="0" xfId="0" applyFont="1" applyFill="1" applyAlignment="1">
      <alignment horizontal="center"/>
    </xf>
    <xf numFmtId="0" fontId="4" fillId="0" borderId="1" xfId="1" applyNumberFormat="1" applyFont="1" applyFill="1" applyBorder="1" applyAlignment="1" applyProtection="1">
      <alignment horizontal="center" vertical="top"/>
    </xf>
    <xf numFmtId="0" fontId="4" fillId="0" borderId="3" xfId="1" applyNumberFormat="1" applyFont="1" applyFill="1" applyBorder="1" applyAlignment="1" applyProtection="1">
      <alignment horizontal="left" indent="1"/>
    </xf>
    <xf numFmtId="0" fontId="4" fillId="4" borderId="3" xfId="1" applyNumberFormat="1" applyFont="1" applyFill="1" applyBorder="1" applyAlignment="1" applyProtection="1">
      <alignment horizontal="left"/>
    </xf>
    <xf numFmtId="0" fontId="4" fillId="0" borderId="3" xfId="1" applyNumberFormat="1" applyFont="1" applyFill="1" applyBorder="1" applyAlignment="1" applyProtection="1">
      <alignment horizontal="left"/>
    </xf>
    <xf numFmtId="0" fontId="6" fillId="0" borderId="3" xfId="1" applyNumberFormat="1" applyFont="1" applyFill="1" applyBorder="1" applyAlignment="1" applyProtection="1">
      <alignment horizontal="left" vertical="center"/>
    </xf>
    <xf numFmtId="171" fontId="0" fillId="0" borderId="0" xfId="0" applyNumberFormat="1"/>
    <xf numFmtId="2" fontId="7" fillId="0" borderId="2" xfId="1" applyNumberFormat="1" applyFont="1" applyFill="1" applyBorder="1" applyAlignment="1" applyProtection="1">
      <alignment horizontal="left" vertical="center"/>
    </xf>
    <xf numFmtId="2" fontId="7" fillId="0" borderId="0" xfId="1" applyNumberFormat="1" applyFont="1" applyFill="1" applyBorder="1" applyAlignment="1" applyProtection="1">
      <alignment horizontal="left" vertical="center" indent="1"/>
    </xf>
    <xf numFmtId="2" fontId="7" fillId="0" borderId="0" xfId="1" applyNumberFormat="1" applyFont="1" applyFill="1" applyBorder="1" applyAlignment="1" applyProtection="1">
      <alignment horizontal="left" vertical="center"/>
    </xf>
    <xf numFmtId="2" fontId="7" fillId="0" borderId="1" xfId="1" applyNumberFormat="1" applyFont="1" applyFill="1" applyBorder="1" applyAlignment="1" applyProtection="1">
      <alignment horizontal="left" vertical="center"/>
    </xf>
    <xf numFmtId="172" fontId="0" fillId="0" borderId="0" xfId="0" applyNumberFormat="1"/>
    <xf numFmtId="3" fontId="0" fillId="0" borderId="0" xfId="0" applyNumberFormat="1"/>
    <xf numFmtId="2" fontId="0" fillId="0" borderId="0" xfId="0" applyNumberFormat="1"/>
    <xf numFmtId="0" fontId="8" fillId="0" borderId="0" xfId="0" applyFont="1"/>
    <xf numFmtId="3" fontId="8" fillId="0" borderId="0" xfId="0" applyNumberFormat="1" applyFont="1"/>
  </cellXfs>
  <cellStyles count="2">
    <cellStyle name="Normal" xfId="0" builtinId="0"/>
    <cellStyle name="Normal_Hoja2" xfId="1" xr:uid="{3E45C5A8-0E9D-40F2-B4B1-FC4B8A84D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683172</xdr:colOff>
      <xdr:row>2</xdr:row>
      <xdr:rowOff>118240</xdr:rowOff>
    </xdr:from>
    <xdr:to>
      <xdr:col>5</xdr:col>
      <xdr:colOff>748862</xdr:colOff>
      <xdr:row>33</xdr:row>
      <xdr:rowOff>135113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D10FBA-37DD-F568-0C87-111D6575F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172" y="499240"/>
          <a:ext cx="3875690" cy="5922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4</xdr:row>
      <xdr:rowOff>142875</xdr:rowOff>
    </xdr:from>
    <xdr:to>
      <xdr:col>7</xdr:col>
      <xdr:colOff>99239</xdr:colOff>
      <xdr:row>34</xdr:row>
      <xdr:rowOff>95251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9544B3-FC81-F7E6-2E11-0C5D6FCAB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133475"/>
          <a:ext cx="5147489" cy="5667376"/>
        </a:xfrm>
        <a:prstGeom prst="rect">
          <a:avLst/>
        </a:prstGeom>
      </xdr:spPr>
    </xdr:pic>
    <xdr:clientData/>
  </xdr:twoCellAnchor>
  <xdr:twoCellAnchor>
    <xdr:from>
      <xdr:col>11</xdr:col>
      <xdr:colOff>579660</xdr:colOff>
      <xdr:row>10</xdr:row>
      <xdr:rowOff>57150</xdr:rowOff>
    </xdr:from>
    <xdr:to>
      <xdr:col>12</xdr:col>
      <xdr:colOff>40448</xdr:colOff>
      <xdr:row>11</xdr:row>
      <xdr:rowOff>171450</xdr:rowOff>
    </xdr:to>
    <xdr:sp macro="" textlink="">
      <xdr:nvSpPr>
        <xdr:cNvPr id="4" name="Forma libre: forma 3">
          <a:extLst>
            <a:ext uri="{FF2B5EF4-FFF2-40B4-BE49-F238E27FC236}">
              <a16:creationId xmlns:a16="http://schemas.microsoft.com/office/drawing/2014/main" id="{E0322C00-CD5A-1E25-6CBF-8AA6F28FF30F}"/>
            </a:ext>
          </a:extLst>
        </xdr:cNvPr>
        <xdr:cNvSpPr/>
      </xdr:nvSpPr>
      <xdr:spPr>
        <a:xfrm>
          <a:off x="8961660" y="2190750"/>
          <a:ext cx="222788" cy="304800"/>
        </a:xfrm>
        <a:custGeom>
          <a:avLst/>
          <a:gdLst>
            <a:gd name="connsiteX0" fmla="*/ 58515 w 222788"/>
            <a:gd name="connsiteY0" fmla="*/ 76200 h 304800"/>
            <a:gd name="connsiteX1" fmla="*/ 10890 w 222788"/>
            <a:gd name="connsiteY1" fmla="*/ 200025 h 304800"/>
            <a:gd name="connsiteX2" fmla="*/ 20415 w 222788"/>
            <a:gd name="connsiteY2" fmla="*/ 209550 h 304800"/>
            <a:gd name="connsiteX3" fmla="*/ 39465 w 222788"/>
            <a:gd name="connsiteY3" fmla="*/ 95250 h 304800"/>
            <a:gd name="connsiteX4" fmla="*/ 48990 w 222788"/>
            <a:gd name="connsiteY4" fmla="*/ 47625 h 304800"/>
            <a:gd name="connsiteX5" fmla="*/ 68040 w 222788"/>
            <a:gd name="connsiteY5" fmla="*/ 19050 h 304800"/>
            <a:gd name="connsiteX6" fmla="*/ 106140 w 222788"/>
            <a:gd name="connsiteY6" fmla="*/ 0 h 304800"/>
            <a:gd name="connsiteX7" fmla="*/ 182340 w 222788"/>
            <a:gd name="connsiteY7" fmla="*/ 66675 h 304800"/>
            <a:gd name="connsiteX8" fmla="*/ 201390 w 222788"/>
            <a:gd name="connsiteY8" fmla="*/ 104775 h 304800"/>
            <a:gd name="connsiteX9" fmla="*/ 220440 w 222788"/>
            <a:gd name="connsiteY9" fmla="*/ 304800 h 304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222788" h="304800">
              <a:moveTo>
                <a:pt x="58515" y="76200"/>
              </a:moveTo>
              <a:cubicBezTo>
                <a:pt x="20169" y="140111"/>
                <a:pt x="29199" y="114583"/>
                <a:pt x="10890" y="200025"/>
              </a:cubicBezTo>
              <a:cubicBezTo>
                <a:pt x="-9037" y="293019"/>
                <a:pt x="913" y="258305"/>
                <a:pt x="20415" y="209550"/>
              </a:cubicBezTo>
              <a:cubicBezTo>
                <a:pt x="26765" y="171450"/>
                <a:pt x="32752" y="133288"/>
                <a:pt x="39465" y="95250"/>
              </a:cubicBezTo>
              <a:cubicBezTo>
                <a:pt x="42278" y="79307"/>
                <a:pt x="43306" y="62784"/>
                <a:pt x="48990" y="47625"/>
              </a:cubicBezTo>
              <a:cubicBezTo>
                <a:pt x="53010" y="36906"/>
                <a:pt x="59246" y="26379"/>
                <a:pt x="68040" y="19050"/>
              </a:cubicBezTo>
              <a:cubicBezTo>
                <a:pt x="78948" y="9960"/>
                <a:pt x="93440" y="6350"/>
                <a:pt x="106140" y="0"/>
              </a:cubicBezTo>
              <a:cubicBezTo>
                <a:pt x="131540" y="22225"/>
                <a:pt x="159637" y="41701"/>
                <a:pt x="182340" y="66675"/>
              </a:cubicBezTo>
              <a:cubicBezTo>
                <a:pt x="191891" y="77181"/>
                <a:pt x="196538" y="91431"/>
                <a:pt x="201390" y="104775"/>
              </a:cubicBezTo>
              <a:cubicBezTo>
                <a:pt x="232651" y="190744"/>
                <a:pt x="220440" y="193423"/>
                <a:pt x="220440" y="30480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150663</xdr:colOff>
      <xdr:row>8</xdr:row>
      <xdr:rowOff>9525</xdr:rowOff>
    </xdr:from>
    <xdr:to>
      <xdr:col>13</xdr:col>
      <xdr:colOff>161925</xdr:colOff>
      <xdr:row>11</xdr:row>
      <xdr:rowOff>104775</xdr:rowOff>
    </xdr:to>
    <xdr:sp macro="" textlink="">
      <xdr:nvSpPr>
        <xdr:cNvPr id="5" name="Forma libre: forma 4">
          <a:extLst>
            <a:ext uri="{FF2B5EF4-FFF2-40B4-BE49-F238E27FC236}">
              <a16:creationId xmlns:a16="http://schemas.microsoft.com/office/drawing/2014/main" id="{209EEF09-064B-BF6D-3870-2106BACDD644}"/>
            </a:ext>
          </a:extLst>
        </xdr:cNvPr>
        <xdr:cNvSpPr/>
      </xdr:nvSpPr>
      <xdr:spPr>
        <a:xfrm>
          <a:off x="9294663" y="1762125"/>
          <a:ext cx="773262" cy="666750"/>
        </a:xfrm>
        <a:custGeom>
          <a:avLst/>
          <a:gdLst>
            <a:gd name="connsiteX0" fmla="*/ 11262 w 773262"/>
            <a:gd name="connsiteY0" fmla="*/ 0 h 666750"/>
            <a:gd name="connsiteX1" fmla="*/ 1737 w 773262"/>
            <a:gd name="connsiteY1" fmla="*/ 76200 h 666750"/>
            <a:gd name="connsiteX2" fmla="*/ 20787 w 773262"/>
            <a:gd name="connsiteY2" fmla="*/ 666750 h 666750"/>
            <a:gd name="connsiteX3" fmla="*/ 1737 w 773262"/>
            <a:gd name="connsiteY3" fmla="*/ 314325 h 666750"/>
            <a:gd name="connsiteX4" fmla="*/ 96987 w 773262"/>
            <a:gd name="connsiteY4" fmla="*/ 85725 h 666750"/>
            <a:gd name="connsiteX5" fmla="*/ 230337 w 773262"/>
            <a:gd name="connsiteY5" fmla="*/ 38100 h 666750"/>
            <a:gd name="connsiteX6" fmla="*/ 335112 w 773262"/>
            <a:gd name="connsiteY6" fmla="*/ 190500 h 666750"/>
            <a:gd name="connsiteX7" fmla="*/ 401787 w 773262"/>
            <a:gd name="connsiteY7" fmla="*/ 419100 h 666750"/>
            <a:gd name="connsiteX8" fmla="*/ 411312 w 773262"/>
            <a:gd name="connsiteY8" fmla="*/ 561975 h 666750"/>
            <a:gd name="connsiteX9" fmla="*/ 420837 w 773262"/>
            <a:gd name="connsiteY9" fmla="*/ 647700 h 666750"/>
            <a:gd name="connsiteX10" fmla="*/ 458937 w 773262"/>
            <a:gd name="connsiteY10" fmla="*/ 180975 h 666750"/>
            <a:gd name="connsiteX11" fmla="*/ 497037 w 773262"/>
            <a:gd name="connsiteY11" fmla="*/ 114300 h 666750"/>
            <a:gd name="connsiteX12" fmla="*/ 582762 w 773262"/>
            <a:gd name="connsiteY12" fmla="*/ 123825 h 666750"/>
            <a:gd name="connsiteX13" fmla="*/ 725637 w 773262"/>
            <a:gd name="connsiteY13" fmla="*/ 361950 h 666750"/>
            <a:gd name="connsiteX14" fmla="*/ 773262 w 773262"/>
            <a:gd name="connsiteY14" fmla="*/ 657225 h 6667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773262" h="666750">
              <a:moveTo>
                <a:pt x="11262" y="0"/>
              </a:moveTo>
              <a:cubicBezTo>
                <a:pt x="8087" y="25400"/>
                <a:pt x="1737" y="50602"/>
                <a:pt x="1737" y="76200"/>
              </a:cubicBezTo>
              <a:cubicBezTo>
                <a:pt x="1737" y="536152"/>
                <a:pt x="-8515" y="432336"/>
                <a:pt x="20787" y="666750"/>
              </a:cubicBezTo>
              <a:cubicBezTo>
                <a:pt x="18829" y="633460"/>
                <a:pt x="674" y="332928"/>
                <a:pt x="1737" y="314325"/>
              </a:cubicBezTo>
              <a:cubicBezTo>
                <a:pt x="6160" y="236928"/>
                <a:pt x="23788" y="134524"/>
                <a:pt x="96987" y="85725"/>
              </a:cubicBezTo>
              <a:cubicBezTo>
                <a:pt x="136260" y="59543"/>
                <a:pt x="185887" y="53975"/>
                <a:pt x="230337" y="38100"/>
              </a:cubicBezTo>
              <a:cubicBezTo>
                <a:pt x="265262" y="88900"/>
                <a:pt x="309814" y="134282"/>
                <a:pt x="335112" y="190500"/>
              </a:cubicBezTo>
              <a:cubicBezTo>
                <a:pt x="367685" y="262884"/>
                <a:pt x="385837" y="341344"/>
                <a:pt x="401787" y="419100"/>
              </a:cubicBezTo>
              <a:cubicBezTo>
                <a:pt x="411378" y="465857"/>
                <a:pt x="407348" y="514409"/>
                <a:pt x="411312" y="561975"/>
              </a:cubicBezTo>
              <a:cubicBezTo>
                <a:pt x="413700" y="590627"/>
                <a:pt x="417662" y="619125"/>
                <a:pt x="420837" y="647700"/>
              </a:cubicBezTo>
              <a:cubicBezTo>
                <a:pt x="412516" y="373112"/>
                <a:pt x="378616" y="386240"/>
                <a:pt x="458937" y="180975"/>
              </a:cubicBezTo>
              <a:cubicBezTo>
                <a:pt x="468265" y="157137"/>
                <a:pt x="484337" y="136525"/>
                <a:pt x="497037" y="114300"/>
              </a:cubicBezTo>
              <a:cubicBezTo>
                <a:pt x="525612" y="117475"/>
                <a:pt x="557046" y="110967"/>
                <a:pt x="582762" y="123825"/>
              </a:cubicBezTo>
              <a:cubicBezTo>
                <a:pt x="709044" y="186966"/>
                <a:pt x="698664" y="230456"/>
                <a:pt x="725637" y="361950"/>
              </a:cubicBezTo>
              <a:cubicBezTo>
                <a:pt x="756227" y="511076"/>
                <a:pt x="758652" y="540343"/>
                <a:pt x="773262" y="657225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276225</xdr:colOff>
      <xdr:row>10</xdr:row>
      <xdr:rowOff>171450</xdr:rowOff>
    </xdr:from>
    <xdr:to>
      <xdr:col>13</xdr:col>
      <xdr:colOff>657225</xdr:colOff>
      <xdr:row>13</xdr:row>
      <xdr:rowOff>0</xdr:rowOff>
    </xdr:to>
    <xdr:sp macro="" textlink="">
      <xdr:nvSpPr>
        <xdr:cNvPr id="6" name="Forma libre: forma 5">
          <a:extLst>
            <a:ext uri="{FF2B5EF4-FFF2-40B4-BE49-F238E27FC236}">
              <a16:creationId xmlns:a16="http://schemas.microsoft.com/office/drawing/2014/main" id="{99D3F81E-8449-1023-B874-D58361461481}"/>
            </a:ext>
          </a:extLst>
        </xdr:cNvPr>
        <xdr:cNvSpPr/>
      </xdr:nvSpPr>
      <xdr:spPr>
        <a:xfrm>
          <a:off x="10182225" y="2305050"/>
          <a:ext cx="381000" cy="400050"/>
        </a:xfrm>
        <a:custGeom>
          <a:avLst/>
          <a:gdLst>
            <a:gd name="connsiteX0" fmla="*/ 0 w 381000"/>
            <a:gd name="connsiteY0" fmla="*/ 0 h 400050"/>
            <a:gd name="connsiteX1" fmla="*/ 85725 w 381000"/>
            <a:gd name="connsiteY1" fmla="*/ 104775 h 400050"/>
            <a:gd name="connsiteX2" fmla="*/ 381000 w 381000"/>
            <a:gd name="connsiteY2" fmla="*/ 40005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81000" h="400050">
              <a:moveTo>
                <a:pt x="0" y="0"/>
              </a:moveTo>
              <a:cubicBezTo>
                <a:pt x="28575" y="34925"/>
                <a:pt x="54667" y="72038"/>
                <a:pt x="85725" y="104775"/>
              </a:cubicBezTo>
              <a:lnTo>
                <a:pt x="381000" y="400050"/>
              </a:ln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314325</xdr:colOff>
      <xdr:row>11</xdr:row>
      <xdr:rowOff>38100</xdr:rowOff>
    </xdr:from>
    <xdr:to>
      <xdr:col>13</xdr:col>
      <xdr:colOff>600075</xdr:colOff>
      <xdr:row>12</xdr:row>
      <xdr:rowOff>152400</xdr:rowOff>
    </xdr:to>
    <xdr:sp macro="" textlink="">
      <xdr:nvSpPr>
        <xdr:cNvPr id="7" name="Forma libre: forma 6">
          <a:extLst>
            <a:ext uri="{FF2B5EF4-FFF2-40B4-BE49-F238E27FC236}">
              <a16:creationId xmlns:a16="http://schemas.microsoft.com/office/drawing/2014/main" id="{945D79C3-CFC8-B89B-B863-5F4B8AB66A64}"/>
            </a:ext>
          </a:extLst>
        </xdr:cNvPr>
        <xdr:cNvSpPr/>
      </xdr:nvSpPr>
      <xdr:spPr>
        <a:xfrm>
          <a:off x="10220325" y="2362200"/>
          <a:ext cx="285750" cy="304800"/>
        </a:xfrm>
        <a:custGeom>
          <a:avLst/>
          <a:gdLst>
            <a:gd name="connsiteX0" fmla="*/ 0 w 285750"/>
            <a:gd name="connsiteY0" fmla="*/ 304800 h 304800"/>
            <a:gd name="connsiteX1" fmla="*/ 142875 w 285750"/>
            <a:gd name="connsiteY1" fmla="*/ 171450 h 304800"/>
            <a:gd name="connsiteX2" fmla="*/ 200025 w 285750"/>
            <a:gd name="connsiteY2" fmla="*/ 76200 h 304800"/>
            <a:gd name="connsiteX3" fmla="*/ 266700 w 285750"/>
            <a:gd name="connsiteY3" fmla="*/ 19050 h 304800"/>
            <a:gd name="connsiteX4" fmla="*/ 285750 w 285750"/>
            <a:gd name="connsiteY4" fmla="*/ 0 h 304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85750" h="304800">
              <a:moveTo>
                <a:pt x="0" y="304800"/>
              </a:moveTo>
              <a:cubicBezTo>
                <a:pt x="55112" y="260710"/>
                <a:pt x="94153" y="232353"/>
                <a:pt x="142875" y="171450"/>
              </a:cubicBezTo>
              <a:cubicBezTo>
                <a:pt x="166005" y="142537"/>
                <a:pt x="176676" y="104937"/>
                <a:pt x="200025" y="76200"/>
              </a:cubicBezTo>
              <a:cubicBezTo>
                <a:pt x="218484" y="53482"/>
                <a:pt x="244822" y="38497"/>
                <a:pt x="266700" y="19050"/>
              </a:cubicBezTo>
              <a:cubicBezTo>
                <a:pt x="273412" y="13084"/>
                <a:pt x="279400" y="6350"/>
                <a:pt x="285750" y="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761999</xdr:colOff>
      <xdr:row>64</xdr:row>
      <xdr:rowOff>41245</xdr:rowOff>
    </xdr:from>
    <xdr:to>
      <xdr:col>18</xdr:col>
      <xdr:colOff>85725</xdr:colOff>
      <xdr:row>117</xdr:row>
      <xdr:rowOff>39721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C53A699-3C08-3DD6-6D84-ABE001703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1999" y="12461845"/>
          <a:ext cx="14325601" cy="10094976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361951</xdr:colOff>
      <xdr:row>67</xdr:row>
      <xdr:rowOff>95249</xdr:rowOff>
    </xdr:from>
    <xdr:to>
      <xdr:col>8</xdr:col>
      <xdr:colOff>152401</xdr:colOff>
      <xdr:row>69</xdr:row>
      <xdr:rowOff>152400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DB17F32-31C5-A054-3069-A25D07152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1352" r="10132" b="39145"/>
        <a:stretch/>
      </xdr:blipFill>
      <xdr:spPr>
        <a:xfrm>
          <a:off x="3409951" y="13087349"/>
          <a:ext cx="2838450" cy="438151"/>
        </a:xfrm>
        <a:prstGeom prst="rect">
          <a:avLst/>
        </a:prstGeom>
      </xdr:spPr>
    </xdr:pic>
    <xdr:clientData/>
  </xdr:twoCellAnchor>
  <xdr:twoCellAnchor editAs="oneCell">
    <xdr:from>
      <xdr:col>10</xdr:col>
      <xdr:colOff>619125</xdr:colOff>
      <xdr:row>67</xdr:row>
      <xdr:rowOff>38100</xdr:rowOff>
    </xdr:from>
    <xdr:to>
      <xdr:col>12</xdr:col>
      <xdr:colOff>296425</xdr:colOff>
      <xdr:row>69</xdr:row>
      <xdr:rowOff>85725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C5227ED-8A8B-8A8E-7561-8B00344FF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86800" y="13030200"/>
          <a:ext cx="2039500" cy="428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704850</xdr:colOff>
      <xdr:row>1</xdr:row>
      <xdr:rowOff>9525</xdr:rowOff>
    </xdr:from>
    <xdr:to>
      <xdr:col>21</xdr:col>
      <xdr:colOff>518339</xdr:colOff>
      <xdr:row>30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F3C9DC-06B3-4229-84DB-49A76F319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72850" y="200025"/>
          <a:ext cx="5147489" cy="5667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A0E8-8BEC-40D7-AEF7-7397A0FF9E54}">
  <dimension ref="B2"/>
  <sheetViews>
    <sheetView zoomScale="145" zoomScaleNormal="145" workbookViewId="0">
      <selection activeCell="I10" sqref="I10"/>
    </sheetView>
  </sheetViews>
  <sheetFormatPr baseColWidth="10"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A27A-4BDC-470F-B78E-E8BBE8D061CC}">
  <dimension ref="A1:V65"/>
  <sheetViews>
    <sheetView topLeftCell="A68" zoomScale="85" zoomScaleNormal="85" workbookViewId="0">
      <selection activeCell="J16" sqref="J16"/>
    </sheetView>
  </sheetViews>
  <sheetFormatPr baseColWidth="10" defaultRowHeight="15" x14ac:dyDescent="0.25"/>
  <cols>
    <col min="1" max="9" width="11.42578125" style="1"/>
    <col min="10" max="10" width="18.140625" style="1" customWidth="1"/>
    <col min="11" max="11" width="24" style="1" customWidth="1"/>
    <col min="12" max="16384" width="11.42578125" style="1"/>
  </cols>
  <sheetData>
    <row r="1" spans="1:22" ht="30" x14ac:dyDescent="0.5">
      <c r="A1" s="25" t="s">
        <v>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ht="16.5" x14ac:dyDescent="0.3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7" spans="1:22" x14ac:dyDescent="0.25">
      <c r="I7" s="1" t="s">
        <v>199</v>
      </c>
    </row>
    <row r="8" spans="1:22" x14ac:dyDescent="0.25">
      <c r="I8" s="1" t="s">
        <v>4</v>
      </c>
    </row>
    <row r="9" spans="1:22" x14ac:dyDescent="0.25">
      <c r="I9" s="1" t="s">
        <v>5</v>
      </c>
    </row>
    <row r="11" spans="1:22" x14ac:dyDescent="0.25">
      <c r="I11" s="1" t="s">
        <v>6</v>
      </c>
    </row>
    <row r="12" spans="1:22" x14ac:dyDescent="0.25">
      <c r="I12" s="1" t="s">
        <v>7</v>
      </c>
    </row>
    <row r="14" spans="1:22" x14ac:dyDescent="0.25">
      <c r="I14" s="1" t="s">
        <v>8</v>
      </c>
    </row>
    <row r="16" spans="1:22" x14ac:dyDescent="0.25">
      <c r="I16" s="1" t="s">
        <v>9</v>
      </c>
      <c r="J16" s="1">
        <f>1505/474723</f>
        <v>3.1702698205058528E-3</v>
      </c>
      <c r="K16" s="3" t="str">
        <f ca="1">_xlfn.FORMULATEXT(J16)</f>
        <v>=1505/474723</v>
      </c>
    </row>
    <row r="39" spans="2:11" x14ac:dyDescent="0.25">
      <c r="B39" s="26" t="s">
        <v>10</v>
      </c>
      <c r="C39" s="26"/>
      <c r="D39" s="26"/>
      <c r="E39" s="26"/>
      <c r="F39" s="26"/>
      <c r="G39" s="26"/>
      <c r="H39" s="26"/>
      <c r="I39" s="26"/>
      <c r="J39" s="26"/>
      <c r="K39" s="26"/>
    </row>
    <row r="40" spans="2:11" x14ac:dyDescent="0.25">
      <c r="B40" s="4"/>
      <c r="C40" s="27" t="s">
        <v>11</v>
      </c>
      <c r="D40" s="27"/>
      <c r="E40" s="27"/>
      <c r="F40" s="28" t="s">
        <v>12</v>
      </c>
      <c r="G40" s="28"/>
      <c r="H40" s="28"/>
      <c r="I40" s="29" t="s">
        <v>13</v>
      </c>
      <c r="J40" s="29"/>
      <c r="K40" s="29"/>
    </row>
    <row r="41" spans="2:11" x14ac:dyDescent="0.25">
      <c r="B41" s="5" t="s">
        <v>14</v>
      </c>
      <c r="C41" s="6" t="s">
        <v>15</v>
      </c>
      <c r="D41" s="30" t="s">
        <v>16</v>
      </c>
      <c r="E41" s="30"/>
      <c r="F41" s="7" t="s">
        <v>15</v>
      </c>
      <c r="G41" s="6" t="s">
        <v>17</v>
      </c>
      <c r="H41" s="6" t="s">
        <v>18</v>
      </c>
      <c r="I41" s="7" t="s">
        <v>15</v>
      </c>
      <c r="J41" s="6" t="s">
        <v>17</v>
      </c>
      <c r="K41" s="6" t="s">
        <v>18</v>
      </c>
    </row>
    <row r="42" spans="2:11" x14ac:dyDescent="0.25">
      <c r="B42" s="8" t="s">
        <v>19</v>
      </c>
      <c r="C42" s="32" t="s">
        <v>20</v>
      </c>
      <c r="D42" s="10">
        <v>818</v>
      </c>
      <c r="E42" s="8" t="s">
        <v>21</v>
      </c>
      <c r="F42" s="32" t="s">
        <v>22</v>
      </c>
      <c r="G42" s="11">
        <v>244986</v>
      </c>
      <c r="H42" s="9" t="s">
        <v>23</v>
      </c>
      <c r="I42" s="9" t="s">
        <v>24</v>
      </c>
      <c r="J42" s="9" t="s">
        <v>25</v>
      </c>
      <c r="K42" s="9" t="s">
        <v>26</v>
      </c>
    </row>
    <row r="43" spans="2:11" x14ac:dyDescent="0.25">
      <c r="B43" s="12" t="s">
        <v>27</v>
      </c>
      <c r="C43" s="33" t="s">
        <v>28</v>
      </c>
      <c r="D43" s="13">
        <v>183</v>
      </c>
      <c r="E43" s="12" t="s">
        <v>29</v>
      </c>
      <c r="F43" s="34" t="s">
        <v>30</v>
      </c>
      <c r="G43" s="15">
        <v>1036812</v>
      </c>
      <c r="H43" s="14" t="s">
        <v>31</v>
      </c>
      <c r="I43" s="14" t="s">
        <v>32</v>
      </c>
      <c r="J43" s="14" t="s">
        <v>33</v>
      </c>
      <c r="K43" s="14" t="s">
        <v>34</v>
      </c>
    </row>
    <row r="44" spans="2:11" x14ac:dyDescent="0.25">
      <c r="B44" s="12" t="s">
        <v>35</v>
      </c>
      <c r="C44" s="33" t="s">
        <v>36</v>
      </c>
      <c r="D44" s="13">
        <v>123</v>
      </c>
      <c r="E44" s="12" t="s">
        <v>37</v>
      </c>
      <c r="F44" s="34" t="s">
        <v>38</v>
      </c>
      <c r="G44" s="15">
        <v>1219746</v>
      </c>
      <c r="H44" s="14" t="s">
        <v>39</v>
      </c>
      <c r="I44" s="14" t="s">
        <v>40</v>
      </c>
      <c r="J44" s="14" t="s">
        <v>41</v>
      </c>
      <c r="K44" s="14" t="s">
        <v>42</v>
      </c>
    </row>
    <row r="45" spans="2:11" x14ac:dyDescent="0.25">
      <c r="B45" s="12" t="s">
        <v>43</v>
      </c>
      <c r="C45" s="33" t="s">
        <v>44</v>
      </c>
      <c r="D45" s="13">
        <v>132</v>
      </c>
      <c r="E45" s="12" t="s">
        <v>45</v>
      </c>
      <c r="F45" s="34" t="s">
        <v>46</v>
      </c>
      <c r="G45" s="15">
        <v>1123704</v>
      </c>
      <c r="H45" s="14" t="s">
        <v>47</v>
      </c>
      <c r="I45" s="14" t="s">
        <v>48</v>
      </c>
      <c r="J45" s="14" t="s">
        <v>49</v>
      </c>
      <c r="K45" s="14" t="s">
        <v>50</v>
      </c>
    </row>
    <row r="46" spans="2:11" x14ac:dyDescent="0.25">
      <c r="B46" s="12" t="s">
        <v>51</v>
      </c>
      <c r="C46" s="33" t="s">
        <v>52</v>
      </c>
      <c r="D46" s="13">
        <v>315</v>
      </c>
      <c r="E46" s="12" t="s">
        <v>53</v>
      </c>
      <c r="F46" s="34" t="s">
        <v>54</v>
      </c>
      <c r="G46" s="15">
        <v>1140017</v>
      </c>
      <c r="H46" s="14" t="s">
        <v>55</v>
      </c>
      <c r="I46" s="14" t="s">
        <v>56</v>
      </c>
      <c r="J46" s="14" t="s">
        <v>57</v>
      </c>
      <c r="K46" s="14" t="s">
        <v>58</v>
      </c>
    </row>
    <row r="47" spans="2:11" x14ac:dyDescent="0.25">
      <c r="B47" s="12" t="s">
        <v>59</v>
      </c>
      <c r="C47" s="33" t="s">
        <v>60</v>
      </c>
      <c r="D47" s="13">
        <v>583</v>
      </c>
      <c r="E47" s="12" t="s">
        <v>61</v>
      </c>
      <c r="F47" s="34" t="s">
        <v>62</v>
      </c>
      <c r="G47" s="15">
        <v>1288309</v>
      </c>
      <c r="H47" s="14" t="s">
        <v>63</v>
      </c>
      <c r="I47" s="14" t="s">
        <v>64</v>
      </c>
      <c r="J47" s="14" t="s">
        <v>65</v>
      </c>
      <c r="K47" s="14" t="s">
        <v>66</v>
      </c>
    </row>
    <row r="48" spans="2:11" x14ac:dyDescent="0.25">
      <c r="B48" s="12" t="s">
        <v>67</v>
      </c>
      <c r="C48" s="34" t="s">
        <v>68</v>
      </c>
      <c r="D48" s="13">
        <v>739</v>
      </c>
      <c r="E48" s="12" t="s">
        <v>69</v>
      </c>
      <c r="F48" s="34" t="s">
        <v>70</v>
      </c>
      <c r="G48" s="15">
        <v>1593239</v>
      </c>
      <c r="H48" s="14" t="s">
        <v>71</v>
      </c>
      <c r="I48" s="14" t="s">
        <v>72</v>
      </c>
      <c r="J48" s="14" t="s">
        <v>73</v>
      </c>
      <c r="K48" s="14" t="s">
        <v>74</v>
      </c>
    </row>
    <row r="49" spans="2:11" x14ac:dyDescent="0.25">
      <c r="B49" s="12" t="s">
        <v>75</v>
      </c>
      <c r="C49" s="34" t="s">
        <v>76</v>
      </c>
      <c r="D49" s="13">
        <v>1186</v>
      </c>
      <c r="E49" s="12" t="s">
        <v>77</v>
      </c>
      <c r="F49" s="34" t="s">
        <v>78</v>
      </c>
      <c r="G49" s="15">
        <v>2023828</v>
      </c>
      <c r="H49" s="14" t="s">
        <v>79</v>
      </c>
      <c r="I49" s="14" t="s">
        <v>80</v>
      </c>
      <c r="J49" s="14" t="s">
        <v>81</v>
      </c>
      <c r="K49" s="14" t="s">
        <v>82</v>
      </c>
    </row>
    <row r="50" spans="2:11" x14ac:dyDescent="0.25">
      <c r="B50" s="12" t="s">
        <v>83</v>
      </c>
      <c r="C50" s="34" t="s">
        <v>84</v>
      </c>
      <c r="D50" s="13">
        <v>1777</v>
      </c>
      <c r="E50" s="12" t="s">
        <v>85</v>
      </c>
      <c r="F50" s="34" t="s">
        <v>86</v>
      </c>
      <c r="G50" s="15">
        <v>2100191</v>
      </c>
      <c r="H50" s="14" t="s">
        <v>87</v>
      </c>
      <c r="I50" s="14" t="s">
        <v>88</v>
      </c>
      <c r="J50" s="14" t="s">
        <v>89</v>
      </c>
      <c r="K50" s="14" t="s">
        <v>90</v>
      </c>
    </row>
    <row r="51" spans="2:11" x14ac:dyDescent="0.25">
      <c r="B51" s="12" t="s">
        <v>91</v>
      </c>
      <c r="C51" s="34" t="s">
        <v>92</v>
      </c>
      <c r="D51" s="13">
        <v>2926</v>
      </c>
      <c r="E51" s="14" t="s">
        <v>93</v>
      </c>
      <c r="F51" s="34" t="s">
        <v>94</v>
      </c>
      <c r="G51" s="15">
        <v>1956378</v>
      </c>
      <c r="H51" s="14" t="s">
        <v>95</v>
      </c>
      <c r="I51" s="14" t="s">
        <v>96</v>
      </c>
      <c r="J51" s="14" t="s">
        <v>97</v>
      </c>
      <c r="K51" s="14" t="s">
        <v>98</v>
      </c>
    </row>
    <row r="52" spans="2:11" x14ac:dyDescent="0.25">
      <c r="B52" s="12" t="s">
        <v>99</v>
      </c>
      <c r="C52" s="34" t="s">
        <v>100</v>
      </c>
      <c r="D52" s="13">
        <v>4741</v>
      </c>
      <c r="E52" s="14" t="s">
        <v>101</v>
      </c>
      <c r="F52" s="34" t="s">
        <v>102</v>
      </c>
      <c r="G52" s="15">
        <v>1802777</v>
      </c>
      <c r="H52" s="14" t="s">
        <v>103</v>
      </c>
      <c r="I52" s="14" t="s">
        <v>104</v>
      </c>
      <c r="J52" s="14" t="s">
        <v>105</v>
      </c>
      <c r="K52" s="14" t="s">
        <v>106</v>
      </c>
    </row>
    <row r="53" spans="2:11" x14ac:dyDescent="0.25">
      <c r="B53" s="12" t="s">
        <v>107</v>
      </c>
      <c r="C53" s="34" t="s">
        <v>108</v>
      </c>
      <c r="D53" s="13">
        <v>7152</v>
      </c>
      <c r="E53" s="14" t="s">
        <v>109</v>
      </c>
      <c r="F53" s="34" t="s">
        <v>110</v>
      </c>
      <c r="G53" s="15">
        <v>1592200</v>
      </c>
      <c r="H53" s="14" t="s">
        <v>111</v>
      </c>
      <c r="I53" s="14" t="s">
        <v>112</v>
      </c>
      <c r="J53" s="14" t="s">
        <v>113</v>
      </c>
      <c r="K53" s="14" t="s">
        <v>114</v>
      </c>
    </row>
    <row r="54" spans="2:11" x14ac:dyDescent="0.25">
      <c r="B54" s="12" t="s">
        <v>115</v>
      </c>
      <c r="C54" s="34" t="s">
        <v>116</v>
      </c>
      <c r="D54" s="13">
        <v>9152</v>
      </c>
      <c r="E54" s="14" t="s">
        <v>117</v>
      </c>
      <c r="F54" s="34" t="s">
        <v>118</v>
      </c>
      <c r="G54" s="15">
        <v>1322313</v>
      </c>
      <c r="H54" s="14" t="s">
        <v>119</v>
      </c>
      <c r="I54" s="14" t="s">
        <v>120</v>
      </c>
      <c r="J54" s="14" t="s">
        <v>121</v>
      </c>
      <c r="K54" s="14" t="s">
        <v>122</v>
      </c>
    </row>
    <row r="55" spans="2:11" x14ac:dyDescent="0.25">
      <c r="B55" s="12" t="s">
        <v>123</v>
      </c>
      <c r="C55" s="34" t="s">
        <v>124</v>
      </c>
      <c r="D55" s="13">
        <v>12364</v>
      </c>
      <c r="E55" s="14" t="s">
        <v>125</v>
      </c>
      <c r="F55" s="34" t="s">
        <v>126</v>
      </c>
      <c r="G55" s="15">
        <v>1189507</v>
      </c>
      <c r="H55" s="14" t="s">
        <v>127</v>
      </c>
      <c r="I55" s="14" t="s">
        <v>128</v>
      </c>
      <c r="J55" s="14" t="s">
        <v>129</v>
      </c>
      <c r="K55" s="14" t="s">
        <v>130</v>
      </c>
    </row>
    <row r="56" spans="2:11" x14ac:dyDescent="0.25">
      <c r="B56" s="12" t="s">
        <v>131</v>
      </c>
      <c r="C56" s="34" t="s">
        <v>132</v>
      </c>
      <c r="D56" s="13">
        <v>15633</v>
      </c>
      <c r="E56" s="14" t="s">
        <v>133</v>
      </c>
      <c r="F56" s="34" t="s">
        <v>134</v>
      </c>
      <c r="G56" s="15">
        <v>1021335</v>
      </c>
      <c r="H56" s="14" t="s">
        <v>135</v>
      </c>
      <c r="I56" s="14" t="s">
        <v>136</v>
      </c>
      <c r="J56" s="14" t="s">
        <v>137</v>
      </c>
      <c r="K56" s="14" t="s">
        <v>138</v>
      </c>
    </row>
    <row r="57" spans="2:11" x14ac:dyDescent="0.25">
      <c r="B57" s="12" t="s">
        <v>139</v>
      </c>
      <c r="C57" s="34" t="s">
        <v>140</v>
      </c>
      <c r="D57" s="13">
        <v>19717</v>
      </c>
      <c r="E57" s="14" t="s">
        <v>141</v>
      </c>
      <c r="F57" s="34" t="s">
        <v>142</v>
      </c>
      <c r="G57" s="15">
        <v>795234</v>
      </c>
      <c r="H57" s="14" t="s">
        <v>143</v>
      </c>
      <c r="I57" s="14" t="s">
        <v>144</v>
      </c>
      <c r="J57" s="14" t="s">
        <v>145</v>
      </c>
      <c r="K57" s="14" t="s">
        <v>146</v>
      </c>
    </row>
    <row r="58" spans="2:11" x14ac:dyDescent="0.25">
      <c r="B58" s="12" t="s">
        <v>147</v>
      </c>
      <c r="C58" s="34" t="s">
        <v>148</v>
      </c>
      <c r="D58" s="13">
        <v>30813</v>
      </c>
      <c r="E58" s="14" t="s">
        <v>149</v>
      </c>
      <c r="F58" s="34" t="s">
        <v>150</v>
      </c>
      <c r="G58" s="15">
        <v>755768</v>
      </c>
      <c r="H58" s="14" t="s">
        <v>151</v>
      </c>
      <c r="I58" s="14" t="s">
        <v>152</v>
      </c>
      <c r="J58" s="14" t="s">
        <v>153</v>
      </c>
      <c r="K58" s="14" t="s">
        <v>154</v>
      </c>
    </row>
    <row r="59" spans="2:11" x14ac:dyDescent="0.25">
      <c r="B59" s="12" t="s">
        <v>155</v>
      </c>
      <c r="C59" s="34" t="s">
        <v>156</v>
      </c>
      <c r="D59" s="13">
        <v>37253</v>
      </c>
      <c r="E59" s="14" t="s">
        <v>157</v>
      </c>
      <c r="F59" s="34" t="s">
        <v>158</v>
      </c>
      <c r="G59" s="15">
        <v>513638</v>
      </c>
      <c r="H59" s="14" t="s">
        <v>159</v>
      </c>
      <c r="I59" s="14" t="s">
        <v>160</v>
      </c>
      <c r="J59" s="14" t="s">
        <v>161</v>
      </c>
      <c r="K59" s="14" t="s">
        <v>162</v>
      </c>
    </row>
    <row r="60" spans="2:11" x14ac:dyDescent="0.25">
      <c r="B60" s="12" t="s">
        <v>163</v>
      </c>
      <c r="C60" s="34" t="s">
        <v>164</v>
      </c>
      <c r="D60" s="13">
        <v>32654</v>
      </c>
      <c r="E60" s="14" t="s">
        <v>165</v>
      </c>
      <c r="F60" s="34" t="s">
        <v>166</v>
      </c>
      <c r="G60" s="15">
        <v>258488</v>
      </c>
      <c r="H60" s="14" t="s">
        <v>167</v>
      </c>
      <c r="I60" s="14" t="s">
        <v>168</v>
      </c>
      <c r="J60" s="14" t="s">
        <v>169</v>
      </c>
      <c r="K60" s="14" t="s">
        <v>170</v>
      </c>
    </row>
    <row r="61" spans="2:11" x14ac:dyDescent="0.25">
      <c r="B61" s="12" t="s">
        <v>171</v>
      </c>
      <c r="C61" s="34" t="s">
        <v>172</v>
      </c>
      <c r="D61" s="13">
        <v>15895</v>
      </c>
      <c r="E61" s="14" t="s">
        <v>173</v>
      </c>
      <c r="F61" s="34" t="s">
        <v>174</v>
      </c>
      <c r="G61" s="15">
        <v>76777</v>
      </c>
      <c r="H61" s="14" t="s">
        <v>175</v>
      </c>
      <c r="I61" s="14" t="s">
        <v>176</v>
      </c>
      <c r="J61" s="14" t="s">
        <v>177</v>
      </c>
      <c r="K61" s="14" t="s">
        <v>178</v>
      </c>
    </row>
    <row r="62" spans="2:11" x14ac:dyDescent="0.25">
      <c r="B62" s="12" t="s">
        <v>179</v>
      </c>
      <c r="C62" s="34" t="s">
        <v>180</v>
      </c>
      <c r="D62" s="13">
        <v>4929</v>
      </c>
      <c r="E62" s="14" t="s">
        <v>181</v>
      </c>
      <c r="F62" s="34" t="s">
        <v>182</v>
      </c>
      <c r="G62" s="15">
        <v>15912</v>
      </c>
      <c r="H62" s="12" t="s">
        <v>183</v>
      </c>
      <c r="I62" s="14" t="s">
        <v>184</v>
      </c>
      <c r="J62" s="14" t="s">
        <v>185</v>
      </c>
      <c r="K62" s="14" t="s">
        <v>186</v>
      </c>
    </row>
    <row r="63" spans="2:11" x14ac:dyDescent="0.25">
      <c r="B63" s="16" t="s">
        <v>187</v>
      </c>
      <c r="C63" s="35" t="s">
        <v>188</v>
      </c>
      <c r="D63" s="18">
        <v>769</v>
      </c>
      <c r="E63" s="17" t="s">
        <v>189</v>
      </c>
      <c r="F63" s="35" t="s">
        <v>190</v>
      </c>
      <c r="G63" s="19">
        <v>2114</v>
      </c>
      <c r="H63" s="20" t="s">
        <v>191</v>
      </c>
      <c r="I63" s="17" t="s">
        <v>192</v>
      </c>
      <c r="J63" s="17" t="s">
        <v>193</v>
      </c>
      <c r="K63" s="17" t="s">
        <v>194</v>
      </c>
    </row>
    <row r="64" spans="2:11" x14ac:dyDescent="0.25">
      <c r="B64" s="6" t="s">
        <v>15</v>
      </c>
      <c r="C64" s="23" t="s">
        <v>195</v>
      </c>
      <c r="D64" s="23"/>
      <c r="E64" s="23"/>
      <c r="F64" s="23"/>
      <c r="G64" s="21" t="s">
        <v>196</v>
      </c>
      <c r="H64" s="21" t="s">
        <v>197</v>
      </c>
      <c r="I64" s="22"/>
      <c r="J64" s="22"/>
      <c r="K64" s="22"/>
    </row>
    <row r="65" spans="2:11" x14ac:dyDescent="0.25">
      <c r="B65" s="24" t="s">
        <v>198</v>
      </c>
      <c r="C65" s="24"/>
      <c r="D65" s="24"/>
      <c r="E65" s="24"/>
      <c r="F65" s="24"/>
      <c r="G65" s="24"/>
      <c r="H65" s="24"/>
      <c r="I65" s="24"/>
      <c r="J65" s="24"/>
      <c r="K65" s="24"/>
    </row>
  </sheetData>
  <mergeCells count="8">
    <mergeCell ref="C64:F64"/>
    <mergeCell ref="B65:K65"/>
    <mergeCell ref="A1:V1"/>
    <mergeCell ref="B39:K39"/>
    <mergeCell ref="C40:E40"/>
    <mergeCell ref="F40:H40"/>
    <mergeCell ref="I40:K40"/>
    <mergeCell ref="D41:E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34EA-2960-45F5-A578-704D1B4ACBE2}">
  <dimension ref="A1:N23"/>
  <sheetViews>
    <sheetView tabSelected="1" zoomScaleNormal="100" workbookViewId="0">
      <selection activeCell="J2" sqref="J2"/>
    </sheetView>
  </sheetViews>
  <sheetFormatPr baseColWidth="10" defaultRowHeight="15" x14ac:dyDescent="0.25"/>
  <cols>
    <col min="3" max="11" width="12" customWidth="1"/>
    <col min="14" max="14" width="12.85546875" bestFit="1" customWidth="1"/>
  </cols>
  <sheetData>
    <row r="1" spans="1:14" x14ac:dyDescent="0.25">
      <c r="A1" t="s">
        <v>200</v>
      </c>
      <c r="B1" t="s">
        <v>201</v>
      </c>
      <c r="C1" t="s">
        <v>9</v>
      </c>
      <c r="D1" t="s">
        <v>202</v>
      </c>
      <c r="E1" t="s">
        <v>203</v>
      </c>
      <c r="F1" t="s">
        <v>204</v>
      </c>
      <c r="G1" t="s">
        <v>205</v>
      </c>
      <c r="H1" t="s">
        <v>210</v>
      </c>
      <c r="I1" t="s">
        <v>206</v>
      </c>
      <c r="J1" t="s">
        <v>207</v>
      </c>
      <c r="K1" t="s">
        <v>208</v>
      </c>
      <c r="L1" t="s">
        <v>209</v>
      </c>
      <c r="M1">
        <f>1505/474723</f>
        <v>3.1702698205058528E-3</v>
      </c>
      <c r="N1" t="str">
        <f ca="1">_xlfn.FORMULATEXT(M1)</f>
        <v>=1505/474723</v>
      </c>
    </row>
    <row r="2" x14ac:dyDescent="0.25">
      <c r="A2">
        <v>0</v>
      </c>
      <c r="B2">
        <v>1</v>
      </c>
      <c r="C2" s="36">
        <f>'Tabla transversales abreviadas'!D42/'Tabla transversales abreviadas'!G42</f>
        <v>0.0033389663082788405</v>
      </c>
      <c r="D2" s="36">
        <f>IF(B2="",1,2*B2*C2/(2+B2*C2))</f>
        <v>0.0033334012510442346</v>
      </c>
      <c r="E2" s="36">
        <f>1-D2</f>
        <v>0.9966665987489558</v>
      </c>
      <c r="F2" s="40">
        <v>100000</v>
      </c>
      <c r="G2" s="37">
        <f>F2*D2</f>
        <v>333.34012510442346</v>
      </c>
      <c r="H2" s="39">
        <v>0.12</v>
      </c>
      <c r="I2" s="37">
        <f>IF(B2="",G2*H2,F3*B2+G2*H2)</f>
        <v>99706.66068990811</v>
      </c>
      <c r="J2" s="37">
        <f>SUM(I2:I$23)</f>
        <v>7917235.251598301</v>
      </c>
      <c r="K2" s="38">
        <f>J2/F2</f>
        <v>79.17235251598301</v>
      </c>
    </row>
    <row r="3" x14ac:dyDescent="0.25">
      <c r="A3">
        <v>1</v>
      </c>
      <c r="B3">
        <v>4</v>
      </c>
      <c r="C3" s="36">
        <f>'Tabla transversales abreviadas'!D43/'Tabla transversales abreviadas'!G43</f>
        <v>0.000176502586775616</v>
      </c>
      <c r="D3" s="36">
        <f>IF(B3="",1,2*B3*C3/(2+B3*C3))</f>
        <v>0.0007057612097441326</v>
      </c>
      <c r="E3" s="36">
        <f>1-D3</f>
        <v>0.9992942387902559</v>
      </c>
      <c r="F3" s="37">
        <f>F2*E2</f>
        <v>99666.65987489557</v>
      </c>
      <c r="G3" s="37">
        <f>F3*D3</f>
        <v>70.3408624444633</v>
      </c>
      <c r="H3" s="39">
        <v>1.5</v>
      </c>
      <c r="I3" s="37">
        <f>IF(B3="",G3*H3,F4*B3+G3*H3)</f>
        <v>398490.78734347114</v>
      </c>
      <c r="J3" s="37">
        <f>SUM(I3:I$23)</f>
        <v>7817528.590908393</v>
      </c>
      <c r="K3" s="38">
        <f>J3/F3</f>
        <v>78.43674705986112</v>
      </c>
    </row>
    <row r="4" x14ac:dyDescent="0.25">
      <c r="A4">
        <v>5</v>
      </c>
      <c r="B4">
        <v>5</v>
      </c>
      <c r="C4" s="36">
        <f>'Tabla transversales abreviadas'!D44/'Tabla transversales abreviadas'!G44</f>
        <v>0.00010084066682735586</v>
      </c>
      <c r="D4" s="36">
        <f>IF(B4="",1,2*B4*C4/(2+B4*C4))</f>
        <v>0.0005040762556723946</v>
      </c>
      <c r="E4" s="36">
        <f>1-D4</f>
        <v>0.9994959237443276</v>
      </c>
      <c r="F4" s="37">
        <f>F3*E3</f>
        <v>99596.31901245112</v>
      </c>
      <c r="G4" s="37">
        <f>F4*D4</f>
        <v>50.204139566549685</v>
      </c>
      <c r="H4" s="39">
        <v>2.5</v>
      </c>
      <c r="I4" s="37">
        <f>IF(B4="",G4*H4,F5*B4+G4*H4)</f>
        <v>497856.0847133393</v>
      </c>
      <c r="J4" s="37">
        <f>SUM(I4:I$23)</f>
        <v>7419037.803564922</v>
      </c>
      <c r="K4" s="38">
        <f>J4/F4</f>
        <v>74.49108438071316</v>
      </c>
    </row>
    <row r="5" x14ac:dyDescent="0.25">
      <c r="A5">
        <v>10</v>
      </c>
      <c r="B5">
        <v>5</v>
      </c>
      <c r="C5" s="36">
        <f>'Tabla transversales abreviadas'!D45/'Tabla transversales abreviadas'!G45</f>
        <v>0.00011746865722645821</v>
      </c>
      <c r="D5" s="36">
        <f>IF(B5="",1,2*B5*C5/(2+B5*C5))</f>
        <v>0.0005871708507038043</v>
      </c>
      <c r="E5" s="36">
        <f>1-D5</f>
        <v>0.9994128291492962</v>
      </c>
      <c r="F5" s="37">
        <f>F4*E4</f>
        <v>99546.11487288457</v>
      </c>
      <c r="G5" s="37">
        <f>F5*D5</f>
        <v>58.45057695417026</v>
      </c>
      <c r="H5" s="39">
        <v>2.5</v>
      </c>
      <c r="I5" s="37">
        <f>IF(B5="",G5*H5,F6*B5+G5*H5)</f>
        <v>497584.44792203745</v>
      </c>
      <c r="J5" s="37">
        <f>SUM(I5:I$23)</f>
        <v>6921181.718851583</v>
      </c>
      <c r="K5" s="38">
        <f>J5/F5</f>
        <v>69.52739167861635</v>
      </c>
    </row>
    <row r="6" x14ac:dyDescent="0.25">
      <c r="A6">
        <v>15</v>
      </c>
      <c r="B6">
        <v>5</v>
      </c>
      <c r="C6" s="36">
        <f>'Tabla transversales abreviadas'!D46/'Tabla transversales abreviadas'!G46</f>
        <v>0.00027631166903651434</v>
      </c>
      <c r="D6" s="36">
        <f>IF(B6="",1,2*B6*C6/(2+B6*C6))</f>
        <v>0.0013806046522432196</v>
      </c>
      <c r="E6" s="36">
        <f>1-D6</f>
        <v>0.9986193953477568</v>
      </c>
      <c r="F6" s="37">
        <f>F5*E5</f>
        <v>99487.6642959304</v>
      </c>
      <c r="G6" s="37">
        <f>F6*D6</f>
        <v>137.35313216777317</v>
      </c>
      <c r="H6" s="39">
        <v>2.5</v>
      </c>
      <c r="I6" s="37">
        <f>IF(B6="",G6*H6,F7*B6+G6*H6)</f>
        <v>497094.9386492326</v>
      </c>
      <c r="J6" s="37">
        <f>SUM(I6:I$23)</f>
        <v>6423597.270929545</v>
      </c>
      <c r="K6" s="38">
        <f>J6/F6</f>
        <v>64.5667713317932</v>
      </c>
    </row>
    <row r="7" x14ac:dyDescent="0.25">
      <c r="A7">
        <v>20</v>
      </c>
      <c r="B7">
        <v>5</v>
      </c>
      <c r="C7" s="36">
        <f>'Tabla transversales abreviadas'!D47/'Tabla transversales abreviadas'!G47</f>
        <v>0.0004525311862293906</v>
      </c>
      <c r="D7" s="36">
        <f>IF(B7="",1,2*B7*C7/(2+B7*C7))</f>
        <v>0.0022600990179230114</v>
      </c>
      <c r="E7" s="36">
        <f>1-D7</f>
        <v>0.997739900982077</v>
      </c>
      <c r="F7" s="37">
        <f>F6*E6</f>
        <v>99350.31116376263</v>
      </c>
      <c r="G7" s="37">
        <f>F7*D7</f>
        <v>224.5415406915655</v>
      </c>
      <c r="H7" s="39">
        <v>2.5</v>
      </c>
      <c r="I7" s="37">
        <f>IF(B7="",G7*H7,F8*B7+G7*H7)</f>
        <v>496190.2019670842</v>
      </c>
      <c r="J7" s="37">
        <f>SUM(I7:I$23)</f>
        <v>5926502.332280313</v>
      </c>
      <c r="K7" s="38">
        <f>J7/F7</f>
        <v>59.652579472161385</v>
      </c>
    </row>
    <row r="8" x14ac:dyDescent="0.25">
      <c r="A8">
        <v>25</v>
      </c>
      <c r="B8">
        <v>5</v>
      </c>
      <c r="C8" s="36">
        <f>'Tabla transversales abreviadas'!D48/'Tabla transversales abreviadas'!G48</f>
        <v>0.00046383499274120206</v>
      </c>
      <c r="D8" s="36">
        <f>IF(B8="",1,2*B8*C8/(2+B8*C8))</f>
        <v>0.0023164887923006056</v>
      </c>
      <c r="E8" s="36">
        <f>1-D8</f>
        <v>0.9976835112076994</v>
      </c>
      <c r="F8" s="37">
        <f>F7*E7</f>
        <v>99125.76962307106</v>
      </c>
      <c r="G8" s="37">
        <f>F8*D8</f>
        <v>229.62373436001593</v>
      </c>
      <c r="H8" s="39">
        <v>2.5</v>
      </c>
      <c r="I8" s="37">
        <f>IF(B8="",G8*H8,F9*B8+G8*H8)</f>
        <v>495054.78877945524</v>
      </c>
      <c r="J8" s="37">
        <f>SUM(I8:I$23)</f>
        <v>5430312.130313229</v>
      </c>
      <c r="K8" s="38">
        <f>J8/F8</f>
        <v>54.782042560296546</v>
      </c>
    </row>
    <row r="9" x14ac:dyDescent="0.25">
      <c r="A9">
        <v>30</v>
      </c>
      <c r="B9">
        <v>5</v>
      </c>
      <c r="C9" s="36">
        <f>'Tabla transversales abreviadas'!D49/'Tabla transversales abreviadas'!G49</f>
        <v>0.0005860181794105033</v>
      </c>
      <c r="D9" s="36">
        <f>IF(B9="",1,2*B9*C9/(2+B9*C9))</f>
        <v>0.0029258044605443177</v>
      </c>
      <c r="E9" s="36">
        <f>1-D9</f>
        <v>0.9970741955394556</v>
      </c>
      <c r="F9" s="37">
        <f>F8*E8</f>
        <v>98896.14588871103</v>
      </c>
      <c r="G9" s="37">
        <f>F9*D9</f>
        <v>289.3507847718323</v>
      </c>
      <c r="H9" s="39">
        <v>2.5</v>
      </c>
      <c r="I9" s="37">
        <f>IF(B9="",G9*H9,F10*B9+G9*H9)</f>
        <v>493757.35248162557</v>
      </c>
      <c r="J9" s="37">
        <f>SUM(I9:I$23)</f>
        <v>4935257.341533774</v>
      </c>
      <c r="K9" s="38">
        <f>J9/F9</f>
        <v>49.90343452906117</v>
      </c>
    </row>
    <row r="10" x14ac:dyDescent="0.25">
      <c r="A10">
        <v>35</v>
      </c>
      <c r="B10">
        <v>5</v>
      </c>
      <c r="C10" s="36">
        <f>'Tabla transversales abreviadas'!D50/'Tabla transversales abreviadas'!G50</f>
        <v>0.0008461135201512625</v>
      </c>
      <c r="D10" s="36">
        <f>IF(B10="",1,2*B10*C10/(2+B10*C10))</f>
        <v>0.004221637639047368</v>
      </c>
      <c r="E10" s="36">
        <f>1-D10</f>
        <v>0.9957783623609526</v>
      </c>
      <c r="F10" s="37">
        <f>F9*E9</f>
        <v>98606.79510393919</v>
      </c>
      <c r="G10" s="37">
        <f>F10*D10</f>
        <v>416.28215767662147</v>
      </c>
      <c r="H10" s="39">
        <v>2.5</v>
      </c>
      <c r="I10" s="37">
        <f>IF(B10="",G10*H10,F11*B10+G10*H10)</f>
        <v>491993.27012550447</v>
      </c>
      <c r="J10" s="37">
        <f>SUM(I10:I$23)</f>
        <v>4441499.989052148</v>
      </c>
      <c r="K10" s="38">
        <f>J10/F10</f>
        <v>45.04253468912019</v>
      </c>
    </row>
    <row r="11" x14ac:dyDescent="0.25">
      <c r="A11">
        <v>40</v>
      </c>
      <c r="B11">
        <v>5</v>
      </c>
      <c r="C11" s="36">
        <f>'Tabla transversales abreviadas'!D51/'Tabla transversales abreviadas'!G51</f>
        <v>0.001495620989399799</v>
      </c>
      <c r="D11" s="36">
        <f>IF(B11="",1,2*B11*C11/(2+B11*C11))</f>
        <v>0.007450248078492922</v>
      </c>
      <c r="E11" s="36">
        <f>1-D11</f>
        <v>0.9925497519215071</v>
      </c>
      <c r="F11" s="37">
        <f>F10*E10</f>
        <v>98190.51294626258</v>
      </c>
      <c r="G11" s="37">
        <f>F11*D11</f>
        <v>731.5436804041271</v>
      </c>
      <c r="H11" s="39">
        <v>2.5</v>
      </c>
      <c r="I11" s="37">
        <f>IF(B11="",G11*H11,F12*B11+G11*H11)</f>
        <v>489123.7055303026</v>
      </c>
      <c r="J11" s="37">
        <f>SUM(I11:I$23)</f>
        <v>3949506.718926643</v>
      </c>
      <c r="K11" s="38">
        <f>J11/F11</f>
        <v>40.2228952718489</v>
      </c>
    </row>
    <row r="12" x14ac:dyDescent="0.25">
      <c r="A12">
        <v>45</v>
      </c>
      <c r="B12">
        <v>5</v>
      </c>
      <c r="C12" s="36">
        <f>'Tabla transversales abreviadas'!D52/'Tabla transversales abreviadas'!G52</f>
        <v>0.0026298316430706627</v>
      </c>
      <c r="D12" s="36">
        <f>IF(B12="",1,2*B12*C12/(2+B12*C12))</f>
        <v>0.013063272695610868</v>
      </c>
      <c r="E12" s="36">
        <f>1-D12</f>
        <v>0.9869367273043891</v>
      </c>
      <c r="F12" s="37">
        <f>F11*E11</f>
        <v>97458.96926585845</v>
      </c>
      <c r="G12" s="37">
        <f>F12*D12</f>
        <v>1273.1330921530675</v>
      </c>
      <c r="H12" s="39">
        <v>2.5</v>
      </c>
      <c r="I12" s="37">
        <f>IF(B12="",G12*H12,F13*B12+G12*H12)</f>
        <v>484112.0135989096</v>
      </c>
      <c r="J12" s="37">
        <f>SUM(I12:I$23)</f>
        <v>3460383.0133963404</v>
      </c>
      <c r="K12" s="38">
        <f>J12/F12</f>
        <v>35.506049771127344</v>
      </c>
    </row>
    <row r="13" x14ac:dyDescent="0.25">
      <c r="A13">
        <v>50</v>
      </c>
      <c r="B13">
        <v>5</v>
      </c>
      <c r="C13" s="36">
        <f>'Tabla transversales abreviadas'!D53/'Tabla transversales abreviadas'!G53</f>
        <v>0.004491898002763472</v>
      </c>
      <c r="D13" s="36">
        <f>IF(B13="",1,2*B13*C13/(2+B13*C13))</f>
        <v>0.022210076517936994</v>
      </c>
      <c r="E13" s="36">
        <f>1-D13</f>
        <v>0.9777899234820631</v>
      </c>
      <c r="F13" s="37">
        <f>F12*E12</f>
        <v>96185.83617370538</v>
      </c>
      <c r="G13" s="37">
        <f>F13*D13</f>
        <v>2136.2947813597484</v>
      </c>
      <c r="H13" s="39">
        <v>2.5</v>
      </c>
      <c r="I13" s="37">
        <f>IF(B13="",G13*H13,F14*B13+G13*H13)</f>
        <v>475588.44391512754</v>
      </c>
      <c r="J13" s="37">
        <f>SUM(I13:I$23)</f>
        <v>2976270.999797431</v>
      </c>
      <c r="K13" s="38">
        <f>J13/F13</f>
        <v>30.942923804524384</v>
      </c>
    </row>
    <row r="14" x14ac:dyDescent="0.25">
      <c r="A14">
        <v>55</v>
      </c>
      <c r="B14">
        <v>5</v>
      </c>
      <c r="C14" s="36">
        <f>'Tabla transversales abreviadas'!D54/'Tabla transversales abreviadas'!G54</f>
        <v>0.006921205493706861</v>
      </c>
      <c r="D14" s="36">
        <f>IF(B14="",1,2*B14*C14/(2+B14*C14))</f>
        <v>0.03401742352212657</v>
      </c>
      <c r="E14" s="36">
        <f>1-D14</f>
        <v>0.9659825764778734</v>
      </c>
      <c r="F14" s="37">
        <f>F13*E13</f>
        <v>94049.54139234564</v>
      </c>
      <c r="G14" s="37">
        <f>F14*D14</f>
        <v>3199.323081605195</v>
      </c>
      <c r="H14" s="39">
        <v>2.5</v>
      </c>
      <c r="I14" s="37">
        <f>IF(B14="",G14*H14,F15*B14+G14*H14)</f>
        <v>462249.3992577152</v>
      </c>
      <c r="J14" s="37">
        <f>SUM(I14:I$23)</f>
        <v>2500682.5558823035</v>
      </c>
      <c r="K14" s="38">
        <f>J14/F14</f>
        <v>26.588992555000647</v>
      </c>
    </row>
    <row r="15" x14ac:dyDescent="0.25">
      <c r="A15">
        <v>60</v>
      </c>
      <c r="B15">
        <v>5</v>
      </c>
      <c r="C15" s="36">
        <f>'Tabla transversales abreviadas'!D55/'Tabla transversales abreviadas'!G55</f>
        <v>0.01039422214413198</v>
      </c>
      <c r="D15" s="36">
        <f>IF(B15="",1,2*B15*C15/(2+B15*C15))</f>
        <v>0.05065481716495264</v>
      </c>
      <c r="E15" s="36">
        <f>1-D15</f>
        <v>0.9493451828350473</v>
      </c>
      <c r="F15" s="37">
        <f>F14*E14</f>
        <v>90850.21831074044</v>
      </c>
      <c r="G15" s="37">
        <f>F15*D15</f>
        <v>4602.001197926589</v>
      </c>
      <c r="H15" s="39">
        <v>2.5</v>
      </c>
      <c r="I15" s="37">
        <f>IF(B15="",G15*H15,F16*B15+G15*H15)</f>
        <v>442746.0885588857</v>
      </c>
      <c r="J15" s="37">
        <f>SUM(I15:I$23)</f>
        <v>2038433.1566245882</v>
      </c>
      <c r="K15" s="38">
        <f>J15/F15</f>
        <v>22.43729508334711</v>
      </c>
    </row>
    <row r="16" x14ac:dyDescent="0.25">
      <c r="A16">
        <v>65</v>
      </c>
      <c r="B16">
        <v>5</v>
      </c>
      <c r="C16" s="36">
        <f>'Tabla transversales abreviadas'!D56/'Tabla transversales abreviadas'!G56</f>
        <v>0.015306437163124733</v>
      </c>
      <c r="D16" s="36">
        <f>IF(B16="",1,2*B16*C16/(2+B16*C16))</f>
        <v>0.07371153342905035</v>
      </c>
      <c r="E16" s="36">
        <f>1-D16</f>
        <v>0.9262884665709497</v>
      </c>
      <c r="F16" s="37">
        <f>F15*E15</f>
        <v>86248.21711281384</v>
      </c>
      <c r="G16" s="37">
        <f>F16*D16</f>
        <v>6357.48833890717</v>
      </c>
      <c r="H16" s="39">
        <v>2.5</v>
      </c>
      <c r="I16" s="37">
        <f>IF(B16="",G16*H16,F17*B16+G16*H16)</f>
        <v>415347.36471680127</v>
      </c>
      <c r="J16" s="37">
        <f>SUM(I16:I$23)</f>
        <v>1595687.0680657024</v>
      </c>
      <c r="K16" s="38">
        <f>J16/F16</f>
        <v>18.50110206891027</v>
      </c>
    </row>
    <row r="17" x14ac:dyDescent="0.25">
      <c r="A17">
        <v>70</v>
      </c>
      <c r="B17">
        <v>5</v>
      </c>
      <c r="C17" s="36">
        <f>'Tabla transversales abreviadas'!D57/'Tabla transversales abreviadas'!G57</f>
        <v>0.024793960016800086</v>
      </c>
      <c r="D17" s="36">
        <f>IF(B17="",1,2*B17*C17/(2+B17*C17))</f>
        <v>0.11673405156617346</v>
      </c>
      <c r="E17" s="36">
        <f>1-D17</f>
        <v>0.8832659484338266</v>
      </c>
      <c r="F17" s="37">
        <f>F16*E16</f>
        <v>79890.72877390667</v>
      </c>
      <c r="G17" s="37">
        <f>F17*D17</f>
        <v>9325.9684523524</v>
      </c>
      <c r="H17" s="39">
        <v>2.5</v>
      </c>
      <c r="I17" s="37">
        <f>IF(B17="",G17*H17,F18*B17+G17*H17)</f>
        <v>376138.7227386523</v>
      </c>
      <c r="J17" s="37">
        <f>SUM(I17:I$23)</f>
        <v>1180339.7033489014</v>
      </c>
      <c r="K17" s="38">
        <f>J17/F17</f>
        <v>14.774426538144379</v>
      </c>
    </row>
    <row r="18" x14ac:dyDescent="0.25">
      <c r="A18">
        <v>75</v>
      </c>
      <c r="B18">
        <v>5</v>
      </c>
      <c r="C18" s="36">
        <f>'Tabla transversales abreviadas'!D58/'Tabla transversales abreviadas'!G58</f>
        <v>0.04077044807401213</v>
      </c>
      <c r="D18" s="36">
        <f>IF(B18="",1,2*B18*C18/(2+B18*C18))</f>
        <v>0.18499628662566847</v>
      </c>
      <c r="E18" s="36">
        <f>1-D18</f>
        <v>0.8150037133743315</v>
      </c>
      <c r="F18" s="37">
        <f>F17*E17</f>
        <v>70564.76032155426</v>
      </c>
      <c r="G18" s="37">
        <f>F18*D18</f>
        <v>13054.21862611785</v>
      </c>
      <c r="H18" s="39">
        <v>2.5</v>
      </c>
      <c r="I18" s="37">
        <f>IF(B18="",G18*H18,F19*B18+G18*H18)</f>
        <v>320188.2550424767</v>
      </c>
      <c r="J18" s="37">
        <f>SUM(I18:I$23)</f>
        <v>804200.980610249</v>
      </c>
      <c r="K18" s="38">
        <f>J18/F18</f>
        <v>11.39663731507925</v>
      </c>
    </row>
    <row r="19" x14ac:dyDescent="0.25">
      <c r="A19">
        <v>80</v>
      </c>
      <c r="B19">
        <v>5</v>
      </c>
      <c r="C19" s="36">
        <f>'Tabla transversales abreviadas'!D59/'Tabla transversales abreviadas'!G59</f>
        <v>0.07252773353996395</v>
      </c>
      <c r="D19" s="36">
        <f>IF(B19="",1,2*B19*C19/(2+B19*C19))</f>
        <v>0.30697767936971226</v>
      </c>
      <c r="E19" s="36">
        <f>1-D19</f>
        <v>0.6930223206302877</v>
      </c>
      <c r="F19" s="37">
        <f>F18*E18</f>
        <v>57510.54169543641</v>
      </c>
      <c r="G19" s="37">
        <f>F19*D19</f>
        <v>17654.452628960145</v>
      </c>
      <c r="H19" s="39">
        <v>2.5</v>
      </c>
      <c r="I19" s="37">
        <f>IF(B19="",G19*H19,F20*B19+G19*H19)</f>
        <v>243416.5769047817</v>
      </c>
      <c r="J19" s="37">
        <f>SUM(I19:I$23)</f>
        <v>484012.7255677722</v>
      </c>
      <c r="K19" s="38">
        <f>J19/F19</f>
        <v>8.416069668253181</v>
      </c>
    </row>
    <row r="20" x14ac:dyDescent="0.25">
      <c r="A20">
        <v>85</v>
      </c>
      <c r="B20">
        <v>5</v>
      </c>
      <c r="C20" s="36">
        <f>'Tabla transversales abreviadas'!D60/'Tabla transversales abreviadas'!G60</f>
        <v>0.12632694747918666</v>
      </c>
      <c r="D20" s="36">
        <f>IF(B20="",1,2*B20*C20/(2+B20*C20))</f>
        <v>0.48003222363674314</v>
      </c>
      <c r="E20" s="36">
        <f>1-D20</f>
        <v>0.5199677763632569</v>
      </c>
      <c r="F20" s="37">
        <f>F19*E19</f>
        <v>39856.08906647626</v>
      </c>
      <c r="G20" s="37">
        <f>F20*D20</f>
        <v>19132.207060044686</v>
      </c>
      <c r="H20" s="39">
        <v>2.5</v>
      </c>
      <c r="I20" s="37">
        <f>IF(B20="",G20*H20,F21*B20+G20*H20)</f>
        <v>151449.9276822696</v>
      </c>
      <c r="J20" s="37">
        <f>SUM(I20:I$23)</f>
        <v>240596.14866299054</v>
      </c>
      <c r="K20" s="38">
        <f>J20/F20</f>
        <v>6.036622114671072</v>
      </c>
    </row>
    <row r="21" x14ac:dyDescent="0.25">
      <c r="A21">
        <v>90</v>
      </c>
      <c r="B21">
        <v>5</v>
      </c>
      <c r="C21" s="36">
        <f>'Tabla transversales abreviadas'!D61/'Tabla transversales abreviadas'!G61</f>
        <v>0.20702814645010875</v>
      </c>
      <c r="D21" s="36">
        <f>IF(B21="",1,2*B21*C21/(2+B21*C21))</f>
        <v>0.682103944144291</v>
      </c>
      <c r="E21" s="36">
        <f>1-D21</f>
        <v>0.317896055855709</v>
      </c>
      <c r="F21" s="37">
        <f>F20*E20</f>
        <v>20723.882006431577</v>
      </c>
      <c r="G21" s="37">
        <f>F21*D21</f>
        <v>14135.841654567881</v>
      </c>
      <c r="H21" s="39">
        <v>2.5</v>
      </c>
      <c r="I21" s="37">
        <f>IF(B21="",G21*H21,F22*B21+G21*H21)</f>
        <v>68279.80589573819</v>
      </c>
      <c r="J21" s="37">
        <f>SUM(I21:I$23)</f>
        <v>89146.22098072094</v>
      </c>
      <c r="K21" s="38">
        <f>J21/F21</f>
        <v>4.301617860642844</v>
      </c>
    </row>
    <row r="22" x14ac:dyDescent="0.25">
      <c r="A22">
        <v>95</v>
      </c>
      <c r="B22">
        <v>5</v>
      </c>
      <c r="C22" s="36">
        <f>'Tabla transversales abreviadas'!D62/'Tabla transversales abreviadas'!G62</f>
        <v>0.3097662141779789</v>
      </c>
      <c r="D22" s="36">
        <f>IF(B22="",1,2*B22*C22/(2+B22*C22))</f>
        <v>0.8728682994209211</v>
      </c>
      <c r="E22" s="36">
        <f>1-D22</f>
        <v>0.12713170057907885</v>
      </c>
      <c r="F22" s="37">
        <f>F21*E21</f>
        <v>6588.040351863696</v>
      </c>
      <c r="G22" s="37">
        <f>F22*D22</f>
        <v>5750.491578447672</v>
      </c>
      <c r="H22" s="39">
        <v>2.5</v>
      </c>
      <c r="I22" s="37">
        <f>IF(B22="",G22*H22,F23*B22+G22*H22)</f>
        <v>18563.972813199303</v>
      </c>
      <c r="J22" s="37">
        <f>SUM(I22:I$23)</f>
        <v>20866.415084982757</v>
      </c>
      <c r="K22" s="38">
        <f>J22/F22</f>
        <v>3.167317437434918</v>
      </c>
    </row>
    <row r="23" x14ac:dyDescent="0.25">
      <c r="A23">
        <v>100</v>
      </c>
      <c r="C23" s="36">
        <f>'Tabla transversales abreviadas'!D63/'Tabla transversales abreviadas'!G63</f>
        <v>0.3637653736991485</v>
      </c>
      <c r="D23" s="36">
        <f>IF(B23="",1,2*B23*C23/(2+B23*C23))</f>
        <v>1.0</v>
      </c>
      <c r="E23" s="36">
        <f>1-D23</f>
        <v>0.0</v>
      </c>
      <c r="F23" s="37">
        <f>F22*E22</f>
        <v>837.5487734160247</v>
      </c>
      <c r="G23" s="37">
        <f>F23*D23</f>
        <v>837.5487734160247</v>
      </c>
      <c r="H23" s="38">
        <f>1/C23</f>
        <v>2.749024707412224</v>
      </c>
      <c r="I23" s="37">
        <f>IF(B23="",G23*H23,F24*B23+G23*H23)</f>
        <v>2302.442271783454</v>
      </c>
      <c r="J23" s="37">
        <f>SUM(I23:I$23)</f>
        <v>2302.442271783454</v>
      </c>
      <c r="K23" s="38">
        <f>J23/F23</f>
        <v>2.749024707412224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B11B12AB28EF41BE7B6BBE4AD81B61" ma:contentTypeVersion="3" ma:contentTypeDescription="Crear nuevo documento." ma:contentTypeScope="" ma:versionID="a62f8b42fe5dd1be3d38805dcb705b81">
  <xsd:schema xmlns:xsd="http://www.w3.org/2001/XMLSchema" xmlns:xs="http://www.w3.org/2001/XMLSchema" xmlns:p="http://schemas.microsoft.com/office/2006/metadata/properties" xmlns:ns2="86a7330f-545b-45ef-8d13-aa5a6bfed9b2" targetNamespace="http://schemas.microsoft.com/office/2006/metadata/properties" ma:root="true" ma:fieldsID="a29a686924c548cdf05663975ff3b9bd" ns2:_="">
    <xsd:import namespace="86a7330f-545b-45ef-8d13-aa5a6bfed9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7330f-545b-45ef-8d13-aa5a6bfed9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C24ADD-4E34-4B0D-A26C-1DB49B2A4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a7330f-545b-45ef-8d13-aa5a6bfed9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80A6D7-85A7-4F81-BF1A-D93F10C86B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37F8F8-06C7-4F92-A12E-E2F0EFE4FF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 mortalidad</vt:lpstr>
      <vt:lpstr>Tabla transversales abreviadas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CESAR EMILIO MARTINEZ CANSECO</cp:lastModifiedBy>
  <dcterms:created xsi:type="dcterms:W3CDTF">2026-10-13T18:12:05Z</dcterms:created>
  <dcterms:modified xsi:type="dcterms:W3CDTF">2026-10-13T18:19:44Z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0x010100DBB11B12AB28EF41BE7B6BBE4AD81B61</vt:lpwstr>
  </property>
</Properties>
</file>