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eeme" sheetId="1" state="visible" r:id="rId3"/>
    <sheet name="Pronóstico" sheetId="2" state="visible" r:id="rId4"/>
    <sheet name="Órdenes" sheetId="3" state="visible" r:id="rId5"/>
    <sheet name="Mi portafolio" sheetId="4" state="visible" r:id="rId6"/>
    <sheet name="Portafolios" sheetId="5" state="visible" r:id="rId7"/>
    <sheet name="Acciones" sheetId="6" state="visible" r:id="rId8"/>
    <sheet name="Correlaciones" sheetId="7" state="visible" r:id="rId9"/>
    <sheet name="Covarianza" sheetId="8" state="visible" r:id="rId10"/>
  </sheets>
  <definedNames>
    <definedName function="false" hidden="true" localSheetId="5" name="_xlnm._FilterDatabase" vbProcedure="false">Acciones!$A$4:$U$149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<sst xmlns="http://schemas.openxmlformats.org/spreadsheetml/2006/main" count="1839" uniqueCount="388">
  <si>
    <t xml:space="preserve">Reto Actinver 2026: las 145 acciones de la plataforma, con datos y calculadora de portafolio</t>
  </si>
  <si>
    <t xml:space="preserve">Precios actualizados con Yahoo Finance: 8 de octubre de 2026, ~11:10 h CDMX. Precio de compra/venta y volumen del monitor: foto del 2026-10-08. Datos descriptivos del pasado: NO son una recomendación de inversión y no predicen lo que va a pasar.</t>
  </si>
  <si>
    <t xml:space="preserve">Qué hay en cada hoja</t>
  </si>
  <si>
    <t xml:space="preserve">• Acciones: las 145 de tu monitor (Reto Actinver &gt; Monitores &gt; Acciones), con el precio de compra y de venta que vio la plataforma, la diferencia entre ambos, el volumen disponible y los datos históricos en pesos.</t>
  </si>
  <si>
    <t xml:space="preserve">• Mi portafolio: eliges emisoras y porcentajes (celdas amarillas). Revisa las reglas del reto, los costos reales (comisión + diferencia compra-venta) y cuánto se ha movido un portafolio así.</t>
  </si>
  <si>
    <t xml:space="preserve">• Correlaciones / Covarianza: qué tanto se mueven juntas (apoyo de la calculadora).</t>
  </si>
  <si>
    <t xml:space="preserve">Lo que más cambia el resultado: la diferencia entre precio de compra y de venta</t>
  </si>
  <si>
    <t xml:space="preserve">• Si compras al precio de venta y vendes al precio de compra, pierdes esa diferencia cada vez que haces el viaje completo. En las mexicanas es de centésimas de punto porcentual; en muchas del exterior (SIC) es de 2% a 5%.</t>
  </si>
  <si>
    <t xml:space="preserve">• 'Sin contraparte' = hoy no hay quien compre o quien venda (precio $0.00): esa orden no se asigna. Son datos de un instante; cambian durante el día.</t>
  </si>
  <si>
    <t xml:space="preserve">• Estos precios son una foto del monitor al momento de copiarlo. Vuelve a revisarlo en la plataforma antes de operar.</t>
  </si>
  <si>
    <t xml:space="preserve">Cómo leer las columnas históricas</t>
  </si>
  <si>
    <t xml:space="preserve">• Todo está en pesos. En las acciones del exterior se usó el precio en dólares por el tipo de cambio del día (aproximación del precio SIC en pesos).</t>
  </si>
  <si>
    <t xml:space="preserve">• Volatilidad anual: qué tanto se mueve el precio (desv. estándar de rendimientos diarios del último año, anualizada). Mov. típico ±1σ: lo que suele moverse en 25 sesiones; ~2 de cada 3 veces cae dentro de ese rango.</t>
  </si>
  <si>
    <t xml:space="preserve">• Peor caída: la mayor baja desde un máximo en el último año. Beta: sensibilidad al IPC. Mejor / peor ventana de 25 sesiones: el mejor y el peor tramo de ese largo en 3 años.</t>
  </si>
  <si>
    <t xml:space="preserve">• Perfil: tercios de volatilidad entre las 144 con historial. Solo describe el pasado.</t>
  </si>
  <si>
    <t xml:space="preserve">Reglas del reto usadas (de las bases publicadas; confírmalas)</t>
  </si>
  <si>
    <t xml:space="preserve">• $1,000,000 virtuales. Mínimo 5 emisoras distintas. Máximo 50% en una acción. Sin ventas en corto. Comisión 0.10% + 16% IVA (0.116%) por operación. Se gana por mayor ganancia absoluta en pesos al 13 de noviembre de 2026.</t>
  </si>
  <si>
    <t xml:space="preserve">Limitaciones</t>
  </si>
  <si>
    <t xml:space="preserve">• LASITE B-1 no tiene historial en la fuente (no entra a la calculadora). Las emisoras sin contraparte hoy siguen en la lista pero aparecen marcadas.</t>
  </si>
  <si>
    <t xml:space="preserve">• Yahoo Finance puede tener huecos o errores en emisoras mexicanas y en SIC. Compara con la plataforma.</t>
  </si>
  <si>
    <t xml:space="preserve">• No incluye fechas de reporte de resultados del 3T, que suelen mover mucho los precios: revísalas en tu calendario.</t>
  </si>
  <si>
    <t xml:space="preserve">• El rango ±1σ supone que el futuro se parece al último año; los eventos extremos pasan más seguido de lo que sugiere.</t>
  </si>
  <si>
    <t xml:space="preserve">Hojas agregadas (versión mejorada)</t>
  </si>
  <si>
    <t xml:space="preserve">• Pronóstico: supuestos, mejor portafolio para cada número de emisoras (5 a 12), ganador y escenarios.</t>
  </si>
  <si>
    <t xml:space="preserve">• Órdenes: títulos a comprar del ganador; actualiza el precio antes de mandar cada orden.</t>
  </si>
  <si>
    <t xml:space="preserve">• Portafolios: pesos del ganador, la alternativa balanceada y tu idea original, con su ganancia por escenario.</t>
  </si>
  <si>
    <t xml:space="preserve">• Acciones: columnas nuevas a la derecha (precio objetivo de analistas, próximo reporte, liquidez, pronóstico).</t>
  </si>
  <si>
    <t xml:space="preserve">• Mi portafolio viene llenado con el ganador (Ganar (máx. prob. top 3) · 5 emisoras). No es una recomendación de inversión.</t>
  </si>
  <si>
    <t xml:space="preserve">Pronóstico, portafolios de 5 a 12 emisoras y ganador</t>
  </si>
  <si>
    <t xml:space="preserve">Datos al 8 de octubre de 2026, ~11:10 h CDMX. El pronóstico usa señales reales (precio objetivo de analistas y momento), pero su capacidad de predicción es baja: el resultado lo decide sobre todo el mercado. No es una recomendación de inversión.</t>
  </si>
  <si>
    <t xml:space="preserve">Supuestos (celdas amarillas editables)</t>
  </si>
  <si>
    <t xml:space="preserve">IC: capacidad de pronóstico de las señales</t>
  </si>
  <si>
    <t xml:space="preserve">0.05 = una buena señal; 0 = sin pronóstico propio por acción</t>
  </si>
  <si>
    <t xml:space="preserve">Rendimiento anual esperado de la canasta</t>
  </si>
  <si>
    <t xml:space="preserve">Prima de mercado</t>
  </si>
  <si>
    <t xml:space="preserve">Sesiones que faltan</t>
  </si>
  <si>
    <t xml:space="preserve">De la hoja Mi portafolio</t>
  </si>
  <si>
    <t xml:space="preserve">Rendimiento esperado de la canasta en el lapso</t>
  </si>
  <si>
    <t xml:space="preserve">Mov. típico (±1σ) de la canasta en el lapso</t>
  </si>
  <si>
    <t xml:space="preserve">Canasta de las 144, mismo peso</t>
  </si>
  <si>
    <t xml:space="preserve">Umbral para el top 3</t>
  </si>
  <si>
    <t xml:space="preserve">En una edición pasada los 3 primeros superaron +20%</t>
  </si>
  <si>
    <t xml:space="preserve">Escenario</t>
  </si>
  <si>
    <t xml:space="preserve">Probabilidad</t>
  </si>
  <si>
    <t xml:space="preserve">Rend. de la canasta</t>
  </si>
  <si>
    <t xml:space="preserve">Bajista</t>
  </si>
  <si>
    <t xml:space="preserve">Base</t>
  </si>
  <si>
    <t xml:space="preserve">Alcista</t>
  </si>
  <si>
    <t xml:space="preserve">¿Cuántas emisoras? Mejor portafolio para cada número (simulación de 60,000 trayectorias)*</t>
  </si>
  <si>
    <t xml:space="preserve">Objetivo</t>
  </si>
  <si>
    <t xml:space="preserve">Emisoras</t>
  </si>
  <si>
    <t xml:space="preserve">Prob. de superar +20% (top 3)</t>
  </si>
  <si>
    <t xml:space="preserve">Prob. de superar +30%</t>
  </si>
  <si>
    <t xml:space="preserve">Ganancia esperada ($)</t>
  </si>
  <si>
    <t xml:space="preserve">Prob. de terminar en positivo</t>
  </si>
  <si>
    <t xml:space="preserve">Prob. de perder más de $100k</t>
  </si>
  <si>
    <t xml:space="preserve">Peor 5% ($)</t>
  </si>
  <si>
    <t xml:space="preserve">Mejor 5% ($)</t>
  </si>
  <si>
    <t xml:space="preserve">Composición</t>
  </si>
  <si>
    <t xml:space="preserve">Ganar (máx. prob. top 3)</t>
  </si>
  <si>
    <t xml:space="preserve">PINFRA * 3%, BOLSA A 3%, GFNORTE O 3%, INTC * 41%, MU * 50%</t>
  </si>
  <si>
    <t xml:space="preserve">AVGO * 3%, PINFRA * 3%, BOLSA A 3%, GFNORTE O 3%, INTC * 38%, MU * 50%</t>
  </si>
  <si>
    <t xml:space="preserve">GOOGL * 3%, AVGO * 3%, PINFRA * 3%, BOLSA A 3%, GFNORTE O 3%, INTC * 35%, MU * 50%</t>
  </si>
  <si>
    <t xml:space="preserve">LAB B 3%, GOOGL * 3%, AVGO * 3%, PINFRA * 3%, BOLSA A 3%, GFNORTE O 3%, INTC * 32%, MU * 50%</t>
  </si>
  <si>
    <t xml:space="preserve">R A 3%, LAB B 3%, GOOGL * 3%, AVGO * 3%, PINFRA * 3%, BOLSA A 3%, GFNORTE O 3%, INTC * 29%, MU * 50%</t>
  </si>
  <si>
    <t xml:space="preserve">GCC * 3%, R A 3%, LAB B 3%, GOOGL * 3%, AVGO * 3%, PINFRA * 3%, BOLSA A 3%, GFNORTE O 3%, INTC * 26%, MU * 50%</t>
  </si>
  <si>
    <t xml:space="preserve">BBAJIO O 3%, GCC * 3%, R A 3%, LAB B 3%, GOOGL * 3%, AVGO * 3%, PINFRA * 3%, BOLSA A 3%, GFNORTE O 3%, INTC * 23%, MU * 50%</t>
  </si>
  <si>
    <t xml:space="preserve">ORBIA * 3%, BBAJIO O 3%, GCC * 3%, R A 3%, LAB B 3%, GOOGL * 3%, AVGO * 3%, PINFRA * 3%, BOLSA A 3%, GFNORTE O 3%, INTC * 20%, MU * 50%</t>
  </si>
  <si>
    <t xml:space="preserve">Balanceado (ganancia/riesgo)</t>
  </si>
  <si>
    <t xml:space="preserve">BABA N 9%, GCC * 17%, CEMEX CPO 23%, LAB B 24%, MU * 28%</t>
  </si>
  <si>
    <t xml:space="preserve">GENTERA * 6%, BABA N 8%, GCC * 15%, CEMEX CPO 21%, LAB B 22%, MU * 28%</t>
  </si>
  <si>
    <t xml:space="preserve">GOOGL * 3%, GENTERA * 5%, BABA N 7%, GCC * 15%, CEMEX CPO 21%, LAB B 21%, MU * 27%</t>
  </si>
  <si>
    <t xml:space="preserve">SIGMAF A 3%, GOOGL * 3%, GENTERA * 5%, BABA N 7%, GCC * 14%, CEMEX CPO 20%, LAB B 21%, MU * 27%</t>
  </si>
  <si>
    <t xml:space="preserve">GRUMA B 3%, SIGMAF A 3%, GOOGL * 3%, GENTERA * 5%, BABA N 7%, GCC * 14%, CEMEX CPO 19%, LAB B 20%, MU * 26%</t>
  </si>
  <si>
    <t xml:space="preserve">AC * 3%, GRUMA B 3%, SIGMAF A 3%, GOOGL * 3%, GENTERA * 4%, BABA N 6%, GCC * 13%, CEMEX CPO 18%, LAB B 19%, MU * 26%</t>
  </si>
  <si>
    <t xml:space="preserve">ORBIA * 3%, AC * 3%, GRUMA B 3%, SIGMAF A 3%, GOOGL * 3%, GENTERA * 4%, BABA N 6%, GCC * 12%, CEMEX CPO 18%, LAB B 19%, MU * 26%</t>
  </si>
  <si>
    <t xml:space="preserve">CHDRAUI B 3%, ORBIA * 3%, AC * 3%, GRUMA B 3%, SIGMAF A 3%, GOOGL * 3%, GENTERA * 3%, BABA N 6%, GCC * 11%, CEMEX CPO 17%, LAB B 18%, MU * 26%</t>
  </si>
  <si>
    <t xml:space="preserve">Referencia</t>
  </si>
  <si>
    <t xml:space="preserve">NVDA * 30%, GFNORTE O 20%, GMEXICO B 20%, MSFT * 15%, GOOGL * 15%</t>
  </si>
  <si>
    <t xml:space="preserve">Ganador</t>
  </si>
  <si>
    <t xml:space="preserve">Portafolio ganador (máxima probabilidad de top 3)</t>
  </si>
  <si>
    <t xml:space="preserve">Ganar (máx. prob. top 3) · 5 emisoras</t>
  </si>
  <si>
    <t xml:space="preserve">Ganancia esperada con pronóstico ($)</t>
  </si>
  <si>
    <t xml:space="preserve">Si el mercado baja ($)</t>
  </si>
  <si>
    <t xml:space="preserve">Escenario base ($)</t>
  </si>
  <si>
    <t xml:space="preserve">Si el mercado sube ($)</t>
  </si>
  <si>
    <t xml:space="preserve">Ganancia esperada sin pronóstico propio, IC = 0 ($)*</t>
  </si>
  <si>
    <t xml:space="preserve">Prob. de superar +20% sin pronóstico propio*</t>
  </si>
  <si>
    <t xml:space="preserve">Cómo se pronostica cada acción: beta × rendimiento esperado de la canasta + alfa − costo. Alfa = IC × mov. típico × puntaje; el puntaje promedia el potencial al precio objetivo de analistas (5 o más analistas) y el momento de 12 meses sin el último mes, estandarizados entre las 144.</t>
  </si>
  <si>
    <t xml:space="preserve">Por qué gana un portafolio concentrado: el premio es para los 3 primeros, así que importa la probabilidad de un resultado muy alto, no el promedio. Más emisoras bajan el riesgo, pero también la probabilidad de llegar a +20%. El ganador mete el máximo permitido (50%) en la acción con mejor pronóstico y casi todo lo demás en la segunda; las otras 3 cumplen el mínimo de 5 emisoras.</t>
  </si>
  <si>
    <t xml:space="preserve">Universo: operables, diferencia compra-venta de 1.5% o menos y con liquidez (mexicanas: al menos $20 millones operados al día; SIC: al menos $40,000 en el mejor nivel del monitor). Para el objetivo de ganar solo entran emisoras con pronóstico positivo.</t>
  </si>
  <si>
    <t xml:space="preserve">* Valores grises (cursiva): simulación en Python con la covarianza del último año y colas gruesas (t de Student, 4 g.l.). No se recalculan si cambias los supuestos; las fórmulas sí.</t>
  </si>
  <si>
    <t xml:space="preserve">Riesgo: el ganador pierde más de $100,000 en cerca de 1 de cada 5 simulaciones. Es dinero virtual; los premios por avance (quizzes y Tracks) no dependen de esto.</t>
  </si>
  <si>
    <t xml:space="preserve">Órdenes para el portafolio ganador</t>
  </si>
  <si>
    <t xml:space="preserve">Actualiza el precio (celda amarilla) con el precio de venta que veas en la plataforma justo antes de mandar la orden; los títulos se recalculan. Horario: 7:30 a 14:00 (desde el 3 de noviembre, 8:30 a 15:00). Las órdenes asignadas no se cancelan.</t>
  </si>
  <si>
    <t xml:space="preserve">Emisora</t>
  </si>
  <si>
    <t xml:space="preserve">Tipo</t>
  </si>
  <si>
    <t xml:space="preserve">Peso</t>
  </si>
  <si>
    <t xml:space="preserve">Precio de venta ($)</t>
  </si>
  <si>
    <t xml:space="preserve">Títulos a comprar</t>
  </si>
  <si>
    <t xml:space="preserve">Importe ($)</t>
  </si>
  <si>
    <t xml:space="preserve">Comisión + IVA ($)</t>
  </si>
  <si>
    <t xml:space="preserve">Total ($)</t>
  </si>
  <si>
    <t xml:space="preserve">Próximo reporte</t>
  </si>
  <si>
    <t xml:space="preserve">MU *</t>
  </si>
  <si>
    <t xml:space="preserve">INTC *</t>
  </si>
  <si>
    <t xml:space="preserve">PINFRA *</t>
  </si>
  <si>
    <t xml:space="preserve">GFNORTE O</t>
  </si>
  <si>
    <t xml:space="preserve">BOLSA A</t>
  </si>
  <si>
    <t xml:space="preserve">Total</t>
  </si>
  <si>
    <t xml:space="preserve">Efectivo que queda</t>
  </si>
  <si>
    <t xml:space="preserve">Cómo operar:</t>
  </si>
  <si>
    <t xml:space="preserve">1. Revisa que el poder de compra sea $1,000,000 y que las 5 emisoras estén operables.</t>
  </si>
  <si>
    <t xml:space="preserve">2. Primero las dos posiciones grandes, con orden limitada al precio de venta que ves, para no pagar de más.</t>
  </si>
  <si>
    <t xml:space="preserve">3. Luego las tres chicas: cumplen el mínimo de 5 emisoras.</t>
  </si>
  <si>
    <t xml:space="preserve">4. Debe quedar un poco de efectivo para comisiones. No hace falta mover nada después: cada compra y venta cuesta.</t>
  </si>
  <si>
    <t xml:space="preserve">5. Si una orden no se asigna, vuelve a revisar el precio de venta: el monitor cambia durante el día.</t>
  </si>
  <si>
    <t xml:space="preserve">Mi portafolio del Reto Actinver 2026</t>
  </si>
  <si>
    <t xml:space="preserve">Elige emisoras en las celdas amarillas (lista desplegable) y su porcentaje. Todo lo demás se calcula solo.</t>
  </si>
  <si>
    <t xml:space="preserve">Capital del reto ($)</t>
  </si>
  <si>
    <t xml:space="preserve">Sesiones que faltan (aprox.)</t>
  </si>
  <si>
    <t xml:space="preserve">Comisión por operación (0.10% + 16% IVA)</t>
  </si>
  <si>
    <t xml:space="preserve">Peso (%)</t>
  </si>
  <si>
    <t xml:space="preserve">Perfil por volatilidad</t>
  </si>
  <si>
    <t xml:space="preserve">Volatilidad anual</t>
  </si>
  <si>
    <t xml:space="preserve">Mov. típico ±1σ (25 ses.)</t>
  </si>
  <si>
    <t xml:space="preserve">Peor caída 1 año</t>
  </si>
  <si>
    <t xml:space="preserve">Diferencia compra-venta</t>
  </si>
  <si>
    <t xml:space="preserve">¿Operable hoy?</t>
  </si>
  <si>
    <t xml:space="preserve">Importe a comprar ($)</t>
  </si>
  <si>
    <t xml:space="preserve">Costo estimado ida y vuelta ($)</t>
  </si>
  <si>
    <t xml:space="preserve">Peor ventana 25 ses. (3a) en $</t>
  </si>
  <si>
    <t xml:space="preserve">Mejor ventana 25 ses. (3a) en $</t>
  </si>
  <si>
    <t xml:space="preserve">Beta</t>
  </si>
  <si>
    <t xml:space="preserve">Peso × beta</t>
  </si>
  <si>
    <t xml:space="preserve">Resumen y revisión de reglas</t>
  </si>
  <si>
    <t xml:space="preserve">Suma de pesos</t>
  </si>
  <si>
    <t xml:space="preserve">Emisoras distintas (mín. 5)</t>
  </si>
  <si>
    <t xml:space="preserve">Peso máximo en una emisora (máx. 50%)</t>
  </si>
  <si>
    <t xml:space="preserve">Emisoras repetidas en la lista</t>
  </si>
  <si>
    <t xml:space="preserve">Emisoras sin contraparte hoy</t>
  </si>
  <si>
    <t xml:space="preserve">Total a invertir ($)</t>
  </si>
  <si>
    <t xml:space="preserve">Comisión total de compra ($)</t>
  </si>
  <si>
    <t xml:space="preserve">Volatilidad anual del portafolio</t>
  </si>
  <si>
    <t xml:space="preserve">Usa la correlación entre emisoras (hoja Covarianza).</t>
  </si>
  <si>
    <t xml:space="preserve">Mov. típico del portafolio (±1σ) en el lapso</t>
  </si>
  <si>
    <t xml:space="preserve">~2 de cada 3 veces el resultado cae dentro de ± este porcentaje.</t>
  </si>
  <si>
    <t xml:space="preserve">Mov. típico en pesos (±1σ)</t>
  </si>
  <si>
    <t xml:space="preserve">Solo la parte invertida; descuenta costos.</t>
  </si>
  <si>
    <t xml:space="preserve">Beta del portafolio vs IPC (aprox.)</t>
  </si>
  <si>
    <t xml:space="preserve">1 = se mueve como el IPC; &gt;1 más; &lt;1 menos.</t>
  </si>
  <si>
    <t xml:space="preserve">Los rangos son históricos y orientativos; el precio real puede salirse de ellos. No es una recomendación de inversión.</t>
  </si>
  <si>
    <t xml:space="preserve">Portafolios: ganador, alternativa balanceada y tu idea</t>
  </si>
  <si>
    <t xml:space="preserve">Pesos en celdas amarillas (se pueden cambiar). Pronóstico, alfa y costo salen de la hoja Acciones.</t>
  </si>
  <si>
    <t xml:space="preserve">Pronóstico 25 ses.</t>
  </si>
  <si>
    <t xml:space="preserve">Beta vs canasta</t>
  </si>
  <si>
    <t xml:space="preserve">Alfa</t>
  </si>
  <si>
    <t xml:space="preserve">Costo ida y vuelta</t>
  </si>
  <si>
    <t xml:space="preserve">Ganador: Ganar (máx. prob. top 3) · 5 emisoras</t>
  </si>
  <si>
    <t xml:space="preserve">Alternativa: Balanceado (ganancia/riesgo) · 5 emisoras</t>
  </si>
  <si>
    <t xml:space="preserve">Tu idea (NVDA + Banorte)</t>
  </si>
  <si>
    <t xml:space="preserve">BABA N</t>
  </si>
  <si>
    <t xml:space="preserve">GCC *</t>
  </si>
  <si>
    <t xml:space="preserve">CEMEX CPO</t>
  </si>
  <si>
    <t xml:space="preserve">LAB B</t>
  </si>
  <si>
    <t xml:space="preserve">NVDA *</t>
  </si>
  <si>
    <t xml:space="preserve">GMEXICO B</t>
  </si>
  <si>
    <t xml:space="preserve">MSFT *</t>
  </si>
  <si>
    <t xml:space="preserve">GOOGL *</t>
  </si>
  <si>
    <t xml:space="preserve">Peso máximo (máx. 50%)</t>
  </si>
  <si>
    <t xml:space="preserve">Revisión de reglas</t>
  </si>
  <si>
    <t xml:space="preserve">Ganancia neta si el mercado baja ($)</t>
  </si>
  <si>
    <t xml:space="preserve">Ganancia neta, escenario base ($)</t>
  </si>
  <si>
    <t xml:space="preserve">Ganancia neta si el mercado sube ($)</t>
  </si>
  <si>
    <t xml:space="preserve">Las 145 acciones del Reto: mercado y datos históricos (precios actualizados: 8 de octubre de 2026, ~11:10 h CDMX)</t>
  </si>
  <si>
    <t xml:space="preserve">Último precio, rendimientos, volatilidad, beta y ventanas: Yahoo Finance al momento indicado (SIC = precio en dólares × tipo de cambio). Precio de compra/venta, diferencia y volumen: foto del monitor de la plataforma. No es una recomendación de inversión.</t>
  </si>
  <si>
    <t xml:space="preserve">Último precio ($)</t>
  </si>
  <si>
    <t xml:space="preserve">Var. del día</t>
  </si>
  <si>
    <t xml:space="preserve">Precio de compra ($)</t>
  </si>
  <si>
    <t xml:space="preserve">Volumen compra</t>
  </si>
  <si>
    <t xml:space="preserve">Volumen venta</t>
  </si>
  <si>
    <t xml:space="preserve">Rend. 1 mes</t>
  </si>
  <si>
    <t xml:space="preserve">Rend. 3 meses</t>
  </si>
  <si>
    <t xml:space="preserve">Rend. 6 meses</t>
  </si>
  <si>
    <t xml:space="preserve">Rend. 12 meses</t>
  </si>
  <si>
    <t xml:space="preserve">Volatilidad anual (1 año)</t>
  </si>
  <si>
    <t xml:space="preserve">Mov. típico ±1σ en 25 sesiones</t>
  </si>
  <si>
    <t xml:space="preserve">Peor caída (1 año)</t>
  </si>
  <si>
    <t xml:space="preserve">Beta vs IPC</t>
  </si>
  <si>
    <t xml:space="preserve">Mejor ventana 25 ses. (3 años)</t>
  </si>
  <si>
    <t xml:space="preserve">Peor ventana 25 ses. (3 años)</t>
  </si>
  <si>
    <t xml:space="preserve">Precio objetivo analistas ($)</t>
  </si>
  <si>
    <t xml:space="preserve">Potencial al objetivo</t>
  </si>
  <si>
    <t xml:space="preserve">Nº de analistas</t>
  </si>
  <si>
    <t xml:space="preserve">¿Reporta antes del 13-nov?</t>
  </si>
  <si>
    <t xml:space="preserve">Importe operado diario ($, mexicanas)</t>
  </si>
  <si>
    <t xml:space="preserve">Importe en mejor nivel del monitor ($)</t>
  </si>
  <si>
    <t xml:space="preserve">¿Líquida para el reto?</t>
  </si>
  <si>
    <t xml:space="preserve">Momento 12-1</t>
  </si>
  <si>
    <t xml:space="preserve">Puntaje (z)</t>
  </si>
  <si>
    <t xml:space="preserve">Alfa (25 ses.)</t>
  </si>
  <si>
    <t xml:space="preserve">Pronóstico 25 ses. (neto)</t>
  </si>
  <si>
    <t xml:space="preserve">BRKB *</t>
  </si>
  <si>
    <t xml:space="preserve">Exterior (SIC)</t>
  </si>
  <si>
    <t xml:space="preserve">Sí</t>
  </si>
  <si>
    <t xml:space="preserve">Menor movimiento</t>
  </si>
  <si>
    <t xml:space="preserve">2026-11-07</t>
  </si>
  <si>
    <t xml:space="preserve">SIGMAF A</t>
  </si>
  <si>
    <t xml:space="preserve">Mexicana</t>
  </si>
  <si>
    <t xml:space="preserve">2026-10-27</t>
  </si>
  <si>
    <t xml:space="preserve">LIVEPOL C-1</t>
  </si>
  <si>
    <t xml:space="preserve">2026-10-26</t>
  </si>
  <si>
    <t xml:space="preserve">GRUMA B</t>
  </si>
  <si>
    <t xml:space="preserve">2026-10-21</t>
  </si>
  <si>
    <t xml:space="preserve">KO *</t>
  </si>
  <si>
    <t xml:space="preserve">FIBRAMQ 12</t>
  </si>
  <si>
    <t xml:space="preserve">2026-10-22</t>
  </si>
  <si>
    <t xml:space="preserve">No</t>
  </si>
  <si>
    <t xml:space="preserve">VESTA *</t>
  </si>
  <si>
    <t xml:space="preserve">MCD *</t>
  </si>
  <si>
    <t xml:space="preserve">2026-11-04</t>
  </si>
  <si>
    <t xml:space="preserve">JNJ *</t>
  </si>
  <si>
    <t xml:space="preserve">2026-10-13</t>
  </si>
  <si>
    <t xml:space="preserve">PG *</t>
  </si>
  <si>
    <t xml:space="preserve">WALMEX *</t>
  </si>
  <si>
    <t xml:space="preserve">AGNC *</t>
  </si>
  <si>
    <t xml:space="preserve">2026-10-19</t>
  </si>
  <si>
    <t xml:space="preserve">PFE *</t>
  </si>
  <si>
    <t xml:space="preserve">2026-11-03</t>
  </si>
  <si>
    <t xml:space="preserve">AC *</t>
  </si>
  <si>
    <t xml:space="preserve">2026-10-30</t>
  </si>
  <si>
    <t xml:space="preserve">COST *</t>
  </si>
  <si>
    <t xml:space="preserve">2026-12-10</t>
  </si>
  <si>
    <t xml:space="preserve">ACTINVR B</t>
  </si>
  <si>
    <t xml:space="preserve">PEP *</t>
  </si>
  <si>
    <t xml:space="preserve">2026-10-08</t>
  </si>
  <si>
    <t xml:space="preserve">CHDRAUI B</t>
  </si>
  <si>
    <t xml:space="preserve">2026-10-20</t>
  </si>
  <si>
    <t xml:space="preserve">BAC *</t>
  </si>
  <si>
    <t xml:space="preserve">2026-10-14</t>
  </si>
  <si>
    <t xml:space="preserve">GFINBUR O</t>
  </si>
  <si>
    <t xml:space="preserve">2025-07-21</t>
  </si>
  <si>
    <t xml:space="preserve">FUNO 11</t>
  </si>
  <si>
    <t xml:space="preserve">2026-10-28</t>
  </si>
  <si>
    <t xml:space="preserve">FEMSA UBD</t>
  </si>
  <si>
    <t xml:space="preserve">2025-07-22</t>
  </si>
  <si>
    <t xml:space="preserve">JPM *</t>
  </si>
  <si>
    <t xml:space="preserve">V *</t>
  </si>
  <si>
    <t xml:space="preserve">KIMBER A</t>
  </si>
  <si>
    <t xml:space="preserve">KOF UBL</t>
  </si>
  <si>
    <t xml:space="preserve">2025-07-17</t>
  </si>
  <si>
    <t xml:space="preserve">MA *</t>
  </si>
  <si>
    <t xml:space="preserve">2026-10-29</t>
  </si>
  <si>
    <t xml:space="preserve">FIBRAPL 14</t>
  </si>
  <si>
    <t xml:space="preserve">AMX B</t>
  </si>
  <si>
    <t xml:space="preserve">ASUR B</t>
  </si>
  <si>
    <t xml:space="preserve">T *</t>
  </si>
  <si>
    <t xml:space="preserve">VZ *</t>
  </si>
  <si>
    <t xml:space="preserve">CVX *</t>
  </si>
  <si>
    <t xml:space="preserve">ALSEA *</t>
  </si>
  <si>
    <t xml:space="preserve">AAPL *</t>
  </si>
  <si>
    <t xml:space="preserve">2026-11-02</t>
  </si>
  <si>
    <t xml:space="preserve">HD *</t>
  </si>
  <si>
    <t xml:space="preserve">2026-11-17</t>
  </si>
  <si>
    <t xml:space="preserve">ABBV *</t>
  </si>
  <si>
    <t xml:space="preserve">DIS *</t>
  </si>
  <si>
    <t xml:space="preserve">2026-11-12</t>
  </si>
  <si>
    <t xml:space="preserve">XOM *</t>
  </si>
  <si>
    <t xml:space="preserve">WFC *</t>
  </si>
  <si>
    <t xml:space="preserve">BBAJIO O</t>
  </si>
  <si>
    <t xml:space="preserve">AXP *</t>
  </si>
  <si>
    <t xml:space="preserve">2026-10-23</t>
  </si>
  <si>
    <t xml:space="preserve">WMT *</t>
  </si>
  <si>
    <t xml:space="preserve">2026-11-19</t>
  </si>
  <si>
    <t xml:space="preserve">BIMBO A</t>
  </si>
  <si>
    <t xml:space="preserve">Movimiento medio</t>
  </si>
  <si>
    <t xml:space="preserve">BMY *</t>
  </si>
  <si>
    <t xml:space="preserve">SBUX *</t>
  </si>
  <si>
    <t xml:space="preserve">OMA B</t>
  </si>
  <si>
    <t xml:space="preserve">FDX *</t>
  </si>
  <si>
    <t xml:space="preserve">C *</t>
  </si>
  <si>
    <t xml:space="preserve">Q *</t>
  </si>
  <si>
    <t xml:space="preserve">R A</t>
  </si>
  <si>
    <t xml:space="preserve">MRK *</t>
  </si>
  <si>
    <t xml:space="preserve">MEGA CPO</t>
  </si>
  <si>
    <t xml:space="preserve">TMO *</t>
  </si>
  <si>
    <t xml:space="preserve">CUERVO *</t>
  </si>
  <si>
    <t xml:space="preserve">SITES1 A-1</t>
  </si>
  <si>
    <t xml:space="preserve">2025-05-12</t>
  </si>
  <si>
    <t xml:space="preserve">GAP B</t>
  </si>
  <si>
    <t xml:space="preserve">TX *</t>
  </si>
  <si>
    <t xml:space="preserve">TGT *</t>
  </si>
  <si>
    <t xml:space="preserve">2026-11-18</t>
  </si>
  <si>
    <t xml:space="preserve">CVS *</t>
  </si>
  <si>
    <t xml:space="preserve">WYNN *</t>
  </si>
  <si>
    <t xml:space="preserve">2026-11-05</t>
  </si>
  <si>
    <t xml:space="preserve">FANG *</t>
  </si>
  <si>
    <t xml:space="preserve">Sin contraparte</t>
  </si>
  <si>
    <t xml:space="preserve">GE *</t>
  </si>
  <si>
    <t xml:space="preserve">GENTERA *</t>
  </si>
  <si>
    <t xml:space="preserve">AMZN *</t>
  </si>
  <si>
    <t xml:space="preserve">LVS *</t>
  </si>
  <si>
    <t xml:space="preserve">LLY *</t>
  </si>
  <si>
    <t xml:space="preserve">GM *</t>
  </si>
  <si>
    <t xml:space="preserve">BA *</t>
  </si>
  <si>
    <t xml:space="preserve">GCARSO A1</t>
  </si>
  <si>
    <t xml:space="preserve">ALPEK A</t>
  </si>
  <si>
    <t xml:space="preserve">UNH *</t>
  </si>
  <si>
    <t xml:space="preserve">UBER *</t>
  </si>
  <si>
    <t xml:space="preserve">CSCO *</t>
  </si>
  <si>
    <t xml:space="preserve">DVN *</t>
  </si>
  <si>
    <t xml:space="preserve">ABNB *</t>
  </si>
  <si>
    <t xml:space="preserve">OXY1 *</t>
  </si>
  <si>
    <t xml:space="preserve">2026-11-09</t>
  </si>
  <si>
    <t xml:space="preserve">NFLX *</t>
  </si>
  <si>
    <t xml:space="preserve">NKE *</t>
  </si>
  <si>
    <t xml:space="preserve">2026-12-17</t>
  </si>
  <si>
    <t xml:space="preserve">F *</t>
  </si>
  <si>
    <t xml:space="preserve">ORBIA *</t>
  </si>
  <si>
    <t xml:space="preserve">TLEVISA CPO</t>
  </si>
  <si>
    <t xml:space="preserve">GME *</t>
  </si>
  <si>
    <t xml:space="preserve">2026-12-08</t>
  </si>
  <si>
    <t xml:space="preserve">DAL *</t>
  </si>
  <si>
    <t xml:space="preserve">2026-10-09</t>
  </si>
  <si>
    <t xml:space="preserve">TSM N</t>
  </si>
  <si>
    <t xml:space="preserve">2026-10-15</t>
  </si>
  <si>
    <t xml:space="preserve">CAT *</t>
  </si>
  <si>
    <t xml:space="preserve">Mayor movimiento</t>
  </si>
  <si>
    <t xml:space="preserve">ROKU *</t>
  </si>
  <si>
    <t xml:space="preserve">2026-11-24</t>
  </si>
  <si>
    <t xml:space="preserve">META *</t>
  </si>
  <si>
    <t xml:space="preserve">MELI N</t>
  </si>
  <si>
    <t xml:space="preserve">NU N</t>
  </si>
  <si>
    <t xml:space="preserve">LUV *</t>
  </si>
  <si>
    <t xml:space="preserve">ZM *</t>
  </si>
  <si>
    <t xml:space="preserve">PYPL *</t>
  </si>
  <si>
    <t xml:space="preserve">TSLA *</t>
  </si>
  <si>
    <t xml:space="preserve">VOLAR A</t>
  </si>
  <si>
    <t xml:space="preserve">XYZ *</t>
  </si>
  <si>
    <t xml:space="preserve">FCX *</t>
  </si>
  <si>
    <t xml:space="preserve">CRM *</t>
  </si>
  <si>
    <t xml:space="preserve">2026-12-02</t>
  </si>
  <si>
    <t xml:space="preserve">B N</t>
  </si>
  <si>
    <t xml:space="preserve">AVGO *</t>
  </si>
  <si>
    <t xml:space="preserve">2026-12-09</t>
  </si>
  <si>
    <t xml:space="preserve">AAL *</t>
  </si>
  <si>
    <t xml:space="preserve">RCL *</t>
  </si>
  <si>
    <t xml:space="preserve">UAL *</t>
  </si>
  <si>
    <t xml:space="preserve">PE&amp;OLES *</t>
  </si>
  <si>
    <t xml:space="preserve">CCL1 N</t>
  </si>
  <si>
    <t xml:space="preserve">2026-12-18</t>
  </si>
  <si>
    <t xml:space="preserve">ETSY *</t>
  </si>
  <si>
    <t xml:space="preserve">QCOM *</t>
  </si>
  <si>
    <t xml:space="preserve">NCLH N</t>
  </si>
  <si>
    <t xml:space="preserve">FSLR *</t>
  </si>
  <si>
    <t xml:space="preserve">AA1 *</t>
  </si>
  <si>
    <t xml:space="preserve">PINS *</t>
  </si>
  <si>
    <t xml:space="preserve">ORCL *</t>
  </si>
  <si>
    <t xml:space="preserve">SOFI *</t>
  </si>
  <si>
    <t xml:space="preserve">PLTR *</t>
  </si>
  <si>
    <t xml:space="preserve">SHOP N</t>
  </si>
  <si>
    <t xml:space="preserve">AMAT *</t>
  </si>
  <si>
    <t xml:space="preserve">AFRM *</t>
  </si>
  <si>
    <t xml:space="preserve">TWLO *</t>
  </si>
  <si>
    <t xml:space="preserve">NVAX *</t>
  </si>
  <si>
    <t xml:space="preserve">UPST *</t>
  </si>
  <si>
    <t xml:space="preserve">MFRISCO A-1</t>
  </si>
  <si>
    <t xml:space="preserve">RIVN *</t>
  </si>
  <si>
    <t xml:space="preserve">AMD *</t>
  </si>
  <si>
    <t xml:space="preserve">CLF *</t>
  </si>
  <si>
    <t xml:space="preserve">FUBO *</t>
  </si>
  <si>
    <t xml:space="preserve">2026-12-23</t>
  </si>
  <si>
    <t xml:space="preserve">LCID *</t>
  </si>
  <si>
    <t xml:space="preserve">MARA *</t>
  </si>
  <si>
    <t xml:space="preserve">RIOT *</t>
  </si>
  <si>
    <t xml:space="preserve">SPCE *</t>
  </si>
  <si>
    <t xml:space="preserve">2026-11-16</t>
  </si>
  <si>
    <t xml:space="preserve">MRNA *</t>
  </si>
  <si>
    <t xml:space="preserve">BYND *</t>
  </si>
  <si>
    <t xml:space="preserve">LASITE B-1</t>
  </si>
  <si>
    <t xml:space="preserve">Sin historial</t>
  </si>
  <si>
    <t xml:space="preserve">Correlaciones de rendimientos diarios (último año, en pesos)</t>
  </si>
  <si>
    <t xml:space="preserve">Cerca de 1 = se mueven casi igual (no se diversifican entre sí). Cerca de 0 = independientes.</t>
  </si>
  <si>
    <t xml:space="preserve">Hoja de apoyo (no tocar): varianza del portafolio = w' · Σ · w</t>
  </si>
  <si>
    <t xml:space="preserve">Varianza anual del portafolio</t>
  </si>
  <si>
    <t xml:space="preserve">Σw</t>
  </si>
  <si>
    <t xml:space="preserve">w</t>
  </si>
  <si>
    <t xml:space="preserve">w (peso)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</si>
</sst>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"/>
    <numFmt numFmtId="166" formatCode="0.0%"/>
    <numFmt numFmtId="167" formatCode="0"/>
    <numFmt numFmtId="168" formatCode="0.0%;[RED]\-0.0%;\-"/>
    <numFmt numFmtId="169" formatCode="0%"/>
    <numFmt numFmtId="170" formatCode="#,##0;[RED]\-#,##0;\-"/>
    <numFmt numFmtId="171" formatCode="#,##0.00"/>
    <numFmt numFmtId="172" formatCode="#,##0"/>
    <numFmt numFmtId="173" formatCode="0.000%"/>
    <numFmt numFmtId="174" formatCode="0.00%"/>
    <numFmt numFmtId="175" formatCode="0.000"/>
    <numFmt numFmtId="176" formatCode="0.0000"/>
    <numFmt numFmtId="177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1F4E78"/>
      <name val="Calibri"/>
      <family val="0"/>
      <charset val="1"/>
    </font>
    <font>
      <b val="true"/>
      <sz val="12"/>
      <color rgb="FF1F4E78"/>
      <name val="Calibri"/>
      <family val="0"/>
      <charset val="1"/>
    </font>
    <font>
      <sz val="9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9"/>
      <name val="Calibri"/>
      <family val="0"/>
      <charset val="1"/>
    </font>
    <font>
      <b val="true"/>
      <sz val="8"/>
      <name val="Calibri"/>
      <family val="0"/>
      <charset val="1"/>
    </font>
    <font>
      <sz val="7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46">
    <dxf>
      <font>
        <b val="1"/>
        <color rgb="FFC00000"/>
      </font>
      <fill>
        <patternFill>
          <bgColor rgb="FFF8A5A5"/>
        </patternFill>
      </fill>
    </dxf>
    <dxf>
      <fill>
        <patternFill>
          <bgColor rgb="FFF8A5A5"/>
        </patternFill>
      </fill>
    </dxf>
    <dxf>
      <fill>
        <patternFill>
          <bgColor rgb="FFFFE699"/>
        </patternFill>
      </fill>
    </dxf>
    <dxf>
      <font>
        <b val="1"/>
        <color rgb="FF008000"/>
      </font>
    </dxf>
    <dxf>
      <font>
        <b val="1"/>
        <color rgb="FFC00000"/>
      </font>
    </dxf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6FC385"/>
          <bgColor rgb="FF000000"/>
        </patternFill>
      </fill>
    </dxf>
    <dxf>
      <fill>
        <patternFill patternType="solid">
          <fgColor rgb="FF83CC96"/>
          <bgColor rgb="FF000000"/>
        </patternFill>
      </fill>
    </dxf>
    <dxf>
      <fill>
        <patternFill patternType="solid">
          <fgColor rgb="FF8ED09F"/>
          <bgColor rgb="FF000000"/>
        </patternFill>
      </fill>
    </dxf>
    <dxf>
      <fill>
        <patternFill patternType="solid">
          <fgColor rgb="FF90D1A1"/>
          <bgColor rgb="FF000000"/>
        </patternFill>
      </fill>
    </dxf>
    <dxf>
      <fill>
        <patternFill patternType="solid">
          <fgColor rgb="FF94D3A5"/>
          <bgColor rgb="FF000000"/>
        </patternFill>
      </fill>
    </dxf>
    <dxf>
      <fill>
        <patternFill patternType="solid">
          <fgColor rgb="FF99D5A9"/>
          <bgColor rgb="FF000000"/>
        </patternFill>
      </fill>
    </dxf>
    <dxf>
      <fill>
        <patternFill patternType="solid">
          <fgColor rgb="FF9DD6AC"/>
          <bgColor rgb="FF000000"/>
        </patternFill>
      </fill>
    </dxf>
    <dxf>
      <fill>
        <patternFill patternType="solid">
          <fgColor rgb="FF9FD7AD"/>
          <bgColor rgb="FF000000"/>
        </patternFill>
      </fill>
    </dxf>
    <dxf>
      <fill>
        <patternFill patternType="solid">
          <fgColor rgb="FFA1D8AF"/>
          <bgColor rgb="FF000000"/>
        </patternFill>
      </fill>
    </dxf>
    <dxf>
      <fill>
        <patternFill patternType="solid">
          <fgColor rgb="FFA3D9B1"/>
          <bgColor rgb="FF000000"/>
        </patternFill>
      </fill>
    </dxf>
    <dxf>
      <fill>
        <patternFill patternType="solid">
          <fgColor rgb="FFACDDB9"/>
          <bgColor rgb="FF000000"/>
        </patternFill>
      </fill>
    </dxf>
    <dxf>
      <fill>
        <patternFill patternType="solid">
          <fgColor rgb="FFAEDDBA"/>
          <bgColor rgb="FF000000"/>
        </patternFill>
      </fill>
    </dxf>
    <dxf>
      <fill>
        <patternFill patternType="solid">
          <fgColor rgb="FFAFDEBB"/>
          <bgColor rgb="FF000000"/>
        </patternFill>
      </fill>
    </dxf>
    <dxf>
      <fill>
        <patternFill patternType="solid">
          <fgColor rgb="FFB1DFBD"/>
          <bgColor rgb="FF000000"/>
        </patternFill>
      </fill>
    </dxf>
    <dxf>
      <fill>
        <patternFill patternType="solid">
          <fgColor rgb="FFB3E0BF"/>
          <bgColor rgb="FF000000"/>
        </patternFill>
      </fill>
    </dxf>
    <dxf>
      <fill>
        <patternFill patternType="solid">
          <fgColor rgb="FFB7E1C3"/>
          <bgColor rgb="FF000000"/>
        </patternFill>
      </fill>
    </dxf>
    <dxf>
      <fill>
        <patternFill patternType="solid">
          <fgColor rgb="FFB8E2C3"/>
          <bgColor rgb="FF000000"/>
        </patternFill>
      </fill>
    </dxf>
    <dxf>
      <fill>
        <patternFill patternType="solid">
          <fgColor rgb="FFB9E2C4"/>
          <bgColor rgb="FF000000"/>
        </patternFill>
      </fill>
    </dxf>
    <dxf>
      <fill>
        <patternFill patternType="solid">
          <fgColor rgb="FFBAE3C5"/>
          <bgColor rgb="FF000000"/>
        </patternFill>
      </fill>
    </dxf>
    <dxf>
      <fill>
        <patternFill patternType="solid">
          <fgColor rgb="FFBCE3C6"/>
          <bgColor rgb="FF000000"/>
        </patternFill>
      </fill>
    </dxf>
    <dxf>
      <fill>
        <patternFill patternType="solid">
          <fgColor rgb="FFBDE4C7"/>
          <bgColor rgb="FF000000"/>
        </patternFill>
      </fill>
    </dxf>
    <dxf>
      <fill>
        <patternFill patternType="solid">
          <fgColor rgb="FFC0E5CA"/>
          <bgColor rgb="FF000000"/>
        </patternFill>
      </fill>
    </dxf>
    <dxf>
      <fill>
        <patternFill patternType="solid">
          <fgColor rgb="FFC5E7CE"/>
          <bgColor rgb="FF000000"/>
        </patternFill>
      </fill>
    </dxf>
    <dxf>
      <fill>
        <patternFill patternType="solid">
          <fgColor rgb="FFC8E8D0"/>
          <bgColor rgb="FF000000"/>
        </patternFill>
      </fill>
    </dxf>
    <dxf>
      <fill>
        <patternFill patternType="solid">
          <fgColor rgb="FFC9E9D1"/>
          <bgColor rgb="FF000000"/>
        </patternFill>
      </fill>
    </dxf>
    <dxf>
      <fill>
        <patternFill patternType="solid">
          <fgColor rgb="FFC9E9D2"/>
          <bgColor rgb="FF000000"/>
        </patternFill>
      </fill>
    </dxf>
    <dxf>
      <fill>
        <patternFill patternType="solid">
          <fgColor rgb="FFCEEBD6"/>
          <bgColor rgb="FF000000"/>
        </patternFill>
      </fill>
    </dxf>
    <dxf>
      <fill>
        <patternFill patternType="solid">
          <fgColor rgb="FFCFEBD6"/>
          <bgColor rgb="FF000000"/>
        </patternFill>
      </fill>
    </dxf>
    <dxf>
      <fill>
        <patternFill patternType="solid">
          <fgColor rgb="FFD2EDD9"/>
          <bgColor rgb="FF000000"/>
        </patternFill>
      </fill>
    </dxf>
    <dxf>
      <fill>
        <patternFill patternType="solid">
          <fgColor rgb="FFD3EDDA"/>
          <bgColor rgb="FF000000"/>
        </patternFill>
      </fill>
    </dxf>
    <dxf>
      <fill>
        <patternFill patternType="solid">
          <fgColor rgb="FFD7EFDE"/>
          <bgColor rgb="FF000000"/>
        </patternFill>
      </fill>
    </dxf>
    <dxf>
      <fill>
        <patternFill patternType="solid">
          <fgColor rgb="FFD8EFDE"/>
          <bgColor rgb="FF000000"/>
        </patternFill>
      </fill>
    </dxf>
    <dxf>
      <fill>
        <patternFill patternType="solid">
          <fgColor rgb="FFDCF1E2"/>
          <bgColor rgb="FF000000"/>
        </patternFill>
      </fill>
    </dxf>
    <dxf>
      <fill>
        <patternFill patternType="solid">
          <fgColor rgb="FFDDF1E2"/>
          <bgColor rgb="FF000000"/>
        </patternFill>
      </fill>
    </dxf>
    <dxf>
      <fill>
        <patternFill patternType="solid">
          <fgColor rgb="FFDEF2E3"/>
          <bgColor rgb="FF000000"/>
        </patternFill>
      </fill>
    </dxf>
    <dxf>
      <fill>
        <patternFill patternType="solid">
          <fgColor rgb="FFDEF2E4"/>
          <bgColor rgb="FF000000"/>
        </patternFill>
      </fill>
    </dxf>
    <dxf>
      <fill>
        <patternFill patternType="solid">
          <fgColor rgb="FFE2F3E6"/>
          <bgColor rgb="FF000000"/>
        </patternFill>
      </fill>
    </dxf>
    <dxf>
      <fill>
        <patternFill patternType="solid">
          <fgColor rgb="FFE3F4E7"/>
          <bgColor rgb="FF000000"/>
        </patternFill>
      </fill>
    </dxf>
    <dxf>
      <fill>
        <patternFill patternType="solid">
          <fgColor rgb="FFE5F4E9"/>
          <bgColor rgb="FF000000"/>
        </patternFill>
      </fill>
    </dxf>
    <dxf>
      <fill>
        <patternFill patternType="solid">
          <fgColor rgb="FFE6F5EA"/>
          <bgColor rgb="FF000000"/>
        </patternFill>
      </fill>
    </dxf>
    <dxf>
      <fill>
        <patternFill patternType="solid">
          <fgColor rgb="FFE8F6EC"/>
          <bgColor rgb="FF000000"/>
        </patternFill>
      </fill>
    </dxf>
    <dxf>
      <fill>
        <patternFill patternType="solid">
          <fgColor rgb="FFE9F6ED"/>
          <bgColor rgb="FF000000"/>
        </patternFill>
      </fill>
    </dxf>
    <dxf>
      <fill>
        <patternFill patternType="solid">
          <fgColor rgb="FFEBF7EE"/>
          <bgColor rgb="FF000000"/>
        </patternFill>
      </fill>
    </dxf>
    <dxf>
      <fill>
        <patternFill patternType="solid">
          <fgColor rgb="FFEDF8F0"/>
          <bgColor rgb="FF000000"/>
        </patternFill>
      </fill>
    </dxf>
    <dxf>
      <fill>
        <patternFill patternType="solid">
          <fgColor rgb="FFEFF9F1"/>
          <bgColor rgb="FF000000"/>
        </patternFill>
      </fill>
    </dxf>
    <dxf>
      <fill>
        <patternFill patternType="solid">
          <fgColor rgb="FFEFF9F2"/>
          <bgColor rgb="FF000000"/>
        </patternFill>
      </fill>
    </dxf>
    <dxf>
      <fill>
        <patternFill patternType="solid">
          <fgColor rgb="FFF0F9F2"/>
          <bgColor rgb="FF000000"/>
        </patternFill>
      </fill>
    </dxf>
    <dxf>
      <fill>
        <patternFill patternType="solid">
          <fgColor rgb="FFF1FAF4"/>
          <bgColor rgb="FF000000"/>
        </patternFill>
      </fill>
    </dxf>
    <dxf>
      <fill>
        <patternFill patternType="solid">
          <fgColor rgb="FFF2FAF4"/>
          <bgColor rgb="FF000000"/>
        </patternFill>
      </fill>
    </dxf>
    <dxf>
      <fill>
        <patternFill patternType="solid">
          <fgColor rgb="FFF3FAF5"/>
          <bgColor rgb="FF000000"/>
        </patternFill>
      </fill>
    </dxf>
    <dxf>
      <fill>
        <patternFill patternType="solid">
          <fgColor rgb="FFF4FBF6"/>
          <bgColor rgb="FF000000"/>
        </patternFill>
      </fill>
    </dxf>
    <dxf>
      <fill>
        <patternFill patternType="solid">
          <fgColor rgb="FFF5FBF7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8FCF9"/>
          <bgColor rgb="FF000000"/>
        </patternFill>
      </fill>
    </dxf>
    <dxf>
      <fill>
        <patternFill patternType="solid">
          <fgColor rgb="FFF9FDFA"/>
          <bgColor rgb="FF000000"/>
        </patternFill>
      </fill>
    </dxf>
    <dxf>
      <fill>
        <patternFill patternType="solid">
          <fgColor rgb="FFFAFDFB"/>
          <bgColor rgb="FF000000"/>
        </patternFill>
      </fill>
    </dxf>
    <dxf>
      <fill>
        <patternFill patternType="solid">
          <fgColor rgb="FFFBB4B5"/>
          <bgColor rgb="FF000000"/>
        </patternFill>
      </fill>
    </dxf>
    <dxf>
      <fill>
        <patternFill patternType="solid">
          <fgColor rgb="FFFBBCBD"/>
          <bgColor rgb="FF000000"/>
        </patternFill>
      </fill>
    </dxf>
    <dxf>
      <fill>
        <patternFill patternType="solid">
          <fgColor rgb="FFFBFEFC"/>
          <bgColor rgb="FF000000"/>
        </patternFill>
      </fill>
    </dxf>
    <dxf>
      <fill>
        <patternFill patternType="solid">
          <fgColor rgb="FFFCC5C5"/>
          <bgColor rgb="FF000000"/>
        </patternFill>
      </fill>
    </dxf>
    <dxf>
      <fill>
        <patternFill patternType="solid">
          <fgColor rgb="FFFCCDCE"/>
          <bgColor rgb="FF000000"/>
        </patternFill>
      </fill>
    </dxf>
    <dxf>
      <fill>
        <patternFill patternType="solid">
          <fgColor rgb="FFFCD3D4"/>
          <bgColor rgb="FF000000"/>
        </patternFill>
      </fill>
    </dxf>
    <dxf>
      <fill>
        <patternFill patternType="solid">
          <fgColor rgb="FFFCFEFD"/>
          <bgColor rgb="FF000000"/>
        </patternFill>
      </fill>
    </dxf>
    <dxf>
      <fill>
        <patternFill patternType="solid">
          <fgColor rgb="FFFDD5D6"/>
          <bgColor rgb="FF000000"/>
        </patternFill>
      </fill>
    </dxf>
    <dxf>
      <fill>
        <patternFill patternType="solid">
          <fgColor rgb="FFFDD8D9"/>
          <bgColor rgb="FF000000"/>
        </patternFill>
      </fill>
    </dxf>
    <dxf>
      <fill>
        <patternFill patternType="solid">
          <fgColor rgb="FFFDD9D9"/>
          <bgColor rgb="FF000000"/>
        </patternFill>
      </fill>
    </dxf>
    <dxf>
      <fill>
        <patternFill patternType="solid">
          <fgColor rgb="FFFDDADB"/>
          <bgColor rgb="FF000000"/>
        </patternFill>
      </fill>
    </dxf>
    <dxf>
      <fill>
        <patternFill patternType="solid">
          <fgColor rgb="FFFDDCDC"/>
          <bgColor rgb="FF000000"/>
        </patternFill>
      </fill>
    </dxf>
    <dxf>
      <fill>
        <patternFill patternType="solid">
          <fgColor rgb="FFFDDEDF"/>
          <bgColor rgb="FF000000"/>
        </patternFill>
      </fill>
    </dxf>
    <dxf>
      <fill>
        <patternFill patternType="solid">
          <fgColor rgb="FFFDE0E0"/>
          <bgColor rgb="FF000000"/>
        </patternFill>
      </fill>
    </dxf>
    <dxf>
      <fill>
        <patternFill patternType="solid">
          <fgColor rgb="FFFDE0E1"/>
          <bgColor rgb="FF000000"/>
        </patternFill>
      </fill>
    </dxf>
    <dxf>
      <fill>
        <patternFill patternType="solid">
          <fgColor rgb="FFFDE1E1"/>
          <bgColor rgb="FF000000"/>
        </patternFill>
      </fill>
    </dxf>
    <dxf>
      <fill>
        <patternFill patternType="solid">
          <fgColor rgb="FFFDE3E3"/>
          <bgColor rgb="FF000000"/>
        </patternFill>
      </fill>
    </dxf>
    <dxf>
      <fill>
        <patternFill patternType="solid">
          <fgColor rgb="FFFDE7E7"/>
          <bgColor rgb="FF000000"/>
        </patternFill>
      </fill>
    </dxf>
    <dxf>
      <fill>
        <patternFill patternType="solid">
          <fgColor rgb="FFFDE8E8"/>
          <bgColor rgb="FF000000"/>
        </patternFill>
      </fill>
    </dxf>
    <dxf>
      <fill>
        <patternFill patternType="solid">
          <fgColor rgb="FFFEEAEA"/>
          <bgColor rgb="FF000000"/>
        </patternFill>
      </fill>
    </dxf>
    <dxf>
      <fill>
        <patternFill patternType="solid">
          <fgColor rgb="FFFEECEC"/>
          <bgColor rgb="FF000000"/>
        </patternFill>
      </fill>
    </dxf>
    <dxf>
      <fill>
        <patternFill patternType="solid">
          <fgColor rgb="FFFEECED"/>
          <bgColor rgb="FF000000"/>
        </patternFill>
      </fill>
    </dxf>
    <dxf>
      <fill>
        <patternFill patternType="solid">
          <fgColor rgb="FFFEEEEE"/>
          <bgColor rgb="FF000000"/>
        </patternFill>
      </fill>
    </dxf>
    <dxf>
      <fill>
        <patternFill patternType="solid">
          <fgColor rgb="FFFEEFEF"/>
          <bgColor rgb="FF000000"/>
        </patternFill>
      </fill>
    </dxf>
    <dxf>
      <fill>
        <patternFill patternType="solid">
          <fgColor rgb="FFFEF0F1"/>
          <bgColor rgb="FF000000"/>
        </patternFill>
      </fill>
    </dxf>
    <dxf>
      <fill>
        <patternFill patternType="solid">
          <fgColor rgb="FFFEF1F1"/>
          <bgColor rgb="FF000000"/>
        </patternFill>
      </fill>
    </dxf>
    <dxf>
      <fill>
        <patternFill patternType="solid">
          <fgColor rgb="FFFEF3F3"/>
          <bgColor rgb="FF000000"/>
        </patternFill>
      </fill>
    </dxf>
    <dxf>
      <fill>
        <patternFill patternType="solid">
          <fgColor rgb="FFFEF4F4"/>
          <bgColor rgb="FF000000"/>
        </patternFill>
      </fill>
    </dxf>
    <dxf>
      <fill>
        <patternFill patternType="solid">
          <fgColor rgb="FFFEF4F5"/>
          <bgColor rgb="FF000000"/>
        </patternFill>
      </fill>
    </dxf>
    <dxf>
      <fill>
        <patternFill patternType="solid">
          <fgColor rgb="FFFEF5F5"/>
          <bgColor rgb="FF000000"/>
        </patternFill>
      </fill>
    </dxf>
    <dxf>
      <fill>
        <patternFill patternType="solid">
          <fgColor rgb="FFFEF6F6"/>
          <bgColor rgb="FF000000"/>
        </patternFill>
      </fill>
    </dxf>
    <dxf>
      <fill>
        <patternFill patternType="solid">
          <fgColor rgb="FFFEF7F7"/>
          <bgColor rgb="FF000000"/>
        </patternFill>
      </fill>
    </dxf>
    <dxf>
      <fill>
        <patternFill patternType="solid">
          <fgColor rgb="FFFEF8F8"/>
          <bgColor rgb="FF000000"/>
        </patternFill>
      </fill>
    </dxf>
    <dxf>
      <fill>
        <patternFill patternType="solid">
          <fgColor rgb="FFFEF8F9"/>
          <bgColor rgb="FF000000"/>
        </patternFill>
      </fill>
    </dxf>
    <dxf>
      <fill>
        <patternFill patternType="solid">
          <fgColor rgb="FFFEF9F9"/>
          <bgColor rgb="FF000000"/>
        </patternFill>
      </fill>
    </dxf>
    <dxf>
      <fill>
        <patternFill patternType="solid">
          <fgColor rgb="FFFEFAFA"/>
          <bgColor rgb="FF000000"/>
        </patternFill>
      </fill>
    </dxf>
    <dxf>
      <fill>
        <patternFill patternType="solid">
          <fgColor rgb="FFFEFBFB"/>
          <bgColor rgb="FF000000"/>
        </patternFill>
      </fill>
    </dxf>
    <dxf>
      <fill>
        <patternFill patternType="solid">
          <fgColor rgb="FFFEFDFD"/>
          <bgColor rgb="FF000000"/>
        </patternFill>
      </fill>
    </dxf>
    <dxf>
      <fill>
        <patternFill patternType="solid">
          <fgColor rgb="FFFEFEFE"/>
          <bgColor rgb="FF000000"/>
        </patternFill>
      </fill>
    </dxf>
    <dxf>
      <fill>
        <patternFill patternType="solid">
          <fgColor rgb="FFFEFFFE"/>
          <bgColor rgb="FF000000"/>
        </patternFill>
      </fill>
    </dxf>
    <dxf>
      <fill>
        <patternFill patternType="solid">
          <fgColor rgb="FFF8A5A5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8CCF9E"/>
          <bgColor rgb="FF000000"/>
        </patternFill>
      </fill>
    </dxf>
    <dxf>
      <fill>
        <patternFill patternType="solid">
          <fgColor rgb="FF93D2A4"/>
          <bgColor rgb="FF000000"/>
        </patternFill>
      </fill>
    </dxf>
    <dxf>
      <fill>
        <patternFill patternType="solid">
          <fgColor rgb="FFA8DBB5"/>
          <bgColor rgb="FF000000"/>
        </patternFill>
      </fill>
    </dxf>
    <dxf>
      <fill>
        <patternFill patternType="solid">
          <fgColor rgb="FFCAE9D2"/>
          <bgColor rgb="FF000000"/>
        </patternFill>
      </fill>
    </dxf>
    <dxf>
      <fill>
        <patternFill patternType="solid">
          <fgColor rgb="FFCBE9D3"/>
          <bgColor rgb="FF000000"/>
        </patternFill>
      </fill>
    </dxf>
    <dxf>
      <fill>
        <patternFill patternType="solid">
          <fgColor rgb="FFCCEAD4"/>
          <bgColor rgb="FF000000"/>
        </patternFill>
      </fill>
    </dxf>
    <dxf>
      <fill>
        <patternFill patternType="solid">
          <fgColor rgb="FFCEEBD5"/>
          <bgColor rgb="FF000000"/>
        </patternFill>
      </fill>
    </dxf>
    <dxf>
      <fill>
        <patternFill patternType="solid">
          <fgColor rgb="FFD0ECD8"/>
          <bgColor rgb="FF000000"/>
        </patternFill>
      </fill>
    </dxf>
    <dxf>
      <fill>
        <patternFill patternType="solid">
          <fgColor rgb="FFD4EDDB"/>
          <bgColor rgb="FF000000"/>
        </patternFill>
      </fill>
    </dxf>
    <dxf>
      <fill>
        <patternFill patternType="solid">
          <fgColor rgb="FFD4EEDB"/>
          <bgColor rgb="FF000000"/>
        </patternFill>
      </fill>
    </dxf>
    <dxf>
      <fill>
        <patternFill patternType="solid">
          <fgColor rgb="FFD6EEDD"/>
          <bgColor rgb="FF000000"/>
        </patternFill>
      </fill>
    </dxf>
    <dxf>
      <fill>
        <patternFill patternType="solid">
          <fgColor rgb="FFD7EFDD"/>
          <bgColor rgb="FF000000"/>
        </patternFill>
      </fill>
    </dxf>
    <dxf>
      <fill>
        <patternFill patternType="solid">
          <fgColor rgb="FFDAF0E0"/>
          <bgColor rgb="FF000000"/>
        </patternFill>
      </fill>
    </dxf>
    <dxf>
      <fill>
        <patternFill patternType="solid">
          <fgColor rgb="FFDBF0E1"/>
          <bgColor rgb="FF000000"/>
        </patternFill>
      </fill>
    </dxf>
    <dxf>
      <fill>
        <patternFill patternType="solid">
          <fgColor rgb="FFDCF1E1"/>
          <bgColor rgb="FF000000"/>
        </patternFill>
      </fill>
    </dxf>
    <dxf>
      <fill>
        <patternFill patternType="solid">
          <fgColor rgb="FFDFF2E4"/>
          <bgColor rgb="FF000000"/>
        </patternFill>
      </fill>
    </dxf>
    <dxf>
      <fill>
        <patternFill patternType="solid">
          <fgColor rgb="FFE1F3E5"/>
          <bgColor rgb="FF000000"/>
        </patternFill>
      </fill>
    </dxf>
    <dxf>
      <fill>
        <patternFill patternType="solid">
          <fgColor rgb="FFE2F3E7"/>
          <bgColor rgb="FF000000"/>
        </patternFill>
      </fill>
    </dxf>
    <dxf>
      <fill>
        <patternFill patternType="solid">
          <fgColor rgb="FFE4F4E8"/>
          <bgColor rgb="FF000000"/>
        </patternFill>
      </fill>
    </dxf>
    <dxf>
      <fill>
        <patternFill patternType="solid">
          <fgColor rgb="FFE7F5EB"/>
          <bgColor rgb="FF000000"/>
        </patternFill>
      </fill>
    </dxf>
    <dxf>
      <fill>
        <patternFill patternType="solid">
          <fgColor rgb="FFE8F6EB"/>
          <bgColor rgb="FF000000"/>
        </patternFill>
      </fill>
    </dxf>
    <dxf>
      <fill>
        <patternFill patternType="solid">
          <fgColor rgb="FFE9F6EC"/>
          <bgColor rgb="FF000000"/>
        </patternFill>
      </fill>
    </dxf>
    <dxf>
      <fill>
        <patternFill patternType="solid">
          <fgColor rgb="FFEAF6ED"/>
          <bgColor rgb="FF000000"/>
        </patternFill>
      </fill>
    </dxf>
    <dxf>
      <fill>
        <patternFill patternType="solid">
          <fgColor rgb="FFECF7EF"/>
          <bgColor rgb="FF000000"/>
        </patternFill>
      </fill>
    </dxf>
    <dxf>
      <fill>
        <patternFill patternType="solid">
          <fgColor rgb="FFEEF8F1"/>
          <bgColor rgb="FF000000"/>
        </patternFill>
      </fill>
    </dxf>
    <dxf>
      <fill>
        <patternFill patternType="solid">
          <fgColor rgb="FFEFF8F1"/>
          <bgColor rgb="FF000000"/>
        </patternFill>
      </fill>
    </dxf>
    <dxf>
      <fill>
        <patternFill patternType="solid">
          <fgColor rgb="FFF0F9F3"/>
          <bgColor rgb="FF000000"/>
        </patternFill>
      </fill>
    </dxf>
    <dxf>
      <fill>
        <patternFill patternType="solid">
          <fgColor rgb="FFF1F9F3"/>
          <bgColor rgb="FF000000"/>
        </patternFill>
      </fill>
    </dxf>
    <dxf>
      <fill>
        <patternFill patternType="solid">
          <fgColor rgb="FFF1FAF3"/>
          <bgColor rgb="FF000000"/>
        </patternFill>
      </fill>
    </dxf>
    <dxf>
      <fill>
        <patternFill patternType="solid">
          <fgColor rgb="FFF6FBF7"/>
          <bgColor rgb="FF000000"/>
        </patternFill>
      </fill>
    </dxf>
    <dxf>
      <fill>
        <patternFill patternType="solid">
          <fgColor rgb="FFF6FCF7"/>
          <bgColor rgb="FF000000"/>
        </patternFill>
      </fill>
    </dxf>
    <dxf>
      <fill>
        <patternFill patternType="solid">
          <fgColor rgb="FFF7FCF9"/>
          <bgColor rgb="FF000000"/>
        </patternFill>
      </fill>
    </dxf>
    <dxf>
      <fill>
        <patternFill patternType="solid">
          <fgColor rgb="FFF98B8D"/>
          <bgColor rgb="FF000000"/>
        </patternFill>
      </fill>
    </dxf>
    <dxf>
      <fill>
        <patternFill patternType="solid">
          <fgColor rgb="FFFAA2A3"/>
          <bgColor rgb="FF000000"/>
        </patternFill>
      </fill>
    </dxf>
    <dxf>
      <fill>
        <patternFill patternType="solid">
          <fgColor rgb="FFFBB7B8"/>
          <bgColor rgb="FF000000"/>
        </patternFill>
      </fill>
    </dxf>
    <dxf>
      <fill>
        <patternFill patternType="solid">
          <fgColor rgb="FFFBB9BA"/>
          <bgColor rgb="FF000000"/>
        </patternFill>
      </fill>
    </dxf>
    <dxf>
      <fill>
        <patternFill patternType="solid">
          <fgColor rgb="FFFBBEBF"/>
          <bgColor rgb="FF000000"/>
        </patternFill>
      </fill>
    </dxf>
    <dxf>
      <fill>
        <patternFill patternType="solid">
          <fgColor rgb="FFFCC3C4"/>
          <bgColor rgb="FF000000"/>
        </patternFill>
      </fill>
    </dxf>
    <dxf>
      <fill>
        <patternFill patternType="solid">
          <fgColor rgb="FFFCC7C8"/>
          <bgColor rgb="FF000000"/>
        </patternFill>
      </fill>
    </dxf>
    <dxf>
      <fill>
        <patternFill patternType="solid">
          <fgColor rgb="FFFCC8C9"/>
          <bgColor rgb="FF000000"/>
        </patternFill>
      </fill>
    </dxf>
    <dxf>
      <fill>
        <patternFill patternType="solid">
          <fgColor rgb="FFFCCFD0"/>
          <bgColor rgb="FF000000"/>
        </patternFill>
      </fill>
    </dxf>
    <dxf>
      <fill>
        <patternFill patternType="solid">
          <fgColor rgb="FFFCD0D1"/>
          <bgColor rgb="FF000000"/>
        </patternFill>
      </fill>
    </dxf>
    <dxf>
      <fill>
        <patternFill patternType="solid">
          <fgColor rgb="FFFCD1D2"/>
          <bgColor rgb="FF000000"/>
        </patternFill>
      </fill>
    </dxf>
    <dxf>
      <fill>
        <patternFill patternType="solid">
          <fgColor rgb="FFFCFEFC"/>
          <bgColor rgb="FF000000"/>
        </patternFill>
      </fill>
    </dxf>
    <dxf>
      <fill>
        <patternFill patternType="solid">
          <fgColor rgb="FFFDD6D7"/>
          <bgColor rgb="FF000000"/>
        </patternFill>
      </fill>
    </dxf>
    <dxf>
      <fill>
        <patternFill patternType="solid">
          <fgColor rgb="FFFDDBDC"/>
          <bgColor rgb="FF000000"/>
        </patternFill>
      </fill>
    </dxf>
    <dxf>
      <fill>
        <patternFill patternType="solid">
          <fgColor rgb="FFFDDEDE"/>
          <bgColor rgb="FF000000"/>
        </patternFill>
      </fill>
    </dxf>
    <dxf>
      <fill>
        <patternFill patternType="solid">
          <fgColor rgb="FFFDE1E2"/>
          <bgColor rgb="FF000000"/>
        </patternFill>
      </fill>
    </dxf>
    <dxf>
      <fill>
        <patternFill patternType="solid">
          <fgColor rgb="FFFDE4E4"/>
          <bgColor rgb="FF000000"/>
        </patternFill>
      </fill>
    </dxf>
    <dxf>
      <fill>
        <patternFill patternType="solid">
          <fgColor rgb="FFFDFEFD"/>
          <bgColor rgb="FF000000"/>
        </patternFill>
      </fill>
    </dxf>
    <dxf>
      <fill>
        <patternFill patternType="solid">
          <fgColor rgb="FFFDFFFE"/>
          <bgColor rgb="FF000000"/>
        </patternFill>
      </fill>
    </dxf>
    <dxf>
      <fill>
        <patternFill patternType="solid">
          <fgColor rgb="FFFEEAEB"/>
          <bgColor rgb="FF000000"/>
        </patternFill>
      </fill>
    </dxf>
    <dxf>
      <fill>
        <patternFill patternType="solid">
          <fgColor rgb="FFFEEBEB"/>
          <bgColor rgb="FF000000"/>
        </patternFill>
      </fill>
    </dxf>
    <dxf>
      <fill>
        <patternFill patternType="solid">
          <fgColor rgb="FFFEEDED"/>
          <bgColor rgb="FF000000"/>
        </patternFill>
      </fill>
    </dxf>
    <dxf>
      <fill>
        <patternFill patternType="solid">
          <fgColor rgb="FFFEF0F0"/>
          <bgColor rgb="FF000000"/>
        </patternFill>
      </fill>
    </dxf>
    <dxf>
      <fill>
        <patternFill patternType="solid">
          <fgColor rgb="FFFEF3F4"/>
          <bgColor rgb="FF000000"/>
        </patternFill>
      </fill>
    </dxf>
    <dxf>
      <fill>
        <patternFill patternType="solid">
          <fgColor rgb="FFFEFCFC"/>
          <bgColor rgb="FF000000"/>
        </patternFill>
      </fill>
    </dxf>
    <dxf>
      <fill>
        <patternFill patternType="solid">
          <fgColor rgb="FFE1F3E6"/>
          <bgColor rgb="FF000000"/>
        </patternFill>
      </fill>
    </dxf>
    <dxf>
      <fill>
        <patternFill patternType="solid">
          <fgColor rgb="FFE3F3E7"/>
          <bgColor rgb="FF000000"/>
        </patternFill>
      </fill>
    </dxf>
    <dxf>
      <fill>
        <patternFill patternType="solid">
          <fgColor rgb="FFF5FBF6"/>
          <bgColor rgb="FF000000"/>
        </patternFill>
      </fill>
    </dxf>
    <dxf>
      <fill>
        <patternFill patternType="solid">
          <fgColor rgb="FFF6FCF8"/>
          <bgColor rgb="FF000000"/>
        </patternFill>
      </fill>
    </dxf>
    <dxf>
      <fill>
        <patternFill patternType="solid">
          <fgColor rgb="FFF7FCF8"/>
          <bgColor rgb="FF000000"/>
        </patternFill>
      </fill>
    </dxf>
    <dxf>
      <fill>
        <patternFill patternType="solid">
          <fgColor rgb="FFFBB2B3"/>
          <bgColor rgb="FF000000"/>
        </patternFill>
      </fill>
    </dxf>
    <dxf>
      <fill>
        <patternFill patternType="solid">
          <fgColor rgb="FFFBFDFB"/>
          <bgColor rgb="FF000000"/>
        </patternFill>
      </fill>
    </dxf>
    <dxf>
      <fill>
        <patternFill patternType="solid">
          <fgColor rgb="FFFCC4C5"/>
          <bgColor rgb="FF000000"/>
        </patternFill>
      </fill>
    </dxf>
    <dxf>
      <fill>
        <patternFill patternType="solid">
          <fgColor rgb="FFFCCACB"/>
          <bgColor rgb="FF000000"/>
        </patternFill>
      </fill>
    </dxf>
    <dxf>
      <fill>
        <patternFill patternType="solid">
          <fgColor rgb="FFFCCBCB"/>
          <bgColor rgb="FF000000"/>
        </patternFill>
      </fill>
    </dxf>
    <dxf>
      <fill>
        <patternFill patternType="solid">
          <fgColor rgb="FFFCCECE"/>
          <bgColor rgb="FF000000"/>
        </patternFill>
      </fill>
    </dxf>
    <dxf>
      <fill>
        <patternFill patternType="solid">
          <fgColor rgb="FFFCD1D1"/>
          <bgColor rgb="FF000000"/>
        </patternFill>
      </fill>
    </dxf>
    <dxf>
      <fill>
        <patternFill patternType="solid">
          <fgColor rgb="FFFCD2D2"/>
          <bgColor rgb="FF000000"/>
        </patternFill>
      </fill>
    </dxf>
    <dxf>
      <fill>
        <patternFill patternType="solid">
          <fgColor rgb="FFFCD2D3"/>
          <bgColor rgb="FF000000"/>
        </patternFill>
      </fill>
    </dxf>
    <dxf>
      <fill>
        <patternFill patternType="solid">
          <fgColor rgb="FFFDD4D4"/>
          <bgColor rgb="FF000000"/>
        </patternFill>
      </fill>
    </dxf>
    <dxf>
      <fill>
        <patternFill patternType="solid">
          <fgColor rgb="FFFDD6D6"/>
          <bgColor rgb="FF000000"/>
        </patternFill>
      </fill>
    </dxf>
    <dxf>
      <fill>
        <patternFill patternType="solid">
          <fgColor rgb="FFFDD7D7"/>
          <bgColor rgb="FF000000"/>
        </patternFill>
      </fill>
    </dxf>
    <dxf>
      <fill>
        <patternFill patternType="solid">
          <fgColor rgb="FFFDDADA"/>
          <bgColor rgb="FF000000"/>
        </patternFill>
      </fill>
    </dxf>
    <dxf>
      <fill>
        <patternFill patternType="solid">
          <fgColor rgb="FFFDDCDD"/>
          <bgColor rgb="FF000000"/>
        </patternFill>
      </fill>
    </dxf>
    <dxf>
      <fill>
        <patternFill patternType="solid">
          <fgColor rgb="FFFDDDDD"/>
          <bgColor rgb="FF000000"/>
        </patternFill>
      </fill>
    </dxf>
    <dxf>
      <fill>
        <patternFill patternType="solid">
          <fgColor rgb="FFFDDFDF"/>
          <bgColor rgb="FF000000"/>
        </patternFill>
      </fill>
    </dxf>
    <dxf>
      <fill>
        <patternFill patternType="solid">
          <fgColor rgb="FFFDE2E2"/>
          <bgColor rgb="FF000000"/>
        </patternFill>
      </fill>
    </dxf>
    <dxf>
      <fill>
        <patternFill patternType="solid">
          <fgColor rgb="FFFDE3E4"/>
          <bgColor rgb="FF000000"/>
        </patternFill>
      </fill>
    </dxf>
    <dxf>
      <fill>
        <patternFill patternType="solid">
          <fgColor rgb="FFFDE6E6"/>
          <bgColor rgb="FF000000"/>
        </patternFill>
      </fill>
    </dxf>
    <dxf>
      <fill>
        <patternFill patternType="solid">
          <fgColor rgb="FFFDE6E7"/>
          <bgColor rgb="FF000000"/>
        </patternFill>
      </fill>
    </dxf>
    <dxf>
      <fill>
        <patternFill patternType="solid">
          <fgColor rgb="FFFDE9E9"/>
          <bgColor rgb="FF000000"/>
        </patternFill>
      </fill>
    </dxf>
    <dxf>
      <fill>
        <patternFill patternType="solid">
          <fgColor rgb="FFFEE9EA"/>
          <bgColor rgb="FF000000"/>
        </patternFill>
      </fill>
    </dxf>
    <dxf>
      <fill>
        <patternFill patternType="solid">
          <fgColor rgb="FFFEEBEC"/>
          <bgColor rgb="FF000000"/>
        </patternFill>
      </fill>
    </dxf>
    <dxf>
      <fill>
        <patternFill patternType="solid">
          <fgColor rgb="FFFEF2F2"/>
          <bgColor rgb="FF000000"/>
        </patternFill>
      </fill>
    </dxf>
    <dxf>
      <fill>
        <patternFill patternType="solid">
          <fgColor rgb="FFFEF7F8"/>
          <bgColor rgb="FF000000"/>
        </patternFill>
      </fill>
    </dxf>
    <dxf>
      <fill>
        <patternFill patternType="solid">
          <fgColor rgb="FFAADCB7"/>
          <bgColor rgb="FF000000"/>
        </patternFill>
      </fill>
    </dxf>
    <dxf>
      <fill>
        <patternFill patternType="solid">
          <fgColor rgb="FFBEE4C8"/>
          <bgColor rgb="FF000000"/>
        </patternFill>
      </fill>
    </dxf>
    <dxf>
      <fill>
        <patternFill patternType="solid">
          <fgColor rgb="FFD7EEDD"/>
          <bgColor rgb="FF000000"/>
        </patternFill>
      </fill>
    </dxf>
    <dxf>
      <fill>
        <patternFill patternType="solid">
          <fgColor rgb="FFEAF7EE"/>
          <bgColor rgb="FF000000"/>
        </patternFill>
      </fill>
    </dxf>
    <dxf>
      <fill>
        <patternFill patternType="solid">
          <fgColor rgb="FFEDF8EF"/>
          <bgColor rgb="FF000000"/>
        </patternFill>
      </fill>
    </dxf>
    <dxf>
      <fill>
        <patternFill patternType="solid">
          <fgColor rgb="FFF98688"/>
          <bgColor rgb="FF000000"/>
        </patternFill>
      </fill>
    </dxf>
    <dxf>
      <fill>
        <patternFill patternType="solid">
          <fgColor rgb="FFFAFDFA"/>
          <bgColor rgb="FF000000"/>
        </patternFill>
      </fill>
    </dxf>
    <dxf>
      <fill>
        <patternFill patternType="solid">
          <fgColor rgb="FFFBAAAB"/>
          <bgColor rgb="FF000000"/>
        </patternFill>
      </fill>
    </dxf>
    <dxf>
      <fill>
        <patternFill patternType="solid">
          <fgColor rgb="FFFBB3B4"/>
          <bgColor rgb="FF000000"/>
        </patternFill>
      </fill>
    </dxf>
    <dxf>
      <fill>
        <patternFill patternType="solid">
          <fgColor rgb="FFFBB8B9"/>
          <bgColor rgb="FF000000"/>
        </patternFill>
      </fill>
    </dxf>
    <dxf>
      <fill>
        <patternFill patternType="solid">
          <fgColor rgb="FFFBBBBC"/>
          <bgColor rgb="FF000000"/>
        </patternFill>
      </fill>
    </dxf>
    <dxf>
      <fill>
        <patternFill patternType="solid">
          <fgColor rgb="FFFCBFC0"/>
          <bgColor rgb="FF000000"/>
        </patternFill>
      </fill>
    </dxf>
    <dxf>
      <fill>
        <patternFill patternType="solid">
          <fgColor rgb="FFFCC1C2"/>
          <bgColor rgb="FF000000"/>
        </patternFill>
      </fill>
    </dxf>
    <dxf>
      <fill>
        <patternFill patternType="solid">
          <fgColor rgb="FFFCC2C2"/>
          <bgColor rgb="FF000000"/>
        </patternFill>
      </fill>
    </dxf>
    <dxf>
      <fill>
        <patternFill patternType="solid">
          <fgColor rgb="FFFCC2C3"/>
          <bgColor rgb="FF000000"/>
        </patternFill>
      </fill>
    </dxf>
    <dxf>
      <fill>
        <patternFill patternType="solid">
          <fgColor rgb="FFFCC3C3"/>
          <bgColor rgb="FF000000"/>
        </patternFill>
      </fill>
    </dxf>
    <dxf>
      <fill>
        <patternFill patternType="solid">
          <fgColor rgb="FFFCC7C7"/>
          <bgColor rgb="FF000000"/>
        </patternFill>
      </fill>
    </dxf>
    <dxf>
      <fill>
        <patternFill patternType="solid">
          <fgColor rgb="FFFCD3D3"/>
          <bgColor rgb="FF000000"/>
        </patternFill>
      </fill>
    </dxf>
    <dxf>
      <fill>
        <patternFill patternType="solid">
          <fgColor rgb="FFFDD8D8"/>
          <bgColor rgb="FF000000"/>
        </patternFill>
      </fill>
    </dxf>
    <dxf>
      <fill>
        <patternFill patternType="solid">
          <fgColor rgb="FFFDD9DA"/>
          <bgColor rgb="FF000000"/>
        </patternFill>
      </fill>
    </dxf>
    <dxf>
      <fill>
        <patternFill patternType="solid">
          <fgColor rgb="FFFDDBDB"/>
          <bgColor rgb="FF000000"/>
        </patternFill>
      </fill>
    </dxf>
    <dxf>
      <fill>
        <patternFill patternType="solid">
          <fgColor rgb="FFFDDDDE"/>
          <bgColor rgb="FF000000"/>
        </patternFill>
      </fill>
    </dxf>
    <dxf>
      <fill>
        <patternFill patternType="solid">
          <fgColor rgb="FFFDE8E9"/>
          <bgColor rgb="FF000000"/>
        </patternFill>
      </fill>
    </dxf>
    <dxf>
      <fill>
        <patternFill patternType="solid">
          <fgColor rgb="FFFEEEEF"/>
          <bgColor rgb="FF000000"/>
        </patternFill>
      </fill>
    </dxf>
    <dxf>
      <fill>
        <patternFill patternType="solid">
          <fgColor rgb="FFFEF1F2"/>
          <bgColor rgb="FF000000"/>
        </patternFill>
      </fill>
    </dxf>
    <dxf>
      <fill>
        <patternFill patternType="solid">
          <fgColor rgb="FF9CD6AC"/>
          <bgColor rgb="FF000000"/>
        </patternFill>
      </fill>
    </dxf>
    <dxf>
      <fill>
        <patternFill patternType="solid">
          <fgColor rgb="FFDAF0DF"/>
          <bgColor rgb="FF000000"/>
        </patternFill>
      </fill>
    </dxf>
    <dxf>
      <fill>
        <patternFill patternType="solid">
          <fgColor rgb="FFF86C6E"/>
          <bgColor rgb="FF000000"/>
        </patternFill>
      </fill>
    </dxf>
    <dxf>
      <fill>
        <patternFill patternType="solid">
          <fgColor rgb="FFF98C8E"/>
          <bgColor rgb="FF000000"/>
        </patternFill>
      </fill>
    </dxf>
    <dxf>
      <fill>
        <patternFill patternType="solid">
          <fgColor rgb="FFFA9C9D"/>
          <bgColor rgb="FF000000"/>
        </patternFill>
      </fill>
    </dxf>
    <dxf>
      <fill>
        <patternFill patternType="solid">
          <fgColor rgb="FFFAA0A2"/>
          <bgColor rgb="FF000000"/>
        </patternFill>
      </fill>
    </dxf>
    <dxf>
      <fill>
        <patternFill patternType="solid">
          <fgColor rgb="FFFAA6A7"/>
          <bgColor rgb="FF000000"/>
        </patternFill>
      </fill>
    </dxf>
    <dxf>
      <fill>
        <patternFill patternType="solid">
          <fgColor rgb="FFFBAFB0"/>
          <bgColor rgb="FF000000"/>
        </patternFill>
      </fill>
    </dxf>
    <dxf>
      <fill>
        <patternFill patternType="solid">
          <fgColor rgb="FFFBBABB"/>
          <bgColor rgb="FF000000"/>
        </patternFill>
      </fill>
    </dxf>
    <dxf>
      <fill>
        <patternFill patternType="solid">
          <fgColor rgb="FFFCC1C1"/>
          <bgColor rgb="FF000000"/>
        </patternFill>
      </fill>
    </dxf>
    <dxf>
      <fill>
        <patternFill patternType="solid">
          <fgColor rgb="FFFCCECF"/>
          <bgColor rgb="FF000000"/>
        </patternFill>
      </fill>
    </dxf>
    <dxf>
      <fill>
        <patternFill patternType="solid">
          <fgColor rgb="FFFDD4D5"/>
          <bgColor rgb="FF000000"/>
        </patternFill>
      </fill>
    </dxf>
    <dxf>
      <fill>
        <patternFill patternType="solid">
          <fgColor rgb="FFFDDFE0"/>
          <bgColor rgb="FF000000"/>
        </patternFill>
      </fill>
    </dxf>
    <dxf>
      <fill>
        <patternFill patternType="solid">
          <fgColor rgb="FFFDE5E5"/>
          <bgColor rgb="FF000000"/>
        </patternFill>
      </fill>
    </dxf>
    <dxf>
      <fill>
        <patternFill patternType="solid">
          <fgColor rgb="FFFDFFFD"/>
          <bgColor rgb="FF000000"/>
        </patternFill>
      </fill>
    </dxf>
    <dxf>
      <fill>
        <patternFill patternType="solid">
          <fgColor rgb="FFFEEFF0"/>
          <bgColor rgb="FF000000"/>
        </patternFill>
      </fill>
    </dxf>
    <dxf>
      <fill>
        <patternFill patternType="solid">
          <fgColor rgb="FFFEFFFF"/>
          <bgColor rgb="FF000000"/>
        </patternFill>
      </fill>
    </dxf>
    <dxf>
      <fill>
        <patternFill patternType="solid">
          <fgColor rgb="FFF4B183"/>
          <bgColor rgb="FF000000"/>
        </patternFill>
      </fill>
    </dxf>
    <dxf>
      <fill>
        <patternFill patternType="solid">
          <fgColor rgb="FFF6BE97"/>
          <bgColor rgb="FF000000"/>
        </patternFill>
      </fill>
    </dxf>
    <dxf>
      <fill>
        <patternFill patternType="solid">
          <fgColor rgb="FFFBDDC9"/>
          <bgColor rgb="FF000000"/>
        </patternFill>
      </fill>
    </dxf>
    <dxf>
      <fill>
        <patternFill patternType="solid">
          <fgColor rgb="FFFCE5D5"/>
          <bgColor rgb="FF000000"/>
        </patternFill>
      </fill>
    </dxf>
    <dxf>
      <fill>
        <patternFill patternType="solid">
          <fgColor rgb="FFFCE6D7"/>
          <bgColor rgb="FF000000"/>
        </patternFill>
      </fill>
    </dxf>
    <dxf>
      <fill>
        <patternFill patternType="solid">
          <fgColor rgb="FFFCE8D9"/>
          <bgColor rgb="FF000000"/>
        </patternFill>
      </fill>
    </dxf>
    <dxf>
      <fill>
        <patternFill patternType="solid">
          <fgColor rgb="FFFCE9DB"/>
          <bgColor rgb="FF000000"/>
        </patternFill>
      </fill>
    </dxf>
    <dxf>
      <fill>
        <patternFill patternType="solid">
          <fgColor rgb="FFFDEBDF"/>
          <bgColor rgb="FF000000"/>
        </patternFill>
      </fill>
    </dxf>
    <dxf>
      <fill>
        <patternFill patternType="solid">
          <fgColor rgb="FFFDECE0"/>
          <bgColor rgb="FF000000"/>
        </patternFill>
      </fill>
    </dxf>
    <dxf>
      <fill>
        <patternFill patternType="solid">
          <fgColor rgb="FFFDECE1"/>
          <bgColor rgb="FF000000"/>
        </patternFill>
      </fill>
    </dxf>
    <dxf>
      <fill>
        <patternFill patternType="solid">
          <fgColor rgb="FFFDEDE2"/>
          <bgColor rgb="FF000000"/>
        </patternFill>
      </fill>
    </dxf>
    <dxf>
      <fill>
        <patternFill patternType="solid">
          <fgColor rgb="FFFDEDE3"/>
          <bgColor rgb="FF000000"/>
        </patternFill>
      </fill>
    </dxf>
    <dxf>
      <fill>
        <patternFill patternType="solid">
          <fgColor rgb="FFFDEEE4"/>
          <bgColor rgb="FF000000"/>
        </patternFill>
      </fill>
    </dxf>
    <dxf>
      <fill>
        <patternFill patternType="solid">
          <fgColor rgb="FFFDEFE5"/>
          <bgColor rgb="FF000000"/>
        </patternFill>
      </fill>
    </dxf>
    <dxf>
      <fill>
        <patternFill patternType="solid">
          <fgColor rgb="FFFDEFE6"/>
          <bgColor rgb="FF000000"/>
        </patternFill>
      </fill>
    </dxf>
    <dxf>
      <fill>
        <patternFill patternType="solid">
          <fgColor rgb="FFFDF0E6"/>
          <bgColor rgb="FF000000"/>
        </patternFill>
      </fill>
    </dxf>
    <dxf>
      <fill>
        <patternFill patternType="solid">
          <fgColor rgb="FFFDF1E8"/>
          <bgColor rgb="FF000000"/>
        </patternFill>
      </fill>
    </dxf>
    <dxf>
      <fill>
        <patternFill patternType="solid">
          <fgColor rgb="FFFDF1E9"/>
          <bgColor rgb="FF000000"/>
        </patternFill>
      </fill>
    </dxf>
    <dxf>
      <fill>
        <patternFill patternType="solid">
          <fgColor rgb="FFFEF2EA"/>
          <bgColor rgb="FF000000"/>
        </patternFill>
      </fill>
    </dxf>
    <dxf>
      <fill>
        <patternFill patternType="solid">
          <fgColor rgb="FFFEF3EB"/>
          <bgColor rgb="FF000000"/>
        </patternFill>
      </fill>
    </dxf>
    <dxf>
      <fill>
        <patternFill patternType="solid">
          <fgColor rgb="FFFEF3EC"/>
          <bgColor rgb="FF000000"/>
        </patternFill>
      </fill>
    </dxf>
    <dxf>
      <fill>
        <patternFill patternType="solid">
          <fgColor rgb="FFFEF4ED"/>
          <bgColor rgb="FF000000"/>
        </patternFill>
      </fill>
    </dxf>
    <dxf>
      <fill>
        <patternFill patternType="solid">
          <fgColor rgb="FFFEF4EE"/>
          <bgColor rgb="FF000000"/>
        </patternFill>
      </fill>
    </dxf>
    <dxf>
      <fill>
        <patternFill patternType="solid">
          <fgColor rgb="FFFEF5EE"/>
          <bgColor rgb="FF000000"/>
        </patternFill>
      </fill>
    </dxf>
    <dxf>
      <fill>
        <patternFill patternType="solid">
          <fgColor rgb="FFFEF5EF"/>
          <bgColor rgb="FF000000"/>
        </patternFill>
      </fill>
    </dxf>
    <dxf>
      <fill>
        <patternFill patternType="solid">
          <fgColor rgb="FFFEF6F0"/>
          <bgColor rgb="FF000000"/>
        </patternFill>
      </fill>
    </dxf>
    <dxf>
      <fill>
        <patternFill patternType="solid">
          <fgColor rgb="FFFEF6F1"/>
          <bgColor rgb="FF000000"/>
        </patternFill>
      </fill>
    </dxf>
    <dxf>
      <fill>
        <patternFill patternType="solid">
          <fgColor rgb="FFFEF7F1"/>
          <bgColor rgb="FF000000"/>
        </patternFill>
      </fill>
    </dxf>
    <dxf>
      <fill>
        <patternFill patternType="solid">
          <fgColor rgb="FFFEF7F2"/>
          <bgColor rgb="FF000000"/>
        </patternFill>
      </fill>
    </dxf>
    <dxf>
      <fill>
        <patternFill patternType="solid">
          <fgColor rgb="FFFEF8F3"/>
          <bgColor rgb="FF000000"/>
        </patternFill>
      </fill>
    </dxf>
    <dxf>
      <fill>
        <patternFill patternType="solid">
          <fgColor rgb="FFFEF8F4"/>
          <bgColor rgb="FF000000"/>
        </patternFill>
      </fill>
    </dxf>
    <dxf>
      <fill>
        <patternFill patternType="solid">
          <fgColor rgb="FFFFF8F4"/>
          <bgColor rgb="FF000000"/>
        </patternFill>
      </fill>
    </dxf>
    <dxf>
      <fill>
        <patternFill patternType="solid">
          <fgColor rgb="FFFFF9F4"/>
          <bgColor rgb="FF000000"/>
        </patternFill>
      </fill>
    </dxf>
    <dxf>
      <fill>
        <patternFill patternType="solid">
          <fgColor rgb="FFFFF9F5"/>
          <bgColor rgb="FF000000"/>
        </patternFill>
      </fill>
    </dxf>
    <dxf>
      <fill>
        <patternFill patternType="solid">
          <fgColor rgb="FFFFF9F6"/>
          <bgColor rgb="FF000000"/>
        </patternFill>
      </fill>
    </dxf>
    <dxf>
      <fill>
        <patternFill patternType="solid">
          <fgColor rgb="FFFFFAF6"/>
          <bgColor rgb="FF000000"/>
        </patternFill>
      </fill>
    </dxf>
    <dxf>
      <fill>
        <patternFill patternType="solid">
          <fgColor rgb="FFFFFAF7"/>
          <bgColor rgb="FF000000"/>
        </patternFill>
      </fill>
    </dxf>
    <dxf>
      <fill>
        <patternFill patternType="solid">
          <fgColor rgb="FFFFFBF8"/>
          <bgColor rgb="FF000000"/>
        </patternFill>
      </fill>
    </dxf>
    <dxf>
      <fill>
        <patternFill patternType="solid">
          <fgColor rgb="FFFFFBF9"/>
          <bgColor rgb="FF000000"/>
        </patternFill>
      </fill>
    </dxf>
    <dxf>
      <fill>
        <patternFill patternType="solid">
          <fgColor rgb="FFFFFCF9"/>
          <bgColor rgb="FF000000"/>
        </patternFill>
      </fill>
    </dxf>
    <dxf>
      <fill>
        <patternFill patternType="solid">
          <fgColor rgb="FFFFFCFA"/>
          <bgColor rgb="FF000000"/>
        </patternFill>
      </fill>
    </dxf>
    <dxf>
      <fill>
        <patternFill patternType="solid">
          <fgColor rgb="FFFFFCFB"/>
          <bgColor rgb="FF000000"/>
        </patternFill>
      </fill>
    </dxf>
    <dxf>
      <fill>
        <patternFill patternType="solid">
          <fgColor rgb="FFFFFDFB"/>
          <bgColor rgb="FF000000"/>
        </patternFill>
      </fill>
    </dxf>
    <dxf>
      <fill>
        <patternFill patternType="solid">
          <fgColor rgb="FFFFFDFC"/>
          <bgColor rgb="FF000000"/>
        </patternFill>
      </fill>
    </dxf>
    <dxf>
      <fill>
        <patternFill patternType="solid">
          <fgColor rgb="FFFFFEFC"/>
          <bgColor rgb="FF000000"/>
        </patternFill>
      </fill>
    </dxf>
    <dxf>
      <fill>
        <patternFill patternType="solid">
          <fgColor rgb="FFFFFEFD"/>
          <bgColor rgb="FF000000"/>
        </patternFill>
      </fill>
    </dxf>
    <dxf>
      <fill>
        <patternFill patternType="solid">
          <fgColor rgb="FFFFFEFE"/>
          <bgColor rgb="FF000000"/>
        </patternFill>
      </fill>
    </dxf>
    <dxf>
      <fill>
        <patternFill patternType="solid">
          <fgColor rgb="FFF87778"/>
          <bgColor rgb="FF000000"/>
        </patternFill>
      </fill>
    </dxf>
    <dxf>
      <fill>
        <patternFill patternType="solid">
          <fgColor rgb="FFF87B7D"/>
          <bgColor rgb="FF000000"/>
        </patternFill>
      </fill>
    </dxf>
    <dxf>
      <fill>
        <patternFill patternType="solid">
          <fgColor rgb="FFF98F90"/>
          <bgColor rgb="FF000000"/>
        </patternFill>
      </fill>
    </dxf>
    <dxf>
      <fill>
        <patternFill patternType="solid">
          <fgColor rgb="FFF99293"/>
          <bgColor rgb="FF000000"/>
        </patternFill>
      </fill>
    </dxf>
    <dxf>
      <fill>
        <patternFill patternType="solid">
          <fgColor rgb="FFFA9C9E"/>
          <bgColor rgb="FF000000"/>
        </patternFill>
      </fill>
    </dxf>
    <dxf>
      <fill>
        <patternFill patternType="solid">
          <fgColor rgb="FFFA9FA0"/>
          <bgColor rgb="FF000000"/>
        </patternFill>
      </fill>
    </dxf>
    <dxf>
      <fill>
        <patternFill patternType="solid">
          <fgColor rgb="FFFAA1A2"/>
          <bgColor rgb="FF000000"/>
        </patternFill>
      </fill>
    </dxf>
    <dxf>
      <fill>
        <patternFill patternType="solid">
          <fgColor rgb="FFFAA5A6"/>
          <bgColor rgb="FF000000"/>
        </patternFill>
      </fill>
    </dxf>
    <dxf>
      <fill>
        <patternFill patternType="solid">
          <fgColor rgb="FFFAA9AA"/>
          <bgColor rgb="FF000000"/>
        </patternFill>
      </fill>
    </dxf>
    <dxf>
      <fill>
        <patternFill patternType="solid">
          <fgColor rgb="FFFBACAD"/>
          <bgColor rgb="FF000000"/>
        </patternFill>
      </fill>
    </dxf>
    <dxf>
      <fill>
        <patternFill patternType="solid">
          <fgColor rgb="FFFBADAE"/>
          <bgColor rgb="FF000000"/>
        </patternFill>
      </fill>
    </dxf>
    <dxf>
      <fill>
        <patternFill patternType="solid">
          <fgColor rgb="FFFBAEAF"/>
          <bgColor rgb="FF000000"/>
        </patternFill>
      </fill>
    </dxf>
    <dxf>
      <fill>
        <patternFill patternType="solid">
          <fgColor rgb="FFFBB0B1"/>
          <bgColor rgb="FF000000"/>
        </patternFill>
      </fill>
    </dxf>
    <dxf>
      <fill>
        <patternFill patternType="solid">
          <fgColor rgb="FFFBB0B2"/>
          <bgColor rgb="FF000000"/>
        </patternFill>
      </fill>
    </dxf>
    <dxf>
      <fill>
        <patternFill patternType="solid">
          <fgColor rgb="FFFBB1B2"/>
          <bgColor rgb="FF000000"/>
        </patternFill>
      </fill>
    </dxf>
    <dxf>
      <fill>
        <patternFill patternType="solid">
          <fgColor rgb="FFFBB5B6"/>
          <bgColor rgb="FF000000"/>
        </patternFill>
      </fill>
    </dxf>
    <dxf>
      <fill>
        <patternFill patternType="solid">
          <fgColor rgb="FFFBB6B7"/>
          <bgColor rgb="FF000000"/>
        </patternFill>
      </fill>
    </dxf>
    <dxf>
      <fill>
        <patternFill patternType="solid">
          <fgColor rgb="FFFBBABA"/>
          <bgColor rgb="FF000000"/>
        </patternFill>
      </fill>
    </dxf>
    <dxf>
      <fill>
        <patternFill patternType="solid">
          <fgColor rgb="FFFBBCBC"/>
          <bgColor rgb="FF000000"/>
        </patternFill>
      </fill>
    </dxf>
    <dxf>
      <fill>
        <patternFill patternType="solid">
          <fgColor rgb="FFFBBDBD"/>
          <bgColor rgb="FF000000"/>
        </patternFill>
      </fill>
    </dxf>
    <dxf>
      <fill>
        <patternFill patternType="solid">
          <fgColor rgb="FFFBBDBE"/>
          <bgColor rgb="FF000000"/>
        </patternFill>
      </fill>
    </dxf>
    <dxf>
      <fill>
        <patternFill patternType="solid">
          <fgColor rgb="FFFCBFBF"/>
          <bgColor rgb="FF000000"/>
        </patternFill>
      </fill>
    </dxf>
    <dxf>
      <fill>
        <patternFill patternType="solid">
          <fgColor rgb="FFFCC0C1"/>
          <bgColor rgb="FF000000"/>
        </patternFill>
      </fill>
    </dxf>
    <dxf>
      <fill>
        <patternFill patternType="solid">
          <fgColor rgb="FFFCC5C6"/>
          <bgColor rgb="FF000000"/>
        </patternFill>
      </fill>
    </dxf>
    <dxf>
      <fill>
        <patternFill patternType="solid">
          <fgColor rgb="FFFCC6C6"/>
          <bgColor rgb="FF000000"/>
        </patternFill>
      </fill>
    </dxf>
    <dxf>
      <fill>
        <patternFill patternType="solid">
          <fgColor rgb="FFFCC6C7"/>
          <bgColor rgb="FF000000"/>
        </patternFill>
      </fill>
    </dxf>
    <dxf>
      <fill>
        <patternFill patternType="solid">
          <fgColor rgb="FFFCC8C8"/>
          <bgColor rgb="FF000000"/>
        </patternFill>
      </fill>
    </dxf>
    <dxf>
      <fill>
        <patternFill patternType="solid">
          <fgColor rgb="FFFCC9CA"/>
          <bgColor rgb="FF000000"/>
        </patternFill>
      </fill>
    </dxf>
    <dxf>
      <fill>
        <patternFill patternType="solid">
          <fgColor rgb="FFFCCACA"/>
          <bgColor rgb="FF000000"/>
        </patternFill>
      </fill>
    </dxf>
    <dxf>
      <fill>
        <patternFill patternType="solid">
          <fgColor rgb="FFFCCBCC"/>
          <bgColor rgb="FF000000"/>
        </patternFill>
      </fill>
    </dxf>
    <dxf>
      <fill>
        <patternFill patternType="solid">
          <fgColor rgb="FFFCCCCD"/>
          <bgColor rgb="FF000000"/>
        </patternFill>
      </fill>
    </dxf>
    <dxf>
      <fill>
        <patternFill patternType="solid">
          <fgColor rgb="FFFDD5D5"/>
          <bgColor rgb="FF000000"/>
        </patternFill>
      </fill>
    </dxf>
    <dxf>
      <fill>
        <patternFill patternType="solid">
          <fgColor rgb="FFFDE2E3"/>
          <bgColor rgb="FF000000"/>
        </patternFill>
      </fill>
    </dxf>
    <dxf>
      <fill>
        <patternFill patternType="solid">
          <fgColor rgb="FFFDE4E5"/>
          <bgColor rgb="FF000000"/>
        </patternFill>
      </fill>
    </dxf>
    <dxf>
      <fill>
        <patternFill patternType="solid">
          <fgColor rgb="FFFDE7E8"/>
          <bgColor rgb="FF000000"/>
        </patternFill>
      </fill>
    </dxf>
    <dxf>
      <fill>
        <patternFill patternType="solid">
          <fgColor rgb="FF68C07F"/>
          <bgColor rgb="FF000000"/>
        </patternFill>
      </fill>
    </dxf>
    <dxf>
      <fill>
        <patternFill patternType="solid">
          <fgColor rgb="FFADDDB9"/>
          <bgColor rgb="FF000000"/>
        </patternFill>
      </fill>
    </dxf>
    <dxf>
      <fill>
        <patternFill patternType="solid">
          <fgColor rgb="FFADDDBA"/>
          <bgColor rgb="FF000000"/>
        </patternFill>
      </fill>
    </dxf>
    <dxf>
      <fill>
        <patternFill patternType="solid">
          <fgColor rgb="FFB2DFBE"/>
          <bgColor rgb="FF000000"/>
        </patternFill>
      </fill>
    </dxf>
    <dxf>
      <fill>
        <patternFill patternType="solid">
          <fgColor rgb="FFC2E6CB"/>
          <bgColor rgb="FF000000"/>
        </patternFill>
      </fill>
    </dxf>
    <dxf>
      <fill>
        <patternFill patternType="solid">
          <fgColor rgb="FFE0F2E5"/>
          <bgColor rgb="FF000000"/>
        </patternFill>
      </fill>
    </dxf>
    <dxf>
      <fill>
        <patternFill patternType="solid">
          <fgColor rgb="FFE4F4E9"/>
          <bgColor rgb="FF000000"/>
        </patternFill>
      </fill>
    </dxf>
    <dxf>
      <fill>
        <patternFill patternType="solid">
          <fgColor rgb="FFE5F5E9"/>
          <bgColor rgb="FF000000"/>
        </patternFill>
      </fill>
    </dxf>
    <dxf>
      <fill>
        <patternFill patternType="solid">
          <fgColor rgb="FFEAF7ED"/>
          <bgColor rgb="FF000000"/>
        </patternFill>
      </fill>
    </dxf>
    <dxf>
      <fill>
        <patternFill patternType="solid">
          <fgColor rgb="FFEBF7EF"/>
          <bgColor rgb="FF000000"/>
        </patternFill>
      </fill>
    </dxf>
    <dxf>
      <fill>
        <patternFill patternType="solid">
          <fgColor rgb="FFEEF8F0"/>
          <bgColor rgb="FF000000"/>
        </patternFill>
      </fill>
    </dxf>
    <dxf>
      <fill>
        <patternFill patternType="solid">
          <fgColor rgb="FFF4FBF5"/>
          <bgColor rgb="FF000000"/>
        </patternFill>
      </fill>
    </dxf>
    <dxf>
      <fill>
        <patternFill patternType="solid">
          <fgColor rgb="FFF98788"/>
          <bgColor rgb="FF000000"/>
        </patternFill>
      </fill>
    </dxf>
    <dxf>
      <fill>
        <patternFill patternType="solid">
          <fgColor rgb="FFFA9495"/>
          <bgColor rgb="FF000000"/>
        </patternFill>
      </fill>
    </dxf>
    <dxf>
      <fill>
        <patternFill patternType="solid">
          <fgColor rgb="FFFA9697"/>
          <bgColor rgb="FF000000"/>
        </patternFill>
      </fill>
    </dxf>
    <dxf>
      <fill>
        <patternFill patternType="solid">
          <fgColor rgb="FFFA9D9F"/>
          <bgColor rgb="FF000000"/>
        </patternFill>
      </fill>
    </dxf>
    <dxf>
      <fill>
        <patternFill patternType="solid">
          <fgColor rgb="FFFAA3A4"/>
          <bgColor rgb="FF000000"/>
        </patternFill>
      </fill>
    </dxf>
    <dxf>
      <fill>
        <patternFill patternType="solid">
          <fgColor rgb="FFFAA3A5"/>
          <bgColor rgb="FF000000"/>
        </patternFill>
      </fill>
    </dxf>
    <dxf>
      <fill>
        <patternFill patternType="solid">
          <fgColor rgb="FFFAA8A9"/>
          <bgColor rgb="FF000000"/>
        </patternFill>
      </fill>
    </dxf>
    <dxf>
      <fill>
        <patternFill patternType="solid">
          <fgColor rgb="FFFBABAC"/>
          <bgColor rgb="FF000000"/>
        </patternFill>
      </fill>
    </dxf>
    <dxf>
      <fill>
        <patternFill patternType="solid">
          <fgColor rgb="FFFCBEBF"/>
          <bgColor rgb="FF000000"/>
        </patternFill>
      </fill>
    </dxf>
    <dxf>
      <fill>
        <patternFill patternType="solid">
          <fgColor rgb="FFFCC0C0"/>
          <bgColor rgb="FF000000"/>
        </patternFill>
      </fill>
    </dxf>
    <dxf>
      <fill>
        <patternFill patternType="solid">
          <fgColor rgb="FFFCC9C9"/>
          <bgColor rgb="FF000000"/>
        </patternFill>
      </fill>
    </dxf>
    <dxf>
      <fill>
        <patternFill patternType="solid">
          <fgColor rgb="FFFCCFCF"/>
          <bgColor rgb="FF000000"/>
        </patternFill>
      </fill>
    </dxf>
    <dxf>
      <fill>
        <patternFill patternType="solid">
          <fgColor rgb="FFFCD0D0"/>
          <bgColor rgb="FF000000"/>
        </patternFill>
      </fill>
    </dxf>
    <dxf>
      <fill>
        <patternFill patternType="solid">
          <fgColor rgb="FFFDD7D8"/>
          <bgColor rgb="FF000000"/>
        </patternFill>
      </fill>
    </dxf>
    <dxf>
      <fill>
        <patternFill patternType="solid">
          <fgColor rgb="FFFDE5E6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78787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8A5A5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Probabilidad de superar +20% según el número de emisoras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"Ganar (concentrado)"</c:f>
              <c:strCache>
                <c:ptCount val="1"/>
                <c:pt idx="0">
                  <c:v>Ganar (concentrado)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Pronóstico!$B$20:$B$27</c:f>
              <c:strCach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</c:strCache>
            </c:strRef>
          </c:cat>
          <c:val>
            <c:numRef>
              <c:f>Pronóstico!$C$20:$C$27</c:f>
              <c:numCache>
                <c:formatCode>0.0%</c:formatCode>
                <c:ptCount val="8"/>
                <c:pt idx="0">
                  <c:v>0.1556</c:v>
                </c:pt>
                <c:pt idx="1">
                  <c:v>0.1513</c:v>
                </c:pt>
                <c:pt idx="2">
                  <c:v>0.1446</c:v>
                </c:pt>
                <c:pt idx="3">
                  <c:v>0.1382</c:v>
                </c:pt>
                <c:pt idx="4">
                  <c:v>0.1311</c:v>
                </c:pt>
                <c:pt idx="5">
                  <c:v>0.1248</c:v>
                </c:pt>
                <c:pt idx="6">
                  <c:v>0.1177</c:v>
                </c:pt>
                <c:pt idx="7">
                  <c:v>0.1107</c:v>
                </c:pt>
              </c:numCache>
            </c:numRef>
          </c:val>
        </c:ser>
        <c:ser>
          <c:idx val="1"/>
          <c:order val="1"/>
          <c:tx>
            <c:strRef>
              <c:f>"Balanceado"</c:f>
              <c:strCache>
                <c:ptCount val="1"/>
                <c:pt idx="0">
                  <c:v>Balanceado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Pronóstico!$B$20:$B$27</c:f>
              <c:strCach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</c:strCache>
            </c:strRef>
          </c:cat>
          <c:val>
            <c:numRef>
              <c:f>Pronóstico!$C$28:$C$35</c:f>
              <c:numCache>
                <c:formatCode>0.0%</c:formatCode>
                <c:ptCount val="8"/>
                <c:pt idx="0">
                  <c:v>0.0291</c:v>
                </c:pt>
                <c:pt idx="1">
                  <c:v>0.0271</c:v>
                </c:pt>
                <c:pt idx="2">
                  <c:v>0.0258</c:v>
                </c:pt>
                <c:pt idx="3">
                  <c:v>0.0239</c:v>
                </c:pt>
                <c:pt idx="4">
                  <c:v>0.0225</c:v>
                </c:pt>
                <c:pt idx="5">
                  <c:v>0.0215</c:v>
                </c:pt>
                <c:pt idx="6">
                  <c:v>0.0206</c:v>
                </c:pt>
                <c:pt idx="7">
                  <c:v>0.0198</c:v>
                </c:pt>
              </c:numCache>
            </c:numRef>
          </c:val>
        </c:ser>
        <c:gapWidth val="150"/>
        <c:overlap val="0"/>
        <c:axId val="89819292"/>
        <c:axId val="25129200"/>
      </c:barChart>
      <c:catAx>
        <c:axId val="898192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Emisoras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129200"/>
        <c:crosses val="autoZero"/>
        <c:auto val="1"/>
        <c:lblAlgn val="ctr"/>
        <c:lblOffset val="100"/>
        <c:noMultiLvlLbl val="0"/>
      </c:catAx>
      <c:valAx>
        <c:axId val="251292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8192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52</xdr:row>
      <xdr:rowOff>48240</xdr:rowOff>
    </xdr:from>
    <xdr:to>
      <xdr:col>4</xdr:col>
      <xdr:colOff>136080</xdr:colOff>
      <xdr:row>67</xdr:row>
      <xdr:rowOff>70200</xdr:rowOff>
    </xdr:to>
    <xdr:graphicFrame>
      <xdr:nvGraphicFramePr>
        <xdr:cNvPr id="0" name="Chart 1"/>
        <xdr:cNvGraphicFramePr/>
      </xdr:nvGraphicFramePr>
      <xdr:xfrm>
        <a:off x="0" y="113918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5"/>
  </cols>
  <sheetData>
    <row r="2" customFormat="false" ht="18.75" hidden="false" customHeight="true" outlineLevel="0" collapsed="false">
      <c r="B2" s="1" t="s">
        <v>0</v>
      </c>
    </row>
    <row r="3" customFormat="false" ht="23.8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/>
    </row>
    <row r="5" customFormat="false" ht="15" hidden="false" customHeight="false" outlineLevel="0" collapsed="false">
      <c r="B5" s="3" t="s">
        <v>2</v>
      </c>
    </row>
    <row r="6" customFormat="false" ht="25.5" hidden="false" customHeight="true" outlineLevel="0" collapsed="false">
      <c r="B6" s="2" t="s">
        <v>3</v>
      </c>
    </row>
    <row r="7" customFormat="false" ht="25.5" hidden="false" customHeight="true" outlineLevel="0" collapsed="false">
      <c r="B7" s="2" t="s">
        <v>4</v>
      </c>
    </row>
    <row r="8" customFormat="false" ht="15" hidden="false" customHeight="false" outlineLevel="0" collapsed="false">
      <c r="B8" s="2" t="s">
        <v>5</v>
      </c>
    </row>
    <row r="9" customFormat="false" ht="15" hidden="false" customHeight="false" outlineLevel="0" collapsed="false">
      <c r="B9" s="2"/>
    </row>
    <row r="10" customFormat="false" ht="15" hidden="false" customHeight="false" outlineLevel="0" collapsed="false">
      <c r="B10" s="3" t="s">
        <v>6</v>
      </c>
    </row>
    <row r="11" customFormat="false" ht="25.5" hidden="false" customHeight="true" outlineLevel="0" collapsed="false">
      <c r="B11" s="2" t="s">
        <v>7</v>
      </c>
    </row>
    <row r="12" customFormat="false" ht="15" hidden="false" customHeight="false" outlineLevel="0" collapsed="false">
      <c r="B12" s="2" t="s">
        <v>8</v>
      </c>
    </row>
    <row r="13" customFormat="false" ht="15" hidden="false" customHeight="false" outlineLevel="0" collapsed="false">
      <c r="B13" s="2" t="s">
        <v>9</v>
      </c>
    </row>
    <row r="14" customFormat="false" ht="15" hidden="false" customHeight="false" outlineLevel="0" collapsed="false">
      <c r="B14" s="2"/>
    </row>
    <row r="15" customFormat="false" ht="15" hidden="false" customHeight="false" outlineLevel="0" collapsed="false">
      <c r="B15" s="3" t="s">
        <v>10</v>
      </c>
    </row>
    <row r="16" customFormat="false" ht="15" hidden="false" customHeight="false" outlineLevel="0" collapsed="false">
      <c r="B16" s="2" t="s">
        <v>11</v>
      </c>
    </row>
    <row r="17" customFormat="false" ht="25.5" hidden="false" customHeight="true" outlineLevel="0" collapsed="false">
      <c r="B17" s="2" t="s">
        <v>12</v>
      </c>
    </row>
    <row r="18" customFormat="false" ht="25.5" hidden="false" customHeight="true" outlineLevel="0" collapsed="false">
      <c r="B18" s="2" t="s">
        <v>13</v>
      </c>
    </row>
    <row r="19" customFormat="false" ht="15" hidden="false" customHeight="false" outlineLevel="0" collapsed="false">
      <c r="B19" s="2" t="s">
        <v>14</v>
      </c>
    </row>
    <row r="20" customFormat="false" ht="15" hidden="false" customHeight="false" outlineLevel="0" collapsed="false">
      <c r="B20" s="2"/>
    </row>
    <row r="21" customFormat="false" ht="15" hidden="false" customHeight="false" outlineLevel="0" collapsed="false">
      <c r="B21" s="3" t="s">
        <v>15</v>
      </c>
    </row>
    <row r="22" customFormat="false" ht="25.5" hidden="false" customHeight="true" outlineLevel="0" collapsed="false">
      <c r="B22" s="2" t="s">
        <v>16</v>
      </c>
    </row>
    <row r="23" customFormat="false" ht="15" hidden="false" customHeight="false" outlineLevel="0" collapsed="false">
      <c r="B23" s="2"/>
    </row>
    <row r="24" customFormat="false" ht="15" hidden="false" customHeight="false" outlineLevel="0" collapsed="false">
      <c r="B24" s="3" t="s">
        <v>17</v>
      </c>
    </row>
    <row r="25" customFormat="false" ht="15" hidden="false" customHeight="false" outlineLevel="0" collapsed="false">
      <c r="B25" s="2" t="s">
        <v>18</v>
      </c>
    </row>
    <row r="26" customFormat="false" ht="15" hidden="false" customHeight="false" outlineLevel="0" collapsed="false">
      <c r="B26" s="2" t="s">
        <v>19</v>
      </c>
    </row>
    <row r="27" customFormat="false" ht="15" hidden="false" customHeight="false" outlineLevel="0" collapsed="false">
      <c r="B27" s="2" t="s">
        <v>20</v>
      </c>
    </row>
    <row r="28" customFormat="false" ht="15" hidden="false" customHeight="false" outlineLevel="0" collapsed="false">
      <c r="B28" s="2" t="s">
        <v>21</v>
      </c>
    </row>
    <row r="30" customFormat="false" ht="15" hidden="false" customHeight="false" outlineLevel="0" collapsed="false">
      <c r="B30" s="4" t="s">
        <v>22</v>
      </c>
    </row>
    <row r="31" customFormat="false" ht="15" hidden="false" customHeight="false" outlineLevel="0" collapsed="false">
      <c r="B31" s="2" t="s">
        <v>23</v>
      </c>
    </row>
    <row r="32" customFormat="false" ht="15" hidden="false" customHeight="false" outlineLevel="0" collapsed="false">
      <c r="B32" s="2" t="s">
        <v>24</v>
      </c>
    </row>
    <row r="33" customFormat="false" ht="15" hidden="false" customHeight="false" outlineLevel="0" collapsed="false">
      <c r="B33" s="2" t="s">
        <v>25</v>
      </c>
    </row>
    <row r="34" customFormat="false" ht="15" hidden="false" customHeight="false" outlineLevel="0" collapsed="false">
      <c r="B34" s="2" t="s">
        <v>26</v>
      </c>
    </row>
    <row r="35" customFormat="false" ht="15" hidden="false" customHeight="false" outlineLevel="0" collapsed="false">
      <c r="B35" s="2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6"/>
    <col collapsed="false" customWidth="true" hidden="false" outlineLevel="0" max="9" min="3" style="0" width="13"/>
    <col collapsed="false" customWidth="true" hidden="false" outlineLevel="0" max="10" min="10" style="0" width="70"/>
  </cols>
  <sheetData>
    <row r="1" customFormat="false" ht="17.35" hidden="false" customHeight="false" outlineLevel="0" collapsed="false">
      <c r="A1" s="5" t="s">
        <v>28</v>
      </c>
    </row>
    <row r="2" customFormat="false" ht="15" hidden="false" customHeight="false" outlineLevel="0" collapsed="false">
      <c r="A2" s="6" t="s">
        <v>29</v>
      </c>
    </row>
    <row r="4" customFormat="false" ht="15" hidden="false" customHeight="false" outlineLevel="0" collapsed="false">
      <c r="A4" s="7" t="s">
        <v>30</v>
      </c>
    </row>
    <row r="5" customFormat="false" ht="15" hidden="false" customHeight="false" outlineLevel="0" collapsed="false">
      <c r="A5" s="8" t="s">
        <v>31</v>
      </c>
      <c r="B5" s="9" t="n">
        <v>0.05</v>
      </c>
      <c r="C5" s="10" t="s">
        <v>32</v>
      </c>
    </row>
    <row r="6" customFormat="false" ht="15" hidden="false" customHeight="false" outlineLevel="0" collapsed="false">
      <c r="A6" s="8" t="s">
        <v>33</v>
      </c>
      <c r="B6" s="11" t="n">
        <v>0.08</v>
      </c>
      <c r="C6" s="10" t="s">
        <v>34</v>
      </c>
    </row>
    <row r="7" customFormat="false" ht="15" hidden="false" customHeight="false" outlineLevel="0" collapsed="false">
      <c r="A7" s="8" t="s">
        <v>35</v>
      </c>
      <c r="B7" s="12" t="n">
        <f aca="false">'Mi portafolio'!$H$4</f>
        <v>25</v>
      </c>
      <c r="C7" s="10" t="s">
        <v>36</v>
      </c>
    </row>
    <row r="8" customFormat="false" ht="15" hidden="false" customHeight="false" outlineLevel="0" collapsed="false">
      <c r="A8" s="8" t="s">
        <v>37</v>
      </c>
      <c r="B8" s="13" t="n">
        <f aca="false">B6*B7/252</f>
        <v>0.00793650793650794</v>
      </c>
      <c r="C8" s="10"/>
    </row>
    <row r="9" customFormat="false" ht="15" hidden="false" customHeight="false" outlineLevel="0" collapsed="false">
      <c r="A9" s="8" t="s">
        <v>38</v>
      </c>
      <c r="B9" s="14" t="n">
        <f aca="false">SQRT(SUM(Covarianza!$B$6:$EO$149)/144^2*B7/252)</f>
        <v>0.0492667040658949</v>
      </c>
      <c r="C9" s="10" t="s">
        <v>39</v>
      </c>
    </row>
    <row r="10" customFormat="false" ht="15" hidden="false" customHeight="false" outlineLevel="0" collapsed="false">
      <c r="A10" s="8" t="s">
        <v>40</v>
      </c>
      <c r="B10" s="15" t="n">
        <v>0.2</v>
      </c>
      <c r="C10" s="10" t="s">
        <v>41</v>
      </c>
    </row>
    <row r="12" customFormat="false" ht="23.85" hidden="false" customHeight="false" outlineLevel="0" collapsed="false">
      <c r="A12" s="16" t="s">
        <v>42</v>
      </c>
      <c r="B12" s="16" t="s">
        <v>43</v>
      </c>
      <c r="C12" s="16" t="s">
        <v>44</v>
      </c>
    </row>
    <row r="13" customFormat="false" ht="15" hidden="false" customHeight="false" outlineLevel="0" collapsed="false">
      <c r="A13" s="8" t="s">
        <v>45</v>
      </c>
      <c r="B13" s="15" t="n">
        <v>0.25</v>
      </c>
      <c r="C13" s="13" t="n">
        <f aca="false">B8-B9</f>
        <v>-0.0413301961293869</v>
      </c>
    </row>
    <row r="14" customFormat="false" ht="15" hidden="false" customHeight="false" outlineLevel="0" collapsed="false">
      <c r="A14" s="8" t="s">
        <v>46</v>
      </c>
      <c r="B14" s="15" t="n">
        <v>0.5</v>
      </c>
      <c r="C14" s="13" t="n">
        <f aca="false">B8</f>
        <v>0.00793650793650794</v>
      </c>
    </row>
    <row r="15" customFormat="false" ht="15" hidden="false" customHeight="false" outlineLevel="0" collapsed="false">
      <c r="A15" s="8" t="s">
        <v>47</v>
      </c>
      <c r="B15" s="15" t="n">
        <v>0.25</v>
      </c>
      <c r="C15" s="13" t="n">
        <f aca="false">B8+B9</f>
        <v>0.0572032120024028</v>
      </c>
    </row>
    <row r="18" customFormat="false" ht="15" hidden="false" customHeight="false" outlineLevel="0" collapsed="false">
      <c r="A18" s="7" t="s">
        <v>48</v>
      </c>
    </row>
    <row r="19" customFormat="false" ht="42" hidden="false" customHeight="true" outlineLevel="0" collapsed="false">
      <c r="A19" s="16" t="s">
        <v>49</v>
      </c>
      <c r="B19" s="16" t="s">
        <v>50</v>
      </c>
      <c r="C19" s="16" t="s">
        <v>51</v>
      </c>
      <c r="D19" s="16" t="s">
        <v>52</v>
      </c>
      <c r="E19" s="16" t="s">
        <v>53</v>
      </c>
      <c r="F19" s="16" t="s">
        <v>54</v>
      </c>
      <c r="G19" s="16" t="s">
        <v>55</v>
      </c>
      <c r="H19" s="16" t="s">
        <v>56</v>
      </c>
      <c r="I19" s="16" t="s">
        <v>57</v>
      </c>
      <c r="J19" s="16" t="s">
        <v>58</v>
      </c>
    </row>
    <row r="20" customFormat="false" ht="15" hidden="false" customHeight="false" outlineLevel="0" collapsed="false">
      <c r="A20" s="17" t="s">
        <v>59</v>
      </c>
      <c r="B20" s="18" t="n">
        <v>5</v>
      </c>
      <c r="C20" s="19" t="n">
        <v>0.1556</v>
      </c>
      <c r="D20" s="19" t="n">
        <v>0.0693</v>
      </c>
      <c r="E20" s="20" t="n">
        <v>31585.1886</v>
      </c>
      <c r="F20" s="19" t="n">
        <v>0.5829</v>
      </c>
      <c r="G20" s="19" t="n">
        <v>0.2055</v>
      </c>
      <c r="H20" s="20" t="n">
        <v>-274081.0642</v>
      </c>
      <c r="I20" s="20" t="n">
        <v>340792.7719</v>
      </c>
      <c r="J20" s="10" t="s">
        <v>60</v>
      </c>
    </row>
    <row r="21" customFormat="false" ht="15" hidden="false" customHeight="false" outlineLevel="0" collapsed="false">
      <c r="A21" s="21" t="s">
        <v>59</v>
      </c>
      <c r="B21" s="22" t="n">
        <v>6</v>
      </c>
      <c r="C21" s="23" t="n">
        <v>0.1513</v>
      </c>
      <c r="D21" s="23" t="n">
        <v>0.0659</v>
      </c>
      <c r="E21" s="24" t="n">
        <v>31343.0911</v>
      </c>
      <c r="F21" s="23" t="n">
        <v>0.5842</v>
      </c>
      <c r="G21" s="23" t="n">
        <v>0.2012</v>
      </c>
      <c r="H21" s="24" t="n">
        <v>-268336.3033</v>
      </c>
      <c r="I21" s="24" t="n">
        <v>333952.3406</v>
      </c>
      <c r="J21" s="10" t="s">
        <v>61</v>
      </c>
    </row>
    <row r="22" customFormat="false" ht="15" hidden="false" customHeight="false" outlineLevel="0" collapsed="false">
      <c r="A22" s="21" t="s">
        <v>59</v>
      </c>
      <c r="B22" s="22" t="n">
        <v>7</v>
      </c>
      <c r="C22" s="23" t="n">
        <v>0.1446</v>
      </c>
      <c r="D22" s="23" t="n">
        <v>0.0619</v>
      </c>
      <c r="E22" s="24" t="n">
        <v>30911.3877</v>
      </c>
      <c r="F22" s="23" t="n">
        <v>0.5853</v>
      </c>
      <c r="G22" s="23" t="n">
        <v>0.1957</v>
      </c>
      <c r="H22" s="24" t="n">
        <v>-260766.818</v>
      </c>
      <c r="I22" s="24" t="n">
        <v>324738.3163</v>
      </c>
      <c r="J22" s="10" t="s">
        <v>62</v>
      </c>
    </row>
    <row r="23" customFormat="false" ht="15" hidden="false" customHeight="false" outlineLevel="0" collapsed="false">
      <c r="A23" s="21" t="s">
        <v>59</v>
      </c>
      <c r="B23" s="22" t="n">
        <v>8</v>
      </c>
      <c r="C23" s="23" t="n">
        <v>0.1382</v>
      </c>
      <c r="D23" s="23" t="n">
        <v>0.0572</v>
      </c>
      <c r="E23" s="24" t="n">
        <v>30549.94</v>
      </c>
      <c r="F23" s="23" t="n">
        <v>0.5865</v>
      </c>
      <c r="G23" s="23" t="n">
        <v>0.19</v>
      </c>
      <c r="H23" s="24" t="n">
        <v>-252650.7267</v>
      </c>
      <c r="I23" s="24" t="n">
        <v>315689.8785</v>
      </c>
      <c r="J23" s="10" t="s">
        <v>63</v>
      </c>
    </row>
    <row r="24" customFormat="false" ht="15" hidden="false" customHeight="false" outlineLevel="0" collapsed="false">
      <c r="A24" s="21" t="s">
        <v>59</v>
      </c>
      <c r="B24" s="22" t="n">
        <v>9</v>
      </c>
      <c r="C24" s="23" t="n">
        <v>0.1311</v>
      </c>
      <c r="D24" s="23" t="n">
        <v>0.0532</v>
      </c>
      <c r="E24" s="24" t="n">
        <v>30032.2567</v>
      </c>
      <c r="F24" s="23" t="n">
        <v>0.5877</v>
      </c>
      <c r="G24" s="23" t="n">
        <v>0.1839</v>
      </c>
      <c r="H24" s="24" t="n">
        <v>-245039.4406</v>
      </c>
      <c r="I24" s="24" t="n">
        <v>306683.0408</v>
      </c>
      <c r="J24" s="10" t="s">
        <v>64</v>
      </c>
    </row>
    <row r="25" customFormat="false" ht="15" hidden="false" customHeight="false" outlineLevel="0" collapsed="false">
      <c r="A25" s="21" t="s">
        <v>59</v>
      </c>
      <c r="B25" s="22" t="n">
        <v>10</v>
      </c>
      <c r="C25" s="23" t="n">
        <v>0.1248</v>
      </c>
      <c r="D25" s="23" t="n">
        <v>0.049</v>
      </c>
      <c r="E25" s="24" t="n">
        <v>29681.0389</v>
      </c>
      <c r="F25" s="23" t="n">
        <v>0.5892</v>
      </c>
      <c r="G25" s="23" t="n">
        <v>0.1783</v>
      </c>
      <c r="H25" s="24" t="n">
        <v>-237304.3077</v>
      </c>
      <c r="I25" s="24" t="n">
        <v>298303.1619</v>
      </c>
      <c r="J25" s="10" t="s">
        <v>65</v>
      </c>
    </row>
    <row r="26" customFormat="false" ht="15" hidden="false" customHeight="false" outlineLevel="0" collapsed="false">
      <c r="A26" s="21" t="s">
        <v>59</v>
      </c>
      <c r="B26" s="22" t="n">
        <v>11</v>
      </c>
      <c r="C26" s="23" t="n">
        <v>0.1177</v>
      </c>
      <c r="D26" s="23" t="n">
        <v>0.0453</v>
      </c>
      <c r="E26" s="24" t="n">
        <v>29194.9746</v>
      </c>
      <c r="F26" s="23" t="n">
        <v>0.59</v>
      </c>
      <c r="G26" s="23" t="n">
        <v>0.1715</v>
      </c>
      <c r="H26" s="24" t="n">
        <v>-229623.0526</v>
      </c>
      <c r="I26" s="24" t="n">
        <v>289627.5719</v>
      </c>
      <c r="J26" s="10" t="s">
        <v>66</v>
      </c>
    </row>
    <row r="27" customFormat="false" ht="15" hidden="false" customHeight="false" outlineLevel="0" collapsed="false">
      <c r="A27" s="21" t="s">
        <v>59</v>
      </c>
      <c r="B27" s="22" t="n">
        <v>12</v>
      </c>
      <c r="C27" s="23" t="n">
        <v>0.1107</v>
      </c>
      <c r="D27" s="23" t="n">
        <v>0.0415</v>
      </c>
      <c r="E27" s="24" t="n">
        <v>28681.8429</v>
      </c>
      <c r="F27" s="23" t="n">
        <v>0.5911</v>
      </c>
      <c r="G27" s="23" t="n">
        <v>0.1658</v>
      </c>
      <c r="H27" s="24" t="n">
        <v>-221584.9788</v>
      </c>
      <c r="I27" s="24" t="n">
        <v>280803.9673</v>
      </c>
      <c r="J27" s="10" t="s">
        <v>67</v>
      </c>
    </row>
    <row r="28" customFormat="false" ht="15" hidden="false" customHeight="false" outlineLevel="0" collapsed="false">
      <c r="A28" s="21" t="s">
        <v>68</v>
      </c>
      <c r="B28" s="22" t="n">
        <v>5</v>
      </c>
      <c r="C28" s="23" t="n">
        <v>0.0291</v>
      </c>
      <c r="D28" s="23" t="n">
        <v>0.0075</v>
      </c>
      <c r="E28" s="24" t="n">
        <v>20109.7686</v>
      </c>
      <c r="F28" s="23" t="n">
        <v>0.608</v>
      </c>
      <c r="G28" s="23" t="n">
        <v>0.0756</v>
      </c>
      <c r="H28" s="24" t="n">
        <v>-124544.3644</v>
      </c>
      <c r="I28" s="24" t="n">
        <v>165154.4873</v>
      </c>
      <c r="J28" s="10" t="s">
        <v>69</v>
      </c>
    </row>
    <row r="29" customFormat="false" ht="15" hidden="false" customHeight="false" outlineLevel="0" collapsed="false">
      <c r="A29" s="21" t="s">
        <v>68</v>
      </c>
      <c r="B29" s="22" t="n">
        <v>6</v>
      </c>
      <c r="C29" s="23" t="n">
        <v>0.0271</v>
      </c>
      <c r="D29" s="23" t="n">
        <v>0.0068</v>
      </c>
      <c r="E29" s="24" t="n">
        <v>19717.5406</v>
      </c>
      <c r="F29" s="23" t="n">
        <v>0.6077</v>
      </c>
      <c r="G29" s="23" t="n">
        <v>0.0727</v>
      </c>
      <c r="H29" s="24" t="n">
        <v>-121803.074</v>
      </c>
      <c r="I29" s="24" t="n">
        <v>161832.3726</v>
      </c>
      <c r="J29" s="10" t="s">
        <v>70</v>
      </c>
    </row>
    <row r="30" customFormat="false" ht="15" hidden="false" customHeight="false" outlineLevel="0" collapsed="false">
      <c r="A30" s="21" t="s">
        <v>68</v>
      </c>
      <c r="B30" s="22" t="n">
        <v>7</v>
      </c>
      <c r="C30" s="23" t="n">
        <v>0.0258</v>
      </c>
      <c r="D30" s="23" t="n">
        <v>0.0065</v>
      </c>
      <c r="E30" s="24" t="n">
        <v>19431.341</v>
      </c>
      <c r="F30" s="23" t="n">
        <v>0.6073</v>
      </c>
      <c r="G30" s="23" t="n">
        <v>0.0709</v>
      </c>
      <c r="H30" s="24" t="n">
        <v>-120155.0368</v>
      </c>
      <c r="I30" s="24" t="n">
        <v>159563.7672</v>
      </c>
      <c r="J30" s="10" t="s">
        <v>71</v>
      </c>
    </row>
    <row r="31" customFormat="false" ht="15" hidden="false" customHeight="false" outlineLevel="0" collapsed="false">
      <c r="A31" s="21" t="s">
        <v>68</v>
      </c>
      <c r="B31" s="22" t="n">
        <v>8</v>
      </c>
      <c r="C31" s="23" t="n">
        <v>0.0239</v>
      </c>
      <c r="D31" s="23" t="n">
        <v>0.006</v>
      </c>
      <c r="E31" s="24" t="n">
        <v>18927.635</v>
      </c>
      <c r="F31" s="23" t="n">
        <v>0.6072</v>
      </c>
      <c r="G31" s="23" t="n">
        <v>0.0683</v>
      </c>
      <c r="H31" s="24" t="n">
        <v>-117612.8949</v>
      </c>
      <c r="I31" s="24" t="n">
        <v>155752.9733</v>
      </c>
      <c r="J31" s="10" t="s">
        <v>72</v>
      </c>
    </row>
    <row r="32" customFormat="false" ht="15" hidden="false" customHeight="false" outlineLevel="0" collapsed="false">
      <c r="A32" s="21" t="s">
        <v>68</v>
      </c>
      <c r="B32" s="22" t="n">
        <v>9</v>
      </c>
      <c r="C32" s="23" t="n">
        <v>0.0225</v>
      </c>
      <c r="D32" s="23" t="n">
        <v>0.0056</v>
      </c>
      <c r="E32" s="24" t="n">
        <v>18455.4082</v>
      </c>
      <c r="F32" s="23" t="n">
        <v>0.607</v>
      </c>
      <c r="G32" s="23" t="n">
        <v>0.0659</v>
      </c>
      <c r="H32" s="24" t="n">
        <v>-115155.0345</v>
      </c>
      <c r="I32" s="24" t="n">
        <v>152325.7377</v>
      </c>
      <c r="J32" s="10" t="s">
        <v>73</v>
      </c>
    </row>
    <row r="33" customFormat="false" ht="15" hidden="false" customHeight="false" outlineLevel="0" collapsed="false">
      <c r="A33" s="21" t="s">
        <v>68</v>
      </c>
      <c r="B33" s="22" t="n">
        <v>10</v>
      </c>
      <c r="C33" s="23" t="n">
        <v>0.0215</v>
      </c>
      <c r="D33" s="23" t="n">
        <v>0.0053</v>
      </c>
      <c r="E33" s="24" t="n">
        <v>18134.8837</v>
      </c>
      <c r="F33" s="23" t="n">
        <v>0.6063</v>
      </c>
      <c r="G33" s="23" t="n">
        <v>0.0648</v>
      </c>
      <c r="H33" s="24" t="n">
        <v>-113857.7661</v>
      </c>
      <c r="I33" s="24" t="n">
        <v>150117.4224</v>
      </c>
      <c r="J33" s="10" t="s">
        <v>74</v>
      </c>
    </row>
    <row r="34" customFormat="false" ht="15" hidden="false" customHeight="false" outlineLevel="0" collapsed="false">
      <c r="A34" s="21" t="s">
        <v>68</v>
      </c>
      <c r="B34" s="22" t="n">
        <v>11</v>
      </c>
      <c r="C34" s="23" t="n">
        <v>0.0206</v>
      </c>
      <c r="D34" s="23" t="n">
        <v>0.0049</v>
      </c>
      <c r="E34" s="24" t="n">
        <v>17846.9218</v>
      </c>
      <c r="F34" s="23" t="n">
        <v>0.606</v>
      </c>
      <c r="G34" s="23" t="n">
        <v>0.0631</v>
      </c>
      <c r="H34" s="24" t="n">
        <v>-111893.5166</v>
      </c>
      <c r="I34" s="24" t="n">
        <v>148168.3604</v>
      </c>
      <c r="J34" s="10" t="s">
        <v>75</v>
      </c>
    </row>
    <row r="35" customFormat="false" ht="15" hidden="false" customHeight="false" outlineLevel="0" collapsed="false">
      <c r="A35" s="21" t="s">
        <v>68</v>
      </c>
      <c r="B35" s="22" t="n">
        <v>12</v>
      </c>
      <c r="C35" s="23" t="n">
        <v>0.0198</v>
      </c>
      <c r="D35" s="23" t="n">
        <v>0.0047</v>
      </c>
      <c r="E35" s="24" t="n">
        <v>17529.5876</v>
      </c>
      <c r="F35" s="23" t="n">
        <v>0.6054</v>
      </c>
      <c r="G35" s="23" t="n">
        <v>0.0621</v>
      </c>
      <c r="H35" s="24" t="n">
        <v>-110701.986</v>
      </c>
      <c r="I35" s="24" t="n">
        <v>146289.2729</v>
      </c>
      <c r="J35" s="10" t="s">
        <v>76</v>
      </c>
    </row>
    <row r="36" customFormat="false" ht="15" hidden="false" customHeight="false" outlineLevel="0" collapsed="false">
      <c r="A36" s="21" t="s">
        <v>77</v>
      </c>
      <c r="B36" s="22" t="n">
        <v>5</v>
      </c>
      <c r="C36" s="23" t="n">
        <v>0.0077</v>
      </c>
      <c r="D36" s="23" t="n">
        <v>0.0017</v>
      </c>
      <c r="E36" s="24" t="n">
        <v>5324.7583</v>
      </c>
      <c r="F36" s="23" t="n">
        <v>0.5405</v>
      </c>
      <c r="G36" s="23" t="n">
        <v>0.0457</v>
      </c>
      <c r="H36" s="24" t="n">
        <v>-95996.0468</v>
      </c>
      <c r="I36" s="24" t="n">
        <v>105529.4737</v>
      </c>
      <c r="J36" s="10" t="s">
        <v>78</v>
      </c>
    </row>
    <row r="38" customFormat="false" ht="15" hidden="false" customHeight="false" outlineLevel="0" collapsed="false">
      <c r="A38" s="7" t="s">
        <v>79</v>
      </c>
    </row>
    <row r="39" customFormat="false" ht="15" hidden="false" customHeight="false" outlineLevel="0" collapsed="false">
      <c r="A39" s="21" t="s">
        <v>80</v>
      </c>
      <c r="B39" s="17" t="s">
        <v>81</v>
      </c>
    </row>
    <row r="40" customFormat="false" ht="15" hidden="false" customHeight="false" outlineLevel="0" collapsed="false">
      <c r="A40" s="21" t="s">
        <v>58</v>
      </c>
      <c r="B40" s="21" t="s">
        <v>60</v>
      </c>
    </row>
    <row r="41" customFormat="false" ht="15" hidden="false" customHeight="false" outlineLevel="0" collapsed="false">
      <c r="A41" s="21" t="s">
        <v>82</v>
      </c>
      <c r="B41" s="25" t="n">
        <f aca="false">Portafolios!F28</f>
        <v>31585.1886195307</v>
      </c>
    </row>
    <row r="42" customFormat="false" ht="15" hidden="false" customHeight="false" outlineLevel="0" collapsed="false">
      <c r="A42" s="21" t="s">
        <v>83</v>
      </c>
      <c r="B42" s="26" t="n">
        <f aca="false">Portafolios!F25</f>
        <v>-68690.5199135289</v>
      </c>
    </row>
    <row r="43" customFormat="false" ht="15" hidden="false" customHeight="false" outlineLevel="0" collapsed="false">
      <c r="A43" s="21" t="s">
        <v>84</v>
      </c>
      <c r="B43" s="26" t="n">
        <f aca="false">Portafolios!F26</f>
        <v>31585.1886195307</v>
      </c>
    </row>
    <row r="44" customFormat="false" ht="15" hidden="false" customHeight="false" outlineLevel="0" collapsed="false">
      <c r="A44" s="21" t="s">
        <v>85</v>
      </c>
      <c r="B44" s="26" t="n">
        <f aca="false">Portafolios!F27</f>
        <v>131860.89715259</v>
      </c>
    </row>
    <row r="45" customFormat="false" ht="15" hidden="false" customHeight="false" outlineLevel="0" collapsed="false">
      <c r="A45" s="21" t="s">
        <v>86</v>
      </c>
      <c r="B45" s="27" t="n">
        <v>5173</v>
      </c>
    </row>
    <row r="46" customFormat="false" ht="15" hidden="false" customHeight="false" outlineLevel="0" collapsed="false">
      <c r="A46" s="21" t="s">
        <v>87</v>
      </c>
      <c r="B46" s="28" t="n">
        <v>0.1263</v>
      </c>
    </row>
    <row r="48" customFormat="false" ht="30" hidden="false" customHeight="true" outlineLevel="0" collapsed="false">
      <c r="A48" s="29" t="s">
        <v>88</v>
      </c>
      <c r="B48" s="29"/>
      <c r="C48" s="29"/>
      <c r="D48" s="29"/>
      <c r="E48" s="29"/>
      <c r="F48" s="29"/>
      <c r="G48" s="29"/>
      <c r="H48" s="29"/>
      <c r="I48" s="29"/>
      <c r="J48" s="29"/>
    </row>
    <row r="49" customFormat="false" ht="30" hidden="false" customHeight="true" outlineLevel="0" collapsed="false">
      <c r="A49" s="29" t="s">
        <v>89</v>
      </c>
      <c r="B49" s="29"/>
      <c r="C49" s="29"/>
      <c r="D49" s="29"/>
      <c r="E49" s="29"/>
      <c r="F49" s="29"/>
      <c r="G49" s="29"/>
      <c r="H49" s="29"/>
      <c r="I49" s="29"/>
      <c r="J49" s="29"/>
    </row>
    <row r="50" customFormat="false" ht="30" hidden="false" customHeight="true" outlineLevel="0" collapsed="false">
      <c r="A50" s="29" t="s">
        <v>90</v>
      </c>
      <c r="B50" s="29"/>
      <c r="C50" s="29"/>
      <c r="D50" s="29"/>
      <c r="E50" s="29"/>
      <c r="F50" s="29"/>
      <c r="G50" s="29"/>
      <c r="H50" s="29"/>
      <c r="I50" s="29"/>
      <c r="J50" s="29"/>
    </row>
    <row r="51" customFormat="false" ht="30" hidden="false" customHeight="true" outlineLevel="0" collapsed="false">
      <c r="A51" s="29" t="s">
        <v>91</v>
      </c>
      <c r="B51" s="29"/>
      <c r="C51" s="29"/>
      <c r="D51" s="29"/>
      <c r="E51" s="29"/>
      <c r="F51" s="29"/>
      <c r="G51" s="29"/>
      <c r="H51" s="29"/>
      <c r="I51" s="29"/>
      <c r="J51" s="29"/>
    </row>
    <row r="52" customFormat="false" ht="30" hidden="false" customHeight="true" outlineLevel="0" collapsed="false">
      <c r="A52" s="29" t="s">
        <v>92</v>
      </c>
      <c r="B52" s="29"/>
      <c r="C52" s="29"/>
      <c r="D52" s="29"/>
      <c r="E52" s="29"/>
      <c r="F52" s="29"/>
      <c r="G52" s="29"/>
      <c r="H52" s="29"/>
      <c r="I52" s="29"/>
      <c r="J52" s="29"/>
    </row>
  </sheetData>
  <mergeCells count="5">
    <mergeCell ref="A48:J48"/>
    <mergeCell ref="A49:J49"/>
    <mergeCell ref="A50:J50"/>
    <mergeCell ref="A51:J51"/>
    <mergeCell ref="A52:J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9" min="3" style="0" width="15"/>
  </cols>
  <sheetData>
    <row r="1" customFormat="false" ht="17.35" hidden="false" customHeight="false" outlineLevel="0" collapsed="false">
      <c r="A1" s="5" t="s">
        <v>93</v>
      </c>
    </row>
    <row r="2" customFormat="false" ht="15" hidden="false" customHeight="false" outlineLevel="0" collapsed="false">
      <c r="A2" s="6" t="s">
        <v>94</v>
      </c>
    </row>
    <row r="4" customFormat="false" ht="36" hidden="false" customHeight="true" outlineLevel="0" collapsed="false">
      <c r="A4" s="16" t="s">
        <v>95</v>
      </c>
      <c r="B4" s="16" t="s">
        <v>96</v>
      </c>
      <c r="C4" s="16" t="s">
        <v>97</v>
      </c>
      <c r="D4" s="16" t="s">
        <v>98</v>
      </c>
      <c r="E4" s="16" t="s">
        <v>99</v>
      </c>
      <c r="F4" s="16" t="s">
        <v>100</v>
      </c>
      <c r="G4" s="16" t="s">
        <v>101</v>
      </c>
      <c r="H4" s="16" t="s">
        <v>102</v>
      </c>
      <c r="I4" s="16" t="s">
        <v>103</v>
      </c>
    </row>
    <row r="5" customFormat="false" ht="15" hidden="false" customHeight="false" outlineLevel="0" collapsed="false">
      <c r="A5" s="8" t="s">
        <v>104</v>
      </c>
      <c r="B5" s="30" t="str">
        <f aca="false">INDEX(Acciones!$B$5:$B$148,MATCH($A5,Acciones!$A$5:$A$148,0))</f>
        <v>Exterior (SIC)</v>
      </c>
      <c r="C5" s="15" t="n">
        <v>0.5</v>
      </c>
      <c r="D5" s="31" t="n">
        <v>19524.99</v>
      </c>
      <c r="E5" s="32" t="n">
        <f aca="false">INT(C5*'Mi portafolio'!$C$4*0.997/D5)</f>
        <v>25</v>
      </c>
      <c r="F5" s="33" t="n">
        <f aca="false">E5*D5</f>
        <v>488124.75</v>
      </c>
      <c r="G5" s="34" t="n">
        <f aca="false">F5*'Mi portafolio'!$C$5</f>
        <v>566.22471</v>
      </c>
      <c r="H5" s="33" t="n">
        <f aca="false">F5+G5</f>
        <v>488690.97471</v>
      </c>
      <c r="I5" s="30" t="str">
        <f aca="false">INDEX(Acciones!$Y$5:$Y$148,MATCH($A5,Acciones!$A$5:$A$148,0))</f>
        <v>2026-12-23</v>
      </c>
    </row>
    <row r="6" customFormat="false" ht="15" hidden="false" customHeight="false" outlineLevel="0" collapsed="false">
      <c r="A6" s="8" t="s">
        <v>105</v>
      </c>
      <c r="B6" s="30" t="str">
        <f aca="false">INDEX(Acciones!$B$5:$B$148,MATCH($A6,Acciones!$A$5:$A$148,0))</f>
        <v>Exterior (SIC)</v>
      </c>
      <c r="C6" s="15" t="n">
        <v>0.41</v>
      </c>
      <c r="D6" s="31" t="n">
        <v>1999.99</v>
      </c>
      <c r="E6" s="32" t="n">
        <f aca="false">INT(C6*'Mi portafolio'!$C$4*0.997/D6)</f>
        <v>204</v>
      </c>
      <c r="F6" s="33" t="n">
        <f aca="false">E6*D6</f>
        <v>407997.96</v>
      </c>
      <c r="G6" s="34" t="n">
        <f aca="false">F6*'Mi portafolio'!$C$5</f>
        <v>473.2776336</v>
      </c>
      <c r="H6" s="33" t="n">
        <f aca="false">F6+G6</f>
        <v>408471.2376336</v>
      </c>
      <c r="I6" s="30" t="str">
        <f aca="false">INDEX(Acciones!$Y$5:$Y$148,MATCH($A6,Acciones!$A$5:$A$148,0))</f>
        <v>2026-10-29</v>
      </c>
    </row>
    <row r="7" customFormat="false" ht="15" hidden="false" customHeight="false" outlineLevel="0" collapsed="false">
      <c r="A7" s="8" t="s">
        <v>106</v>
      </c>
      <c r="B7" s="30" t="str">
        <f aca="false">INDEX(Acciones!$B$5:$B$148,MATCH($A7,Acciones!$A$5:$A$148,0))</f>
        <v>Mexicana</v>
      </c>
      <c r="C7" s="15" t="n">
        <v>0.03</v>
      </c>
      <c r="D7" s="31" t="n">
        <v>274.13</v>
      </c>
      <c r="E7" s="32" t="n">
        <f aca="false">INT(C7*'Mi portafolio'!$C$4*0.997/D7)</f>
        <v>109</v>
      </c>
      <c r="F7" s="33" t="n">
        <f aca="false">E7*D7</f>
        <v>29880.17</v>
      </c>
      <c r="G7" s="34" t="n">
        <f aca="false">F7*'Mi portafolio'!$C$5</f>
        <v>34.6609972</v>
      </c>
      <c r="H7" s="33" t="n">
        <f aca="false">F7+G7</f>
        <v>29914.8309972</v>
      </c>
      <c r="I7" s="30" t="str">
        <f aca="false">INDEX(Acciones!$Y$5:$Y$148,MATCH($A7,Acciones!$A$5:$A$148,0))</f>
        <v>2026-10-22</v>
      </c>
    </row>
    <row r="8" customFormat="false" ht="15" hidden="false" customHeight="false" outlineLevel="0" collapsed="false">
      <c r="A8" s="8" t="s">
        <v>107</v>
      </c>
      <c r="B8" s="30" t="str">
        <f aca="false">INDEX(Acciones!$B$5:$B$148,MATCH($A8,Acciones!$A$5:$A$148,0))</f>
        <v>Mexicana</v>
      </c>
      <c r="C8" s="15" t="n">
        <v>0.03</v>
      </c>
      <c r="D8" s="31" t="n">
        <v>189.55</v>
      </c>
      <c r="E8" s="32" t="n">
        <f aca="false">INT(C8*'Mi portafolio'!$C$4*0.997/D8)</f>
        <v>157</v>
      </c>
      <c r="F8" s="33" t="n">
        <f aca="false">E8*D8</f>
        <v>29759.35</v>
      </c>
      <c r="G8" s="34" t="n">
        <f aca="false">F8*'Mi portafolio'!$C$5</f>
        <v>34.520846</v>
      </c>
      <c r="H8" s="33" t="n">
        <f aca="false">F8+G8</f>
        <v>29793.870846</v>
      </c>
      <c r="I8" s="30" t="str">
        <f aca="false">INDEX(Acciones!$Y$5:$Y$148,MATCH($A8,Acciones!$A$5:$A$148,0))</f>
        <v>2026-11-03</v>
      </c>
    </row>
    <row r="9" customFormat="false" ht="15" hidden="false" customHeight="false" outlineLevel="0" collapsed="false">
      <c r="A9" s="8" t="s">
        <v>108</v>
      </c>
      <c r="B9" s="30" t="str">
        <f aca="false">INDEX(Acciones!$B$5:$B$148,MATCH($A9,Acciones!$A$5:$A$148,0))</f>
        <v>Mexicana</v>
      </c>
      <c r="C9" s="15" t="n">
        <v>0.03</v>
      </c>
      <c r="D9" s="31" t="n">
        <v>35.25</v>
      </c>
      <c r="E9" s="32" t="n">
        <f aca="false">INT(C9*'Mi portafolio'!$C$4*0.997/D9)</f>
        <v>848</v>
      </c>
      <c r="F9" s="33" t="n">
        <f aca="false">E9*D9</f>
        <v>29892</v>
      </c>
      <c r="G9" s="34" t="n">
        <f aca="false">F9*'Mi portafolio'!$C$5</f>
        <v>34.67472</v>
      </c>
      <c r="H9" s="33" t="n">
        <f aca="false">F9+G9</f>
        <v>29926.67472</v>
      </c>
      <c r="I9" s="30" t="str">
        <f aca="false">INDEX(Acciones!$Y$5:$Y$148,MATCH($A9,Acciones!$A$5:$A$148,0))</f>
        <v>2026-10-20</v>
      </c>
    </row>
    <row r="10" customFormat="false" ht="15" hidden="false" customHeight="false" outlineLevel="0" collapsed="false">
      <c r="A10" s="8" t="s">
        <v>109</v>
      </c>
      <c r="C10" s="35" t="n">
        <f aca="false">SUM(C5:C9)</f>
        <v>1</v>
      </c>
      <c r="F10" s="36" t="n">
        <f aca="false">SUM(F5:F9)</f>
        <v>985654.23</v>
      </c>
      <c r="G10" s="36" t="n">
        <f aca="false">SUM(G5:G9)</f>
        <v>1143.3589068</v>
      </c>
      <c r="H10" s="36" t="n">
        <f aca="false">SUM(H5:H9)</f>
        <v>986797.5889068</v>
      </c>
    </row>
    <row r="11" customFormat="false" ht="15" hidden="false" customHeight="false" outlineLevel="0" collapsed="false">
      <c r="A11" s="8" t="s">
        <v>110</v>
      </c>
      <c r="H11" s="36" t="n">
        <f aca="false">'Mi portafolio'!$C$4-H10</f>
        <v>13202.4110932</v>
      </c>
    </row>
    <row r="13" customFormat="false" ht="15" hidden="false" customHeight="false" outlineLevel="0" collapsed="false">
      <c r="A13" s="37" t="s">
        <v>111</v>
      </c>
    </row>
    <row r="14" customFormat="false" ht="15" hidden="false" customHeight="false" outlineLevel="0" collapsed="false">
      <c r="A14" s="38" t="s">
        <v>112</v>
      </c>
    </row>
    <row r="15" customFormat="false" ht="15" hidden="false" customHeight="false" outlineLevel="0" collapsed="false">
      <c r="A15" s="38" t="s">
        <v>113</v>
      </c>
    </row>
    <row r="16" customFormat="false" ht="15" hidden="false" customHeight="false" outlineLevel="0" collapsed="false">
      <c r="A16" s="38" t="s">
        <v>114</v>
      </c>
    </row>
    <row r="17" customFormat="false" ht="15" hidden="false" customHeight="false" outlineLevel="0" collapsed="false">
      <c r="A17" s="38" t="s">
        <v>115</v>
      </c>
    </row>
    <row r="18" customFormat="false" ht="15" hidden="false" customHeight="false" outlineLevel="0" collapsed="false">
      <c r="A18" s="38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9"/>
    <col collapsed="false" customWidth="true" hidden="false" outlineLevel="0" max="3" min="3" style="0" width="14"/>
    <col collapsed="false" customWidth="true" hidden="false" outlineLevel="0" max="4" min="4" style="0" width="17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3" min="11" style="0" width="15"/>
    <col collapsed="false" customWidth="true" hidden="false" outlineLevel="0" max="14" min="14" style="0" width="7"/>
    <col collapsed="false" customWidth="true" hidden="false" outlineLevel="0" max="15" min="15" style="0" width="9"/>
  </cols>
  <sheetData>
    <row r="1" customFormat="false" ht="18.75" hidden="false" customHeight="true" outlineLevel="0" collapsed="false">
      <c r="A1" s="5" t="s">
        <v>117</v>
      </c>
    </row>
    <row r="2" customFormat="false" ht="15" hidden="false" customHeight="false" outlineLevel="0" collapsed="false">
      <c r="A2" s="39" t="s">
        <v>118</v>
      </c>
    </row>
    <row r="4" customFormat="false" ht="15" hidden="false" customHeight="false" outlineLevel="0" collapsed="false">
      <c r="A4" s="37" t="s">
        <v>119</v>
      </c>
      <c r="C4" s="40" t="n">
        <v>1000000</v>
      </c>
      <c r="E4" s="37" t="s">
        <v>120</v>
      </c>
      <c r="H4" s="41" t="n">
        <v>25</v>
      </c>
    </row>
    <row r="5" customFormat="false" ht="15" hidden="false" customHeight="false" outlineLevel="0" collapsed="false">
      <c r="A5" s="37" t="s">
        <v>121</v>
      </c>
      <c r="C5" s="42" t="n">
        <f aca="false">0.001*1.16</f>
        <v>0.00116</v>
      </c>
    </row>
    <row r="7" customFormat="false" ht="48" hidden="false" customHeight="true" outlineLevel="0" collapsed="false">
      <c r="A7" s="43" t="s">
        <v>95</v>
      </c>
      <c r="B7" s="43" t="s">
        <v>122</v>
      </c>
      <c r="C7" s="43" t="s">
        <v>96</v>
      </c>
      <c r="D7" s="43" t="s">
        <v>123</v>
      </c>
      <c r="E7" s="43" t="s">
        <v>124</v>
      </c>
      <c r="F7" s="43" t="s">
        <v>125</v>
      </c>
      <c r="G7" s="43" t="s">
        <v>126</v>
      </c>
      <c r="H7" s="43" t="s">
        <v>127</v>
      </c>
      <c r="I7" s="43" t="s">
        <v>128</v>
      </c>
      <c r="J7" s="43" t="s">
        <v>129</v>
      </c>
      <c r="K7" s="43" t="s">
        <v>130</v>
      </c>
      <c r="L7" s="43" t="s">
        <v>131</v>
      </c>
      <c r="M7" s="43" t="s">
        <v>132</v>
      </c>
      <c r="N7" s="43" t="s">
        <v>133</v>
      </c>
      <c r="O7" s="43" t="s">
        <v>134</v>
      </c>
    </row>
    <row r="8" customFormat="false" ht="15" hidden="false" customHeight="false" outlineLevel="0" collapsed="false">
      <c r="A8" s="44" t="s">
        <v>104</v>
      </c>
      <c r="B8" s="45" t="n">
        <v>0.5</v>
      </c>
      <c r="C8" s="46" t="str">
        <f aca="false">IF($A8="","",INDEX(Acciones!$B$5:$B$148,MATCH($A8,Acciones!$A$5:$A$148,0)))</f>
        <v>Exterior (SIC)</v>
      </c>
      <c r="D8" s="46" t="str">
        <f aca="false">IF($A8="","",INDEX(Acciones!$U$5:$U$148,MATCH($A8,Acciones!$A$5:$A$148,0)))</f>
        <v>Mayor movimiento</v>
      </c>
      <c r="E8" s="47" t="n">
        <f aca="false">IF($A8="","",INDEX(Acciones!$O$5:$O$148,MATCH($A8,Acciones!$A$5:$A$148,0)))</f>
        <v>0.807498357100623</v>
      </c>
      <c r="F8" s="47" t="n">
        <f aca="false">IF($A8="","",E8*SQRT($H$4/252))</f>
        <v>0.254338075831128</v>
      </c>
      <c r="G8" s="47" t="n">
        <f aca="false">IF($A8="","",INDEX(Acciones!$Q$5:$Q$148,MATCH($A8,Acciones!$A$5:$A$148,0)))</f>
        <v>-0.397310573623586</v>
      </c>
      <c r="H8" s="48" t="n">
        <f aca="false">IF($A8="","",IF(INDEX(Acciones!$G$5:$G$148,MATCH($A8,Acciones!$A$5:$A$148,0))="","n/d",INDEX(Acciones!$G$5:$G$148,MATCH($A8,Acciones!$A$5:$A$148,0))))</f>
        <v>0.0090021865</v>
      </c>
      <c r="I8" s="46" t="str">
        <f aca="false">IF($A8="","",INDEX(Acciones!$J$5:$J$148,MATCH($A8,Acciones!$A$5:$A$148,0)))</f>
        <v>Sí</v>
      </c>
      <c r="J8" s="49" t="n">
        <f aca="false">IF(OR($A8="",$B8=""),"",$B8*$C$4)</f>
        <v>500000</v>
      </c>
      <c r="K8" s="49" t="n">
        <f aca="false">IF(J8="","",J8*(IF(ISNUMBER(H8),H8,0)+2*$C$5))</f>
        <v>5661.09325</v>
      </c>
      <c r="L8" s="49" t="n">
        <f aca="false">IF(J8="","",J8*INDEX(Acciones!$T$5:$T$148,MATCH($A8,Acciones!$A$5:$A$148,0)))</f>
        <v>-171250.292630177</v>
      </c>
      <c r="M8" s="49" t="n">
        <f aca="false">IF(J8="","",J8*INDEX(Acciones!$S$5:$S$148,MATCH($A8,Acciones!$A$5:$A$148,0)))</f>
        <v>553587.279666537</v>
      </c>
      <c r="N8" s="50" t="n">
        <f aca="false">IF($A8="","",INDEX(Acciones!$R$5:$R$148,MATCH($A8,Acciones!$A$5:$A$148,0)))</f>
        <v>1.37217108624575</v>
      </c>
      <c r="O8" s="51" t="n">
        <f aca="false">IF(OR($A8="",$B8=""),0,$B8*N8)</f>
        <v>0.686085543122877</v>
      </c>
    </row>
    <row r="9" customFormat="false" ht="15" hidden="false" customHeight="false" outlineLevel="0" collapsed="false">
      <c r="A9" s="44" t="s">
        <v>105</v>
      </c>
      <c r="B9" s="45" t="n">
        <v>0.41</v>
      </c>
      <c r="C9" s="46" t="str">
        <f aca="false">IF($A9="","",INDEX(Acciones!$B$5:$B$148,MATCH($A9,Acciones!$A$5:$A$148,0)))</f>
        <v>Exterior (SIC)</v>
      </c>
      <c r="D9" s="46" t="str">
        <f aca="false">IF($A9="","",INDEX(Acciones!$U$5:$U$148,MATCH($A9,Acciones!$A$5:$A$148,0)))</f>
        <v>Mayor movimiento</v>
      </c>
      <c r="E9" s="47" t="n">
        <f aca="false">IF($A9="","",INDEX(Acciones!$O$5:$O$148,MATCH($A9,Acciones!$A$5:$A$148,0)))</f>
        <v>0.776886021322276</v>
      </c>
      <c r="F9" s="47" t="n">
        <f aca="false">IF($A9="","",E9*SQRT($H$4/252))</f>
        <v>0.244696096364424</v>
      </c>
      <c r="G9" s="47" t="n">
        <f aca="false">IF($A9="","",INDEX(Acciones!$Q$5:$Q$148,MATCH($A9,Acciones!$A$5:$A$148,0)))</f>
        <v>-0.416042910167872</v>
      </c>
      <c r="H9" s="48" t="n">
        <f aca="false">IF($A9="","",IF(INDEX(Acciones!$G$5:$G$148,MATCH($A9,Acciones!$A$5:$A$148,0))="","n/d",INDEX(Acciones!$G$5:$G$148,MATCH($A9,Acciones!$A$5:$A$148,0))))</f>
        <v>0.010040201</v>
      </c>
      <c r="I9" s="46" t="str">
        <f aca="false">IF($A9="","",INDEX(Acciones!$J$5:$J$148,MATCH($A9,Acciones!$A$5:$A$148,0)))</f>
        <v>Sí</v>
      </c>
      <c r="J9" s="49" t="n">
        <f aca="false">IF(OR($A9="",$B9=""),"",$B9*$C$4)</f>
        <v>410000</v>
      </c>
      <c r="K9" s="49" t="n">
        <f aca="false">IF(J9="","",J9*(IF(ISNUMBER(H9),H9,0)+2*$C$5))</f>
        <v>5067.68241</v>
      </c>
      <c r="L9" s="49" t="n">
        <f aca="false">IF(J9="","",J9*INDEX(Acciones!$T$5:$T$148,MATCH($A9,Acciones!$A$5:$A$148,0)))</f>
        <v>-165455.892599514</v>
      </c>
      <c r="M9" s="49" t="n">
        <f aca="false">IF(J9="","",J9*INDEX(Acciones!$S$5:$S$148,MATCH($A9,Acciones!$A$5:$A$148,0)))</f>
        <v>596188.58527874</v>
      </c>
      <c r="N9" s="50" t="n">
        <f aca="false">IF($A9="","",INDEX(Acciones!$R$5:$R$148,MATCH($A9,Acciones!$A$5:$A$148,0)))</f>
        <v>1.44099796372813</v>
      </c>
      <c r="O9" s="51" t="n">
        <f aca="false">IF(OR($A9="",$B9=""),0,$B9*N9)</f>
        <v>0.590809165128533</v>
      </c>
    </row>
    <row r="10" customFormat="false" ht="15" hidden="false" customHeight="false" outlineLevel="0" collapsed="false">
      <c r="A10" s="44" t="s">
        <v>106</v>
      </c>
      <c r="B10" s="45" t="n">
        <v>0.03</v>
      </c>
      <c r="C10" s="46" t="str">
        <f aca="false">IF($A10="","",INDEX(Acciones!$B$5:$B$148,MATCH($A10,Acciones!$A$5:$A$148,0)))</f>
        <v>Mexicana</v>
      </c>
      <c r="D10" s="46" t="str">
        <f aca="false">IF($A10="","",INDEX(Acciones!$U$5:$U$148,MATCH($A10,Acciones!$A$5:$A$148,0)))</f>
        <v>Menor movimiento</v>
      </c>
      <c r="E10" s="47" t="n">
        <f aca="false">IF($A10="","",INDEX(Acciones!$O$5:$O$148,MATCH($A10,Acciones!$A$5:$A$148,0)))</f>
        <v>0.248989370954442</v>
      </c>
      <c r="F10" s="47" t="n">
        <f aca="false">IF($A10="","",E10*SQRT($H$4/252))</f>
        <v>0.0784242803147456</v>
      </c>
      <c r="G10" s="47" t="n">
        <f aca="false">IF($A10="","",INDEX(Acciones!$Q$5:$Q$148,MATCH($A10,Acciones!$A$5:$A$148,0)))</f>
        <v>-0.161455384253674</v>
      </c>
      <c r="H10" s="48" t="n">
        <f aca="false">IF($A10="","",IF(INDEX(Acciones!$G$5:$G$148,MATCH($A10,Acciones!$A$5:$A$148,0))="","n/d",INDEX(Acciones!$G$5:$G$148,MATCH($A10,Acciones!$A$5:$A$148,0))))</f>
        <v>0.0002553859</v>
      </c>
      <c r="I10" s="46" t="str">
        <f aca="false">IF($A10="","",INDEX(Acciones!$J$5:$J$148,MATCH($A10,Acciones!$A$5:$A$148,0)))</f>
        <v>Sí</v>
      </c>
      <c r="J10" s="49" t="n">
        <f aca="false">IF(OR($A10="",$B10=""),"",$B10*$C$4)</f>
        <v>30000</v>
      </c>
      <c r="K10" s="49" t="n">
        <f aca="false">IF(J10="","",J10*(IF(ISNUMBER(H10),H10,0)+2*$C$5))</f>
        <v>77.261577</v>
      </c>
      <c r="L10" s="49" t="n">
        <f aca="false">IF(J10="","",J10*INDEX(Acciones!$T$5:$T$148,MATCH($A10,Acciones!$A$5:$A$148,0)))</f>
        <v>-4021.22037786479</v>
      </c>
      <c r="M10" s="49" t="n">
        <f aca="false">IF(J10="","",J10*INDEX(Acciones!$S$5:$S$148,MATCH($A10,Acciones!$A$5:$A$148,0)))</f>
        <v>5986.55253673531</v>
      </c>
      <c r="N10" s="50" t="n">
        <f aca="false">IF($A10="","",INDEX(Acciones!$R$5:$R$148,MATCH($A10,Acciones!$A$5:$A$148,0)))</f>
        <v>1.02378099726143</v>
      </c>
      <c r="O10" s="51" t="n">
        <f aca="false">IF(OR($A10="",$B10=""),0,$B10*N10)</f>
        <v>0.030713429917843</v>
      </c>
    </row>
    <row r="11" customFormat="false" ht="15" hidden="false" customHeight="false" outlineLevel="0" collapsed="false">
      <c r="A11" s="44" t="s">
        <v>107</v>
      </c>
      <c r="B11" s="45" t="n">
        <v>0.03</v>
      </c>
      <c r="C11" s="46" t="str">
        <f aca="false">IF($A11="","",INDEX(Acciones!$B$5:$B$148,MATCH($A11,Acciones!$A$5:$A$148,0)))</f>
        <v>Mexicana</v>
      </c>
      <c r="D11" s="46" t="str">
        <f aca="false">IF($A11="","",INDEX(Acciones!$U$5:$U$148,MATCH($A11,Acciones!$A$5:$A$148,0)))</f>
        <v>Menor movimiento</v>
      </c>
      <c r="E11" s="47" t="n">
        <f aca="false">IF($A11="","",INDEX(Acciones!$O$5:$O$148,MATCH($A11,Acciones!$A$5:$A$148,0)))</f>
        <v>0.257869437790429</v>
      </c>
      <c r="F11" s="47" t="n">
        <f aca="false">IF($A11="","",E11*SQRT($H$4/252))</f>
        <v>0.0812212384663711</v>
      </c>
      <c r="G11" s="47" t="n">
        <f aca="false">IF($A11="","",INDEX(Acciones!$Q$5:$Q$148,MATCH($A11,Acciones!$A$5:$A$148,0)))</f>
        <v>-0.118086352482097</v>
      </c>
      <c r="H11" s="48" t="n">
        <f aca="false">IF($A11="","",IF(INDEX(Acciones!$G$5:$G$148,MATCH($A11,Acciones!$A$5:$A$148,0))="","n/d",INDEX(Acciones!$G$5:$G$148,MATCH($A11,Acciones!$A$5:$A$148,0))))</f>
        <v>0.0003165893</v>
      </c>
      <c r="I11" s="46" t="str">
        <f aca="false">IF($A11="","",INDEX(Acciones!$J$5:$J$148,MATCH($A11,Acciones!$A$5:$A$148,0)))</f>
        <v>Sí</v>
      </c>
      <c r="J11" s="49" t="n">
        <f aca="false">IF(OR($A11="",$B11=""),"",$B11*$C$4)</f>
        <v>30000</v>
      </c>
      <c r="K11" s="49" t="n">
        <f aca="false">IF(J11="","",J11*(IF(ISNUMBER(H11),H11,0)+2*$C$5))</f>
        <v>79.097679</v>
      </c>
      <c r="L11" s="49" t="n">
        <f aca="false">IF(J11="","",J11*INDEX(Acciones!$T$5:$T$148,MATCH($A11,Acciones!$A$5:$A$148,0)))</f>
        <v>-7351.88831403823</v>
      </c>
      <c r="M11" s="49" t="n">
        <f aca="false">IF(J11="","",J11*INDEX(Acciones!$S$5:$S$148,MATCH($A11,Acciones!$A$5:$A$148,0)))</f>
        <v>9839.11269717018</v>
      </c>
      <c r="N11" s="50" t="n">
        <f aca="false">IF($A11="","",INDEX(Acciones!$R$5:$R$148,MATCH($A11,Acciones!$A$5:$A$148,0)))</f>
        <v>1.10020904441703</v>
      </c>
      <c r="O11" s="51" t="n">
        <f aca="false">IF(OR($A11="",$B11=""),0,$B11*N11)</f>
        <v>0.0330062713325108</v>
      </c>
    </row>
    <row r="12" customFormat="false" ht="15" hidden="false" customHeight="false" outlineLevel="0" collapsed="false">
      <c r="A12" s="44" t="s">
        <v>108</v>
      </c>
      <c r="B12" s="45" t="n">
        <v>0.03</v>
      </c>
      <c r="C12" s="46" t="str">
        <f aca="false">IF($A12="","",INDEX(Acciones!$B$5:$B$148,MATCH($A12,Acciones!$A$5:$A$148,0)))</f>
        <v>Mexicana</v>
      </c>
      <c r="D12" s="46" t="str">
        <f aca="false">IF($A12="","",INDEX(Acciones!$U$5:$U$148,MATCH($A12,Acciones!$A$5:$A$148,0)))</f>
        <v>Menor movimiento</v>
      </c>
      <c r="E12" s="47" t="n">
        <f aca="false">IF($A12="","",INDEX(Acciones!$O$5:$O$148,MATCH($A12,Acciones!$A$5:$A$148,0)))</f>
        <v>0.264487671247898</v>
      </c>
      <c r="F12" s="47" t="n">
        <f aca="false">IF($A12="","",E12*SQRT($H$4/252))</f>
        <v>0.083305786067208</v>
      </c>
      <c r="G12" s="47" t="n">
        <f aca="false">IF($A12="","",INDEX(Acciones!$Q$5:$Q$148,MATCH($A12,Acciones!$A$5:$A$148,0)))</f>
        <v>-0.117824736374636</v>
      </c>
      <c r="H12" s="48" t="n">
        <f aca="false">IF($A12="","",IF(INDEX(Acciones!$G$5:$G$148,MATCH($A12,Acciones!$A$5:$A$148,0))="","n/d",INDEX(Acciones!$G$5:$G$148,MATCH($A12,Acciones!$A$5:$A$148,0))))</f>
        <v>0.0008514261</v>
      </c>
      <c r="I12" s="46" t="str">
        <f aca="false">IF($A12="","",INDEX(Acciones!$J$5:$J$148,MATCH($A12,Acciones!$A$5:$A$148,0)))</f>
        <v>Sí</v>
      </c>
      <c r="J12" s="49" t="n">
        <f aca="false">IF(OR($A12="",$B12=""),"",$B12*$C$4)</f>
        <v>30000</v>
      </c>
      <c r="K12" s="49" t="n">
        <f aca="false">IF(J12="","",J12*(IF(ISNUMBER(H12),H12,0)+2*$C$5))</f>
        <v>95.142783</v>
      </c>
      <c r="L12" s="49" t="n">
        <f aca="false">IF(J12="","",J12*INDEX(Acciones!$T$5:$T$148,MATCH($A12,Acciones!$A$5:$A$148,0)))</f>
        <v>-4092.01056520286</v>
      </c>
      <c r="M12" s="49" t="n">
        <f aca="false">IF(J12="","",J12*INDEX(Acciones!$S$5:$S$148,MATCH($A12,Acciones!$A$5:$A$148,0)))</f>
        <v>9026.39448148045</v>
      </c>
      <c r="N12" s="50" t="n">
        <f aca="false">IF($A12="","",INDEX(Acciones!$R$5:$R$148,MATCH($A12,Acciones!$A$5:$A$148,0)))</f>
        <v>0.574771121504036</v>
      </c>
      <c r="O12" s="51" t="n">
        <f aca="false">IF(OR($A12="",$B12=""),0,$B12*N12)</f>
        <v>0.0172431336451211</v>
      </c>
    </row>
    <row r="13" customFormat="false" ht="15" hidden="false" customHeight="false" outlineLevel="0" collapsed="false">
      <c r="A13" s="44"/>
      <c r="B13" s="45"/>
      <c r="C13" s="46" t="str">
        <f aca="false">IF($A13="","",INDEX(Acciones!$B$5:$B$148,MATCH($A13,Acciones!$A$5:$A$148,0)))</f>
        <v/>
      </c>
      <c r="D13" s="46" t="str">
        <f aca="false">IF($A13="","",INDEX(Acciones!$U$5:$U$148,MATCH($A13,Acciones!$A$5:$A$148,0)))</f>
        <v/>
      </c>
      <c r="E13" s="47" t="str">
        <f aca="false">IF($A13="","",INDEX(Acciones!$O$5:$O$148,MATCH($A13,Acciones!$A$5:$A$148,0)))</f>
        <v/>
      </c>
      <c r="F13" s="47" t="str">
        <f aca="false">IF($A13="","",E13*SQRT($H$4/252))</f>
        <v/>
      </c>
      <c r="G13" s="47" t="str">
        <f aca="false">IF($A13="","",INDEX(Acciones!$Q$5:$Q$148,MATCH($A13,Acciones!$A$5:$A$148,0)))</f>
        <v/>
      </c>
      <c r="H13" s="48" t="str">
        <f aca="false">IF($A13="","",IF(INDEX(Acciones!$G$5:$G$148,MATCH($A13,Acciones!$A$5:$A$148,0))="","n/d",INDEX(Acciones!$G$5:$G$148,MATCH($A13,Acciones!$A$5:$A$148,0))))</f>
        <v/>
      </c>
      <c r="I13" s="46" t="str">
        <f aca="false">IF($A13="","",INDEX(Acciones!$J$5:$J$148,MATCH($A13,Acciones!$A$5:$A$148,0)))</f>
        <v/>
      </c>
      <c r="J13" s="49" t="str">
        <f aca="false">IF(OR($A13="",$B13=""),"",$B13*$C$4)</f>
        <v/>
      </c>
      <c r="K13" s="49" t="str">
        <f aca="false">IF(J13="","",J13*(IF(ISNUMBER(H13),H13,0)+2*$C$5))</f>
        <v/>
      </c>
      <c r="L13" s="49" t="str">
        <f aca="false">IF(J13="","",J13*INDEX(Acciones!$T$5:$T$148,MATCH($A13,Acciones!$A$5:$A$148,0)))</f>
        <v/>
      </c>
      <c r="M13" s="49" t="str">
        <f aca="false">IF(J13="","",J13*INDEX(Acciones!$S$5:$S$148,MATCH($A13,Acciones!$A$5:$A$148,0)))</f>
        <v/>
      </c>
      <c r="N13" s="50" t="str">
        <f aca="false">IF($A13="","",INDEX(Acciones!$R$5:$R$148,MATCH($A13,Acciones!$A$5:$A$148,0)))</f>
        <v/>
      </c>
      <c r="O13" s="51" t="n">
        <f aca="false">IF(OR($A13="",$B13=""),0,$B13*N13)</f>
        <v>0</v>
      </c>
    </row>
    <row r="14" customFormat="false" ht="15" hidden="false" customHeight="false" outlineLevel="0" collapsed="false">
      <c r="A14" s="44"/>
      <c r="B14" s="45"/>
      <c r="C14" s="46" t="str">
        <f aca="false">IF($A14="","",INDEX(Acciones!$B$5:$B$148,MATCH($A14,Acciones!$A$5:$A$148,0)))</f>
        <v/>
      </c>
      <c r="D14" s="46" t="str">
        <f aca="false">IF($A14="","",INDEX(Acciones!$U$5:$U$148,MATCH($A14,Acciones!$A$5:$A$148,0)))</f>
        <v/>
      </c>
      <c r="E14" s="47" t="str">
        <f aca="false">IF($A14="","",INDEX(Acciones!$O$5:$O$148,MATCH($A14,Acciones!$A$5:$A$148,0)))</f>
        <v/>
      </c>
      <c r="F14" s="47" t="str">
        <f aca="false">IF($A14="","",E14*SQRT($H$4/252))</f>
        <v/>
      </c>
      <c r="G14" s="47" t="str">
        <f aca="false">IF($A14="","",INDEX(Acciones!$Q$5:$Q$148,MATCH($A14,Acciones!$A$5:$A$148,0)))</f>
        <v/>
      </c>
      <c r="H14" s="48" t="str">
        <f aca="false">IF($A14="","",IF(INDEX(Acciones!$G$5:$G$148,MATCH($A14,Acciones!$A$5:$A$148,0))="","n/d",INDEX(Acciones!$G$5:$G$148,MATCH($A14,Acciones!$A$5:$A$148,0))))</f>
        <v/>
      </c>
      <c r="I14" s="46" t="str">
        <f aca="false">IF($A14="","",INDEX(Acciones!$J$5:$J$148,MATCH($A14,Acciones!$A$5:$A$148,0)))</f>
        <v/>
      </c>
      <c r="J14" s="49" t="str">
        <f aca="false">IF(OR($A14="",$B14=""),"",$B14*$C$4)</f>
        <v/>
      </c>
      <c r="K14" s="49" t="str">
        <f aca="false">IF(J14="","",J14*(IF(ISNUMBER(H14),H14,0)+2*$C$5))</f>
        <v/>
      </c>
      <c r="L14" s="49" t="str">
        <f aca="false">IF(J14="","",J14*INDEX(Acciones!$T$5:$T$148,MATCH($A14,Acciones!$A$5:$A$148,0)))</f>
        <v/>
      </c>
      <c r="M14" s="49" t="str">
        <f aca="false">IF(J14="","",J14*INDEX(Acciones!$S$5:$S$148,MATCH($A14,Acciones!$A$5:$A$148,0)))</f>
        <v/>
      </c>
      <c r="N14" s="50" t="str">
        <f aca="false">IF($A14="","",INDEX(Acciones!$R$5:$R$148,MATCH($A14,Acciones!$A$5:$A$148,0)))</f>
        <v/>
      </c>
      <c r="O14" s="51" t="n">
        <f aca="false">IF(OR($A14="",$B14=""),0,$B14*N14)</f>
        <v>0</v>
      </c>
    </row>
    <row r="15" customFormat="false" ht="15" hidden="false" customHeight="false" outlineLevel="0" collapsed="false">
      <c r="A15" s="44"/>
      <c r="B15" s="45"/>
      <c r="C15" s="46" t="str">
        <f aca="false">IF($A15="","",INDEX(Acciones!$B$5:$B$148,MATCH($A15,Acciones!$A$5:$A$148,0)))</f>
        <v/>
      </c>
      <c r="D15" s="46" t="str">
        <f aca="false">IF($A15="","",INDEX(Acciones!$U$5:$U$148,MATCH($A15,Acciones!$A$5:$A$148,0)))</f>
        <v/>
      </c>
      <c r="E15" s="47" t="str">
        <f aca="false">IF($A15="","",INDEX(Acciones!$O$5:$O$148,MATCH($A15,Acciones!$A$5:$A$148,0)))</f>
        <v/>
      </c>
      <c r="F15" s="47" t="str">
        <f aca="false">IF($A15="","",E15*SQRT($H$4/252))</f>
        <v/>
      </c>
      <c r="G15" s="47" t="str">
        <f aca="false">IF($A15="","",INDEX(Acciones!$Q$5:$Q$148,MATCH($A15,Acciones!$A$5:$A$148,0)))</f>
        <v/>
      </c>
      <c r="H15" s="48" t="str">
        <f aca="false">IF($A15="","",IF(INDEX(Acciones!$G$5:$G$148,MATCH($A15,Acciones!$A$5:$A$148,0))="","n/d",INDEX(Acciones!$G$5:$G$148,MATCH($A15,Acciones!$A$5:$A$148,0))))</f>
        <v/>
      </c>
      <c r="I15" s="46" t="str">
        <f aca="false">IF($A15="","",INDEX(Acciones!$J$5:$J$148,MATCH($A15,Acciones!$A$5:$A$148,0)))</f>
        <v/>
      </c>
      <c r="J15" s="49" t="str">
        <f aca="false">IF(OR($A15="",$B15=""),"",$B15*$C$4)</f>
        <v/>
      </c>
      <c r="K15" s="49" t="str">
        <f aca="false">IF(J15="","",J15*(IF(ISNUMBER(H15),H15,0)+2*$C$5))</f>
        <v/>
      </c>
      <c r="L15" s="49" t="str">
        <f aca="false">IF(J15="","",J15*INDEX(Acciones!$T$5:$T$148,MATCH($A15,Acciones!$A$5:$A$148,0)))</f>
        <v/>
      </c>
      <c r="M15" s="49" t="str">
        <f aca="false">IF(J15="","",J15*INDEX(Acciones!$S$5:$S$148,MATCH($A15,Acciones!$A$5:$A$148,0)))</f>
        <v/>
      </c>
      <c r="N15" s="50" t="str">
        <f aca="false">IF($A15="","",INDEX(Acciones!$R$5:$R$148,MATCH($A15,Acciones!$A$5:$A$148,0)))</f>
        <v/>
      </c>
      <c r="O15" s="51" t="n">
        <f aca="false">IF(OR($A15="",$B15=""),0,$B15*N15)</f>
        <v>0</v>
      </c>
    </row>
    <row r="16" customFormat="false" ht="15" hidden="false" customHeight="false" outlineLevel="0" collapsed="false">
      <c r="A16" s="44"/>
      <c r="B16" s="45"/>
      <c r="C16" s="46" t="str">
        <f aca="false">IF($A16="","",INDEX(Acciones!$B$5:$B$148,MATCH($A16,Acciones!$A$5:$A$148,0)))</f>
        <v/>
      </c>
      <c r="D16" s="46" t="str">
        <f aca="false">IF($A16="","",INDEX(Acciones!$U$5:$U$148,MATCH($A16,Acciones!$A$5:$A$148,0)))</f>
        <v/>
      </c>
      <c r="E16" s="47" t="str">
        <f aca="false">IF($A16="","",INDEX(Acciones!$O$5:$O$148,MATCH($A16,Acciones!$A$5:$A$148,0)))</f>
        <v/>
      </c>
      <c r="F16" s="47" t="str">
        <f aca="false">IF($A16="","",E16*SQRT($H$4/252))</f>
        <v/>
      </c>
      <c r="G16" s="47" t="str">
        <f aca="false">IF($A16="","",INDEX(Acciones!$Q$5:$Q$148,MATCH($A16,Acciones!$A$5:$A$148,0)))</f>
        <v/>
      </c>
      <c r="H16" s="48" t="str">
        <f aca="false">IF($A16="","",IF(INDEX(Acciones!$G$5:$G$148,MATCH($A16,Acciones!$A$5:$A$148,0))="","n/d",INDEX(Acciones!$G$5:$G$148,MATCH($A16,Acciones!$A$5:$A$148,0))))</f>
        <v/>
      </c>
      <c r="I16" s="46" t="str">
        <f aca="false">IF($A16="","",INDEX(Acciones!$J$5:$J$148,MATCH($A16,Acciones!$A$5:$A$148,0)))</f>
        <v/>
      </c>
      <c r="J16" s="49" t="str">
        <f aca="false">IF(OR($A16="",$B16=""),"",$B16*$C$4)</f>
        <v/>
      </c>
      <c r="K16" s="49" t="str">
        <f aca="false">IF(J16="","",J16*(IF(ISNUMBER(H16),H16,0)+2*$C$5))</f>
        <v/>
      </c>
      <c r="L16" s="49" t="str">
        <f aca="false">IF(J16="","",J16*INDEX(Acciones!$T$5:$T$148,MATCH($A16,Acciones!$A$5:$A$148,0)))</f>
        <v/>
      </c>
      <c r="M16" s="49" t="str">
        <f aca="false">IF(J16="","",J16*INDEX(Acciones!$S$5:$S$148,MATCH($A16,Acciones!$A$5:$A$148,0)))</f>
        <v/>
      </c>
      <c r="N16" s="50" t="str">
        <f aca="false">IF($A16="","",INDEX(Acciones!$R$5:$R$148,MATCH($A16,Acciones!$A$5:$A$148,0)))</f>
        <v/>
      </c>
      <c r="O16" s="51" t="n">
        <f aca="false">IF(OR($A16="",$B16=""),0,$B16*N16)</f>
        <v>0</v>
      </c>
    </row>
    <row r="17" customFormat="false" ht="15" hidden="false" customHeight="false" outlineLevel="0" collapsed="false">
      <c r="A17" s="44"/>
      <c r="B17" s="45"/>
      <c r="C17" s="46" t="str">
        <f aca="false">IF($A17="","",INDEX(Acciones!$B$5:$B$148,MATCH($A17,Acciones!$A$5:$A$148,0)))</f>
        <v/>
      </c>
      <c r="D17" s="46" t="str">
        <f aca="false">IF($A17="","",INDEX(Acciones!$U$5:$U$148,MATCH($A17,Acciones!$A$5:$A$148,0)))</f>
        <v/>
      </c>
      <c r="E17" s="47" t="str">
        <f aca="false">IF($A17="","",INDEX(Acciones!$O$5:$O$148,MATCH($A17,Acciones!$A$5:$A$148,0)))</f>
        <v/>
      </c>
      <c r="F17" s="47" t="str">
        <f aca="false">IF($A17="","",E17*SQRT($H$4/252))</f>
        <v/>
      </c>
      <c r="G17" s="47" t="str">
        <f aca="false">IF($A17="","",INDEX(Acciones!$Q$5:$Q$148,MATCH($A17,Acciones!$A$5:$A$148,0)))</f>
        <v/>
      </c>
      <c r="H17" s="48" t="str">
        <f aca="false">IF($A17="","",IF(INDEX(Acciones!$G$5:$G$148,MATCH($A17,Acciones!$A$5:$A$148,0))="","n/d",INDEX(Acciones!$G$5:$G$148,MATCH($A17,Acciones!$A$5:$A$148,0))))</f>
        <v/>
      </c>
      <c r="I17" s="46" t="str">
        <f aca="false">IF($A17="","",INDEX(Acciones!$J$5:$J$148,MATCH($A17,Acciones!$A$5:$A$148,0)))</f>
        <v/>
      </c>
      <c r="J17" s="49" t="str">
        <f aca="false">IF(OR($A17="",$B17=""),"",$B17*$C$4)</f>
        <v/>
      </c>
      <c r="K17" s="49" t="str">
        <f aca="false">IF(J17="","",J17*(IF(ISNUMBER(H17),H17,0)+2*$C$5))</f>
        <v/>
      </c>
      <c r="L17" s="49" t="str">
        <f aca="false">IF(J17="","",J17*INDEX(Acciones!$T$5:$T$148,MATCH($A17,Acciones!$A$5:$A$148,0)))</f>
        <v/>
      </c>
      <c r="M17" s="49" t="str">
        <f aca="false">IF(J17="","",J17*INDEX(Acciones!$S$5:$S$148,MATCH($A17,Acciones!$A$5:$A$148,0)))</f>
        <v/>
      </c>
      <c r="N17" s="50" t="str">
        <f aca="false">IF($A17="","",INDEX(Acciones!$R$5:$R$148,MATCH($A17,Acciones!$A$5:$A$148,0)))</f>
        <v/>
      </c>
      <c r="O17" s="51" t="n">
        <f aca="false">IF(OR($A17="",$B17=""),0,$B17*N17)</f>
        <v>0</v>
      </c>
    </row>
    <row r="18" customFormat="false" ht="15" hidden="false" customHeight="false" outlineLevel="0" collapsed="false">
      <c r="A18" s="44"/>
      <c r="B18" s="45"/>
      <c r="C18" s="46" t="str">
        <f aca="false">IF($A18="","",INDEX(Acciones!$B$5:$B$148,MATCH($A18,Acciones!$A$5:$A$148,0)))</f>
        <v/>
      </c>
      <c r="D18" s="46" t="str">
        <f aca="false">IF($A18="","",INDEX(Acciones!$U$5:$U$148,MATCH($A18,Acciones!$A$5:$A$148,0)))</f>
        <v/>
      </c>
      <c r="E18" s="47" t="str">
        <f aca="false">IF($A18="","",INDEX(Acciones!$O$5:$O$148,MATCH($A18,Acciones!$A$5:$A$148,0)))</f>
        <v/>
      </c>
      <c r="F18" s="47" t="str">
        <f aca="false">IF($A18="","",E18*SQRT($H$4/252))</f>
        <v/>
      </c>
      <c r="G18" s="47" t="str">
        <f aca="false">IF($A18="","",INDEX(Acciones!$Q$5:$Q$148,MATCH($A18,Acciones!$A$5:$A$148,0)))</f>
        <v/>
      </c>
      <c r="H18" s="48" t="str">
        <f aca="false">IF($A18="","",IF(INDEX(Acciones!$G$5:$G$148,MATCH($A18,Acciones!$A$5:$A$148,0))="","n/d",INDEX(Acciones!$G$5:$G$148,MATCH($A18,Acciones!$A$5:$A$148,0))))</f>
        <v/>
      </c>
      <c r="I18" s="46" t="str">
        <f aca="false">IF($A18="","",INDEX(Acciones!$J$5:$J$148,MATCH($A18,Acciones!$A$5:$A$148,0)))</f>
        <v/>
      </c>
      <c r="J18" s="49" t="str">
        <f aca="false">IF(OR($A18="",$B18=""),"",$B18*$C$4)</f>
        <v/>
      </c>
      <c r="K18" s="49" t="str">
        <f aca="false">IF(J18="","",J18*(IF(ISNUMBER(H18),H18,0)+2*$C$5))</f>
        <v/>
      </c>
      <c r="L18" s="49" t="str">
        <f aca="false">IF(J18="","",J18*INDEX(Acciones!$T$5:$T$148,MATCH($A18,Acciones!$A$5:$A$148,0)))</f>
        <v/>
      </c>
      <c r="M18" s="49" t="str">
        <f aca="false">IF(J18="","",J18*INDEX(Acciones!$S$5:$S$148,MATCH($A18,Acciones!$A$5:$A$148,0)))</f>
        <v/>
      </c>
      <c r="N18" s="50" t="str">
        <f aca="false">IF($A18="","",INDEX(Acciones!$R$5:$R$148,MATCH($A18,Acciones!$A$5:$A$148,0)))</f>
        <v/>
      </c>
      <c r="O18" s="51" t="n">
        <f aca="false">IF(OR($A18="",$B18=""),0,$B18*N18)</f>
        <v>0</v>
      </c>
    </row>
    <row r="19" customFormat="false" ht="15" hidden="false" customHeight="false" outlineLevel="0" collapsed="false">
      <c r="A19" s="44"/>
      <c r="B19" s="45"/>
      <c r="C19" s="46" t="str">
        <f aca="false">IF($A19="","",INDEX(Acciones!$B$5:$B$148,MATCH($A19,Acciones!$A$5:$A$148,0)))</f>
        <v/>
      </c>
      <c r="D19" s="46" t="str">
        <f aca="false">IF($A19="","",INDEX(Acciones!$U$5:$U$148,MATCH($A19,Acciones!$A$5:$A$148,0)))</f>
        <v/>
      </c>
      <c r="E19" s="47" t="str">
        <f aca="false">IF($A19="","",INDEX(Acciones!$O$5:$O$148,MATCH($A19,Acciones!$A$5:$A$148,0)))</f>
        <v/>
      </c>
      <c r="F19" s="47" t="str">
        <f aca="false">IF($A19="","",E19*SQRT($H$4/252))</f>
        <v/>
      </c>
      <c r="G19" s="47" t="str">
        <f aca="false">IF($A19="","",INDEX(Acciones!$Q$5:$Q$148,MATCH($A19,Acciones!$A$5:$A$148,0)))</f>
        <v/>
      </c>
      <c r="H19" s="48" t="str">
        <f aca="false">IF($A19="","",IF(INDEX(Acciones!$G$5:$G$148,MATCH($A19,Acciones!$A$5:$A$148,0))="","n/d",INDEX(Acciones!$G$5:$G$148,MATCH($A19,Acciones!$A$5:$A$148,0))))</f>
        <v/>
      </c>
      <c r="I19" s="46" t="str">
        <f aca="false">IF($A19="","",INDEX(Acciones!$J$5:$J$148,MATCH($A19,Acciones!$A$5:$A$148,0)))</f>
        <v/>
      </c>
      <c r="J19" s="49" t="str">
        <f aca="false">IF(OR($A19="",$B19=""),"",$B19*$C$4)</f>
        <v/>
      </c>
      <c r="K19" s="49" t="str">
        <f aca="false">IF(J19="","",J19*(IF(ISNUMBER(H19),H19,0)+2*$C$5))</f>
        <v/>
      </c>
      <c r="L19" s="49" t="str">
        <f aca="false">IF(J19="","",J19*INDEX(Acciones!$T$5:$T$148,MATCH($A19,Acciones!$A$5:$A$148,0)))</f>
        <v/>
      </c>
      <c r="M19" s="49" t="str">
        <f aca="false">IF(J19="","",J19*INDEX(Acciones!$S$5:$S$148,MATCH($A19,Acciones!$A$5:$A$148,0)))</f>
        <v/>
      </c>
      <c r="N19" s="50" t="str">
        <f aca="false">IF($A19="","",INDEX(Acciones!$R$5:$R$148,MATCH($A19,Acciones!$A$5:$A$148,0)))</f>
        <v/>
      </c>
      <c r="O19" s="51" t="n">
        <f aca="false">IF(OR($A19="",$B19=""),0,$B19*N19)</f>
        <v>0</v>
      </c>
    </row>
    <row r="21" customFormat="false" ht="15.75" hidden="false" customHeight="true" outlineLevel="0" collapsed="false">
      <c r="A21" s="7" t="s">
        <v>135</v>
      </c>
    </row>
    <row r="22" customFormat="false" ht="15" hidden="false" customHeight="false" outlineLevel="0" collapsed="false">
      <c r="A22" s="37" t="s">
        <v>136</v>
      </c>
      <c r="B22" s="52" t="n">
        <f aca="false">SUM($B$8:$B$19)</f>
        <v>1</v>
      </c>
      <c r="C22" s="39" t="str">
        <f aca="false">IF(ABS(B22-1)&lt;0.0005,"OK: 100%",IF(B22&lt;1,"Te falta "&amp;TEXT(1-B22,"0.0%")&amp;" por asignar (queda en efectivo, que no rinde)","Pasas de 100% por "&amp;TEXT(B22-1,"0.0%")))</f>
        <v>OK: 100%</v>
      </c>
    </row>
    <row r="23" customFormat="false" ht="15" hidden="false" customHeight="false" outlineLevel="0" collapsed="false">
      <c r="A23" s="37" t="s">
        <v>137</v>
      </c>
      <c r="B23" s="53" t="n">
        <f aca="false">SUMPRODUCT(($A$8:$A$19&lt;&gt;"")*($B$8:$B$19&gt;0)/COUNTIF($A$8:$A$19,$A$8:$A$19&amp;""))</f>
        <v>5</v>
      </c>
      <c r="C23" s="39" t="str">
        <f aca="false">IF(B23&gt;=5,"OK","REVISAR: necesitas al menos 5")</f>
        <v>OK</v>
      </c>
    </row>
    <row r="24" customFormat="false" ht="15" hidden="false" customHeight="false" outlineLevel="0" collapsed="false">
      <c r="A24" s="37" t="s">
        <v>138</v>
      </c>
      <c r="B24" s="52" t="n">
        <f aca="false">MAX($B$8:$B$19)</f>
        <v>0.5</v>
      </c>
      <c r="C24" s="39" t="str">
        <f aca="false">IF(B24&lt;=0.5,"OK","REVISAR: ninguna puede pasar de 50%")</f>
        <v>OK</v>
      </c>
    </row>
    <row r="25" customFormat="false" ht="15" hidden="false" customHeight="false" outlineLevel="0" collapsed="false">
      <c r="A25" s="37" t="s">
        <v>139</v>
      </c>
      <c r="B25" s="53" t="n">
        <f aca="false">SUMPRODUCT(($A$8:$A$19&lt;&gt;"")*(COUNTIF($A$8:$A$19,$A$8:$A$19)&gt;1))</f>
        <v>0</v>
      </c>
      <c r="C25" s="39" t="str">
        <f aca="false">IF(B25=0,"OK","REVISAR: repetiste una emisora")</f>
        <v>OK</v>
      </c>
    </row>
    <row r="26" customFormat="false" ht="15" hidden="false" customHeight="false" outlineLevel="0" collapsed="false">
      <c r="A26" s="37" t="s">
        <v>140</v>
      </c>
      <c r="B26" s="53" t="n">
        <f aca="false">SUMPRODUCT(($A$8:$A$19&lt;&gt;"")*($I$8:$I$19&lt;&gt;"Sí"))</f>
        <v>0</v>
      </c>
      <c r="C26" s="39" t="str">
        <f aca="false">IF(B26=0,"OK","REVISAR: hoy no hay quien compre o venda alguna de tus emisoras")</f>
        <v>OK</v>
      </c>
    </row>
    <row r="27" customFormat="false" ht="15" hidden="false" customHeight="false" outlineLevel="0" collapsed="false">
      <c r="A27" s="37" t="s">
        <v>141</v>
      </c>
      <c r="B27" s="32" t="n">
        <f aca="false">SUM($J$8:$J$19)</f>
        <v>1000000</v>
      </c>
    </row>
    <row r="28" customFormat="false" ht="15" hidden="false" customHeight="false" outlineLevel="0" collapsed="false">
      <c r="A28" s="37" t="s">
        <v>142</v>
      </c>
      <c r="B28" s="32" t="n">
        <f aca="false">B27*$C$5</f>
        <v>1160</v>
      </c>
    </row>
    <row r="29" customFormat="false" ht="15" hidden="false" customHeight="false" outlineLevel="0" collapsed="false">
      <c r="A29" s="37" t="s">
        <v>130</v>
      </c>
      <c r="B29" s="32" t="n">
        <f aca="false">SUM($K$8:$K$19)</f>
        <v>10980.277699</v>
      </c>
      <c r="C29" s="39" t="str">
        <f aca="false">"Comisiones + diferencia compra-venta: "&amp;TEXT(B29/$C$4,"0.00%")&amp;" del capital"</f>
        <v>Comisiones + diferencia compra-venta: 1.10% del capital</v>
      </c>
    </row>
    <row r="30" customFormat="false" ht="15" hidden="false" customHeight="false" outlineLevel="0" collapsed="false">
      <c r="A30" s="37" t="s">
        <v>143</v>
      </c>
      <c r="B30" s="52" t="n">
        <f aca="false">SQRT(Covarianza!$B$2)</f>
        <v>0.649901759876224</v>
      </c>
      <c r="C30" s="39" t="s">
        <v>144</v>
      </c>
    </row>
    <row r="31" customFormat="false" ht="15" hidden="false" customHeight="false" outlineLevel="0" collapsed="false">
      <c r="A31" s="37" t="s">
        <v>145</v>
      </c>
      <c r="B31" s="52" t="n">
        <f aca="false">B30*SQRT($H$4/252)</f>
        <v>0.204699813482822</v>
      </c>
      <c r="C31" s="39" t="s">
        <v>146</v>
      </c>
    </row>
    <row r="32" customFormat="false" ht="15" hidden="false" customHeight="false" outlineLevel="0" collapsed="false">
      <c r="A32" s="37" t="s">
        <v>147</v>
      </c>
      <c r="B32" s="32" t="n">
        <f aca="false">B31*SUM($J$8:$J$19)</f>
        <v>204699.813482822</v>
      </c>
      <c r="C32" s="39" t="s">
        <v>148</v>
      </c>
    </row>
    <row r="33" customFormat="false" ht="15" hidden="false" customHeight="false" outlineLevel="0" collapsed="false">
      <c r="A33" s="37" t="s">
        <v>149</v>
      </c>
      <c r="B33" s="54" t="n">
        <f aca="false">SUM($O$8:$O$19)</f>
        <v>1.35785754314689</v>
      </c>
      <c r="C33" s="39" t="s">
        <v>150</v>
      </c>
    </row>
    <row r="35" customFormat="false" ht="15" hidden="false" customHeight="false" outlineLevel="0" collapsed="false">
      <c r="A35" s="39" t="s">
        <v>151</v>
      </c>
    </row>
  </sheetData>
  <conditionalFormatting sqref="I8:I19">
    <cfRule type="expression" priority="2" aboveAverage="0" equalAverage="0" bottom="0" percent="0" rank="0" text="" dxfId="0">
      <formula>AND(I8&lt;&gt;"",I8&lt;&gt;"Sí")</formula>
    </cfRule>
  </conditionalFormatting>
  <conditionalFormatting sqref="H8:H19">
    <cfRule type="cellIs" priority="3" operator="greaterThan" aboveAverage="0" equalAverage="0" bottom="0" percent="0" rank="0" text="" dxfId="1">
      <formula>0.03</formula>
    </cfRule>
    <cfRule type="cellIs" priority="4" operator="between" aboveAverage="0" equalAverage="0" bottom="0" percent="0" rank="0" text="" dxfId="2">
      <formula>0.01</formula>
      <formula>0.03</formula>
    </cfRule>
  </conditionalFormatting>
  <conditionalFormatting sqref="C22:C26">
    <cfRule type="expression" priority="5" aboveAverage="0" equalAverage="0" bottom="0" percent="0" rank="0" text="" dxfId="3">
      <formula>LEFT(C22,2)="OK"</formula>
    </cfRule>
    <cfRule type="expression" priority="6" aboveAverage="0" equalAverage="0" bottom="0" percent="0" rank="0" text="" dxfId="4">
      <formula>OR(LEFT(C22,7)="REVISAR",LEFT(C22,2)="Te",LEFT(C22,2)="Pa")</formula>
    </cfRule>
  </conditionalFormatting>
  <dataValidations count="2">
    <dataValidation allowBlank="true" error="Escribe un porcentaje entre 0% y 100%." errorStyle="stop" errorTitle="Peso" operator="between" showDropDown="false" showErrorMessage="true" showInputMessage="false" sqref="B8:B19" type="decimal">
      <formula1>0</formula1>
      <formula2>1</formula2>
    </dataValidation>
    <dataValidation allowBlank="true" error="Elige una emisora de la lista (hoja Acciones)." errorStyle="stop" errorTitle="Emisora" operator="between" showDropDown="false" showErrorMessage="true" showInputMessage="false" sqref="A8:A19" type="list">
      <formula1>Acciones!$A$5:$A$148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5" min="2" style="0" width="12"/>
    <col collapsed="false" customWidth="true" hidden="false" outlineLevel="0" max="8" min="6" style="0" width="26"/>
  </cols>
  <sheetData>
    <row r="1" customFormat="false" ht="17.35" hidden="false" customHeight="false" outlineLevel="0" collapsed="false">
      <c r="A1" s="5" t="s">
        <v>152</v>
      </c>
    </row>
    <row r="2" customFormat="false" ht="15" hidden="false" customHeight="false" outlineLevel="0" collapsed="false">
      <c r="A2" s="6" t="s">
        <v>153</v>
      </c>
    </row>
    <row r="4" customFormat="false" ht="54" hidden="false" customHeight="true" outlineLevel="0" collapsed="false">
      <c r="A4" s="16" t="s">
        <v>95</v>
      </c>
      <c r="B4" s="16" t="s">
        <v>154</v>
      </c>
      <c r="C4" s="16" t="s">
        <v>155</v>
      </c>
      <c r="D4" s="16" t="s">
        <v>156</v>
      </c>
      <c r="E4" s="16" t="s">
        <v>157</v>
      </c>
      <c r="F4" s="16" t="s">
        <v>158</v>
      </c>
      <c r="G4" s="16" t="s">
        <v>159</v>
      </c>
      <c r="H4" s="16" t="s">
        <v>160</v>
      </c>
    </row>
    <row r="5" customFormat="false" ht="15" hidden="false" customHeight="false" outlineLevel="0" collapsed="false">
      <c r="A5" s="38" t="s">
        <v>106</v>
      </c>
      <c r="B5" s="55" t="n">
        <f aca="false">INDEX(Acciones!$AI$5:$AI$148,MATCH($A5,Acciones!$A$5:$A$148,0))</f>
        <v>0.00098557316962299</v>
      </c>
      <c r="C5" s="56" t="n">
        <f aca="false">INDEX(Acciones!$AF$5:$AF$148,MATCH($A5,Acciones!$A$5:$A$148,0))</f>
        <v>0.465749440588929</v>
      </c>
      <c r="D5" s="55" t="n">
        <f aca="false">INDEX(Acciones!$AG$5:$AG$148,MATCH($A5,Acciones!$A$5:$A$148,0))</f>
        <v>-0.000135465062035173</v>
      </c>
      <c r="E5" s="55" t="n">
        <f aca="false">INDEX(Acciones!$AH$5:$AH$148,MATCH($A5,Acciones!$A$5:$A$148,0))</f>
        <v>0.0025753859</v>
      </c>
      <c r="F5" s="57" t="n">
        <v>0.03</v>
      </c>
      <c r="G5" s="57" t="n">
        <v>0</v>
      </c>
      <c r="H5" s="57" t="n">
        <v>0</v>
      </c>
    </row>
    <row r="6" customFormat="false" ht="15" hidden="false" customHeight="false" outlineLevel="0" collapsed="false">
      <c r="A6" s="38" t="s">
        <v>108</v>
      </c>
      <c r="B6" s="55" t="n">
        <f aca="false">INDEX(Acciones!$AI$5:$AI$148,MATCH($A6,Acciones!$A$5:$A$148,0))</f>
        <v>0.00190311412868739</v>
      </c>
      <c r="C6" s="56" t="n">
        <f aca="false">INDEX(Acciones!$AF$5:$AF$148,MATCH($A6,Acciones!$A$5:$A$148,0))</f>
        <v>0.579831856361485</v>
      </c>
      <c r="D6" s="55" t="n">
        <f aca="false">INDEX(Acciones!$AG$5:$AG$148,MATCH($A6,Acciones!$A$5:$A$148,0))</f>
        <v>0.000472700098834333</v>
      </c>
      <c r="E6" s="55" t="n">
        <f aca="false">INDEX(Acciones!$AH$5:$AH$148,MATCH($A6,Acciones!$A$5:$A$148,0))</f>
        <v>0.0031714261</v>
      </c>
      <c r="F6" s="57" t="n">
        <v>0.03</v>
      </c>
      <c r="G6" s="57" t="n">
        <v>0</v>
      </c>
      <c r="H6" s="57" t="n">
        <v>0</v>
      </c>
    </row>
    <row r="7" customFormat="false" ht="15" hidden="false" customHeight="false" outlineLevel="0" collapsed="false">
      <c r="A7" s="38" t="s">
        <v>107</v>
      </c>
      <c r="B7" s="55" t="n">
        <f aca="false">INDEX(Acciones!$AI$5:$AI$148,MATCH($A7,Acciones!$A$5:$A$148,0))</f>
        <v>0.00301487505427388</v>
      </c>
      <c r="C7" s="56" t="n">
        <f aca="false">INDEX(Acciones!$AF$5:$AF$148,MATCH($A7,Acciones!$A$5:$A$148,0))</f>
        <v>0.554388016013442</v>
      </c>
      <c r="D7" s="55" t="n">
        <f aca="false">INDEX(Acciones!$AG$5:$AG$148,MATCH($A7,Acciones!$A$5:$A$148,0))</f>
        <v>0.00125155946527831</v>
      </c>
      <c r="E7" s="55" t="n">
        <f aca="false">INDEX(Acciones!$AH$5:$AH$148,MATCH($A7,Acciones!$A$5:$A$148,0))</f>
        <v>0.0026365893</v>
      </c>
      <c r="F7" s="57" t="n">
        <v>0.03</v>
      </c>
      <c r="G7" s="57" t="n">
        <v>0</v>
      </c>
      <c r="H7" s="57" t="n">
        <v>0.2</v>
      </c>
    </row>
    <row r="8" customFormat="false" ht="15" hidden="false" customHeight="false" outlineLevel="0" collapsed="false">
      <c r="A8" s="38" t="s">
        <v>105</v>
      </c>
      <c r="B8" s="55" t="n">
        <f aca="false">INDEX(Acciones!$AI$5:$AI$148,MATCH($A8,Acciones!$A$5:$A$148,0))</f>
        <v>0.0204170253885836</v>
      </c>
      <c r="C8" s="56" t="n">
        <f aca="false">INDEX(Acciones!$AF$5:$AF$148,MATCH($A8,Acciones!$A$5:$A$148,0))</f>
        <v>2.21982874862274</v>
      </c>
      <c r="D8" s="55" t="n">
        <f aca="false">INDEX(Acciones!$AG$5:$AG$148,MATCH($A8,Acciones!$A$5:$A$148,0))</f>
        <v>0.0151595379074508</v>
      </c>
      <c r="E8" s="55" t="n">
        <f aca="false">INDEX(Acciones!$AH$5:$AH$148,MATCH($A8,Acciones!$A$5:$A$148,0))</f>
        <v>0.012360201</v>
      </c>
      <c r="F8" s="57" t="n">
        <v>0.41</v>
      </c>
      <c r="G8" s="57" t="n">
        <v>0</v>
      </c>
      <c r="H8" s="57" t="n">
        <v>0</v>
      </c>
    </row>
    <row r="9" customFormat="false" ht="15" hidden="false" customHeight="false" outlineLevel="0" collapsed="false">
      <c r="A9" s="38" t="s">
        <v>104</v>
      </c>
      <c r="B9" s="55" t="n">
        <f aca="false">INDEX(Acciones!$AI$5:$AI$148,MATCH($A9,Acciones!$A$5:$A$148,0))</f>
        <v>0.0460742026792678</v>
      </c>
      <c r="C9" s="56" t="n">
        <f aca="false">INDEX(Acciones!$AF$5:$AF$148,MATCH($A9,Acciones!$A$5:$A$148,0))</f>
        <v>2.15447159395473</v>
      </c>
      <c r="D9" s="55" t="n">
        <f aca="false">INDEX(Acciones!$AG$5:$AG$148,MATCH($A9,Acciones!$A$5:$A$148,0))</f>
        <v>0.0402974082748652</v>
      </c>
      <c r="E9" s="55" t="n">
        <f aca="false">INDEX(Acciones!$AH$5:$AH$148,MATCH($A9,Acciones!$A$5:$A$148,0))</f>
        <v>0.0113221865</v>
      </c>
      <c r="F9" s="57" t="n">
        <v>0.5</v>
      </c>
      <c r="G9" s="57" t="n">
        <v>0.283</v>
      </c>
      <c r="H9" s="57" t="n">
        <v>0</v>
      </c>
    </row>
    <row r="10" customFormat="false" ht="15" hidden="false" customHeight="false" outlineLevel="0" collapsed="false">
      <c r="A10" s="38" t="s">
        <v>161</v>
      </c>
      <c r="B10" s="55" t="n">
        <f aca="false">INDEX(Acciones!$AI$5:$AI$148,MATCH($A10,Acciones!$A$5:$A$148,0))</f>
        <v>0.00899380615664932</v>
      </c>
      <c r="C10" s="56" t="n">
        <f aca="false">INDEX(Acciones!$AF$5:$AF$148,MATCH($A10,Acciones!$A$5:$A$148,0))</f>
        <v>0.94932213921129</v>
      </c>
      <c r="D10" s="55" t="n">
        <f aca="false">INDEX(Acciones!$AG$5:$AG$148,MATCH($A10,Acciones!$A$5:$A$148,0))</f>
        <v>0.00584758336449622</v>
      </c>
      <c r="E10" s="55" t="n">
        <f aca="false">INDEX(Acciones!$AH$5:$AH$148,MATCH($A10,Acciones!$A$5:$A$148,0))</f>
        <v>0.0043880799</v>
      </c>
      <c r="F10" s="57" t="n">
        <v>0</v>
      </c>
      <c r="G10" s="57" t="n">
        <v>0.086</v>
      </c>
      <c r="H10" s="57" t="n">
        <v>0</v>
      </c>
    </row>
    <row r="11" customFormat="false" ht="15" hidden="false" customHeight="false" outlineLevel="0" collapsed="false">
      <c r="A11" s="38" t="s">
        <v>162</v>
      </c>
      <c r="B11" s="55" t="n">
        <f aca="false">INDEX(Acciones!$AI$5:$AI$148,MATCH($A11,Acciones!$A$5:$A$148,0))</f>
        <v>0.00870976417615888</v>
      </c>
      <c r="C11" s="56" t="n">
        <f aca="false">INDEX(Acciones!$AF$5:$AF$148,MATCH($A11,Acciones!$A$5:$A$148,0))</f>
        <v>0.61055926819464</v>
      </c>
      <c r="D11" s="55" t="n">
        <f aca="false">INDEX(Acciones!$AG$5:$AG$148,MATCH($A11,Acciones!$A$5:$A$148,0))</f>
        <v>0.00755438799842364</v>
      </c>
      <c r="E11" s="55" t="n">
        <f aca="false">INDEX(Acciones!$AH$5:$AH$148,MATCH($A11,Acciones!$A$5:$A$148,0))</f>
        <v>0.0036903323</v>
      </c>
      <c r="F11" s="57" t="n">
        <v>0</v>
      </c>
      <c r="G11" s="57" t="n">
        <v>0.167</v>
      </c>
      <c r="H11" s="57" t="n">
        <v>0</v>
      </c>
    </row>
    <row r="12" customFormat="false" ht="15" hidden="false" customHeight="false" outlineLevel="0" collapsed="false">
      <c r="A12" s="38" t="s">
        <v>163</v>
      </c>
      <c r="B12" s="55" t="n">
        <f aca="false">INDEX(Acciones!$AI$5:$AI$148,MATCH($A12,Acciones!$A$5:$A$148,0))</f>
        <v>0.0125963598399953</v>
      </c>
      <c r="C12" s="56" t="n">
        <f aca="false">INDEX(Acciones!$AF$5:$AF$148,MATCH($A12,Acciones!$A$5:$A$148,0))</f>
        <v>0.956547659843133</v>
      </c>
      <c r="D12" s="55" t="n">
        <f aca="false">INDEX(Acciones!$AG$5:$AG$148,MATCH($A12,Acciones!$A$5:$A$148,0))</f>
        <v>0.00790124674600215</v>
      </c>
      <c r="E12" s="55" t="n">
        <f aca="false">INDEX(Acciones!$AH$5:$AH$148,MATCH($A12,Acciones!$A$5:$A$148,0))</f>
        <v>0.002896535</v>
      </c>
      <c r="F12" s="57" t="n">
        <v>0</v>
      </c>
      <c r="G12" s="57" t="n">
        <v>0.227</v>
      </c>
      <c r="H12" s="57" t="n">
        <v>0</v>
      </c>
    </row>
    <row r="13" customFormat="false" ht="15" hidden="false" customHeight="false" outlineLevel="0" collapsed="false">
      <c r="A13" s="38" t="s">
        <v>164</v>
      </c>
      <c r="B13" s="55" t="n">
        <f aca="false">INDEX(Acciones!$AI$5:$AI$148,MATCH($A13,Acciones!$A$5:$A$148,0))</f>
        <v>0.00836876648326279</v>
      </c>
      <c r="C13" s="56" t="n">
        <f aca="false">INDEX(Acciones!$AF$5:$AF$148,MATCH($A13,Acciones!$A$5:$A$148,0))</f>
        <v>0.62552021723365</v>
      </c>
      <c r="D13" s="55" t="n">
        <f aca="false">INDEX(Acciones!$AG$5:$AG$148,MATCH($A13,Acciones!$A$5:$A$148,0))</f>
        <v>0.00650894171474176</v>
      </c>
      <c r="E13" s="55" t="n">
        <f aca="false">INDEX(Acciones!$AH$5:$AH$148,MATCH($A13,Acciones!$A$5:$A$148,0))</f>
        <v>0.0031046214</v>
      </c>
      <c r="F13" s="57" t="n">
        <v>0</v>
      </c>
      <c r="G13" s="57" t="n">
        <v>0.237</v>
      </c>
      <c r="H13" s="57" t="n">
        <v>0</v>
      </c>
    </row>
    <row r="14" customFormat="false" ht="15" hidden="false" customHeight="false" outlineLevel="0" collapsed="false">
      <c r="A14" s="38" t="s">
        <v>165</v>
      </c>
      <c r="B14" s="55" t="n">
        <f aca="false">INDEX(Acciones!$AI$5:$AI$148,MATCH($A14,Acciones!$A$5:$A$148,0))</f>
        <v>0.00788622846928735</v>
      </c>
      <c r="C14" s="56" t="n">
        <f aca="false">INDEX(Acciones!$AF$5:$AF$148,MATCH($A14,Acciones!$A$5:$A$148,0))</f>
        <v>1.09398950254712</v>
      </c>
      <c r="D14" s="55" t="n">
        <f aca="false">INDEX(Acciones!$AG$5:$AG$148,MATCH($A14,Acciones!$A$5:$A$148,0))</f>
        <v>0.00595783349986574</v>
      </c>
      <c r="E14" s="55" t="n">
        <f aca="false">INDEX(Acciones!$AH$5:$AH$148,MATCH($A14,Acciones!$A$5:$A$148,0))</f>
        <v>0.0067540614</v>
      </c>
      <c r="F14" s="57" t="n">
        <v>0</v>
      </c>
      <c r="G14" s="57" t="n">
        <v>0</v>
      </c>
      <c r="H14" s="57" t="n">
        <v>0.3</v>
      </c>
    </row>
    <row r="15" customFormat="false" ht="15" hidden="false" customHeight="false" outlineLevel="0" collapsed="false">
      <c r="A15" s="38" t="s">
        <v>166</v>
      </c>
      <c r="B15" s="55" t="n">
        <f aca="false">INDEX(Acciones!$AI$5:$AI$148,MATCH($A15,Acciones!$A$5:$A$148,0))</f>
        <v>0.0102870965303155</v>
      </c>
      <c r="C15" s="56" t="n">
        <f aca="false">INDEX(Acciones!$AF$5:$AF$148,MATCH($A15,Acciones!$A$5:$A$148,0))</f>
        <v>1.23487250948124</v>
      </c>
      <c r="D15" s="55" t="n">
        <f aca="false">INDEX(Acciones!$AG$5:$AG$148,MATCH($A15,Acciones!$A$5:$A$148,0))</f>
        <v>0.00289288055824224</v>
      </c>
      <c r="E15" s="55" t="n">
        <f aca="false">INDEX(Acciones!$AH$5:$AH$148,MATCH($A15,Acciones!$A$5:$A$148,0))</f>
        <v>0.0024063595</v>
      </c>
      <c r="F15" s="57" t="n">
        <v>0</v>
      </c>
      <c r="G15" s="57" t="n">
        <v>0</v>
      </c>
      <c r="H15" s="57" t="n">
        <v>0.2</v>
      </c>
    </row>
    <row r="16" customFormat="false" ht="15" hidden="false" customHeight="false" outlineLevel="0" collapsed="false">
      <c r="A16" s="38" t="s">
        <v>167</v>
      </c>
      <c r="B16" s="55" t="n">
        <f aca="false">INDEX(Acciones!$AI$5:$AI$148,MATCH($A16,Acciones!$A$5:$A$148,0))</f>
        <v>-0.00403694479800193</v>
      </c>
      <c r="C16" s="56" t="n">
        <f aca="false">INDEX(Acciones!$AF$5:$AF$148,MATCH($A16,Acciones!$A$5:$A$148,0))</f>
        <v>0.787982545207444</v>
      </c>
      <c r="D16" s="55" t="n">
        <f aca="false">INDEX(Acciones!$AG$5:$AG$148,MATCH($A16,Acciones!$A$5:$A$148,0))</f>
        <v>-0.00613906962187053</v>
      </c>
      <c r="E16" s="55" t="n">
        <f aca="false">INDEX(Acciones!$AH$5:$AH$148,MATCH($A16,Acciones!$A$5:$A$148,0))</f>
        <v>0.0041517049</v>
      </c>
      <c r="F16" s="57" t="n">
        <v>0</v>
      </c>
      <c r="G16" s="57" t="n">
        <v>0</v>
      </c>
      <c r="H16" s="57" t="n">
        <v>0.15</v>
      </c>
    </row>
    <row r="17" customFormat="false" ht="15" hidden="false" customHeight="false" outlineLevel="0" collapsed="false">
      <c r="A17" s="38" t="s">
        <v>168</v>
      </c>
      <c r="B17" s="55" t="n">
        <f aca="false">INDEX(Acciones!$AI$5:$AI$148,MATCH($A17,Acciones!$A$5:$A$148,0))</f>
        <v>0.00602691471732768</v>
      </c>
      <c r="C17" s="56" t="n">
        <f aca="false">INDEX(Acciones!$AF$5:$AF$148,MATCH($A17,Acciones!$A$5:$A$148,0))</f>
        <v>1.03567391218597</v>
      </c>
      <c r="D17" s="55" t="n">
        <f aca="false">INDEX(Acciones!$AG$5:$AG$148,MATCH($A17,Acciones!$A$5:$A$148,0))</f>
        <v>0.00169927229362949</v>
      </c>
      <c r="E17" s="55" t="n">
        <f aca="false">INDEX(Acciones!$AH$5:$AH$148,MATCH($A17,Acciones!$A$5:$A$148,0))</f>
        <v>0.0038919918</v>
      </c>
      <c r="F17" s="57" t="n">
        <v>0</v>
      </c>
      <c r="G17" s="57" t="n">
        <v>0</v>
      </c>
      <c r="H17" s="57" t="n">
        <v>0.15</v>
      </c>
    </row>
    <row r="19" customFormat="false" ht="15" hidden="false" customHeight="false" outlineLevel="0" collapsed="false">
      <c r="A19" s="37" t="s">
        <v>136</v>
      </c>
      <c r="F19" s="58" t="n">
        <f aca="false">SUM(F$5:F$17)</f>
        <v>1</v>
      </c>
      <c r="G19" s="58" t="n">
        <f aca="false">SUM(G$5:G$17)</f>
        <v>1</v>
      </c>
      <c r="H19" s="58" t="n">
        <f aca="false">SUM(H$5:H$17)</f>
        <v>1</v>
      </c>
    </row>
    <row r="20" customFormat="false" ht="15" hidden="false" customHeight="false" outlineLevel="0" collapsed="false">
      <c r="A20" s="37" t="s">
        <v>137</v>
      </c>
      <c r="F20" s="53" t="n">
        <f aca="false">COUNTIF(F$5:F$17,"&gt;0")</f>
        <v>5</v>
      </c>
      <c r="G20" s="53" t="n">
        <f aca="false">COUNTIF(G$5:G$17,"&gt;0")</f>
        <v>5</v>
      </c>
      <c r="H20" s="53" t="n">
        <f aca="false">COUNTIF(H$5:H$17,"&gt;0")</f>
        <v>5</v>
      </c>
    </row>
    <row r="21" customFormat="false" ht="15" hidden="false" customHeight="false" outlineLevel="0" collapsed="false">
      <c r="A21" s="37" t="s">
        <v>169</v>
      </c>
      <c r="F21" s="58" t="n">
        <f aca="false">MAX(F$5:F$17)</f>
        <v>0.5</v>
      </c>
      <c r="G21" s="58" t="n">
        <f aca="false">MAX(G$5:G$17)</f>
        <v>0.283</v>
      </c>
      <c r="H21" s="58" t="n">
        <f aca="false">MAX(H$5:H$17)</f>
        <v>0.3</v>
      </c>
    </row>
    <row r="22" customFormat="false" ht="15" hidden="false" customHeight="false" outlineLevel="0" collapsed="false">
      <c r="A22" s="37" t="s">
        <v>170</v>
      </c>
      <c r="F22" s="59" t="str">
        <f aca="false">IF(AND(ABS(F19-1)&lt;0.0005,F20&gt;=5,F21&lt;=0.5),"OK","REVISAR")</f>
        <v>OK</v>
      </c>
      <c r="G22" s="59" t="str">
        <f aca="false">IF(AND(ABS(G19-1)&lt;0.0005,G20&gt;=5,G21&lt;=0.5),"OK","REVISAR")</f>
        <v>OK</v>
      </c>
      <c r="H22" s="59" t="str">
        <f aca="false">IF(AND(ABS(H19-1)&lt;0.0005,H20&gt;=5,H21&lt;=0.5),"OK","REVISAR")</f>
        <v>OK</v>
      </c>
    </row>
    <row r="23" customFormat="false" ht="15" hidden="false" customHeight="false" outlineLevel="0" collapsed="false">
      <c r="A23" s="37" t="s">
        <v>155</v>
      </c>
      <c r="F23" s="54" t="n">
        <f aca="false">SUMPRODUCT(F$5:F$17,$C$5:$C$17)</f>
        <v>2.0353646633016</v>
      </c>
      <c r="G23" s="54" t="n">
        <f aca="false">SUMPRODUCT(G$5:G$17,$C$5:$C$17)</f>
        <v>1.15870517311863</v>
      </c>
      <c r="H23" s="54" t="n">
        <f aca="false">SUMPRODUCT(H$5:H$17,$C$5:$C$17)</f>
        <v>0.959597424472085</v>
      </c>
    </row>
    <row r="24" customFormat="false" ht="15" hidden="false" customHeight="false" outlineLevel="0" collapsed="false">
      <c r="A24" s="37" t="s">
        <v>130</v>
      </c>
      <c r="F24" s="36" t="n">
        <f aca="false">SUMPRODUCT(F$5:F$17,$E$5:$E$17)*'Mi portafolio'!$C$4</f>
        <v>10980.277699</v>
      </c>
      <c r="G24" s="36" t="n">
        <f aca="false">SUMPRODUCT(G$5:G$17,$E$5:$E$17)*'Mi portafolio'!$C$4</f>
        <v>5591.1478618</v>
      </c>
      <c r="H24" s="36" t="n">
        <f aca="false">SUMPRODUCT(H$5:H$17,$E$5:$E$17)*'Mi portafolio'!$C$4</f>
        <v>4241.362685</v>
      </c>
    </row>
    <row r="25" customFormat="false" ht="15" hidden="false" customHeight="false" outlineLevel="0" collapsed="false">
      <c r="A25" s="37" t="s">
        <v>171</v>
      </c>
      <c r="F25" s="36" t="n">
        <f aca="false">'Mi portafolio'!$C$4*(SUMPRODUCT(F$5:F$17,$C$5:$C$17)*Pronóstico!$C$13+SUMPRODUCT(F$5:F$17,$D$5:$D$17))-F24</f>
        <v>-68690.5199135289</v>
      </c>
      <c r="G25" s="36" t="n">
        <f aca="false">'Mi portafolio'!$C$4*(SUMPRODUCT(G$5:G$17,$C$5:$C$17)*Pronóstico!$C$13+SUMPRODUCT(G$5:G$17,$D$5:$D$17))-G24</f>
        <v>-36975.8162183216</v>
      </c>
      <c r="H25" s="36" t="n">
        <f aca="false">'Mi portafolio'!$C$4*(SUMPRODUCT(H$5:H$17,$C$5:$C$17)*Pronóstico!$C$13+SUMPRODUCT(H$5:H$17,$D$5:$D$17))-H24</f>
        <v>-41951.4439882582</v>
      </c>
    </row>
    <row r="26" customFormat="false" ht="15" hidden="false" customHeight="false" outlineLevel="0" collapsed="false">
      <c r="A26" s="37" t="s">
        <v>172</v>
      </c>
      <c r="F26" s="36" t="n">
        <f aca="false">'Mi portafolio'!$C$4*(SUMPRODUCT(F$5:F$17,$C$5:$C$17)*Pronóstico!$C$14+SUMPRODUCT(F$5:F$17,$D$5:$D$17))-F24</f>
        <v>31585.1886195307</v>
      </c>
      <c r="G26" s="36" t="n">
        <f aca="false">'Mi portafolio'!$C$4*(SUMPRODUCT(G$5:G$17,$C$5:$C$17)*Pronóstico!$C$14+SUMPRODUCT(G$5:G$17,$D$5:$D$17))-G24</f>
        <v>20109.7686453354</v>
      </c>
      <c r="H26" s="36" t="n">
        <f aca="false">'Mi portafolio'!$C$4*(SUMPRODUCT(H$5:H$17,$C$5:$C$17)*Pronóstico!$C$14+SUMPRODUCT(H$5:H$17,$D$5:$D$17))-H24</f>
        <v>5324.75834560295</v>
      </c>
    </row>
    <row r="27" customFormat="false" ht="15" hidden="false" customHeight="false" outlineLevel="0" collapsed="false">
      <c r="A27" s="37" t="s">
        <v>173</v>
      </c>
      <c r="F27" s="36" t="n">
        <f aca="false">'Mi portafolio'!$C$4*(SUMPRODUCT(F$5:F$17,$C$5:$C$17)*Pronóstico!$C$15+SUMPRODUCT(F$5:F$17,$D$5:$D$17))-F24</f>
        <v>131860.89715259</v>
      </c>
      <c r="G27" s="36" t="n">
        <f aca="false">'Mi portafolio'!$C$4*(SUMPRODUCT(G$5:G$17,$C$5:$C$17)*Pronóstico!$C$15+SUMPRODUCT(G$5:G$17,$D$5:$D$17))-G24</f>
        <v>77195.3535089923</v>
      </c>
      <c r="H27" s="36" t="n">
        <f aca="false">'Mi portafolio'!$C$4*(SUMPRODUCT(H$5:H$17,$C$5:$C$17)*Pronóstico!$C$15+SUMPRODUCT(H$5:H$17,$D$5:$D$17))-H24</f>
        <v>52600.960679464</v>
      </c>
    </row>
    <row r="28" customFormat="false" ht="15" hidden="false" customHeight="false" outlineLevel="0" collapsed="false">
      <c r="A28" s="37" t="s">
        <v>53</v>
      </c>
      <c r="F28" s="36" t="n">
        <f aca="false">Pronóstico!$B$13*F25+Pronóstico!$B$14*F26+Pronóstico!$B$15*F27</f>
        <v>31585.1886195307</v>
      </c>
      <c r="G28" s="36" t="n">
        <f aca="false">Pronóstico!$B$13*G25+Pronóstico!$B$14*G26+Pronóstico!$B$15*G27</f>
        <v>20109.7686453354</v>
      </c>
      <c r="H28" s="36" t="n">
        <f aca="false">Pronóstico!$B$13*H25+Pronóstico!$B$14*H26+Pronóstico!$B$15*H27</f>
        <v>5324.75834560295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7" min="5" style="0" width="11"/>
    <col collapsed="false" customWidth="true" hidden="false" outlineLevel="0" max="9" min="8" style="0" width="10"/>
    <col collapsed="false" customWidth="true" hidden="false" outlineLevel="0" max="10" min="10" style="0" width="12"/>
    <col collapsed="false" customWidth="true" hidden="false" outlineLevel="0" max="14" min="11" style="0" width="8"/>
    <col collapsed="false" customWidth="true" hidden="false" outlineLevel="0" max="15" min="15" style="0" width="10"/>
    <col collapsed="false" customWidth="true" hidden="false" outlineLevel="0" max="16" min="16" style="0" width="11"/>
    <col collapsed="false" customWidth="true" hidden="false" outlineLevel="0" max="17" min="17" style="0" width="9"/>
    <col collapsed="false" customWidth="true" hidden="false" outlineLevel="0" max="18" min="18" style="0" width="7"/>
    <col collapsed="false" customWidth="true" hidden="false" outlineLevel="0" max="20" min="19" style="0" width="10"/>
    <col collapsed="false" customWidth="true" hidden="false" outlineLevel="0" max="21" min="21" style="0" width="17"/>
    <col collapsed="false" customWidth="true" hidden="false" outlineLevel="0" max="35" min="22" style="0" width="13"/>
  </cols>
  <sheetData>
    <row r="1" customFormat="false" ht="18.75" hidden="false" customHeight="true" outlineLevel="0" collapsed="false">
      <c r="A1" s="5" t="s">
        <v>174</v>
      </c>
    </row>
    <row r="2" customFormat="false" ht="15" hidden="false" customHeight="false" outlineLevel="0" collapsed="false">
      <c r="A2" s="39" t="s">
        <v>175</v>
      </c>
    </row>
    <row r="4" customFormat="false" ht="54" hidden="false" customHeight="true" outlineLevel="0" collapsed="false">
      <c r="A4" s="43" t="s">
        <v>95</v>
      </c>
      <c r="B4" s="43" t="s">
        <v>96</v>
      </c>
      <c r="C4" s="43" t="s">
        <v>176</v>
      </c>
      <c r="D4" s="43" t="s">
        <v>177</v>
      </c>
      <c r="E4" s="43" t="s">
        <v>178</v>
      </c>
      <c r="F4" s="43" t="s">
        <v>98</v>
      </c>
      <c r="G4" s="43" t="s">
        <v>127</v>
      </c>
      <c r="H4" s="43" t="s">
        <v>179</v>
      </c>
      <c r="I4" s="43" t="s">
        <v>180</v>
      </c>
      <c r="J4" s="43" t="s">
        <v>128</v>
      </c>
      <c r="K4" s="43" t="s">
        <v>181</v>
      </c>
      <c r="L4" s="43" t="s">
        <v>182</v>
      </c>
      <c r="M4" s="43" t="s">
        <v>183</v>
      </c>
      <c r="N4" s="43" t="s">
        <v>184</v>
      </c>
      <c r="O4" s="43" t="s">
        <v>185</v>
      </c>
      <c r="P4" s="43" t="s">
        <v>186</v>
      </c>
      <c r="Q4" s="43" t="s">
        <v>187</v>
      </c>
      <c r="R4" s="43" t="s">
        <v>188</v>
      </c>
      <c r="S4" s="43" t="s">
        <v>189</v>
      </c>
      <c r="T4" s="43" t="s">
        <v>190</v>
      </c>
      <c r="U4" s="43" t="s">
        <v>123</v>
      </c>
      <c r="V4" s="16" t="s">
        <v>191</v>
      </c>
      <c r="W4" s="16" t="s">
        <v>192</v>
      </c>
      <c r="X4" s="16" t="s">
        <v>193</v>
      </c>
      <c r="Y4" s="16" t="s">
        <v>103</v>
      </c>
      <c r="Z4" s="16" t="s">
        <v>194</v>
      </c>
      <c r="AA4" s="16" t="s">
        <v>195</v>
      </c>
      <c r="AB4" s="16" t="s">
        <v>196</v>
      </c>
      <c r="AC4" s="16" t="s">
        <v>197</v>
      </c>
      <c r="AD4" s="16" t="s">
        <v>198</v>
      </c>
      <c r="AE4" s="16" t="s">
        <v>199</v>
      </c>
      <c r="AF4" s="16" t="s">
        <v>155</v>
      </c>
      <c r="AG4" s="16" t="s">
        <v>200</v>
      </c>
      <c r="AH4" s="16" t="s">
        <v>157</v>
      </c>
      <c r="AI4" s="16" t="s">
        <v>201</v>
      </c>
    </row>
    <row r="5" customFormat="false" ht="15" hidden="false" customHeight="false" outlineLevel="0" collapsed="false">
      <c r="A5" s="60" t="s">
        <v>202</v>
      </c>
      <c r="B5" s="60" t="s">
        <v>203</v>
      </c>
      <c r="C5" s="61" t="n">
        <v>9256.94075775147</v>
      </c>
      <c r="D5" s="62" t="n">
        <v>0.0175925880096423</v>
      </c>
      <c r="E5" s="61" t="n">
        <v>9095.02</v>
      </c>
      <c r="F5" s="61" t="n">
        <v>9383.91</v>
      </c>
      <c r="G5" s="63" t="n">
        <v>0.0312669619</v>
      </c>
      <c r="H5" s="64" t="n">
        <v>4540</v>
      </c>
      <c r="I5" s="64" t="n">
        <v>4437</v>
      </c>
      <c r="J5" s="65" t="s">
        <v>204</v>
      </c>
      <c r="K5" s="62" t="n">
        <v>0.0803413008055007</v>
      </c>
      <c r="L5" s="62" t="n">
        <v>0.0646116545233865</v>
      </c>
      <c r="M5" s="62" t="n">
        <v>0.131662457498408</v>
      </c>
      <c r="N5" s="62" t="n">
        <v>0.0199981684888452</v>
      </c>
      <c r="O5" s="62" t="n">
        <v>0.163628202114628</v>
      </c>
      <c r="P5" s="62" t="n">
        <v>0.0515380393180854</v>
      </c>
      <c r="Q5" s="62" t="n">
        <v>-0.144093669343519</v>
      </c>
      <c r="R5" s="66" t="n">
        <v>-0.0189438116385576</v>
      </c>
      <c r="S5" s="62" t="n">
        <v>0.169642784896901</v>
      </c>
      <c r="T5" s="62" t="n">
        <v>-0.10669455690839</v>
      </c>
      <c r="U5" s="60" t="s">
        <v>205</v>
      </c>
      <c r="V5" s="34" t="n">
        <v>9941.79353824616</v>
      </c>
      <c r="W5" s="13"/>
      <c r="X5" s="12" t="n">
        <v>3</v>
      </c>
      <c r="Y5" s="30" t="s">
        <v>206</v>
      </c>
      <c r="Z5" s="30" t="s">
        <v>204</v>
      </c>
      <c r="AA5" s="67" t="n">
        <v>41587311241.6504</v>
      </c>
      <c r="AB5" s="67" t="n">
        <v>41024502</v>
      </c>
      <c r="AC5" s="30" t="s">
        <v>204</v>
      </c>
      <c r="AD5" s="13" t="n">
        <v>-0.0558556192118765</v>
      </c>
      <c r="AE5" s="56" t="n">
        <v>-0.701614361069772</v>
      </c>
      <c r="AF5" s="56" t="n">
        <v>0.222340063521447</v>
      </c>
      <c r="AG5" s="55" t="n">
        <f aca="false">Pronóstico!$B$5*P5*AE5</f>
        <v>-0.00180799142634736</v>
      </c>
      <c r="AH5" s="55" t="n">
        <f aca="false">IF(ISNUMBER(G5),G5,1)+2*'Mi portafolio'!$C$5</f>
        <v>0.0335869619</v>
      </c>
      <c r="AI5" s="55" t="n">
        <f aca="false">AF5*Pronóstico!$B$8+AG5-AH5</f>
        <v>-0.0336303496476057</v>
      </c>
    </row>
    <row r="6" customFormat="false" ht="15" hidden="false" customHeight="false" outlineLevel="0" collapsed="false">
      <c r="A6" s="60" t="s">
        <v>207</v>
      </c>
      <c r="B6" s="60" t="s">
        <v>208</v>
      </c>
      <c r="C6" s="61" t="n">
        <v>18.27</v>
      </c>
      <c r="D6" s="62" t="n">
        <v>-0.0097614045532876</v>
      </c>
      <c r="E6" s="61" t="n">
        <v>18.24</v>
      </c>
      <c r="F6" s="61" t="n">
        <v>18.25</v>
      </c>
      <c r="G6" s="63" t="n">
        <v>0.0005480954</v>
      </c>
      <c r="H6" s="64" t="n">
        <v>915</v>
      </c>
      <c r="I6" s="64" t="n">
        <v>558</v>
      </c>
      <c r="J6" s="65" t="s">
        <v>204</v>
      </c>
      <c r="K6" s="62" t="n">
        <v>-0.0041577083152811</v>
      </c>
      <c r="L6" s="62" t="n">
        <v>0.139258358023118</v>
      </c>
      <c r="M6" s="62" t="n">
        <v>0.168395481682942</v>
      </c>
      <c r="N6" s="62" t="n">
        <v>0.260475054381733</v>
      </c>
      <c r="O6" s="62" t="n">
        <v>0.171403224347022</v>
      </c>
      <c r="P6" s="62" t="n">
        <v>0.0539869411353369</v>
      </c>
      <c r="Q6" s="62" t="n">
        <v>-0.0762762345509173</v>
      </c>
      <c r="R6" s="66" t="n">
        <v>0.276060450535141</v>
      </c>
      <c r="S6" s="62" t="n">
        <v>0.361387433972246</v>
      </c>
      <c r="T6" s="62" t="n">
        <v>-0.290176148106046</v>
      </c>
      <c r="U6" s="60" t="s">
        <v>205</v>
      </c>
      <c r="V6" s="34" t="n">
        <v>21.96154</v>
      </c>
      <c r="W6" s="13" t="n">
        <v>0.202054734537493</v>
      </c>
      <c r="X6" s="12" t="n">
        <v>13</v>
      </c>
      <c r="Y6" s="30" t="s">
        <v>209</v>
      </c>
      <c r="Z6" s="30" t="s">
        <v>204</v>
      </c>
      <c r="AA6" s="67" t="n">
        <v>196319861.756689</v>
      </c>
      <c r="AB6" s="67" t="n">
        <v>10177.92</v>
      </c>
      <c r="AC6" s="30" t="s">
        <v>204</v>
      </c>
      <c r="AD6" s="13" t="n">
        <v>0.265737622218596</v>
      </c>
      <c r="AE6" s="56" t="n">
        <v>0.381090124671974</v>
      </c>
      <c r="AF6" s="56" t="n">
        <v>0.0809611321105049</v>
      </c>
      <c r="AG6" s="55" t="n">
        <f aca="false">Pronóstico!$B$5*P6*AE6</f>
        <v>0.0010286945063962</v>
      </c>
      <c r="AH6" s="55" t="n">
        <f aca="false">IF(ISNUMBER(G6),G6,1)+2*'Mi portafolio'!$C$5</f>
        <v>0.0028680954</v>
      </c>
      <c r="AI6" s="55" t="n">
        <f aca="false">AF6*Pronóstico!$B$8+AG6-AH6</f>
        <v>-0.00119685222606011</v>
      </c>
    </row>
    <row r="7" customFormat="false" ht="15" hidden="false" customHeight="false" outlineLevel="0" collapsed="false">
      <c r="A7" s="60" t="s">
        <v>210</v>
      </c>
      <c r="B7" s="60" t="s">
        <v>208</v>
      </c>
      <c r="C7" s="61" t="n">
        <v>102.63</v>
      </c>
      <c r="D7" s="62" t="n">
        <v>-0.002720812264028</v>
      </c>
      <c r="E7" s="61" t="n">
        <v>102.32</v>
      </c>
      <c r="F7" s="61" t="n">
        <v>102.53</v>
      </c>
      <c r="G7" s="63" t="n">
        <v>0.0020502807</v>
      </c>
      <c r="H7" s="64" t="n">
        <v>90</v>
      </c>
      <c r="I7" s="64" t="n">
        <v>322</v>
      </c>
      <c r="J7" s="65" t="s">
        <v>204</v>
      </c>
      <c r="K7" s="62" t="n">
        <v>0.0360992492317397</v>
      </c>
      <c r="L7" s="62" t="n">
        <v>0.041295849862998</v>
      </c>
      <c r="M7" s="62" t="n">
        <v>-0.0283440367578827</v>
      </c>
      <c r="N7" s="62" t="n">
        <v>0.21008766891471</v>
      </c>
      <c r="O7" s="62" t="n">
        <v>0.192382802594309</v>
      </c>
      <c r="P7" s="62" t="n">
        <v>0.0605948871654968</v>
      </c>
      <c r="Q7" s="62" t="n">
        <v>-0.093163267242478</v>
      </c>
      <c r="R7" s="66" t="n">
        <v>0.19070879299305</v>
      </c>
      <c r="S7" s="62" t="n">
        <v>0.227798854248304</v>
      </c>
      <c r="T7" s="62" t="n">
        <v>-0.169887914771367</v>
      </c>
      <c r="U7" s="60" t="s">
        <v>205</v>
      </c>
      <c r="V7" s="34" t="n">
        <v>121.85333</v>
      </c>
      <c r="W7" s="13" t="n">
        <v>0.187307122673682</v>
      </c>
      <c r="X7" s="12" t="n">
        <v>15</v>
      </c>
      <c r="Y7" s="30" t="s">
        <v>211</v>
      </c>
      <c r="Z7" s="30" t="s">
        <v>204</v>
      </c>
      <c r="AA7" s="67" t="n">
        <v>26577588.7879996</v>
      </c>
      <c r="AB7" s="67" t="n">
        <v>9227.7</v>
      </c>
      <c r="AC7" s="30" t="s">
        <v>204</v>
      </c>
      <c r="AD7" s="13" t="n">
        <v>0.167926402622124</v>
      </c>
      <c r="AE7" s="56" t="n">
        <v>0.0099671563872908</v>
      </c>
      <c r="AF7" s="56" t="n">
        <v>0.136032994850235</v>
      </c>
      <c r="AG7" s="55" t="n">
        <f aca="false">Pronóstico!$B$5*P7*AE7</f>
        <v>3.01979358324373E-005</v>
      </c>
      <c r="AH7" s="55" t="n">
        <f aca="false">IF(ISNUMBER(G7),G7,1)+2*'Mi portafolio'!$C$5</f>
        <v>0.0043702807</v>
      </c>
      <c r="AI7" s="55" t="n">
        <f aca="false">AF7*Pronóstico!$B$8+AG7-AH7</f>
        <v>-0.00326045582091173</v>
      </c>
    </row>
    <row r="8" customFormat="false" ht="15" hidden="false" customHeight="false" outlineLevel="0" collapsed="false">
      <c r="A8" s="60" t="s">
        <v>212</v>
      </c>
      <c r="B8" s="60" t="s">
        <v>208</v>
      </c>
      <c r="C8" s="61" t="n">
        <v>236.31</v>
      </c>
      <c r="D8" s="62" t="n">
        <v>0.0011862344058659</v>
      </c>
      <c r="E8" s="61" t="n">
        <v>236.41</v>
      </c>
      <c r="F8" s="61" t="n">
        <v>236.52</v>
      </c>
      <c r="G8" s="63" t="n">
        <v>0.0004651851</v>
      </c>
      <c r="H8" s="64" t="n">
        <v>28</v>
      </c>
      <c r="I8" s="64" t="n">
        <v>126</v>
      </c>
      <c r="J8" s="65" t="s">
        <v>204</v>
      </c>
      <c r="K8" s="62" t="n">
        <v>0.0009333662335992</v>
      </c>
      <c r="L8" s="62" t="n">
        <v>-0.153842766478478</v>
      </c>
      <c r="M8" s="62" t="n">
        <v>-0.213673413663117</v>
      </c>
      <c r="N8" s="62" t="n">
        <v>-0.238150116932823</v>
      </c>
      <c r="O8" s="62" t="n">
        <v>0.194316372304767</v>
      </c>
      <c r="P8" s="62" t="n">
        <v>0.0612039043793632</v>
      </c>
      <c r="Q8" s="62" t="n">
        <v>-0.340687144330926</v>
      </c>
      <c r="R8" s="66" t="n">
        <v>0.449594221057363</v>
      </c>
      <c r="S8" s="62" t="n">
        <v>0.193777771655824</v>
      </c>
      <c r="T8" s="62" t="n">
        <v>-0.129400011723087</v>
      </c>
      <c r="U8" s="60" t="s">
        <v>205</v>
      </c>
      <c r="V8" s="34" t="n">
        <v>336.53845</v>
      </c>
      <c r="W8" s="13" t="n">
        <v>0.424139689391054</v>
      </c>
      <c r="X8" s="12" t="n">
        <v>13</v>
      </c>
      <c r="Y8" s="30" t="s">
        <v>213</v>
      </c>
      <c r="Z8" s="30" t="s">
        <v>204</v>
      </c>
      <c r="AA8" s="67" t="n">
        <v>128080893.183596</v>
      </c>
      <c r="AB8" s="67" t="n">
        <v>6626.2</v>
      </c>
      <c r="AC8" s="30" t="s">
        <v>204</v>
      </c>
      <c r="AD8" s="13" t="n">
        <v>-0.238860538804963</v>
      </c>
      <c r="AE8" s="56" t="n">
        <v>-0.046533890681801</v>
      </c>
      <c r="AF8" s="56" t="n">
        <v>0.328232864587744</v>
      </c>
      <c r="AG8" s="55" t="n">
        <f aca="false">Pronóstico!$B$5*P8*AE8</f>
        <v>-0.000142402789784434</v>
      </c>
      <c r="AH8" s="55" t="n">
        <f aca="false">IF(ISNUMBER(G8),G8,1)+2*'Mi portafolio'!$C$5</f>
        <v>0.0027851851</v>
      </c>
      <c r="AI8" s="55" t="n">
        <f aca="false">AF8*Pronóstico!$B$8+AG8-AH8</f>
        <v>-0.000322565154961073</v>
      </c>
    </row>
    <row r="9" customFormat="false" ht="15" hidden="false" customHeight="false" outlineLevel="0" collapsed="false">
      <c r="A9" s="60" t="s">
        <v>214</v>
      </c>
      <c r="B9" s="60" t="s">
        <v>203</v>
      </c>
      <c r="C9" s="61" t="n">
        <v>1593.94049198151</v>
      </c>
      <c r="D9" s="62" t="n">
        <v>0.0332977392406141</v>
      </c>
      <c r="E9" s="61" t="n">
        <v>1557.06</v>
      </c>
      <c r="F9" s="61" t="n">
        <v>1593.98</v>
      </c>
      <c r="G9" s="63" t="n">
        <v>0.0234335331</v>
      </c>
      <c r="H9" s="64" t="n">
        <v>10809</v>
      </c>
      <c r="I9" s="64" t="n">
        <v>7200</v>
      </c>
      <c r="J9" s="65" t="s">
        <v>204</v>
      </c>
      <c r="K9" s="62" t="n">
        <v>0.0827586878744728</v>
      </c>
      <c r="L9" s="62" t="n">
        <v>0.087189904697325</v>
      </c>
      <c r="M9" s="62" t="n">
        <v>0.241591781973968</v>
      </c>
      <c r="N9" s="62" t="n">
        <v>0.296864258132626</v>
      </c>
      <c r="O9" s="62" t="n">
        <v>0.203688993336054</v>
      </c>
      <c r="P9" s="62" t="n">
        <v>0.0641560025200348</v>
      </c>
      <c r="Q9" s="62" t="n">
        <v>-0.0891336997963051</v>
      </c>
      <c r="R9" s="66" t="n">
        <v>0.0149295438529834</v>
      </c>
      <c r="S9" s="62" t="n">
        <v>0.189311749145362</v>
      </c>
      <c r="T9" s="62" t="n">
        <v>-0.0886203506681621</v>
      </c>
      <c r="U9" s="60" t="s">
        <v>205</v>
      </c>
      <c r="V9" s="34" t="n">
        <v>1714.27454981232</v>
      </c>
      <c r="W9" s="13" t="n">
        <v>0.0754946991033631</v>
      </c>
      <c r="X9" s="12" t="n">
        <v>23</v>
      </c>
      <c r="Y9" s="30" t="s">
        <v>209</v>
      </c>
      <c r="Z9" s="30" t="s">
        <v>204</v>
      </c>
      <c r="AA9" s="67" t="n">
        <v>24643653001.3969</v>
      </c>
      <c r="AB9" s="67" t="n">
        <v>11347200</v>
      </c>
      <c r="AC9" s="30" t="s">
        <v>204</v>
      </c>
      <c r="AD9" s="13" t="n">
        <v>0.197740801025995</v>
      </c>
      <c r="AE9" s="56" t="n">
        <v>-0.456937685640285</v>
      </c>
      <c r="AF9" s="56" t="n">
        <v>0.174514372694433</v>
      </c>
      <c r="AG9" s="55" t="n">
        <f aca="false">Pronóstico!$B$5*P9*AE9</f>
        <v>-0.00146576476557185</v>
      </c>
      <c r="AH9" s="55" t="n">
        <f aca="false">IF(ISNUMBER(G9),G9,1)+2*'Mi portafolio'!$C$5</f>
        <v>0.0257535331</v>
      </c>
      <c r="AI9" s="55" t="n">
        <f aca="false">AF9*Pronóstico!$B$8+AG9-AH9</f>
        <v>-0.0258342631616478</v>
      </c>
    </row>
    <row r="10" customFormat="false" ht="15" hidden="false" customHeight="false" outlineLevel="0" collapsed="false">
      <c r="A10" s="60" t="s">
        <v>215</v>
      </c>
      <c r="B10" s="60" t="s">
        <v>208</v>
      </c>
      <c r="C10" s="61" t="n">
        <v>44.7</v>
      </c>
      <c r="D10" s="62" t="n">
        <v>-0.0024548227400218</v>
      </c>
      <c r="E10" s="61" t="n">
        <v>44.5</v>
      </c>
      <c r="F10" s="61" t="n">
        <v>44.64</v>
      </c>
      <c r="G10" s="63" t="n">
        <v>0.0031411263</v>
      </c>
      <c r="H10" s="64" t="n">
        <v>800</v>
      </c>
      <c r="I10" s="64" t="n">
        <v>704</v>
      </c>
      <c r="J10" s="65" t="s">
        <v>204</v>
      </c>
      <c r="K10" s="62" t="n">
        <v>0.0502559575159371</v>
      </c>
      <c r="L10" s="62" t="n">
        <v>-0.0025079807707286</v>
      </c>
      <c r="M10" s="62" t="n">
        <v>0.0741299293629207</v>
      </c>
      <c r="N10" s="62" t="n">
        <v>0.611632550919178</v>
      </c>
      <c r="O10" s="62" t="n">
        <v>0.203994089500018</v>
      </c>
      <c r="P10" s="62" t="n">
        <v>0.0642520987790594</v>
      </c>
      <c r="Q10" s="62" t="n">
        <v>-0.0978210906323916</v>
      </c>
      <c r="R10" s="66" t="n">
        <v>0.250574260186271</v>
      </c>
      <c r="S10" s="62" t="n">
        <v>0.231055575537108</v>
      </c>
      <c r="T10" s="62" t="n">
        <v>-0.129136252035389</v>
      </c>
      <c r="U10" s="60" t="s">
        <v>205</v>
      </c>
      <c r="V10" s="34" t="n">
        <v>45.2</v>
      </c>
      <c r="W10" s="13" t="n">
        <v>0.0111856823266218</v>
      </c>
      <c r="X10" s="12" t="n">
        <v>5</v>
      </c>
      <c r="Y10" s="30" t="s">
        <v>216</v>
      </c>
      <c r="Z10" s="30" t="s">
        <v>204</v>
      </c>
      <c r="AA10" s="67" t="n">
        <v>19640045.4810843</v>
      </c>
      <c r="AB10" s="67" t="n">
        <v>31328</v>
      </c>
      <c r="AC10" s="30" t="s">
        <v>217</v>
      </c>
      <c r="AD10" s="13" t="n">
        <v>0.534514076674231</v>
      </c>
      <c r="AE10" s="56" t="n">
        <v>0.334379900043357</v>
      </c>
      <c r="AF10" s="56" t="n">
        <v>0.0998247058956896</v>
      </c>
      <c r="AG10" s="55" t="n">
        <f aca="false">Pronóstico!$B$5*P10*AE10</f>
        <v>0.00107423051836589</v>
      </c>
      <c r="AH10" s="55" t="n">
        <f aca="false">IF(ISNUMBER(G10),G10,1)+2*'Mi portafolio'!$C$5</f>
        <v>0.0054611263</v>
      </c>
      <c r="AI10" s="55" t="n">
        <f aca="false">AF10*Pronóstico!$B$8+AG10-AH10</f>
        <v>-0.0035946362110334</v>
      </c>
    </row>
    <row r="11" customFormat="false" ht="15" hidden="false" customHeight="false" outlineLevel="0" collapsed="false">
      <c r="A11" s="60" t="s">
        <v>218</v>
      </c>
      <c r="B11" s="60" t="s">
        <v>208</v>
      </c>
      <c r="C11" s="61" t="n">
        <v>61.44</v>
      </c>
      <c r="D11" s="62" t="n">
        <v>0.0118596809678963</v>
      </c>
      <c r="E11" s="61" t="n">
        <v>61.42</v>
      </c>
      <c r="F11" s="61" t="n">
        <v>61.43</v>
      </c>
      <c r="G11" s="63" t="n">
        <v>0.0001628002</v>
      </c>
      <c r="H11" s="64" t="n">
        <v>2852</v>
      </c>
      <c r="I11" s="64" t="n">
        <v>259</v>
      </c>
      <c r="J11" s="65" t="s">
        <v>204</v>
      </c>
      <c r="K11" s="62" t="n">
        <v>0.0760203212644614</v>
      </c>
      <c r="L11" s="62" t="n">
        <v>0.0284612913013735</v>
      </c>
      <c r="M11" s="62" t="n">
        <v>-0.0203625329491071</v>
      </c>
      <c r="N11" s="62" t="n">
        <v>0.263235967935226</v>
      </c>
      <c r="O11" s="62" t="n">
        <v>0.205554166075671</v>
      </c>
      <c r="P11" s="62" t="n">
        <v>0.0647434767130352</v>
      </c>
      <c r="Q11" s="62" t="n">
        <v>-0.109730707241876</v>
      </c>
      <c r="R11" s="66" t="n">
        <v>0.506550522866537</v>
      </c>
      <c r="S11" s="62" t="n">
        <v>0.249132692567774</v>
      </c>
      <c r="T11" s="62" t="n">
        <v>-0.152017685319591</v>
      </c>
      <c r="U11" s="60" t="s">
        <v>205</v>
      </c>
      <c r="V11" s="34" t="n">
        <v>70.30285</v>
      </c>
      <c r="W11" s="13" t="n">
        <v>0.144252115885417</v>
      </c>
      <c r="X11" s="12" t="n">
        <v>13</v>
      </c>
      <c r="Y11" s="30" t="s">
        <v>216</v>
      </c>
      <c r="Z11" s="30" t="s">
        <v>204</v>
      </c>
      <c r="AA11" s="67" t="n">
        <v>127204985.487969</v>
      </c>
      <c r="AB11" s="67" t="n">
        <v>15910.37</v>
      </c>
      <c r="AC11" s="30" t="s">
        <v>204</v>
      </c>
      <c r="AD11" s="13" t="n">
        <v>0.173988950739111</v>
      </c>
      <c r="AE11" s="56" t="n">
        <v>-0.186304606258472</v>
      </c>
      <c r="AF11" s="56" t="n">
        <v>0.291342208071966</v>
      </c>
      <c r="AG11" s="55" t="n">
        <f aca="false">Pronóstico!$B$5*P11*AE11</f>
        <v>-0.000603100396841327</v>
      </c>
      <c r="AH11" s="55" t="n">
        <f aca="false">IF(ISNUMBER(G11),G11,1)+2*'Mi portafolio'!$C$5</f>
        <v>0.0024828002</v>
      </c>
      <c r="AI11" s="55" t="n">
        <f aca="false">AF11*Pronóstico!$B$8+AG11-AH11</f>
        <v>-0.000773660850238424</v>
      </c>
    </row>
    <row r="12" customFormat="false" ht="15" hidden="false" customHeight="false" outlineLevel="0" collapsed="false">
      <c r="A12" s="60" t="s">
        <v>219</v>
      </c>
      <c r="B12" s="60" t="s">
        <v>203</v>
      </c>
      <c r="C12" s="61" t="n">
        <v>4296.27048110962</v>
      </c>
      <c r="D12" s="62" t="n">
        <v>0.0348197566979717</v>
      </c>
      <c r="E12" s="61" t="n">
        <v>4247.15</v>
      </c>
      <c r="F12" s="61" t="n">
        <v>4349.19</v>
      </c>
      <c r="G12" s="63" t="n">
        <v>0.023740336</v>
      </c>
      <c r="H12" s="64" t="n">
        <v>4000</v>
      </c>
      <c r="I12" s="64" t="n">
        <v>4100</v>
      </c>
      <c r="J12" s="65" t="s">
        <v>204</v>
      </c>
      <c r="K12" s="62" t="n">
        <v>0.0016071095004599</v>
      </c>
      <c r="L12" s="62" t="n">
        <v>-0.0937191024253168</v>
      </c>
      <c r="M12" s="62" t="n">
        <v>-0.176220491351266</v>
      </c>
      <c r="N12" s="62" t="n">
        <v>-0.224469785645236</v>
      </c>
      <c r="O12" s="62" t="n">
        <v>0.208381298891706</v>
      </c>
      <c r="P12" s="62" t="n">
        <v>0.0656339398504849</v>
      </c>
      <c r="Q12" s="62" t="n">
        <v>-0.298214612569621</v>
      </c>
      <c r="R12" s="66" t="n">
        <v>0.111886678611658</v>
      </c>
      <c r="S12" s="62" t="n">
        <v>0.233205354713768</v>
      </c>
      <c r="T12" s="62" t="n">
        <v>-0.14651693701866</v>
      </c>
      <c r="U12" s="60" t="s">
        <v>205</v>
      </c>
      <c r="V12" s="34" t="n">
        <v>5332.5998299408</v>
      </c>
      <c r="W12" s="13" t="n">
        <v>0.241216039210715</v>
      </c>
      <c r="X12" s="12" t="n">
        <v>29</v>
      </c>
      <c r="Y12" s="30" t="s">
        <v>220</v>
      </c>
      <c r="Z12" s="30" t="s">
        <v>204</v>
      </c>
      <c r="AA12" s="67" t="n">
        <v>27266259155.3081</v>
      </c>
      <c r="AB12" s="67" t="n">
        <v>16904040</v>
      </c>
      <c r="AC12" s="30" t="s">
        <v>204</v>
      </c>
      <c r="AD12" s="13" t="n">
        <v>-0.225714147794387</v>
      </c>
      <c r="AE12" s="56" t="n">
        <v>-0.9187818153909</v>
      </c>
      <c r="AF12" s="56" t="n">
        <v>0.350887578344927</v>
      </c>
      <c r="AG12" s="55" t="n">
        <f aca="false">Pronóstico!$B$5*P12*AE12</f>
        <v>-0.00301516352035428</v>
      </c>
      <c r="AH12" s="55" t="n">
        <f aca="false">IF(ISNUMBER(G12),G12,1)+2*'Mi portafolio'!$C$5</f>
        <v>0.026060336</v>
      </c>
      <c r="AI12" s="55" t="n">
        <f aca="false">AF12*Pronóstico!$B$8+AG12-AH12</f>
        <v>-0.0262906774699977</v>
      </c>
    </row>
    <row r="13" customFormat="false" ht="15" hidden="false" customHeight="false" outlineLevel="0" collapsed="false">
      <c r="A13" s="60" t="s">
        <v>221</v>
      </c>
      <c r="B13" s="60" t="s">
        <v>203</v>
      </c>
      <c r="C13" s="61" t="n">
        <v>4646.62337875366</v>
      </c>
      <c r="D13" s="62" t="n">
        <v>0.000535270890285</v>
      </c>
      <c r="E13" s="61" t="n">
        <v>4501.21</v>
      </c>
      <c r="F13" s="61" t="n">
        <v>4649.99</v>
      </c>
      <c r="G13" s="63" t="n">
        <v>0.0325159542</v>
      </c>
      <c r="H13" s="64" t="n">
        <v>400</v>
      </c>
      <c r="I13" s="64" t="n">
        <v>400</v>
      </c>
      <c r="J13" s="65" t="s">
        <v>204</v>
      </c>
      <c r="K13" s="62" t="n">
        <v>0.0288632842745732</v>
      </c>
      <c r="L13" s="62" t="n">
        <v>0.0351202770021963</v>
      </c>
      <c r="M13" s="62" t="n">
        <v>0.140451993120915</v>
      </c>
      <c r="N13" s="62" t="n">
        <v>0.334232340469029</v>
      </c>
      <c r="O13" s="62" t="n">
        <v>0.206086194642221</v>
      </c>
      <c r="P13" s="62" t="n">
        <v>0.0649110499603535</v>
      </c>
      <c r="Q13" s="62" t="n">
        <v>-0.140326859539142</v>
      </c>
      <c r="R13" s="66" t="n">
        <v>0.0764514129228716</v>
      </c>
      <c r="S13" s="62" t="n">
        <v>0.200935856244958</v>
      </c>
      <c r="T13" s="62" t="n">
        <v>-0.118432290801984</v>
      </c>
      <c r="U13" s="60" t="s">
        <v>205</v>
      </c>
      <c r="V13" s="34" t="n">
        <v>5076.2386274147</v>
      </c>
      <c r="W13" s="13" t="n">
        <v>0.0924575145524866</v>
      </c>
      <c r="X13" s="12" t="n">
        <v>22</v>
      </c>
      <c r="Y13" s="30" t="s">
        <v>222</v>
      </c>
      <c r="Z13" s="30" t="s">
        <v>204</v>
      </c>
      <c r="AA13" s="67" t="n">
        <v>31676408486.4478</v>
      </c>
      <c r="AB13" s="67" t="n">
        <v>1816800</v>
      </c>
      <c r="AC13" s="30" t="s">
        <v>204</v>
      </c>
      <c r="AD13" s="13" t="n">
        <v>0.296802365155604</v>
      </c>
      <c r="AE13" s="56" t="n">
        <v>-0.0709634624177638</v>
      </c>
      <c r="AF13" s="56" t="n">
        <v>0.171480393548672</v>
      </c>
      <c r="AG13" s="55" t="n">
        <f aca="false">Pronóstico!$B$5*P13*AE13</f>
        <v>-0.000230315642717957</v>
      </c>
      <c r="AH13" s="55" t="n">
        <f aca="false">IF(ISNUMBER(G13),G13,1)+2*'Mi portafolio'!$C$5</f>
        <v>0.0348359542</v>
      </c>
      <c r="AI13" s="55" t="n">
        <f aca="false">AF13*Pronóstico!$B$8+AG13-AH13</f>
        <v>-0.0337053143383634</v>
      </c>
    </row>
    <row r="14" customFormat="false" ht="15" hidden="false" customHeight="false" outlineLevel="0" collapsed="false">
      <c r="A14" s="60" t="s">
        <v>223</v>
      </c>
      <c r="B14" s="60" t="s">
        <v>203</v>
      </c>
      <c r="C14" s="61" t="n">
        <v>2720.22703170776</v>
      </c>
      <c r="D14" s="62" t="n">
        <v>0.0240129427834718</v>
      </c>
      <c r="E14" s="61" t="n">
        <v>2696.01</v>
      </c>
      <c r="F14" s="61" t="n">
        <v>2749.99</v>
      </c>
      <c r="G14" s="63" t="n">
        <v>0.0198237238</v>
      </c>
      <c r="H14" s="64" t="n">
        <v>1805</v>
      </c>
      <c r="I14" s="64" t="n">
        <v>1500</v>
      </c>
      <c r="J14" s="65" t="s">
        <v>204</v>
      </c>
      <c r="K14" s="62" t="n">
        <v>0.127683931315602</v>
      </c>
      <c r="L14" s="62" t="n">
        <v>0.0553587383525173</v>
      </c>
      <c r="M14" s="62" t="n">
        <v>0.116032358212242</v>
      </c>
      <c r="N14" s="62" t="n">
        <v>0.0034504536674075</v>
      </c>
      <c r="O14" s="62" t="n">
        <v>0.208250661502427</v>
      </c>
      <c r="P14" s="62" t="n">
        <v>0.0655927929404897</v>
      </c>
      <c r="Q14" s="62" t="n">
        <v>-0.150547028151007</v>
      </c>
      <c r="R14" s="66" t="n">
        <v>0.144048126804272</v>
      </c>
      <c r="S14" s="62" t="n">
        <v>0.155010720796628</v>
      </c>
      <c r="T14" s="62" t="n">
        <v>-0.113342347695682</v>
      </c>
      <c r="U14" s="60" t="s">
        <v>205</v>
      </c>
      <c r="V14" s="34" t="n">
        <v>2918.68669970322</v>
      </c>
      <c r="W14" s="13" t="n">
        <v>0.0729570236903569</v>
      </c>
      <c r="X14" s="12" t="n">
        <v>23</v>
      </c>
      <c r="Y14" s="30" t="s">
        <v>216</v>
      </c>
      <c r="Z14" s="30" t="s">
        <v>204</v>
      </c>
      <c r="AA14" s="67" t="n">
        <v>20880259580.3109</v>
      </c>
      <c r="AB14" s="67" t="n">
        <v>4065000</v>
      </c>
      <c r="AC14" s="30" t="s">
        <v>204</v>
      </c>
      <c r="AD14" s="13" t="n">
        <v>-0.110166930820109</v>
      </c>
      <c r="AE14" s="56" t="n">
        <v>-1.40635737452243</v>
      </c>
      <c r="AF14" s="56" t="n">
        <v>0.281004794914929</v>
      </c>
      <c r="AG14" s="55" t="n">
        <f aca="false">Pronóstico!$B$5*P14*AE14</f>
        <v>-0.00461234540336903</v>
      </c>
      <c r="AH14" s="55" t="n">
        <f aca="false">IF(ISNUMBER(G14),G14,1)+2*'Mi portafolio'!$C$5</f>
        <v>0.0221437238</v>
      </c>
      <c r="AI14" s="55" t="n">
        <f aca="false">AF14*Pronóstico!$B$8+AG14-AH14</f>
        <v>-0.0245258724183299</v>
      </c>
    </row>
    <row r="15" customFormat="false" ht="15" hidden="false" customHeight="false" outlineLevel="0" collapsed="false">
      <c r="A15" s="60" t="s">
        <v>224</v>
      </c>
      <c r="B15" s="60" t="s">
        <v>208</v>
      </c>
      <c r="C15" s="61" t="n">
        <v>46.72</v>
      </c>
      <c r="D15" s="62" t="n">
        <v>0.0002142243847647</v>
      </c>
      <c r="E15" s="61" t="n">
        <v>46.72</v>
      </c>
      <c r="F15" s="61" t="n">
        <v>46.74</v>
      </c>
      <c r="G15" s="63" t="n">
        <v>0.0004279906</v>
      </c>
      <c r="H15" s="64" t="n">
        <v>2268</v>
      </c>
      <c r="I15" s="64" t="n">
        <v>901</v>
      </c>
      <c r="J15" s="65" t="s">
        <v>204</v>
      </c>
      <c r="K15" s="62" t="n">
        <v>0.0156590088706232</v>
      </c>
      <c r="L15" s="62" t="n">
        <v>-0.059605297897054</v>
      </c>
      <c r="M15" s="62" t="n">
        <v>-0.185275627851124</v>
      </c>
      <c r="N15" s="62" t="n">
        <v>-0.222722419626052</v>
      </c>
      <c r="O15" s="62" t="n">
        <v>0.20278226228787</v>
      </c>
      <c r="P15" s="62" t="n">
        <v>0.063870409084378</v>
      </c>
      <c r="Q15" s="62" t="n">
        <v>-0.271392851035266</v>
      </c>
      <c r="R15" s="66" t="n">
        <v>0.517704039011435</v>
      </c>
      <c r="S15" s="62" t="n">
        <v>0.182360669492619</v>
      </c>
      <c r="T15" s="62" t="n">
        <v>-0.17227919592501</v>
      </c>
      <c r="U15" s="60" t="s">
        <v>205</v>
      </c>
      <c r="V15" s="34" t="n">
        <v>58.03889</v>
      </c>
      <c r="W15" s="13" t="n">
        <v>0.242270761986301</v>
      </c>
      <c r="X15" s="12" t="n">
        <v>18</v>
      </c>
      <c r="Y15" s="30" t="s">
        <v>209</v>
      </c>
      <c r="Z15" s="30" t="s">
        <v>204</v>
      </c>
      <c r="AA15" s="67" t="n">
        <v>794082482.430965</v>
      </c>
      <c r="AB15" s="67" t="n">
        <v>42103.73</v>
      </c>
      <c r="AC15" s="30" t="s">
        <v>204</v>
      </c>
      <c r="AD15" s="13" t="n">
        <v>-0.234706162614308</v>
      </c>
      <c r="AE15" s="56" t="n">
        <v>-0.940878782091794</v>
      </c>
      <c r="AF15" s="56" t="n">
        <v>0.348802151150159</v>
      </c>
      <c r="AG15" s="55" t="n">
        <f aca="false">Pronóstico!$B$5*P15*AE15</f>
        <v>-0.00300471563555071</v>
      </c>
      <c r="AH15" s="55" t="n">
        <f aca="false">IF(ISNUMBER(G15),G15,1)+2*'Mi portafolio'!$C$5</f>
        <v>0.0027479906</v>
      </c>
      <c r="AI15" s="55" t="n">
        <f aca="false">AF15*Pronóstico!$B$8+AG15-AH15</f>
        <v>-0.00298443519467643</v>
      </c>
    </row>
    <row r="16" customFormat="false" ht="15" hidden="false" customHeight="false" outlineLevel="0" collapsed="false">
      <c r="A16" s="60" t="s">
        <v>225</v>
      </c>
      <c r="B16" s="60" t="s">
        <v>203</v>
      </c>
      <c r="C16" s="61" t="n">
        <v>154.572793960571</v>
      </c>
      <c r="D16" s="62" t="n">
        <v>0.0161878218753133</v>
      </c>
      <c r="E16" s="61" t="n">
        <v>153.49</v>
      </c>
      <c r="F16" s="61" t="n">
        <v>154.49</v>
      </c>
      <c r="G16" s="63" t="n">
        <v>0.0064939282</v>
      </c>
      <c r="H16" s="64" t="n">
        <v>3</v>
      </c>
      <c r="I16" s="64" t="n">
        <v>94400</v>
      </c>
      <c r="J16" s="65" t="s">
        <v>204</v>
      </c>
      <c r="K16" s="62" t="n">
        <v>-0.119596351190794</v>
      </c>
      <c r="L16" s="62" t="n">
        <v>-0.168272611542382</v>
      </c>
      <c r="M16" s="62" t="n">
        <v>-0.107425618682685</v>
      </c>
      <c r="N16" s="62" t="n">
        <v>-0.0388053717094166</v>
      </c>
      <c r="O16" s="62" t="n">
        <v>0.216372384418688</v>
      </c>
      <c r="P16" s="62" t="n">
        <v>0.0681508952087995</v>
      </c>
      <c r="Q16" s="62" t="n">
        <v>-0.207116126265425</v>
      </c>
      <c r="R16" s="66" t="n">
        <v>0.485016697677247</v>
      </c>
      <c r="S16" s="62" t="n">
        <v>0.277634870331417</v>
      </c>
      <c r="T16" s="62" t="n">
        <v>-0.199685066218128</v>
      </c>
      <c r="U16" s="60" t="s">
        <v>205</v>
      </c>
      <c r="V16" s="34" t="n">
        <v>196.657438167572</v>
      </c>
      <c r="W16" s="13" t="n">
        <v>0.272264239577217</v>
      </c>
      <c r="X16" s="12" t="n">
        <v>9</v>
      </c>
      <c r="Y16" s="30" t="s">
        <v>226</v>
      </c>
      <c r="Z16" s="30" t="s">
        <v>204</v>
      </c>
      <c r="AA16" s="67" t="n">
        <v>7474116448.45346</v>
      </c>
      <c r="AB16" s="67" t="n">
        <v>458.19</v>
      </c>
      <c r="AC16" s="30" t="s">
        <v>217</v>
      </c>
      <c r="AD16" s="13" t="n">
        <v>0.0917658389883457</v>
      </c>
      <c r="AE16" s="56" t="n">
        <v>0.201942616845477</v>
      </c>
      <c r="AF16" s="56" t="n">
        <v>0.812889697927402</v>
      </c>
      <c r="AG16" s="55" t="n">
        <f aca="false">Pronóstico!$B$5*P16*AE16</f>
        <v>0.000688128505941343</v>
      </c>
      <c r="AH16" s="55" t="n">
        <f aca="false">IF(ISNUMBER(G16),G16,1)+2*'Mi portafolio'!$C$5</f>
        <v>0.0088139282</v>
      </c>
      <c r="AI16" s="55" t="n">
        <f aca="false">AF16*Pronóstico!$B$8+AG16-AH16</f>
        <v>-0.00167429415495229</v>
      </c>
    </row>
    <row r="17" customFormat="false" ht="15" hidden="false" customHeight="false" outlineLevel="0" collapsed="false">
      <c r="A17" s="60" t="s">
        <v>227</v>
      </c>
      <c r="B17" s="60" t="s">
        <v>203</v>
      </c>
      <c r="C17" s="61" t="n">
        <v>502.928861618042</v>
      </c>
      <c r="D17" s="62" t="n">
        <v>-0.0002339852849284</v>
      </c>
      <c r="E17" s="61" t="n">
        <v>494.96</v>
      </c>
      <c r="F17" s="61" t="n">
        <v>500.99</v>
      </c>
      <c r="G17" s="63" t="n">
        <v>0.0121090416</v>
      </c>
      <c r="H17" s="64" t="n">
        <v>21300</v>
      </c>
      <c r="I17" s="64" t="n">
        <v>7100</v>
      </c>
      <c r="J17" s="65" t="s">
        <v>204</v>
      </c>
      <c r="K17" s="62" t="n">
        <v>0.0708144026543402</v>
      </c>
      <c r="L17" s="62" t="n">
        <v>0.194687654970302</v>
      </c>
      <c r="M17" s="62" t="n">
        <v>0.108990951817968</v>
      </c>
      <c r="N17" s="62" t="n">
        <v>0.191644344463382</v>
      </c>
      <c r="O17" s="62" t="n">
        <v>0.216766421085974</v>
      </c>
      <c r="P17" s="62" t="n">
        <v>0.0682750050932137</v>
      </c>
      <c r="Q17" s="62" t="n">
        <v>-0.174724411752517</v>
      </c>
      <c r="R17" s="66" t="n">
        <v>0.180268261705336</v>
      </c>
      <c r="S17" s="62" t="n">
        <v>0.215726453162584</v>
      </c>
      <c r="T17" s="62" t="n">
        <v>-0.180002360055259</v>
      </c>
      <c r="U17" s="60" t="s">
        <v>205</v>
      </c>
      <c r="V17" s="34" t="n">
        <v>526.960710506439</v>
      </c>
      <c r="W17" s="13" t="n">
        <v>0.0477837935390725</v>
      </c>
      <c r="X17" s="12" t="n">
        <v>26</v>
      </c>
      <c r="Y17" s="30" t="s">
        <v>228</v>
      </c>
      <c r="Z17" s="30" t="s">
        <v>204</v>
      </c>
      <c r="AA17" s="67" t="n">
        <v>16128297127.6223</v>
      </c>
      <c r="AB17" s="67" t="n">
        <v>3564129</v>
      </c>
      <c r="AC17" s="30" t="s">
        <v>204</v>
      </c>
      <c r="AD17" s="13" t="n">
        <v>0.112839294568253</v>
      </c>
      <c r="AE17" s="56" t="n">
        <v>-0.853432944004005</v>
      </c>
      <c r="AF17" s="56" t="n">
        <v>0.554611026103998</v>
      </c>
      <c r="AG17" s="55" t="n">
        <f aca="false">Pronóstico!$B$5*P17*AE17</f>
        <v>-0.00291340692992949</v>
      </c>
      <c r="AH17" s="55" t="n">
        <f aca="false">IF(ISNUMBER(G17),G17,1)+2*'Mi portafolio'!$C$5</f>
        <v>0.0144290416</v>
      </c>
      <c r="AI17" s="55" t="n">
        <f aca="false">AF17*Pronóstico!$B$8+AG17-AH17</f>
        <v>-0.0129407737195803</v>
      </c>
    </row>
    <row r="18" customFormat="false" ht="15" hidden="false" customHeight="false" outlineLevel="0" collapsed="false">
      <c r="A18" s="60" t="s">
        <v>229</v>
      </c>
      <c r="B18" s="60" t="s">
        <v>208</v>
      </c>
      <c r="C18" s="61" t="n">
        <v>194.62</v>
      </c>
      <c r="D18" s="62" t="n">
        <v>0.0038122996797544</v>
      </c>
      <c r="E18" s="61" t="n">
        <v>194.9</v>
      </c>
      <c r="F18" s="61" t="n">
        <v>194.96</v>
      </c>
      <c r="G18" s="63" t="n">
        <v>0.0003078028</v>
      </c>
      <c r="H18" s="64" t="n">
        <v>693</v>
      </c>
      <c r="I18" s="64" t="n">
        <v>1700</v>
      </c>
      <c r="J18" s="65" t="s">
        <v>204</v>
      </c>
      <c r="K18" s="62" t="n">
        <v>0.0074453358882198</v>
      </c>
      <c r="L18" s="62" t="n">
        <v>-0.0019281153514608</v>
      </c>
      <c r="M18" s="62" t="n">
        <v>-0.0418510416615079</v>
      </c>
      <c r="N18" s="62" t="n">
        <v>0.129856787839154</v>
      </c>
      <c r="O18" s="62" t="n">
        <v>0.217906463493928</v>
      </c>
      <c r="P18" s="62" t="n">
        <v>0.0686340846998223</v>
      </c>
      <c r="Q18" s="62" t="n">
        <v>-0.167886109742689</v>
      </c>
      <c r="R18" s="66" t="n">
        <v>0.745743395737243</v>
      </c>
      <c r="S18" s="62" t="n">
        <v>0.200471538487967</v>
      </c>
      <c r="T18" s="62" t="n">
        <v>-0.101347840812724</v>
      </c>
      <c r="U18" s="60" t="s">
        <v>205</v>
      </c>
      <c r="V18" s="34" t="n">
        <v>238.33333</v>
      </c>
      <c r="W18" s="13" t="n">
        <v>0.224608621929915</v>
      </c>
      <c r="X18" s="12" t="n">
        <v>18</v>
      </c>
      <c r="Y18" s="30" t="s">
        <v>230</v>
      </c>
      <c r="Z18" s="30" t="s">
        <v>204</v>
      </c>
      <c r="AA18" s="67" t="n">
        <v>387911231.751091</v>
      </c>
      <c r="AB18" s="67" t="n">
        <v>135065.7</v>
      </c>
      <c r="AC18" s="30" t="s">
        <v>204</v>
      </c>
      <c r="AD18" s="13" t="n">
        <v>0.121506793063873</v>
      </c>
      <c r="AE18" s="56" t="n">
        <v>0.054765603754351</v>
      </c>
      <c r="AF18" s="56" t="n">
        <v>0.336860283713013</v>
      </c>
      <c r="AG18" s="55" t="n">
        <f aca="false">Pronóstico!$B$5*P18*AE18</f>
        <v>0.000187939354335652</v>
      </c>
      <c r="AH18" s="55" t="n">
        <f aca="false">IF(ISNUMBER(G18),G18,1)+2*'Mi portafolio'!$C$5</f>
        <v>0.0026278028</v>
      </c>
      <c r="AI18" s="55" t="n">
        <f aca="false">AF18*Pronóstico!$B$8+AG18-AH18</f>
        <v>0.000233630869518295</v>
      </c>
    </row>
    <row r="19" customFormat="false" ht="15" hidden="false" customHeight="false" outlineLevel="0" collapsed="false">
      <c r="A19" s="60" t="s">
        <v>231</v>
      </c>
      <c r="B19" s="60" t="s">
        <v>203</v>
      </c>
      <c r="C19" s="61" t="n">
        <v>17202.3272743225</v>
      </c>
      <c r="D19" s="62" t="n">
        <v>0.0160830734260293</v>
      </c>
      <c r="E19" s="61" t="n">
        <v>17050.01</v>
      </c>
      <c r="F19" s="61" t="n">
        <v>17256.99</v>
      </c>
      <c r="G19" s="63" t="n">
        <v>0.0120663421</v>
      </c>
      <c r="H19" s="64" t="n">
        <v>4820</v>
      </c>
      <c r="I19" s="64" t="n">
        <v>4520</v>
      </c>
      <c r="J19" s="65" t="s">
        <v>204</v>
      </c>
      <c r="K19" s="62" t="n">
        <v>0.127171762495971</v>
      </c>
      <c r="L19" s="62" t="n">
        <v>0.0627967837610978</v>
      </c>
      <c r="M19" s="62" t="n">
        <v>0.0156118387669912</v>
      </c>
      <c r="N19" s="62" t="n">
        <v>0.0027417381483207</v>
      </c>
      <c r="O19" s="62" t="n">
        <v>0.217747616644866</v>
      </c>
      <c r="P19" s="62" t="n">
        <v>0.06858405264516</v>
      </c>
      <c r="Q19" s="62" t="n">
        <v>-0.192363773633681</v>
      </c>
      <c r="R19" s="66" t="n">
        <v>0.11593722930336</v>
      </c>
      <c r="S19" s="62" t="n">
        <v>0.235256257510911</v>
      </c>
      <c r="T19" s="62" t="n">
        <v>-0.189567050813845</v>
      </c>
      <c r="U19" s="60" t="s">
        <v>205</v>
      </c>
      <c r="V19" s="34" t="n">
        <v>19204.8373345566</v>
      </c>
      <c r="W19" s="13" t="n">
        <v>0.116409252556378</v>
      </c>
      <c r="X19" s="12" t="n">
        <v>35</v>
      </c>
      <c r="Y19" s="30" t="s">
        <v>232</v>
      </c>
      <c r="Z19" s="30" t="s">
        <v>217</v>
      </c>
      <c r="AA19" s="67" t="n">
        <v>38258308773.7529</v>
      </c>
      <c r="AB19" s="67" t="n">
        <v>77811800</v>
      </c>
      <c r="AC19" s="30" t="s">
        <v>204</v>
      </c>
      <c r="AD19" s="13" t="n">
        <v>-0.110391360472087</v>
      </c>
      <c r="AE19" s="56" t="n">
        <v>-1.19034303567917</v>
      </c>
      <c r="AF19" s="56" t="n">
        <v>0.2268810070475</v>
      </c>
      <c r="AG19" s="55" t="n">
        <f aca="false">Pronóstico!$B$5*P19*AE19</f>
        <v>-0.00408192747124098</v>
      </c>
      <c r="AH19" s="55" t="n">
        <f aca="false">IF(ISNUMBER(G19),G19,1)+2*'Mi portafolio'!$C$5</f>
        <v>0.0143863421</v>
      </c>
      <c r="AI19" s="55" t="n">
        <f aca="false">AF19*Pronóstico!$B$8+AG19-AH19</f>
        <v>-0.0166676266581656</v>
      </c>
    </row>
    <row r="20" customFormat="false" ht="15" hidden="false" customHeight="false" outlineLevel="0" collapsed="false">
      <c r="A20" s="60" t="s">
        <v>233</v>
      </c>
      <c r="B20" s="60" t="s">
        <v>208</v>
      </c>
      <c r="C20" s="61" t="n">
        <v>21.51</v>
      </c>
      <c r="D20" s="62" t="n">
        <v>0</v>
      </c>
      <c r="E20" s="61" t="n">
        <v>21.51</v>
      </c>
      <c r="F20" s="61" t="n">
        <v>21.55</v>
      </c>
      <c r="G20" s="63" t="n">
        <v>0.0018578727</v>
      </c>
      <c r="H20" s="64" t="n">
        <v>247</v>
      </c>
      <c r="I20" s="64" t="n">
        <v>5153</v>
      </c>
      <c r="J20" s="65" t="s">
        <v>204</v>
      </c>
      <c r="K20" s="62" t="n">
        <v>0.0027032912063638</v>
      </c>
      <c r="L20" s="62" t="n">
        <v>0.0027032912063638</v>
      </c>
      <c r="M20" s="62" t="n">
        <v>0.0295080479648075</v>
      </c>
      <c r="N20" s="62" t="n">
        <v>0.154124477302173</v>
      </c>
      <c r="O20" s="62" t="n">
        <v>0.219621237674647</v>
      </c>
      <c r="P20" s="62" t="n">
        <v>0.0691741877994433</v>
      </c>
      <c r="Q20" s="62" t="n">
        <v>-0.0732159791671772</v>
      </c>
      <c r="R20" s="66" t="n">
        <v>0.126030342807707</v>
      </c>
      <c r="S20" s="62" t="n">
        <v>0.135203985529749</v>
      </c>
      <c r="T20" s="62" t="n">
        <v>-0.0561223877528763</v>
      </c>
      <c r="U20" s="60" t="s">
        <v>205</v>
      </c>
      <c r="V20" s="34" t="n">
        <v>26</v>
      </c>
      <c r="W20" s="13"/>
      <c r="X20" s="12" t="n">
        <v>1</v>
      </c>
      <c r="Y20" s="30"/>
      <c r="Z20" s="30" t="s">
        <v>217</v>
      </c>
      <c r="AA20" s="67" t="n">
        <v>347686.374660386</v>
      </c>
      <c r="AB20" s="67" t="n">
        <v>5322.85</v>
      </c>
      <c r="AC20" s="30" t="s">
        <v>217</v>
      </c>
      <c r="AD20" s="13" t="n">
        <v>0.151012954104931</v>
      </c>
      <c r="AE20" s="56" t="n">
        <v>0.5571204096252</v>
      </c>
      <c r="AF20" s="56" t="n">
        <v>0.0962048677905358</v>
      </c>
      <c r="AG20" s="55" t="n">
        <f aca="false">Pronóstico!$B$5*P20*AE20</f>
        <v>0.00192691759211582</v>
      </c>
      <c r="AH20" s="55" t="n">
        <f aca="false">IF(ISNUMBER(G20),G20,1)+2*'Mi portafolio'!$C$5</f>
        <v>0.0041778727</v>
      </c>
      <c r="AI20" s="55" t="n">
        <f aca="false">AF20*Pronóstico!$B$8+AG20-AH20</f>
        <v>-0.0014874244111339</v>
      </c>
    </row>
    <row r="21" customFormat="false" ht="15" hidden="false" customHeight="false" outlineLevel="0" collapsed="false">
      <c r="A21" s="60" t="s">
        <v>234</v>
      </c>
      <c r="B21" s="60" t="s">
        <v>203</v>
      </c>
      <c r="C21" s="61" t="n">
        <v>2290.00093460083</v>
      </c>
      <c r="D21" s="62" t="n">
        <v>0.0298654382261565</v>
      </c>
      <c r="E21" s="61" t="n">
        <v>2270.01</v>
      </c>
      <c r="F21" s="61" t="n">
        <v>2275.34</v>
      </c>
      <c r="G21" s="63" t="n">
        <v>0.0023452539</v>
      </c>
      <c r="H21" s="64" t="n">
        <v>2906</v>
      </c>
      <c r="I21" s="64" t="n">
        <v>2</v>
      </c>
      <c r="J21" s="65" t="s">
        <v>204</v>
      </c>
      <c r="K21" s="62" t="n">
        <v>-0.0093760758873989</v>
      </c>
      <c r="L21" s="62" t="n">
        <v>-0.0451623448394596</v>
      </c>
      <c r="M21" s="62" t="n">
        <v>-0.124727535668003</v>
      </c>
      <c r="N21" s="62" t="n">
        <v>-0.158992707927757</v>
      </c>
      <c r="O21" s="62" t="n">
        <v>0.21929055862204</v>
      </c>
      <c r="P21" s="62" t="n">
        <v>0.0690700336878987</v>
      </c>
      <c r="Q21" s="62" t="n">
        <v>-0.23228440081192</v>
      </c>
      <c r="R21" s="66" t="n">
        <v>0.101742950996075</v>
      </c>
      <c r="S21" s="62" t="n">
        <v>0.179694997390293</v>
      </c>
      <c r="T21" s="62" t="n">
        <v>-0.169730977363693</v>
      </c>
      <c r="U21" s="60" t="s">
        <v>205</v>
      </c>
      <c r="V21" s="34" t="n">
        <v>2698.19564340591</v>
      </c>
      <c r="W21" s="13" t="n">
        <v>0.178250891795481</v>
      </c>
      <c r="X21" s="12" t="n">
        <v>22</v>
      </c>
      <c r="Y21" s="30" t="s">
        <v>235</v>
      </c>
      <c r="Z21" s="30" t="s">
        <v>204</v>
      </c>
      <c r="AA21" s="67" t="n">
        <v>22981960998.1901</v>
      </c>
      <c r="AB21" s="67" t="n">
        <v>4548</v>
      </c>
      <c r="AC21" s="30" t="s">
        <v>217</v>
      </c>
      <c r="AD21" s="13" t="n">
        <v>-0.151032726344041</v>
      </c>
      <c r="AE21" s="56" t="n">
        <v>-1.00558295856533</v>
      </c>
      <c r="AF21" s="56" t="n">
        <v>0.264744825375172</v>
      </c>
      <c r="AG21" s="55" t="n">
        <f aca="false">Pronóstico!$B$5*P21*AE21</f>
        <v>-0.00347278244120422</v>
      </c>
      <c r="AH21" s="55" t="n">
        <f aca="false">IF(ISNUMBER(G21),G21,1)+2*'Mi portafolio'!$C$5</f>
        <v>0.0046652539</v>
      </c>
      <c r="AI21" s="55" t="n">
        <f aca="false">AF21*Pronóstico!$B$8+AG21-AH21</f>
        <v>-0.00603688693346476</v>
      </c>
    </row>
    <row r="22" customFormat="false" ht="15" hidden="false" customHeight="false" outlineLevel="0" collapsed="false">
      <c r="A22" s="60" t="s">
        <v>236</v>
      </c>
      <c r="B22" s="60" t="s">
        <v>208</v>
      </c>
      <c r="C22" s="61" t="n">
        <v>86.54</v>
      </c>
      <c r="D22" s="62" t="n">
        <v>0.012045360233484</v>
      </c>
      <c r="E22" s="61" t="n">
        <v>86.61</v>
      </c>
      <c r="F22" s="61" t="n">
        <v>86.62</v>
      </c>
      <c r="G22" s="63" t="n">
        <v>0.0001154534</v>
      </c>
      <c r="H22" s="64" t="n">
        <v>112</v>
      </c>
      <c r="I22" s="64" t="n">
        <v>97</v>
      </c>
      <c r="J22" s="65" t="s">
        <v>204</v>
      </c>
      <c r="K22" s="62" t="n">
        <v>-0.0072272257273306</v>
      </c>
      <c r="L22" s="62" t="n">
        <v>-0.0463911744845472</v>
      </c>
      <c r="M22" s="62" t="n">
        <v>-0.143610984125091</v>
      </c>
      <c r="N22" s="62" t="n">
        <v>-0.33565552863342</v>
      </c>
      <c r="O22" s="62" t="n">
        <v>0.219824600751042</v>
      </c>
      <c r="P22" s="62" t="n">
        <v>0.0692382411477762</v>
      </c>
      <c r="Q22" s="62" t="n">
        <v>-0.377639754363576</v>
      </c>
      <c r="R22" s="66" t="n">
        <v>0.523380230425505</v>
      </c>
      <c r="S22" s="62" t="n">
        <v>0.312050466715987</v>
      </c>
      <c r="T22" s="62" t="n">
        <v>-0.179221490015021</v>
      </c>
      <c r="U22" s="60" t="s">
        <v>205</v>
      </c>
      <c r="V22" s="34" t="n">
        <v>122.5</v>
      </c>
      <c r="W22" s="13" t="n">
        <v>0.415530390570834</v>
      </c>
      <c r="X22" s="12" t="n">
        <v>14</v>
      </c>
      <c r="Y22" s="30" t="s">
        <v>237</v>
      </c>
      <c r="Z22" s="30" t="s">
        <v>204</v>
      </c>
      <c r="AA22" s="67" t="n">
        <v>141924123.745407</v>
      </c>
      <c r="AB22" s="67" t="n">
        <v>8400.2</v>
      </c>
      <c r="AC22" s="30" t="s">
        <v>204</v>
      </c>
      <c r="AD22" s="13" t="n">
        <v>-0.330819207997222</v>
      </c>
      <c r="AE22" s="56" t="n">
        <v>-0.369239440388636</v>
      </c>
      <c r="AF22" s="56" t="n">
        <v>0.278171182790136</v>
      </c>
      <c r="AG22" s="55" t="n">
        <f aca="false">Pronóstico!$B$5*P22*AE22</f>
        <v>-0.00127827447074491</v>
      </c>
      <c r="AH22" s="55" t="n">
        <f aca="false">IF(ISNUMBER(G22),G22,1)+2*'Mi portafolio'!$C$5</f>
        <v>0.0024354534</v>
      </c>
      <c r="AI22" s="55" t="n">
        <f aca="false">AF22*Pronóstico!$B$8+AG22-AH22</f>
        <v>-0.0015060200708232</v>
      </c>
    </row>
    <row r="23" customFormat="false" ht="15" hidden="false" customHeight="false" outlineLevel="0" collapsed="false">
      <c r="A23" s="60" t="s">
        <v>238</v>
      </c>
      <c r="B23" s="60" t="s">
        <v>203</v>
      </c>
      <c r="C23" s="61" t="n">
        <v>959.113748550415</v>
      </c>
      <c r="D23" s="62" t="n">
        <v>-0.0030782897441976</v>
      </c>
      <c r="E23" s="61" t="n">
        <v>950.01</v>
      </c>
      <c r="F23" s="61" t="n">
        <v>960.99</v>
      </c>
      <c r="G23" s="63" t="n">
        <v>0.0114913658</v>
      </c>
      <c r="H23" s="64" t="n">
        <v>20000</v>
      </c>
      <c r="I23" s="64" t="n">
        <v>16300</v>
      </c>
      <c r="J23" s="65" t="s">
        <v>204</v>
      </c>
      <c r="K23" s="62" t="n">
        <v>-0.0952938648877651</v>
      </c>
      <c r="L23" s="62" t="n">
        <v>-0.0745607592323819</v>
      </c>
      <c r="M23" s="62" t="n">
        <v>0.033515405731461</v>
      </c>
      <c r="N23" s="62" t="n">
        <v>0.0360611166700945</v>
      </c>
      <c r="O23" s="62" t="n">
        <v>0.218478272858712</v>
      </c>
      <c r="P23" s="62" t="n">
        <v>0.0688141877208409</v>
      </c>
      <c r="Q23" s="62" t="n">
        <v>-0.189447518848658</v>
      </c>
      <c r="R23" s="66" t="n">
        <v>0.276705634134739</v>
      </c>
      <c r="S23" s="62" t="n">
        <v>0.229800176865053</v>
      </c>
      <c r="T23" s="62" t="n">
        <v>-0.268584563696037</v>
      </c>
      <c r="U23" s="60" t="s">
        <v>205</v>
      </c>
      <c r="V23" s="34" t="n">
        <v>1216.25099182129</v>
      </c>
      <c r="W23" s="13" t="n">
        <v>0.268098798145169</v>
      </c>
      <c r="X23" s="12" t="n">
        <v>22</v>
      </c>
      <c r="Y23" s="30" t="s">
        <v>239</v>
      </c>
      <c r="Z23" s="30" t="s">
        <v>204</v>
      </c>
      <c r="AA23" s="67" t="n">
        <v>39893821580.3987</v>
      </c>
      <c r="AB23" s="67" t="n">
        <v>15550200</v>
      </c>
      <c r="AC23" s="30" t="s">
        <v>204</v>
      </c>
      <c r="AD23" s="13" t="n">
        <v>0.145190771301185</v>
      </c>
      <c r="AE23" s="56" t="n">
        <v>0.343707021827272</v>
      </c>
      <c r="AF23" s="56" t="n">
        <v>0.700928199769621</v>
      </c>
      <c r="AG23" s="55" t="n">
        <f aca="false">Pronóstico!$B$5*P23*AE23</f>
        <v>0.00118259597604965</v>
      </c>
      <c r="AH23" s="55" t="n">
        <f aca="false">IF(ISNUMBER(G23),G23,1)+2*'Mi portafolio'!$C$5</f>
        <v>0.0138113658</v>
      </c>
      <c r="AI23" s="55" t="n">
        <f aca="false">AF23*Pronóstico!$B$8+AG23-AH23</f>
        <v>-0.00706584760355653</v>
      </c>
    </row>
    <row r="24" customFormat="false" ht="15" hidden="false" customHeight="false" outlineLevel="0" collapsed="false">
      <c r="A24" s="60" t="s">
        <v>240</v>
      </c>
      <c r="B24" s="60" t="s">
        <v>208</v>
      </c>
      <c r="C24" s="61" t="n">
        <v>41.58</v>
      </c>
      <c r="D24" s="62" t="n">
        <v>0.0036206016117303</v>
      </c>
      <c r="E24" s="61" t="n">
        <v>41.58</v>
      </c>
      <c r="F24" s="61" t="n">
        <v>41.59</v>
      </c>
      <c r="G24" s="63" t="n">
        <v>0.0002404713</v>
      </c>
      <c r="H24" s="64" t="n">
        <v>716</v>
      </c>
      <c r="I24" s="64" t="n">
        <v>410</v>
      </c>
      <c r="J24" s="65" t="s">
        <v>204</v>
      </c>
      <c r="K24" s="62" t="n">
        <v>-0.0341462818131801</v>
      </c>
      <c r="L24" s="62" t="n">
        <v>0.0058055558195679</v>
      </c>
      <c r="M24" s="62" t="n">
        <v>-0.0558950884829739</v>
      </c>
      <c r="N24" s="62" t="n">
        <v>-0.11301243814758</v>
      </c>
      <c r="O24" s="62" t="n">
        <v>0.223551797315212</v>
      </c>
      <c r="P24" s="62" t="n">
        <v>0.0704121977187582</v>
      </c>
      <c r="Q24" s="62" t="n">
        <v>-0.122233674144514</v>
      </c>
      <c r="R24" s="66" t="n">
        <v>0.813639745851578</v>
      </c>
      <c r="S24" s="62" t="n">
        <v>0.236216940147921</v>
      </c>
      <c r="T24" s="62" t="n">
        <v>-0.175310562868339</v>
      </c>
      <c r="U24" s="60" t="s">
        <v>205</v>
      </c>
      <c r="V24" s="34" t="n">
        <v>44.71429</v>
      </c>
      <c r="W24" s="13" t="n">
        <v>0.0753797498797499</v>
      </c>
      <c r="X24" s="12" t="n">
        <v>7</v>
      </c>
      <c r="Y24" s="30" t="s">
        <v>241</v>
      </c>
      <c r="Z24" s="30" t="s">
        <v>217</v>
      </c>
      <c r="AA24" s="67" t="n">
        <v>148975706.771113</v>
      </c>
      <c r="AB24" s="67" t="n">
        <v>17051.9</v>
      </c>
      <c r="AC24" s="30" t="s">
        <v>204</v>
      </c>
      <c r="AD24" s="13" t="n">
        <v>-0.0816543487376683</v>
      </c>
      <c r="AE24" s="56" t="n">
        <v>-1.30752982883888</v>
      </c>
      <c r="AF24" s="56" t="n">
        <v>0.57167420996043</v>
      </c>
      <c r="AG24" s="55" t="n">
        <f aca="false">Pronóstico!$B$5*P24*AE24</f>
        <v>-0.00460330244156888</v>
      </c>
      <c r="AH24" s="55" t="n">
        <f aca="false">IF(ISNUMBER(G24),G24,1)+2*'Mi portafolio'!$C$5</f>
        <v>0.0025604713</v>
      </c>
      <c r="AI24" s="55" t="n">
        <f aca="false">AF24*Pronóstico!$B$8+AG24-AH24</f>
        <v>-0.00262667683712103</v>
      </c>
    </row>
    <row r="25" customFormat="false" ht="15" hidden="false" customHeight="false" outlineLevel="0" collapsed="false">
      <c r="A25" s="60" t="s">
        <v>242</v>
      </c>
      <c r="B25" s="60" t="s">
        <v>208</v>
      </c>
      <c r="C25" s="61" t="n">
        <v>30.37</v>
      </c>
      <c r="D25" s="62" t="n">
        <v>0.0103024082542493</v>
      </c>
      <c r="E25" s="61" t="n">
        <v>30.37</v>
      </c>
      <c r="F25" s="61" t="n">
        <v>30.38</v>
      </c>
      <c r="G25" s="63" t="n">
        <v>0.0003292181</v>
      </c>
      <c r="H25" s="64" t="n">
        <v>6802</v>
      </c>
      <c r="I25" s="64" t="n">
        <v>5146</v>
      </c>
      <c r="J25" s="65" t="s">
        <v>204</v>
      </c>
      <c r="K25" s="62" t="n">
        <v>0.0246039615894573</v>
      </c>
      <c r="L25" s="62" t="n">
        <v>0.0319055526392189</v>
      </c>
      <c r="M25" s="62" t="n">
        <v>0.0169419339599676</v>
      </c>
      <c r="N25" s="62" t="n">
        <v>0.225678083721377</v>
      </c>
      <c r="O25" s="62" t="n">
        <v>0.226013600702552</v>
      </c>
      <c r="P25" s="62" t="n">
        <v>0.0711875929020481</v>
      </c>
      <c r="Q25" s="62" t="n">
        <v>-0.120185978244231</v>
      </c>
      <c r="R25" s="66" t="n">
        <v>0.689823265324673</v>
      </c>
      <c r="S25" s="62" t="n">
        <v>0.196122387285656</v>
      </c>
      <c r="T25" s="62" t="n">
        <v>-0.142416113434909</v>
      </c>
      <c r="U25" s="60" t="s">
        <v>205</v>
      </c>
      <c r="V25" s="34" t="n">
        <v>34.46154</v>
      </c>
      <c r="W25" s="13" t="n">
        <v>0.134723081988805</v>
      </c>
      <c r="X25" s="12" t="n">
        <v>13</v>
      </c>
      <c r="Y25" s="30" t="s">
        <v>243</v>
      </c>
      <c r="Z25" s="30" t="s">
        <v>204</v>
      </c>
      <c r="AA25" s="67" t="n">
        <v>184041435.759781</v>
      </c>
      <c r="AB25" s="67" t="n">
        <v>156335.48</v>
      </c>
      <c r="AC25" s="30" t="s">
        <v>204</v>
      </c>
      <c r="AD25" s="13" t="n">
        <v>0.196245700455808</v>
      </c>
      <c r="AE25" s="56" t="n">
        <v>-0.166113182066269</v>
      </c>
      <c r="AF25" s="56" t="n">
        <v>0.296247183094305</v>
      </c>
      <c r="AG25" s="55" t="n">
        <f aca="false">Pronóstico!$B$5*P25*AE25</f>
        <v>-0.000591259879029868</v>
      </c>
      <c r="AH25" s="55" t="n">
        <f aca="false">IF(ISNUMBER(G25),G25,1)+2*'Mi portafolio'!$C$5</f>
        <v>0.0026492181</v>
      </c>
      <c r="AI25" s="55" t="n">
        <f aca="false">AF25*Pronóstico!$B$8+AG25-AH25</f>
        <v>-0.000889309859233794</v>
      </c>
    </row>
    <row r="26" customFormat="false" ht="15" hidden="false" customHeight="false" outlineLevel="0" collapsed="false">
      <c r="A26" s="60" t="s">
        <v>244</v>
      </c>
      <c r="B26" s="60" t="s">
        <v>208</v>
      </c>
      <c r="C26" s="61" t="n">
        <v>216.08</v>
      </c>
      <c r="D26" s="62" t="n">
        <v>0.024415727180105</v>
      </c>
      <c r="E26" s="61" t="n">
        <v>215.82</v>
      </c>
      <c r="F26" s="61" t="n">
        <v>216.09</v>
      </c>
      <c r="G26" s="63" t="n">
        <v>0.0012502605</v>
      </c>
      <c r="H26" s="64" t="n">
        <v>291</v>
      </c>
      <c r="I26" s="64" t="n">
        <v>229</v>
      </c>
      <c r="J26" s="65" t="s">
        <v>204</v>
      </c>
      <c r="K26" s="62" t="n">
        <v>0.0831077786017779</v>
      </c>
      <c r="L26" s="62" t="n">
        <v>-0.0277864854195628</v>
      </c>
      <c r="M26" s="62" t="n">
        <v>0.0994527898586816</v>
      </c>
      <c r="N26" s="62" t="n">
        <v>0.285120608420891</v>
      </c>
      <c r="O26" s="62" t="n">
        <v>0.22800932737656</v>
      </c>
      <c r="P26" s="62" t="n">
        <v>0.0718161877192248</v>
      </c>
      <c r="Q26" s="62" t="n">
        <v>-0.13933176487185</v>
      </c>
      <c r="R26" s="66" t="n">
        <v>0.648486817409776</v>
      </c>
      <c r="S26" s="62" t="n">
        <v>0.172116375544322</v>
      </c>
      <c r="T26" s="62" t="n">
        <v>-0.165903603051508</v>
      </c>
      <c r="U26" s="60" t="s">
        <v>205</v>
      </c>
      <c r="V26" s="34" t="n">
        <v>249.33333</v>
      </c>
      <c r="W26" s="13" t="n">
        <v>0.153893604220659</v>
      </c>
      <c r="X26" s="12" t="n">
        <v>12</v>
      </c>
      <c r="Y26" s="30" t="s">
        <v>245</v>
      </c>
      <c r="Z26" s="30" t="s">
        <v>217</v>
      </c>
      <c r="AA26" s="67" t="n">
        <v>693439406.757931</v>
      </c>
      <c r="AB26" s="67" t="n">
        <v>49422.78</v>
      </c>
      <c r="AC26" s="30" t="s">
        <v>204</v>
      </c>
      <c r="AD26" s="13" t="n">
        <v>0.186512214029059</v>
      </c>
      <c r="AE26" s="56" t="n">
        <v>-0.10012211398854</v>
      </c>
      <c r="AF26" s="56" t="n">
        <v>0.306601680629263</v>
      </c>
      <c r="AG26" s="55" t="n">
        <f aca="false">Pronóstico!$B$5*P26*AE26</f>
        <v>-0.000359519426652332</v>
      </c>
      <c r="AH26" s="55" t="n">
        <f aca="false">IF(ISNUMBER(G26),G26,1)+2*'Mi portafolio'!$C$5</f>
        <v>0.0035702605</v>
      </c>
      <c r="AI26" s="55" t="n">
        <f aca="false">AF26*Pronóstico!$B$8+AG26-AH26</f>
        <v>-0.00149643325499152</v>
      </c>
    </row>
    <row r="27" customFormat="false" ht="15" hidden="false" customHeight="false" outlineLevel="0" collapsed="false">
      <c r="A27" s="60" t="s">
        <v>246</v>
      </c>
      <c r="B27" s="60" t="s">
        <v>203</v>
      </c>
      <c r="C27" s="61" t="n">
        <v>5982.32110977173</v>
      </c>
      <c r="D27" s="62" t="n">
        <v>0.0095204569937148</v>
      </c>
      <c r="E27" s="61" t="n">
        <v>5868.03</v>
      </c>
      <c r="F27" s="61" t="n">
        <v>5994.99</v>
      </c>
      <c r="G27" s="63" t="n">
        <v>0.0214043304</v>
      </c>
      <c r="H27" s="64" t="n">
        <v>6702</v>
      </c>
      <c r="I27" s="64" t="n">
        <v>6502</v>
      </c>
      <c r="J27" s="65" t="s">
        <v>204</v>
      </c>
      <c r="K27" s="62" t="n">
        <v>0.0017373363605344</v>
      </c>
      <c r="L27" s="62" t="n">
        <v>0.0263127552092101</v>
      </c>
      <c r="M27" s="62" t="n">
        <v>0.143420483218993</v>
      </c>
      <c r="N27" s="62" t="n">
        <v>0.111174762642225</v>
      </c>
      <c r="O27" s="62" t="n">
        <v>0.230904969017333</v>
      </c>
      <c r="P27" s="62" t="n">
        <v>0.0727282291082067</v>
      </c>
      <c r="Q27" s="62" t="n">
        <v>-0.162641952907299</v>
      </c>
      <c r="R27" s="66" t="n">
        <v>0.35080669967191</v>
      </c>
      <c r="S27" s="62" t="n">
        <v>0.230025351150895</v>
      </c>
      <c r="T27" s="62" t="n">
        <v>-0.221078462929995</v>
      </c>
      <c r="U27" s="60" t="s">
        <v>205</v>
      </c>
      <c r="V27" s="34" t="n">
        <v>6765.29303296661</v>
      </c>
      <c r="W27" s="13" t="n">
        <v>0.130880958883326</v>
      </c>
      <c r="X27" s="12" t="n">
        <v>22</v>
      </c>
      <c r="Y27" s="30" t="s">
        <v>222</v>
      </c>
      <c r="Z27" s="30" t="s">
        <v>204</v>
      </c>
      <c r="AA27" s="67" t="n">
        <v>52304313438.1224</v>
      </c>
      <c r="AB27" s="67" t="n">
        <v>38426820</v>
      </c>
      <c r="AC27" s="30" t="s">
        <v>204</v>
      </c>
      <c r="AD27" s="13" t="n">
        <v>0.10924762640803</v>
      </c>
      <c r="AE27" s="56" t="n">
        <v>-0.449952845893726</v>
      </c>
      <c r="AF27" s="56" t="n">
        <v>0.774281611974613</v>
      </c>
      <c r="AG27" s="55" t="n">
        <f aca="false">Pronóstico!$B$5*P27*AE27</f>
        <v>-0.00163621368320243</v>
      </c>
      <c r="AH27" s="55" t="n">
        <f aca="false">IF(ISNUMBER(G27),G27,1)+2*'Mi portafolio'!$C$5</f>
        <v>0.0237243304</v>
      </c>
      <c r="AI27" s="55" t="n">
        <f aca="false">AF27*Pronóstico!$B$8+AG27-AH27</f>
        <v>-0.0192154519246738</v>
      </c>
    </row>
    <row r="28" customFormat="false" ht="15" hidden="false" customHeight="false" outlineLevel="0" collapsed="false">
      <c r="A28" s="60" t="s">
        <v>247</v>
      </c>
      <c r="B28" s="60" t="s">
        <v>203</v>
      </c>
      <c r="C28" s="61" t="n">
        <v>6859.65559387207</v>
      </c>
      <c r="D28" s="62" t="n">
        <v>0.025731418570511</v>
      </c>
      <c r="E28" s="61" t="n">
        <v>6803.63</v>
      </c>
      <c r="F28" s="61" t="n">
        <v>6848.94</v>
      </c>
      <c r="G28" s="63" t="n">
        <v>0.0066375781</v>
      </c>
      <c r="H28" s="64" t="n">
        <v>6600</v>
      </c>
      <c r="I28" s="64" t="n">
        <v>4200</v>
      </c>
      <c r="J28" s="65" t="s">
        <v>204</v>
      </c>
      <c r="K28" s="62" t="n">
        <v>0.103966874524283</v>
      </c>
      <c r="L28" s="62" t="n">
        <v>0.0974817723196714</v>
      </c>
      <c r="M28" s="62" t="n">
        <v>0.263205873656341</v>
      </c>
      <c r="N28" s="62" t="n">
        <v>0.0971412575505166</v>
      </c>
      <c r="O28" s="62" t="n">
        <v>0.236569751653918</v>
      </c>
      <c r="P28" s="62" t="n">
        <v>0.0745124679281641</v>
      </c>
      <c r="Q28" s="62" t="n">
        <v>-0.180171303613097</v>
      </c>
      <c r="R28" s="66" t="n">
        <v>0.0933111547558429</v>
      </c>
      <c r="S28" s="62" t="n">
        <v>0.191275702724145</v>
      </c>
      <c r="T28" s="62" t="n">
        <v>-0.158864621611443</v>
      </c>
      <c r="U28" s="60" t="s">
        <v>205</v>
      </c>
      <c r="V28" s="34" t="n">
        <v>7612.6716181984</v>
      </c>
      <c r="W28" s="13" t="n">
        <v>0.109774610987615</v>
      </c>
      <c r="X28" s="12" t="n">
        <v>37</v>
      </c>
      <c r="Y28" s="30" t="s">
        <v>209</v>
      </c>
      <c r="Z28" s="30" t="s">
        <v>204</v>
      </c>
      <c r="AA28" s="67" t="n">
        <v>39731065920.2275</v>
      </c>
      <c r="AB28" s="67" t="n">
        <v>28728000</v>
      </c>
      <c r="AC28" s="30" t="s">
        <v>204</v>
      </c>
      <c r="AD28" s="13" t="n">
        <v>-0.0061828095853939</v>
      </c>
      <c r="AE28" s="56" t="n">
        <v>-0.906390847325803</v>
      </c>
      <c r="AF28" s="56" t="n">
        <v>0.523465087438901</v>
      </c>
      <c r="AG28" s="55" t="n">
        <f aca="false">Pronóstico!$B$5*P28*AE28</f>
        <v>-0.00337687094708727</v>
      </c>
      <c r="AH28" s="55" t="n">
        <f aca="false">IF(ISNUMBER(G28),G28,1)+2*'Mi portafolio'!$C$5</f>
        <v>0.0089575781</v>
      </c>
      <c r="AI28" s="55" t="n">
        <f aca="false">AF28*Pronóstico!$B$8+AG28-AH28</f>
        <v>-0.00817996422614361</v>
      </c>
    </row>
    <row r="29" customFormat="false" ht="15" hidden="false" customHeight="false" outlineLevel="0" collapsed="false">
      <c r="A29" s="60" t="s">
        <v>248</v>
      </c>
      <c r="B29" s="60" t="s">
        <v>208</v>
      </c>
      <c r="C29" s="61" t="n">
        <v>37.71</v>
      </c>
      <c r="D29" s="62" t="n">
        <v>0.009098211461221</v>
      </c>
      <c r="E29" s="61" t="n">
        <v>37.71</v>
      </c>
      <c r="F29" s="61" t="n">
        <v>37.73</v>
      </c>
      <c r="G29" s="63" t="n">
        <v>0.0005302227</v>
      </c>
      <c r="H29" s="64" t="n">
        <v>2983</v>
      </c>
      <c r="I29" s="64" t="n">
        <v>1629</v>
      </c>
      <c r="J29" s="65" t="s">
        <v>204</v>
      </c>
      <c r="K29" s="62" t="n">
        <v>-0.0092477029574188</v>
      </c>
      <c r="L29" s="62" t="n">
        <v>0.0011266592906351</v>
      </c>
      <c r="M29" s="62" t="n">
        <v>-0.0765165341790568</v>
      </c>
      <c r="N29" s="62" t="n">
        <v>0.108798399903449</v>
      </c>
      <c r="O29" s="62" t="n">
        <v>0.23592236715949</v>
      </c>
      <c r="P29" s="62" t="n">
        <v>0.0743085609787718</v>
      </c>
      <c r="Q29" s="62" t="n">
        <v>-0.175799682607832</v>
      </c>
      <c r="R29" s="66" t="n">
        <v>0.736334903719919</v>
      </c>
      <c r="S29" s="62" t="n">
        <v>0.154352763030654</v>
      </c>
      <c r="T29" s="62" t="n">
        <v>-0.161630168197885</v>
      </c>
      <c r="U29" s="60" t="s">
        <v>205</v>
      </c>
      <c r="V29" s="34" t="n">
        <v>43.59091</v>
      </c>
      <c r="W29" s="13" t="n">
        <v>0.155950941394855</v>
      </c>
      <c r="X29" s="12" t="n">
        <v>11</v>
      </c>
      <c r="Y29" s="30" t="s">
        <v>237</v>
      </c>
      <c r="Z29" s="30" t="s">
        <v>204</v>
      </c>
      <c r="AA29" s="67" t="n">
        <v>179790190.732318</v>
      </c>
      <c r="AB29" s="67" t="n">
        <v>61429.59</v>
      </c>
      <c r="AC29" s="30" t="s">
        <v>204</v>
      </c>
      <c r="AD29" s="13" t="n">
        <v>0.119147947689082</v>
      </c>
      <c r="AE29" s="56" t="n">
        <v>-0.294808062534807</v>
      </c>
      <c r="AF29" s="56" t="n">
        <v>0.450971376834589</v>
      </c>
      <c r="AG29" s="55" t="n">
        <f aca="false">Pronóstico!$B$5*P29*AE29</f>
        <v>-0.00109533814459506</v>
      </c>
      <c r="AH29" s="55" t="n">
        <f aca="false">IF(ISNUMBER(G29),G29,1)+2*'Mi portafolio'!$C$5</f>
        <v>0.0028502227</v>
      </c>
      <c r="AI29" s="55" t="n">
        <f aca="false">AF29*Pronóstico!$B$8+AG29-AH29</f>
        <v>-0.000366422933209436</v>
      </c>
    </row>
    <row r="30" customFormat="false" ht="15" hidden="false" customHeight="false" outlineLevel="0" collapsed="false">
      <c r="A30" s="60" t="s">
        <v>249</v>
      </c>
      <c r="B30" s="60" t="s">
        <v>208</v>
      </c>
      <c r="C30" s="61" t="n">
        <v>198.33</v>
      </c>
      <c r="D30" s="62" t="n">
        <v>0.0258625146259987</v>
      </c>
      <c r="E30" s="61" t="n">
        <v>198.69</v>
      </c>
      <c r="F30" s="61" t="n">
        <v>199.08</v>
      </c>
      <c r="G30" s="63" t="n">
        <v>0.0019609322</v>
      </c>
      <c r="H30" s="64" t="n">
        <v>587</v>
      </c>
      <c r="I30" s="64" t="n">
        <v>59</v>
      </c>
      <c r="J30" s="65" t="s">
        <v>204</v>
      </c>
      <c r="K30" s="62" t="n">
        <v>0.0760090817606813</v>
      </c>
      <c r="L30" s="62" t="n">
        <v>0.0941741577928545</v>
      </c>
      <c r="M30" s="62" t="n">
        <v>0.137072679892348</v>
      </c>
      <c r="N30" s="62" t="n">
        <v>0.299585500599812</v>
      </c>
      <c r="O30" s="62" t="n">
        <v>0.233092910926509</v>
      </c>
      <c r="P30" s="62" t="n">
        <v>0.0734173660337707</v>
      </c>
      <c r="Q30" s="62" t="n">
        <v>-0.15870433064637</v>
      </c>
      <c r="R30" s="66" t="n">
        <v>0.58596428435205</v>
      </c>
      <c r="S30" s="62" t="n">
        <v>0.211015615359745</v>
      </c>
      <c r="T30" s="62" t="n">
        <v>-0.150205043249243</v>
      </c>
      <c r="U30" s="60" t="s">
        <v>205</v>
      </c>
      <c r="V30" s="34" t="n">
        <v>213.20769</v>
      </c>
      <c r="W30" s="13" t="n">
        <v>0.0750148237785508</v>
      </c>
      <c r="X30" s="12" t="n">
        <v>13</v>
      </c>
      <c r="Y30" s="30" t="s">
        <v>250</v>
      </c>
      <c r="Z30" s="30" t="s">
        <v>217</v>
      </c>
      <c r="AA30" s="67" t="n">
        <v>163182041.497767</v>
      </c>
      <c r="AB30" s="67" t="n">
        <v>11722.71</v>
      </c>
      <c r="AC30" s="30" t="s">
        <v>204</v>
      </c>
      <c r="AD30" s="13" t="n">
        <v>0.207783022122166</v>
      </c>
      <c r="AE30" s="56" t="n">
        <v>-0.428778844189688</v>
      </c>
      <c r="AF30" s="56" t="n">
        <v>0.384957660065372</v>
      </c>
      <c r="AG30" s="55" t="n">
        <f aca="false">Pronóstico!$B$5*P30*AE30</f>
        <v>-0.00157399066757057</v>
      </c>
      <c r="AH30" s="55" t="n">
        <f aca="false">IF(ISNUMBER(G30),G30,1)+2*'Mi portafolio'!$C$5</f>
        <v>0.0042809322</v>
      </c>
      <c r="AI30" s="55" t="n">
        <f aca="false">AF30*Pronóstico!$B$8+AG30-AH30</f>
        <v>-0.00279970334324222</v>
      </c>
    </row>
    <row r="31" customFormat="false" ht="15" hidden="false" customHeight="false" outlineLevel="0" collapsed="false">
      <c r="A31" s="60" t="s">
        <v>251</v>
      </c>
      <c r="B31" s="60" t="s">
        <v>203</v>
      </c>
      <c r="C31" s="61" t="n">
        <v>10498.2428894043</v>
      </c>
      <c r="D31" s="62" t="n">
        <v>0.0249645275664991</v>
      </c>
      <c r="E31" s="61" t="n">
        <v>10250.01</v>
      </c>
      <c r="F31" s="61" t="n">
        <v>10499.99</v>
      </c>
      <c r="G31" s="63" t="n">
        <v>0.0240944578</v>
      </c>
      <c r="H31" s="64" t="n">
        <v>2215</v>
      </c>
      <c r="I31" s="64" t="n">
        <v>2000</v>
      </c>
      <c r="J31" s="65" t="s">
        <v>204</v>
      </c>
      <c r="K31" s="62" t="n">
        <v>0.0940913670610328</v>
      </c>
      <c r="L31" s="62" t="n">
        <v>0.115750011871881</v>
      </c>
      <c r="M31" s="62" t="n">
        <v>0.172264461484254</v>
      </c>
      <c r="N31" s="62" t="n">
        <v>0.0204950189311008</v>
      </c>
      <c r="O31" s="62" t="n">
        <v>0.238708722948858</v>
      </c>
      <c r="P31" s="62" t="n">
        <v>0.0751861805600589</v>
      </c>
      <c r="Q31" s="62" t="n">
        <v>-0.226535400134013</v>
      </c>
      <c r="R31" s="66" t="n">
        <v>0.0085650935812273</v>
      </c>
      <c r="S31" s="62" t="n">
        <v>0.198672915575813</v>
      </c>
      <c r="T31" s="62" t="n">
        <v>-0.171987528671185</v>
      </c>
      <c r="U31" s="60" t="s">
        <v>205</v>
      </c>
      <c r="V31" s="34" t="n">
        <v>12102.855530014</v>
      </c>
      <c r="W31" s="13" t="n">
        <v>0.152845829298658</v>
      </c>
      <c r="X31" s="12" t="n">
        <v>37</v>
      </c>
      <c r="Y31" s="30" t="s">
        <v>252</v>
      </c>
      <c r="Z31" s="30" t="s">
        <v>204</v>
      </c>
      <c r="AA31" s="67" t="n">
        <v>27978620315.5057</v>
      </c>
      <c r="AB31" s="67" t="n">
        <v>20819940</v>
      </c>
      <c r="AC31" s="30" t="s">
        <v>204</v>
      </c>
      <c r="AD31" s="13" t="n">
        <v>-0.067267095185686</v>
      </c>
      <c r="AE31" s="56" t="n">
        <v>-0.877433828334805</v>
      </c>
      <c r="AF31" s="56" t="n">
        <v>0.505422780153958</v>
      </c>
      <c r="AG31" s="55" t="n">
        <f aca="false">Pronóstico!$B$5*P31*AE31</f>
        <v>-0.00329854491233422</v>
      </c>
      <c r="AH31" s="55" t="n">
        <f aca="false">IF(ISNUMBER(G31),G31,1)+2*'Mi portafolio'!$C$5</f>
        <v>0.0264144578</v>
      </c>
      <c r="AI31" s="55" t="n">
        <f aca="false">AF31*Pronóstico!$B$8+AG31-AH31</f>
        <v>-0.0257017108063504</v>
      </c>
    </row>
    <row r="32" customFormat="false" ht="15" hidden="false" customHeight="false" outlineLevel="0" collapsed="false">
      <c r="A32" s="60" t="s">
        <v>253</v>
      </c>
      <c r="B32" s="60" t="s">
        <v>208</v>
      </c>
      <c r="C32" s="61" t="n">
        <v>75.98</v>
      </c>
      <c r="D32" s="62" t="n">
        <v>0.0126616632426075</v>
      </c>
      <c r="E32" s="61" t="n">
        <v>75.84</v>
      </c>
      <c r="F32" s="61" t="n">
        <v>75.9</v>
      </c>
      <c r="G32" s="63" t="n">
        <v>0.0007908264</v>
      </c>
      <c r="H32" s="64" t="n">
        <v>863</v>
      </c>
      <c r="I32" s="64" t="n">
        <v>595</v>
      </c>
      <c r="J32" s="65" t="s">
        <v>204</v>
      </c>
      <c r="K32" s="62" t="n">
        <v>0.0084949170447607</v>
      </c>
      <c r="L32" s="62" t="n">
        <v>0.0033184859990698</v>
      </c>
      <c r="M32" s="62" t="n">
        <v>-0.0692428622738272</v>
      </c>
      <c r="N32" s="62" t="n">
        <v>0.0911805130367289</v>
      </c>
      <c r="O32" s="62" t="n">
        <v>0.240249405821669</v>
      </c>
      <c r="P32" s="62" t="n">
        <v>0.0756714500518057</v>
      </c>
      <c r="Q32" s="62" t="n">
        <v>-0.151157947787287</v>
      </c>
      <c r="R32" s="66" t="n">
        <v>0.445057180135123</v>
      </c>
      <c r="S32" s="62" t="n">
        <v>0.354895414930591</v>
      </c>
      <c r="T32" s="62" t="n">
        <v>-0.137308817209655</v>
      </c>
      <c r="U32" s="60" t="s">
        <v>205</v>
      </c>
      <c r="V32" s="34" t="n">
        <v>84.28815</v>
      </c>
      <c r="W32" s="13" t="n">
        <v>0.10934653856278</v>
      </c>
      <c r="X32" s="12" t="n">
        <v>13</v>
      </c>
      <c r="Y32" s="30" t="s">
        <v>213</v>
      </c>
      <c r="Z32" s="30" t="s">
        <v>204</v>
      </c>
      <c r="AA32" s="67" t="n">
        <v>146310583.764695</v>
      </c>
      <c r="AB32" s="67" t="n">
        <v>45160.5</v>
      </c>
      <c r="AC32" s="30" t="s">
        <v>204</v>
      </c>
      <c r="AD32" s="13" t="n">
        <v>0.0819891053435006</v>
      </c>
      <c r="AE32" s="56" t="n">
        <v>-0.640275494660135</v>
      </c>
      <c r="AF32" s="56" t="n">
        <v>0.242934701128265</v>
      </c>
      <c r="AG32" s="55" t="n">
        <f aca="false">Pronóstico!$B$5*P32*AE32</f>
        <v>-0.00242252875567848</v>
      </c>
      <c r="AH32" s="55" t="n">
        <f aca="false">IF(ISNUMBER(G32),G32,1)+2*'Mi portafolio'!$C$5</f>
        <v>0.0031108264</v>
      </c>
      <c r="AI32" s="55" t="n">
        <f aca="false">AF32*Pronóstico!$B$8+AG32-AH32</f>
        <v>-0.00360530197212082</v>
      </c>
    </row>
    <row r="33" customFormat="false" ht="15" hidden="false" customHeight="false" outlineLevel="0" collapsed="false">
      <c r="A33" s="60" t="s">
        <v>254</v>
      </c>
      <c r="B33" s="60" t="s">
        <v>208</v>
      </c>
      <c r="C33" s="61" t="n">
        <v>20.06</v>
      </c>
      <c r="D33" s="62" t="n">
        <v>-0.0029836584520105</v>
      </c>
      <c r="E33" s="61" t="n">
        <v>19.98</v>
      </c>
      <c r="F33" s="61" t="n">
        <v>19.99</v>
      </c>
      <c r="G33" s="63" t="n">
        <v>0.0005003753</v>
      </c>
      <c r="H33" s="64" t="n">
        <v>72506</v>
      </c>
      <c r="I33" s="64" t="n">
        <v>32</v>
      </c>
      <c r="J33" s="65" t="s">
        <v>204</v>
      </c>
      <c r="K33" s="62" t="n">
        <v>0.0255754485684152</v>
      </c>
      <c r="L33" s="62" t="n">
        <v>-0.112439172127954</v>
      </c>
      <c r="M33" s="62" t="n">
        <v>-0.106970000846138</v>
      </c>
      <c r="N33" s="62" t="n">
        <v>-0.0027365046302378</v>
      </c>
      <c r="O33" s="62" t="n">
        <v>0.241875688062239</v>
      </c>
      <c r="P33" s="62" t="n">
        <v>0.076183680810157</v>
      </c>
      <c r="Q33" s="62" t="n">
        <v>-0.197037936480617</v>
      </c>
      <c r="R33" s="66" t="n">
        <v>0.728141727610132</v>
      </c>
      <c r="S33" s="62" t="n">
        <v>0.24624796417375</v>
      </c>
      <c r="T33" s="62" t="n">
        <v>-0.136491620026763</v>
      </c>
      <c r="U33" s="60" t="s">
        <v>205</v>
      </c>
      <c r="V33" s="34" t="n">
        <v>24.46364</v>
      </c>
      <c r="W33" s="13" t="n">
        <v>0.219523429710867</v>
      </c>
      <c r="X33" s="12" t="n">
        <v>11</v>
      </c>
      <c r="Y33" s="30" t="s">
        <v>237</v>
      </c>
      <c r="Z33" s="30" t="s">
        <v>204</v>
      </c>
      <c r="AA33" s="67" t="n">
        <v>703569191.494717</v>
      </c>
      <c r="AB33" s="67" t="n">
        <v>639.36</v>
      </c>
      <c r="AC33" s="30" t="s">
        <v>204</v>
      </c>
      <c r="AD33" s="13" t="n">
        <v>-0.0276059194261849</v>
      </c>
      <c r="AE33" s="56" t="n">
        <v>-0.42424797543496</v>
      </c>
      <c r="AF33" s="56" t="n">
        <v>0.341800187576103</v>
      </c>
      <c r="AG33" s="55" t="n">
        <f aca="false">Pronóstico!$B$5*P33*AE33</f>
        <v>-0.00161603861724462</v>
      </c>
      <c r="AH33" s="55" t="n">
        <f aca="false">IF(ISNUMBER(G33),G33,1)+2*'Mi portafolio'!$C$5</f>
        <v>0.0028203753</v>
      </c>
      <c r="AI33" s="55" t="n">
        <f aca="false">AF33*Pronóstico!$B$8+AG33-AH33</f>
        <v>-0.00172371401584698</v>
      </c>
    </row>
    <row r="34" customFormat="false" ht="15" hidden="false" customHeight="false" outlineLevel="0" collapsed="false">
      <c r="A34" s="60" t="s">
        <v>255</v>
      </c>
      <c r="B34" s="60" t="s">
        <v>208</v>
      </c>
      <c r="C34" s="61" t="n">
        <v>412.54</v>
      </c>
      <c r="D34" s="62" t="n">
        <v>-0.010724828160609</v>
      </c>
      <c r="E34" s="61" t="n">
        <v>412.81</v>
      </c>
      <c r="F34" s="61" t="n">
        <v>413.21</v>
      </c>
      <c r="G34" s="63" t="n">
        <v>0.0009684996</v>
      </c>
      <c r="H34" s="64" t="n">
        <v>56</v>
      </c>
      <c r="I34" s="64" t="n">
        <v>17</v>
      </c>
      <c r="J34" s="65" t="s">
        <v>204</v>
      </c>
      <c r="K34" s="62" t="n">
        <v>-0.0409601229306245</v>
      </c>
      <c r="L34" s="62" t="n">
        <v>-0.153364409239455</v>
      </c>
      <c r="M34" s="62" t="n">
        <v>-0.291048242441746</v>
      </c>
      <c r="N34" s="62" t="n">
        <v>-0.228468689683528</v>
      </c>
      <c r="O34" s="62" t="n">
        <v>0.24515771867821</v>
      </c>
      <c r="P34" s="62" t="n">
        <v>0.0772174232869617</v>
      </c>
      <c r="Q34" s="62" t="n">
        <v>-0.354275120653118</v>
      </c>
      <c r="R34" s="66" t="n">
        <v>0.88489012040136</v>
      </c>
      <c r="S34" s="62" t="n">
        <v>0.354328065816518</v>
      </c>
      <c r="T34" s="62" t="n">
        <v>-0.166142762334596</v>
      </c>
      <c r="U34" s="60" t="s">
        <v>205</v>
      </c>
      <c r="V34" s="34" t="n">
        <v>621.72144</v>
      </c>
      <c r="W34" s="13" t="n">
        <v>0.50705735201435</v>
      </c>
      <c r="X34" s="12" t="n">
        <v>14</v>
      </c>
      <c r="Y34" s="30" t="s">
        <v>216</v>
      </c>
      <c r="Z34" s="30" t="s">
        <v>204</v>
      </c>
      <c r="AA34" s="67" t="n">
        <v>247569003.924936</v>
      </c>
      <c r="AB34" s="67" t="n">
        <v>7024.57</v>
      </c>
      <c r="AC34" s="30" t="s">
        <v>204</v>
      </c>
      <c r="AD34" s="13" t="n">
        <v>-0.195516965703126</v>
      </c>
      <c r="AE34" s="56" t="n">
        <v>0.498844632296038</v>
      </c>
      <c r="AF34" s="56" t="n">
        <v>0.540481011175978</v>
      </c>
      <c r="AG34" s="55" t="n">
        <f aca="false">Pronóstico!$B$5*P34*AE34</f>
        <v>0.0019259748563216</v>
      </c>
      <c r="AH34" s="55" t="n">
        <f aca="false">IF(ISNUMBER(G34),G34,1)+2*'Mi portafolio'!$C$5</f>
        <v>0.0032884996</v>
      </c>
      <c r="AI34" s="55" t="n">
        <f aca="false">AF34*Pronóstico!$B$8+AG34-AH34</f>
        <v>0.00292700709105158</v>
      </c>
    </row>
    <row r="35" customFormat="false" ht="15" hidden="false" customHeight="false" outlineLevel="0" collapsed="false">
      <c r="A35" s="60" t="s">
        <v>106</v>
      </c>
      <c r="B35" s="60" t="s">
        <v>208</v>
      </c>
      <c r="C35" s="61" t="n">
        <v>273.97</v>
      </c>
      <c r="D35" s="62" t="n">
        <v>0.0141805218326276</v>
      </c>
      <c r="E35" s="61" t="n">
        <v>274.06</v>
      </c>
      <c r="F35" s="61" t="n">
        <v>274.13</v>
      </c>
      <c r="G35" s="63" t="n">
        <v>0.0002553859</v>
      </c>
      <c r="H35" s="64" t="n">
        <v>70</v>
      </c>
      <c r="I35" s="64" t="n">
        <v>80</v>
      </c>
      <c r="J35" s="65" t="s">
        <v>204</v>
      </c>
      <c r="K35" s="62" t="n">
        <v>0.0206424042183801</v>
      </c>
      <c r="L35" s="62" t="n">
        <v>-0.0147470532621878</v>
      </c>
      <c r="M35" s="62" t="n">
        <v>-0.0569087094465358</v>
      </c>
      <c r="N35" s="62" t="n">
        <v>0.178851541168081</v>
      </c>
      <c r="O35" s="62" t="n">
        <v>0.248989370954442</v>
      </c>
      <c r="P35" s="62" t="n">
        <v>0.0784242803147456</v>
      </c>
      <c r="Q35" s="62" t="n">
        <v>-0.161455384253674</v>
      </c>
      <c r="R35" s="66" t="n">
        <v>1.02378099726143</v>
      </c>
      <c r="S35" s="62" t="n">
        <v>0.19955175122451</v>
      </c>
      <c r="T35" s="62" t="n">
        <v>-0.13404067926216</v>
      </c>
      <c r="U35" s="60" t="s">
        <v>205</v>
      </c>
      <c r="V35" s="34" t="n">
        <v>325</v>
      </c>
      <c r="W35" s="13" t="n">
        <v>0.18626126948206</v>
      </c>
      <c r="X35" s="12" t="n">
        <v>9</v>
      </c>
      <c r="Y35" s="30" t="s">
        <v>216</v>
      </c>
      <c r="Z35" s="30" t="s">
        <v>204</v>
      </c>
      <c r="AA35" s="67" t="n">
        <v>111899656.009876</v>
      </c>
      <c r="AB35" s="67" t="n">
        <v>19184.2</v>
      </c>
      <c r="AC35" s="30" t="s">
        <v>204</v>
      </c>
      <c r="AD35" s="13" t="n">
        <v>0.155009370858796</v>
      </c>
      <c r="AE35" s="56" t="n">
        <v>-0.0345467147397468</v>
      </c>
      <c r="AF35" s="56" t="n">
        <v>0.465749440588929</v>
      </c>
      <c r="AG35" s="55" t="n">
        <f aca="false">Pronóstico!$B$5*P35*AE35</f>
        <v>-0.000135465062035173</v>
      </c>
      <c r="AH35" s="55" t="n">
        <f aca="false">IF(ISNUMBER(G35),G35,1)+2*'Mi portafolio'!$C$5</f>
        <v>0.0025753859</v>
      </c>
      <c r="AI35" s="55" t="n">
        <f aca="false">AF35*Pronóstico!$B$8+AG35-AH35</f>
        <v>0.00098557316962299</v>
      </c>
    </row>
    <row r="36" customFormat="false" ht="15" hidden="false" customHeight="false" outlineLevel="0" collapsed="false">
      <c r="A36" s="60" t="s">
        <v>256</v>
      </c>
      <c r="B36" s="60" t="s">
        <v>203</v>
      </c>
      <c r="C36" s="61" t="n">
        <v>449.740571975708</v>
      </c>
      <c r="D36" s="62" t="n">
        <v>0.0228208885161671</v>
      </c>
      <c r="E36" s="61" t="n">
        <v>434.61</v>
      </c>
      <c r="F36" s="61" t="n">
        <v>453.98</v>
      </c>
      <c r="G36" s="63" t="n">
        <v>0.0435971595</v>
      </c>
      <c r="H36" s="64" t="n">
        <v>34400</v>
      </c>
      <c r="I36" s="64" t="n">
        <v>34400</v>
      </c>
      <c r="J36" s="65" t="s">
        <v>204</v>
      </c>
      <c r="K36" s="62" t="n">
        <v>0.0575127647920257</v>
      </c>
      <c r="L36" s="62" t="n">
        <v>0.192514947306151</v>
      </c>
      <c r="M36" s="62" t="n">
        <v>0.0375055710477836</v>
      </c>
      <c r="N36" s="62" t="n">
        <v>-0.0402143498569707</v>
      </c>
      <c r="O36" s="62" t="n">
        <v>0.257010049407348</v>
      </c>
      <c r="P36" s="62" t="n">
        <v>0.0809505565686032</v>
      </c>
      <c r="Q36" s="62" t="n">
        <v>-0.311605223058066</v>
      </c>
      <c r="R36" s="66" t="n">
        <v>-0.0688590966215475</v>
      </c>
      <c r="S36" s="62" t="n">
        <v>0.242777496437956</v>
      </c>
      <c r="T36" s="62" t="n">
        <v>-0.167817342190338</v>
      </c>
      <c r="U36" s="60" t="s">
        <v>205</v>
      </c>
      <c r="V36" s="34" t="n">
        <v>522.276873477936</v>
      </c>
      <c r="W36" s="13" t="n">
        <v>0.161284762865792</v>
      </c>
      <c r="X36" s="12" t="n">
        <v>24</v>
      </c>
      <c r="Y36" s="30" t="s">
        <v>213</v>
      </c>
      <c r="Z36" s="30" t="s">
        <v>204</v>
      </c>
      <c r="AA36" s="67" t="n">
        <v>16550870186.5588</v>
      </c>
      <c r="AB36" s="67" t="n">
        <v>15359600</v>
      </c>
      <c r="AC36" s="30" t="s">
        <v>204</v>
      </c>
      <c r="AD36" s="13" t="n">
        <v>-0.0924122317031471</v>
      </c>
      <c r="AE36" s="56" t="n">
        <v>-0.911849099135482</v>
      </c>
      <c r="AF36" s="56" t="n">
        <v>0.0350246954398501</v>
      </c>
      <c r="AG36" s="55" t="n">
        <f aca="false">Pronóstico!$B$5*P36*AE36</f>
        <v>-0.00369073460407984</v>
      </c>
      <c r="AH36" s="55" t="n">
        <f aca="false">IF(ISNUMBER(G36),G36,1)+2*'Mi portafolio'!$C$5</f>
        <v>0.0459171595</v>
      </c>
      <c r="AI36" s="55" t="n">
        <f aca="false">AF36*Pronóstico!$B$8+AG36-AH36</f>
        <v>-0.0493299203307477</v>
      </c>
    </row>
    <row r="37" customFormat="false" ht="15" hidden="false" customHeight="false" outlineLevel="0" collapsed="false">
      <c r="A37" s="60" t="s">
        <v>257</v>
      </c>
      <c r="B37" s="60" t="s">
        <v>203</v>
      </c>
      <c r="C37" s="61" t="n">
        <v>838.668594360352</v>
      </c>
      <c r="D37" s="62" t="n">
        <v>0.0194992768566846</v>
      </c>
      <c r="E37" s="61" t="n">
        <v>822.01</v>
      </c>
      <c r="F37" s="61" t="n">
        <v>851.39</v>
      </c>
      <c r="G37" s="63" t="n">
        <v>0.0351141389</v>
      </c>
      <c r="H37" s="64" t="n">
        <v>8600</v>
      </c>
      <c r="I37" s="64" t="n">
        <v>12900</v>
      </c>
      <c r="J37" s="65" t="s">
        <v>204</v>
      </c>
      <c r="K37" s="62" t="n">
        <v>-0.0030988468904654</v>
      </c>
      <c r="L37" s="62" t="n">
        <v>0.122589483599383</v>
      </c>
      <c r="M37" s="62" t="n">
        <v>0.0976040486433498</v>
      </c>
      <c r="N37" s="62" t="n">
        <v>0.178332796673517</v>
      </c>
      <c r="O37" s="62" t="n">
        <v>0.261725203094808</v>
      </c>
      <c r="P37" s="62" t="n">
        <v>0.082435690384135</v>
      </c>
      <c r="Q37" s="62" t="n">
        <v>-0.186343507655232</v>
      </c>
      <c r="R37" s="66" t="n">
        <v>-0.107075770314669</v>
      </c>
      <c r="S37" s="62" t="n">
        <v>0.337645052994733</v>
      </c>
      <c r="T37" s="62" t="n">
        <v>-0.119656386187456</v>
      </c>
      <c r="U37" s="60" t="s">
        <v>205</v>
      </c>
      <c r="V37" s="34" t="n">
        <v>928.012939979553</v>
      </c>
      <c r="W37" s="13" t="n">
        <v>0.106531168831169</v>
      </c>
      <c r="X37" s="12" t="n">
        <v>23</v>
      </c>
      <c r="Y37" s="30" t="s">
        <v>211</v>
      </c>
      <c r="Z37" s="30" t="s">
        <v>204</v>
      </c>
      <c r="AA37" s="67" t="n">
        <v>18322174594.2429</v>
      </c>
      <c r="AB37" s="67" t="n">
        <v>7076510</v>
      </c>
      <c r="AC37" s="30" t="s">
        <v>204</v>
      </c>
      <c r="AD37" s="13" t="n">
        <v>0.181995620125487</v>
      </c>
      <c r="AE37" s="56" t="n">
        <v>-0.350060601784867</v>
      </c>
      <c r="AF37" s="56" t="n">
        <v>0.0608723751824099</v>
      </c>
      <c r="AG37" s="55" t="n">
        <f aca="false">Pronóstico!$B$5*P37*AE37</f>
        <v>-0.00144287436922106</v>
      </c>
      <c r="AH37" s="55" t="n">
        <f aca="false">IF(ISNUMBER(G37),G37,1)+2*'Mi portafolio'!$C$5</f>
        <v>0.0374341389</v>
      </c>
      <c r="AI37" s="55" t="n">
        <f aca="false">AF37*Pronóstico!$B$8+AG37-AH37</f>
        <v>-0.0383938991804718</v>
      </c>
    </row>
    <row r="38" customFormat="false" ht="15" hidden="false" customHeight="false" outlineLevel="0" collapsed="false">
      <c r="A38" s="60" t="s">
        <v>258</v>
      </c>
      <c r="B38" s="60" t="s">
        <v>203</v>
      </c>
      <c r="C38" s="61" t="n">
        <v>3831.55368423462</v>
      </c>
      <c r="D38" s="62" t="n">
        <v>0.0399229233417688</v>
      </c>
      <c r="E38" s="61" t="n">
        <v>3746.52</v>
      </c>
      <c r="F38" s="61" t="n">
        <v>3849.99</v>
      </c>
      <c r="G38" s="63" t="n">
        <v>0.0272414569</v>
      </c>
      <c r="H38" s="64" t="n">
        <v>5145</v>
      </c>
      <c r="I38" s="64" t="n">
        <v>5145</v>
      </c>
      <c r="J38" s="65" t="s">
        <v>204</v>
      </c>
      <c r="K38" s="62" t="n">
        <v>0.0603145146872108</v>
      </c>
      <c r="L38" s="62" t="n">
        <v>0.212761978647823</v>
      </c>
      <c r="M38" s="62" t="n">
        <v>0.223163159184148</v>
      </c>
      <c r="N38" s="62" t="n">
        <v>0.412326273573724</v>
      </c>
      <c r="O38" s="62" t="n">
        <v>0.257106935032509</v>
      </c>
      <c r="P38" s="62" t="n">
        <v>0.0809810726721498</v>
      </c>
      <c r="Q38" s="62" t="n">
        <v>-0.235491231774029</v>
      </c>
      <c r="R38" s="66" t="n">
        <v>-0.339522524070396</v>
      </c>
      <c r="S38" s="62" t="n">
        <v>0.209168277874127</v>
      </c>
      <c r="T38" s="62" t="n">
        <v>-0.226816778029542</v>
      </c>
      <c r="U38" s="60" t="s">
        <v>205</v>
      </c>
      <c r="V38" s="34" t="n">
        <v>4088.96322250366</v>
      </c>
      <c r="W38" s="13" t="n">
        <v>0.0671815037665228</v>
      </c>
      <c r="X38" s="12" t="n">
        <v>24</v>
      </c>
      <c r="Y38" s="30" t="s">
        <v>230</v>
      </c>
      <c r="Z38" s="30" t="s">
        <v>204</v>
      </c>
      <c r="AA38" s="67" t="n">
        <v>35302380432.0037</v>
      </c>
      <c r="AB38" s="67" t="n">
        <v>19690841.1</v>
      </c>
      <c r="AC38" s="30" t="s">
        <v>204</v>
      </c>
      <c r="AD38" s="13" t="n">
        <v>0.331988060156241</v>
      </c>
      <c r="AE38" s="56" t="n">
        <v>-0.0899681009774421</v>
      </c>
      <c r="AF38" s="56" t="n">
        <v>-0.137003537525646</v>
      </c>
      <c r="AG38" s="55" t="n">
        <f aca="false">Pronóstico!$B$5*P38*AE38</f>
        <v>-0.000364285666171477</v>
      </c>
      <c r="AH38" s="55" t="n">
        <f aca="false">IF(ISNUMBER(G38),G38,1)+2*'Mi portafolio'!$C$5</f>
        <v>0.0295614569</v>
      </c>
      <c r="AI38" s="55" t="n">
        <f aca="false">AF38*Pronóstico!$B$8+AG38-AH38</f>
        <v>-0.0310130722290734</v>
      </c>
    </row>
    <row r="39" customFormat="false" ht="15" hidden="false" customHeight="false" outlineLevel="0" collapsed="false">
      <c r="A39" s="60" t="s">
        <v>259</v>
      </c>
      <c r="B39" s="60" t="s">
        <v>208</v>
      </c>
      <c r="C39" s="61" t="n">
        <v>47.5</v>
      </c>
      <c r="D39" s="62" t="n">
        <v>0.0123666950423739</v>
      </c>
      <c r="E39" s="61" t="n">
        <v>47.4</v>
      </c>
      <c r="F39" s="61" t="n">
        <v>47.41</v>
      </c>
      <c r="G39" s="63" t="n">
        <v>0.0002109482</v>
      </c>
      <c r="H39" s="64" t="n">
        <v>576</v>
      </c>
      <c r="I39" s="64" t="n">
        <v>133</v>
      </c>
      <c r="J39" s="65" t="s">
        <v>204</v>
      </c>
      <c r="K39" s="62" t="n">
        <v>0.103159817199427</v>
      </c>
      <c r="L39" s="62" t="n">
        <v>0.0820418957723541</v>
      </c>
      <c r="M39" s="62" t="n">
        <v>-0.0972316674142229</v>
      </c>
      <c r="N39" s="62" t="n">
        <v>-0.10705704610187</v>
      </c>
      <c r="O39" s="62" t="n">
        <v>0.252772498640821</v>
      </c>
      <c r="P39" s="62" t="n">
        <v>0.0796158535333361</v>
      </c>
      <c r="Q39" s="62" t="n">
        <v>-0.337416983674607</v>
      </c>
      <c r="R39" s="66" t="n">
        <v>0.529165798453936</v>
      </c>
      <c r="S39" s="62" t="n">
        <v>0.287116215991556</v>
      </c>
      <c r="T39" s="62" t="n">
        <v>-0.173677844911594</v>
      </c>
      <c r="U39" s="60" t="s">
        <v>205</v>
      </c>
      <c r="V39" s="34" t="n">
        <v>58.89286</v>
      </c>
      <c r="W39" s="13" t="n">
        <v>0.239849684210526</v>
      </c>
      <c r="X39" s="12" t="n">
        <v>14</v>
      </c>
      <c r="Y39" s="30" t="s">
        <v>213</v>
      </c>
      <c r="Z39" s="30" t="s">
        <v>204</v>
      </c>
      <c r="AA39" s="67" t="n">
        <v>79422394.9898152</v>
      </c>
      <c r="AB39" s="67" t="n">
        <v>6305.53</v>
      </c>
      <c r="AC39" s="30" t="s">
        <v>204</v>
      </c>
      <c r="AD39" s="13" t="n">
        <v>-0.190558847434247</v>
      </c>
      <c r="AE39" s="56" t="n">
        <v>-0.818640994239659</v>
      </c>
      <c r="AF39" s="56" t="n">
        <v>0.31937419348808</v>
      </c>
      <c r="AG39" s="55" t="n">
        <f aca="false">Pronóstico!$B$5*P39*AE39</f>
        <v>-0.00325884007468847</v>
      </c>
      <c r="AH39" s="55" t="n">
        <f aca="false">IF(ISNUMBER(G39),G39,1)+2*'Mi portafolio'!$C$5</f>
        <v>0.0025309482</v>
      </c>
      <c r="AI39" s="55" t="n">
        <f aca="false">AF39*Pronóstico!$B$8+AG39-AH39</f>
        <v>-0.0032550724533545</v>
      </c>
    </row>
    <row r="40" customFormat="false" ht="15" hidden="false" customHeight="false" outlineLevel="0" collapsed="false">
      <c r="A40" s="60" t="s">
        <v>107</v>
      </c>
      <c r="B40" s="60" t="s">
        <v>208</v>
      </c>
      <c r="C40" s="61" t="n">
        <v>189.04</v>
      </c>
      <c r="D40" s="62" t="n">
        <v>-0.0040570580162835</v>
      </c>
      <c r="E40" s="61" t="n">
        <v>189.49</v>
      </c>
      <c r="F40" s="61" t="n">
        <v>189.55</v>
      </c>
      <c r="G40" s="63" t="n">
        <v>0.0003165893</v>
      </c>
      <c r="H40" s="64" t="n">
        <v>1286</v>
      </c>
      <c r="I40" s="64" t="n">
        <v>3312</v>
      </c>
      <c r="J40" s="65" t="s">
        <v>204</v>
      </c>
      <c r="K40" s="62" t="n">
        <v>-0.0501507322991914</v>
      </c>
      <c r="L40" s="62" t="n">
        <v>0.0390852645111157</v>
      </c>
      <c r="M40" s="62" t="n">
        <v>0.0104995537120697</v>
      </c>
      <c r="N40" s="62" t="n">
        <v>0.202551239128358</v>
      </c>
      <c r="O40" s="62" t="n">
        <v>0.257869437790429</v>
      </c>
      <c r="P40" s="62" t="n">
        <v>0.0812212384663711</v>
      </c>
      <c r="Q40" s="62" t="n">
        <v>-0.118086352482097</v>
      </c>
      <c r="R40" s="66" t="n">
        <v>1.10020904441703</v>
      </c>
      <c r="S40" s="62" t="n">
        <v>0.327970423239006</v>
      </c>
      <c r="T40" s="62" t="n">
        <v>-0.245062943801274</v>
      </c>
      <c r="U40" s="60" t="s">
        <v>205</v>
      </c>
      <c r="V40" s="34" t="n">
        <v>224.4375</v>
      </c>
      <c r="W40" s="13" t="n">
        <v>0.187248730427423</v>
      </c>
      <c r="X40" s="12" t="n">
        <v>16</v>
      </c>
      <c r="Y40" s="30" t="s">
        <v>228</v>
      </c>
      <c r="Z40" s="30" t="s">
        <v>204</v>
      </c>
      <c r="AA40" s="67" t="n">
        <v>1633533700.75743</v>
      </c>
      <c r="AB40" s="67" t="n">
        <v>243684.14</v>
      </c>
      <c r="AC40" s="30" t="s">
        <v>204</v>
      </c>
      <c r="AD40" s="13" t="n">
        <v>0.266044287257531</v>
      </c>
      <c r="AE40" s="56" t="n">
        <v>0.308185269988589</v>
      </c>
      <c r="AF40" s="56" t="n">
        <v>0.554388016013442</v>
      </c>
      <c r="AG40" s="55" t="n">
        <f aca="false">Pronóstico!$B$5*P40*AE40</f>
        <v>0.00125155946527831</v>
      </c>
      <c r="AH40" s="55" t="n">
        <f aca="false">IF(ISNUMBER(G40),G40,1)+2*'Mi portafolio'!$C$5</f>
        <v>0.0026365893</v>
      </c>
      <c r="AI40" s="55" t="n">
        <f aca="false">AF40*Pronóstico!$B$8+AG40-AH40</f>
        <v>0.00301487505427388</v>
      </c>
    </row>
    <row r="41" customFormat="false" ht="15" hidden="false" customHeight="false" outlineLevel="0" collapsed="false">
      <c r="A41" s="60" t="s">
        <v>260</v>
      </c>
      <c r="B41" s="60" t="s">
        <v>203</v>
      </c>
      <c r="C41" s="61" t="n">
        <v>6149.87329864502</v>
      </c>
      <c r="D41" s="62" t="n">
        <v>0.0162004009490512</v>
      </c>
      <c r="E41" s="61" t="n">
        <v>6117.78</v>
      </c>
      <c r="F41" s="61" t="n">
        <v>6174.98</v>
      </c>
      <c r="G41" s="63" t="n">
        <v>0.0093062909</v>
      </c>
      <c r="H41" s="64" t="n">
        <v>1600</v>
      </c>
      <c r="I41" s="64" t="n">
        <v>1600</v>
      </c>
      <c r="J41" s="65" t="s">
        <v>204</v>
      </c>
      <c r="K41" s="62" t="n">
        <v>0.152908377864059</v>
      </c>
      <c r="L41" s="62" t="n">
        <v>0.108031215615883</v>
      </c>
      <c r="M41" s="62" t="n">
        <v>0.33971907709007</v>
      </c>
      <c r="N41" s="62" t="n">
        <v>0.327031448172509</v>
      </c>
      <c r="O41" s="62" t="n">
        <v>0.257346059323077</v>
      </c>
      <c r="P41" s="62" t="n">
        <v>0.0810563897442068</v>
      </c>
      <c r="Q41" s="62" t="n">
        <v>-0.172968902918225</v>
      </c>
      <c r="R41" s="66" t="n">
        <v>0.181866254706152</v>
      </c>
      <c r="S41" s="62" t="n">
        <v>0.288627099717352</v>
      </c>
      <c r="T41" s="62" t="n">
        <v>-0.270217913553163</v>
      </c>
      <c r="U41" s="60" t="s">
        <v>205</v>
      </c>
      <c r="V41" s="34" t="n">
        <v>5955.88743746948</v>
      </c>
      <c r="W41" s="13" t="n">
        <v>-0.0315430662967115</v>
      </c>
      <c r="X41" s="12" t="n">
        <v>39</v>
      </c>
      <c r="Y41" s="30" t="s">
        <v>261</v>
      </c>
      <c r="Z41" s="30" t="s">
        <v>204</v>
      </c>
      <c r="AA41" s="67" t="n">
        <v>226549442521.386</v>
      </c>
      <c r="AB41" s="67" t="n">
        <v>9797184</v>
      </c>
      <c r="AC41" s="30" t="s">
        <v>204</v>
      </c>
      <c r="AD41" s="13" t="n">
        <v>0.151029408452248</v>
      </c>
      <c r="AE41" s="56" t="n">
        <v>-0.832316128696105</v>
      </c>
      <c r="AF41" s="56" t="n">
        <v>0.70253928634255</v>
      </c>
      <c r="AG41" s="55" t="n">
        <f aca="false">Pronóstico!$B$5*P41*AE41</f>
        <v>-0.00337322702589904</v>
      </c>
      <c r="AH41" s="55" t="n">
        <f aca="false">IF(ISNUMBER(G41),G41,1)+2*'Mi portafolio'!$C$5</f>
        <v>0.0116262909</v>
      </c>
      <c r="AI41" s="55" t="n">
        <f aca="false">AF41*Pronóstico!$B$8+AG41-AH41</f>
        <v>-0.00942380930413277</v>
      </c>
    </row>
    <row r="42" customFormat="false" ht="15" hidden="false" customHeight="false" outlineLevel="0" collapsed="false">
      <c r="A42" s="60" t="s">
        <v>108</v>
      </c>
      <c r="B42" s="60" t="s">
        <v>208</v>
      </c>
      <c r="C42" s="61" t="n">
        <v>35.33</v>
      </c>
      <c r="D42" s="62" t="n">
        <v>-0.0282967733740848</v>
      </c>
      <c r="E42" s="61" t="n">
        <v>35.22</v>
      </c>
      <c r="F42" s="61" t="n">
        <v>35.25</v>
      </c>
      <c r="G42" s="63" t="n">
        <v>0.0008514261</v>
      </c>
      <c r="H42" s="64" t="n">
        <v>164</v>
      </c>
      <c r="I42" s="64" t="n">
        <v>1900</v>
      </c>
      <c r="J42" s="65" t="s">
        <v>204</v>
      </c>
      <c r="K42" s="62" t="n">
        <v>-0.0812987290419541</v>
      </c>
      <c r="L42" s="62" t="n">
        <v>-0.0237372514826832</v>
      </c>
      <c r="M42" s="62" t="n">
        <v>0.0022963444203143</v>
      </c>
      <c r="N42" s="62" t="n">
        <v>0.086015468871923</v>
      </c>
      <c r="O42" s="62" t="n">
        <v>0.264487671247898</v>
      </c>
      <c r="P42" s="62" t="n">
        <v>0.0833057860672079</v>
      </c>
      <c r="Q42" s="62" t="n">
        <v>-0.117824736374636</v>
      </c>
      <c r="R42" s="66" t="n">
        <v>0.574771121504036</v>
      </c>
      <c r="S42" s="62" t="n">
        <v>0.300879816049348</v>
      </c>
      <c r="T42" s="62" t="n">
        <v>-0.136400352173429</v>
      </c>
      <c r="U42" s="60" t="s">
        <v>205</v>
      </c>
      <c r="V42" s="34" t="n">
        <v>42.375</v>
      </c>
      <c r="W42" s="13" t="n">
        <v>0.199405604302293</v>
      </c>
      <c r="X42" s="12" t="n">
        <v>8</v>
      </c>
      <c r="Y42" s="30" t="s">
        <v>237</v>
      </c>
      <c r="Z42" s="30" t="s">
        <v>204</v>
      </c>
      <c r="AA42" s="67" t="n">
        <v>48731182.7814771</v>
      </c>
      <c r="AB42" s="67" t="n">
        <v>5779.36</v>
      </c>
      <c r="AC42" s="30" t="s">
        <v>204</v>
      </c>
      <c r="AD42" s="13" t="n">
        <v>0.182120350981334</v>
      </c>
      <c r="AE42" s="56" t="n">
        <v>0.113485538316145</v>
      </c>
      <c r="AF42" s="56" t="n">
        <v>0.579831856361485</v>
      </c>
      <c r="AG42" s="55" t="n">
        <f aca="false">Pronóstico!$B$5*P42*AE42</f>
        <v>0.000472700098834333</v>
      </c>
      <c r="AH42" s="55" t="n">
        <f aca="false">IF(ISNUMBER(G42),G42,1)+2*'Mi portafolio'!$C$5</f>
        <v>0.0031714261</v>
      </c>
      <c r="AI42" s="55" t="n">
        <f aca="false">AF42*Pronóstico!$B$8+AG42-AH42</f>
        <v>0.00190311412868739</v>
      </c>
    </row>
    <row r="43" customFormat="false" ht="15" hidden="false" customHeight="false" outlineLevel="0" collapsed="false">
      <c r="A43" s="60" t="s">
        <v>262</v>
      </c>
      <c r="B43" s="60" t="s">
        <v>203</v>
      </c>
      <c r="C43" s="61" t="n">
        <v>5319.37536952973</v>
      </c>
      <c r="D43" s="62" t="n">
        <v>0.0354345064747025</v>
      </c>
      <c r="E43" s="61" t="n">
        <v>5178.61</v>
      </c>
      <c r="F43" s="61" t="n">
        <v>5384.08</v>
      </c>
      <c r="G43" s="63" t="n">
        <v>0.0389048623</v>
      </c>
      <c r="H43" s="64" t="n">
        <v>600</v>
      </c>
      <c r="I43" s="64" t="n">
        <v>500</v>
      </c>
      <c r="J43" s="65" t="s">
        <v>204</v>
      </c>
      <c r="K43" s="62" t="n">
        <v>0.0128324937849928</v>
      </c>
      <c r="L43" s="62" t="n">
        <v>-0.0921086956182056</v>
      </c>
      <c r="M43" s="62" t="n">
        <v>-0.0771574015998587</v>
      </c>
      <c r="N43" s="62" t="n">
        <v>-0.243013982376843</v>
      </c>
      <c r="O43" s="62" t="n">
        <v>0.267823676932057</v>
      </c>
      <c r="P43" s="62" t="n">
        <v>0.0843565290925153</v>
      </c>
      <c r="Q43" s="62" t="n">
        <v>-0.277857692713634</v>
      </c>
      <c r="R43" s="66" t="n">
        <v>0.407382617454747</v>
      </c>
      <c r="S43" s="62" t="n">
        <v>0.211861371050217</v>
      </c>
      <c r="T43" s="62" t="n">
        <v>-0.182514471703883</v>
      </c>
      <c r="U43" s="60" t="s">
        <v>205</v>
      </c>
      <c r="V43" s="34" t="n">
        <v>6868.07404756546</v>
      </c>
      <c r="W43" s="13" t="n">
        <v>0.291142957668854</v>
      </c>
      <c r="X43" s="12" t="n">
        <v>32</v>
      </c>
      <c r="Y43" s="30" t="s">
        <v>263</v>
      </c>
      <c r="Z43" s="30" t="s">
        <v>217</v>
      </c>
      <c r="AA43" s="67" t="n">
        <v>27556124276.2089</v>
      </c>
      <c r="AB43" s="67" t="n">
        <v>2642000</v>
      </c>
      <c r="AC43" s="30" t="s">
        <v>204</v>
      </c>
      <c r="AD43" s="13" t="n">
        <v>-0.252604925031313</v>
      </c>
      <c r="AE43" s="56" t="n">
        <v>-0.751606533520898</v>
      </c>
      <c r="AF43" s="56" t="n">
        <v>0.852274810136067</v>
      </c>
      <c r="AG43" s="55" t="n">
        <f aca="false">Pronóstico!$B$5*P43*AE43</f>
        <v>-0.00317014592055401</v>
      </c>
      <c r="AH43" s="55" t="n">
        <f aca="false">IF(ISNUMBER(G43),G43,1)+2*'Mi portafolio'!$C$5</f>
        <v>0.0412248623</v>
      </c>
      <c r="AI43" s="55" t="n">
        <f aca="false">AF43*Pronóstico!$B$8+AG43-AH43</f>
        <v>-0.0376309224258233</v>
      </c>
    </row>
    <row r="44" customFormat="false" ht="15" hidden="false" customHeight="false" outlineLevel="0" collapsed="false">
      <c r="A44" s="60" t="s">
        <v>264</v>
      </c>
      <c r="B44" s="60" t="s">
        <v>203</v>
      </c>
      <c r="C44" s="61" t="n">
        <v>4881.52319717407</v>
      </c>
      <c r="D44" s="62" t="n">
        <v>0.0018527507961543</v>
      </c>
      <c r="E44" s="61" t="n">
        <v>4719.01</v>
      </c>
      <c r="F44" s="61" t="n">
        <v>4879.99</v>
      </c>
      <c r="G44" s="63" t="n">
        <v>0.0335409939</v>
      </c>
      <c r="H44" s="64" t="n">
        <v>400</v>
      </c>
      <c r="I44" s="64" t="n">
        <v>500</v>
      </c>
      <c r="J44" s="65" t="s">
        <v>204</v>
      </c>
      <c r="K44" s="62" t="n">
        <v>0.151388216306543</v>
      </c>
      <c r="L44" s="62" t="n">
        <v>0.133589666362762</v>
      </c>
      <c r="M44" s="62" t="n">
        <v>0.368136239879377</v>
      </c>
      <c r="N44" s="62" t="n">
        <v>0.181896089802701</v>
      </c>
      <c r="O44" s="62" t="n">
        <v>0.266534110154558</v>
      </c>
      <c r="P44" s="62" t="n">
        <v>0.0839503537362923</v>
      </c>
      <c r="Q44" s="62" t="n">
        <v>-0.195383971550668</v>
      </c>
      <c r="R44" s="66" t="n">
        <v>-0.0202762063498487</v>
      </c>
      <c r="S44" s="62" t="n">
        <v>0.24823784720017</v>
      </c>
      <c r="T44" s="62" t="n">
        <v>-0.195826665216697</v>
      </c>
      <c r="U44" s="60" t="s">
        <v>205</v>
      </c>
      <c r="V44" s="34" t="n">
        <v>5097.1027778244</v>
      </c>
      <c r="W44" s="13" t="n">
        <v>0.0441623591536202</v>
      </c>
      <c r="X44" s="12" t="n">
        <v>28</v>
      </c>
      <c r="Y44" s="30" t="s">
        <v>230</v>
      </c>
      <c r="Z44" s="30" t="s">
        <v>204</v>
      </c>
      <c r="AA44" s="67" t="n">
        <v>20823681652.2195</v>
      </c>
      <c r="AB44" s="67" t="n">
        <v>1931200</v>
      </c>
      <c r="AC44" s="30" t="s">
        <v>204</v>
      </c>
      <c r="AD44" s="13" t="n">
        <v>0.0264966004203359</v>
      </c>
      <c r="AE44" s="56" t="n">
        <v>-1.13417813126316</v>
      </c>
      <c r="AF44" s="56" t="n">
        <v>0.278838276440635</v>
      </c>
      <c r="AG44" s="55" t="n">
        <f aca="false">Pronóstico!$B$5*P44*AE44</f>
        <v>-0.00476073276597546</v>
      </c>
      <c r="AH44" s="55" t="n">
        <f aca="false">IF(ISNUMBER(G44),G44,1)+2*'Mi portafolio'!$C$5</f>
        <v>0.0358609939</v>
      </c>
      <c r="AI44" s="55" t="n">
        <f aca="false">AF44*Pronóstico!$B$8+AG44-AH44</f>
        <v>-0.0384087244720022</v>
      </c>
    </row>
    <row r="45" customFormat="false" ht="15" hidden="false" customHeight="false" outlineLevel="0" collapsed="false">
      <c r="A45" s="60" t="s">
        <v>265</v>
      </c>
      <c r="B45" s="60" t="s">
        <v>203</v>
      </c>
      <c r="C45" s="61" t="n">
        <v>1934.39818939209</v>
      </c>
      <c r="D45" s="62" t="n">
        <v>0.0274922481251449</v>
      </c>
      <c r="E45" s="61" t="n">
        <v>1887.51</v>
      </c>
      <c r="F45" s="61" t="n">
        <v>1923.99</v>
      </c>
      <c r="G45" s="63" t="n">
        <v>0.0191420701</v>
      </c>
      <c r="H45" s="64" t="n">
        <v>4000</v>
      </c>
      <c r="I45" s="64" t="n">
        <v>5</v>
      </c>
      <c r="J45" s="65" t="s">
        <v>204</v>
      </c>
      <c r="K45" s="62" t="n">
        <v>0.097838068908354</v>
      </c>
      <c r="L45" s="62" t="n">
        <v>0.151168499548553</v>
      </c>
      <c r="M45" s="62" t="n">
        <v>0.0961765806539547</v>
      </c>
      <c r="N45" s="62" t="n">
        <v>-0.0380724852709642</v>
      </c>
      <c r="O45" s="62" t="n">
        <v>0.272165108224858</v>
      </c>
      <c r="P45" s="62" t="n">
        <v>0.0857239514180897</v>
      </c>
      <c r="Q45" s="62" t="n">
        <v>-0.233039763575036</v>
      </c>
      <c r="R45" s="66" t="n">
        <v>0.303921131674063</v>
      </c>
      <c r="S45" s="62" t="n">
        <v>0.294996793883312</v>
      </c>
      <c r="T45" s="62" t="n">
        <v>-0.284843695439956</v>
      </c>
      <c r="U45" s="60" t="s">
        <v>205</v>
      </c>
      <c r="V45" s="34" t="n">
        <v>2295.58860949326</v>
      </c>
      <c r="W45" s="13" t="n">
        <v>0.186719788139729</v>
      </c>
      <c r="X45" s="12" t="n">
        <v>32</v>
      </c>
      <c r="Y45" s="30" t="s">
        <v>266</v>
      </c>
      <c r="Z45" s="30" t="s">
        <v>204</v>
      </c>
      <c r="AA45" s="67" t="n">
        <v>16095985813.4063</v>
      </c>
      <c r="AB45" s="67" t="n">
        <v>9605</v>
      </c>
      <c r="AC45" s="30" t="s">
        <v>217</v>
      </c>
      <c r="AD45" s="13" t="n">
        <v>-0.123798361551137</v>
      </c>
      <c r="AE45" s="56" t="n">
        <v>-0.880491830755578</v>
      </c>
      <c r="AF45" s="56" t="n">
        <v>0.81783523490186</v>
      </c>
      <c r="AG45" s="55" t="n">
        <f aca="false">Pronóstico!$B$5*P45*AE45</f>
        <v>-0.0037739619461858</v>
      </c>
      <c r="AH45" s="55" t="n">
        <f aca="false">IF(ISNUMBER(G45),G45,1)+2*'Mi portafolio'!$C$5</f>
        <v>0.0214620701</v>
      </c>
      <c r="AI45" s="55" t="n">
        <f aca="false">AF45*Pronóstico!$B$8+AG45-AH45</f>
        <v>-0.0187452762136314</v>
      </c>
    </row>
    <row r="46" customFormat="false" ht="15" hidden="false" customHeight="false" outlineLevel="0" collapsed="false">
      <c r="A46" s="60" t="s">
        <v>267</v>
      </c>
      <c r="B46" s="60" t="s">
        <v>203</v>
      </c>
      <c r="C46" s="61" t="n">
        <v>3054.8775844574</v>
      </c>
      <c r="D46" s="62" t="n">
        <v>0.0368935297565491</v>
      </c>
      <c r="E46" s="61" t="n">
        <v>2973.61</v>
      </c>
      <c r="F46" s="61" t="n">
        <v>3099.99</v>
      </c>
      <c r="G46" s="63" t="n">
        <v>0.0416161749</v>
      </c>
      <c r="H46" s="64" t="n">
        <v>1000</v>
      </c>
      <c r="I46" s="64" t="n">
        <v>800</v>
      </c>
      <c r="J46" s="65" t="s">
        <v>204</v>
      </c>
      <c r="K46" s="62" t="n">
        <v>0.100646814004527</v>
      </c>
      <c r="L46" s="62" t="n">
        <v>0.216446799998274</v>
      </c>
      <c r="M46" s="62" t="n">
        <v>0.204688014755432</v>
      </c>
      <c r="N46" s="62" t="n">
        <v>0.520431805565508</v>
      </c>
      <c r="O46" s="62" t="n">
        <v>0.272421220292915</v>
      </c>
      <c r="P46" s="62" t="n">
        <v>0.0858046191371184</v>
      </c>
      <c r="Q46" s="62" t="n">
        <v>-0.229228947468367</v>
      </c>
      <c r="R46" s="66" t="n">
        <v>-0.247901171961642</v>
      </c>
      <c r="S46" s="62" t="n">
        <v>0.25448714053822</v>
      </c>
      <c r="T46" s="62" t="n">
        <v>-0.156819362146068</v>
      </c>
      <c r="U46" s="60" t="s">
        <v>205</v>
      </c>
      <c r="V46" s="34" t="n">
        <v>3152.02064035416</v>
      </c>
      <c r="W46" s="13" t="n">
        <v>0.0317993285200701</v>
      </c>
      <c r="X46" s="12" t="n">
        <v>22</v>
      </c>
      <c r="Y46" s="30" t="s">
        <v>230</v>
      </c>
      <c r="Z46" s="30" t="s">
        <v>204</v>
      </c>
      <c r="AA46" s="67" t="n">
        <v>38675058833.5705</v>
      </c>
      <c r="AB46" s="67" t="n">
        <v>2400000</v>
      </c>
      <c r="AC46" s="30" t="s">
        <v>204</v>
      </c>
      <c r="AD46" s="13" t="n">
        <v>0.381398452455117</v>
      </c>
      <c r="AE46" s="56" t="n">
        <v>-0.116095822005592</v>
      </c>
      <c r="AF46" s="56" t="n">
        <v>-0.192241483063159</v>
      </c>
      <c r="AG46" s="55" t="n">
        <f aca="false">Pronóstico!$B$5*P46*AE46</f>
        <v>-0.000498077889530023</v>
      </c>
      <c r="AH46" s="55" t="n">
        <f aca="false">IF(ISNUMBER(G46),G46,1)+2*'Mi portafolio'!$C$5</f>
        <v>0.0439361749</v>
      </c>
      <c r="AI46" s="55" t="n">
        <f aca="false">AF46*Pronóstico!$B$8+AG46-AH46</f>
        <v>-0.0459599788455868</v>
      </c>
    </row>
    <row r="47" customFormat="false" ht="15" hidden="false" customHeight="false" outlineLevel="0" collapsed="false">
      <c r="A47" s="60" t="s">
        <v>268</v>
      </c>
      <c r="B47" s="60" t="s">
        <v>203</v>
      </c>
      <c r="C47" s="61" t="n">
        <v>1471.11911010742</v>
      </c>
      <c r="D47" s="62" t="n">
        <v>0.0199840455159268</v>
      </c>
      <c r="E47" s="61" t="n">
        <v>1426.01</v>
      </c>
      <c r="F47" s="61" t="n">
        <v>1479.99</v>
      </c>
      <c r="G47" s="63" t="n">
        <v>0.0371507226</v>
      </c>
      <c r="H47" s="64" t="n">
        <v>6900</v>
      </c>
      <c r="I47" s="64" t="n">
        <v>7700</v>
      </c>
      <c r="J47" s="65" t="s">
        <v>204</v>
      </c>
      <c r="K47" s="62" t="n">
        <v>-0.0298577027929232</v>
      </c>
      <c r="L47" s="62" t="n">
        <v>-0.0357151715867873</v>
      </c>
      <c r="M47" s="62" t="n">
        <v>0.0740682591655761</v>
      </c>
      <c r="N47" s="62" t="n">
        <v>-0.0206979547813891</v>
      </c>
      <c r="O47" s="62" t="n">
        <v>0.263291473910017</v>
      </c>
      <c r="P47" s="62" t="n">
        <v>0.0829290193201851</v>
      </c>
      <c r="Q47" s="62" t="n">
        <v>-0.259628325527459</v>
      </c>
      <c r="R47" s="66" t="n">
        <v>0.246882741528793</v>
      </c>
      <c r="S47" s="62" t="n">
        <v>0.353325839741336</v>
      </c>
      <c r="T47" s="62" t="n">
        <v>-0.241395250574813</v>
      </c>
      <c r="U47" s="60" t="s">
        <v>205</v>
      </c>
      <c r="V47" s="34" t="n">
        <v>1797.5251149025</v>
      </c>
      <c r="W47" s="13" t="n">
        <v>0.221875987166831</v>
      </c>
      <c r="X47" s="12" t="n">
        <v>24</v>
      </c>
      <c r="Y47" s="30" t="s">
        <v>222</v>
      </c>
      <c r="Z47" s="30" t="s">
        <v>204</v>
      </c>
      <c r="AA47" s="67" t="n">
        <v>20786890921.7134</v>
      </c>
      <c r="AB47" s="67" t="n">
        <v>10025562</v>
      </c>
      <c r="AC47" s="30" t="s">
        <v>204</v>
      </c>
      <c r="AD47" s="13" t="n">
        <v>0.0094416541139417</v>
      </c>
      <c r="AE47" s="56" t="n">
        <v>-0.29980389912963</v>
      </c>
      <c r="AF47" s="56" t="n">
        <v>0.771016642239941</v>
      </c>
      <c r="AG47" s="55" t="n">
        <f aca="false">Pronóstico!$B$5*P47*AE47</f>
        <v>-0.0012431221671594</v>
      </c>
      <c r="AH47" s="55" t="n">
        <f aca="false">IF(ISNUMBER(G47),G47,1)+2*'Mi portafolio'!$C$5</f>
        <v>0.0394707226</v>
      </c>
      <c r="AI47" s="55" t="n">
        <f aca="false">AF47*Pronóstico!$B$8+AG47-AH47</f>
        <v>-0.0345946650668424</v>
      </c>
    </row>
    <row r="48" customFormat="false" ht="15" hidden="false" customHeight="false" outlineLevel="0" collapsed="false">
      <c r="A48" s="60" t="s">
        <v>269</v>
      </c>
      <c r="B48" s="60" t="s">
        <v>208</v>
      </c>
      <c r="C48" s="61" t="n">
        <v>57.71</v>
      </c>
      <c r="D48" s="62" t="n">
        <v>-0.0050008778605541</v>
      </c>
      <c r="E48" s="61" t="n">
        <v>57.8</v>
      </c>
      <c r="F48" s="61" t="n">
        <v>57.81</v>
      </c>
      <c r="G48" s="63" t="n">
        <v>0.0001729954</v>
      </c>
      <c r="H48" s="64" t="n">
        <v>939</v>
      </c>
      <c r="I48" s="64" t="n">
        <v>26</v>
      </c>
      <c r="J48" s="65" t="s">
        <v>204</v>
      </c>
      <c r="K48" s="62" t="n">
        <v>0.0003467485724315</v>
      </c>
      <c r="L48" s="62" t="n">
        <v>0.0700574259636326</v>
      </c>
      <c r="M48" s="62" t="n">
        <v>0.0483797833334489</v>
      </c>
      <c r="N48" s="62" t="n">
        <v>0.412223258063417</v>
      </c>
      <c r="O48" s="62" t="n">
        <v>0.27590512443306</v>
      </c>
      <c r="P48" s="62" t="n">
        <v>0.0869019457974055</v>
      </c>
      <c r="Q48" s="62" t="n">
        <v>-0.152011132882429</v>
      </c>
      <c r="R48" s="66" t="n">
        <v>0.872841902329957</v>
      </c>
      <c r="S48" s="62" t="n">
        <v>0.229678857799264</v>
      </c>
      <c r="T48" s="62" t="n">
        <v>-0.180891752984718</v>
      </c>
      <c r="U48" s="60" t="s">
        <v>205</v>
      </c>
      <c r="V48" s="34" t="n">
        <v>66.08333</v>
      </c>
      <c r="W48" s="13" t="n">
        <v>0.145093224744412</v>
      </c>
      <c r="X48" s="12" t="n">
        <v>12</v>
      </c>
      <c r="Y48" s="30" t="s">
        <v>211</v>
      </c>
      <c r="Z48" s="30" t="s">
        <v>204</v>
      </c>
      <c r="AA48" s="67" t="n">
        <v>102366430.260829</v>
      </c>
      <c r="AB48" s="67" t="n">
        <v>1503.06</v>
      </c>
      <c r="AC48" s="30" t="s">
        <v>204</v>
      </c>
      <c r="AD48" s="13" t="n">
        <v>0.411733741403932</v>
      </c>
      <c r="AE48" s="56" t="n">
        <v>0.541193782233002</v>
      </c>
      <c r="AF48" s="56" t="n">
        <v>0.548898515790761</v>
      </c>
      <c r="AG48" s="55" t="n">
        <f aca="false">Pronóstico!$B$5*P48*AE48</f>
        <v>0.00235153963647526</v>
      </c>
      <c r="AH48" s="55" t="n">
        <f aca="false">IF(ISNUMBER(G48),G48,1)+2*'Mi portafolio'!$C$5</f>
        <v>0.0024929954</v>
      </c>
      <c r="AI48" s="55" t="n">
        <f aca="false">AF48*Pronóstico!$B$8+AG48-AH48</f>
        <v>0.00421488166338606</v>
      </c>
    </row>
    <row r="49" customFormat="false" ht="15" hidden="false" customHeight="false" outlineLevel="0" collapsed="false">
      <c r="A49" s="60" t="s">
        <v>270</v>
      </c>
      <c r="B49" s="60" t="s">
        <v>203</v>
      </c>
      <c r="C49" s="61" t="n">
        <v>5493.00699806214</v>
      </c>
      <c r="D49" s="62" t="n">
        <v>0.0044184499710857</v>
      </c>
      <c r="E49" s="61" t="n">
        <v>5435.01</v>
      </c>
      <c r="F49" s="61" t="n">
        <v>5534.98</v>
      </c>
      <c r="G49" s="63" t="n">
        <v>0.0182260877</v>
      </c>
      <c r="H49" s="64" t="n">
        <v>3300</v>
      </c>
      <c r="I49" s="64" t="n">
        <v>3300</v>
      </c>
      <c r="J49" s="65" t="s">
        <v>204</v>
      </c>
      <c r="K49" s="62" t="n">
        <v>0.0091350723925067</v>
      </c>
      <c r="L49" s="62" t="n">
        <v>-0.114696161598304</v>
      </c>
      <c r="M49" s="62" t="n">
        <v>-0.0301689423693081</v>
      </c>
      <c r="N49" s="62" t="n">
        <v>-0.133418466551931</v>
      </c>
      <c r="O49" s="62" t="n">
        <v>0.265752898102942</v>
      </c>
      <c r="P49" s="62" t="n">
        <v>0.0837042950684611</v>
      </c>
      <c r="Q49" s="62" t="n">
        <v>-0.254728460449402</v>
      </c>
      <c r="R49" s="66" t="n">
        <v>0.269986947572474</v>
      </c>
      <c r="S49" s="62" t="n">
        <v>0.247701945647707</v>
      </c>
      <c r="T49" s="62" t="n">
        <v>-0.240980340885219</v>
      </c>
      <c r="U49" s="60" t="s">
        <v>205</v>
      </c>
      <c r="V49" s="34" t="n">
        <v>6741.4871889267</v>
      </c>
      <c r="W49" s="13" t="n">
        <v>0.227285381450453</v>
      </c>
      <c r="X49" s="12" t="n">
        <v>24</v>
      </c>
      <c r="Y49" s="30" t="s">
        <v>271</v>
      </c>
      <c r="Z49" s="30" t="s">
        <v>204</v>
      </c>
      <c r="AA49" s="67" t="n">
        <v>18761914095.0145</v>
      </c>
      <c r="AB49" s="67" t="n">
        <v>17935500</v>
      </c>
      <c r="AC49" s="30" t="s">
        <v>204</v>
      </c>
      <c r="AD49" s="13" t="n">
        <v>-0.141263090387361</v>
      </c>
      <c r="AE49" s="56" t="n">
        <v>-0.73132429042011</v>
      </c>
      <c r="AF49" s="56" t="n">
        <v>0.991822743120033</v>
      </c>
      <c r="AG49" s="55" t="n">
        <f aca="false">Pronóstico!$B$5*P49*AE49</f>
        <v>-0.00306074920980289</v>
      </c>
      <c r="AH49" s="55" t="n">
        <f aca="false">IF(ISNUMBER(G49),G49,1)+2*'Mi portafolio'!$C$5</f>
        <v>0.0205460877</v>
      </c>
      <c r="AI49" s="55" t="n">
        <f aca="false">AF49*Pronóstico!$B$8+AG49-AH49</f>
        <v>-0.0157352278374217</v>
      </c>
    </row>
    <row r="50" customFormat="false" ht="15" hidden="false" customHeight="false" outlineLevel="0" collapsed="false">
      <c r="A50" s="60" t="s">
        <v>272</v>
      </c>
      <c r="B50" s="60" t="s">
        <v>203</v>
      </c>
      <c r="C50" s="61" t="n">
        <v>2008.8109664917</v>
      </c>
      <c r="D50" s="62" t="n">
        <v>0.0339997640307656</v>
      </c>
      <c r="E50" s="61" t="n">
        <v>1985.01</v>
      </c>
      <c r="F50" s="61" t="n">
        <v>2004</v>
      </c>
      <c r="G50" s="63" t="n">
        <v>0.0095211594</v>
      </c>
      <c r="H50" s="64" t="n">
        <v>19000</v>
      </c>
      <c r="I50" s="64" t="n">
        <v>2</v>
      </c>
      <c r="J50" s="65" t="s">
        <v>204</v>
      </c>
      <c r="K50" s="62" t="n">
        <v>0.122970595010822</v>
      </c>
      <c r="L50" s="62" t="n">
        <v>0.0028522147632044</v>
      </c>
      <c r="M50" s="62" t="n">
        <v>-0.0624013607349825</v>
      </c>
      <c r="N50" s="62" t="n">
        <v>0.0206757847891738</v>
      </c>
      <c r="O50" s="62" t="n">
        <v>0.274043002466264</v>
      </c>
      <c r="P50" s="62" t="n">
        <v>0.0863154325075231</v>
      </c>
      <c r="Q50" s="62" t="n">
        <v>-0.24804535764215</v>
      </c>
      <c r="R50" s="66" t="n">
        <v>0.114047036825622</v>
      </c>
      <c r="S50" s="62" t="n">
        <v>0.24622750992004</v>
      </c>
      <c r="T50" s="62" t="n">
        <v>-0.203838586669924</v>
      </c>
      <c r="U50" s="60" t="s">
        <v>205</v>
      </c>
      <c r="V50" s="34" t="n">
        <v>2301.34655952454</v>
      </c>
      <c r="W50" s="13" t="n">
        <v>0.145626242544732</v>
      </c>
      <c r="X50" s="12" t="n">
        <v>40</v>
      </c>
      <c r="Y50" s="30" t="s">
        <v>273</v>
      </c>
      <c r="Z50" s="30" t="s">
        <v>217</v>
      </c>
      <c r="AA50" s="67" t="n">
        <v>42494601011.2244</v>
      </c>
      <c r="AB50" s="67" t="n">
        <v>4008</v>
      </c>
      <c r="AC50" s="30" t="s">
        <v>217</v>
      </c>
      <c r="AD50" s="13" t="n">
        <v>-0.0910930443558605</v>
      </c>
      <c r="AE50" s="56" t="n">
        <v>-0.985925018121719</v>
      </c>
      <c r="AF50" s="56" t="n">
        <v>0.241640029366227</v>
      </c>
      <c r="AG50" s="55" t="n">
        <f aca="false">Pronóstico!$B$5*P50*AE50</f>
        <v>-0.00425502721795819</v>
      </c>
      <c r="AH50" s="55" t="n">
        <f aca="false">IF(ISNUMBER(G50),G50,1)+2*'Mi portafolio'!$C$5</f>
        <v>0.0118411594</v>
      </c>
      <c r="AI50" s="55" t="n">
        <f aca="false">AF50*Pronóstico!$B$8+AG50-AH50</f>
        <v>-0.0141784086071151</v>
      </c>
    </row>
    <row r="51" customFormat="false" ht="15" hidden="false" customHeight="false" outlineLevel="0" collapsed="false">
      <c r="A51" s="60" t="s">
        <v>274</v>
      </c>
      <c r="B51" s="60" t="s">
        <v>208</v>
      </c>
      <c r="C51" s="61" t="n">
        <v>55.97</v>
      </c>
      <c r="D51" s="62" t="n">
        <v>0.00792219336435</v>
      </c>
      <c r="E51" s="61" t="n">
        <v>55.92</v>
      </c>
      <c r="F51" s="61" t="n">
        <v>55.95</v>
      </c>
      <c r="G51" s="63" t="n">
        <v>0.0005363368</v>
      </c>
      <c r="H51" s="64" t="n">
        <v>200</v>
      </c>
      <c r="I51" s="64" t="n">
        <v>1322</v>
      </c>
      <c r="J51" s="65" t="s">
        <v>204</v>
      </c>
      <c r="K51" s="62" t="n">
        <v>-0.010079570336239</v>
      </c>
      <c r="L51" s="62" t="n">
        <v>0.0001786371505296</v>
      </c>
      <c r="M51" s="62" t="n">
        <v>-0.0147995362821363</v>
      </c>
      <c r="N51" s="62" t="n">
        <v>-0.0826460648443053</v>
      </c>
      <c r="O51" s="62" t="n">
        <v>0.275955644544896</v>
      </c>
      <c r="P51" s="62" t="n">
        <v>0.0869178581369442</v>
      </c>
      <c r="Q51" s="62" t="n">
        <v>-0.218431015758617</v>
      </c>
      <c r="R51" s="66" t="n">
        <v>0.794985953093872</v>
      </c>
      <c r="S51" s="62" t="n">
        <v>0.248535754699399</v>
      </c>
      <c r="T51" s="62" t="n">
        <v>-0.208871229428635</v>
      </c>
      <c r="U51" s="60" t="s">
        <v>205</v>
      </c>
      <c r="V51" s="34" t="n">
        <v>70.16667</v>
      </c>
      <c r="W51" s="13" t="n">
        <v>0.253647847060925</v>
      </c>
      <c r="X51" s="12" t="n">
        <v>12</v>
      </c>
      <c r="Y51" s="30" t="s">
        <v>216</v>
      </c>
      <c r="Z51" s="30" t="s">
        <v>204</v>
      </c>
      <c r="AA51" s="67" t="n">
        <v>143901703.224039</v>
      </c>
      <c r="AB51" s="67" t="n">
        <v>11190</v>
      </c>
      <c r="AC51" s="30" t="s">
        <v>204</v>
      </c>
      <c r="AD51" s="13" t="n">
        <v>-0.0733053812544453</v>
      </c>
      <c r="AE51" s="56" t="n">
        <v>-0.393102754824802</v>
      </c>
      <c r="AF51" s="56" t="n">
        <v>0.565332956084991</v>
      </c>
      <c r="AG51" s="55" t="n">
        <f aca="false">Pronóstico!$B$5*P51*AE51</f>
        <v>-0.0017083824738552</v>
      </c>
      <c r="AH51" s="55" t="n">
        <f aca="false">IF(ISNUMBER(G51),G51,1)+2*'Mi portafolio'!$C$5</f>
        <v>0.0028563368</v>
      </c>
      <c r="AI51" s="55" t="n">
        <f aca="false">AF51*Pronóstico!$B$8+AG51-AH51</f>
        <v>-7.79497811171795E-005</v>
      </c>
    </row>
    <row r="52" customFormat="false" ht="15" hidden="false" customHeight="false" outlineLevel="0" collapsed="false">
      <c r="A52" s="60" t="s">
        <v>162</v>
      </c>
      <c r="B52" s="60" t="s">
        <v>208</v>
      </c>
      <c r="C52" s="61" t="n">
        <v>175.07</v>
      </c>
      <c r="D52" s="62" t="n">
        <v>-0.0091706491546034</v>
      </c>
      <c r="E52" s="61" t="n">
        <v>175.02</v>
      </c>
      <c r="F52" s="61" t="n">
        <v>175.26</v>
      </c>
      <c r="G52" s="63" t="n">
        <v>0.0013703323</v>
      </c>
      <c r="H52" s="64" t="n">
        <v>397</v>
      </c>
      <c r="I52" s="64" t="n">
        <v>597</v>
      </c>
      <c r="J52" s="65" t="s">
        <v>204</v>
      </c>
      <c r="K52" s="62" t="n">
        <v>-0.0783043475256415</v>
      </c>
      <c r="L52" s="62" t="n">
        <v>-0.12436840605463</v>
      </c>
      <c r="M52" s="62" t="n">
        <v>-0.096332339050166</v>
      </c>
      <c r="N52" s="62" t="n">
        <v>0.0976474498051207</v>
      </c>
      <c r="O52" s="62" t="n">
        <v>0.283353263548016</v>
      </c>
      <c r="P52" s="62" t="n">
        <v>0.0892478891103088</v>
      </c>
      <c r="Q52" s="62" t="n">
        <v>-0.195235240666825</v>
      </c>
      <c r="R52" s="66" t="n">
        <v>0.939053909093223</v>
      </c>
      <c r="S52" s="62" t="n">
        <v>0.245050582368079</v>
      </c>
      <c r="T52" s="62" t="n">
        <v>-0.170699514488102</v>
      </c>
      <c r="U52" s="60" t="s">
        <v>275</v>
      </c>
      <c r="V52" s="34" t="n">
        <v>264.4878</v>
      </c>
      <c r="W52" s="13" t="n">
        <v>0.510754555320729</v>
      </c>
      <c r="X52" s="12" t="n">
        <v>10</v>
      </c>
      <c r="Y52" s="30" t="s">
        <v>209</v>
      </c>
      <c r="Z52" s="30" t="s">
        <v>204</v>
      </c>
      <c r="AA52" s="67" t="n">
        <v>52699648.2036671</v>
      </c>
      <c r="AB52" s="67" t="n">
        <v>69578.22</v>
      </c>
      <c r="AC52" s="30" t="s">
        <v>204</v>
      </c>
      <c r="AD52" s="13" t="n">
        <v>0.190900105537448</v>
      </c>
      <c r="AE52" s="56" t="n">
        <v>1.69290009516899</v>
      </c>
      <c r="AF52" s="56" t="n">
        <v>0.61055926819464</v>
      </c>
      <c r="AG52" s="55" t="n">
        <f aca="false">Pronóstico!$B$5*P52*AE52</f>
        <v>0.00755438799842364</v>
      </c>
      <c r="AH52" s="55" t="n">
        <f aca="false">IF(ISNUMBER(G52),G52,1)+2*'Mi portafolio'!$C$5</f>
        <v>0.0036903323</v>
      </c>
      <c r="AI52" s="55" t="n">
        <f aca="false">AF52*Pronóstico!$B$8+AG52-AH52</f>
        <v>0.00870976417615888</v>
      </c>
    </row>
    <row r="53" customFormat="false" ht="15" hidden="false" customHeight="false" outlineLevel="0" collapsed="false">
      <c r="A53" s="60" t="s">
        <v>276</v>
      </c>
      <c r="B53" s="60" t="s">
        <v>203</v>
      </c>
      <c r="C53" s="61" t="n">
        <v>1078.37895774841</v>
      </c>
      <c r="D53" s="62" t="n">
        <v>0.0066755809342222</v>
      </c>
      <c r="E53" s="61" t="n">
        <v>1044.91</v>
      </c>
      <c r="F53" s="61" t="n">
        <v>1096.49</v>
      </c>
      <c r="G53" s="63" t="n">
        <v>0.0481740917</v>
      </c>
      <c r="H53" s="64" t="n">
        <v>2200</v>
      </c>
      <c r="I53" s="64" t="n">
        <v>2200</v>
      </c>
      <c r="J53" s="65" t="s">
        <v>204</v>
      </c>
      <c r="K53" s="62" t="n">
        <v>0.0017868991174707</v>
      </c>
      <c r="L53" s="62" t="n">
        <v>0.0506755138623211</v>
      </c>
      <c r="M53" s="62" t="n">
        <v>0.104711256535837</v>
      </c>
      <c r="N53" s="62" t="n">
        <v>0.402754866461463</v>
      </c>
      <c r="O53" s="62" t="n">
        <v>0.287057780828236</v>
      </c>
      <c r="P53" s="62" t="n">
        <v>0.0904147023782855</v>
      </c>
      <c r="Q53" s="62" t="n">
        <v>-0.145204594675105</v>
      </c>
      <c r="R53" s="66" t="n">
        <v>0.202063987355223</v>
      </c>
      <c r="S53" s="62" t="n">
        <v>0.292217200676781</v>
      </c>
      <c r="T53" s="62" t="n">
        <v>-0.238928448426553</v>
      </c>
      <c r="U53" s="60" t="s">
        <v>275</v>
      </c>
      <c r="V53" s="34" t="n">
        <v>1201.12355243301</v>
      </c>
      <c r="W53" s="13" t="n">
        <v>0.113823247201414</v>
      </c>
      <c r="X53" s="12" t="n">
        <v>24</v>
      </c>
      <c r="Y53" s="30" t="s">
        <v>252</v>
      </c>
      <c r="Z53" s="30" t="s">
        <v>204</v>
      </c>
      <c r="AA53" s="67" t="n">
        <v>14319578908.2402</v>
      </c>
      <c r="AB53" s="67" t="n">
        <v>2354000</v>
      </c>
      <c r="AC53" s="30" t="s">
        <v>204</v>
      </c>
      <c r="AD53" s="13" t="n">
        <v>0.400252756047446</v>
      </c>
      <c r="AE53" s="56" t="n">
        <v>0.350320560497446</v>
      </c>
      <c r="AF53" s="56" t="n">
        <v>0.586469369069985</v>
      </c>
      <c r="AG53" s="55" t="n">
        <f aca="false">Pronóstico!$B$5*P53*AE53</f>
        <v>0.00158370646071854</v>
      </c>
      <c r="AH53" s="55" t="n">
        <f aca="false">IF(ISNUMBER(G53),G53,1)+2*'Mi portafolio'!$C$5</f>
        <v>0.0504940917</v>
      </c>
      <c r="AI53" s="55" t="n">
        <f aca="false">AF53*Pronóstico!$B$8+AG53-AH53</f>
        <v>-0.0442558664371387</v>
      </c>
    </row>
    <row r="54" customFormat="false" ht="15" hidden="false" customHeight="false" outlineLevel="0" collapsed="false">
      <c r="A54" s="60" t="s">
        <v>277</v>
      </c>
      <c r="B54" s="60" t="s">
        <v>203</v>
      </c>
      <c r="C54" s="61" t="n">
        <v>1637.12829399109</v>
      </c>
      <c r="D54" s="62" t="n">
        <v>-0.0264750807890978</v>
      </c>
      <c r="E54" s="61" t="n">
        <v>1602.21</v>
      </c>
      <c r="F54" s="61" t="n">
        <v>1660.49</v>
      </c>
      <c r="G54" s="63" t="n">
        <v>0.035725013</v>
      </c>
      <c r="H54" s="64" t="n">
        <v>1600</v>
      </c>
      <c r="I54" s="64" t="n">
        <v>2400</v>
      </c>
      <c r="J54" s="65" t="s">
        <v>204</v>
      </c>
      <c r="K54" s="62" t="n">
        <v>-0.0322871900239473</v>
      </c>
      <c r="L54" s="62" t="n">
        <v>-0.123536675806336</v>
      </c>
      <c r="M54" s="62" t="n">
        <v>-0.0239672553670241</v>
      </c>
      <c r="N54" s="62" t="n">
        <v>0.0671255399341186</v>
      </c>
      <c r="O54" s="62" t="n">
        <v>0.282207295826337</v>
      </c>
      <c r="P54" s="62" t="n">
        <v>0.0888869432053003</v>
      </c>
      <c r="Q54" s="62" t="n">
        <v>-0.133690088676259</v>
      </c>
      <c r="R54" s="66" t="n">
        <v>0.300641779370286</v>
      </c>
      <c r="S54" s="62" t="n">
        <v>0.405506253066802</v>
      </c>
      <c r="T54" s="62" t="n">
        <v>-0.309286552875879</v>
      </c>
      <c r="U54" s="60" t="s">
        <v>205</v>
      </c>
      <c r="V54" s="34" t="n">
        <v>2025.26974689102</v>
      </c>
      <c r="W54" s="13" t="n">
        <v>0.237086766091922</v>
      </c>
      <c r="X54" s="12" t="n">
        <v>30</v>
      </c>
      <c r="Y54" s="30" t="s">
        <v>243</v>
      </c>
      <c r="Z54" s="30" t="s">
        <v>204</v>
      </c>
      <c r="AA54" s="67" t="n">
        <v>13740966844.7835</v>
      </c>
      <c r="AB54" s="67" t="n">
        <v>2592000</v>
      </c>
      <c r="AC54" s="30" t="s">
        <v>204</v>
      </c>
      <c r="AD54" s="13" t="n">
        <v>0.102729579409542</v>
      </c>
      <c r="AE54" s="56" t="n">
        <v>0.0598674310404867</v>
      </c>
      <c r="AF54" s="56" t="n">
        <v>0.718907821159945</v>
      </c>
      <c r="AG54" s="55" t="n">
        <f aca="false">Pronóstico!$B$5*P54*AE54</f>
        <v>0.000266071647137149</v>
      </c>
      <c r="AH54" s="55" t="n">
        <f aca="false">IF(ISNUMBER(G54),G54,1)+2*'Mi portafolio'!$C$5</f>
        <v>0.038045013</v>
      </c>
      <c r="AI54" s="55" t="n">
        <f aca="false">AF54*Pronóstico!$B$8+AG54-AH54</f>
        <v>-0.0320733237246093</v>
      </c>
    </row>
    <row r="55" customFormat="false" ht="15" hidden="false" customHeight="false" outlineLevel="0" collapsed="false">
      <c r="A55" s="60" t="s">
        <v>278</v>
      </c>
      <c r="B55" s="60" t="s">
        <v>208</v>
      </c>
      <c r="C55" s="61" t="n">
        <v>201.5</v>
      </c>
      <c r="D55" s="62" t="n">
        <v>-0.0191783605655377</v>
      </c>
      <c r="E55" s="61" t="n">
        <v>202.09</v>
      </c>
      <c r="F55" s="61" t="n">
        <v>202.15</v>
      </c>
      <c r="G55" s="63" t="n">
        <v>0.0002968534</v>
      </c>
      <c r="H55" s="64" t="n">
        <v>542</v>
      </c>
      <c r="I55" s="64" t="n">
        <v>205</v>
      </c>
      <c r="J55" s="65" t="s">
        <v>204</v>
      </c>
      <c r="K55" s="62" t="n">
        <v>-0.0396072525393981</v>
      </c>
      <c r="L55" s="62" t="n">
        <v>-0.133221495496534</v>
      </c>
      <c r="M55" s="62" t="n">
        <v>-0.154166800908072</v>
      </c>
      <c r="N55" s="62" t="n">
        <v>-0.116754983338374</v>
      </c>
      <c r="O55" s="62" t="n">
        <v>0.292594337533783</v>
      </c>
      <c r="P55" s="62" t="n">
        <v>0.0921585538262</v>
      </c>
      <c r="Q55" s="62" t="n">
        <v>-0.277775407826658</v>
      </c>
      <c r="R55" s="66" t="n">
        <v>0.981064797365905</v>
      </c>
      <c r="S55" s="62" t="n">
        <v>0.424556693596467</v>
      </c>
      <c r="T55" s="62" t="n">
        <v>-0.174320890611203</v>
      </c>
      <c r="U55" s="60" t="s">
        <v>275</v>
      </c>
      <c r="V55" s="34" t="n">
        <v>259.6</v>
      </c>
      <c r="W55" s="13" t="n">
        <v>0.28833746898263</v>
      </c>
      <c r="X55" s="12" t="n">
        <v>14</v>
      </c>
      <c r="Y55" s="30" t="s">
        <v>216</v>
      </c>
      <c r="Z55" s="30" t="s">
        <v>204</v>
      </c>
      <c r="AA55" s="67" t="n">
        <v>249807252.027625</v>
      </c>
      <c r="AB55" s="67" t="n">
        <v>41440.75</v>
      </c>
      <c r="AC55" s="30" t="s">
        <v>204</v>
      </c>
      <c r="AD55" s="13" t="n">
        <v>-0.0803293558837926</v>
      </c>
      <c r="AE55" s="56" t="n">
        <v>-0.241474333174635</v>
      </c>
      <c r="AF55" s="56" t="n">
        <v>0.70278799419426</v>
      </c>
      <c r="AG55" s="55" t="n">
        <f aca="false">Pronóstico!$B$5*P55*AE55</f>
        <v>-0.00111269626657602</v>
      </c>
      <c r="AH55" s="55" t="n">
        <f aca="false">IF(ISNUMBER(G55),G55,1)+2*'Mi portafolio'!$C$5</f>
        <v>0.0026168534</v>
      </c>
      <c r="AI55" s="55" t="n">
        <f aca="false">AF55*Pronóstico!$B$8+AG55-AH55</f>
        <v>0.00184813282702922</v>
      </c>
    </row>
    <row r="56" customFormat="false" ht="15" hidden="false" customHeight="false" outlineLevel="0" collapsed="false">
      <c r="A56" s="60" t="s">
        <v>279</v>
      </c>
      <c r="B56" s="60" t="s">
        <v>203</v>
      </c>
      <c r="C56" s="61" t="n">
        <v>5242.13253974915</v>
      </c>
      <c r="D56" s="62" t="n">
        <v>0.0095999327916094</v>
      </c>
      <c r="E56" s="61" t="n">
        <v>5116.81</v>
      </c>
      <c r="F56" s="61" t="n">
        <v>5366.39</v>
      </c>
      <c r="G56" s="63" t="n">
        <v>0.047615232</v>
      </c>
      <c r="H56" s="64" t="n">
        <v>600</v>
      </c>
      <c r="I56" s="64" t="n">
        <v>400</v>
      </c>
      <c r="J56" s="65" t="s">
        <v>204</v>
      </c>
      <c r="K56" s="62" t="n">
        <v>0.0068701488086175</v>
      </c>
      <c r="L56" s="62" t="n">
        <v>-0.0412254043086286</v>
      </c>
      <c r="M56" s="62" t="n">
        <v>0.0414753984360398</v>
      </c>
      <c r="N56" s="62" t="n">
        <v>0.509974970293404</v>
      </c>
      <c r="O56" s="62" t="n">
        <v>0.2878202133799</v>
      </c>
      <c r="P56" s="62" t="n">
        <v>0.0906548460596144</v>
      </c>
      <c r="Q56" s="62" t="n">
        <v>-0.160844645343003</v>
      </c>
      <c r="R56" s="66" t="n">
        <v>0.559910929795414</v>
      </c>
      <c r="S56" s="62" t="n">
        <v>0.341343663755793</v>
      </c>
      <c r="T56" s="62" t="n">
        <v>-0.217031473214294</v>
      </c>
      <c r="U56" s="60" t="s">
        <v>275</v>
      </c>
      <c r="V56" s="34" t="n">
        <v>6453.31666624451</v>
      </c>
      <c r="W56" s="13" t="n">
        <v>0.231047978529997</v>
      </c>
      <c r="X56" s="12" t="n">
        <v>26</v>
      </c>
      <c r="Y56" s="30" t="s">
        <v>243</v>
      </c>
      <c r="Z56" s="30" t="s">
        <v>204</v>
      </c>
      <c r="AA56" s="67" t="n">
        <v>8400119263.09608</v>
      </c>
      <c r="AB56" s="67" t="n">
        <v>2078544</v>
      </c>
      <c r="AC56" s="30" t="s">
        <v>204</v>
      </c>
      <c r="AD56" s="13" t="n">
        <v>0.499672000485949</v>
      </c>
      <c r="AE56" s="56" t="n">
        <v>1.23739115081858</v>
      </c>
      <c r="AF56" s="56" t="n">
        <v>0.860695013854918</v>
      </c>
      <c r="AG56" s="55" t="n">
        <f aca="false">Pronóstico!$B$5*P56*AE56</f>
        <v>0.00560877521464937</v>
      </c>
      <c r="AH56" s="55" t="n">
        <f aca="false">IF(ISNUMBER(G56),G56,1)+2*'Mi portafolio'!$C$5</f>
        <v>0.049935232</v>
      </c>
      <c r="AI56" s="55" t="n">
        <f aca="false">AF56*Pronóstico!$B$8+AG56-AH56</f>
        <v>-0.0374955439769783</v>
      </c>
    </row>
    <row r="57" customFormat="false" ht="15" hidden="false" customHeight="false" outlineLevel="0" collapsed="false">
      <c r="A57" s="60" t="s">
        <v>280</v>
      </c>
      <c r="B57" s="60" t="s">
        <v>203</v>
      </c>
      <c r="C57" s="61" t="n">
        <v>2298.89590454102</v>
      </c>
      <c r="D57" s="62" t="n">
        <v>0.0047146132084647</v>
      </c>
      <c r="E57" s="61" t="n">
        <v>2250.01</v>
      </c>
      <c r="F57" s="61" t="n">
        <v>2342.39</v>
      </c>
      <c r="G57" s="63" t="n">
        <v>0.0402316871</v>
      </c>
      <c r="H57" s="64" t="n">
        <v>3800</v>
      </c>
      <c r="I57" s="64" t="n">
        <v>2600</v>
      </c>
      <c r="J57" s="65" t="s">
        <v>204</v>
      </c>
      <c r="K57" s="62" t="n">
        <v>-0.013538418975273</v>
      </c>
      <c r="L57" s="62" t="n">
        <v>-0.0618022333121511</v>
      </c>
      <c r="M57" s="62" t="n">
        <v>0.0215915262052646</v>
      </c>
      <c r="N57" s="62" t="n">
        <v>0.312024734375929</v>
      </c>
      <c r="O57" s="62" t="n">
        <v>0.293798051799151</v>
      </c>
      <c r="P57" s="62" t="n">
        <v>0.0925376881828363</v>
      </c>
      <c r="Q57" s="62" t="n">
        <v>-0.147901584272405</v>
      </c>
      <c r="R57" s="66" t="n">
        <v>0.503018774952709</v>
      </c>
      <c r="S57" s="62" t="n">
        <v>0.266998114922323</v>
      </c>
      <c r="T57" s="62" t="n">
        <v>-0.291593247853392</v>
      </c>
      <c r="U57" s="60" t="s">
        <v>275</v>
      </c>
      <c r="V57" s="34" t="n">
        <v>2772.87073135376</v>
      </c>
      <c r="W57" s="13" t="n">
        <v>0.206174984207201</v>
      </c>
      <c r="X57" s="12" t="n">
        <v>20</v>
      </c>
      <c r="Y57" s="30" t="s">
        <v>222</v>
      </c>
      <c r="Z57" s="30" t="s">
        <v>204</v>
      </c>
      <c r="AA57" s="67" t="n">
        <v>23663649703.7096</v>
      </c>
      <c r="AB57" s="67" t="n">
        <v>5891600</v>
      </c>
      <c r="AC57" s="30" t="s">
        <v>204</v>
      </c>
      <c r="AD57" s="13" t="n">
        <v>0.330031254752982</v>
      </c>
      <c r="AE57" s="56" t="n">
        <v>0.597241867840225</v>
      </c>
      <c r="AF57" s="56" t="n">
        <v>1.15577684800822</v>
      </c>
      <c r="AG57" s="55" t="n">
        <f aca="false">Pronóstico!$B$5*P57*AE57</f>
        <v>0.00276336908679667</v>
      </c>
      <c r="AH57" s="55" t="n">
        <f aca="false">IF(ISNUMBER(G57),G57,1)+2*'Mi portafolio'!$C$5</f>
        <v>0.0425516871</v>
      </c>
      <c r="AI57" s="55" t="n">
        <f aca="false">AF57*Pronóstico!$B$8+AG57-AH57</f>
        <v>-0.030615485886154</v>
      </c>
    </row>
    <row r="58" customFormat="false" ht="15" hidden="false" customHeight="false" outlineLevel="0" collapsed="false">
      <c r="A58" s="60" t="s">
        <v>281</v>
      </c>
      <c r="B58" s="60" t="s">
        <v>208</v>
      </c>
      <c r="C58" s="61" t="n">
        <v>153.25</v>
      </c>
      <c r="D58" s="62" t="n">
        <v>-0.0060963903399863</v>
      </c>
      <c r="E58" s="61" t="n">
        <v>153.36</v>
      </c>
      <c r="F58" s="61" t="n">
        <v>153.4</v>
      </c>
      <c r="G58" s="63" t="n">
        <v>0.0002607902</v>
      </c>
      <c r="H58" s="64" t="n">
        <v>9</v>
      </c>
      <c r="I58" s="64" t="n">
        <v>52</v>
      </c>
      <c r="J58" s="65" t="s">
        <v>204</v>
      </c>
      <c r="K58" s="62" t="n">
        <v>-0.0075767269966242</v>
      </c>
      <c r="L58" s="62" t="n">
        <v>-0.117274353659196</v>
      </c>
      <c r="M58" s="62" t="n">
        <v>-0.0405596348250553</v>
      </c>
      <c r="N58" s="62" t="n">
        <v>-0.0034473640212201</v>
      </c>
      <c r="O58" s="62" t="n">
        <v>0.289045091754736</v>
      </c>
      <c r="P58" s="62" t="n">
        <v>0.0910406464841522</v>
      </c>
      <c r="Q58" s="62" t="n">
        <v>-0.204579499952893</v>
      </c>
      <c r="R58" s="66" t="n">
        <v>0.53500172743905</v>
      </c>
      <c r="S58" s="62" t="n">
        <v>0.324813520548321</v>
      </c>
      <c r="T58" s="62" t="n">
        <v>-0.172568360677157</v>
      </c>
      <c r="U58" s="60" t="s">
        <v>275</v>
      </c>
      <c r="V58" s="34" t="n">
        <v>177.72726</v>
      </c>
      <c r="W58" s="13" t="n">
        <v>0.159721109298532</v>
      </c>
      <c r="X58" s="12" t="n">
        <v>11</v>
      </c>
      <c r="Y58" s="30" t="s">
        <v>237</v>
      </c>
      <c r="Z58" s="30" t="s">
        <v>204</v>
      </c>
      <c r="AA58" s="67" t="n">
        <v>163525470.170209</v>
      </c>
      <c r="AB58" s="67" t="n">
        <v>1380.24</v>
      </c>
      <c r="AC58" s="30" t="s">
        <v>204</v>
      </c>
      <c r="AD58" s="13" t="n">
        <v>0.0041608888946218</v>
      </c>
      <c r="AE58" s="56" t="n">
        <v>-0.625837472511459</v>
      </c>
      <c r="AF58" s="56" t="n">
        <v>0.452248011254207</v>
      </c>
      <c r="AG58" s="55" t="n">
        <f aca="false">Pronóstico!$B$5*P58*AE58</f>
        <v>-0.00284883240457255</v>
      </c>
      <c r="AH58" s="55" t="n">
        <f aca="false">IF(ISNUMBER(G58),G58,1)+2*'Mi portafolio'!$C$5</f>
        <v>0.0025807902</v>
      </c>
      <c r="AI58" s="55" t="n">
        <f aca="false">AF58*Pronóstico!$B$8+AG58-AH58</f>
        <v>-0.00184035267398361</v>
      </c>
    </row>
    <row r="59" customFormat="false" ht="15" hidden="false" customHeight="false" outlineLevel="0" collapsed="false">
      <c r="A59" s="60" t="s">
        <v>282</v>
      </c>
      <c r="B59" s="60" t="s">
        <v>208</v>
      </c>
      <c r="C59" s="61" t="n">
        <v>138.64</v>
      </c>
      <c r="D59" s="62" t="n">
        <v>-0.0067316130443633</v>
      </c>
      <c r="E59" s="61" t="n">
        <v>139.06</v>
      </c>
      <c r="F59" s="61" t="n">
        <v>139.21</v>
      </c>
      <c r="G59" s="63" t="n">
        <v>0.0010780896</v>
      </c>
      <c r="H59" s="64" t="n">
        <v>52</v>
      </c>
      <c r="I59" s="64" t="n">
        <v>262</v>
      </c>
      <c r="J59" s="65" t="s">
        <v>204</v>
      </c>
      <c r="K59" s="62" t="n">
        <v>-0.0191641796456111</v>
      </c>
      <c r="L59" s="62" t="n">
        <v>0.0695558666093716</v>
      </c>
      <c r="M59" s="62" t="n">
        <v>-0.0300699514108937</v>
      </c>
      <c r="N59" s="62" t="n">
        <v>0.125092103808806</v>
      </c>
      <c r="O59" s="62" t="n">
        <v>0.289253712200967</v>
      </c>
      <c r="P59" s="62" t="n">
        <v>0.0911063557483343</v>
      </c>
      <c r="Q59" s="62" t="n">
        <v>-0.198589251486109</v>
      </c>
      <c r="R59" s="66" t="n">
        <v>0.998097289652378</v>
      </c>
      <c r="S59" s="62" t="n">
        <v>0.279200888722913</v>
      </c>
      <c r="T59" s="62" t="n">
        <v>-0.191128420954112</v>
      </c>
      <c r="U59" s="60" t="s">
        <v>275</v>
      </c>
      <c r="V59" s="34" t="n">
        <v>174.22308</v>
      </c>
      <c r="W59" s="13" t="n">
        <v>0.256658107328333</v>
      </c>
      <c r="X59" s="12" t="n">
        <v>13</v>
      </c>
      <c r="Y59" s="30" t="s">
        <v>211</v>
      </c>
      <c r="Z59" s="30" t="s">
        <v>204</v>
      </c>
      <c r="AA59" s="67" t="n">
        <v>90633741.8348967</v>
      </c>
      <c r="AB59" s="67" t="n">
        <v>7231.12</v>
      </c>
      <c r="AC59" s="30" t="s">
        <v>204</v>
      </c>
      <c r="AD59" s="13" t="n">
        <v>0.14707485234613</v>
      </c>
      <c r="AE59" s="56" t="n">
        <v>0.292384109297504</v>
      </c>
      <c r="AF59" s="56" t="n">
        <v>0.658615054696474</v>
      </c>
      <c r="AG59" s="55" t="n">
        <f aca="false">Pronóstico!$B$5*P59*AE59</f>
        <v>0.00133190253384091</v>
      </c>
      <c r="AH59" s="55" t="n">
        <f aca="false">IF(ISNUMBER(G59),G59,1)+2*'Mi portafolio'!$C$5</f>
        <v>0.0033980896</v>
      </c>
      <c r="AI59" s="55" t="n">
        <f aca="false">AF59*Pronóstico!$B$8+AG59-AH59</f>
        <v>0.00316091654254309</v>
      </c>
    </row>
    <row r="60" customFormat="false" ht="15" hidden="false" customHeight="false" outlineLevel="0" collapsed="false">
      <c r="A60" s="60" t="s">
        <v>283</v>
      </c>
      <c r="B60" s="60" t="s">
        <v>203</v>
      </c>
      <c r="C60" s="61" t="n">
        <v>2558.30227279663</v>
      </c>
      <c r="D60" s="62" t="n">
        <v>-0.0009491583843893</v>
      </c>
      <c r="E60" s="61" t="n">
        <v>2480.51</v>
      </c>
      <c r="F60" s="61" t="n">
        <v>2603.49</v>
      </c>
      <c r="G60" s="63" t="n">
        <v>0.048379229</v>
      </c>
      <c r="H60" s="64" t="n">
        <v>800</v>
      </c>
      <c r="I60" s="64" t="n">
        <v>1000</v>
      </c>
      <c r="J60" s="65" t="s">
        <v>204</v>
      </c>
      <c r="K60" s="62" t="n">
        <v>0.0335966075029245</v>
      </c>
      <c r="L60" s="62" t="n">
        <v>0.187933587340909</v>
      </c>
      <c r="M60" s="62" t="n">
        <v>0.276668688544971</v>
      </c>
      <c r="N60" s="62" t="n">
        <v>0.688518417686427</v>
      </c>
      <c r="O60" s="62" t="n">
        <v>0.302870542267304</v>
      </c>
      <c r="P60" s="62" t="n">
        <v>0.0953952540817338</v>
      </c>
      <c r="Q60" s="62" t="n">
        <v>-0.1237486840367</v>
      </c>
      <c r="R60" s="66" t="n">
        <v>0.308031075056508</v>
      </c>
      <c r="S60" s="62" t="n">
        <v>0.212065055713064</v>
      </c>
      <c r="T60" s="62" t="n">
        <v>-0.193418729291356</v>
      </c>
      <c r="U60" s="60" t="s">
        <v>275</v>
      </c>
      <c r="V60" s="34" t="n">
        <v>2836.95082092285</v>
      </c>
      <c r="W60" s="13" t="n">
        <v>0.108919321649046</v>
      </c>
      <c r="X60" s="12" t="n">
        <v>25</v>
      </c>
      <c r="Y60" s="30" t="s">
        <v>252</v>
      </c>
      <c r="Z60" s="30" t="s">
        <v>204</v>
      </c>
      <c r="AA60" s="67" t="n">
        <v>25388129095.4666</v>
      </c>
      <c r="AB60" s="67" t="n">
        <v>2024800</v>
      </c>
      <c r="AC60" s="30" t="s">
        <v>204</v>
      </c>
      <c r="AD60" s="13" t="n">
        <v>0.633633862020633</v>
      </c>
      <c r="AE60" s="56" t="n">
        <v>1.03589247502902</v>
      </c>
      <c r="AF60" s="56" t="n">
        <v>0.637439208525731</v>
      </c>
      <c r="AG60" s="55" t="n">
        <f aca="false">Pronóstico!$B$5*P60*AE60</f>
        <v>0.00494096129283747</v>
      </c>
      <c r="AH60" s="55" t="n">
        <f aca="false">IF(ISNUMBER(G60),G60,1)+2*'Mi portafolio'!$C$5</f>
        <v>0.050699229</v>
      </c>
      <c r="AI60" s="55" t="n">
        <f aca="false">AF60*Pronóstico!$B$8+AG60-AH60</f>
        <v>-0.0406992263696567</v>
      </c>
    </row>
    <row r="61" customFormat="false" ht="15" hidden="false" customHeight="false" outlineLevel="0" collapsed="false">
      <c r="A61" s="60" t="s">
        <v>284</v>
      </c>
      <c r="B61" s="60" t="s">
        <v>208</v>
      </c>
      <c r="C61" s="61" t="n">
        <v>52.41</v>
      </c>
      <c r="D61" s="62" t="n">
        <v>0.0001908805141146</v>
      </c>
      <c r="E61" s="61" t="n">
        <v>52.43</v>
      </c>
      <c r="F61" s="61" t="n">
        <v>52.47</v>
      </c>
      <c r="G61" s="63" t="n">
        <v>0.0007626311</v>
      </c>
      <c r="H61" s="64" t="n">
        <v>364</v>
      </c>
      <c r="I61" s="64" t="n">
        <v>59</v>
      </c>
      <c r="J61" s="65" t="s">
        <v>204</v>
      </c>
      <c r="K61" s="62" t="n">
        <v>0.0153100957148972</v>
      </c>
      <c r="L61" s="62" t="n">
        <v>-0.145350733414452</v>
      </c>
      <c r="M61" s="62" t="n">
        <v>-0.0852482627760096</v>
      </c>
      <c r="N61" s="62" t="n">
        <v>0.0484964149313653</v>
      </c>
      <c r="O61" s="62" t="n">
        <v>0.301842707996933</v>
      </c>
      <c r="P61" s="62" t="n">
        <v>0.095071516716449</v>
      </c>
      <c r="Q61" s="62" t="n">
        <v>-0.225428974917621</v>
      </c>
      <c r="R61" s="66" t="n">
        <v>0.768565160945783</v>
      </c>
      <c r="S61" s="62" t="n">
        <v>0.315881901669107</v>
      </c>
      <c r="T61" s="62" t="n">
        <v>-0.176489364787414</v>
      </c>
      <c r="U61" s="60" t="s">
        <v>275</v>
      </c>
      <c r="V61" s="34" t="n">
        <v>69.62308</v>
      </c>
      <c r="W61" s="13" t="n">
        <v>0.328431215416905</v>
      </c>
      <c r="X61" s="12" t="n">
        <v>13</v>
      </c>
      <c r="Y61" s="30"/>
      <c r="Z61" s="30" t="s">
        <v>217</v>
      </c>
      <c r="AA61" s="67" t="n">
        <v>55956879.6642801</v>
      </c>
      <c r="AB61" s="67" t="n">
        <v>3095.73</v>
      </c>
      <c r="AC61" s="30" t="s">
        <v>204</v>
      </c>
      <c r="AD61" s="13" t="n">
        <v>0.0326858950349557</v>
      </c>
      <c r="AE61" s="56" t="n">
        <v>0.302306356577942</v>
      </c>
      <c r="AF61" s="56" t="n">
        <v>0.651652828291661</v>
      </c>
      <c r="AG61" s="55" t="n">
        <f aca="false">Pronóstico!$B$5*P61*AE61</f>
        <v>0.00143703619164443</v>
      </c>
      <c r="AH61" s="55" t="n">
        <f aca="false">IF(ISNUMBER(G61),G61,1)+2*'Mi portafolio'!$C$5</f>
        <v>0.0030826311</v>
      </c>
      <c r="AI61" s="55" t="n">
        <f aca="false">AF61*Pronóstico!$B$8+AG61-AH61</f>
        <v>0.00352625293522904</v>
      </c>
    </row>
    <row r="62" customFormat="false" ht="15" hidden="false" customHeight="false" outlineLevel="0" collapsed="false">
      <c r="A62" s="60" t="s">
        <v>285</v>
      </c>
      <c r="B62" s="60" t="s">
        <v>203</v>
      </c>
      <c r="C62" s="61" t="n">
        <v>11704.6912612915</v>
      </c>
      <c r="D62" s="62" t="n">
        <v>-0.015695680062455</v>
      </c>
      <c r="E62" s="61" t="n">
        <v>11328.81</v>
      </c>
      <c r="F62" s="61" t="n">
        <v>11899.99</v>
      </c>
      <c r="G62" s="63" t="n">
        <v>0.0491786059</v>
      </c>
      <c r="H62" s="64" t="n">
        <v>3626</v>
      </c>
      <c r="I62" s="64" t="n">
        <v>3726</v>
      </c>
      <c r="J62" s="65" t="s">
        <v>204</v>
      </c>
      <c r="K62" s="62" t="n">
        <v>0.144192678361973</v>
      </c>
      <c r="L62" s="62" t="n">
        <v>0.267021019233783</v>
      </c>
      <c r="M62" s="62" t="n">
        <v>0.278766491208211</v>
      </c>
      <c r="N62" s="62" t="n">
        <v>0.183101659441766</v>
      </c>
      <c r="O62" s="62" t="n">
        <v>0.304668371747135</v>
      </c>
      <c r="P62" s="62" t="n">
        <v>0.0959615171416542</v>
      </c>
      <c r="Q62" s="62" t="n">
        <v>-0.324602772564331</v>
      </c>
      <c r="R62" s="66" t="n">
        <v>0.149672274075562</v>
      </c>
      <c r="S62" s="62" t="n">
        <v>0.23917808074906</v>
      </c>
      <c r="T62" s="62" t="n">
        <v>-0.218574837764872</v>
      </c>
      <c r="U62" s="60" t="s">
        <v>275</v>
      </c>
      <c r="V62" s="34" t="n">
        <v>12125.4777984619</v>
      </c>
      <c r="W62" s="13" t="n">
        <v>0.0359502465957379</v>
      </c>
      <c r="X62" s="12" t="n">
        <v>25</v>
      </c>
      <c r="Y62" s="30" t="s">
        <v>213</v>
      </c>
      <c r="Z62" s="30" t="s">
        <v>204</v>
      </c>
      <c r="AA62" s="67" t="n">
        <v>28026537070.6672</v>
      </c>
      <c r="AB62" s="67" t="n">
        <v>43003997.4</v>
      </c>
      <c r="AC62" s="30" t="s">
        <v>204</v>
      </c>
      <c r="AD62" s="13" t="n">
        <v>0.0340056196964089</v>
      </c>
      <c r="AE62" s="56" t="n">
        <v>-1.15228700745774</v>
      </c>
      <c r="AF62" s="56" t="n">
        <v>0.860640415487037</v>
      </c>
      <c r="AG62" s="55" t="n">
        <f aca="false">Pronóstico!$B$5*P62*AE62</f>
        <v>-0.00552876047091306</v>
      </c>
      <c r="AH62" s="55" t="n">
        <f aca="false">IF(ISNUMBER(G62),G62,1)+2*'Mi portafolio'!$C$5</f>
        <v>0.0514986059</v>
      </c>
      <c r="AI62" s="55" t="n">
        <f aca="false">AF62*Pronóstico!$B$8+AG62-AH62</f>
        <v>-0.0501968868829207</v>
      </c>
    </row>
    <row r="63" customFormat="false" ht="15" hidden="false" customHeight="false" outlineLevel="0" collapsed="false">
      <c r="A63" s="60" t="s">
        <v>164</v>
      </c>
      <c r="B63" s="60" t="s">
        <v>208</v>
      </c>
      <c r="C63" s="61" t="n">
        <v>12.75</v>
      </c>
      <c r="D63" s="62" t="n">
        <v>-0.0046764977629908</v>
      </c>
      <c r="E63" s="61" t="n">
        <v>12.74</v>
      </c>
      <c r="F63" s="61" t="n">
        <v>12.75</v>
      </c>
      <c r="G63" s="63" t="n">
        <v>0.0007846214</v>
      </c>
      <c r="H63" s="64" t="n">
        <v>835</v>
      </c>
      <c r="I63" s="64" t="n">
        <v>753</v>
      </c>
      <c r="J63" s="65" t="s">
        <v>204</v>
      </c>
      <c r="K63" s="62" t="n">
        <v>0.0046840883329817</v>
      </c>
      <c r="L63" s="62" t="n">
        <v>-0.142731569211716</v>
      </c>
      <c r="M63" s="62" t="n">
        <v>-0.274142722615011</v>
      </c>
      <c r="N63" s="62" t="n">
        <v>-0.221128816553234</v>
      </c>
      <c r="O63" s="62" t="n">
        <v>0.301940928720987</v>
      </c>
      <c r="P63" s="62" t="n">
        <v>0.0951024533366202</v>
      </c>
      <c r="Q63" s="62" t="n">
        <v>-0.353055045913559</v>
      </c>
      <c r="R63" s="66" t="n">
        <v>0.733120627060928</v>
      </c>
      <c r="S63" s="62" t="n">
        <v>0.273138758736457</v>
      </c>
      <c r="T63" s="62" t="n">
        <v>-0.228252322054303</v>
      </c>
      <c r="U63" s="60" t="s">
        <v>275</v>
      </c>
      <c r="V63" s="34" t="n">
        <v>21.66667</v>
      </c>
      <c r="W63" s="13" t="n">
        <v>0.699346666666667</v>
      </c>
      <c r="X63" s="12" t="n">
        <v>6</v>
      </c>
      <c r="Y63" s="30" t="s">
        <v>213</v>
      </c>
      <c r="Z63" s="30" t="s">
        <v>204</v>
      </c>
      <c r="AA63" s="67" t="n">
        <v>46477057.8376144</v>
      </c>
      <c r="AB63" s="67" t="n">
        <v>9593.22</v>
      </c>
      <c r="AC63" s="30" t="s">
        <v>204</v>
      </c>
      <c r="AD63" s="13" t="n">
        <v>-0.224760108683412</v>
      </c>
      <c r="AE63" s="56" t="n">
        <v>1.36882729864034</v>
      </c>
      <c r="AF63" s="56" t="n">
        <v>0.62552021723365</v>
      </c>
      <c r="AG63" s="55" t="n">
        <f aca="false">Pronóstico!$B$5*P63*AE63</f>
        <v>0.00650894171474176</v>
      </c>
      <c r="AH63" s="55" t="n">
        <f aca="false">IF(ISNUMBER(G63),G63,1)+2*'Mi portafolio'!$C$5</f>
        <v>0.0031046214</v>
      </c>
      <c r="AI63" s="55" t="n">
        <f aca="false">AF63*Pronóstico!$B$8+AG63-AH63</f>
        <v>0.00836876648326279</v>
      </c>
    </row>
    <row r="64" customFormat="false" ht="15" hidden="false" customHeight="false" outlineLevel="0" collapsed="false">
      <c r="A64" s="60" t="s">
        <v>286</v>
      </c>
      <c r="B64" s="60" t="s">
        <v>208</v>
      </c>
      <c r="C64" s="61" t="n">
        <v>13.91</v>
      </c>
      <c r="D64" s="62" t="n">
        <v>0.0160936551427184</v>
      </c>
      <c r="E64" s="61" t="n">
        <v>13.89</v>
      </c>
      <c r="F64" s="61" t="n">
        <v>13.9</v>
      </c>
      <c r="G64" s="63" t="n">
        <v>0.0007196833</v>
      </c>
      <c r="H64" s="64" t="n">
        <v>300</v>
      </c>
      <c r="I64" s="64" t="n">
        <v>910</v>
      </c>
      <c r="J64" s="65" t="s">
        <v>204</v>
      </c>
      <c r="K64" s="62" t="n">
        <v>-0.0783012193362376</v>
      </c>
      <c r="L64" s="62" t="n">
        <v>-0.04206894183981</v>
      </c>
      <c r="M64" s="62" t="n">
        <v>-0.083282298694944</v>
      </c>
      <c r="N64" s="62" t="n">
        <v>-0.331560048031302</v>
      </c>
      <c r="O64" s="62" t="n">
        <v>0.30157745649262</v>
      </c>
      <c r="P64" s="62" t="n">
        <v>0.0949879703455802</v>
      </c>
      <c r="Q64" s="62" t="n">
        <v>-0.438845053019638</v>
      </c>
      <c r="R64" s="66" t="n">
        <v>0.367042663058694</v>
      </c>
      <c r="S64" s="62" t="n">
        <v>0.344419443135312</v>
      </c>
      <c r="T64" s="62" t="n">
        <v>-0.277185974750585</v>
      </c>
      <c r="U64" s="60" t="s">
        <v>275</v>
      </c>
      <c r="V64" s="34" t="n">
        <v>19.24545</v>
      </c>
      <c r="W64" s="13" t="n">
        <v>0.383569374550683</v>
      </c>
      <c r="X64" s="12" t="n">
        <v>11</v>
      </c>
      <c r="Y64" s="30" t="s">
        <v>243</v>
      </c>
      <c r="Z64" s="30" t="s">
        <v>204</v>
      </c>
      <c r="AA64" s="67" t="n">
        <v>22109779.4599252</v>
      </c>
      <c r="AB64" s="67" t="n">
        <v>4167</v>
      </c>
      <c r="AC64" s="30" t="s">
        <v>204</v>
      </c>
      <c r="AD64" s="13" t="n">
        <v>-0.274773965213104</v>
      </c>
      <c r="AE64" s="56" t="n">
        <v>-0.358120209590327</v>
      </c>
      <c r="AF64" s="56" t="n">
        <v>0.399678916228795</v>
      </c>
      <c r="AG64" s="55" t="n">
        <f aca="false">Pronóstico!$B$5*P64*AE64</f>
        <v>-0.00170085559243594</v>
      </c>
      <c r="AH64" s="55" t="n">
        <f aca="false">IF(ISNUMBER(G64),G64,1)+2*'Mi portafolio'!$C$5</f>
        <v>0.0030396833</v>
      </c>
      <c r="AI64" s="55" t="n">
        <f aca="false">AF64*Pronóstico!$B$8+AG64-AH64</f>
        <v>-0.00156848400173123</v>
      </c>
    </row>
    <row r="65" customFormat="false" ht="15" hidden="false" customHeight="false" outlineLevel="0" collapsed="false">
      <c r="A65" s="60" t="s">
        <v>287</v>
      </c>
      <c r="B65" s="60" t="s">
        <v>208</v>
      </c>
      <c r="C65" s="61" t="n">
        <v>16.36</v>
      </c>
      <c r="D65" s="62" t="n">
        <v>-0.0090853795548634</v>
      </c>
      <c r="E65" s="61" t="n">
        <v>16.36</v>
      </c>
      <c r="F65" s="61" t="n">
        <v>16.41</v>
      </c>
      <c r="G65" s="63" t="n">
        <v>0.0030515716</v>
      </c>
      <c r="H65" s="64" t="n">
        <v>21551</v>
      </c>
      <c r="I65" s="64" t="n">
        <v>100</v>
      </c>
      <c r="J65" s="65" t="s">
        <v>204</v>
      </c>
      <c r="K65" s="62" t="n">
        <v>-0.0203592896440111</v>
      </c>
      <c r="L65" s="62" t="n">
        <v>-0.0499418546629082</v>
      </c>
      <c r="M65" s="62" t="n">
        <v>0.0376593050762528</v>
      </c>
      <c r="N65" s="62" t="n">
        <v>0.0078700409793928</v>
      </c>
      <c r="O65" s="62" t="n">
        <v>0.308886544835269</v>
      </c>
      <c r="P65" s="62" t="n">
        <v>0.0972901167819194</v>
      </c>
      <c r="Q65" s="62" t="n">
        <v>-0.223067900538016</v>
      </c>
      <c r="R65" s="66" t="n">
        <v>0.260320409271501</v>
      </c>
      <c r="S65" s="62" t="n">
        <v>0.668346883369715</v>
      </c>
      <c r="T65" s="62" t="n">
        <v>-0.275444251857493</v>
      </c>
      <c r="U65" s="60" t="s">
        <v>275</v>
      </c>
      <c r="V65" s="34" t="n">
        <v>21</v>
      </c>
      <c r="W65" s="13"/>
      <c r="X65" s="12" t="n">
        <v>3</v>
      </c>
      <c r="Y65" s="30" t="s">
        <v>288</v>
      </c>
      <c r="Z65" s="30" t="s">
        <v>217</v>
      </c>
      <c r="AA65" s="67" t="n">
        <v>700014.636067742</v>
      </c>
      <c r="AB65" s="67" t="n">
        <v>1641</v>
      </c>
      <c r="AC65" s="30" t="s">
        <v>217</v>
      </c>
      <c r="AD65" s="13" t="n">
        <v>0.0288160039951235</v>
      </c>
      <c r="AE65" s="56" t="n">
        <v>-0.186412295753574</v>
      </c>
      <c r="AF65" s="56" t="n">
        <v>0.0346834374190244</v>
      </c>
      <c r="AG65" s="55" t="n">
        <f aca="false">Pronóstico!$B$5*P65*AE65</f>
        <v>-0.000906803701172546</v>
      </c>
      <c r="AH65" s="55" t="n">
        <f aca="false">IF(ISNUMBER(G65),G65,1)+2*'Mi portafolio'!$C$5</f>
        <v>0.0053715716</v>
      </c>
      <c r="AI65" s="55" t="n">
        <f aca="false">AF65*Pronóstico!$B$8+AG65-AH65</f>
        <v>-0.00600310992483108</v>
      </c>
    </row>
    <row r="66" customFormat="false" ht="15" hidden="false" customHeight="false" outlineLevel="0" collapsed="false">
      <c r="A66" s="60" t="s">
        <v>289</v>
      </c>
      <c r="B66" s="60" t="s">
        <v>208</v>
      </c>
      <c r="C66" s="61" t="n">
        <v>352.55</v>
      </c>
      <c r="D66" s="62" t="n">
        <v>-0.0263128505662623</v>
      </c>
      <c r="E66" s="61" t="n">
        <v>354.39</v>
      </c>
      <c r="F66" s="61" t="n">
        <v>354.82</v>
      </c>
      <c r="G66" s="63" t="n">
        <v>0.0012126169</v>
      </c>
      <c r="H66" s="64" t="n">
        <v>479</v>
      </c>
      <c r="I66" s="64" t="n">
        <v>666</v>
      </c>
      <c r="J66" s="65" t="s">
        <v>204</v>
      </c>
      <c r="K66" s="62" t="n">
        <v>0.0019055585894822</v>
      </c>
      <c r="L66" s="62" t="n">
        <v>-0.135848511959281</v>
      </c>
      <c r="M66" s="62" t="n">
        <v>-0.159236279763015</v>
      </c>
      <c r="N66" s="62" t="n">
        <v>-0.135233318600313</v>
      </c>
      <c r="O66" s="62" t="n">
        <v>0.317735925312468</v>
      </c>
      <c r="P66" s="62" t="n">
        <v>0.100077409639022</v>
      </c>
      <c r="Q66" s="62" t="n">
        <v>-0.329620387090199</v>
      </c>
      <c r="R66" s="66" t="n">
        <v>0.988062333514146</v>
      </c>
      <c r="S66" s="62" t="n">
        <v>0.425473312810636</v>
      </c>
      <c r="T66" s="62" t="n">
        <v>-0.195226959631831</v>
      </c>
      <c r="U66" s="60" t="s">
        <v>275</v>
      </c>
      <c r="V66" s="34" t="n">
        <v>463.42307</v>
      </c>
      <c r="W66" s="13" t="n">
        <v>0.314488923556942</v>
      </c>
      <c r="X66" s="12" t="n">
        <v>13</v>
      </c>
      <c r="Y66" s="30" t="s">
        <v>226</v>
      </c>
      <c r="Z66" s="30" t="s">
        <v>204</v>
      </c>
      <c r="AA66" s="67" t="n">
        <v>577961232.815096</v>
      </c>
      <c r="AB66" s="67" t="n">
        <v>169752.81</v>
      </c>
      <c r="AC66" s="30" t="s">
        <v>204</v>
      </c>
      <c r="AD66" s="13" t="n">
        <v>-0.136878048049623</v>
      </c>
      <c r="AE66" s="56" t="n">
        <v>-0.283097634067826</v>
      </c>
      <c r="AF66" s="56" t="n">
        <v>0.604455779516963</v>
      </c>
      <c r="AG66" s="55" t="n">
        <f aca="false">Pronóstico!$B$5*P66*AE66</f>
        <v>-0.00141658389462218</v>
      </c>
      <c r="AH66" s="55" t="n">
        <f aca="false">IF(ISNUMBER(G66),G66,1)+2*'Mi portafolio'!$C$5</f>
        <v>0.0035326169</v>
      </c>
      <c r="AI66" s="55" t="n">
        <f aca="false">AF66*Pronóstico!$B$8+AG66-AH66</f>
        <v>-0.000151932703217717</v>
      </c>
    </row>
    <row r="67" customFormat="false" ht="15" hidden="false" customHeight="false" outlineLevel="0" collapsed="false">
      <c r="A67" s="60" t="s">
        <v>290</v>
      </c>
      <c r="B67" s="60" t="s">
        <v>203</v>
      </c>
      <c r="C67" s="61" t="n">
        <v>1024.73684310913</v>
      </c>
      <c r="D67" s="62" t="n">
        <v>0.0103186977916389</v>
      </c>
      <c r="E67" s="61" t="n">
        <v>1000.41</v>
      </c>
      <c r="F67" s="61" t="n">
        <v>1049.19</v>
      </c>
      <c r="G67" s="63" t="n">
        <v>0.0475995316</v>
      </c>
      <c r="H67" s="64" t="n">
        <v>1000</v>
      </c>
      <c r="I67" s="64" t="n">
        <v>1515</v>
      </c>
      <c r="J67" s="65" t="s">
        <v>204</v>
      </c>
      <c r="K67" s="62" t="n">
        <v>0.0422062280864963</v>
      </c>
      <c r="L67" s="62" t="n">
        <v>0.305338889190036</v>
      </c>
      <c r="M67" s="62" t="n">
        <v>0.431532175117303</v>
      </c>
      <c r="N67" s="62" t="n">
        <v>0.611218983122069</v>
      </c>
      <c r="O67" s="62" t="n">
        <v>0.317254755289088</v>
      </c>
      <c r="P67" s="62" t="n">
        <v>0.0999258553270929</v>
      </c>
      <c r="Q67" s="62" t="n">
        <v>-0.182570276765057</v>
      </c>
      <c r="R67" s="66" t="n">
        <v>0.696624821118985</v>
      </c>
      <c r="S67" s="62" t="n">
        <v>0.275079410003355</v>
      </c>
      <c r="T67" s="62" t="n">
        <v>-0.183305715952221</v>
      </c>
      <c r="U67" s="60" t="s">
        <v>275</v>
      </c>
      <c r="V67" s="34" t="n">
        <v>1072.42332154846</v>
      </c>
      <c r="W67" s="13" t="n">
        <v>0.0465353410097431</v>
      </c>
      <c r="X67" s="12" t="n">
        <v>13</v>
      </c>
      <c r="Y67" s="30" t="s">
        <v>228</v>
      </c>
      <c r="Z67" s="30" t="s">
        <v>204</v>
      </c>
      <c r="AA67" s="67" t="n">
        <v>412153034.346618</v>
      </c>
      <c r="AB67" s="67" t="n">
        <v>1009060</v>
      </c>
      <c r="AC67" s="30" t="s">
        <v>204</v>
      </c>
      <c r="AD67" s="13" t="n">
        <v>0.54596944414762</v>
      </c>
      <c r="AE67" s="56" t="n">
        <v>0.458076144748379</v>
      </c>
      <c r="AF67" s="56" t="n">
        <v>1.06384754666636</v>
      </c>
      <c r="AG67" s="55" t="n">
        <f aca="false">Pronóstico!$B$5*P67*AE67</f>
        <v>0.00228868252844595</v>
      </c>
      <c r="AH67" s="55" t="n">
        <f aca="false">IF(ISNUMBER(G67),G67,1)+2*'Mi portafolio'!$C$5</f>
        <v>0.0499195316</v>
      </c>
      <c r="AI67" s="55" t="n">
        <f aca="false">AF67*Pronóstico!$B$8+AG67-AH67</f>
        <v>-0.039187614574202</v>
      </c>
    </row>
    <row r="68" customFormat="false" ht="15" hidden="false" customHeight="false" outlineLevel="0" collapsed="false">
      <c r="A68" s="60" t="s">
        <v>291</v>
      </c>
      <c r="B68" s="60" t="s">
        <v>203</v>
      </c>
      <c r="C68" s="61" t="n">
        <v>2822.15612602234</v>
      </c>
      <c r="D68" s="62" t="n">
        <v>0.0408867773154795</v>
      </c>
      <c r="E68" s="61" t="n">
        <v>2755.91</v>
      </c>
      <c r="F68" s="61" t="n">
        <v>2886.09</v>
      </c>
      <c r="G68" s="63" t="n">
        <v>0.0461467565</v>
      </c>
      <c r="H68" s="64" t="n">
        <v>1000</v>
      </c>
      <c r="I68" s="64" t="n">
        <v>1200</v>
      </c>
      <c r="J68" s="65" t="s">
        <v>204</v>
      </c>
      <c r="K68" s="62" t="n">
        <v>0.0597529228629509</v>
      </c>
      <c r="L68" s="62" t="n">
        <v>0.206022173000548</v>
      </c>
      <c r="M68" s="62" t="n">
        <v>0.354402651911235</v>
      </c>
      <c r="N68" s="62" t="n">
        <v>0.75431947785426</v>
      </c>
      <c r="O68" s="62" t="n">
        <v>0.320644418460972</v>
      </c>
      <c r="P68" s="62" t="n">
        <v>0.100993498872459</v>
      </c>
      <c r="Q68" s="62" t="n">
        <v>-0.138121854365986</v>
      </c>
      <c r="R68" s="66" t="n">
        <v>0.144005459481816</v>
      </c>
      <c r="S68" s="62" t="n">
        <v>0.315314022219209</v>
      </c>
      <c r="T68" s="62" t="n">
        <v>-0.249342193800477</v>
      </c>
      <c r="U68" s="60" t="s">
        <v>275</v>
      </c>
      <c r="V68" s="34" t="n">
        <v>2989.37193980789</v>
      </c>
      <c r="W68" s="13" t="n">
        <v>0.0592510854533174</v>
      </c>
      <c r="X68" s="12" t="n">
        <v>34</v>
      </c>
      <c r="Y68" s="30" t="s">
        <v>292</v>
      </c>
      <c r="Z68" s="30" t="s">
        <v>217</v>
      </c>
      <c r="AA68" s="67" t="n">
        <v>10283449075.2918</v>
      </c>
      <c r="AB68" s="67" t="n">
        <v>2805000</v>
      </c>
      <c r="AC68" s="30" t="s">
        <v>204</v>
      </c>
      <c r="AD68" s="13" t="n">
        <v>0.655404236220381</v>
      </c>
      <c r="AE68" s="56" t="n">
        <v>0.854429169249128</v>
      </c>
      <c r="AF68" s="56" t="n">
        <v>0.749792406565929</v>
      </c>
      <c r="AG68" s="55" t="n">
        <f aca="false">Pronóstico!$B$5*P68*AE68</f>
        <v>0.00431458956705791</v>
      </c>
      <c r="AH68" s="55" t="n">
        <f aca="false">IF(ISNUMBER(G68),G68,1)+2*'Mi portafolio'!$C$5</f>
        <v>0.0484667565</v>
      </c>
      <c r="AI68" s="55" t="n">
        <f aca="false">AF68*Pronóstico!$B$8+AG68-AH68</f>
        <v>-0.0382014335474982</v>
      </c>
    </row>
    <row r="69" customFormat="false" ht="15" hidden="false" customHeight="false" outlineLevel="0" collapsed="false">
      <c r="A69" s="60" t="s">
        <v>293</v>
      </c>
      <c r="B69" s="60" t="s">
        <v>203</v>
      </c>
      <c r="C69" s="61" t="n">
        <v>1605.08824920654</v>
      </c>
      <c r="D69" s="62" t="n">
        <v>0.0143642474177503</v>
      </c>
      <c r="E69" s="61" t="n">
        <v>1562.11</v>
      </c>
      <c r="F69" s="61" t="n">
        <v>1638.29</v>
      </c>
      <c r="G69" s="63" t="n">
        <v>0.0476065492</v>
      </c>
      <c r="H69" s="64" t="n">
        <v>2400</v>
      </c>
      <c r="I69" s="64" t="n">
        <v>1600</v>
      </c>
      <c r="J69" s="65" t="s">
        <v>204</v>
      </c>
      <c r="K69" s="62" t="n">
        <v>-0.0060546374491476</v>
      </c>
      <c r="L69" s="62" t="n">
        <v>-0.129654375415985</v>
      </c>
      <c r="M69" s="62" t="n">
        <v>0.257595032374398</v>
      </c>
      <c r="N69" s="62" t="n">
        <v>0.0875191692156265</v>
      </c>
      <c r="O69" s="62" t="n">
        <v>0.319831214304511</v>
      </c>
      <c r="P69" s="62" t="n">
        <v>0.100737363638755</v>
      </c>
      <c r="Q69" s="62" t="n">
        <v>-0.224686871193883</v>
      </c>
      <c r="R69" s="66" t="n">
        <v>0.178366067205499</v>
      </c>
      <c r="S69" s="62" t="n">
        <v>0.470330923041582</v>
      </c>
      <c r="T69" s="62" t="n">
        <v>-0.285919284809911</v>
      </c>
      <c r="U69" s="60" t="s">
        <v>275</v>
      </c>
      <c r="V69" s="34" t="n">
        <v>2101.39126586914</v>
      </c>
      <c r="W69" s="13" t="n">
        <v>0.309206061976928</v>
      </c>
      <c r="X69" s="12" t="n">
        <v>25</v>
      </c>
      <c r="Y69" s="30" t="s">
        <v>220</v>
      </c>
      <c r="Z69" s="30" t="s">
        <v>204</v>
      </c>
      <c r="AA69" s="67" t="n">
        <v>13955010510.1278</v>
      </c>
      <c r="AB69" s="67" t="n">
        <v>2548800</v>
      </c>
      <c r="AC69" s="30" t="s">
        <v>204</v>
      </c>
      <c r="AD69" s="13" t="n">
        <v>0.0941438133225223</v>
      </c>
      <c r="AE69" s="56" t="n">
        <v>0.393406862202693</v>
      </c>
      <c r="AF69" s="56" t="n">
        <v>0.357504592857228</v>
      </c>
      <c r="AG69" s="55" t="n">
        <f aca="false">Pronóstico!$B$5*P69*AE69</f>
        <v>0.00198153850678471</v>
      </c>
      <c r="AH69" s="55" t="n">
        <f aca="false">IF(ISNUMBER(G69),G69,1)+2*'Mi portafolio'!$C$5</f>
        <v>0.0499265492</v>
      </c>
      <c r="AI69" s="55" t="n">
        <f aca="false">AF69*Pronóstico!$B$8+AG69-AH69</f>
        <v>-0.0451076726546659</v>
      </c>
    </row>
    <row r="70" customFormat="false" ht="15" hidden="false" customHeight="false" outlineLevel="0" collapsed="false">
      <c r="A70" s="60" t="s">
        <v>168</v>
      </c>
      <c r="B70" s="60" t="s">
        <v>203</v>
      </c>
      <c r="C70" s="61" t="n">
        <v>6330.76794242859</v>
      </c>
      <c r="D70" s="62" t="n">
        <v>0.005032409808283</v>
      </c>
      <c r="E70" s="61" t="n">
        <v>6350</v>
      </c>
      <c r="F70" s="61" t="n">
        <v>6359.99</v>
      </c>
      <c r="G70" s="63" t="n">
        <v>0.0015719918</v>
      </c>
      <c r="H70" s="64" t="n">
        <v>7</v>
      </c>
      <c r="I70" s="64" t="n">
        <v>450</v>
      </c>
      <c r="J70" s="65" t="s">
        <v>204</v>
      </c>
      <c r="K70" s="62" t="n">
        <v>0.132112603446913</v>
      </c>
      <c r="L70" s="62" t="n">
        <v>0.0267228931039118</v>
      </c>
      <c r="M70" s="62" t="n">
        <v>0.0895839425104902</v>
      </c>
      <c r="N70" s="62" t="n">
        <v>0.359430487091301</v>
      </c>
      <c r="O70" s="62" t="n">
        <v>0.326707748094767</v>
      </c>
      <c r="P70" s="62" t="n">
        <v>0.102903268197225</v>
      </c>
      <c r="Q70" s="62" t="n">
        <v>-0.202571481563658</v>
      </c>
      <c r="R70" s="66" t="n">
        <v>0.422590090455704</v>
      </c>
      <c r="S70" s="62" t="n">
        <v>0.370253307535636</v>
      </c>
      <c r="T70" s="62" t="n">
        <v>-0.210211800013531</v>
      </c>
      <c r="U70" s="60" t="s">
        <v>275</v>
      </c>
      <c r="V70" s="34" t="n">
        <v>7796.24255875397</v>
      </c>
      <c r="W70" s="13" t="n">
        <v>0.231484494401353</v>
      </c>
      <c r="X70" s="12" t="n">
        <v>54</v>
      </c>
      <c r="Y70" s="30" t="s">
        <v>243</v>
      </c>
      <c r="Z70" s="30" t="s">
        <v>204</v>
      </c>
      <c r="AA70" s="67" t="n">
        <v>163500689903.269</v>
      </c>
      <c r="AB70" s="67" t="n">
        <v>44450</v>
      </c>
      <c r="AC70" s="30" t="s">
        <v>204</v>
      </c>
      <c r="AD70" s="13" t="n">
        <v>0.200790878003018</v>
      </c>
      <c r="AE70" s="56" t="n">
        <v>0.330265952364633</v>
      </c>
      <c r="AF70" s="56" t="n">
        <v>1.03567391218597</v>
      </c>
      <c r="AG70" s="55" t="n">
        <f aca="false">Pronóstico!$B$5*P70*AE70</f>
        <v>0.00169927229362949</v>
      </c>
      <c r="AH70" s="55" t="n">
        <f aca="false">IF(ISNUMBER(G70),G70,1)+2*'Mi portafolio'!$C$5</f>
        <v>0.0038919918</v>
      </c>
      <c r="AI70" s="55" t="n">
        <f aca="false">AF70*Pronóstico!$B$8+AG70-AH70</f>
        <v>0.00602691471732768</v>
      </c>
    </row>
    <row r="71" customFormat="false" ht="15" hidden="false" customHeight="false" outlineLevel="0" collapsed="false">
      <c r="A71" s="60" t="s">
        <v>167</v>
      </c>
      <c r="B71" s="60" t="s">
        <v>203</v>
      </c>
      <c r="C71" s="61" t="n">
        <v>9509.99357604981</v>
      </c>
      <c r="D71" s="62" t="n">
        <v>-0.0001635665675487</v>
      </c>
      <c r="E71" s="61" t="n">
        <v>9643.37</v>
      </c>
      <c r="F71" s="61" t="n">
        <v>9661.05</v>
      </c>
      <c r="G71" s="63" t="n">
        <v>0.0018317049</v>
      </c>
      <c r="H71" s="64" t="n">
        <v>200</v>
      </c>
      <c r="I71" s="64" t="n">
        <v>950</v>
      </c>
      <c r="J71" s="65" t="s">
        <v>204</v>
      </c>
      <c r="K71" s="62" t="n">
        <v>0.144833018441646</v>
      </c>
      <c r="L71" s="62" t="n">
        <v>0.393595768533014</v>
      </c>
      <c r="M71" s="62" t="n">
        <v>0.346880407269524</v>
      </c>
      <c r="N71" s="62" t="n">
        <v>0.0138058226405226</v>
      </c>
      <c r="O71" s="62" t="n">
        <v>0.331385214889678</v>
      </c>
      <c r="P71" s="62" t="n">
        <v>0.104376531757356</v>
      </c>
      <c r="Q71" s="62" t="n">
        <v>-0.372984510513549</v>
      </c>
      <c r="R71" s="66" t="n">
        <v>0.0896331690245923</v>
      </c>
      <c r="S71" s="62" t="n">
        <v>0.310156397876556</v>
      </c>
      <c r="T71" s="62" t="n">
        <v>-0.215622504169363</v>
      </c>
      <c r="U71" s="60" t="s">
        <v>275</v>
      </c>
      <c r="V71" s="34" t="n">
        <v>10667.3162996674</v>
      </c>
      <c r="W71" s="13" t="n">
        <v>0.121695426433534</v>
      </c>
      <c r="X71" s="12" t="n">
        <v>53</v>
      </c>
      <c r="Y71" s="30" t="s">
        <v>243</v>
      </c>
      <c r="Z71" s="30" t="s">
        <v>204</v>
      </c>
      <c r="AA71" s="67" t="n">
        <v>199670864798.162</v>
      </c>
      <c r="AB71" s="67" t="n">
        <v>1928000</v>
      </c>
      <c r="AC71" s="30" t="s">
        <v>204</v>
      </c>
      <c r="AD71" s="13" t="n">
        <v>-0.11445092313941</v>
      </c>
      <c r="AE71" s="56" t="n">
        <v>-1.17633140678444</v>
      </c>
      <c r="AF71" s="56" t="n">
        <v>0.787982545207444</v>
      </c>
      <c r="AG71" s="55" t="n">
        <f aca="false">Pronóstico!$B$5*P71*AE71</f>
        <v>-0.00613906962187053</v>
      </c>
      <c r="AH71" s="55" t="n">
        <f aca="false">IF(ISNUMBER(G71),G71,1)+2*'Mi portafolio'!$C$5</f>
        <v>0.0041517049</v>
      </c>
      <c r="AI71" s="55" t="n">
        <f aca="false">AF71*Pronóstico!$B$8+AG71-AH71</f>
        <v>-0.00403694479800193</v>
      </c>
    </row>
    <row r="72" customFormat="false" ht="15" hidden="false" customHeight="false" outlineLevel="0" collapsed="false">
      <c r="A72" s="60" t="s">
        <v>163</v>
      </c>
      <c r="B72" s="60" t="s">
        <v>208</v>
      </c>
      <c r="C72" s="61" t="n">
        <v>17.32</v>
      </c>
      <c r="D72" s="62" t="n">
        <v>-0.0011527641108891</v>
      </c>
      <c r="E72" s="61" t="n">
        <v>17.34</v>
      </c>
      <c r="F72" s="61" t="n">
        <v>17.35</v>
      </c>
      <c r="G72" s="63" t="n">
        <v>0.000576535</v>
      </c>
      <c r="H72" s="64" t="n">
        <v>23993</v>
      </c>
      <c r="I72" s="64" t="n">
        <v>2456</v>
      </c>
      <c r="J72" s="65" t="s">
        <v>204</v>
      </c>
      <c r="K72" s="62" t="n">
        <v>-0.056875647327411</v>
      </c>
      <c r="L72" s="62" t="n">
        <v>-0.202304665009453</v>
      </c>
      <c r="M72" s="62" t="n">
        <v>-0.153373967308323</v>
      </c>
      <c r="N72" s="62" t="n">
        <v>-0.0115784396232342</v>
      </c>
      <c r="O72" s="62" t="n">
        <v>0.331057129614083</v>
      </c>
      <c r="P72" s="62" t="n">
        <v>0.104273194608778</v>
      </c>
      <c r="Q72" s="62" t="n">
        <v>-0.273019173677959</v>
      </c>
      <c r="R72" s="66" t="n">
        <v>1.33733076740611</v>
      </c>
      <c r="S72" s="62" t="n">
        <v>0.338756019605166</v>
      </c>
      <c r="T72" s="62" t="n">
        <v>-0.207269892515147</v>
      </c>
      <c r="U72" s="60" t="s">
        <v>275</v>
      </c>
      <c r="V72" s="34" t="n">
        <v>27.059717</v>
      </c>
      <c r="W72" s="13" t="n">
        <v>0.562339318706697</v>
      </c>
      <c r="X72" s="12" t="n">
        <v>7</v>
      </c>
      <c r="Y72" s="30" t="s">
        <v>211</v>
      </c>
      <c r="Z72" s="30" t="s">
        <v>204</v>
      </c>
      <c r="AA72" s="67" t="n">
        <v>631902701.928221</v>
      </c>
      <c r="AB72" s="67" t="n">
        <v>42611.6</v>
      </c>
      <c r="AC72" s="30" t="s">
        <v>204</v>
      </c>
      <c r="AD72" s="13" t="n">
        <v>0.0480288814256733</v>
      </c>
      <c r="AE72" s="56" t="n">
        <v>1.51548953221329</v>
      </c>
      <c r="AF72" s="56" t="n">
        <v>0.956547659843133</v>
      </c>
      <c r="AG72" s="55" t="n">
        <f aca="false">Pronóstico!$B$5*P72*AE72</f>
        <v>0.00790124674600215</v>
      </c>
      <c r="AH72" s="55" t="n">
        <f aca="false">IF(ISNUMBER(G72),G72,1)+2*'Mi portafolio'!$C$5</f>
        <v>0.002896535</v>
      </c>
      <c r="AI72" s="55" t="n">
        <f aca="false">AF72*Pronóstico!$B$8+AG72-AH72</f>
        <v>0.0125963598399953</v>
      </c>
    </row>
    <row r="73" customFormat="false" ht="15" hidden="false" customHeight="false" outlineLevel="0" collapsed="false">
      <c r="A73" s="60" t="s">
        <v>294</v>
      </c>
      <c r="B73" s="60" t="s">
        <v>203</v>
      </c>
      <c r="C73" s="61" t="n">
        <v>1354.39532089233</v>
      </c>
      <c r="D73" s="62" t="n">
        <v>0.0056475438056378</v>
      </c>
      <c r="E73" s="61" t="n">
        <v>1356.75</v>
      </c>
      <c r="F73" s="61" t="n">
        <v>1393.19</v>
      </c>
      <c r="G73" s="63" t="n">
        <v>0.0265023964</v>
      </c>
      <c r="H73" s="64" t="n">
        <v>5</v>
      </c>
      <c r="I73" s="64" t="n">
        <v>1200</v>
      </c>
      <c r="J73" s="65" t="s">
        <v>204</v>
      </c>
      <c r="K73" s="62" t="n">
        <v>-0.112082947517908</v>
      </c>
      <c r="L73" s="62" t="n">
        <v>-0.201050387785497</v>
      </c>
      <c r="M73" s="62" t="n">
        <v>-0.261348776462331</v>
      </c>
      <c r="N73" s="62" t="n">
        <v>-0.370211196313601</v>
      </c>
      <c r="O73" s="62" t="n">
        <v>0.326176998407313</v>
      </c>
      <c r="P73" s="62" t="n">
        <v>0.10273609775896</v>
      </c>
      <c r="Q73" s="62" t="n">
        <v>-0.443036168381951</v>
      </c>
      <c r="R73" s="66" t="n">
        <v>0.405682581572249</v>
      </c>
      <c r="S73" s="62" t="n">
        <v>0.381999668058608</v>
      </c>
      <c r="T73" s="62" t="n">
        <v>-0.242169548012083</v>
      </c>
      <c r="U73" s="60" t="s">
        <v>275</v>
      </c>
      <c r="V73" s="34" t="n">
        <v>2384.48729896545</v>
      </c>
      <c r="W73" s="13" t="n">
        <v>0.760554885404101</v>
      </c>
      <c r="X73" s="12" t="n">
        <v>20</v>
      </c>
      <c r="Y73" s="30" t="s">
        <v>295</v>
      </c>
      <c r="Z73" s="30" t="s">
        <v>204</v>
      </c>
      <c r="AA73" s="67" t="n">
        <v>3497707976.31547</v>
      </c>
      <c r="AB73" s="67" t="n">
        <v>6783.75</v>
      </c>
      <c r="AC73" s="30" t="s">
        <v>217</v>
      </c>
      <c r="AD73" s="13" t="n">
        <v>-0.290712120095137</v>
      </c>
      <c r="AE73" s="56" t="n">
        <v>1.22985461741313</v>
      </c>
      <c r="AF73" s="56" t="n">
        <v>1.09841985474254</v>
      </c>
      <c r="AG73" s="55" t="n">
        <f aca="false">Pronóstico!$B$5*P73*AE73</f>
        <v>0.00631752321019317</v>
      </c>
      <c r="AH73" s="55" t="n">
        <f aca="false">IF(ISNUMBER(G73),G73,1)+2*'Mi portafolio'!$C$5</f>
        <v>0.0288223964</v>
      </c>
      <c r="AI73" s="55" t="n">
        <f aca="false">AF73*Pronóstico!$B$8+AG73-AH73</f>
        <v>-0.0137872552950248</v>
      </c>
    </row>
    <row r="74" customFormat="false" ht="15" hidden="false" customHeight="false" outlineLevel="0" collapsed="false">
      <c r="A74" s="60" t="s">
        <v>296</v>
      </c>
      <c r="B74" s="60" t="s">
        <v>203</v>
      </c>
      <c r="C74" s="61" t="n">
        <v>3460.05254173279</v>
      </c>
      <c r="D74" s="62" t="n">
        <v>0.0446102041508009</v>
      </c>
      <c r="E74" s="61"/>
      <c r="F74" s="61"/>
      <c r="G74" s="63"/>
      <c r="H74" s="64" t="n">
        <v>0</v>
      </c>
      <c r="I74" s="64" t="n">
        <v>0</v>
      </c>
      <c r="J74" s="65" t="s">
        <v>297</v>
      </c>
      <c r="K74" s="62" t="n">
        <v>0.0100767770056677</v>
      </c>
      <c r="L74" s="62" t="n">
        <v>0.0378516481263009</v>
      </c>
      <c r="M74" s="62" t="n">
        <v>0.09110059736473</v>
      </c>
      <c r="N74" s="62" t="n">
        <v>0.382627328789858</v>
      </c>
      <c r="O74" s="62" t="n">
        <v>0.336209232431962</v>
      </c>
      <c r="P74" s="62" t="n">
        <v>0.105895954464153</v>
      </c>
      <c r="Q74" s="62" t="n">
        <v>-0.189102454023445</v>
      </c>
      <c r="R74" s="66" t="n">
        <v>-0.394990119783435</v>
      </c>
      <c r="S74" s="62" t="n">
        <v>0.241352395079078</v>
      </c>
      <c r="T74" s="62" t="n">
        <v>-0.238488136455519</v>
      </c>
      <c r="U74" s="60" t="s">
        <v>275</v>
      </c>
      <c r="V74" s="34" t="n">
        <v>4259.69527236557</v>
      </c>
      <c r="W74" s="13" t="n">
        <v>0.231107106319352</v>
      </c>
      <c r="X74" s="12" t="n">
        <v>29</v>
      </c>
      <c r="Y74" s="30" t="s">
        <v>261</v>
      </c>
      <c r="Z74" s="30" t="s">
        <v>204</v>
      </c>
      <c r="AA74" s="67" t="n">
        <v>11648395327.1635</v>
      </c>
      <c r="AB74" s="67" t="n">
        <v>0</v>
      </c>
      <c r="AC74" s="30" t="s">
        <v>217</v>
      </c>
      <c r="AD74" s="13" t="n">
        <v>0.368833894873419</v>
      </c>
      <c r="AE74" s="56" t="n">
        <v>0.839630217515398</v>
      </c>
      <c r="AF74" s="56" t="n">
        <v>-0.11802962172821</v>
      </c>
      <c r="AG74" s="55" t="n">
        <f aca="false">Pronóstico!$B$5*P74*AE74</f>
        <v>0.00444567216403686</v>
      </c>
      <c r="AH74" s="55" t="n">
        <f aca="false">IF(ISNUMBER(G74),G74,1)+2*'Mi portafolio'!$C$5</f>
        <v>1.00232</v>
      </c>
      <c r="AI74" s="55" t="n">
        <f aca="false">AF74*Pronóstico!$B$8+AG74-AH74</f>
        <v>-0.998811070865552</v>
      </c>
    </row>
    <row r="75" customFormat="false" ht="15" hidden="false" customHeight="false" outlineLevel="0" collapsed="false">
      <c r="A75" s="60" t="s">
        <v>298</v>
      </c>
      <c r="B75" s="60" t="s">
        <v>203</v>
      </c>
      <c r="C75" s="61" t="n">
        <v>5497.45448303223</v>
      </c>
      <c r="D75" s="62" t="n">
        <v>0.0073677220313759</v>
      </c>
      <c r="E75" s="61" t="n">
        <v>5379.01</v>
      </c>
      <c r="F75" s="61" t="n">
        <v>5637.29</v>
      </c>
      <c r="G75" s="63" t="n">
        <v>0.0468905168</v>
      </c>
      <c r="H75" s="64" t="n">
        <v>400</v>
      </c>
      <c r="I75" s="64" t="n">
        <v>300</v>
      </c>
      <c r="J75" s="65" t="s">
        <v>204</v>
      </c>
      <c r="K75" s="62" t="n">
        <v>0.0002857441893295</v>
      </c>
      <c r="L75" s="62" t="n">
        <v>-0.110051885576358</v>
      </c>
      <c r="M75" s="62" t="n">
        <v>0.0174784814887132</v>
      </c>
      <c r="N75" s="62" t="n">
        <v>-0.0011042984752984</v>
      </c>
      <c r="O75" s="62" t="n">
        <v>0.339685162767799</v>
      </c>
      <c r="P75" s="62" t="n">
        <v>0.106990769612154</v>
      </c>
      <c r="Q75" s="62" t="n">
        <v>-0.205764174694233</v>
      </c>
      <c r="R75" s="66" t="n">
        <v>0.719230840157708</v>
      </c>
      <c r="S75" s="62" t="n">
        <v>0.280266212400131</v>
      </c>
      <c r="T75" s="62" t="n">
        <v>-0.213313301258292</v>
      </c>
      <c r="U75" s="60" t="s">
        <v>275</v>
      </c>
      <c r="V75" s="34" t="n">
        <v>7164.38383080292</v>
      </c>
      <c r="W75" s="13" t="n">
        <v>0.303218399154669</v>
      </c>
      <c r="X75" s="12" t="n">
        <v>21</v>
      </c>
      <c r="Y75" s="30" t="s">
        <v>237</v>
      </c>
      <c r="Z75" s="30" t="s">
        <v>204</v>
      </c>
      <c r="AA75" s="67" t="n">
        <v>25498366955.6948</v>
      </c>
      <c r="AB75" s="67" t="n">
        <v>1629354</v>
      </c>
      <c r="AC75" s="30" t="s">
        <v>204</v>
      </c>
      <c r="AD75" s="13" t="n">
        <v>-0.0013896455814779</v>
      </c>
      <c r="AE75" s="56" t="n">
        <v>0.0728996885995556</v>
      </c>
      <c r="AF75" s="56" t="n">
        <v>1.17786389782152</v>
      </c>
      <c r="AG75" s="55" t="n">
        <f aca="false">Pronóstico!$B$5*P75*AE75</f>
        <v>0.000389979689387641</v>
      </c>
      <c r="AH75" s="55" t="n">
        <f aca="false">IF(ISNUMBER(G75),G75,1)+2*'Mi portafolio'!$C$5</f>
        <v>0.0492105168</v>
      </c>
      <c r="AI75" s="55" t="n">
        <f aca="false">AF75*Pronóstico!$B$8+AG75-AH75</f>
        <v>-0.0394724109374257</v>
      </c>
    </row>
    <row r="76" customFormat="false" ht="15" hidden="false" customHeight="false" outlineLevel="0" collapsed="false">
      <c r="A76" s="60" t="s">
        <v>299</v>
      </c>
      <c r="B76" s="60" t="s">
        <v>208</v>
      </c>
      <c r="C76" s="61" t="n">
        <v>36.32</v>
      </c>
      <c r="D76" s="62" t="n">
        <v>-0.0108902182457606</v>
      </c>
      <c r="E76" s="61" t="n">
        <v>36.35</v>
      </c>
      <c r="F76" s="61" t="n">
        <v>36.36</v>
      </c>
      <c r="G76" s="63" t="n">
        <v>0.0002750653</v>
      </c>
      <c r="H76" s="64" t="n">
        <v>599</v>
      </c>
      <c r="I76" s="64" t="n">
        <v>1466</v>
      </c>
      <c r="J76" s="65" t="s">
        <v>204</v>
      </c>
      <c r="K76" s="62" t="n">
        <v>-0.080020251028128</v>
      </c>
      <c r="L76" s="62" t="n">
        <v>-0.0885599278786799</v>
      </c>
      <c r="M76" s="62" t="n">
        <v>-0.241832096679883</v>
      </c>
      <c r="N76" s="62" t="n">
        <v>-0.158066240865201</v>
      </c>
      <c r="O76" s="62" t="n">
        <v>0.339949017075257</v>
      </c>
      <c r="P76" s="62" t="n">
        <v>0.107073875907379</v>
      </c>
      <c r="Q76" s="62" t="n">
        <v>-0.329051170916549</v>
      </c>
      <c r="R76" s="66" t="n">
        <v>0.845118204443635</v>
      </c>
      <c r="S76" s="62" t="n">
        <v>0.334869192061049</v>
      </c>
      <c r="T76" s="62" t="n">
        <v>-0.230769237004638</v>
      </c>
      <c r="U76" s="60" t="s">
        <v>275</v>
      </c>
      <c r="V76" s="34" t="n">
        <v>54.73333</v>
      </c>
      <c r="W76" s="13" t="n">
        <v>0.506974944933921</v>
      </c>
      <c r="X76" s="12" t="n">
        <v>15</v>
      </c>
      <c r="Y76" s="30" t="s">
        <v>213</v>
      </c>
      <c r="Z76" s="30" t="s">
        <v>204</v>
      </c>
      <c r="AA76" s="67" t="n">
        <v>167584498.305607</v>
      </c>
      <c r="AB76" s="67" t="n">
        <v>21779.64</v>
      </c>
      <c r="AC76" s="30" t="s">
        <v>204</v>
      </c>
      <c r="AD76" s="13" t="n">
        <v>-0.0848344650241413</v>
      </c>
      <c r="AE76" s="56" t="n">
        <v>0.835168990514857</v>
      </c>
      <c r="AF76" s="56" t="n">
        <v>0.592904920939268</v>
      </c>
      <c r="AG76" s="55" t="n">
        <f aca="false">Pronóstico!$B$5*P76*AE76</f>
        <v>0.00447123904260392</v>
      </c>
      <c r="AH76" s="55" t="n">
        <f aca="false">IF(ISNUMBER(G76),G76,1)+2*'Mi portafolio'!$C$5</f>
        <v>0.0025950653</v>
      </c>
      <c r="AI76" s="55" t="n">
        <f aca="false">AF76*Pronóstico!$B$8+AG76-AH76</f>
        <v>0.00658176835323303</v>
      </c>
    </row>
    <row r="77" customFormat="false" ht="15" hidden="false" customHeight="false" outlineLevel="0" collapsed="false">
      <c r="A77" s="60" t="s">
        <v>300</v>
      </c>
      <c r="B77" s="60" t="s">
        <v>203</v>
      </c>
      <c r="C77" s="61" t="n">
        <v>4674.76052856445</v>
      </c>
      <c r="D77" s="62" t="n">
        <v>0.0015617685142366</v>
      </c>
      <c r="E77" s="61" t="n">
        <v>4691.84</v>
      </c>
      <c r="F77" s="61" t="n">
        <v>4710</v>
      </c>
      <c r="G77" s="63" t="n">
        <v>0.0038630736</v>
      </c>
      <c r="H77" s="64" t="n">
        <v>1400</v>
      </c>
      <c r="I77" s="64" t="n">
        <v>2</v>
      </c>
      <c r="J77" s="65" t="s">
        <v>204</v>
      </c>
      <c r="K77" s="62" t="n">
        <v>0.0960192302634379</v>
      </c>
      <c r="L77" s="62" t="n">
        <v>0.0808198953416883</v>
      </c>
      <c r="M77" s="62" t="n">
        <v>0.0910126719430695</v>
      </c>
      <c r="N77" s="62" t="n">
        <v>0.191385844669872</v>
      </c>
      <c r="O77" s="62" t="n">
        <v>0.348158250092788</v>
      </c>
      <c r="P77" s="62" t="n">
        <v>0.109659541266779</v>
      </c>
      <c r="Q77" s="62" t="n">
        <v>-0.276119674727336</v>
      </c>
      <c r="R77" s="66" t="n">
        <v>0.31304318318374</v>
      </c>
      <c r="S77" s="62" t="n">
        <v>0.311635265962907</v>
      </c>
      <c r="T77" s="62" t="n">
        <v>-0.230208391175148</v>
      </c>
      <c r="U77" s="60" t="s">
        <v>275</v>
      </c>
      <c r="V77" s="34" t="n">
        <v>6018.26404953003</v>
      </c>
      <c r="W77" s="13" t="n">
        <v>0.287395153774464</v>
      </c>
      <c r="X77" s="12" t="n">
        <v>58</v>
      </c>
      <c r="Y77" s="30" t="s">
        <v>252</v>
      </c>
      <c r="Z77" s="30" t="s">
        <v>204</v>
      </c>
      <c r="AA77" s="67" t="n">
        <v>161888029208.772</v>
      </c>
      <c r="AB77" s="67" t="n">
        <v>9410</v>
      </c>
      <c r="AC77" s="30" t="s">
        <v>217</v>
      </c>
      <c r="AD77" s="13" t="n">
        <v>0.0870118076153751</v>
      </c>
      <c r="AE77" s="56" t="n">
        <v>0.262937342859659</v>
      </c>
      <c r="AF77" s="56" t="n">
        <v>1.07438212557463</v>
      </c>
      <c r="AG77" s="55" t="n">
        <f aca="false">Pronóstico!$B$5*P77*AE77</f>
        <v>0.00144167941999481</v>
      </c>
      <c r="AH77" s="55" t="n">
        <f aca="false">IF(ISNUMBER(G77),G77,1)+2*'Mi portafolio'!$C$5</f>
        <v>0.0061830736</v>
      </c>
      <c r="AI77" s="55" t="n">
        <f aca="false">AF77*Pronóstico!$B$8+AG77-AH77</f>
        <v>0.00378544808646009</v>
      </c>
    </row>
    <row r="78" customFormat="false" ht="15" hidden="false" customHeight="false" outlineLevel="0" collapsed="false">
      <c r="A78" s="60" t="s">
        <v>301</v>
      </c>
      <c r="B78" s="60" t="s">
        <v>203</v>
      </c>
      <c r="C78" s="61" t="n">
        <v>645.3391456604</v>
      </c>
      <c r="D78" s="62" t="n">
        <v>0.0026122036775224</v>
      </c>
      <c r="E78" s="61" t="n">
        <v>637.01</v>
      </c>
      <c r="F78" s="61" t="n">
        <v>662.19</v>
      </c>
      <c r="G78" s="63" t="n">
        <v>0.0387623153</v>
      </c>
      <c r="H78" s="64" t="n">
        <v>2400</v>
      </c>
      <c r="I78" s="64" t="n">
        <v>2400</v>
      </c>
      <c r="J78" s="65" t="s">
        <v>204</v>
      </c>
      <c r="K78" s="62" t="n">
        <v>-0.119481121285279</v>
      </c>
      <c r="L78" s="62" t="n">
        <v>-0.191711135408676</v>
      </c>
      <c r="M78" s="62" t="n">
        <v>-0.327239650408678</v>
      </c>
      <c r="N78" s="62" t="n">
        <v>-0.263216101461082</v>
      </c>
      <c r="O78" s="62" t="n">
        <v>0.338751671469035</v>
      </c>
      <c r="P78" s="62" t="n">
        <v>0.106696747489824</v>
      </c>
      <c r="Q78" s="62" t="n">
        <v>-0.484686479791282</v>
      </c>
      <c r="R78" s="66" t="n">
        <v>0.3524077605375</v>
      </c>
      <c r="S78" s="62" t="n">
        <v>0.385502101937506</v>
      </c>
      <c r="T78" s="62" t="n">
        <v>-0.320097071010693</v>
      </c>
      <c r="U78" s="60" t="s">
        <v>275</v>
      </c>
      <c r="V78" s="34" t="n">
        <v>1066.53648521805</v>
      </c>
      <c r="W78" s="13" t="n">
        <v>0.652675949367089</v>
      </c>
      <c r="X78" s="12" t="n">
        <v>19</v>
      </c>
      <c r="Y78" s="30" t="s">
        <v>213</v>
      </c>
      <c r="Z78" s="30" t="s">
        <v>204</v>
      </c>
      <c r="AA78" s="67" t="n">
        <v>4003518756.91401</v>
      </c>
      <c r="AB78" s="67" t="n">
        <v>1538376</v>
      </c>
      <c r="AC78" s="30" t="s">
        <v>204</v>
      </c>
      <c r="AD78" s="13" t="n">
        <v>-0.163238953360785</v>
      </c>
      <c r="AE78" s="56" t="n">
        <v>1.32324861854912</v>
      </c>
      <c r="AF78" s="56" t="n">
        <v>0.946934868800605</v>
      </c>
      <c r="AG78" s="55" t="n">
        <f aca="false">Pronóstico!$B$5*P78*AE78</f>
        <v>0.00705931618597971</v>
      </c>
      <c r="AH78" s="55" t="n">
        <f aca="false">IF(ISNUMBER(G78),G78,1)+2*'Mi portafolio'!$C$5</f>
        <v>0.0410823153</v>
      </c>
      <c r="AI78" s="55" t="n">
        <f aca="false">AF78*Pronóstico!$B$8+AG78-AH78</f>
        <v>-0.0265076430124282</v>
      </c>
    </row>
    <row r="79" customFormat="false" ht="15" hidden="false" customHeight="false" outlineLevel="0" collapsed="false">
      <c r="A79" s="60" t="s">
        <v>302</v>
      </c>
      <c r="B79" s="60" t="s">
        <v>203</v>
      </c>
      <c r="C79" s="61" t="n">
        <v>20879.7619895935</v>
      </c>
      <c r="D79" s="62" t="n">
        <v>-0.0207462644486957</v>
      </c>
      <c r="E79" s="61" t="n">
        <v>20500.01</v>
      </c>
      <c r="F79" s="61" t="n">
        <v>21032.99</v>
      </c>
      <c r="G79" s="63" t="n">
        <v>0.0256653745</v>
      </c>
      <c r="H79" s="64" t="n">
        <v>1200</v>
      </c>
      <c r="I79" s="64" t="n">
        <v>1200</v>
      </c>
      <c r="J79" s="65" t="s">
        <v>204</v>
      </c>
      <c r="K79" s="62" t="n">
        <v>0.10031598433852</v>
      </c>
      <c r="L79" s="62" t="n">
        <v>0.0127552874536502</v>
      </c>
      <c r="M79" s="62" t="n">
        <v>0.343752742066522</v>
      </c>
      <c r="N79" s="62" t="n">
        <v>0.422583446472089</v>
      </c>
      <c r="O79" s="62" t="n">
        <v>0.352077079161919</v>
      </c>
      <c r="P79" s="62" t="n">
        <v>0.110893856403386</v>
      </c>
      <c r="Q79" s="62" t="n">
        <v>-0.27788774711197</v>
      </c>
      <c r="R79" s="66" t="n">
        <v>0.0310786982178104</v>
      </c>
      <c r="S79" s="62" t="n">
        <v>0.397329623383268</v>
      </c>
      <c r="T79" s="62" t="n">
        <v>-0.218740016803493</v>
      </c>
      <c r="U79" s="60" t="s">
        <v>275</v>
      </c>
      <c r="V79" s="34" t="n">
        <v>24129.2052420425</v>
      </c>
      <c r="W79" s="13" t="n">
        <v>0.155626450822024</v>
      </c>
      <c r="X79" s="12" t="n">
        <v>29</v>
      </c>
      <c r="Y79" s="30" t="s">
        <v>252</v>
      </c>
      <c r="Z79" s="30" t="s">
        <v>204</v>
      </c>
      <c r="AA79" s="67" t="n">
        <v>46759624262.3034</v>
      </c>
      <c r="AB79" s="67" t="n">
        <v>24780000</v>
      </c>
      <c r="AC79" s="30" t="s">
        <v>204</v>
      </c>
      <c r="AD79" s="13" t="n">
        <v>0.292886286049281</v>
      </c>
      <c r="AE79" s="56" t="n">
        <v>0.232147186395746</v>
      </c>
      <c r="AF79" s="56" t="n">
        <v>0.575127624279903</v>
      </c>
      <c r="AG79" s="55" t="n">
        <f aca="false">Pronóstico!$B$5*P79*AE79</f>
        <v>0.00128718483763099</v>
      </c>
      <c r="AH79" s="55" t="n">
        <f aca="false">IF(ISNUMBER(G79),G79,1)+2*'Mi portafolio'!$C$5</f>
        <v>0.0279853745</v>
      </c>
      <c r="AI79" s="55" t="n">
        <f aca="false">AF79*Pronóstico!$B$8+AG79-AH79</f>
        <v>-0.0221336847077666</v>
      </c>
    </row>
    <row r="80" customFormat="false" ht="15" hidden="false" customHeight="false" outlineLevel="0" collapsed="false">
      <c r="A80" s="60" t="s">
        <v>303</v>
      </c>
      <c r="B80" s="60" t="s">
        <v>203</v>
      </c>
      <c r="C80" s="61" t="n">
        <v>1478.56184005737</v>
      </c>
      <c r="D80" s="62" t="n">
        <v>0.0158422695231048</v>
      </c>
      <c r="E80" s="61" t="n">
        <v>1435.01</v>
      </c>
      <c r="F80" s="61" t="n">
        <v>1504.99</v>
      </c>
      <c r="G80" s="63" t="n">
        <v>0.0476054422</v>
      </c>
      <c r="H80" s="64" t="n">
        <v>1000</v>
      </c>
      <c r="I80" s="64" t="n">
        <v>1000</v>
      </c>
      <c r="J80" s="65" t="s">
        <v>204</v>
      </c>
      <c r="K80" s="62" t="n">
        <v>0.043784979446749</v>
      </c>
      <c r="L80" s="62" t="n">
        <v>0.103376736676919</v>
      </c>
      <c r="M80" s="62" t="n">
        <v>0.106282519677684</v>
      </c>
      <c r="N80" s="62" t="n">
        <v>0.38586346187015</v>
      </c>
      <c r="O80" s="62" t="n">
        <v>0.359126977662619</v>
      </c>
      <c r="P80" s="62" t="n">
        <v>0.11311436571304</v>
      </c>
      <c r="Q80" s="62" t="n">
        <v>-0.178375843119451</v>
      </c>
      <c r="R80" s="66" t="n">
        <v>0.447568599459114</v>
      </c>
      <c r="S80" s="62" t="n">
        <v>0.343643554137038</v>
      </c>
      <c r="T80" s="62" t="n">
        <v>-0.161125688090013</v>
      </c>
      <c r="U80" s="60" t="s">
        <v>275</v>
      </c>
      <c r="V80" s="34" t="n">
        <v>1897.383133461</v>
      </c>
      <c r="W80" s="13" t="n">
        <v>0.283262615101289</v>
      </c>
      <c r="X80" s="12" t="n">
        <v>23</v>
      </c>
      <c r="Y80" s="30" t="s">
        <v>237</v>
      </c>
      <c r="Z80" s="30" t="s">
        <v>204</v>
      </c>
      <c r="AA80" s="67" t="n">
        <v>11309275519.064</v>
      </c>
      <c r="AB80" s="67" t="n">
        <v>1460000</v>
      </c>
      <c r="AC80" s="30" t="s">
        <v>204</v>
      </c>
      <c r="AD80" s="13" t="n">
        <v>0.327728880142266</v>
      </c>
      <c r="AE80" s="56" t="n">
        <v>0.974674784716673</v>
      </c>
      <c r="AF80" s="56" t="n">
        <v>1.17143523936509</v>
      </c>
      <c r="AG80" s="55" t="n">
        <f aca="false">Pronóstico!$B$5*P80*AE80</f>
        <v>0.00551248600248603</v>
      </c>
      <c r="AH80" s="55" t="n">
        <f aca="false">IF(ISNUMBER(G80),G80,1)+2*'Mi portafolio'!$C$5</f>
        <v>0.0499254422</v>
      </c>
      <c r="AI80" s="55" t="n">
        <f aca="false">AF80*Pronóstico!$B$8+AG80-AH80</f>
        <v>-0.0351158511231879</v>
      </c>
    </row>
    <row r="81" customFormat="false" ht="15" hidden="false" customHeight="false" outlineLevel="0" collapsed="false">
      <c r="A81" s="60" t="s">
        <v>304</v>
      </c>
      <c r="B81" s="60" t="s">
        <v>203</v>
      </c>
      <c r="C81" s="61" t="n">
        <v>3384.35453224182</v>
      </c>
      <c r="D81" s="62" t="n">
        <v>-0.0003387946461071</v>
      </c>
      <c r="E81" s="61" t="n">
        <v>3323.01</v>
      </c>
      <c r="F81" s="61" t="n">
        <v>3422.72</v>
      </c>
      <c r="G81" s="63" t="n">
        <v>0.0295624047</v>
      </c>
      <c r="H81" s="64" t="n">
        <v>1200</v>
      </c>
      <c r="I81" s="64" t="n">
        <v>1050</v>
      </c>
      <c r="J81" s="65" t="s">
        <v>204</v>
      </c>
      <c r="K81" s="62" t="n">
        <v>-0.0308576185833462</v>
      </c>
      <c r="L81" s="62" t="n">
        <v>-0.103068184325935</v>
      </c>
      <c r="M81" s="62" t="n">
        <v>-0.124460460338578</v>
      </c>
      <c r="N81" s="62" t="n">
        <v>-0.13803791600086</v>
      </c>
      <c r="O81" s="62" t="n">
        <v>0.352274319733922</v>
      </c>
      <c r="P81" s="62" t="n">
        <v>0.110955981344097</v>
      </c>
      <c r="Q81" s="62" t="n">
        <v>-0.257253352393219</v>
      </c>
      <c r="R81" s="66" t="n">
        <v>0.533581068272914</v>
      </c>
      <c r="S81" s="62" t="n">
        <v>0.417701139540397</v>
      </c>
      <c r="T81" s="62" t="n">
        <v>-0.237919539941722</v>
      </c>
      <c r="U81" s="60" t="s">
        <v>275</v>
      </c>
      <c r="V81" s="34" t="n">
        <v>4933.42679901505</v>
      </c>
      <c r="W81" s="13" t="n">
        <v>0.457715718615067</v>
      </c>
      <c r="X81" s="12" t="n">
        <v>26</v>
      </c>
      <c r="Y81" s="30" t="s">
        <v>209</v>
      </c>
      <c r="Z81" s="30" t="s">
        <v>204</v>
      </c>
      <c r="AA81" s="67" t="n">
        <v>31012520067.9273</v>
      </c>
      <c r="AB81" s="67" t="n">
        <v>3509488.5</v>
      </c>
      <c r="AC81" s="30" t="s">
        <v>204</v>
      </c>
      <c r="AD81" s="13" t="n">
        <v>-0.110592931928993</v>
      </c>
      <c r="AE81" s="56" t="n">
        <v>0.511145875915093</v>
      </c>
      <c r="AF81" s="56" t="n">
        <v>1.22220796806484</v>
      </c>
      <c r="AG81" s="55" t="n">
        <f aca="false">Pronóstico!$B$5*P81*AE81</f>
        <v>0.00283573461360735</v>
      </c>
      <c r="AH81" s="55" t="n">
        <f aca="false">IF(ISNUMBER(G81),G81,1)+2*'Mi portafolio'!$C$5</f>
        <v>0.0318824047</v>
      </c>
      <c r="AI81" s="55" t="n">
        <f aca="false">AF81*Pronóstico!$B$8+AG81-AH81</f>
        <v>-0.0193466068477828</v>
      </c>
    </row>
    <row r="82" customFormat="false" ht="15" hidden="false" customHeight="false" outlineLevel="0" collapsed="false">
      <c r="A82" s="60" t="s">
        <v>305</v>
      </c>
      <c r="B82" s="60" t="s">
        <v>208</v>
      </c>
      <c r="C82" s="61" t="n">
        <v>145.93</v>
      </c>
      <c r="D82" s="62" t="n">
        <v>0.0210606951119451</v>
      </c>
      <c r="E82" s="61" t="n">
        <v>144.01</v>
      </c>
      <c r="F82" s="61" t="n">
        <v>144.76</v>
      </c>
      <c r="G82" s="63" t="n">
        <v>0.0051944454</v>
      </c>
      <c r="H82" s="64" t="n">
        <v>130</v>
      </c>
      <c r="I82" s="64" t="n">
        <v>457</v>
      </c>
      <c r="J82" s="65" t="s">
        <v>204</v>
      </c>
      <c r="K82" s="62" t="n">
        <v>0.0605376904271284</v>
      </c>
      <c r="L82" s="62" t="n">
        <v>0.168936214006356</v>
      </c>
      <c r="M82" s="62" t="n">
        <v>-0.0493462487833118</v>
      </c>
      <c r="N82" s="62" t="n">
        <v>0.193628890715949</v>
      </c>
      <c r="O82" s="62" t="n">
        <v>0.343665426111896</v>
      </c>
      <c r="P82" s="62" t="n">
        <v>0.108244434726562</v>
      </c>
      <c r="Q82" s="62" t="n">
        <v>-0.186735991386166</v>
      </c>
      <c r="R82" s="66" t="n">
        <v>1.05105475514031</v>
      </c>
      <c r="S82" s="62" t="n">
        <v>0.452086518327223</v>
      </c>
      <c r="T82" s="62" t="n">
        <v>-0.179632240719513</v>
      </c>
      <c r="U82" s="60" t="s">
        <v>275</v>
      </c>
      <c r="V82" s="34" t="n">
        <v>130</v>
      </c>
      <c r="W82" s="13"/>
      <c r="X82" s="12" t="n">
        <v>1</v>
      </c>
      <c r="Y82" s="30" t="s">
        <v>261</v>
      </c>
      <c r="Z82" s="30" t="s">
        <v>204</v>
      </c>
      <c r="AA82" s="67" t="n">
        <v>56331225.7468085</v>
      </c>
      <c r="AB82" s="67" t="n">
        <v>18824</v>
      </c>
      <c r="AC82" s="30" t="s">
        <v>204</v>
      </c>
      <c r="AD82" s="13" t="n">
        <v>0.125494078607634</v>
      </c>
      <c r="AE82" s="56" t="n">
        <v>0.401845515123507</v>
      </c>
      <c r="AF82" s="56" t="n">
        <v>0.548969637474296</v>
      </c>
      <c r="AG82" s="55" t="n">
        <f aca="false">Pronóstico!$B$5*P82*AE82</f>
        <v>0.00217487703159741</v>
      </c>
      <c r="AH82" s="55" t="n">
        <f aca="false">IF(ISNUMBER(G82),G82,1)+2*'Mi portafolio'!$C$5</f>
        <v>0.0075144454</v>
      </c>
      <c r="AI82" s="55" t="n">
        <f aca="false">AF82*Pronóstico!$B$8+AG82-AH82</f>
        <v>-0.000982666483685958</v>
      </c>
    </row>
    <row r="83" customFormat="false" ht="15" hidden="false" customHeight="false" outlineLevel="0" collapsed="false">
      <c r="A83" s="60" t="s">
        <v>306</v>
      </c>
      <c r="B83" s="60" t="s">
        <v>208</v>
      </c>
      <c r="C83" s="61" t="n">
        <v>14.68</v>
      </c>
      <c r="D83" s="62" t="n">
        <v>-0.0081081002711207</v>
      </c>
      <c r="E83" s="61" t="n">
        <v>14.63</v>
      </c>
      <c r="F83" s="61" t="n">
        <v>14.64</v>
      </c>
      <c r="G83" s="63" t="n">
        <v>0.0006832935</v>
      </c>
      <c r="H83" s="64" t="n">
        <v>14760</v>
      </c>
      <c r="I83" s="64" t="n">
        <v>800</v>
      </c>
      <c r="J83" s="65" t="s">
        <v>204</v>
      </c>
      <c r="K83" s="62" t="n">
        <v>0.0515759502192936</v>
      </c>
      <c r="L83" s="62" t="n">
        <v>0.174400024414062</v>
      </c>
      <c r="M83" s="62" t="n">
        <v>0.377110742524034</v>
      </c>
      <c r="N83" s="62" t="n">
        <v>0.459244502271612</v>
      </c>
      <c r="O83" s="62" t="n">
        <v>0.350888786602034</v>
      </c>
      <c r="P83" s="62" t="n">
        <v>0.110519579427404</v>
      </c>
      <c r="Q83" s="62" t="n">
        <v>-0.209414057361175</v>
      </c>
      <c r="R83" s="66" t="n">
        <v>-0.182173390277064</v>
      </c>
      <c r="S83" s="62" t="n">
        <v>0.354415301487971</v>
      </c>
      <c r="T83" s="62" t="n">
        <v>-0.296979860670743</v>
      </c>
      <c r="U83" s="60" t="s">
        <v>275</v>
      </c>
      <c r="V83" s="34" t="n">
        <v>15.53333</v>
      </c>
      <c r="W83" s="13" t="n">
        <v>0.0581287465940054</v>
      </c>
      <c r="X83" s="12" t="n">
        <v>12</v>
      </c>
      <c r="Y83" s="30" t="s">
        <v>213</v>
      </c>
      <c r="Z83" s="30" t="s">
        <v>204</v>
      </c>
      <c r="AA83" s="67" t="n">
        <v>342905413.906133</v>
      </c>
      <c r="AB83" s="67" t="n">
        <v>11712</v>
      </c>
      <c r="AC83" s="30" t="s">
        <v>204</v>
      </c>
      <c r="AD83" s="13" t="n">
        <v>0.387673902172548</v>
      </c>
      <c r="AE83" s="56" t="n">
        <v>0.0343016499659499</v>
      </c>
      <c r="AF83" s="56" t="n">
        <v>-0.0954926625774925</v>
      </c>
      <c r="AG83" s="55" t="n">
        <f aca="false">Pronóstico!$B$5*P83*AE83</f>
        <v>0.000189550196395141</v>
      </c>
      <c r="AH83" s="55" t="n">
        <f aca="false">IF(ISNUMBER(G83),G83,1)+2*'Mi portafolio'!$C$5</f>
        <v>0.0030032935</v>
      </c>
      <c r="AI83" s="55" t="n">
        <f aca="false">AF83*Pronóstico!$B$8+AG83-AH83</f>
        <v>-0.0035716215780294</v>
      </c>
    </row>
    <row r="84" customFormat="false" ht="15" hidden="false" customHeight="false" outlineLevel="0" collapsed="false">
      <c r="A84" s="60" t="s">
        <v>307</v>
      </c>
      <c r="B84" s="60" t="s">
        <v>203</v>
      </c>
      <c r="C84" s="61" t="n">
        <v>6754.54972457886</v>
      </c>
      <c r="D84" s="62" t="n">
        <v>0.0010935332634967</v>
      </c>
      <c r="E84" s="61" t="n">
        <v>6600.21</v>
      </c>
      <c r="F84" s="61" t="n">
        <v>6799.99</v>
      </c>
      <c r="G84" s="63" t="n">
        <v>0.0298174654</v>
      </c>
      <c r="H84" s="64" t="n">
        <v>1600</v>
      </c>
      <c r="I84" s="64" t="n">
        <v>1400</v>
      </c>
      <c r="J84" s="65" t="s">
        <v>204</v>
      </c>
      <c r="K84" s="62" t="n">
        <v>0.0238506828540785</v>
      </c>
      <c r="L84" s="62" t="n">
        <v>-0.0937780848637411</v>
      </c>
      <c r="M84" s="62" t="n">
        <v>0.263044875917442</v>
      </c>
      <c r="N84" s="62" t="n">
        <v>0.0564941855235296</v>
      </c>
      <c r="O84" s="62" t="n">
        <v>0.342512168703532</v>
      </c>
      <c r="P84" s="62" t="n">
        <v>0.107881192786065</v>
      </c>
      <c r="Q84" s="62" t="n">
        <v>-0.307582055212694</v>
      </c>
      <c r="R84" s="66" t="n">
        <v>0.174966925095873</v>
      </c>
      <c r="S84" s="62" t="n">
        <v>0.443640772668874</v>
      </c>
      <c r="T84" s="62" t="n">
        <v>-0.558831414485526</v>
      </c>
      <c r="U84" s="60" t="s">
        <v>275</v>
      </c>
      <c r="V84" s="34" t="n">
        <v>8744.66310119629</v>
      </c>
      <c r="W84" s="13" t="n">
        <v>0.294633018893278</v>
      </c>
      <c r="X84" s="12" t="n">
        <v>25</v>
      </c>
      <c r="Y84" s="30" t="s">
        <v>222</v>
      </c>
      <c r="Z84" s="30" t="s">
        <v>204</v>
      </c>
      <c r="AA84" s="67" t="n">
        <v>32463519688.7237</v>
      </c>
      <c r="AB84" s="67" t="n">
        <v>9380000</v>
      </c>
      <c r="AC84" s="30" t="s">
        <v>204</v>
      </c>
      <c r="AD84" s="13" t="n">
        <v>0.0318830696859566</v>
      </c>
      <c r="AE84" s="56" t="n">
        <v>0.131311596717785</v>
      </c>
      <c r="AF84" s="56" t="n">
        <v>0.556265101592874</v>
      </c>
      <c r="AG84" s="55" t="n">
        <f aca="false">Pronóstico!$B$5*P84*AE84</f>
        <v>0.000708302584027867</v>
      </c>
      <c r="AH84" s="55" t="n">
        <f aca="false">IF(ISNUMBER(G84),G84,1)+2*'Mi portafolio'!$C$5</f>
        <v>0.0321374654</v>
      </c>
      <c r="AI84" s="55" t="n">
        <f aca="false">AF84*Pronóstico!$B$8+AG84-AH84</f>
        <v>-0.0270143604223779</v>
      </c>
    </row>
    <row r="85" customFormat="false" ht="15" hidden="false" customHeight="false" outlineLevel="0" collapsed="false">
      <c r="A85" s="60" t="s">
        <v>308</v>
      </c>
      <c r="B85" s="60" t="s">
        <v>203</v>
      </c>
      <c r="C85" s="61" t="n">
        <v>1250.74169158936</v>
      </c>
      <c r="D85" s="62" t="n">
        <v>0.0176084572075934</v>
      </c>
      <c r="E85" s="61" t="n">
        <v>1247.03</v>
      </c>
      <c r="F85" s="61" t="n">
        <v>1257.49</v>
      </c>
      <c r="G85" s="63" t="n">
        <v>0.008352898</v>
      </c>
      <c r="H85" s="64" t="n">
        <v>5750</v>
      </c>
      <c r="I85" s="64" t="n">
        <v>4750</v>
      </c>
      <c r="J85" s="65" t="s">
        <v>204</v>
      </c>
      <c r="K85" s="62" t="n">
        <v>0.0413501059876635</v>
      </c>
      <c r="L85" s="62" t="n">
        <v>-0.0368881467311505</v>
      </c>
      <c r="M85" s="62" t="n">
        <v>-0.0613022798724535</v>
      </c>
      <c r="N85" s="62" t="n">
        <v>-0.264219045917538</v>
      </c>
      <c r="O85" s="62" t="n">
        <v>0.357715456884907</v>
      </c>
      <c r="P85" s="62" t="n">
        <v>0.112669778457299</v>
      </c>
      <c r="Q85" s="62" t="n">
        <v>-0.375843812533173</v>
      </c>
      <c r="R85" s="66" t="n">
        <v>0.220408356078741</v>
      </c>
      <c r="S85" s="62" t="n">
        <v>0.33269605390769</v>
      </c>
      <c r="T85" s="62" t="n">
        <v>-0.222405098962772</v>
      </c>
      <c r="U85" s="60" t="s">
        <v>275</v>
      </c>
      <c r="V85" s="34" t="n">
        <v>1830.82479634857</v>
      </c>
      <c r="W85" s="13" t="n">
        <v>0.463791291727141</v>
      </c>
      <c r="X85" s="12" t="n">
        <v>46</v>
      </c>
      <c r="Y85" s="30" t="s">
        <v>220</v>
      </c>
      <c r="Z85" s="30" t="s">
        <v>204</v>
      </c>
      <c r="AA85" s="67" t="n">
        <v>21272734685.0912</v>
      </c>
      <c r="AB85" s="67" t="n">
        <v>5937357.5</v>
      </c>
      <c r="AC85" s="30" t="s">
        <v>204</v>
      </c>
      <c r="AD85" s="13" t="n">
        <v>-0.293435560382823</v>
      </c>
      <c r="AE85" s="56" t="n">
        <v>-0.014827080875855</v>
      </c>
      <c r="AF85" s="56" t="n">
        <v>1.04590916820938</v>
      </c>
      <c r="AG85" s="55" t="n">
        <f aca="false">Pronóstico!$B$5*P85*AE85</f>
        <v>-8.3528195872552E-005</v>
      </c>
      <c r="AH85" s="55" t="n">
        <f aca="false">IF(ISNUMBER(G85),G85,1)+2*'Mi portafolio'!$C$5</f>
        <v>0.010672898</v>
      </c>
      <c r="AI85" s="55" t="n">
        <f aca="false">AF85*Pronóstico!$B$8+AG85-AH85</f>
        <v>-0.00245555978151236</v>
      </c>
    </row>
    <row r="86" customFormat="false" ht="15" hidden="false" customHeight="false" outlineLevel="0" collapsed="false">
      <c r="A86" s="60" t="s">
        <v>309</v>
      </c>
      <c r="B86" s="60" t="s">
        <v>203</v>
      </c>
      <c r="C86" s="61" t="n">
        <v>2101.39126586914</v>
      </c>
      <c r="D86" s="62" t="n">
        <v>-0.0041855244051721</v>
      </c>
      <c r="E86" s="61" t="n">
        <v>2061.81</v>
      </c>
      <c r="F86" s="61" t="n">
        <v>2163.19</v>
      </c>
      <c r="G86" s="63" t="n">
        <v>0.0479905325</v>
      </c>
      <c r="H86" s="64" t="n">
        <v>16000</v>
      </c>
      <c r="I86" s="64" t="n">
        <v>15000</v>
      </c>
      <c r="J86" s="65" t="s">
        <v>204</v>
      </c>
      <c r="K86" s="62" t="n">
        <v>0.139576741874738</v>
      </c>
      <c r="L86" s="62" t="n">
        <v>0.0104365865633546</v>
      </c>
      <c r="M86" s="62" t="n">
        <v>0.48947751385478</v>
      </c>
      <c r="N86" s="62" t="n">
        <v>0.655268550840586</v>
      </c>
      <c r="O86" s="62" t="n">
        <v>0.358457729941061</v>
      </c>
      <c r="P86" s="62" t="n">
        <v>0.112903572494381</v>
      </c>
      <c r="Q86" s="62" t="n">
        <v>-0.191317254697814</v>
      </c>
      <c r="R86" s="66" t="n">
        <v>0.363313944092286</v>
      </c>
      <c r="S86" s="62" t="n">
        <v>0.471596097051948</v>
      </c>
      <c r="T86" s="62" t="n">
        <v>-0.165589000490352</v>
      </c>
      <c r="U86" s="60" t="s">
        <v>275</v>
      </c>
      <c r="V86" s="34" t="n">
        <v>2471.71246337891</v>
      </c>
      <c r="W86" s="13" t="n">
        <v>0.176226675881133</v>
      </c>
      <c r="X86" s="12" t="n">
        <v>25</v>
      </c>
      <c r="Y86" s="30" t="s">
        <v>266</v>
      </c>
      <c r="Z86" s="30" t="s">
        <v>204</v>
      </c>
      <c r="AA86" s="67" t="n">
        <v>37708748072.6358</v>
      </c>
      <c r="AB86" s="67" t="n">
        <v>31638000</v>
      </c>
      <c r="AC86" s="30" t="s">
        <v>204</v>
      </c>
      <c r="AD86" s="13" t="n">
        <v>0.452529250568482</v>
      </c>
      <c r="AE86" s="56" t="n">
        <v>0.820571296278377</v>
      </c>
      <c r="AF86" s="56" t="n">
        <v>0.82758808763087</v>
      </c>
      <c r="AG86" s="55" t="n">
        <f aca="false">Pronóstico!$B$5*P86*AE86</f>
        <v>0.0046322715418087</v>
      </c>
      <c r="AH86" s="55" t="n">
        <f aca="false">IF(ISNUMBER(G86),G86,1)+2*'Mi portafolio'!$C$5</f>
        <v>0.0503105325</v>
      </c>
      <c r="AI86" s="55" t="n">
        <f aca="false">AF86*Pronóstico!$B$8+AG86-AH86</f>
        <v>-0.0391101015325495</v>
      </c>
    </row>
    <row r="87" customFormat="false" ht="15" hidden="false" customHeight="false" outlineLevel="0" collapsed="false">
      <c r="A87" s="60" t="s">
        <v>310</v>
      </c>
      <c r="B87" s="60" t="s">
        <v>203</v>
      </c>
      <c r="C87" s="61" t="n">
        <v>888.861639022827</v>
      </c>
      <c r="D87" s="62" t="n">
        <v>0.0332272531589661</v>
      </c>
      <c r="E87" s="61" t="n">
        <v>865.21</v>
      </c>
      <c r="F87" s="61" t="n">
        <v>906.39</v>
      </c>
      <c r="G87" s="63" t="n">
        <v>0.0464890494</v>
      </c>
      <c r="H87" s="64" t="n">
        <v>1400</v>
      </c>
      <c r="I87" s="64" t="n">
        <v>2800</v>
      </c>
      <c r="J87" s="65" t="s">
        <v>204</v>
      </c>
      <c r="K87" s="62" t="n">
        <v>0.0802515286340201</v>
      </c>
      <c r="L87" s="62" t="n">
        <v>0.169100046208511</v>
      </c>
      <c r="M87" s="62" t="n">
        <v>0.154632576563549</v>
      </c>
      <c r="N87" s="62" t="n">
        <v>0.558368644713859</v>
      </c>
      <c r="O87" s="62" t="n">
        <v>0.354661766570317</v>
      </c>
      <c r="P87" s="62" t="n">
        <v>0.111707956415226</v>
      </c>
      <c r="Q87" s="62" t="n">
        <v>-0.241395277463229</v>
      </c>
      <c r="R87" s="66" t="n">
        <v>-0.436583840668752</v>
      </c>
      <c r="S87" s="62" t="n">
        <v>0.258395379185644</v>
      </c>
      <c r="T87" s="62" t="n">
        <v>-0.226432176720002</v>
      </c>
      <c r="U87" s="60" t="s">
        <v>275</v>
      </c>
      <c r="V87" s="34" t="n">
        <v>1099.55316139603</v>
      </c>
      <c r="W87" s="13" t="n">
        <v>0.237035229245379</v>
      </c>
      <c r="X87" s="12" t="n">
        <v>28</v>
      </c>
      <c r="Y87" s="30" t="s">
        <v>295</v>
      </c>
      <c r="Z87" s="30" t="s">
        <v>204</v>
      </c>
      <c r="AA87" s="67" t="n">
        <v>10600154393.6691</v>
      </c>
      <c r="AB87" s="67" t="n">
        <v>1243200</v>
      </c>
      <c r="AC87" s="30" t="s">
        <v>204</v>
      </c>
      <c r="AD87" s="13" t="n">
        <v>0.442597953723257</v>
      </c>
      <c r="AE87" s="56" t="n">
        <v>1.09361024799169</v>
      </c>
      <c r="AF87" s="56" t="n">
        <v>-0.171904330321334</v>
      </c>
      <c r="AG87" s="55" t="n">
        <f aca="false">Pronóstico!$B$5*P87*AE87</f>
        <v>0.00610824829589504</v>
      </c>
      <c r="AH87" s="55" t="n">
        <f aca="false">IF(ISNUMBER(G87),G87,1)+2*'Mi portafolio'!$C$5</f>
        <v>0.0488090494</v>
      </c>
      <c r="AI87" s="55" t="n">
        <f aca="false">AF87*Pronóstico!$B$8+AG87-AH87</f>
        <v>-0.0440651211860203</v>
      </c>
    </row>
    <row r="88" customFormat="false" ht="15" hidden="false" customHeight="false" outlineLevel="0" collapsed="false">
      <c r="A88" s="60" t="s">
        <v>311</v>
      </c>
      <c r="B88" s="60" t="s">
        <v>203</v>
      </c>
      <c r="C88" s="61" t="n">
        <v>2962.93264007568</v>
      </c>
      <c r="D88" s="62" t="n">
        <v>0.0273356806802052</v>
      </c>
      <c r="E88" s="61" t="n">
        <v>2887.51</v>
      </c>
      <c r="F88" s="61" t="n">
        <v>2999.99</v>
      </c>
      <c r="G88" s="63" t="n">
        <v>0.0382097665</v>
      </c>
      <c r="H88" s="64" t="n">
        <v>7800</v>
      </c>
      <c r="I88" s="64" t="n">
        <v>7400</v>
      </c>
      <c r="J88" s="65" t="s">
        <v>204</v>
      </c>
      <c r="K88" s="62" t="n">
        <v>0.0337759514961166</v>
      </c>
      <c r="L88" s="62" t="n">
        <v>0.157932413104197</v>
      </c>
      <c r="M88" s="62" t="n">
        <v>0.249808599708016</v>
      </c>
      <c r="N88" s="62" t="n">
        <v>0.277835426773611</v>
      </c>
      <c r="O88" s="62" t="n">
        <v>0.370209594336404</v>
      </c>
      <c r="P88" s="62" t="n">
        <v>0.116605061855266</v>
      </c>
      <c r="Q88" s="62" t="n">
        <v>-0.205229999759018</v>
      </c>
      <c r="R88" s="66" t="n">
        <v>0.268929142112443</v>
      </c>
      <c r="S88" s="62" t="n">
        <v>0.307390866074788</v>
      </c>
      <c r="T88" s="62" t="n">
        <v>-0.25370276955103</v>
      </c>
      <c r="U88" s="60" t="s">
        <v>275</v>
      </c>
      <c r="V88" s="34" t="n">
        <v>3332.23908489227</v>
      </c>
      <c r="W88" s="13" t="n">
        <v>0.124642200710697</v>
      </c>
      <c r="X88" s="12" t="n">
        <v>39</v>
      </c>
      <c r="Y88" s="30" t="s">
        <v>295</v>
      </c>
      <c r="Z88" s="30" t="s">
        <v>204</v>
      </c>
      <c r="AA88" s="67" t="n">
        <v>13417569523.5822</v>
      </c>
      <c r="AB88" s="67" t="n">
        <v>21793000</v>
      </c>
      <c r="AC88" s="30" t="s">
        <v>204</v>
      </c>
      <c r="AD88" s="13" t="n">
        <v>0.236085464093339</v>
      </c>
      <c r="AE88" s="56" t="n">
        <v>-0.095180082976919</v>
      </c>
      <c r="AF88" s="56" t="n">
        <v>1.24567400732881</v>
      </c>
      <c r="AG88" s="55" t="n">
        <f aca="false">Pronóstico!$B$5*P88*AE88</f>
        <v>-0.000554923973145648</v>
      </c>
      <c r="AH88" s="55" t="n">
        <f aca="false">IF(ISNUMBER(G88),G88,1)+2*'Mi portafolio'!$C$5</f>
        <v>0.0405297665</v>
      </c>
      <c r="AI88" s="55" t="n">
        <f aca="false">AF88*Pronóstico!$B$8+AG88-AH88</f>
        <v>-0.0311983888276789</v>
      </c>
    </row>
    <row r="89" customFormat="false" ht="15" hidden="false" customHeight="false" outlineLevel="0" collapsed="false">
      <c r="A89" s="60" t="s">
        <v>166</v>
      </c>
      <c r="B89" s="60" t="s">
        <v>208</v>
      </c>
      <c r="C89" s="61" t="n">
        <v>232.01</v>
      </c>
      <c r="D89" s="62" t="n">
        <v>0.005766320686102</v>
      </c>
      <c r="E89" s="61" t="n">
        <v>231.58</v>
      </c>
      <c r="F89" s="61" t="n">
        <v>231.6</v>
      </c>
      <c r="G89" s="63" t="n">
        <v>8.63595E-005</v>
      </c>
      <c r="H89" s="64" t="n">
        <v>2926</v>
      </c>
      <c r="I89" s="64" t="n">
        <v>3477</v>
      </c>
      <c r="J89" s="65" t="s">
        <v>204</v>
      </c>
      <c r="K89" s="62" t="n">
        <v>0.0152297406019212</v>
      </c>
      <c r="L89" s="62" t="n">
        <v>0.195232526463798</v>
      </c>
      <c r="M89" s="62" t="n">
        <v>0.13179161541433</v>
      </c>
      <c r="N89" s="62" t="n">
        <v>0.613477590413615</v>
      </c>
      <c r="O89" s="62" t="n">
        <v>0.366667942461767</v>
      </c>
      <c r="P89" s="62" t="n">
        <v>0.115489546368283</v>
      </c>
      <c r="Q89" s="62" t="n">
        <v>-0.210684174840893</v>
      </c>
      <c r="R89" s="66" t="n">
        <v>1.72465269980109</v>
      </c>
      <c r="S89" s="62" t="n">
        <v>0.3240985836303</v>
      </c>
      <c r="T89" s="62" t="n">
        <v>-0.16161262274544</v>
      </c>
      <c r="U89" s="60" t="s">
        <v>275</v>
      </c>
      <c r="V89" s="34" t="n">
        <v>234.76604</v>
      </c>
      <c r="W89" s="13" t="n">
        <v>0.0118789707340201</v>
      </c>
      <c r="X89" s="12" t="n">
        <v>16</v>
      </c>
      <c r="Y89" s="30" t="s">
        <v>237</v>
      </c>
      <c r="Z89" s="30" t="s">
        <v>204</v>
      </c>
      <c r="AA89" s="67" t="n">
        <v>1336439995.86763</v>
      </c>
      <c r="AB89" s="67" t="n">
        <v>677661.6</v>
      </c>
      <c r="AC89" s="30" t="s">
        <v>204</v>
      </c>
      <c r="AD89" s="13" t="n">
        <v>0.58927336925433</v>
      </c>
      <c r="AE89" s="56" t="n">
        <v>0.500977040643519</v>
      </c>
      <c r="AF89" s="56" t="n">
        <v>1.23487250948124</v>
      </c>
      <c r="AG89" s="55" t="n">
        <f aca="false">Pronóstico!$B$5*P89*AE89</f>
        <v>0.00289288055824224</v>
      </c>
      <c r="AH89" s="55" t="n">
        <f aca="false">IF(ISNUMBER(G89),G89,1)+2*'Mi portafolio'!$C$5</f>
        <v>0.0024063595</v>
      </c>
      <c r="AI89" s="55" t="n">
        <f aca="false">AF89*Pronóstico!$B$8+AG89-AH89</f>
        <v>0.0102870965303155</v>
      </c>
    </row>
    <row r="90" customFormat="false" ht="15" hidden="false" customHeight="false" outlineLevel="0" collapsed="false">
      <c r="A90" s="60" t="s">
        <v>312</v>
      </c>
      <c r="B90" s="60" t="s">
        <v>203</v>
      </c>
      <c r="C90" s="61" t="n">
        <v>1086.09398269653</v>
      </c>
      <c r="D90" s="62" t="n">
        <v>0.0385176525757802</v>
      </c>
      <c r="E90" s="61" t="n">
        <v>1065</v>
      </c>
      <c r="F90" s="61" t="n">
        <v>1086</v>
      </c>
      <c r="G90" s="63" t="n">
        <v>0.019525802</v>
      </c>
      <c r="H90" s="64" t="n">
        <v>3600</v>
      </c>
      <c r="I90" s="64" t="n">
        <v>8</v>
      </c>
      <c r="J90" s="65" t="s">
        <v>204</v>
      </c>
      <c r="K90" s="62" t="n">
        <v>0.0527598753844438</v>
      </c>
      <c r="L90" s="62" t="n">
        <v>0.137673052473968</v>
      </c>
      <c r="M90" s="62" t="n">
        <v>0.138078445070073</v>
      </c>
      <c r="N90" s="62" t="n">
        <v>0.469761529273419</v>
      </c>
      <c r="O90" s="62" t="n">
        <v>0.36633318412451</v>
      </c>
      <c r="P90" s="62" t="n">
        <v>0.115384107402844</v>
      </c>
      <c r="Q90" s="62" t="n">
        <v>-0.298986327432422</v>
      </c>
      <c r="R90" s="66" t="n">
        <v>-0.442440679483875</v>
      </c>
      <c r="S90" s="62" t="n">
        <v>0.387778813818568</v>
      </c>
      <c r="T90" s="62" t="n">
        <v>-0.239079350132582</v>
      </c>
      <c r="U90" s="60" t="s">
        <v>275</v>
      </c>
      <c r="V90" s="34" t="n">
        <v>1240.93907165527</v>
      </c>
      <c r="W90" s="13" t="n">
        <v>0.142570616747451</v>
      </c>
      <c r="X90" s="12" t="n">
        <v>25</v>
      </c>
      <c r="Y90" s="30" t="s">
        <v>313</v>
      </c>
      <c r="Z90" s="30" t="s">
        <v>204</v>
      </c>
      <c r="AA90" s="67" t="n">
        <v>9885906361.65854</v>
      </c>
      <c r="AB90" s="67" t="n">
        <v>8720</v>
      </c>
      <c r="AC90" s="30" t="s">
        <v>217</v>
      </c>
      <c r="AD90" s="13" t="n">
        <v>0.396103293485322</v>
      </c>
      <c r="AE90" s="56" t="n">
        <v>0.481060133507701</v>
      </c>
      <c r="AF90" s="56" t="n">
        <v>-0.186114377940775</v>
      </c>
      <c r="AG90" s="55" t="n">
        <f aca="false">Pronóstico!$B$5*P90*AE90</f>
        <v>0.00277533470559394</v>
      </c>
      <c r="AH90" s="55" t="n">
        <f aca="false">IF(ISNUMBER(G90),G90,1)+2*'Mi portafolio'!$C$5</f>
        <v>0.021845802</v>
      </c>
      <c r="AI90" s="55" t="n">
        <f aca="false">AF90*Pronóstico!$B$8+AG90-AH90</f>
        <v>-0.0205475655320313</v>
      </c>
    </row>
    <row r="91" customFormat="false" ht="15" hidden="false" customHeight="false" outlineLevel="0" collapsed="false">
      <c r="A91" s="60" t="s">
        <v>314</v>
      </c>
      <c r="B91" s="60" t="s">
        <v>203</v>
      </c>
      <c r="C91" s="61" t="n">
        <v>1288.68146133423</v>
      </c>
      <c r="D91" s="62" t="n">
        <v>0.0289989005709476</v>
      </c>
      <c r="E91" s="61" t="n">
        <v>1292</v>
      </c>
      <c r="F91" s="61" t="n">
        <v>1293</v>
      </c>
      <c r="G91" s="63" t="n">
        <v>0.0007736944</v>
      </c>
      <c r="H91" s="64" t="n">
        <v>2086</v>
      </c>
      <c r="I91" s="64" t="n">
        <v>6</v>
      </c>
      <c r="J91" s="65" t="s">
        <v>204</v>
      </c>
      <c r="K91" s="62" t="n">
        <v>0.0024269670065442</v>
      </c>
      <c r="L91" s="62" t="n">
        <v>-0.0025472429573388</v>
      </c>
      <c r="M91" s="62" t="n">
        <v>-0.306525691056838</v>
      </c>
      <c r="N91" s="62" t="n">
        <v>-0.416965523618012</v>
      </c>
      <c r="O91" s="62" t="n">
        <v>0.376039911919195</v>
      </c>
      <c r="P91" s="62" t="n">
        <v>0.118441439282479</v>
      </c>
      <c r="Q91" s="62" t="n">
        <v>-0.480852860078685</v>
      </c>
      <c r="R91" s="66" t="n">
        <v>-0.0443278614461777</v>
      </c>
      <c r="S91" s="62" t="n">
        <v>0.329796989353596</v>
      </c>
      <c r="T91" s="62" t="n">
        <v>-0.201305728035535</v>
      </c>
      <c r="U91" s="60" t="s">
        <v>275</v>
      </c>
      <c r="V91" s="34" t="n">
        <v>1680.03998887253</v>
      </c>
      <c r="W91" s="13" t="n">
        <v>0.303689111142415</v>
      </c>
      <c r="X91" s="12" t="n">
        <v>45</v>
      </c>
      <c r="Y91" s="30" t="s">
        <v>237</v>
      </c>
      <c r="Z91" s="30" t="s">
        <v>204</v>
      </c>
      <c r="AA91" s="67" t="n">
        <v>46822031070.2951</v>
      </c>
      <c r="AB91" s="67" t="n">
        <v>7758</v>
      </c>
      <c r="AC91" s="30" t="s">
        <v>217</v>
      </c>
      <c r="AD91" s="13" t="n">
        <v>-0.418377103198799</v>
      </c>
      <c r="AE91" s="56" t="n">
        <v>-1.19337622790813</v>
      </c>
      <c r="AF91" s="56" t="n">
        <v>0.648511231965046</v>
      </c>
      <c r="AG91" s="55" t="n">
        <f aca="false">Pronóstico!$B$5*P91*AE91</f>
        <v>-0.00706725990194671</v>
      </c>
      <c r="AH91" s="55" t="n">
        <f aca="false">IF(ISNUMBER(G91),G91,1)+2*'Mi portafolio'!$C$5</f>
        <v>0.0030936944</v>
      </c>
      <c r="AI91" s="55" t="n">
        <f aca="false">AF91*Pronóstico!$B$8+AG91-AH91</f>
        <v>-0.00501403976254158</v>
      </c>
    </row>
    <row r="92" customFormat="false" ht="15" hidden="false" customHeight="false" outlineLevel="0" collapsed="false">
      <c r="A92" s="60" t="s">
        <v>315</v>
      </c>
      <c r="B92" s="60" t="s">
        <v>203</v>
      </c>
      <c r="C92" s="61" t="n">
        <v>623.375831108093</v>
      </c>
      <c r="D92" s="62" t="n">
        <v>0.0094940575291218</v>
      </c>
      <c r="E92" s="61" t="n">
        <v>623</v>
      </c>
      <c r="F92" s="61" t="n">
        <v>623.11</v>
      </c>
      <c r="G92" s="63" t="n">
        <v>0.0001765494</v>
      </c>
      <c r="H92" s="64" t="n">
        <v>3</v>
      </c>
      <c r="I92" s="64" t="n">
        <v>23</v>
      </c>
      <c r="J92" s="65" t="s">
        <v>204</v>
      </c>
      <c r="K92" s="62" t="n">
        <v>-0.0131380683046076</v>
      </c>
      <c r="L92" s="62" t="n">
        <v>-0.177492383886857</v>
      </c>
      <c r="M92" s="62" t="n">
        <v>-0.189395708502732</v>
      </c>
      <c r="N92" s="62" t="n">
        <v>-0.481468627293222</v>
      </c>
      <c r="O92" s="62" t="n">
        <v>0.36412008847324</v>
      </c>
      <c r="P92" s="62" t="n">
        <v>0.114687047793218</v>
      </c>
      <c r="Q92" s="62" t="n">
        <v>-0.510011162769911</v>
      </c>
      <c r="R92" s="66" t="n">
        <v>0.189094310150172</v>
      </c>
      <c r="S92" s="62" t="n">
        <v>0.26765902780029</v>
      </c>
      <c r="T92" s="62" t="n">
        <v>-0.312014045267645</v>
      </c>
      <c r="U92" s="60" t="s">
        <v>275</v>
      </c>
      <c r="V92" s="34" t="n">
        <v>692.587410682678</v>
      </c>
      <c r="W92" s="13" t="n">
        <v>0.11102705000859</v>
      </c>
      <c r="X92" s="12" t="n">
        <v>36</v>
      </c>
      <c r="Y92" s="30" t="s">
        <v>316</v>
      </c>
      <c r="Z92" s="30" t="s">
        <v>217</v>
      </c>
      <c r="AA92" s="67" t="n">
        <v>29758193419.7008</v>
      </c>
      <c r="AB92" s="67" t="n">
        <v>1869.33</v>
      </c>
      <c r="AC92" s="30" t="s">
        <v>217</v>
      </c>
      <c r="AD92" s="13" t="n">
        <v>-0.474565432049891</v>
      </c>
      <c r="AE92" s="56" t="n">
        <v>-2.21308899645872</v>
      </c>
      <c r="AF92" s="56" t="n">
        <v>0.916543067745132</v>
      </c>
      <c r="AG92" s="55" t="n">
        <f aca="false">Pronóstico!$B$5*P92*AE92</f>
        <v>-0.0126906321753753</v>
      </c>
      <c r="AH92" s="55" t="n">
        <f aca="false">IF(ISNUMBER(G92),G92,1)+2*'Mi portafolio'!$C$5</f>
        <v>0.0024965494</v>
      </c>
      <c r="AI92" s="55" t="n">
        <f aca="false">AF92*Pronóstico!$B$8+AG92-AH92</f>
        <v>-0.0079130302440647</v>
      </c>
    </row>
    <row r="93" customFormat="false" ht="15" hidden="false" customHeight="false" outlineLevel="0" collapsed="false">
      <c r="A93" s="60" t="s">
        <v>317</v>
      </c>
      <c r="B93" s="60" t="s">
        <v>203</v>
      </c>
      <c r="C93" s="61" t="n">
        <v>219.56053352356</v>
      </c>
      <c r="D93" s="62" t="n">
        <v>0.0079369359094816</v>
      </c>
      <c r="E93" s="61" t="n">
        <v>216.04</v>
      </c>
      <c r="F93" s="61" t="n">
        <v>220.29</v>
      </c>
      <c r="G93" s="63" t="n">
        <v>0.0194806683</v>
      </c>
      <c r="H93" s="64" t="n">
        <v>16500</v>
      </c>
      <c r="I93" s="64" t="n">
        <v>49500</v>
      </c>
      <c r="J93" s="65" t="s">
        <v>204</v>
      </c>
      <c r="K93" s="62" t="n">
        <v>-0.0348301367921254</v>
      </c>
      <c r="L93" s="62" t="n">
        <v>-0.0845344804306212</v>
      </c>
      <c r="M93" s="62" t="n">
        <v>0.0245838905562174</v>
      </c>
      <c r="N93" s="62" t="n">
        <v>0.0457943315880187</v>
      </c>
      <c r="O93" s="62" t="n">
        <v>0.384076956767028</v>
      </c>
      <c r="P93" s="62" t="n">
        <v>0.120972870466198</v>
      </c>
      <c r="Q93" s="62" t="n">
        <v>-0.271300736543729</v>
      </c>
      <c r="R93" s="66" t="n">
        <v>0.4778352093874</v>
      </c>
      <c r="S93" s="62" t="n">
        <v>0.417765281667685</v>
      </c>
      <c r="T93" s="62" t="n">
        <v>-0.226509437879932</v>
      </c>
      <c r="U93" s="60" t="s">
        <v>275</v>
      </c>
      <c r="V93" s="34" t="n">
        <v>286.958628410339</v>
      </c>
      <c r="W93" s="13" t="n">
        <v>0.306968168664737</v>
      </c>
      <c r="X93" s="12" t="n">
        <v>18</v>
      </c>
      <c r="Y93" s="30" t="s">
        <v>243</v>
      </c>
      <c r="Z93" s="30" t="s">
        <v>204</v>
      </c>
      <c r="AA93" s="67" t="n">
        <v>10423828422.334</v>
      </c>
      <c r="AB93" s="67" t="n">
        <v>3615150</v>
      </c>
      <c r="AC93" s="30" t="s">
        <v>204</v>
      </c>
      <c r="AD93" s="13" t="n">
        <v>0.0835339679092108</v>
      </c>
      <c r="AE93" s="56" t="n">
        <v>0.349967540291242</v>
      </c>
      <c r="AF93" s="56" t="n">
        <v>1.13056296213758</v>
      </c>
      <c r="AG93" s="55" t="n">
        <f aca="false">Pronóstico!$B$5*P93*AE93</f>
        <v>0.00211682889595131</v>
      </c>
      <c r="AH93" s="55" t="n">
        <f aca="false">IF(ISNUMBER(G93),G93,1)+2*'Mi portafolio'!$C$5</f>
        <v>0.0218006683</v>
      </c>
      <c r="AI93" s="55" t="n">
        <f aca="false">AF93*Pronóstico!$B$8+AG93-AH93</f>
        <v>-0.0107111174823218</v>
      </c>
    </row>
    <row r="94" customFormat="false" ht="15" hidden="false" customHeight="false" outlineLevel="0" collapsed="false">
      <c r="A94" s="60" t="s">
        <v>165</v>
      </c>
      <c r="B94" s="60" t="s">
        <v>203</v>
      </c>
      <c r="C94" s="61" t="n">
        <v>4215.21733665466</v>
      </c>
      <c r="D94" s="62" t="n">
        <v>-0.0117009188178395</v>
      </c>
      <c r="E94" s="61" t="n">
        <v>4271.01</v>
      </c>
      <c r="F94" s="61" t="n">
        <v>4289.99</v>
      </c>
      <c r="G94" s="63" t="n">
        <v>0.0044340614</v>
      </c>
      <c r="H94" s="64" t="n">
        <v>3600</v>
      </c>
      <c r="I94" s="64" t="n">
        <v>3200</v>
      </c>
      <c r="J94" s="65" t="s">
        <v>204</v>
      </c>
      <c r="K94" s="62" t="n">
        <v>0.116259472392174</v>
      </c>
      <c r="L94" s="62" t="n">
        <v>0.185310030707736</v>
      </c>
      <c r="M94" s="62" t="n">
        <v>0.23185090979392</v>
      </c>
      <c r="N94" s="62" t="n">
        <v>0.251871133776585</v>
      </c>
      <c r="O94" s="62" t="n">
        <v>0.375551462646936</v>
      </c>
      <c r="P94" s="62" t="n">
        <v>0.118287592222661</v>
      </c>
      <c r="Q94" s="62" t="n">
        <v>-0.22420077499122</v>
      </c>
      <c r="R94" s="66" t="n">
        <v>0.461991551931644</v>
      </c>
      <c r="S94" s="62" t="n">
        <v>0.637877900683212</v>
      </c>
      <c r="T94" s="62" t="n">
        <v>-0.264357948774789</v>
      </c>
      <c r="U94" s="60" t="s">
        <v>275</v>
      </c>
      <c r="V94" s="34" t="n">
        <v>5967.19875322342</v>
      </c>
      <c r="W94" s="13" t="n">
        <v>0.415632522986154</v>
      </c>
      <c r="X94" s="12" t="n">
        <v>59</v>
      </c>
      <c r="Y94" s="30" t="s">
        <v>263</v>
      </c>
      <c r="Z94" s="30" t="s">
        <v>217</v>
      </c>
      <c r="AA94" s="67" t="n">
        <v>434531464657.065</v>
      </c>
      <c r="AB94" s="67" t="n">
        <v>13692800</v>
      </c>
      <c r="AC94" s="30" t="s">
        <v>204</v>
      </c>
      <c r="AD94" s="13" t="n">
        <v>0.121487579490628</v>
      </c>
      <c r="AE94" s="56" t="n">
        <v>1.00734715922713</v>
      </c>
      <c r="AF94" s="56" t="n">
        <v>1.09398950254712</v>
      </c>
      <c r="AG94" s="55" t="n">
        <f aca="false">Pronóstico!$B$5*P94*AE94</f>
        <v>0.00595783349986574</v>
      </c>
      <c r="AH94" s="55" t="n">
        <f aca="false">IF(ISNUMBER(G94),G94,1)+2*'Mi portafolio'!$C$5</f>
        <v>0.0067540614</v>
      </c>
      <c r="AI94" s="55" t="n">
        <f aca="false">AF94*Pronóstico!$B$8+AG94-AH94</f>
        <v>0.00788622846928735</v>
      </c>
    </row>
    <row r="95" customFormat="false" ht="15" hidden="false" customHeight="false" outlineLevel="0" collapsed="false">
      <c r="A95" s="60" t="s">
        <v>318</v>
      </c>
      <c r="B95" s="60" t="s">
        <v>208</v>
      </c>
      <c r="C95" s="61" t="n">
        <v>21.71</v>
      </c>
      <c r="D95" s="62" t="n">
        <v>-0.0238309663714021</v>
      </c>
      <c r="E95" s="61" t="n">
        <v>21.65</v>
      </c>
      <c r="F95" s="61" t="n">
        <v>21.66</v>
      </c>
      <c r="G95" s="63" t="n">
        <v>0.0004617871</v>
      </c>
      <c r="H95" s="64" t="n">
        <v>2373</v>
      </c>
      <c r="I95" s="64" t="n">
        <v>606</v>
      </c>
      <c r="J95" s="65" t="s">
        <v>204</v>
      </c>
      <c r="K95" s="62" t="n">
        <v>0.0605764441970058</v>
      </c>
      <c r="L95" s="62" t="n">
        <v>-0.0448746360891179</v>
      </c>
      <c r="M95" s="62" t="n">
        <v>0.002771337967647</v>
      </c>
      <c r="N95" s="62" t="n">
        <v>0.197462773823685</v>
      </c>
      <c r="O95" s="62" t="n">
        <v>0.323640515617807</v>
      </c>
      <c r="P95" s="62" t="n">
        <v>0.101937180774933</v>
      </c>
      <c r="Q95" s="62" t="n">
        <v>-0.23017486019887</v>
      </c>
      <c r="R95" s="66" t="n">
        <v>0.76349016794671</v>
      </c>
      <c r="S95" s="62" t="n">
        <v>0.360989888969819</v>
      </c>
      <c r="T95" s="62" t="n">
        <v>-0.263955954486344</v>
      </c>
      <c r="U95" s="60" t="s">
        <v>275</v>
      </c>
      <c r="V95" s="34" t="n">
        <v>28.510628</v>
      </c>
      <c r="W95" s="13" t="n">
        <v>0.31324864117918</v>
      </c>
      <c r="X95" s="12" t="n">
        <v>13</v>
      </c>
      <c r="Y95" s="30" t="s">
        <v>209</v>
      </c>
      <c r="Z95" s="30" t="s">
        <v>204</v>
      </c>
      <c r="AA95" s="67" t="n">
        <v>62585116.4056235</v>
      </c>
      <c r="AB95" s="67" t="n">
        <v>13125.96</v>
      </c>
      <c r="AC95" s="30" t="s">
        <v>204</v>
      </c>
      <c r="AD95" s="13" t="n">
        <v>0.129067857744398</v>
      </c>
      <c r="AE95" s="56" t="n">
        <v>0.519818583878987</v>
      </c>
      <c r="AF95" s="56" t="n">
        <v>0.434067552442172</v>
      </c>
      <c r="AG95" s="55" t="n">
        <f aca="false">Pronóstico!$B$5*P95*AE95</f>
        <v>0.00264944204775209</v>
      </c>
      <c r="AH95" s="55" t="n">
        <f aca="false">IF(ISNUMBER(G95),G95,1)+2*'Mi portafolio'!$C$5</f>
        <v>0.0027817871</v>
      </c>
      <c r="AI95" s="55" t="n">
        <f aca="false">AF95*Pronóstico!$B$8+AG95-AH95</f>
        <v>0.00331263552268996</v>
      </c>
    </row>
    <row r="96" customFormat="false" ht="15" hidden="false" customHeight="false" outlineLevel="0" collapsed="false">
      <c r="A96" s="60" t="s">
        <v>319</v>
      </c>
      <c r="B96" s="60" t="s">
        <v>208</v>
      </c>
      <c r="C96" s="61" t="n">
        <v>7.89</v>
      </c>
      <c r="D96" s="62" t="n">
        <v>-0.0037830685524083</v>
      </c>
      <c r="E96" s="61" t="n">
        <v>7.88</v>
      </c>
      <c r="F96" s="61" t="n">
        <v>7.89</v>
      </c>
      <c r="G96" s="63" t="n">
        <v>0.0012682308</v>
      </c>
      <c r="H96" s="64" t="n">
        <v>13644</v>
      </c>
      <c r="I96" s="64" t="n">
        <v>3067</v>
      </c>
      <c r="J96" s="65" t="s">
        <v>204</v>
      </c>
      <c r="K96" s="62" t="n">
        <v>-0.0050377785346049</v>
      </c>
      <c r="L96" s="62" t="n">
        <v>-0.175365327945505</v>
      </c>
      <c r="M96" s="62" t="n">
        <v>-0.265116270198378</v>
      </c>
      <c r="N96" s="62" t="n">
        <v>-0.104308348218727</v>
      </c>
      <c r="O96" s="62" t="n">
        <v>0.394813981045334</v>
      </c>
      <c r="P96" s="62" t="n">
        <v>0.124354715235396</v>
      </c>
      <c r="Q96" s="62" t="n">
        <v>-0.355274293625126</v>
      </c>
      <c r="R96" s="66" t="n">
        <v>0.575030382152458</v>
      </c>
      <c r="S96" s="62" t="n">
        <v>0.492405011383929</v>
      </c>
      <c r="T96" s="62" t="n">
        <v>-0.233067745526591</v>
      </c>
      <c r="U96" s="60" t="s">
        <v>275</v>
      </c>
      <c r="V96" s="34" t="n">
        <v>14.125</v>
      </c>
      <c r="W96" s="13"/>
      <c r="X96" s="12" t="n">
        <v>4</v>
      </c>
      <c r="Y96" s="30" t="s">
        <v>243</v>
      </c>
      <c r="Z96" s="30" t="s">
        <v>204</v>
      </c>
      <c r="AA96" s="67" t="n">
        <v>116209661.750229</v>
      </c>
      <c r="AB96" s="67" t="n">
        <v>24198.63</v>
      </c>
      <c r="AC96" s="30" t="s">
        <v>204</v>
      </c>
      <c r="AD96" s="13" t="n">
        <v>-0.0997732049945721</v>
      </c>
      <c r="AE96" s="56" t="n">
        <v>-0.968840027024354</v>
      </c>
      <c r="AF96" s="56" t="n">
        <v>0.61819969568169</v>
      </c>
      <c r="AG96" s="55" t="n">
        <f aca="false">Pronóstico!$B$5*P96*AE96</f>
        <v>-0.00602399128346332</v>
      </c>
      <c r="AH96" s="55" t="n">
        <f aca="false">IF(ISNUMBER(G96),G96,1)+2*'Mi portafolio'!$C$5</f>
        <v>0.0035882308</v>
      </c>
      <c r="AI96" s="55" t="n">
        <f aca="false">AF96*Pronóstico!$B$8+AG96-AH96</f>
        <v>-0.00470587529233879</v>
      </c>
    </row>
    <row r="97" customFormat="false" ht="15" hidden="false" customHeight="false" outlineLevel="0" collapsed="false">
      <c r="A97" s="60" t="s">
        <v>320</v>
      </c>
      <c r="B97" s="60" t="s">
        <v>203</v>
      </c>
      <c r="C97" s="61" t="n">
        <v>464.172206878662</v>
      </c>
      <c r="D97" s="62" t="n">
        <v>0.0519452442031846</v>
      </c>
      <c r="E97" s="61" t="n">
        <v>455.01</v>
      </c>
      <c r="F97" s="61" t="n">
        <v>471.99</v>
      </c>
      <c r="G97" s="63" t="n">
        <v>0.0366343042</v>
      </c>
      <c r="H97" s="64" t="n">
        <v>4800</v>
      </c>
      <c r="I97" s="64" t="n">
        <v>4800</v>
      </c>
      <c r="J97" s="65" t="s">
        <v>204</v>
      </c>
      <c r="K97" s="62" t="n">
        <v>0.381434497276467</v>
      </c>
      <c r="L97" s="62" t="n">
        <v>0.205141509789536</v>
      </c>
      <c r="M97" s="62" t="n">
        <v>0.0862685296697245</v>
      </c>
      <c r="N97" s="62" t="n">
        <v>0.0927568544829857</v>
      </c>
      <c r="O97" s="62" t="n">
        <v>0.39869074349758</v>
      </c>
      <c r="P97" s="62" t="n">
        <v>0.1255757806331</v>
      </c>
      <c r="Q97" s="62" t="n">
        <v>-0.345573312697237</v>
      </c>
      <c r="R97" s="66" t="n">
        <v>0.0330298900825089</v>
      </c>
      <c r="S97" s="62" t="n">
        <v>3.55505458491613</v>
      </c>
      <c r="T97" s="62" t="n">
        <v>-0.440873986477639</v>
      </c>
      <c r="U97" s="60" t="s">
        <v>275</v>
      </c>
      <c r="V97" s="34"/>
      <c r="W97" s="13"/>
      <c r="X97" s="12"/>
      <c r="Y97" s="30" t="s">
        <v>321</v>
      </c>
      <c r="Z97" s="30" t="s">
        <v>217</v>
      </c>
      <c r="AA97" s="67" t="n">
        <v>4286546943.49521</v>
      </c>
      <c r="AB97" s="67" t="n">
        <v>2232000</v>
      </c>
      <c r="AC97" s="30" t="s">
        <v>204</v>
      </c>
      <c r="AD97" s="13" t="n">
        <v>-0.208969475832996</v>
      </c>
      <c r="AE97" s="56" t="n">
        <v>-1.63326740103662</v>
      </c>
      <c r="AF97" s="56" t="n">
        <v>0.807901496755618</v>
      </c>
      <c r="AG97" s="55" t="n">
        <f aca="false">Pronóstico!$B$5*P97*AE97</f>
        <v>-0.0102549414433883</v>
      </c>
      <c r="AH97" s="55" t="n">
        <f aca="false">IF(ISNUMBER(G97),G97,1)+2*'Mi portafolio'!$C$5</f>
        <v>0.0389543042</v>
      </c>
      <c r="AI97" s="55" t="n">
        <f aca="false">AF97*Pronóstico!$B$8+AG97-AH97</f>
        <v>-0.0427973290024708</v>
      </c>
    </row>
    <row r="98" customFormat="false" ht="15" hidden="false" customHeight="false" outlineLevel="0" collapsed="false">
      <c r="A98" s="60" t="s">
        <v>322</v>
      </c>
      <c r="B98" s="60" t="s">
        <v>203</v>
      </c>
      <c r="C98" s="61" t="n">
        <v>1482.01091003418</v>
      </c>
      <c r="D98" s="62" t="n">
        <v>-0.0057821189651602</v>
      </c>
      <c r="E98" s="61" t="n">
        <v>1451.81</v>
      </c>
      <c r="F98" s="61" t="n">
        <v>1523.19</v>
      </c>
      <c r="G98" s="63" t="n">
        <v>0.0479865546</v>
      </c>
      <c r="H98" s="64" t="n">
        <v>1600</v>
      </c>
      <c r="I98" s="64" t="n">
        <v>1600</v>
      </c>
      <c r="J98" s="65" t="s">
        <v>204</v>
      </c>
      <c r="K98" s="62" t="n">
        <v>0.113120442832945</v>
      </c>
      <c r="L98" s="62" t="n">
        <v>-0.017294656391036</v>
      </c>
      <c r="M98" s="62" t="n">
        <v>0.199474213667189</v>
      </c>
      <c r="N98" s="62" t="n">
        <v>0.359130784620972</v>
      </c>
      <c r="O98" s="62" t="n">
        <v>0.400331291702276</v>
      </c>
      <c r="P98" s="62" t="n">
        <v>0.126092504747795</v>
      </c>
      <c r="Q98" s="62" t="n">
        <v>-0.218349664271552</v>
      </c>
      <c r="R98" s="66" t="n">
        <v>0.659502730896446</v>
      </c>
      <c r="S98" s="62" t="n">
        <v>0.359135469140158</v>
      </c>
      <c r="T98" s="62" t="n">
        <v>-0.39631818337384</v>
      </c>
      <c r="U98" s="60" t="s">
        <v>275</v>
      </c>
      <c r="V98" s="34" t="n">
        <v>1838.36936462784</v>
      </c>
      <c r="W98" s="13" t="n">
        <v>0.240456026457619</v>
      </c>
      <c r="X98" s="12" t="n">
        <v>24</v>
      </c>
      <c r="Y98" s="30" t="s">
        <v>323</v>
      </c>
      <c r="Z98" s="30" t="s">
        <v>204</v>
      </c>
      <c r="AA98" s="67" t="n">
        <v>11457637971.7704</v>
      </c>
      <c r="AB98" s="67" t="n">
        <v>2365984</v>
      </c>
      <c r="AC98" s="30" t="s">
        <v>204</v>
      </c>
      <c r="AD98" s="13" t="n">
        <v>0.221009634107445</v>
      </c>
      <c r="AE98" s="56" t="n">
        <v>0.436519770919076</v>
      </c>
      <c r="AF98" s="56" t="n">
        <v>1.70584965511343</v>
      </c>
      <c r="AG98" s="55" t="n">
        <f aca="false">Pronóstico!$B$5*P98*AE98</f>
        <v>0.002752093564356</v>
      </c>
      <c r="AH98" s="55" t="n">
        <f aca="false">IF(ISNUMBER(G98),G98,1)+2*'Mi portafolio'!$C$5</f>
        <v>0.0503065546</v>
      </c>
      <c r="AI98" s="55" t="n">
        <f aca="false">AF98*Pronóstico!$B$8+AG98-AH98</f>
        <v>-0.034015971709347</v>
      </c>
    </row>
    <row r="99" customFormat="false" ht="15" hidden="false" customHeight="false" outlineLevel="0" collapsed="false">
      <c r="A99" s="60" t="s">
        <v>324</v>
      </c>
      <c r="B99" s="60" t="s">
        <v>203</v>
      </c>
      <c r="C99" s="61" t="n">
        <v>8290.3842792511</v>
      </c>
      <c r="D99" s="62" t="n">
        <v>-0.0209206601266799</v>
      </c>
      <c r="E99" s="61" t="n">
        <v>8427.01</v>
      </c>
      <c r="F99" s="61" t="n">
        <v>8479.99</v>
      </c>
      <c r="G99" s="63" t="n">
        <v>0.0062672266</v>
      </c>
      <c r="H99" s="64" t="n">
        <v>4400</v>
      </c>
      <c r="I99" s="64" t="n">
        <v>4600</v>
      </c>
      <c r="J99" s="65" t="s">
        <v>204</v>
      </c>
      <c r="K99" s="62" t="n">
        <v>0.131485407882253</v>
      </c>
      <c r="L99" s="62" t="n">
        <v>0.129028681869659</v>
      </c>
      <c r="M99" s="62" t="n">
        <v>0.290074911074324</v>
      </c>
      <c r="N99" s="62" t="n">
        <v>0.543734224141781</v>
      </c>
      <c r="O99" s="62" t="n">
        <v>0.393394575847441</v>
      </c>
      <c r="P99" s="62" t="n">
        <v>0.123907644620722</v>
      </c>
      <c r="Q99" s="62" t="n">
        <v>-0.2170463698178</v>
      </c>
      <c r="R99" s="66" t="n">
        <v>0.783383387216353</v>
      </c>
      <c r="S99" s="62" t="n">
        <v>0.351673422385838</v>
      </c>
      <c r="T99" s="62" t="n">
        <v>-0.212660062279306</v>
      </c>
      <c r="U99" s="60" t="s">
        <v>275</v>
      </c>
      <c r="V99" s="34" t="n">
        <v>10075.0855704498</v>
      </c>
      <c r="W99" s="13" t="n">
        <v>0.215273650904871</v>
      </c>
      <c r="X99" s="12" t="n">
        <v>20</v>
      </c>
      <c r="Y99" s="30" t="s">
        <v>325</v>
      </c>
      <c r="Z99" s="30" t="s">
        <v>204</v>
      </c>
      <c r="AA99" s="67" t="n">
        <v>78684641297.3759</v>
      </c>
      <c r="AB99" s="67" t="n">
        <v>37311956</v>
      </c>
      <c r="AC99" s="30" t="s">
        <v>204</v>
      </c>
      <c r="AD99" s="13" t="n">
        <v>0.36434302500738</v>
      </c>
      <c r="AE99" s="56" t="n">
        <v>0.747005644217398</v>
      </c>
      <c r="AF99" s="56" t="n">
        <v>1.47069957242248</v>
      </c>
      <c r="AG99" s="55" t="n">
        <f aca="false">Pronóstico!$B$5*P99*AE99</f>
        <v>0.00462798549466814</v>
      </c>
      <c r="AH99" s="55" t="n">
        <f aca="false">IF(ISNUMBER(G99),G99,1)+2*'Mi portafolio'!$C$5</f>
        <v>0.0085872266</v>
      </c>
      <c r="AI99" s="55" t="n">
        <f aca="false">AF99*Pronóstico!$B$8+AG99-AH99</f>
        <v>0.00771297772341796</v>
      </c>
    </row>
    <row r="100" customFormat="false" ht="15" hidden="false" customHeight="false" outlineLevel="0" collapsed="false">
      <c r="A100" s="60" t="s">
        <v>326</v>
      </c>
      <c r="B100" s="60" t="s">
        <v>203</v>
      </c>
      <c r="C100" s="61" t="n">
        <v>14441.3467578888</v>
      </c>
      <c r="D100" s="62" t="n">
        <v>-0.010544528917495</v>
      </c>
      <c r="E100" s="61" t="n">
        <v>14590.01</v>
      </c>
      <c r="F100" s="61" t="n">
        <v>14988.79</v>
      </c>
      <c r="G100" s="63" t="n">
        <v>0.0269639066</v>
      </c>
      <c r="H100" s="64" t="n">
        <v>500</v>
      </c>
      <c r="I100" s="64" t="n">
        <v>400</v>
      </c>
      <c r="J100" s="65" t="s">
        <v>204</v>
      </c>
      <c r="K100" s="62" t="n">
        <v>0.0492140501465592</v>
      </c>
      <c r="L100" s="62" t="n">
        <v>-0.110709673517122</v>
      </c>
      <c r="M100" s="62" t="n">
        <v>0.0929820530278278</v>
      </c>
      <c r="N100" s="62" t="n">
        <v>0.502939183582027</v>
      </c>
      <c r="O100" s="62" t="n">
        <v>0.412120851247708</v>
      </c>
      <c r="P100" s="62" t="n">
        <v>0.129805866964962</v>
      </c>
      <c r="Q100" s="62" t="n">
        <v>-0.287556569111644</v>
      </c>
      <c r="R100" s="66" t="n">
        <v>0.9995901252874</v>
      </c>
      <c r="S100" s="62" t="n">
        <v>0.264376193161085</v>
      </c>
      <c r="T100" s="62" t="n">
        <v>-0.240854330513433</v>
      </c>
      <c r="U100" s="60" t="s">
        <v>327</v>
      </c>
      <c r="V100" s="34" t="n">
        <v>17622.9043258743</v>
      </c>
      <c r="W100" s="13" t="n">
        <v>0.220308924183097</v>
      </c>
      <c r="X100" s="12" t="n">
        <v>26</v>
      </c>
      <c r="Y100" s="30" t="s">
        <v>252</v>
      </c>
      <c r="Z100" s="30" t="s">
        <v>204</v>
      </c>
      <c r="AA100" s="67" t="n">
        <v>34829633940.3171</v>
      </c>
      <c r="AB100" s="67" t="n">
        <v>5860000</v>
      </c>
      <c r="AC100" s="30" t="s">
        <v>204</v>
      </c>
      <c r="AD100" s="13" t="n">
        <v>0.432442868423358</v>
      </c>
      <c r="AE100" s="56" t="n">
        <v>0.979300468448638</v>
      </c>
      <c r="AF100" s="56" t="n">
        <v>1.39501133114432</v>
      </c>
      <c r="AG100" s="55" t="n">
        <f aca="false">Pronóstico!$B$5*P100*AE100</f>
        <v>0.00635594731630843</v>
      </c>
      <c r="AH100" s="55" t="n">
        <f aca="false">IF(ISNUMBER(G100),G100,1)+2*'Mi portafolio'!$C$5</f>
        <v>0.0292839066</v>
      </c>
      <c r="AI100" s="55" t="n">
        <f aca="false">AF100*Pronóstico!$B$8+AG100-AH100</f>
        <v>-0.0118564407825462</v>
      </c>
    </row>
    <row r="101" customFormat="false" ht="15" hidden="false" customHeight="false" outlineLevel="0" collapsed="false">
      <c r="A101" s="60" t="s">
        <v>328</v>
      </c>
      <c r="B101" s="60" t="s">
        <v>203</v>
      </c>
      <c r="C101" s="61" t="n">
        <v>2787.93772125244</v>
      </c>
      <c r="D101" s="62" t="n">
        <v>0.0158185594672377</v>
      </c>
      <c r="E101" s="61" t="n">
        <v>2728.01</v>
      </c>
      <c r="F101" s="61" t="n">
        <v>2849.99</v>
      </c>
      <c r="G101" s="63" t="n">
        <v>0.0437361061</v>
      </c>
      <c r="H101" s="64" t="n">
        <v>1200</v>
      </c>
      <c r="I101" s="64" t="n">
        <v>1000</v>
      </c>
      <c r="J101" s="65" t="s">
        <v>204</v>
      </c>
      <c r="K101" s="62" t="n">
        <v>0.078223719505694</v>
      </c>
      <c r="L101" s="62" t="n">
        <v>0.119120596445971</v>
      </c>
      <c r="M101" s="62" t="n">
        <v>0.477834047420694</v>
      </c>
      <c r="N101" s="62" t="n">
        <v>0.605555827815233</v>
      </c>
      <c r="O101" s="62" t="n">
        <v>0.413821073766826</v>
      </c>
      <c r="P101" s="62" t="n">
        <v>0.130341386721992</v>
      </c>
      <c r="Q101" s="62" t="n">
        <v>-0.305851411534577</v>
      </c>
      <c r="R101" s="66" t="n">
        <v>0.698675771561416</v>
      </c>
      <c r="S101" s="62" t="n">
        <v>0.760456453807885</v>
      </c>
      <c r="T101" s="62" t="n">
        <v>-0.37047358664893</v>
      </c>
      <c r="U101" s="60" t="s">
        <v>327</v>
      </c>
      <c r="V101" s="34" t="n">
        <v>2946.71293468475</v>
      </c>
      <c r="W101" s="13" t="n">
        <v>0.056950774840474</v>
      </c>
      <c r="X101" s="12" t="n">
        <v>20</v>
      </c>
      <c r="Y101" s="30" t="s">
        <v>295</v>
      </c>
      <c r="Z101" s="30" t="s">
        <v>204</v>
      </c>
      <c r="AA101" s="67" t="n">
        <v>4681580928.52007</v>
      </c>
      <c r="AB101" s="67" t="n">
        <v>2749000</v>
      </c>
      <c r="AC101" s="30" t="s">
        <v>204</v>
      </c>
      <c r="AD101" s="13" t="n">
        <v>0.48907485410476</v>
      </c>
      <c r="AE101" s="56" t="n">
        <v>0.336924650392874</v>
      </c>
      <c r="AF101" s="56" t="n">
        <v>1.38999753147202</v>
      </c>
      <c r="AG101" s="55" t="n">
        <f aca="false">Pronóstico!$B$5*P101*AE101</f>
        <v>0.00219576130765148</v>
      </c>
      <c r="AH101" s="55" t="n">
        <f aca="false">IF(ISNUMBER(G101),G101,1)+2*'Mi portafolio'!$C$5</f>
        <v>0.0460561061</v>
      </c>
      <c r="AI101" s="55" t="n">
        <f aca="false">AF101*Pronóstico!$B$8+AG101-AH101</f>
        <v>-0.0328286183520944</v>
      </c>
    </row>
    <row r="102" customFormat="false" ht="15" hidden="false" customHeight="false" outlineLevel="0" collapsed="false">
      <c r="A102" s="60" t="s">
        <v>161</v>
      </c>
      <c r="B102" s="60" t="s">
        <v>203</v>
      </c>
      <c r="C102" s="61" t="n">
        <v>1910.6032371521</v>
      </c>
      <c r="D102" s="62" t="n">
        <v>-0.0053019258667821</v>
      </c>
      <c r="E102" s="61" t="n">
        <v>1917.67</v>
      </c>
      <c r="F102" s="61" t="n">
        <v>1921.64</v>
      </c>
      <c r="G102" s="63" t="n">
        <v>0.0020680799</v>
      </c>
      <c r="H102" s="64" t="n">
        <v>3750</v>
      </c>
      <c r="I102" s="64" t="n">
        <v>3750</v>
      </c>
      <c r="J102" s="65" t="s">
        <v>204</v>
      </c>
      <c r="K102" s="62" t="n">
        <v>0.0338267894820039</v>
      </c>
      <c r="L102" s="62" t="n">
        <v>-0.0272986281544972</v>
      </c>
      <c r="M102" s="62" t="n">
        <v>-0.160696246230795</v>
      </c>
      <c r="N102" s="62" t="n">
        <v>-0.37310469139812</v>
      </c>
      <c r="O102" s="62" t="n">
        <v>0.405014308814269</v>
      </c>
      <c r="P102" s="62" t="n">
        <v>0.127567516493485</v>
      </c>
      <c r="Q102" s="62" t="n">
        <v>-0.494763896592461</v>
      </c>
      <c r="R102" s="66" t="n">
        <v>0.554926581070806</v>
      </c>
      <c r="S102" s="62" t="n">
        <v>0.649286150797923</v>
      </c>
      <c r="T102" s="62" t="n">
        <v>-0.258117151123066</v>
      </c>
      <c r="U102" s="60" t="s">
        <v>275</v>
      </c>
      <c r="V102" s="34" t="n">
        <v>3371.14949554062</v>
      </c>
      <c r="W102" s="13" t="n">
        <v>0.764442470308788</v>
      </c>
      <c r="X102" s="12" t="n">
        <v>39</v>
      </c>
      <c r="Y102" s="30" t="s">
        <v>329</v>
      </c>
      <c r="Z102" s="30" t="s">
        <v>217</v>
      </c>
      <c r="AA102" s="67" t="n">
        <v>16442413108.1089</v>
      </c>
      <c r="AB102" s="67" t="n">
        <v>7191525</v>
      </c>
      <c r="AC102" s="30" t="s">
        <v>204</v>
      </c>
      <c r="AD102" s="13" t="n">
        <v>-0.393616691906403</v>
      </c>
      <c r="AE102" s="56" t="n">
        <v>0.916782504705244</v>
      </c>
      <c r="AF102" s="56" t="n">
        <v>0.94932213921129</v>
      </c>
      <c r="AG102" s="55" t="n">
        <f aca="false">Pronóstico!$B$5*P102*AE102</f>
        <v>0.00584758336449622</v>
      </c>
      <c r="AH102" s="55" t="n">
        <f aca="false">IF(ISNUMBER(G102),G102,1)+2*'Mi portafolio'!$C$5</f>
        <v>0.0043880799</v>
      </c>
      <c r="AI102" s="55" t="n">
        <f aca="false">AF102*Pronóstico!$B$8+AG102-AH102</f>
        <v>0.00899380615664932</v>
      </c>
    </row>
    <row r="103" customFormat="false" ht="15" hidden="false" customHeight="false" outlineLevel="0" collapsed="false">
      <c r="A103" s="60" t="s">
        <v>330</v>
      </c>
      <c r="B103" s="60" t="s">
        <v>203</v>
      </c>
      <c r="C103" s="61" t="n">
        <v>12964.8725128174</v>
      </c>
      <c r="D103" s="62" t="n">
        <v>0.0012166135003723</v>
      </c>
      <c r="E103" s="61" t="n">
        <v>13044.02</v>
      </c>
      <c r="F103" s="61" t="n">
        <v>13130.69</v>
      </c>
      <c r="G103" s="63" t="n">
        <v>0.0066224229</v>
      </c>
      <c r="H103" s="64" t="n">
        <v>1400</v>
      </c>
      <c r="I103" s="64" t="n">
        <v>1200</v>
      </c>
      <c r="J103" s="65" t="s">
        <v>204</v>
      </c>
      <c r="K103" s="62" t="n">
        <v>0.174926861795164</v>
      </c>
      <c r="L103" s="62" t="n">
        <v>0.13001266559473</v>
      </c>
      <c r="M103" s="62" t="n">
        <v>0.121852825474795</v>
      </c>
      <c r="N103" s="62" t="n">
        <v>-0.0145238724714614</v>
      </c>
      <c r="O103" s="62" t="n">
        <v>0.417063230873435</v>
      </c>
      <c r="P103" s="62" t="n">
        <v>0.131362570223836</v>
      </c>
      <c r="Q103" s="62" t="n">
        <v>-0.330208010600445</v>
      </c>
      <c r="R103" s="66" t="n">
        <v>0.421571441108577</v>
      </c>
      <c r="S103" s="62" t="n">
        <v>0.475374630328348</v>
      </c>
      <c r="T103" s="62" t="n">
        <v>-0.263386454721765</v>
      </c>
      <c r="U103" s="60" t="s">
        <v>327</v>
      </c>
      <c r="V103" s="34" t="n">
        <v>14510.4189224243</v>
      </c>
      <c r="W103" s="13" t="n">
        <v>0.119210305236628</v>
      </c>
      <c r="X103" s="12" t="n">
        <v>58</v>
      </c>
      <c r="Y103" s="30" t="s">
        <v>243</v>
      </c>
      <c r="Z103" s="30" t="s">
        <v>204</v>
      </c>
      <c r="AA103" s="67" t="n">
        <v>280847253949.579</v>
      </c>
      <c r="AB103" s="67" t="n">
        <v>15720000</v>
      </c>
      <c r="AC103" s="30" t="s">
        <v>204</v>
      </c>
      <c r="AD103" s="13" t="n">
        <v>-0.161244704182833</v>
      </c>
      <c r="AE103" s="56" t="n">
        <v>-1.33108799232147</v>
      </c>
      <c r="AF103" s="56" t="n">
        <v>1.0113239594534</v>
      </c>
      <c r="AG103" s="55" t="n">
        <f aca="false">Pronóstico!$B$5*P103*AE103</f>
        <v>-0.00874275699327173</v>
      </c>
      <c r="AH103" s="55" t="n">
        <f aca="false">IF(ISNUMBER(G103),G103,1)+2*'Mi portafolio'!$C$5</f>
        <v>0.0089424229</v>
      </c>
      <c r="AI103" s="55" t="n">
        <f aca="false">AF103*Pronóstico!$B$8+AG103-AH103</f>
        <v>-0.00965879926268922</v>
      </c>
    </row>
    <row r="104" customFormat="false" ht="15" hidden="false" customHeight="false" outlineLevel="0" collapsed="false">
      <c r="A104" s="60" t="s">
        <v>331</v>
      </c>
      <c r="B104" s="60" t="s">
        <v>203</v>
      </c>
      <c r="C104" s="61" t="n">
        <v>33497.9122047424</v>
      </c>
      <c r="D104" s="62" t="n">
        <v>-0.0035667637764579</v>
      </c>
      <c r="E104" s="61" t="n">
        <v>33001.51</v>
      </c>
      <c r="F104" s="61" t="n">
        <v>33759.96</v>
      </c>
      <c r="G104" s="63" t="n">
        <v>0.0227211893</v>
      </c>
      <c r="H104" s="64" t="n">
        <v>485</v>
      </c>
      <c r="I104" s="64" t="n">
        <v>185</v>
      </c>
      <c r="J104" s="65" t="s">
        <v>204</v>
      </c>
      <c r="K104" s="62" t="n">
        <v>0.0568560003762284</v>
      </c>
      <c r="L104" s="62" t="n">
        <v>0.0261206096759589</v>
      </c>
      <c r="M104" s="62" t="n">
        <v>0.0381019854949589</v>
      </c>
      <c r="N104" s="62" t="n">
        <v>-0.101515980750789</v>
      </c>
      <c r="O104" s="62" t="n">
        <v>0.413170438802869</v>
      </c>
      <c r="P104" s="62" t="n">
        <v>0.130136455970931</v>
      </c>
      <c r="Q104" s="62" t="n">
        <v>-0.388613986030789</v>
      </c>
      <c r="R104" s="66" t="n">
        <v>0.538951637298274</v>
      </c>
      <c r="S104" s="62" t="n">
        <v>0.359336519109318</v>
      </c>
      <c r="T104" s="62" t="n">
        <v>-0.255397950307728</v>
      </c>
      <c r="U104" s="60" t="s">
        <v>327</v>
      </c>
      <c r="V104" s="34" t="n">
        <v>41312.1977561951</v>
      </c>
      <c r="W104" s="13" t="n">
        <v>0.233276793601075</v>
      </c>
      <c r="X104" s="12" t="n">
        <v>26</v>
      </c>
      <c r="Y104" s="30" t="s">
        <v>220</v>
      </c>
      <c r="Z104" s="30" t="s">
        <v>204</v>
      </c>
      <c r="AA104" s="67" t="n">
        <v>22451332357.9839</v>
      </c>
      <c r="AB104" s="67" t="n">
        <v>6184918.15</v>
      </c>
      <c r="AC104" s="30" t="s">
        <v>204</v>
      </c>
      <c r="AD104" s="13" t="n">
        <v>-0.149851995986813</v>
      </c>
      <c r="AE104" s="56" t="n">
        <v>-0.727575487745956</v>
      </c>
      <c r="AF104" s="56" t="n">
        <v>1.31756608109741</v>
      </c>
      <c r="AG104" s="55" t="n">
        <f aca="false">Pronóstico!$B$5*P104*AE104</f>
        <v>-0.00473420477132903</v>
      </c>
      <c r="AH104" s="55" t="n">
        <f aca="false">IF(ISNUMBER(G104),G104,1)+2*'Mi portafolio'!$C$5</f>
        <v>0.0250411893</v>
      </c>
      <c r="AI104" s="55" t="n">
        <f aca="false">AF104*Pronóstico!$B$8+AG104-AH104</f>
        <v>-0.0193185204118257</v>
      </c>
    </row>
    <row r="105" customFormat="false" ht="15" hidden="false" customHeight="false" outlineLevel="0" collapsed="false">
      <c r="A105" s="60" t="s">
        <v>332</v>
      </c>
      <c r="B105" s="60" t="s">
        <v>203</v>
      </c>
      <c r="C105" s="61" t="n">
        <v>282.551443099976</v>
      </c>
      <c r="D105" s="62" t="n">
        <v>0.0084135837037264</v>
      </c>
      <c r="E105" s="61" t="n">
        <v>281.02</v>
      </c>
      <c r="F105" s="61" t="n">
        <v>282</v>
      </c>
      <c r="G105" s="63" t="n">
        <v>0.0034812262</v>
      </c>
      <c r="H105" s="64" t="n">
        <v>12800</v>
      </c>
      <c r="I105" s="64" t="n">
        <v>4</v>
      </c>
      <c r="J105" s="65" t="s">
        <v>204</v>
      </c>
      <c r="K105" s="62" t="n">
        <v>0.113025038792592</v>
      </c>
      <c r="L105" s="62" t="n">
        <v>0.180090096823221</v>
      </c>
      <c r="M105" s="62" t="n">
        <v>0.0666440209017786</v>
      </c>
      <c r="N105" s="62" t="n">
        <v>0.0212004457353442</v>
      </c>
      <c r="O105" s="62" t="n">
        <v>0.424158426757891</v>
      </c>
      <c r="P105" s="62" t="n">
        <v>0.133597346868308</v>
      </c>
      <c r="Q105" s="62" t="n">
        <v>-0.375764689576668</v>
      </c>
      <c r="R105" s="66" t="n">
        <v>0.80681229250231</v>
      </c>
      <c r="S105" s="62" t="n">
        <v>0.332751082007414</v>
      </c>
      <c r="T105" s="62" t="n">
        <v>-0.348250302032954</v>
      </c>
      <c r="U105" s="60" t="s">
        <v>327</v>
      </c>
      <c r="V105" s="34" t="n">
        <v>340.781365398407</v>
      </c>
      <c r="W105" s="13" t="n">
        <v>0.206086090587857</v>
      </c>
      <c r="X105" s="12" t="n">
        <v>22</v>
      </c>
      <c r="Y105" s="30" t="s">
        <v>266</v>
      </c>
      <c r="Z105" s="30" t="s">
        <v>204</v>
      </c>
      <c r="AA105" s="67" t="n">
        <v>20795285610.3805</v>
      </c>
      <c r="AB105" s="67" t="n">
        <v>1127.12</v>
      </c>
      <c r="AC105" s="30" t="s">
        <v>217</v>
      </c>
      <c r="AD105" s="13" t="n">
        <v>-0.0825000245788352</v>
      </c>
      <c r="AE105" s="56" t="n">
        <v>-0.658267542169888</v>
      </c>
      <c r="AF105" s="56" t="n">
        <v>1.53442492918603</v>
      </c>
      <c r="AG105" s="55" t="n">
        <f aca="false">Pronóstico!$B$5*P105*AE105</f>
        <v>-0.00439713985817094</v>
      </c>
      <c r="AH105" s="55" t="n">
        <f aca="false">IF(ISNUMBER(G105),G105,1)+2*'Mi portafolio'!$C$5</f>
        <v>0.0058012262</v>
      </c>
      <c r="AI105" s="55" t="n">
        <f aca="false">AF105*Pronóstico!$B$8+AG105-AH105</f>
        <v>0.00197960957028961</v>
      </c>
    </row>
    <row r="106" customFormat="false" ht="15" hidden="false" customHeight="false" outlineLevel="0" collapsed="false">
      <c r="A106" s="60" t="s">
        <v>333</v>
      </c>
      <c r="B106" s="60" t="s">
        <v>203</v>
      </c>
      <c r="C106" s="61" t="n">
        <v>747.540534973145</v>
      </c>
      <c r="D106" s="62" t="n">
        <v>-0.0039364198060041</v>
      </c>
      <c r="E106" s="61"/>
      <c r="F106" s="61"/>
      <c r="G106" s="63"/>
      <c r="H106" s="64" t="n">
        <v>0</v>
      </c>
      <c r="I106" s="64" t="n">
        <v>0</v>
      </c>
      <c r="J106" s="65" t="s">
        <v>297</v>
      </c>
      <c r="K106" s="62" t="n">
        <v>0.141655201475256</v>
      </c>
      <c r="L106" s="62" t="n">
        <v>-0.105415202209557</v>
      </c>
      <c r="M106" s="62" t="n">
        <v>0.0472630691254476</v>
      </c>
      <c r="N106" s="62" t="n">
        <v>0.230285405333645</v>
      </c>
      <c r="O106" s="62" t="n">
        <v>0.446738967620149</v>
      </c>
      <c r="P106" s="62" t="n">
        <v>0.140709548724363</v>
      </c>
      <c r="Q106" s="62" t="n">
        <v>-0.319717725357746</v>
      </c>
      <c r="R106" s="66" t="n">
        <v>0.729768581109614</v>
      </c>
      <c r="S106" s="62" t="n">
        <v>0.335687653995963</v>
      </c>
      <c r="T106" s="62" t="n">
        <v>-0.269210039299572</v>
      </c>
      <c r="U106" s="60" t="s">
        <v>327</v>
      </c>
      <c r="V106" s="34" t="n">
        <v>893.522240211487</v>
      </c>
      <c r="W106" s="13" t="n">
        <v>0.195282661486158</v>
      </c>
      <c r="X106" s="12" t="n">
        <v>23</v>
      </c>
      <c r="Y106" s="30" t="s">
        <v>213</v>
      </c>
      <c r="Z106" s="30" t="s">
        <v>204</v>
      </c>
      <c r="AA106" s="67" t="n">
        <v>4614182615.1662</v>
      </c>
      <c r="AB106" s="67" t="n">
        <v>0</v>
      </c>
      <c r="AC106" s="30" t="s">
        <v>217</v>
      </c>
      <c r="AD106" s="13" t="n">
        <v>0.0776330749808349</v>
      </c>
      <c r="AE106" s="56" t="n">
        <v>-0.224962918632689</v>
      </c>
      <c r="AF106" s="56" t="n">
        <v>1.58663622826057</v>
      </c>
      <c r="AG106" s="55" t="n">
        <f aca="false">Pronóstico!$B$5*P106*AE106</f>
        <v>-0.00158272153802607</v>
      </c>
      <c r="AH106" s="55" t="n">
        <f aca="false">IF(ISNUMBER(G106),G106,1)+2*'Mi portafolio'!$C$5</f>
        <v>1.00232</v>
      </c>
      <c r="AI106" s="55" t="n">
        <f aca="false">AF106*Pronóstico!$B$8+AG106-AH106</f>
        <v>-0.991310370520085</v>
      </c>
    </row>
    <row r="107" customFormat="false" ht="15" hidden="false" customHeight="false" outlineLevel="0" collapsed="false">
      <c r="A107" s="60" t="s">
        <v>334</v>
      </c>
      <c r="B107" s="60" t="s">
        <v>203</v>
      </c>
      <c r="C107" s="61" t="n">
        <v>1707.28963851929</v>
      </c>
      <c r="D107" s="62" t="n">
        <v>0.0006353809933248</v>
      </c>
      <c r="E107" s="61" t="n">
        <v>1672.81</v>
      </c>
      <c r="F107" s="61" t="n">
        <v>1745.77</v>
      </c>
      <c r="G107" s="63" t="n">
        <v>0.0426843894</v>
      </c>
      <c r="H107" s="64" t="n">
        <v>800</v>
      </c>
      <c r="I107" s="64" t="n">
        <v>800</v>
      </c>
      <c r="J107" s="65" t="s">
        <v>204</v>
      </c>
      <c r="K107" s="62" t="n">
        <v>0.047736324764926</v>
      </c>
      <c r="L107" s="62" t="n">
        <v>0.0597496724188726</v>
      </c>
      <c r="M107" s="62" t="n">
        <v>0.109300174940703</v>
      </c>
      <c r="N107" s="62" t="n">
        <v>0.155576109077327</v>
      </c>
      <c r="O107" s="62" t="n">
        <v>0.448847413708305</v>
      </c>
      <c r="P107" s="62" t="n">
        <v>0.141373646819845</v>
      </c>
      <c r="Q107" s="62" t="n">
        <v>-0.247776036069168</v>
      </c>
      <c r="R107" s="66" t="n">
        <v>0.203797933394572</v>
      </c>
      <c r="S107" s="62" t="n">
        <v>0.33222947153793</v>
      </c>
      <c r="T107" s="62" t="n">
        <v>-0.240560319203419</v>
      </c>
      <c r="U107" s="60" t="s">
        <v>327</v>
      </c>
      <c r="V107" s="34" t="n">
        <v>2146.41070556641</v>
      </c>
      <c r="W107" s="13" t="n">
        <v>0.257203615098352</v>
      </c>
      <c r="X107" s="12" t="n">
        <v>25</v>
      </c>
      <c r="Y107" s="30" t="s">
        <v>329</v>
      </c>
      <c r="Z107" s="30" t="s">
        <v>217</v>
      </c>
      <c r="AA107" s="67" t="n">
        <v>4663526342.91367</v>
      </c>
      <c r="AB107" s="67" t="n">
        <v>1368000</v>
      </c>
      <c r="AC107" s="30" t="s">
        <v>204</v>
      </c>
      <c r="AD107" s="13" t="n">
        <v>0.102926453692055</v>
      </c>
      <c r="AE107" s="56" t="n">
        <v>0.16078952005394</v>
      </c>
      <c r="AF107" s="56" t="n">
        <v>1.07429535542149</v>
      </c>
      <c r="AG107" s="55" t="n">
        <f aca="false">Pronóstico!$B$5*P107*AE107</f>
        <v>0.0011365700410219</v>
      </c>
      <c r="AH107" s="55" t="n">
        <f aca="false">IF(ISNUMBER(G107),G107,1)+2*'Mi portafolio'!$C$5</f>
        <v>0.0450043894</v>
      </c>
      <c r="AI107" s="55" t="n">
        <f aca="false">AF107*Pronóstico!$B$8+AG107-AH107</f>
        <v>-0.0353416657445218</v>
      </c>
    </row>
    <row r="108" customFormat="false" ht="15" hidden="false" customHeight="false" outlineLevel="0" collapsed="false">
      <c r="A108" s="60" t="s">
        <v>335</v>
      </c>
      <c r="B108" s="60" t="s">
        <v>203</v>
      </c>
      <c r="C108" s="61" t="n">
        <v>994.05827331543</v>
      </c>
      <c r="D108" s="62" t="n">
        <v>0.0060007050927721</v>
      </c>
      <c r="E108" s="61" t="n">
        <v>971.72</v>
      </c>
      <c r="F108" s="61" t="n">
        <v>998.99</v>
      </c>
      <c r="G108" s="63" t="n">
        <v>0.0276753048</v>
      </c>
      <c r="H108" s="64" t="n">
        <v>5415</v>
      </c>
      <c r="I108" s="64" t="n">
        <v>8000</v>
      </c>
      <c r="J108" s="65" t="s">
        <v>204</v>
      </c>
      <c r="K108" s="62" t="n">
        <v>0.125991783741473</v>
      </c>
      <c r="L108" s="62" t="n">
        <v>0.194131055219163</v>
      </c>
      <c r="M108" s="62" t="n">
        <v>0.168117223884513</v>
      </c>
      <c r="N108" s="62" t="n">
        <v>-0.191548212831303</v>
      </c>
      <c r="O108" s="62" t="n">
        <v>0.43535003139149</v>
      </c>
      <c r="P108" s="62" t="n">
        <v>0.137122370991196</v>
      </c>
      <c r="Q108" s="62" t="n">
        <v>-0.498464276660874</v>
      </c>
      <c r="R108" s="66" t="n">
        <v>-0.0036375748750614</v>
      </c>
      <c r="S108" s="62" t="n">
        <v>0.404835490540807</v>
      </c>
      <c r="T108" s="62" t="n">
        <v>-0.358619839353756</v>
      </c>
      <c r="U108" s="60" t="s">
        <v>327</v>
      </c>
      <c r="V108" s="34" t="n">
        <v>1033.2177431221</v>
      </c>
      <c r="W108" s="13" t="n">
        <v>0.0393935354273191</v>
      </c>
      <c r="X108" s="12" t="n">
        <v>32</v>
      </c>
      <c r="Y108" s="30" t="s">
        <v>209</v>
      </c>
      <c r="Z108" s="30" t="s">
        <v>204</v>
      </c>
      <c r="AA108" s="67" t="n">
        <v>11083236937.2081</v>
      </c>
      <c r="AB108" s="67" t="n">
        <v>5360850</v>
      </c>
      <c r="AC108" s="30" t="s">
        <v>204</v>
      </c>
      <c r="AD108" s="13" t="n">
        <v>-0.282009159531917</v>
      </c>
      <c r="AE108" s="56" t="n">
        <v>-2.0965440144147</v>
      </c>
      <c r="AF108" s="56" t="n">
        <v>1.08324233851683</v>
      </c>
      <c r="AG108" s="55" t="n">
        <f aca="false">Pronóstico!$B$5*P108*AE108</f>
        <v>-0.0143741543071972</v>
      </c>
      <c r="AH108" s="55" t="n">
        <f aca="false">IF(ISNUMBER(G108),G108,1)+2*'Mi portafolio'!$C$5</f>
        <v>0.0299953048</v>
      </c>
      <c r="AI108" s="55" t="n">
        <f aca="false">AF108*Pronóstico!$B$8+AG108-AH108</f>
        <v>-0.0357722976903969</v>
      </c>
    </row>
    <row r="109" customFormat="false" ht="15" hidden="false" customHeight="false" outlineLevel="0" collapsed="false">
      <c r="A109" s="60" t="s">
        <v>336</v>
      </c>
      <c r="B109" s="60" t="s">
        <v>203</v>
      </c>
      <c r="C109" s="61" t="n">
        <v>6723.68962478638</v>
      </c>
      <c r="D109" s="62" t="n">
        <v>-0.0092636761828159</v>
      </c>
      <c r="E109" s="61" t="n">
        <v>6766.88</v>
      </c>
      <c r="F109" s="61" t="n">
        <v>6789.99</v>
      </c>
      <c r="G109" s="63" t="n">
        <v>0.0034093415</v>
      </c>
      <c r="H109" s="64" t="n">
        <v>400</v>
      </c>
      <c r="I109" s="64" t="n">
        <v>200</v>
      </c>
      <c r="J109" s="65" t="s">
        <v>204</v>
      </c>
      <c r="K109" s="62" t="n">
        <v>0.0814291139146794</v>
      </c>
      <c r="L109" s="62" t="n">
        <v>-0.0264104014390892</v>
      </c>
      <c r="M109" s="62" t="n">
        <v>-0.005420328034367</v>
      </c>
      <c r="N109" s="62" t="n">
        <v>-0.16927637494907</v>
      </c>
      <c r="O109" s="62" t="n">
        <v>0.455659386759985</v>
      </c>
      <c r="P109" s="62" t="n">
        <v>0.143519216657038</v>
      </c>
      <c r="Q109" s="62" t="n">
        <v>-0.409474904661983</v>
      </c>
      <c r="R109" s="66" t="n">
        <v>1.00523538359431</v>
      </c>
      <c r="S109" s="62" t="n">
        <v>0.645612607514326</v>
      </c>
      <c r="T109" s="62" t="n">
        <v>-0.445868592184416</v>
      </c>
      <c r="U109" s="60" t="s">
        <v>327</v>
      </c>
      <c r="V109" s="34" t="n">
        <v>7123.63924104691</v>
      </c>
      <c r="W109" s="13" t="n">
        <v>0.0594836523664246</v>
      </c>
      <c r="X109" s="12" t="n">
        <v>37</v>
      </c>
      <c r="Y109" s="30" t="s">
        <v>213</v>
      </c>
      <c r="Z109" s="30" t="s">
        <v>204</v>
      </c>
      <c r="AA109" s="67" t="n">
        <v>231274652920.876</v>
      </c>
      <c r="AB109" s="67" t="n">
        <v>1346642</v>
      </c>
      <c r="AC109" s="30" t="s">
        <v>204</v>
      </c>
      <c r="AD109" s="13" t="n">
        <v>-0.231827944742691</v>
      </c>
      <c r="AE109" s="56" t="n">
        <v>-1.84368519162963</v>
      </c>
      <c r="AF109" s="56" t="n">
        <v>1.69736495137147</v>
      </c>
      <c r="AG109" s="55" t="n">
        <f aca="false">Pronóstico!$B$5*P109*AE109</f>
        <v>-0.0132302127232433</v>
      </c>
      <c r="AH109" s="55" t="n">
        <f aca="false">IF(ISNUMBER(G109),G109,1)+2*'Mi portafolio'!$C$5</f>
        <v>0.0057293415</v>
      </c>
      <c r="AI109" s="55" t="n">
        <f aca="false">AF109*Pronóstico!$B$8+AG109-AH109</f>
        <v>-0.00548840381553321</v>
      </c>
    </row>
    <row r="110" customFormat="false" ht="15" hidden="false" customHeight="false" outlineLevel="0" collapsed="false">
      <c r="A110" s="60" t="s">
        <v>337</v>
      </c>
      <c r="B110" s="60" t="s">
        <v>208</v>
      </c>
      <c r="C110" s="61" t="n">
        <v>11.45</v>
      </c>
      <c r="D110" s="62" t="n">
        <v>-0.0069324024237872</v>
      </c>
      <c r="E110" s="61" t="n">
        <v>11.48</v>
      </c>
      <c r="F110" s="61" t="n">
        <v>11.51</v>
      </c>
      <c r="G110" s="63" t="n">
        <v>0.0026098304</v>
      </c>
      <c r="H110" s="64" t="n">
        <v>419</v>
      </c>
      <c r="I110" s="64" t="n">
        <v>7505</v>
      </c>
      <c r="J110" s="65" t="s">
        <v>204</v>
      </c>
      <c r="K110" s="62" t="n">
        <v>0.0026246484838332</v>
      </c>
      <c r="L110" s="62" t="n">
        <v>-0.165331360507797</v>
      </c>
      <c r="M110" s="62" t="n">
        <v>-0.167151173871875</v>
      </c>
      <c r="N110" s="62" t="n">
        <v>-0.108171229732195</v>
      </c>
      <c r="O110" s="62" t="n">
        <v>0.470230787197649</v>
      </c>
      <c r="P110" s="62" t="n">
        <v>0.148108776396561</v>
      </c>
      <c r="Q110" s="62" t="n">
        <v>-0.412499965014664</v>
      </c>
      <c r="R110" s="66" t="n">
        <v>1.20199311684077</v>
      </c>
      <c r="S110" s="62" t="n">
        <v>0.492136774712405</v>
      </c>
      <c r="T110" s="62" t="n">
        <v>-0.376202981270938</v>
      </c>
      <c r="U110" s="60" t="s">
        <v>327</v>
      </c>
      <c r="V110" s="34" t="n">
        <v>16.91667</v>
      </c>
      <c r="W110" s="13" t="n">
        <v>0.477438427947598</v>
      </c>
      <c r="X110" s="12" t="n">
        <v>6</v>
      </c>
      <c r="Y110" s="30" t="s">
        <v>211</v>
      </c>
      <c r="Z110" s="30" t="s">
        <v>204</v>
      </c>
      <c r="AA110" s="67" t="n">
        <v>30018551.0247341</v>
      </c>
      <c r="AB110" s="67" t="n">
        <v>4814.31</v>
      </c>
      <c r="AC110" s="30" t="s">
        <v>204</v>
      </c>
      <c r="AD110" s="13" t="n">
        <v>-0.110505839232632</v>
      </c>
      <c r="AE110" s="56" t="n">
        <v>0.609768388079255</v>
      </c>
      <c r="AF110" s="56" t="n">
        <v>1.33465471855759</v>
      </c>
      <c r="AG110" s="55" t="n">
        <f aca="false">Pronóstico!$B$5*P110*AE110</f>
        <v>0.0045156024921861</v>
      </c>
      <c r="AH110" s="55" t="n">
        <f aca="false">IF(ISNUMBER(G110),G110,1)+2*'Mi portafolio'!$C$5</f>
        <v>0.0049298304</v>
      </c>
      <c r="AI110" s="55" t="n">
        <f aca="false">AF110*Pronóstico!$B$8+AG110-AH110</f>
        <v>0.0101782698585161</v>
      </c>
    </row>
    <row r="111" customFormat="false" ht="15" hidden="false" customHeight="false" outlineLevel="0" collapsed="false">
      <c r="A111" s="60" t="s">
        <v>338</v>
      </c>
      <c r="B111" s="60" t="s">
        <v>203</v>
      </c>
      <c r="C111" s="61" t="n">
        <v>1344.77423095703</v>
      </c>
      <c r="D111" s="62" t="n">
        <v>-0.0163977433083263</v>
      </c>
      <c r="E111" s="61" t="n">
        <v>1318.91</v>
      </c>
      <c r="F111" s="61" t="n">
        <v>1374.99</v>
      </c>
      <c r="G111" s="63" t="n">
        <v>0.0416348046</v>
      </c>
      <c r="H111" s="64" t="n">
        <v>2000</v>
      </c>
      <c r="I111" s="64" t="n">
        <v>1500</v>
      </c>
      <c r="J111" s="65" t="s">
        <v>204</v>
      </c>
      <c r="K111" s="62" t="n">
        <v>0.0013882133537002</v>
      </c>
      <c r="L111" s="62" t="n">
        <v>-0.0240549103883852</v>
      </c>
      <c r="M111" s="62" t="n">
        <v>0.14644805566424</v>
      </c>
      <c r="N111" s="62" t="n">
        <v>-0.0299117944567381</v>
      </c>
      <c r="O111" s="62" t="n">
        <v>0.471256294478917</v>
      </c>
      <c r="P111" s="62" t="n">
        <v>0.148431780829171</v>
      </c>
      <c r="Q111" s="62" t="n">
        <v>-0.428282136404396</v>
      </c>
      <c r="R111" s="66" t="n">
        <v>0.491938704211427</v>
      </c>
      <c r="S111" s="62" t="n">
        <v>0.596828805405131</v>
      </c>
      <c r="T111" s="62" t="n">
        <v>-0.419190251065293</v>
      </c>
      <c r="U111" s="60" t="s">
        <v>327</v>
      </c>
      <c r="V111" s="34" t="n">
        <v>1786.02609712982</v>
      </c>
      <c r="W111" s="13" t="n">
        <v>0.32812338012959</v>
      </c>
      <c r="X111" s="12" t="n">
        <v>42</v>
      </c>
      <c r="Y111" s="30" t="s">
        <v>228</v>
      </c>
      <c r="Z111" s="30" t="s">
        <v>204</v>
      </c>
      <c r="AA111" s="67" t="n">
        <v>5368764271.11987</v>
      </c>
      <c r="AB111" s="67" t="n">
        <v>2051370</v>
      </c>
      <c r="AC111" s="30" t="s">
        <v>204</v>
      </c>
      <c r="AD111" s="13" t="n">
        <v>-0.0312566169573865</v>
      </c>
      <c r="AE111" s="56" t="n">
        <v>0.1062354329887</v>
      </c>
      <c r="AF111" s="56" t="n">
        <v>1.82861026188522</v>
      </c>
      <c r="AG111" s="55" t="n">
        <f aca="false">Pronóstico!$B$5*P111*AE111</f>
        <v>0.000788435725283537</v>
      </c>
      <c r="AH111" s="55" t="n">
        <f aca="false">IF(ISNUMBER(G111),G111,1)+2*'Mi portafolio'!$C$5</f>
        <v>0.0439548046</v>
      </c>
      <c r="AI111" s="55" t="n">
        <f aca="false">AF111*Pronóstico!$B$8+AG111-AH111</f>
        <v>-0.0286535890184845</v>
      </c>
    </row>
    <row r="112" customFormat="false" ht="15" hidden="false" customHeight="false" outlineLevel="0" collapsed="false">
      <c r="A112" s="60" t="s">
        <v>339</v>
      </c>
      <c r="B112" s="60" t="s">
        <v>203</v>
      </c>
      <c r="C112" s="61" t="n">
        <v>1282.32791137695</v>
      </c>
      <c r="D112" s="62" t="n">
        <v>-0.0073437343650321</v>
      </c>
      <c r="E112" s="61" t="n">
        <v>1275.01</v>
      </c>
      <c r="F112" s="61" t="n">
        <v>1299.99</v>
      </c>
      <c r="G112" s="63" t="n">
        <v>0.0194019417</v>
      </c>
      <c r="H112" s="64" t="n">
        <v>1200</v>
      </c>
      <c r="I112" s="64" t="n">
        <v>1200</v>
      </c>
      <c r="J112" s="65" t="s">
        <v>204</v>
      </c>
      <c r="K112" s="62" t="n">
        <v>-0.0056249451350822</v>
      </c>
      <c r="L112" s="62" t="n">
        <v>0.224284727273282</v>
      </c>
      <c r="M112" s="62" t="n">
        <v>0.0839792045320158</v>
      </c>
      <c r="N112" s="62" t="n">
        <v>0.700923446705586</v>
      </c>
      <c r="O112" s="62" t="n">
        <v>0.466172604041829</v>
      </c>
      <c r="P112" s="62" t="n">
        <v>0.146830568848341</v>
      </c>
      <c r="Q112" s="62" t="n">
        <v>-0.218675121946518</v>
      </c>
      <c r="R112" s="66" t="n">
        <v>1.51143309092533</v>
      </c>
      <c r="S112" s="62" t="n">
        <v>0.329775229279888</v>
      </c>
      <c r="T112" s="62" t="n">
        <v>-0.23052361931678</v>
      </c>
      <c r="U112" s="60" t="s">
        <v>327</v>
      </c>
      <c r="V112" s="34" t="n">
        <v>1400.25633366394</v>
      </c>
      <c r="W112" s="13" t="n">
        <v>0.0919643261608154</v>
      </c>
      <c r="X112" s="12" t="n">
        <v>22</v>
      </c>
      <c r="Y112" s="30" t="s">
        <v>209</v>
      </c>
      <c r="Z112" s="30" t="s">
        <v>204</v>
      </c>
      <c r="AA112" s="67" t="n">
        <v>13683477916.1133</v>
      </c>
      <c r="AB112" s="67" t="n">
        <v>1541880</v>
      </c>
      <c r="AC112" s="30" t="s">
        <v>204</v>
      </c>
      <c r="AD112" s="13" t="n">
        <v>0.710545169434736</v>
      </c>
      <c r="AE112" s="56" t="n">
        <v>1.16016524651274</v>
      </c>
      <c r="AF112" s="56" t="n">
        <v>1.74549555501573</v>
      </c>
      <c r="AG112" s="55" t="n">
        <f aca="false">Pronóstico!$B$5*P112*AE112</f>
        <v>0.00851738615517703</v>
      </c>
      <c r="AH112" s="55" t="n">
        <f aca="false">IF(ISNUMBER(G112),G112,1)+2*'Mi portafolio'!$C$5</f>
        <v>0.0217219417</v>
      </c>
      <c r="AI112" s="55" t="n">
        <f aca="false">AF112*Pronóstico!$B$8+AG112-AH112</f>
        <v>0.000648583780698719</v>
      </c>
    </row>
    <row r="113" customFormat="false" ht="15" hidden="false" customHeight="false" outlineLevel="0" collapsed="false">
      <c r="A113" s="60" t="s">
        <v>340</v>
      </c>
      <c r="B113" s="60" t="s">
        <v>203</v>
      </c>
      <c r="C113" s="61" t="n">
        <v>4074.44082260132</v>
      </c>
      <c r="D113" s="62" t="n">
        <v>0.0103191285350645</v>
      </c>
      <c r="E113" s="61" t="n">
        <v>3940.61</v>
      </c>
      <c r="F113" s="61" t="n">
        <v>4053.64</v>
      </c>
      <c r="G113" s="63" t="n">
        <v>0.0282778247</v>
      </c>
      <c r="H113" s="64" t="n">
        <v>1050</v>
      </c>
      <c r="I113" s="64" t="n">
        <v>950</v>
      </c>
      <c r="J113" s="65" t="s">
        <v>204</v>
      </c>
      <c r="K113" s="62" t="n">
        <v>-0.0108324297264446</v>
      </c>
      <c r="L113" s="62" t="n">
        <v>0.36294201694671</v>
      </c>
      <c r="M113" s="62" t="n">
        <v>0.336194102807072</v>
      </c>
      <c r="N113" s="62" t="n">
        <v>-0.0822889663213097</v>
      </c>
      <c r="O113" s="62" t="n">
        <v>0.482232756170966</v>
      </c>
      <c r="P113" s="62" t="n">
        <v>0.151889041294955</v>
      </c>
      <c r="Q113" s="62" t="n">
        <v>-0.459336127527635</v>
      </c>
      <c r="R113" s="66" t="n">
        <v>-0.383269433330668</v>
      </c>
      <c r="S113" s="62" t="n">
        <v>0.563865502790191</v>
      </c>
      <c r="T113" s="62" t="n">
        <v>-0.335730725336574</v>
      </c>
      <c r="U113" s="60" t="s">
        <v>327</v>
      </c>
      <c r="V113" s="34" t="n">
        <v>5143.84766016007</v>
      </c>
      <c r="W113" s="13" t="n">
        <v>0.262467141902428</v>
      </c>
      <c r="X113" s="12" t="n">
        <v>54</v>
      </c>
      <c r="Y113" s="30" t="s">
        <v>341</v>
      </c>
      <c r="Z113" s="30" t="s">
        <v>217</v>
      </c>
      <c r="AA113" s="67" t="n">
        <v>45946896621.3389</v>
      </c>
      <c r="AB113" s="67" t="n">
        <v>3871250</v>
      </c>
      <c r="AC113" s="30" t="s">
        <v>204</v>
      </c>
      <c r="AD113" s="13" t="n">
        <v>-0.0722390611482579</v>
      </c>
      <c r="AE113" s="56" t="n">
        <v>-0.345876632296705</v>
      </c>
      <c r="AF113" s="56" t="n">
        <v>0.759522098870911</v>
      </c>
      <c r="AG113" s="55" t="n">
        <f aca="false">Pronóstico!$B$5*P113*AE113</f>
        <v>-0.00262674350429371</v>
      </c>
      <c r="AH113" s="55" t="n">
        <f aca="false">IF(ISNUMBER(G113),G113,1)+2*'Mi portafolio'!$C$5</f>
        <v>0.0305978247</v>
      </c>
      <c r="AI113" s="55" t="n">
        <f aca="false">AF113*Pronóstico!$B$8+AG113-AH113</f>
        <v>-0.0271966150386516</v>
      </c>
    </row>
    <row r="114" customFormat="false" ht="15" hidden="false" customHeight="false" outlineLevel="0" collapsed="false">
      <c r="A114" s="60" t="s">
        <v>342</v>
      </c>
      <c r="B114" s="60" t="s">
        <v>203</v>
      </c>
      <c r="C114" s="61" t="n">
        <v>717.76961517334</v>
      </c>
      <c r="D114" s="62" t="n">
        <v>0.0196403519978352</v>
      </c>
      <c r="E114" s="61" t="n">
        <v>705.01</v>
      </c>
      <c r="F114" s="61" t="n">
        <v>733.59</v>
      </c>
      <c r="G114" s="63" t="n">
        <v>0.0397330738</v>
      </c>
      <c r="H114" s="64" t="n">
        <v>16400</v>
      </c>
      <c r="I114" s="64" t="n">
        <v>20500</v>
      </c>
      <c r="J114" s="65" t="s">
        <v>204</v>
      </c>
      <c r="K114" s="62" t="n">
        <v>-0.0479406324307347</v>
      </c>
      <c r="L114" s="62" t="n">
        <v>0.145721328568664</v>
      </c>
      <c r="M114" s="62" t="n">
        <v>-0.0261989132112834</v>
      </c>
      <c r="N114" s="62" t="n">
        <v>0.193063708612678</v>
      </c>
      <c r="O114" s="62" t="n">
        <v>0.466589545164889</v>
      </c>
      <c r="P114" s="62" t="n">
        <v>0.146961892958219</v>
      </c>
      <c r="Q114" s="62" t="n">
        <v>-0.326014967540178</v>
      </c>
      <c r="R114" s="66" t="n">
        <v>1.36337833218663</v>
      </c>
      <c r="S114" s="62" t="n">
        <v>0.442165213449408</v>
      </c>
      <c r="T114" s="62" t="n">
        <v>-0.195792135427268</v>
      </c>
      <c r="U114" s="60" t="s">
        <v>327</v>
      </c>
      <c r="V114" s="34" t="n">
        <v>938.58960382843</v>
      </c>
      <c r="W114" s="13" t="n">
        <v>0.307647445624684</v>
      </c>
      <c r="X114" s="12" t="n">
        <v>16</v>
      </c>
      <c r="Y114" s="30" t="s">
        <v>313</v>
      </c>
      <c r="Z114" s="30" t="s">
        <v>204</v>
      </c>
      <c r="AA114" s="67" t="n">
        <v>6091178032.87544</v>
      </c>
      <c r="AB114" s="67" t="n">
        <v>11644000</v>
      </c>
      <c r="AC114" s="30" t="s">
        <v>204</v>
      </c>
      <c r="AD114" s="13" t="n">
        <v>0.253140034385386</v>
      </c>
      <c r="AE114" s="56" t="n">
        <v>0.869356764982945</v>
      </c>
      <c r="AF114" s="56" t="n">
        <v>1.58932967389332</v>
      </c>
      <c r="AG114" s="55" t="n">
        <f aca="false">Pronóstico!$B$5*P114*AE114</f>
        <v>0.00638811579189633</v>
      </c>
      <c r="AH114" s="55" t="n">
        <f aca="false">IF(ISNUMBER(G114),G114,1)+2*'Mi portafolio'!$C$5</f>
        <v>0.0420530738</v>
      </c>
      <c r="AI114" s="55" t="n">
        <f aca="false">AF114*Pronóstico!$B$8+AG114-AH114</f>
        <v>-0.0230512304375218</v>
      </c>
    </row>
    <row r="115" customFormat="false" ht="15" hidden="false" customHeight="false" outlineLevel="0" collapsed="false">
      <c r="A115" s="60" t="s">
        <v>343</v>
      </c>
      <c r="B115" s="60" t="s">
        <v>203</v>
      </c>
      <c r="C115" s="61" t="n">
        <v>6613.50091552734</v>
      </c>
      <c r="D115" s="62" t="n">
        <v>-0.0211907408886486</v>
      </c>
      <c r="E115" s="61" t="n">
        <v>6768</v>
      </c>
      <c r="F115" s="61" t="n">
        <v>6780</v>
      </c>
      <c r="G115" s="63" t="n">
        <v>0.0017714792</v>
      </c>
      <c r="H115" s="64" t="n">
        <v>7</v>
      </c>
      <c r="I115" s="64" t="n">
        <v>100</v>
      </c>
      <c r="J115" s="65" t="s">
        <v>204</v>
      </c>
      <c r="K115" s="62" t="n">
        <v>0.0767136931217007</v>
      </c>
      <c r="L115" s="62" t="n">
        <v>-0.0129151473338426</v>
      </c>
      <c r="M115" s="62" t="n">
        <v>-0.0292527601974458</v>
      </c>
      <c r="N115" s="62" t="n">
        <v>0.0362200401876309</v>
      </c>
      <c r="O115" s="62" t="n">
        <v>0.464947932832101</v>
      </c>
      <c r="P115" s="62" t="n">
        <v>0.146444833674679</v>
      </c>
      <c r="Q115" s="62" t="n">
        <v>-0.303816754012033</v>
      </c>
      <c r="R115" s="66" t="n">
        <v>0.659990275706983</v>
      </c>
      <c r="S115" s="62" t="n">
        <v>0.505074624173916</v>
      </c>
      <c r="T115" s="62" t="n">
        <v>-0.283135413439554</v>
      </c>
      <c r="U115" s="60" t="s">
        <v>327</v>
      </c>
      <c r="V115" s="34" t="n">
        <v>9644.95931484223</v>
      </c>
      <c r="W115" s="13" t="n">
        <v>0.458374231444884</v>
      </c>
      <c r="X115" s="12" t="n">
        <v>47</v>
      </c>
      <c r="Y115" s="30" t="s">
        <v>344</v>
      </c>
      <c r="Z115" s="30" t="s">
        <v>217</v>
      </c>
      <c r="AA115" s="67" t="n">
        <v>150913770731.126</v>
      </c>
      <c r="AB115" s="67" t="n">
        <v>47459.93</v>
      </c>
      <c r="AC115" s="30" t="s">
        <v>204</v>
      </c>
      <c r="AD115" s="13" t="n">
        <v>-0.0376085613034855</v>
      </c>
      <c r="AE115" s="56" t="n">
        <v>0.736474168175598</v>
      </c>
      <c r="AF115" s="56" t="n">
        <v>1.39178898568354</v>
      </c>
      <c r="AG115" s="55" t="n">
        <f aca="false">Pronóstico!$B$5*P115*AE115</f>
        <v>0.00539264185320864</v>
      </c>
      <c r="AH115" s="55" t="n">
        <f aca="false">IF(ISNUMBER(G115),G115,1)+2*'Mi portafolio'!$C$5</f>
        <v>0.0040914792</v>
      </c>
      <c r="AI115" s="55" t="n">
        <f aca="false">AF115*Pronóstico!$B$8+AG115-AH115</f>
        <v>0.0123471069840304</v>
      </c>
    </row>
    <row r="116" customFormat="false" ht="15" hidden="false" customHeight="false" outlineLevel="0" collapsed="false">
      <c r="A116" s="60" t="s">
        <v>345</v>
      </c>
      <c r="B116" s="60" t="s">
        <v>203</v>
      </c>
      <c r="C116" s="61" t="n">
        <v>230.815393447876</v>
      </c>
      <c r="D116" s="62" t="n">
        <v>-0.0007851512923979</v>
      </c>
      <c r="E116" s="61" t="n">
        <v>228.01</v>
      </c>
      <c r="F116" s="61" t="n">
        <v>237.59</v>
      </c>
      <c r="G116" s="63" t="n">
        <v>0.0411512027</v>
      </c>
      <c r="H116" s="64" t="n">
        <v>47900</v>
      </c>
      <c r="I116" s="64" t="n">
        <v>78900</v>
      </c>
      <c r="J116" s="65" t="s">
        <v>204</v>
      </c>
      <c r="K116" s="62" t="n">
        <v>0.0544301429910838</v>
      </c>
      <c r="L116" s="62" t="n">
        <v>-0.191675732466582</v>
      </c>
      <c r="M116" s="62" t="n">
        <v>0.0987785372296146</v>
      </c>
      <c r="N116" s="62" t="n">
        <v>0.0555369959720821</v>
      </c>
      <c r="O116" s="62" t="n">
        <v>0.483739343382624</v>
      </c>
      <c r="P116" s="62" t="n">
        <v>0.152363571662869</v>
      </c>
      <c r="Q116" s="62" t="n">
        <v>-0.372918490005926</v>
      </c>
      <c r="R116" s="66" t="n">
        <v>0.808034867687645</v>
      </c>
      <c r="S116" s="62" t="n">
        <v>0.3583879425318</v>
      </c>
      <c r="T116" s="62" t="n">
        <v>-0.386698741194855</v>
      </c>
      <c r="U116" s="60" t="s">
        <v>327</v>
      </c>
      <c r="V116" s="34" t="n">
        <v>289.106309825897</v>
      </c>
      <c r="W116" s="13" t="n">
        <v>0.252543452615021</v>
      </c>
      <c r="X116" s="12" t="n">
        <v>23</v>
      </c>
      <c r="Y116" s="30" t="s">
        <v>216</v>
      </c>
      <c r="Z116" s="30" t="s">
        <v>204</v>
      </c>
      <c r="AA116" s="67" t="n">
        <v>16461190052.5267</v>
      </c>
      <c r="AB116" s="67" t="n">
        <v>11091724</v>
      </c>
      <c r="AC116" s="30" t="s">
        <v>204</v>
      </c>
      <c r="AD116" s="13" t="n">
        <v>0.001049716748289</v>
      </c>
      <c r="AE116" s="56" t="n">
        <v>-0.172395878746354</v>
      </c>
      <c r="AF116" s="56" t="n">
        <v>1.90833750081295</v>
      </c>
      <c r="AG116" s="55" t="n">
        <f aca="false">Pronóstico!$B$5*P116*AE116</f>
        <v>-0.00131334259128767</v>
      </c>
      <c r="AH116" s="55" t="n">
        <f aca="false">IF(ISNUMBER(G116),G116,1)+2*'Mi portafolio'!$C$5</f>
        <v>0.0434712027</v>
      </c>
      <c r="AI116" s="55" t="n">
        <f aca="false">AF116*Pronóstico!$B$8+AG116-AH116</f>
        <v>-0.02963900957055</v>
      </c>
    </row>
    <row r="117" customFormat="false" ht="15" hidden="false" customHeight="false" outlineLevel="0" collapsed="false">
      <c r="A117" s="60" t="s">
        <v>346</v>
      </c>
      <c r="B117" s="60" t="s">
        <v>203</v>
      </c>
      <c r="C117" s="61" t="n">
        <v>5122.62952625275</v>
      </c>
      <c r="D117" s="62" t="n">
        <v>0.0091555760287467</v>
      </c>
      <c r="E117" s="61" t="n">
        <v>4993.81</v>
      </c>
      <c r="F117" s="61" t="n">
        <v>5237.39</v>
      </c>
      <c r="G117" s="63" t="n">
        <v>0.047615138</v>
      </c>
      <c r="H117" s="64" t="n">
        <v>2400</v>
      </c>
      <c r="I117" s="64" t="n">
        <v>2800</v>
      </c>
      <c r="J117" s="65" t="s">
        <v>204</v>
      </c>
      <c r="K117" s="62" t="n">
        <v>0.172440108637278</v>
      </c>
      <c r="L117" s="62" t="n">
        <v>0.0196218129433309</v>
      </c>
      <c r="M117" s="62" t="n">
        <v>0.0627505455454227</v>
      </c>
      <c r="N117" s="62" t="n">
        <v>-0.0565217338724103</v>
      </c>
      <c r="O117" s="62" t="n">
        <v>0.493220224626176</v>
      </c>
      <c r="P117" s="62" t="n">
        <v>0.155349768565271</v>
      </c>
      <c r="Q117" s="62" t="n">
        <v>-0.33564768736241</v>
      </c>
      <c r="R117" s="66" t="n">
        <v>0.601715629729357</v>
      </c>
      <c r="S117" s="62" t="n">
        <v>0.365076690611107</v>
      </c>
      <c r="T117" s="62" t="n">
        <v>-0.293109324663693</v>
      </c>
      <c r="U117" s="60" t="s">
        <v>327</v>
      </c>
      <c r="V117" s="34" t="n">
        <v>6359.6010782547</v>
      </c>
      <c r="W117" s="13" t="n">
        <v>0.241471991222994</v>
      </c>
      <c r="X117" s="12" t="n">
        <v>27</v>
      </c>
      <c r="Y117" s="30" t="s">
        <v>209</v>
      </c>
      <c r="Z117" s="30" t="s">
        <v>204</v>
      </c>
      <c r="AA117" s="67" t="n">
        <v>15196151259.5906</v>
      </c>
      <c r="AB117" s="67" t="n">
        <v>12249600</v>
      </c>
      <c r="AC117" s="30" t="s">
        <v>204</v>
      </c>
      <c r="AD117" s="13" t="n">
        <v>-0.195286599991713</v>
      </c>
      <c r="AE117" s="56" t="n">
        <v>-0.824934012614878</v>
      </c>
      <c r="AF117" s="56" t="n">
        <v>1.72589840454986</v>
      </c>
      <c r="AG117" s="55" t="n">
        <f aca="false">Pronóstico!$B$5*P117*AE117</f>
        <v>-0.00640766539706708</v>
      </c>
      <c r="AH117" s="55" t="n">
        <f aca="false">IF(ISNUMBER(G117),G117,1)+2*'Mi portafolio'!$C$5</f>
        <v>0.049935138</v>
      </c>
      <c r="AI117" s="55" t="n">
        <f aca="false">AF117*Pronóstico!$B$8+AG117-AH117</f>
        <v>-0.0426451970117508</v>
      </c>
    </row>
    <row r="118" customFormat="false" ht="15" hidden="false" customHeight="false" outlineLevel="0" collapsed="false">
      <c r="A118" s="60" t="s">
        <v>347</v>
      </c>
      <c r="B118" s="60" t="s">
        <v>203</v>
      </c>
      <c r="C118" s="61" t="n">
        <v>1936.37868167877</v>
      </c>
      <c r="D118" s="62" t="n">
        <v>-0.0222317173091022</v>
      </c>
      <c r="E118" s="61" t="n">
        <v>1930.01</v>
      </c>
      <c r="F118" s="61" t="n">
        <v>1990.79</v>
      </c>
      <c r="G118" s="63" t="n">
        <v>0.0310038768</v>
      </c>
      <c r="H118" s="64" t="n">
        <v>5500</v>
      </c>
      <c r="I118" s="64" t="n">
        <v>5500</v>
      </c>
      <c r="J118" s="65" t="s">
        <v>204</v>
      </c>
      <c r="K118" s="62" t="n">
        <v>0.068608852166667</v>
      </c>
      <c r="L118" s="62" t="n">
        <v>-0.0871118824509183</v>
      </c>
      <c r="M118" s="62" t="n">
        <v>0.190048125861388</v>
      </c>
      <c r="N118" s="62" t="n">
        <v>0.0593671262850565</v>
      </c>
      <c r="O118" s="62" t="n">
        <v>0.489246663789121</v>
      </c>
      <c r="P118" s="62" t="n">
        <v>0.154098214542148</v>
      </c>
      <c r="Q118" s="62" t="n">
        <v>-0.271383610906378</v>
      </c>
      <c r="R118" s="66" t="n">
        <v>0.914561181906986</v>
      </c>
      <c r="S118" s="62" t="n">
        <v>0.611664800357392</v>
      </c>
      <c r="T118" s="62" t="n">
        <v>-0.401034770283523</v>
      </c>
      <c r="U118" s="60" t="s">
        <v>327</v>
      </c>
      <c r="V118" s="34" t="n">
        <v>2774.25217464447</v>
      </c>
      <c r="W118" s="13" t="n">
        <v>0.432701258743094</v>
      </c>
      <c r="X118" s="12" t="n">
        <v>23</v>
      </c>
      <c r="Y118" s="30" t="s">
        <v>237</v>
      </c>
      <c r="Z118" s="30" t="s">
        <v>204</v>
      </c>
      <c r="AA118" s="67" t="n">
        <v>8525111117.90156</v>
      </c>
      <c r="AB118" s="67" t="n">
        <v>10625065</v>
      </c>
      <c r="AC118" s="30" t="s">
        <v>204</v>
      </c>
      <c r="AD118" s="13" t="n">
        <v>-0.0086483710694256</v>
      </c>
      <c r="AE118" s="56" t="n">
        <v>0.696549684673465</v>
      </c>
      <c r="AF118" s="56" t="n">
        <v>2.10941763573925</v>
      </c>
      <c r="AG118" s="55" t="n">
        <f aca="false">Pronóstico!$B$5*P118*AE118</f>
        <v>0.00536685313740385</v>
      </c>
      <c r="AH118" s="55" t="n">
        <f aca="false">IF(ISNUMBER(G118),G118,1)+2*'Mi portafolio'!$C$5</f>
        <v>0.0333238768</v>
      </c>
      <c r="AI118" s="55" t="n">
        <f aca="false">AF118*Pronóstico!$B$8+AG118-AH118</f>
        <v>-0.0112156138551418</v>
      </c>
    </row>
    <row r="119" customFormat="false" ht="15" hidden="false" customHeight="false" outlineLevel="0" collapsed="false">
      <c r="A119" s="60" t="s">
        <v>348</v>
      </c>
      <c r="B119" s="60" t="s">
        <v>208</v>
      </c>
      <c r="C119" s="61" t="n">
        <v>874.04</v>
      </c>
      <c r="D119" s="62" t="n">
        <v>0.0024198744703243</v>
      </c>
      <c r="E119" s="61" t="n">
        <v>873.97</v>
      </c>
      <c r="F119" s="61" t="n">
        <v>874.76</v>
      </c>
      <c r="G119" s="63" t="n">
        <v>0.0009035128</v>
      </c>
      <c r="H119" s="64" t="n">
        <v>27</v>
      </c>
      <c r="I119" s="64" t="n">
        <v>230</v>
      </c>
      <c r="J119" s="65" t="s">
        <v>204</v>
      </c>
      <c r="K119" s="62" t="n">
        <v>-0.0459844192403375</v>
      </c>
      <c r="L119" s="62" t="n">
        <v>0.140968058087533</v>
      </c>
      <c r="M119" s="62" t="n">
        <v>-0.0950351674323667</v>
      </c>
      <c r="N119" s="62" t="n">
        <v>0.101635309477807</v>
      </c>
      <c r="O119" s="62" t="n">
        <v>0.486868510315361</v>
      </c>
      <c r="P119" s="62" t="n">
        <v>0.153349166605111</v>
      </c>
      <c r="Q119" s="62" t="n">
        <v>-0.382340544422269</v>
      </c>
      <c r="R119" s="66" t="n">
        <v>1.77818813477297</v>
      </c>
      <c r="S119" s="62" t="n">
        <v>0.532503979260273</v>
      </c>
      <c r="T119" s="62" t="n">
        <v>-0.264180559576137</v>
      </c>
      <c r="U119" s="60" t="s">
        <v>327</v>
      </c>
      <c r="V119" s="34" t="n">
        <v>977</v>
      </c>
      <c r="W119" s="13" t="n">
        <v>0.117797812457096</v>
      </c>
      <c r="X119" s="12" t="n">
        <v>5</v>
      </c>
      <c r="Y119" s="30" t="s">
        <v>211</v>
      </c>
      <c r="Z119" s="30" t="s">
        <v>204</v>
      </c>
      <c r="AA119" s="67" t="n">
        <v>332969827.238754</v>
      </c>
      <c r="AB119" s="67" t="n">
        <v>23617.98</v>
      </c>
      <c r="AC119" s="30" t="s">
        <v>204</v>
      </c>
      <c r="AD119" s="13" t="n">
        <v>0.154735133990787</v>
      </c>
      <c r="AE119" s="56" t="n">
        <v>-0.376809667940847</v>
      </c>
      <c r="AF119" s="56" t="n">
        <v>0.983600037572427</v>
      </c>
      <c r="AG119" s="55" t="n">
        <f aca="false">Pronóstico!$B$5*P119*AE119</f>
        <v>-0.00288917242737387</v>
      </c>
      <c r="AH119" s="55" t="n">
        <f aca="false">IF(ISNUMBER(G119),G119,1)+2*'Mi portafolio'!$C$5</f>
        <v>0.0032235128</v>
      </c>
      <c r="AI119" s="55" t="n">
        <f aca="false">AF119*Pronóstico!$B$8+AG119-AH119</f>
        <v>0.00169366427716921</v>
      </c>
    </row>
    <row r="120" customFormat="false" ht="15" hidden="false" customHeight="false" outlineLevel="0" collapsed="false">
      <c r="A120" s="60" t="s">
        <v>349</v>
      </c>
      <c r="B120" s="60" t="s">
        <v>203</v>
      </c>
      <c r="C120" s="61" t="n">
        <v>473.570014915466</v>
      </c>
      <c r="D120" s="62" t="n">
        <v>0.0074282998614947</v>
      </c>
      <c r="E120" s="61" t="n">
        <v>463.61</v>
      </c>
      <c r="F120" s="61" t="n">
        <v>482.59</v>
      </c>
      <c r="G120" s="63" t="n">
        <v>0.0401183682</v>
      </c>
      <c r="H120" s="64" t="n">
        <v>22800</v>
      </c>
      <c r="I120" s="64" t="n">
        <v>30400</v>
      </c>
      <c r="J120" s="65" t="s">
        <v>204</v>
      </c>
      <c r="K120" s="62" t="n">
        <v>0.233246855320108</v>
      </c>
      <c r="L120" s="62" t="n">
        <v>0.0218500419827245</v>
      </c>
      <c r="M120" s="62" t="n">
        <v>-0.0371665944204808</v>
      </c>
      <c r="N120" s="62" t="n">
        <v>-0.0781387357012545</v>
      </c>
      <c r="O120" s="62" t="n">
        <v>0.508232885300493</v>
      </c>
      <c r="P120" s="62" t="n">
        <v>0.160078312215466</v>
      </c>
      <c r="Q120" s="62" t="n">
        <v>-0.359820221867166</v>
      </c>
      <c r="R120" s="66" t="n">
        <v>1.05689817725228</v>
      </c>
      <c r="S120" s="62" t="n">
        <v>0.502699840262879</v>
      </c>
      <c r="T120" s="62" t="n">
        <v>-0.328196826487581</v>
      </c>
      <c r="U120" s="60" t="s">
        <v>327</v>
      </c>
      <c r="V120" s="34" t="n">
        <v>615.94526366806</v>
      </c>
      <c r="W120" s="13" t="n">
        <v>0.300642448356888</v>
      </c>
      <c r="X120" s="12" t="n">
        <v>26</v>
      </c>
      <c r="Y120" s="30" t="s">
        <v>350</v>
      </c>
      <c r="Z120" s="30" t="s">
        <v>217</v>
      </c>
      <c r="AA120" s="67" t="n">
        <v>11316357025.9331</v>
      </c>
      <c r="AB120" s="67" t="n">
        <v>10738800</v>
      </c>
      <c r="AC120" s="30" t="s">
        <v>204</v>
      </c>
      <c r="AD120" s="13" t="n">
        <v>-0.252492507625765</v>
      </c>
      <c r="AE120" s="56" t="n">
        <v>-0.703890370204404</v>
      </c>
      <c r="AF120" s="56" t="n">
        <v>2.11682670979889</v>
      </c>
      <c r="AG120" s="55" t="n">
        <f aca="false">Pronóstico!$B$5*P120*AE120</f>
        <v>-0.00563387912235204</v>
      </c>
      <c r="AH120" s="55" t="n">
        <f aca="false">IF(ISNUMBER(G120),G120,1)+2*'Mi portafolio'!$C$5</f>
        <v>0.0424383682</v>
      </c>
      <c r="AI120" s="55" t="n">
        <f aca="false">AF120*Pronóstico!$B$8+AG120-AH120</f>
        <v>-0.0312720353398212</v>
      </c>
    </row>
    <row r="121" customFormat="false" ht="15" hidden="false" customHeight="false" outlineLevel="0" collapsed="false">
      <c r="A121" s="60" t="s">
        <v>351</v>
      </c>
      <c r="B121" s="60" t="s">
        <v>203</v>
      </c>
      <c r="C121" s="61" t="n">
        <v>1358.2074508667</v>
      </c>
      <c r="D121" s="62" t="n">
        <v>0.0560138330125317</v>
      </c>
      <c r="E121" s="61" t="n">
        <v>1250</v>
      </c>
      <c r="F121" s="61" t="n">
        <v>1420</v>
      </c>
      <c r="G121" s="63" t="n">
        <v>0.127340824</v>
      </c>
      <c r="H121" s="64" t="n">
        <v>10</v>
      </c>
      <c r="I121" s="64" t="n">
        <v>1</v>
      </c>
      <c r="J121" s="65" t="s">
        <v>204</v>
      </c>
      <c r="K121" s="62" t="n">
        <v>0.126901452154583</v>
      </c>
      <c r="L121" s="62" t="n">
        <v>-0.037424633788011</v>
      </c>
      <c r="M121" s="62" t="n">
        <v>0.357453871990808</v>
      </c>
      <c r="N121" s="62" t="n">
        <v>0.0446441449256302</v>
      </c>
      <c r="O121" s="62" t="n">
        <v>0.50753182852477</v>
      </c>
      <c r="P121" s="62" t="n">
        <v>0.159857500086479</v>
      </c>
      <c r="Q121" s="62" t="n">
        <v>-0.458177228539017</v>
      </c>
      <c r="R121" s="66" t="n">
        <v>0.138437324870733</v>
      </c>
      <c r="S121" s="62" t="n">
        <v>0.446069686935389</v>
      </c>
      <c r="T121" s="62" t="n">
        <v>-0.312972776041348</v>
      </c>
      <c r="U121" s="60" t="s">
        <v>327</v>
      </c>
      <c r="V121" s="34" t="n">
        <v>1603.51492870712</v>
      </c>
      <c r="W121" s="13" t="n">
        <v>0.180611200213847</v>
      </c>
      <c r="X121" s="12" t="n">
        <v>27</v>
      </c>
      <c r="Y121" s="30" t="s">
        <v>220</v>
      </c>
      <c r="Z121" s="30" t="s">
        <v>204</v>
      </c>
      <c r="AA121" s="67" t="n">
        <v>4059125350.17096</v>
      </c>
      <c r="AB121" s="67" t="n">
        <v>1315</v>
      </c>
      <c r="AC121" s="30" t="s">
        <v>217</v>
      </c>
      <c r="AD121" s="13" t="n">
        <v>-0.0729942330553218</v>
      </c>
      <c r="AE121" s="56" t="n">
        <v>-0.756391348540911</v>
      </c>
      <c r="AF121" s="56" t="n">
        <v>1.39009550388457</v>
      </c>
      <c r="AG121" s="55" t="n">
        <f aca="false">Pronóstico!$B$5*P121*AE121</f>
        <v>-0.00604574150323951</v>
      </c>
      <c r="AH121" s="55" t="n">
        <f aca="false">IF(ISNUMBER(G121),G121,1)+2*'Mi portafolio'!$C$5</f>
        <v>0.129660824</v>
      </c>
      <c r="AI121" s="55" t="n">
        <f aca="false">AF121*Pronóstico!$B$8+AG121-AH121</f>
        <v>-0.124674061504156</v>
      </c>
    </row>
    <row r="122" customFormat="false" ht="15" hidden="false" customHeight="false" outlineLevel="0" collapsed="false">
      <c r="A122" s="60" t="s">
        <v>352</v>
      </c>
      <c r="B122" s="60" t="s">
        <v>203</v>
      </c>
      <c r="C122" s="61" t="n">
        <v>3120.68220901489</v>
      </c>
      <c r="D122" s="62" t="n">
        <v>-0.0189164815374476</v>
      </c>
      <c r="E122" s="61" t="n">
        <v>3100.01</v>
      </c>
      <c r="F122" s="61" t="n">
        <v>3165.23</v>
      </c>
      <c r="G122" s="63" t="n">
        <v>0.0208196334</v>
      </c>
      <c r="H122" s="64" t="n">
        <v>2200</v>
      </c>
      <c r="I122" s="64" t="n">
        <v>400</v>
      </c>
      <c r="J122" s="65" t="s">
        <v>204</v>
      </c>
      <c r="K122" s="62" t="n">
        <v>0.0468032463695462</v>
      </c>
      <c r="L122" s="62" t="n">
        <v>-0.0249255856702795</v>
      </c>
      <c r="M122" s="62" t="n">
        <v>0.372637055155948</v>
      </c>
      <c r="N122" s="62" t="n">
        <v>0.0581226179635478</v>
      </c>
      <c r="O122" s="62" t="n">
        <v>0.553472255257447</v>
      </c>
      <c r="P122" s="62" t="n">
        <v>0.174327374403008</v>
      </c>
      <c r="Q122" s="62" t="n">
        <v>-0.408549500957472</v>
      </c>
      <c r="R122" s="66" t="n">
        <v>0.855908762008636</v>
      </c>
      <c r="S122" s="62" t="n">
        <v>0.833578035073471</v>
      </c>
      <c r="T122" s="62" t="n">
        <v>-0.288431165941177</v>
      </c>
      <c r="U122" s="60" t="s">
        <v>327</v>
      </c>
      <c r="V122" s="34" t="n">
        <v>3524.10231579208</v>
      </c>
      <c r="W122" s="13" t="n">
        <v>0.129273049851667</v>
      </c>
      <c r="X122" s="12" t="n">
        <v>30</v>
      </c>
      <c r="Y122" s="30" t="s">
        <v>220</v>
      </c>
      <c r="Z122" s="30" t="s">
        <v>204</v>
      </c>
      <c r="AA122" s="67" t="n">
        <v>45465278611.0219</v>
      </c>
      <c r="AB122" s="67" t="n">
        <v>1252000</v>
      </c>
      <c r="AC122" s="30" t="s">
        <v>204</v>
      </c>
      <c r="AD122" s="13" t="n">
        <v>0.0108132752102736</v>
      </c>
      <c r="AE122" s="56" t="n">
        <v>-0.757443640490887</v>
      </c>
      <c r="AF122" s="56" t="n">
        <v>1.76324373641337</v>
      </c>
      <c r="AG122" s="55" t="n">
        <f aca="false">Pronóstico!$B$5*P122*AE122</f>
        <v>-0.0066021580552516</v>
      </c>
      <c r="AH122" s="55" t="n">
        <f aca="false">IF(ISNUMBER(G122),G122,1)+2*'Mi portafolio'!$C$5</f>
        <v>0.0231396334</v>
      </c>
      <c r="AI122" s="55" t="n">
        <f aca="false">AF122*Pronóstico!$B$8+AG122-AH122</f>
        <v>-0.015747793547209</v>
      </c>
    </row>
    <row r="123" customFormat="false" ht="15" hidden="false" customHeight="false" outlineLevel="0" collapsed="false">
      <c r="A123" s="60" t="s">
        <v>353</v>
      </c>
      <c r="B123" s="60" t="s">
        <v>203</v>
      </c>
      <c r="C123" s="61" t="n">
        <v>278.376253128052</v>
      </c>
      <c r="D123" s="62" t="n">
        <v>0.0293664312882466</v>
      </c>
      <c r="E123" s="61" t="n">
        <v>270.61</v>
      </c>
      <c r="F123" s="61" t="n">
        <v>281.99</v>
      </c>
      <c r="G123" s="63" t="n">
        <v>0.0411871155</v>
      </c>
      <c r="H123" s="64" t="n">
        <v>22400</v>
      </c>
      <c r="I123" s="64" t="n">
        <v>33600</v>
      </c>
      <c r="J123" s="65" t="s">
        <v>204</v>
      </c>
      <c r="K123" s="62" t="n">
        <v>0.108587805609101</v>
      </c>
      <c r="L123" s="62" t="n">
        <v>-0.189666543354034</v>
      </c>
      <c r="M123" s="62" t="n">
        <v>-0.236073976912792</v>
      </c>
      <c r="N123" s="62" t="n">
        <v>-0.341570622943186</v>
      </c>
      <c r="O123" s="62" t="n">
        <v>0.552912409118008</v>
      </c>
      <c r="P123" s="62" t="n">
        <v>0.174151039443792</v>
      </c>
      <c r="Q123" s="62" t="n">
        <v>-0.449978638144443</v>
      </c>
      <c r="R123" s="66" t="n">
        <v>0.768429453243168</v>
      </c>
      <c r="S123" s="62" t="n">
        <v>0.570899581178115</v>
      </c>
      <c r="T123" s="62" t="n">
        <v>-0.357483231359294</v>
      </c>
      <c r="U123" s="60" t="s">
        <v>327</v>
      </c>
      <c r="V123" s="34" t="n">
        <v>364.512237548828</v>
      </c>
      <c r="W123" s="13" t="n">
        <v>0.309422888816433</v>
      </c>
      <c r="X123" s="12" t="n">
        <v>25</v>
      </c>
      <c r="Y123" s="30" t="s">
        <v>220</v>
      </c>
      <c r="Z123" s="30" t="s">
        <v>204</v>
      </c>
      <c r="AA123" s="67" t="n">
        <v>5656428920.27393</v>
      </c>
      <c r="AB123" s="67" t="n">
        <v>6159776</v>
      </c>
      <c r="AC123" s="30" t="s">
        <v>204</v>
      </c>
      <c r="AD123" s="13" t="n">
        <v>-0.406064748569873</v>
      </c>
      <c r="AE123" s="56" t="n">
        <v>-1.12732322551733</v>
      </c>
      <c r="AF123" s="56" t="n">
        <v>2.03051313195263</v>
      </c>
      <c r="AG123" s="55" t="n">
        <f aca="false">Pronóstico!$B$5*P123*AE123</f>
        <v>-0.00981622557564858</v>
      </c>
      <c r="AH123" s="55" t="n">
        <f aca="false">IF(ISNUMBER(G123),G123,1)+2*'Mi portafolio'!$C$5</f>
        <v>0.0435071155</v>
      </c>
      <c r="AI123" s="55" t="n">
        <f aca="false">AF123*Pronóstico!$B$8+AG123-AH123</f>
        <v>-0.037208157488723</v>
      </c>
    </row>
    <row r="124" customFormat="false" ht="15" hidden="false" customHeight="false" outlineLevel="0" collapsed="false">
      <c r="A124" s="60" t="s">
        <v>354</v>
      </c>
      <c r="B124" s="60" t="s">
        <v>203</v>
      </c>
      <c r="C124" s="61" t="n">
        <v>3194.20185852051</v>
      </c>
      <c r="D124" s="62" t="n">
        <v>-0.0129333093940129</v>
      </c>
      <c r="E124" s="61" t="n">
        <v>3225.01</v>
      </c>
      <c r="F124" s="61" t="n">
        <v>3315.19</v>
      </c>
      <c r="G124" s="63" t="n">
        <v>0.0275771383</v>
      </c>
      <c r="H124" s="64" t="n">
        <v>100</v>
      </c>
      <c r="I124" s="64" t="n">
        <v>400</v>
      </c>
      <c r="J124" s="65" t="s">
        <v>204</v>
      </c>
      <c r="K124" s="62" t="n">
        <v>-0.0697221597074796</v>
      </c>
      <c r="L124" s="62" t="n">
        <v>-0.174040256962932</v>
      </c>
      <c r="M124" s="62" t="n">
        <v>-0.0513817412055442</v>
      </c>
      <c r="N124" s="62" t="n">
        <v>-0.252310017498322</v>
      </c>
      <c r="O124" s="62" t="n">
        <v>0.547079303829556</v>
      </c>
      <c r="P124" s="62" t="n">
        <v>0.172313783971828</v>
      </c>
      <c r="Q124" s="62" t="n">
        <v>-0.451440869320438</v>
      </c>
      <c r="R124" s="66" t="n">
        <v>0.673238929950431</v>
      </c>
      <c r="S124" s="62" t="n">
        <v>0.733088656298841</v>
      </c>
      <c r="T124" s="62" t="n">
        <v>-0.342394997527568</v>
      </c>
      <c r="U124" s="60" t="s">
        <v>327</v>
      </c>
      <c r="V124" s="34" t="n">
        <v>4982.4782015152</v>
      </c>
      <c r="W124" s="13" t="n">
        <v>0.559850761536713</v>
      </c>
      <c r="X124" s="12" t="n">
        <v>30</v>
      </c>
      <c r="Y124" s="30" t="s">
        <v>252</v>
      </c>
      <c r="Z124" s="30" t="s">
        <v>204</v>
      </c>
      <c r="AA124" s="67" t="n">
        <v>7755715641.57949</v>
      </c>
      <c r="AB124" s="67" t="n">
        <v>324000</v>
      </c>
      <c r="AC124" s="30" t="s">
        <v>204</v>
      </c>
      <c r="AD124" s="13" t="n">
        <v>-0.196272392915894</v>
      </c>
      <c r="AE124" s="56" t="n">
        <v>0.759828143212826</v>
      </c>
      <c r="AF124" s="56" t="n">
        <v>1.5099526446521</v>
      </c>
      <c r="AG124" s="55" t="n">
        <f aca="false">Pronóstico!$B$5*P124*AE124</f>
        <v>0.00654644312626449</v>
      </c>
      <c r="AH124" s="55" t="n">
        <f aca="false">IF(ISNUMBER(G124),G124,1)+2*'Mi portafolio'!$C$5</f>
        <v>0.0298971383</v>
      </c>
      <c r="AI124" s="55" t="n">
        <f aca="false">AF124*Pronóstico!$B$8+AG124-AH124</f>
        <v>-0.011366944025703</v>
      </c>
    </row>
    <row r="125" customFormat="false" ht="15" hidden="false" customHeight="false" outlineLevel="0" collapsed="false">
      <c r="A125" s="60" t="s">
        <v>355</v>
      </c>
      <c r="B125" s="60" t="s">
        <v>203</v>
      </c>
      <c r="C125" s="61" t="n">
        <v>770.231784820557</v>
      </c>
      <c r="D125" s="62" t="n">
        <v>0.0083266792924197</v>
      </c>
      <c r="E125" s="61" t="n">
        <v>758</v>
      </c>
      <c r="F125" s="61"/>
      <c r="G125" s="63"/>
      <c r="H125" s="64" t="n">
        <v>1</v>
      </c>
      <c r="I125" s="64" t="n">
        <v>0</v>
      </c>
      <c r="J125" s="65" t="s">
        <v>297</v>
      </c>
      <c r="K125" s="62" t="n">
        <v>-0.102755182702897</v>
      </c>
      <c r="L125" s="62" t="n">
        <v>-0.0955220120048832</v>
      </c>
      <c r="M125" s="62" t="n">
        <v>-0.36392014030754</v>
      </c>
      <c r="N125" s="62" t="n">
        <v>0.170193232734523</v>
      </c>
      <c r="O125" s="62" t="n">
        <v>0.552694543132499</v>
      </c>
      <c r="P125" s="62" t="n">
        <v>0.174082418108459</v>
      </c>
      <c r="Q125" s="62" t="n">
        <v>-0.485771562888978</v>
      </c>
      <c r="R125" s="66" t="n">
        <v>0.962634505570973</v>
      </c>
      <c r="S125" s="62" t="n">
        <v>0.488374722121735</v>
      </c>
      <c r="T125" s="62" t="n">
        <v>-0.414129711555925</v>
      </c>
      <c r="U125" s="60" t="s">
        <v>327</v>
      </c>
      <c r="V125" s="34" t="n">
        <v>1129.57041740418</v>
      </c>
      <c r="W125" s="13" t="n">
        <v>0.466533113363187</v>
      </c>
      <c r="X125" s="12" t="n">
        <v>12</v>
      </c>
      <c r="Y125" s="30" t="s">
        <v>325</v>
      </c>
      <c r="Z125" s="30" t="s">
        <v>204</v>
      </c>
      <c r="AA125" s="67" t="n">
        <v>3099915686.45137</v>
      </c>
      <c r="AB125" s="67" t="n">
        <v>0</v>
      </c>
      <c r="AC125" s="30" t="s">
        <v>217</v>
      </c>
      <c r="AD125" s="13" t="n">
        <v>0.304207291227004</v>
      </c>
      <c r="AE125" s="56" t="n">
        <v>1.81708742520507</v>
      </c>
      <c r="AF125" s="56" t="n">
        <v>1.59849228843339</v>
      </c>
      <c r="AG125" s="55" t="n">
        <f aca="false">Pronóstico!$B$5*P125*AE125</f>
        <v>0.0158161486447086</v>
      </c>
      <c r="AH125" s="55" t="n">
        <f aca="false">IF(ISNUMBER(G125),G125,1)+2*'Mi portafolio'!$C$5</f>
        <v>1.00232</v>
      </c>
      <c r="AI125" s="55" t="n">
        <f aca="false">AF125*Pronóstico!$B$8+AG125-AH125</f>
        <v>-0.973817404621693</v>
      </c>
    </row>
    <row r="126" customFormat="false" ht="15" hidden="false" customHeight="false" outlineLevel="0" collapsed="false">
      <c r="A126" s="60" t="s">
        <v>356</v>
      </c>
      <c r="B126" s="60" t="s">
        <v>203</v>
      </c>
      <c r="C126" s="61" t="n">
        <v>367.598247528076</v>
      </c>
      <c r="D126" s="62" t="n">
        <v>0.00724473294478</v>
      </c>
      <c r="E126" s="61" t="n">
        <v>359.61</v>
      </c>
      <c r="F126" s="61" t="n">
        <v>369.99</v>
      </c>
      <c r="G126" s="63" t="n">
        <v>0.0284539474</v>
      </c>
      <c r="H126" s="64" t="n">
        <v>8200</v>
      </c>
      <c r="I126" s="64" t="n">
        <v>16400</v>
      </c>
      <c r="J126" s="65" t="s">
        <v>204</v>
      </c>
      <c r="K126" s="62" t="n">
        <v>0.189210580326311</v>
      </c>
      <c r="L126" s="62" t="n">
        <v>-0.070575717077352</v>
      </c>
      <c r="M126" s="62" t="n">
        <v>0.0510657571812722</v>
      </c>
      <c r="N126" s="62" t="n">
        <v>-0.384213599169287</v>
      </c>
      <c r="O126" s="62" t="n">
        <v>0.534325289548532</v>
      </c>
      <c r="P126" s="62" t="n">
        <v>0.168296647066428</v>
      </c>
      <c r="Q126" s="62" t="n">
        <v>-0.592306368706419</v>
      </c>
      <c r="R126" s="66" t="n">
        <v>-0.254420701919338</v>
      </c>
      <c r="S126" s="62" t="n">
        <v>0.368321580244533</v>
      </c>
      <c r="T126" s="62" t="n">
        <v>-0.460769842427085</v>
      </c>
      <c r="U126" s="60" t="s">
        <v>327</v>
      </c>
      <c r="V126" s="34" t="n">
        <v>527.349910823822</v>
      </c>
      <c r="W126" s="13" t="n">
        <v>0.434582222222222</v>
      </c>
      <c r="X126" s="12" t="n">
        <v>35</v>
      </c>
      <c r="Y126" s="30" t="s">
        <v>313</v>
      </c>
      <c r="Z126" s="30" t="s">
        <v>204</v>
      </c>
      <c r="AA126" s="67" t="n">
        <v>4875551872.39803</v>
      </c>
      <c r="AB126" s="67" t="n">
        <v>3038100</v>
      </c>
      <c r="AC126" s="30" t="s">
        <v>204</v>
      </c>
      <c r="AD126" s="13" t="n">
        <v>-0.482188931869623</v>
      </c>
      <c r="AE126" s="56" t="n">
        <v>-0.599512890139821</v>
      </c>
      <c r="AF126" s="56" t="n">
        <v>0.976532100065336</v>
      </c>
      <c r="AG126" s="55" t="n">
        <f aca="false">Pronóstico!$B$5*P126*AE126</f>
        <v>-0.00504480046418179</v>
      </c>
      <c r="AH126" s="55" t="n">
        <f aca="false">IF(ISNUMBER(G126),G126,1)+2*'Mi portafolio'!$C$5</f>
        <v>0.0307739474</v>
      </c>
      <c r="AI126" s="55" t="n">
        <f aca="false">AF126*Pronóstico!$B$8+AG126-AH126</f>
        <v>-0.0280684931017585</v>
      </c>
    </row>
    <row r="127" customFormat="false" ht="15" hidden="false" customHeight="false" outlineLevel="0" collapsed="false">
      <c r="A127" s="60" t="s">
        <v>357</v>
      </c>
      <c r="B127" s="60" t="s">
        <v>203</v>
      </c>
      <c r="C127" s="61" t="n">
        <v>2472.80164337158</v>
      </c>
      <c r="D127" s="62" t="n">
        <v>-0.0399445816198512</v>
      </c>
      <c r="E127" s="61" t="n">
        <v>2560.02</v>
      </c>
      <c r="F127" s="61" t="n">
        <v>2584.99</v>
      </c>
      <c r="G127" s="63" t="n">
        <v>0.0097064923</v>
      </c>
      <c r="H127" s="64" t="n">
        <v>3400</v>
      </c>
      <c r="I127" s="64" t="n">
        <v>1600</v>
      </c>
      <c r="J127" s="65" t="s">
        <v>204</v>
      </c>
      <c r="K127" s="62" t="n">
        <v>-0.0938547580563269</v>
      </c>
      <c r="L127" s="62" t="n">
        <v>0.0758444267867775</v>
      </c>
      <c r="M127" s="62" t="n">
        <v>-0.151770268802975</v>
      </c>
      <c r="N127" s="62" t="n">
        <v>-0.534264449816775</v>
      </c>
      <c r="O127" s="62" t="n">
        <v>0.560277657787105</v>
      </c>
      <c r="P127" s="62" t="n">
        <v>0.176470874720289</v>
      </c>
      <c r="Q127" s="62" t="n">
        <v>-0.60984628686743</v>
      </c>
      <c r="R127" s="66" t="n">
        <v>0.329459142504186</v>
      </c>
      <c r="S127" s="62" t="n">
        <v>0.471688748699768</v>
      </c>
      <c r="T127" s="62" t="n">
        <v>-0.420102470839693</v>
      </c>
      <c r="U127" s="60" t="s">
        <v>327</v>
      </c>
      <c r="V127" s="34" t="n">
        <v>4319.94471590042</v>
      </c>
      <c r="W127" s="13" t="n">
        <v>0.746983923065629</v>
      </c>
      <c r="X127" s="12" t="n">
        <v>41</v>
      </c>
      <c r="Y127" s="30" t="s">
        <v>232</v>
      </c>
      <c r="Z127" s="30" t="s">
        <v>217</v>
      </c>
      <c r="AA127" s="67" t="n">
        <v>84208443145.8543</v>
      </c>
      <c r="AB127" s="67" t="n">
        <v>4096000</v>
      </c>
      <c r="AC127" s="30" t="s">
        <v>204</v>
      </c>
      <c r="AD127" s="13" t="n">
        <v>-0.486025497210329</v>
      </c>
      <c r="AE127" s="56" t="n">
        <v>0.782549352328619</v>
      </c>
      <c r="AF127" s="56" t="n">
        <v>1.55268727072255</v>
      </c>
      <c r="AG127" s="55" t="n">
        <f aca="false">Pronóstico!$B$5*P127*AE127</f>
        <v>0.00690485843586137</v>
      </c>
      <c r="AH127" s="55" t="n">
        <f aca="false">IF(ISNUMBER(G127),G127,1)+2*'Mi portafolio'!$C$5</f>
        <v>0.0120264923</v>
      </c>
      <c r="AI127" s="55" t="n">
        <f aca="false">AF127*Pronóstico!$B$8+AG127-AH127</f>
        <v>0.00720128098286571</v>
      </c>
    </row>
    <row r="128" customFormat="false" ht="15" hidden="false" customHeight="false" outlineLevel="0" collapsed="false">
      <c r="A128" s="60" t="s">
        <v>358</v>
      </c>
      <c r="B128" s="60" t="s">
        <v>203</v>
      </c>
      <c r="C128" s="61" t="n">
        <v>277.468603134155</v>
      </c>
      <c r="D128" s="62" t="n">
        <v>-0.0142847339213285</v>
      </c>
      <c r="E128" s="61" t="n">
        <v>278.03</v>
      </c>
      <c r="F128" s="61" t="n">
        <v>284.99</v>
      </c>
      <c r="G128" s="63" t="n">
        <v>0.0247238109</v>
      </c>
      <c r="H128" s="64" t="n">
        <v>13600</v>
      </c>
      <c r="I128" s="64" t="n">
        <v>27200</v>
      </c>
      <c r="J128" s="65" t="s">
        <v>204</v>
      </c>
      <c r="K128" s="62" t="n">
        <v>-0.0534692435314091</v>
      </c>
      <c r="L128" s="62" t="n">
        <v>-0.125775453171144</v>
      </c>
      <c r="M128" s="62" t="n">
        <v>-0.144430756881721</v>
      </c>
      <c r="N128" s="62" t="n">
        <v>-0.432927719095491</v>
      </c>
      <c r="O128" s="62" t="n">
        <v>0.559147576652901</v>
      </c>
      <c r="P128" s="62" t="n">
        <v>0.17611493262</v>
      </c>
      <c r="Q128" s="62" t="n">
        <v>-0.554115794499815</v>
      </c>
      <c r="R128" s="66" t="n">
        <v>0.879078230918899</v>
      </c>
      <c r="S128" s="62" t="n">
        <v>0.782366211742081</v>
      </c>
      <c r="T128" s="62" t="n">
        <v>-0.355616837549451</v>
      </c>
      <c r="U128" s="60" t="s">
        <v>327</v>
      </c>
      <c r="V128" s="34" t="n">
        <v>369.083525978088</v>
      </c>
      <c r="W128" s="13" t="n">
        <v>0.330181223421655</v>
      </c>
      <c r="X128" s="12" t="n">
        <v>22</v>
      </c>
      <c r="Y128" s="30" t="s">
        <v>209</v>
      </c>
      <c r="Z128" s="30" t="s">
        <v>204</v>
      </c>
      <c r="AA128" s="67" t="n">
        <v>13701115087.4709</v>
      </c>
      <c r="AB128" s="67" t="n">
        <v>3780800</v>
      </c>
      <c r="AC128" s="30" t="s">
        <v>204</v>
      </c>
      <c r="AD128" s="13" t="n">
        <v>-0.400893973038766</v>
      </c>
      <c r="AE128" s="56" t="n">
        <v>-1.0080696677606</v>
      </c>
      <c r="AF128" s="56" t="n">
        <v>2.37541554471794</v>
      </c>
      <c r="AG128" s="55" t="n">
        <f aca="false">Pronóstico!$B$5*P128*AE128</f>
        <v>-0.00887680608069618</v>
      </c>
      <c r="AH128" s="55" t="n">
        <f aca="false">IF(ISNUMBER(G128),G128,1)+2*'Mi portafolio'!$C$5</f>
        <v>0.0270438109</v>
      </c>
      <c r="AI128" s="55" t="n">
        <f aca="false">AF128*Pronóstico!$B$8+AG128-AH128</f>
        <v>-0.0170681126575379</v>
      </c>
    </row>
    <row r="129" customFormat="false" ht="15" hidden="false" customHeight="false" outlineLevel="0" collapsed="false">
      <c r="A129" s="60" t="s">
        <v>359</v>
      </c>
      <c r="B129" s="60" t="s">
        <v>203</v>
      </c>
      <c r="C129" s="61" t="n">
        <v>3588.66654586792</v>
      </c>
      <c r="D129" s="62" t="n">
        <v>0.0282094752134978</v>
      </c>
      <c r="E129" s="61" t="n">
        <v>3590.01</v>
      </c>
      <c r="F129" s="61" t="n">
        <v>3618.98</v>
      </c>
      <c r="G129" s="63" t="n">
        <v>0.0080371869</v>
      </c>
      <c r="H129" s="64" t="n">
        <v>2550</v>
      </c>
      <c r="I129" s="64" t="n">
        <v>1950</v>
      </c>
      <c r="J129" s="65" t="s">
        <v>204</v>
      </c>
      <c r="K129" s="62" t="n">
        <v>0.251109637691358</v>
      </c>
      <c r="L129" s="62" t="n">
        <v>0.575986450967352</v>
      </c>
      <c r="M129" s="62" t="n">
        <v>0.462324501892359</v>
      </c>
      <c r="N129" s="62" t="n">
        <v>0.0923509179800965</v>
      </c>
      <c r="O129" s="62" t="n">
        <v>0.609637637496386</v>
      </c>
      <c r="P129" s="62" t="n">
        <v>0.19201780698576</v>
      </c>
      <c r="Q129" s="62" t="n">
        <v>-0.508284126051854</v>
      </c>
      <c r="R129" s="66" t="n">
        <v>0.388548053322899</v>
      </c>
      <c r="S129" s="62" t="n">
        <v>0.859765491907585</v>
      </c>
      <c r="T129" s="62" t="n">
        <v>-0.301761999713998</v>
      </c>
      <c r="U129" s="60" t="s">
        <v>327</v>
      </c>
      <c r="V129" s="34" t="n">
        <v>3627.76810760498</v>
      </c>
      <c r="W129" s="13" t="n">
        <v>0.0108958470332336</v>
      </c>
      <c r="X129" s="12" t="n">
        <v>25</v>
      </c>
      <c r="Y129" s="30" t="s">
        <v>261</v>
      </c>
      <c r="Z129" s="30" t="s">
        <v>204</v>
      </c>
      <c r="AA129" s="67" t="n">
        <v>74999797373.3457</v>
      </c>
      <c r="AB129" s="67" t="n">
        <v>7029126</v>
      </c>
      <c r="AC129" s="30" t="s">
        <v>204</v>
      </c>
      <c r="AD129" s="13" t="n">
        <v>-0.126894330383558</v>
      </c>
      <c r="AE129" s="56" t="n">
        <v>-1.67785846522692</v>
      </c>
      <c r="AF129" s="56" t="n">
        <v>1.72078244796257</v>
      </c>
      <c r="AG129" s="55" t="n">
        <f aca="false">Pronóstico!$B$5*P129*AE129</f>
        <v>-0.0161089351462683</v>
      </c>
      <c r="AH129" s="55" t="n">
        <f aca="false">IF(ISNUMBER(G129),G129,1)+2*'Mi portafolio'!$C$5</f>
        <v>0.0103571869</v>
      </c>
      <c r="AI129" s="55" t="n">
        <f aca="false">AF129*Pronóstico!$B$8+AG129-AH129</f>
        <v>-0.0128091184910098</v>
      </c>
    </row>
    <row r="130" customFormat="false" ht="15" hidden="false" customHeight="false" outlineLevel="0" collapsed="false">
      <c r="A130" s="60" t="s">
        <v>360</v>
      </c>
      <c r="B130" s="60" t="s">
        <v>203</v>
      </c>
      <c r="C130" s="61" t="n">
        <v>3015.12251472473</v>
      </c>
      <c r="D130" s="62" t="n">
        <v>0.0106551030507169</v>
      </c>
      <c r="E130" s="61" t="n">
        <v>2963.61</v>
      </c>
      <c r="F130" s="61" t="n">
        <v>3049.99</v>
      </c>
      <c r="G130" s="63" t="n">
        <v>0.028728216</v>
      </c>
      <c r="H130" s="64" t="n">
        <v>800</v>
      </c>
      <c r="I130" s="64" t="n">
        <v>1200</v>
      </c>
      <c r="J130" s="65" t="s">
        <v>204</v>
      </c>
      <c r="K130" s="62" t="n">
        <v>0.406353790401345</v>
      </c>
      <c r="L130" s="62" t="n">
        <v>0.381215203390406</v>
      </c>
      <c r="M130" s="62" t="n">
        <v>0.371591353124695</v>
      </c>
      <c r="N130" s="62" t="n">
        <v>0.03702391493825</v>
      </c>
      <c r="O130" s="62" t="n">
        <v>0.590984866093468</v>
      </c>
      <c r="P130" s="62" t="n">
        <v>0.186142736224539</v>
      </c>
      <c r="Q130" s="62" t="n">
        <v>-0.501683874540149</v>
      </c>
      <c r="R130" s="66" t="n">
        <v>0.342342139346073</v>
      </c>
      <c r="S130" s="62" t="n">
        <v>0.531273898801102</v>
      </c>
      <c r="T130" s="62" t="n">
        <v>-0.371125310993741</v>
      </c>
      <c r="U130" s="60" t="s">
        <v>327</v>
      </c>
      <c r="V130" s="34" t="n">
        <v>3141.98166836166</v>
      </c>
      <c r="W130" s="13" t="n">
        <v>0.0420742948312713</v>
      </c>
      <c r="X130" s="12" t="n">
        <v>48</v>
      </c>
      <c r="Y130" s="30" t="s">
        <v>228</v>
      </c>
      <c r="Z130" s="30" t="s">
        <v>204</v>
      </c>
      <c r="AA130" s="67" t="n">
        <v>24925444598.6422</v>
      </c>
      <c r="AB130" s="67" t="n">
        <v>2424400</v>
      </c>
      <c r="AC130" s="30" t="s">
        <v>204</v>
      </c>
      <c r="AD130" s="13" t="n">
        <v>-0.262615195396669</v>
      </c>
      <c r="AE130" s="56" t="n">
        <v>-2.02417171368788</v>
      </c>
      <c r="AF130" s="56" t="n">
        <v>1.82539141775785</v>
      </c>
      <c r="AG130" s="55" t="n">
        <f aca="false">Pronóstico!$B$5*P130*AE130</f>
        <v>-0.0188392430687088</v>
      </c>
      <c r="AH130" s="55" t="n">
        <f aca="false">IF(ISNUMBER(G130),G130,1)+2*'Mi portafolio'!$C$5</f>
        <v>0.031048216</v>
      </c>
      <c r="AI130" s="55" t="n">
        <f aca="false">AF130*Pronóstico!$B$8+AG130-AH130</f>
        <v>-0.0354002255944402</v>
      </c>
    </row>
    <row r="131" customFormat="false" ht="15" hidden="false" customHeight="false" outlineLevel="0" collapsed="false">
      <c r="A131" s="60" t="s">
        <v>361</v>
      </c>
      <c r="B131" s="60" t="s">
        <v>203</v>
      </c>
      <c r="C131" s="61" t="n">
        <v>9225.44530296326</v>
      </c>
      <c r="D131" s="62" t="n">
        <v>-0.012453302758799</v>
      </c>
      <c r="E131" s="61" t="n">
        <v>9287.61</v>
      </c>
      <c r="F131" s="61" t="n">
        <v>9500</v>
      </c>
      <c r="G131" s="63" t="n">
        <v>0.0226095815</v>
      </c>
      <c r="H131" s="64" t="n">
        <v>4328</v>
      </c>
      <c r="I131" s="64" t="n">
        <v>1</v>
      </c>
      <c r="J131" s="65" t="s">
        <v>204</v>
      </c>
      <c r="K131" s="62" t="n">
        <v>0.165358808209835</v>
      </c>
      <c r="L131" s="62" t="n">
        <v>-0.0814920636540053</v>
      </c>
      <c r="M131" s="62" t="n">
        <v>0.361329544661831</v>
      </c>
      <c r="N131" s="62" t="n">
        <v>1.24043267188545</v>
      </c>
      <c r="O131" s="62" t="n">
        <v>0.598072883882268</v>
      </c>
      <c r="P131" s="62" t="n">
        <v>0.188375251981392</v>
      </c>
      <c r="Q131" s="62" t="n">
        <v>-0.435580810253499</v>
      </c>
      <c r="R131" s="66" t="n">
        <v>1.29193858949203</v>
      </c>
      <c r="S131" s="62" t="n">
        <v>0.630221509629894</v>
      </c>
      <c r="T131" s="62" t="n">
        <v>-0.263891306658508</v>
      </c>
      <c r="U131" s="60" t="s">
        <v>327</v>
      </c>
      <c r="V131" s="34" t="n">
        <v>11598.7587043839</v>
      </c>
      <c r="W131" s="13" t="n">
        <v>0.257257327259669</v>
      </c>
      <c r="X131" s="12" t="n">
        <v>36</v>
      </c>
      <c r="Y131" s="30" t="s">
        <v>266</v>
      </c>
      <c r="Z131" s="30" t="s">
        <v>204</v>
      </c>
      <c r="AA131" s="67" t="n">
        <v>52529278270.2695</v>
      </c>
      <c r="AB131" s="67" t="n">
        <v>9200</v>
      </c>
      <c r="AC131" s="30" t="s">
        <v>217</v>
      </c>
      <c r="AD131" s="13" t="n">
        <v>0.922526054723944</v>
      </c>
      <c r="AE131" s="56" t="n">
        <v>1.98448474445219</v>
      </c>
      <c r="AF131" s="56" t="n">
        <v>1.84964546807422</v>
      </c>
      <c r="AG131" s="55" t="n">
        <f aca="false">Pronóstico!$B$5*P131*AE131</f>
        <v>0.0186913906894704</v>
      </c>
      <c r="AH131" s="55" t="n">
        <f aca="false">IF(ISNUMBER(G131),G131,1)+2*'Mi portafolio'!$C$5</f>
        <v>0.0249295815</v>
      </c>
      <c r="AI131" s="55" t="n">
        <f aca="false">AF131*Pronóstico!$B$8+AG131-AH131</f>
        <v>0.00844153512656737</v>
      </c>
    </row>
    <row r="132" customFormat="false" ht="15" hidden="false" customHeight="false" outlineLevel="0" collapsed="false">
      <c r="A132" s="60" t="s">
        <v>362</v>
      </c>
      <c r="B132" s="60" t="s">
        <v>203</v>
      </c>
      <c r="C132" s="61" t="n">
        <v>1362.11034584045</v>
      </c>
      <c r="D132" s="62" t="n">
        <v>0.0066073255776457</v>
      </c>
      <c r="E132" s="61" t="n">
        <v>1339.21</v>
      </c>
      <c r="F132" s="61" t="n">
        <v>1403.99</v>
      </c>
      <c r="G132" s="63" t="n">
        <v>0.047229513</v>
      </c>
      <c r="H132" s="64" t="n">
        <v>1200</v>
      </c>
      <c r="I132" s="64" t="n">
        <v>800</v>
      </c>
      <c r="J132" s="65" t="s">
        <v>204</v>
      </c>
      <c r="K132" s="62" t="n">
        <v>0.182052879763744</v>
      </c>
      <c r="L132" s="62" t="n">
        <v>-0.0499481496125859</v>
      </c>
      <c r="M132" s="62" t="n">
        <v>0.324217994394816</v>
      </c>
      <c r="N132" s="62" t="n">
        <v>0.0885266157577255</v>
      </c>
      <c r="O132" s="62" t="n">
        <v>0.59351726344394</v>
      </c>
      <c r="P132" s="62" t="n">
        <v>0.186940366416223</v>
      </c>
      <c r="Q132" s="62" t="n">
        <v>-0.48987799318128</v>
      </c>
      <c r="R132" s="66" t="n">
        <v>0.527214986362619</v>
      </c>
      <c r="S132" s="62" t="n">
        <v>1.1407956373827</v>
      </c>
      <c r="T132" s="62" t="n">
        <v>-0.458070216622686</v>
      </c>
      <c r="U132" s="60" t="s">
        <v>327</v>
      </c>
      <c r="V132" s="34" t="n">
        <v>1790.906894207</v>
      </c>
      <c r="W132" s="13" t="n">
        <v>0.314803091890451</v>
      </c>
      <c r="X132" s="12" t="n">
        <v>32</v>
      </c>
      <c r="Y132" s="30" t="s">
        <v>295</v>
      </c>
      <c r="Z132" s="30" t="s">
        <v>204</v>
      </c>
      <c r="AA132" s="67" t="n">
        <v>4885845174.93644</v>
      </c>
      <c r="AB132" s="67" t="n">
        <v>1083136</v>
      </c>
      <c r="AC132" s="30" t="s">
        <v>204</v>
      </c>
      <c r="AD132" s="13" t="n">
        <v>-0.07912189514289</v>
      </c>
      <c r="AE132" s="56" t="n">
        <v>-0.105816220379946</v>
      </c>
      <c r="AF132" s="56" t="n">
        <v>2.36639638372289</v>
      </c>
      <c r="AG132" s="55" t="n">
        <f aca="false">Pronóstico!$B$5*P132*AE132</f>
        <v>-0.000989066150530346</v>
      </c>
      <c r="AH132" s="55" t="n">
        <f aca="false">IF(ISNUMBER(G132),G132,1)+2*'Mi portafolio'!$C$5</f>
        <v>0.049549513</v>
      </c>
      <c r="AI132" s="55" t="n">
        <f aca="false">AF132*Pronóstico!$B$8+AG132-AH132</f>
        <v>-0.03175765547019</v>
      </c>
    </row>
    <row r="133" customFormat="false" ht="15" hidden="false" customHeight="false" outlineLevel="0" collapsed="false">
      <c r="A133" s="60" t="s">
        <v>363</v>
      </c>
      <c r="B133" s="60" t="s">
        <v>203</v>
      </c>
      <c r="C133" s="61" t="n">
        <v>5027.47331619263</v>
      </c>
      <c r="D133" s="62" t="n">
        <v>0.0251420369834753</v>
      </c>
      <c r="E133" s="61" t="n">
        <v>4951.81</v>
      </c>
      <c r="F133" s="61" t="n">
        <v>5187.59</v>
      </c>
      <c r="G133" s="63" t="n">
        <v>0.0465076829</v>
      </c>
      <c r="H133" s="64" t="n">
        <v>500</v>
      </c>
      <c r="I133" s="64" t="n">
        <v>400</v>
      </c>
      <c r="J133" s="65" t="s">
        <v>204</v>
      </c>
      <c r="K133" s="62" t="n">
        <v>0.309023757057628</v>
      </c>
      <c r="L133" s="62" t="n">
        <v>0.316709200365964</v>
      </c>
      <c r="M133" s="62" t="n">
        <v>1.1739711945944</v>
      </c>
      <c r="N133" s="62" t="n">
        <v>1.55847949110952</v>
      </c>
      <c r="O133" s="62" t="n">
        <v>0.636108255691315</v>
      </c>
      <c r="P133" s="62" t="n">
        <v>0.200355268032655</v>
      </c>
      <c r="Q133" s="62" t="n">
        <v>-0.283860940831868</v>
      </c>
      <c r="R133" s="66" t="n">
        <v>0.0473601686105519</v>
      </c>
      <c r="S133" s="62" t="n">
        <v>0.671764725731592</v>
      </c>
      <c r="T133" s="62" t="n">
        <v>-0.368797337329857</v>
      </c>
      <c r="U133" s="60" t="s">
        <v>327</v>
      </c>
      <c r="V133" s="34" t="n">
        <v>4774.88702999115</v>
      </c>
      <c r="W133" s="13" t="n">
        <v>-0.0502411987723412</v>
      </c>
      <c r="X133" s="12" t="n">
        <v>28</v>
      </c>
      <c r="Y133" s="30" t="s">
        <v>252</v>
      </c>
      <c r="Z133" s="30" t="s">
        <v>204</v>
      </c>
      <c r="AA133" s="67" t="n">
        <v>23478873830.229</v>
      </c>
      <c r="AB133" s="67" t="n">
        <v>1969600</v>
      </c>
      <c r="AC133" s="30" t="s">
        <v>204</v>
      </c>
      <c r="AD133" s="13" t="n">
        <v>0.954494314801716</v>
      </c>
      <c r="AE133" s="56" t="n">
        <v>0.844765025987237</v>
      </c>
      <c r="AF133" s="56" t="n">
        <v>1.30069327315</v>
      </c>
      <c r="AG133" s="55" t="n">
        <f aca="false">Pronóstico!$B$5*P133*AE133</f>
        <v>0.0084626561603143</v>
      </c>
      <c r="AH133" s="55" t="n">
        <f aca="false">IF(ISNUMBER(G133),G133,1)+2*'Mi portafolio'!$C$5</f>
        <v>0.0488276829</v>
      </c>
      <c r="AI133" s="55" t="n">
        <f aca="false">AF133*Pronóstico!$B$8+AG133-AH133</f>
        <v>-0.0300420642543682</v>
      </c>
    </row>
    <row r="134" customFormat="false" ht="15" hidden="false" customHeight="false" outlineLevel="0" collapsed="false">
      <c r="A134" s="60" t="s">
        <v>364</v>
      </c>
      <c r="B134" s="60" t="s">
        <v>203</v>
      </c>
      <c r="C134" s="61" t="n">
        <v>197.413873672485</v>
      </c>
      <c r="D134" s="62" t="n">
        <v>-0.0203838818888646</v>
      </c>
      <c r="E134" s="61" t="n">
        <v>196.01</v>
      </c>
      <c r="F134" s="61" t="n">
        <v>200.49</v>
      </c>
      <c r="G134" s="63" t="n">
        <v>0.0225977301</v>
      </c>
      <c r="H134" s="64" t="n">
        <v>3500</v>
      </c>
      <c r="I134" s="64" t="n">
        <v>4500</v>
      </c>
      <c r="J134" s="65" t="s">
        <v>204</v>
      </c>
      <c r="K134" s="62" t="n">
        <v>0.185775839444601</v>
      </c>
      <c r="L134" s="62" t="n">
        <v>0.266626696342542</v>
      </c>
      <c r="M134" s="62" t="n">
        <v>0.317248651902381</v>
      </c>
      <c r="N134" s="62" t="n">
        <v>0.323000067933057</v>
      </c>
      <c r="O134" s="62" t="n">
        <v>0.665199555945763</v>
      </c>
      <c r="P134" s="62" t="n">
        <v>0.209518166340844</v>
      </c>
      <c r="Q134" s="62" t="n">
        <v>-0.338712118697649</v>
      </c>
      <c r="R134" s="66" t="n">
        <v>1.02792681423798</v>
      </c>
      <c r="S134" s="62" t="n">
        <v>3.66369295476115</v>
      </c>
      <c r="T134" s="62" t="n">
        <v>-0.427948220159587</v>
      </c>
      <c r="U134" s="60" t="s">
        <v>327</v>
      </c>
      <c r="V134" s="34" t="n">
        <v>254.182297950745</v>
      </c>
      <c r="W134" s="13" t="n">
        <v>0.287560459770115</v>
      </c>
      <c r="X134" s="12" t="n">
        <v>9</v>
      </c>
      <c r="Y134" s="30" t="s">
        <v>295</v>
      </c>
      <c r="Z134" s="30" t="s">
        <v>204</v>
      </c>
      <c r="AA134" s="67" t="n">
        <v>1419276757.86141</v>
      </c>
      <c r="AB134" s="67" t="n">
        <v>682500</v>
      </c>
      <c r="AC134" s="30" t="s">
        <v>204</v>
      </c>
      <c r="AD134" s="13" t="n">
        <v>0.115725269417472</v>
      </c>
      <c r="AE134" s="56" t="n">
        <v>0.351118236122507</v>
      </c>
      <c r="AF134" s="56" t="n">
        <v>1.86571856098999</v>
      </c>
      <c r="AG134" s="55" t="n">
        <f aca="false">Pronóstico!$B$5*P134*AE134</f>
        <v>0.00367828245006095</v>
      </c>
      <c r="AH134" s="55" t="n">
        <f aca="false">IF(ISNUMBER(G134),G134,1)+2*'Mi portafolio'!$C$5</f>
        <v>0.0249177301</v>
      </c>
      <c r="AI134" s="55" t="n">
        <f aca="false">AF134*Pronóstico!$B$8+AG134-AH134</f>
        <v>-0.00643215748335186</v>
      </c>
    </row>
    <row r="135" customFormat="false" ht="15" hidden="false" customHeight="false" outlineLevel="0" collapsed="false">
      <c r="A135" s="60" t="s">
        <v>365</v>
      </c>
      <c r="B135" s="60" t="s">
        <v>203</v>
      </c>
      <c r="C135" s="61" t="n">
        <v>427.140087127686</v>
      </c>
      <c r="D135" s="62" t="n">
        <v>-0.0116409564859214</v>
      </c>
      <c r="E135" s="61" t="n">
        <v>420.01</v>
      </c>
      <c r="F135" s="61" t="n">
        <v>440.99</v>
      </c>
      <c r="G135" s="63" t="n">
        <v>0.0487340302</v>
      </c>
      <c r="H135" s="64" t="n">
        <v>8000</v>
      </c>
      <c r="I135" s="64" t="n">
        <v>3200</v>
      </c>
      <c r="J135" s="65" t="s">
        <v>204</v>
      </c>
      <c r="K135" s="62" t="n">
        <v>-0.0255809482104661</v>
      </c>
      <c r="L135" s="62" t="n">
        <v>-0.22516970896692</v>
      </c>
      <c r="M135" s="62" t="n">
        <v>-0.258859697055563</v>
      </c>
      <c r="N135" s="62" t="n">
        <v>-0.502227482324785</v>
      </c>
      <c r="O135" s="62" t="n">
        <v>0.652775394141772</v>
      </c>
      <c r="P135" s="62" t="n">
        <v>0.205604923200155</v>
      </c>
      <c r="Q135" s="62" t="n">
        <v>-0.579215766165255</v>
      </c>
      <c r="R135" s="66" t="n">
        <v>0.557338174935708</v>
      </c>
      <c r="S135" s="62" t="n">
        <v>1.10990725576013</v>
      </c>
      <c r="T135" s="62" t="n">
        <v>-0.491431343974735</v>
      </c>
      <c r="U135" s="60" t="s">
        <v>327</v>
      </c>
      <c r="V135" s="34" t="n">
        <v>726.119995117188</v>
      </c>
      <c r="W135" s="13" t="n">
        <v>0.699957501062473</v>
      </c>
      <c r="X135" s="12" t="n">
        <v>16</v>
      </c>
      <c r="Y135" s="30" t="s">
        <v>228</v>
      </c>
      <c r="Z135" s="30" t="s">
        <v>204</v>
      </c>
      <c r="AA135" s="67" t="n">
        <v>1919884823.83329</v>
      </c>
      <c r="AB135" s="67" t="n">
        <v>1360000</v>
      </c>
      <c r="AC135" s="30" t="s">
        <v>204</v>
      </c>
      <c r="AD135" s="13" t="n">
        <v>-0.489159703147174</v>
      </c>
      <c r="AE135" s="56" t="n">
        <v>0.723918925877068</v>
      </c>
      <c r="AF135" s="56" t="n">
        <v>2.7200393179721</v>
      </c>
      <c r="AG135" s="55" t="n">
        <f aca="false">Pronóstico!$B$5*P135*AE135</f>
        <v>0.00744206475790465</v>
      </c>
      <c r="AH135" s="55" t="n">
        <f aca="false">IF(ISNUMBER(G135),G135,1)+2*'Mi portafolio'!$C$5</f>
        <v>0.0510540302</v>
      </c>
      <c r="AI135" s="55" t="n">
        <f aca="false">AF135*Pronóstico!$B$8+AG135-AH135</f>
        <v>-0.0220243518073962</v>
      </c>
    </row>
    <row r="136" customFormat="false" ht="15" hidden="false" customHeight="false" outlineLevel="0" collapsed="false">
      <c r="A136" s="60" t="s">
        <v>366</v>
      </c>
      <c r="B136" s="60" t="s">
        <v>208</v>
      </c>
      <c r="C136" s="61" t="n">
        <v>18.98</v>
      </c>
      <c r="D136" s="62" t="n">
        <v>0.0042328002815203</v>
      </c>
      <c r="E136" s="61" t="n">
        <v>18.71</v>
      </c>
      <c r="F136" s="61" t="n">
        <v>18.94</v>
      </c>
      <c r="G136" s="63" t="n">
        <v>0.0122177955</v>
      </c>
      <c r="H136" s="64" t="n">
        <v>150</v>
      </c>
      <c r="I136" s="64" t="n">
        <v>210</v>
      </c>
      <c r="J136" s="65" t="s">
        <v>204</v>
      </c>
      <c r="K136" s="62" t="n">
        <v>-0.160177025581005</v>
      </c>
      <c r="L136" s="62" t="n">
        <v>0.376359651540267</v>
      </c>
      <c r="M136" s="62" t="n">
        <v>0.956701022211075</v>
      </c>
      <c r="N136" s="62" t="n">
        <v>1.14221222096011</v>
      </c>
      <c r="O136" s="62" t="n">
        <v>0.666298049777526</v>
      </c>
      <c r="P136" s="62" t="n">
        <v>0.209864159376032</v>
      </c>
      <c r="Q136" s="62" t="n">
        <v>-0.416177439412442</v>
      </c>
      <c r="R136" s="66" t="n">
        <v>0.943146013555958</v>
      </c>
      <c r="S136" s="62" t="n">
        <v>1.67101821044878</v>
      </c>
      <c r="T136" s="62" t="n">
        <v>-0.355300861360553</v>
      </c>
      <c r="U136" s="60" t="s">
        <v>327</v>
      </c>
      <c r="V136" s="34"/>
      <c r="W136" s="13"/>
      <c r="X136" s="12"/>
      <c r="Y136" s="30" t="s">
        <v>245</v>
      </c>
      <c r="Z136" s="30" t="s">
        <v>217</v>
      </c>
      <c r="AA136" s="67" t="n">
        <v>476820.306652973</v>
      </c>
      <c r="AB136" s="67" t="n">
        <v>2845.5</v>
      </c>
      <c r="AC136" s="30" t="s">
        <v>217</v>
      </c>
      <c r="AD136" s="13" t="n">
        <v>1.55079020961784</v>
      </c>
      <c r="AE136" s="56" t="n">
        <v>3.9113828388833</v>
      </c>
      <c r="AF136" s="56" t="n">
        <v>0.600243441436567</v>
      </c>
      <c r="AG136" s="55" t="n">
        <f aca="false">Pronóstico!$B$5*P136*AE136</f>
        <v>0.0410429535740041</v>
      </c>
      <c r="AH136" s="55" t="n">
        <f aca="false">IF(ISNUMBER(G136),G136,1)+2*'Mi portafolio'!$C$5</f>
        <v>0.0145377955</v>
      </c>
      <c r="AI136" s="55" t="n">
        <f aca="false">AF136*Pronóstico!$B$8+AG136-AH136</f>
        <v>0.0312689949108022</v>
      </c>
    </row>
    <row r="137" customFormat="false" ht="15" hidden="false" customHeight="false" outlineLevel="0" collapsed="false">
      <c r="A137" s="60" t="s">
        <v>367</v>
      </c>
      <c r="B137" s="60" t="s">
        <v>203</v>
      </c>
      <c r="C137" s="61" t="n">
        <v>255.321943283081</v>
      </c>
      <c r="D137" s="62" t="n">
        <v>-0.0094893925646815</v>
      </c>
      <c r="E137" s="61" t="n">
        <v>253.81</v>
      </c>
      <c r="F137" s="61" t="n">
        <v>257.66</v>
      </c>
      <c r="G137" s="63" t="n">
        <v>0.0150546464</v>
      </c>
      <c r="H137" s="64" t="n">
        <v>33400</v>
      </c>
      <c r="I137" s="64" t="n">
        <v>22600</v>
      </c>
      <c r="J137" s="65" t="s">
        <v>204</v>
      </c>
      <c r="K137" s="62" t="n">
        <v>-0.0569327004788553</v>
      </c>
      <c r="L137" s="62" t="n">
        <v>-0.15746339823654</v>
      </c>
      <c r="M137" s="62" t="n">
        <v>-0.0985566514772814</v>
      </c>
      <c r="N137" s="62" t="n">
        <v>0.0628206803426119</v>
      </c>
      <c r="O137" s="62" t="n">
        <v>0.709192798741277</v>
      </c>
      <c r="P137" s="62" t="n">
        <v>0.223374735365155</v>
      </c>
      <c r="Q137" s="62" t="n">
        <v>-0.448407483597338</v>
      </c>
      <c r="R137" s="66" t="n">
        <v>1.21683838589847</v>
      </c>
      <c r="S137" s="62" t="n">
        <v>0.597359979793937</v>
      </c>
      <c r="T137" s="62" t="n">
        <v>-0.360118043925409</v>
      </c>
      <c r="U137" s="60" t="s">
        <v>327</v>
      </c>
      <c r="V137" s="34" t="n">
        <v>344.906997680664</v>
      </c>
      <c r="W137" s="13" t="n">
        <v>0.35087095627444</v>
      </c>
      <c r="X137" s="12" t="n">
        <v>25</v>
      </c>
      <c r="Y137" s="30" t="s">
        <v>252</v>
      </c>
      <c r="Z137" s="30" t="s">
        <v>204</v>
      </c>
      <c r="AA137" s="67" t="n">
        <v>6747891236.14875</v>
      </c>
      <c r="AB137" s="67" t="n">
        <v>5796900</v>
      </c>
      <c r="AC137" s="30" t="s">
        <v>204</v>
      </c>
      <c r="AD137" s="13" t="n">
        <v>0.126982857832388</v>
      </c>
      <c r="AE137" s="56" t="n">
        <v>0.701098513346648</v>
      </c>
      <c r="AF137" s="56" t="n">
        <v>2.33212668764822</v>
      </c>
      <c r="AG137" s="55" t="n">
        <f aca="false">Pronóstico!$B$5*P137*AE137</f>
        <v>0.00783038474418554</v>
      </c>
      <c r="AH137" s="55" t="n">
        <f aca="false">IF(ISNUMBER(G137),G137,1)+2*'Mi portafolio'!$C$5</f>
        <v>0.0173746464</v>
      </c>
      <c r="AI137" s="55" t="n">
        <f aca="false">AF137*Pronóstico!$B$8+AG137-AH137</f>
        <v>0.00896468030964759</v>
      </c>
    </row>
    <row r="138" customFormat="false" ht="15" hidden="false" customHeight="false" outlineLevel="0" collapsed="false">
      <c r="A138" s="60" t="s">
        <v>368</v>
      </c>
      <c r="B138" s="60" t="s">
        <v>203</v>
      </c>
      <c r="C138" s="61" t="n">
        <v>11328.379573822</v>
      </c>
      <c r="D138" s="62" t="n">
        <v>-0.0261454413226652</v>
      </c>
      <c r="E138" s="61" t="n">
        <v>11463.87</v>
      </c>
      <c r="F138" s="61" t="n">
        <v>11603.2</v>
      </c>
      <c r="G138" s="63" t="n">
        <v>0.0120804246</v>
      </c>
      <c r="H138" s="64" t="n">
        <v>2350</v>
      </c>
      <c r="I138" s="64" t="n">
        <v>2146</v>
      </c>
      <c r="J138" s="65" t="s">
        <v>204</v>
      </c>
      <c r="K138" s="62" t="n">
        <v>0.282630261760683</v>
      </c>
      <c r="L138" s="62" t="n">
        <v>0.208514011256613</v>
      </c>
      <c r="M138" s="62" t="n">
        <v>1.53775423130202</v>
      </c>
      <c r="N138" s="62" t="n">
        <v>1.63101657156946</v>
      </c>
      <c r="O138" s="62" t="n">
        <v>0.681301162405848</v>
      </c>
      <c r="P138" s="62" t="n">
        <v>0.214589695674417</v>
      </c>
      <c r="Q138" s="62" t="n">
        <v>-0.32159697275243</v>
      </c>
      <c r="R138" s="66" t="n">
        <v>1.30961377426472</v>
      </c>
      <c r="S138" s="62" t="n">
        <v>1.02603157016253</v>
      </c>
      <c r="T138" s="62" t="n">
        <v>-0.249834530103051</v>
      </c>
      <c r="U138" s="60" t="s">
        <v>327</v>
      </c>
      <c r="V138" s="34" t="n">
        <v>11549.0837463379</v>
      </c>
      <c r="W138" s="13" t="n">
        <v>0.0194824132681676</v>
      </c>
      <c r="X138" s="12" t="n">
        <v>50</v>
      </c>
      <c r="Y138" s="30" t="s">
        <v>228</v>
      </c>
      <c r="Z138" s="30" t="s">
        <v>204</v>
      </c>
      <c r="AA138" s="67" t="n">
        <v>234100764276.158</v>
      </c>
      <c r="AB138" s="67" t="n">
        <v>24785398.68</v>
      </c>
      <c r="AC138" s="30" t="s">
        <v>204</v>
      </c>
      <c r="AD138" s="13" t="n">
        <v>1.05126656528268</v>
      </c>
      <c r="AE138" s="56" t="n">
        <v>0.844765025987237</v>
      </c>
      <c r="AF138" s="56" t="n">
        <v>2.34477401462691</v>
      </c>
      <c r="AG138" s="55" t="n">
        <f aca="false">Pronóstico!$B$5*P138*AE138</f>
        <v>0.0090638934921496</v>
      </c>
      <c r="AH138" s="55" t="n">
        <f aca="false">IF(ISNUMBER(G138),G138,1)+2*'Mi portafolio'!$C$5</f>
        <v>0.0144004246</v>
      </c>
      <c r="AI138" s="55" t="n">
        <f aca="false">AF138*Pronóstico!$B$8+AG138-AH138</f>
        <v>0.0132727864685536</v>
      </c>
    </row>
    <row r="139" customFormat="false" ht="15" hidden="false" customHeight="false" outlineLevel="0" collapsed="false">
      <c r="A139" s="60" t="s">
        <v>369</v>
      </c>
      <c r="B139" s="60" t="s">
        <v>203</v>
      </c>
      <c r="C139" s="61" t="n">
        <v>219.742063522339</v>
      </c>
      <c r="D139" s="62" t="n">
        <v>0.0123232763573186</v>
      </c>
      <c r="E139" s="61" t="n">
        <v>213.21</v>
      </c>
      <c r="F139" s="61" t="n">
        <v>226.19</v>
      </c>
      <c r="G139" s="63" t="n">
        <v>0.0590805644</v>
      </c>
      <c r="H139" s="64" t="n">
        <v>23400</v>
      </c>
      <c r="I139" s="64" t="n">
        <v>11700</v>
      </c>
      <c r="J139" s="65" t="s">
        <v>204</v>
      </c>
      <c r="K139" s="62" t="n">
        <v>0.0730755371007934</v>
      </c>
      <c r="L139" s="62" t="n">
        <v>0.29099588645959</v>
      </c>
      <c r="M139" s="62" t="n">
        <v>0.316218997609581</v>
      </c>
      <c r="N139" s="62" t="n">
        <v>-0.106368545042994</v>
      </c>
      <c r="O139" s="62" t="n">
        <v>0.691439324735204</v>
      </c>
      <c r="P139" s="62" t="n">
        <v>0.217782916659498</v>
      </c>
      <c r="Q139" s="62" t="n">
        <v>-0.53317781010454</v>
      </c>
      <c r="R139" s="66" t="n">
        <v>1.0641871972878</v>
      </c>
      <c r="S139" s="62" t="n">
        <v>0.597439431406323</v>
      </c>
      <c r="T139" s="62" t="n">
        <v>-0.414810779101717</v>
      </c>
      <c r="U139" s="60" t="s">
        <v>327</v>
      </c>
      <c r="V139" s="34" t="n">
        <v>228.727798461914</v>
      </c>
      <c r="W139" s="13" t="n">
        <v>0.0408921933085502</v>
      </c>
      <c r="X139" s="12" t="n">
        <v>10</v>
      </c>
      <c r="Y139" s="30" t="s">
        <v>226</v>
      </c>
      <c r="Z139" s="30" t="s">
        <v>204</v>
      </c>
      <c r="AA139" s="67" t="n">
        <v>3299479443.10556</v>
      </c>
      <c r="AB139" s="67" t="n">
        <v>2560896</v>
      </c>
      <c r="AC139" s="30" t="s">
        <v>204</v>
      </c>
      <c r="AD139" s="13" t="n">
        <v>-0.167224091817995</v>
      </c>
      <c r="AE139" s="56" t="n">
        <v>-1.73985339333924</v>
      </c>
      <c r="AF139" s="56" t="n">
        <v>1.8442157494337</v>
      </c>
      <c r="AG139" s="55" t="n">
        <f aca="false">Pronóstico!$B$5*P139*AE139</f>
        <v>-0.0189455173280672</v>
      </c>
      <c r="AH139" s="55" t="n">
        <f aca="false">IF(ISNUMBER(G139),G139,1)+2*'Mi portafolio'!$C$5</f>
        <v>0.0614005644</v>
      </c>
      <c r="AI139" s="55" t="n">
        <f aca="false">AF139*Pronóstico!$B$8+AG139-AH139</f>
        <v>-0.0657094487960537</v>
      </c>
    </row>
    <row r="140" customFormat="false" ht="15" hidden="false" customHeight="false" outlineLevel="0" collapsed="false">
      <c r="A140" s="60" t="s">
        <v>105</v>
      </c>
      <c r="B140" s="60" t="s">
        <v>203</v>
      </c>
      <c r="C140" s="61" t="n">
        <v>1934.40363529205</v>
      </c>
      <c r="D140" s="62" t="n">
        <v>-0.0460345376683201</v>
      </c>
      <c r="E140" s="61" t="n">
        <v>1980.01</v>
      </c>
      <c r="F140" s="61" t="n">
        <v>1999.99</v>
      </c>
      <c r="G140" s="63" t="n">
        <v>0.010040201</v>
      </c>
      <c r="H140" s="64" t="n">
        <v>5250</v>
      </c>
      <c r="I140" s="64" t="n">
        <v>4360</v>
      </c>
      <c r="J140" s="65" t="s">
        <v>204</v>
      </c>
      <c r="K140" s="62" t="n">
        <v>0.0793792388944609</v>
      </c>
      <c r="L140" s="62" t="n">
        <v>0.0745006615146741</v>
      </c>
      <c r="M140" s="62" t="n">
        <v>0.730607122867979</v>
      </c>
      <c r="N140" s="62" t="n">
        <v>1.84281834705627</v>
      </c>
      <c r="O140" s="62" t="n">
        <v>0.776886021322276</v>
      </c>
      <c r="P140" s="62" t="n">
        <v>0.244696096364424</v>
      </c>
      <c r="Q140" s="62" t="n">
        <v>-0.416042910167872</v>
      </c>
      <c r="R140" s="66" t="n">
        <v>1.44099796372813</v>
      </c>
      <c r="S140" s="62" t="n">
        <v>1.45411850067985</v>
      </c>
      <c r="T140" s="62" t="n">
        <v>-0.40355095755979</v>
      </c>
      <c r="U140" s="60" t="s">
        <v>327</v>
      </c>
      <c r="V140" s="34" t="n">
        <v>2142.89828162003</v>
      </c>
      <c r="W140" s="13" t="n">
        <v>0.107782389633741</v>
      </c>
      <c r="X140" s="12" t="n">
        <v>43</v>
      </c>
      <c r="Y140" s="30" t="s">
        <v>252</v>
      </c>
      <c r="Z140" s="30" t="s">
        <v>204</v>
      </c>
      <c r="AA140" s="67" t="n">
        <v>221339249878.502</v>
      </c>
      <c r="AB140" s="67" t="n">
        <v>8697851.2</v>
      </c>
      <c r="AC140" s="30" t="s">
        <v>204</v>
      </c>
      <c r="AD140" s="13" t="n">
        <v>1.63375303565037</v>
      </c>
      <c r="AE140" s="56" t="n">
        <v>1.23905024499236</v>
      </c>
      <c r="AF140" s="56" t="n">
        <v>2.21982874862274</v>
      </c>
      <c r="AG140" s="55" t="n">
        <f aca="false">Pronóstico!$B$5*P140*AE140</f>
        <v>0.0151595379074508</v>
      </c>
      <c r="AH140" s="55" t="n">
        <f aca="false">IF(ISNUMBER(G140),G140,1)+2*'Mi portafolio'!$C$5</f>
        <v>0.012360201</v>
      </c>
      <c r="AI140" s="55" t="n">
        <f aca="false">AF140*Pronóstico!$B$8+AG140-AH140</f>
        <v>0.0204170253885836</v>
      </c>
    </row>
    <row r="141" customFormat="false" ht="15" hidden="false" customHeight="false" outlineLevel="0" collapsed="false">
      <c r="A141" s="60" t="s">
        <v>370</v>
      </c>
      <c r="B141" s="60" t="s">
        <v>203</v>
      </c>
      <c r="C141" s="61" t="n">
        <v>167.007598876953</v>
      </c>
      <c r="D141" s="62" t="n">
        <v>0.0047684163597325</v>
      </c>
      <c r="E141" s="61" t="n">
        <v>164.51</v>
      </c>
      <c r="F141" s="61" t="n">
        <v>182.99</v>
      </c>
      <c r="G141" s="63" t="n">
        <v>0.1063597122</v>
      </c>
      <c r="H141" s="64" t="n">
        <v>2100</v>
      </c>
      <c r="I141" s="64" t="n">
        <v>20</v>
      </c>
      <c r="J141" s="65" t="s">
        <v>204</v>
      </c>
      <c r="K141" s="62" t="n">
        <v>-0.0778357311815448</v>
      </c>
      <c r="L141" s="62" t="n">
        <v>-0.02919559594301</v>
      </c>
      <c r="M141" s="62" t="n">
        <v>-0.263367187538681</v>
      </c>
      <c r="N141" s="62" t="n">
        <v>-0.792546296899262</v>
      </c>
      <c r="O141" s="62" t="n">
        <v>0.780821172444294</v>
      </c>
      <c r="P141" s="62" t="n">
        <v>0.245935552464462</v>
      </c>
      <c r="Q141" s="62" t="n">
        <v>-0.844095716260121</v>
      </c>
      <c r="R141" s="66" t="n">
        <v>-0.438656212676283</v>
      </c>
      <c r="S141" s="62" t="n">
        <v>2.67697984748248</v>
      </c>
      <c r="T141" s="62" t="n">
        <v>-0.571445996944012</v>
      </c>
      <c r="U141" s="60" t="s">
        <v>327</v>
      </c>
      <c r="V141" s="34" t="n">
        <v>308.600997924805</v>
      </c>
      <c r="W141" s="13" t="n">
        <v>0.847826086956522</v>
      </c>
      <c r="X141" s="12" t="n">
        <v>8</v>
      </c>
      <c r="Y141" s="30" t="s">
        <v>220</v>
      </c>
      <c r="Z141" s="30" t="s">
        <v>204</v>
      </c>
      <c r="AA141" s="67" t="n">
        <v>215966225.433576</v>
      </c>
      <c r="AB141" s="67" t="n">
        <v>3325.8</v>
      </c>
      <c r="AC141" s="30" t="s">
        <v>217</v>
      </c>
      <c r="AD141" s="13" t="n">
        <v>-0.775036064489309</v>
      </c>
      <c r="AE141" s="56" t="n">
        <v>0.782549352328619</v>
      </c>
      <c r="AF141" s="56" t="n">
        <v>1.53134772780186</v>
      </c>
      <c r="AG141" s="55" t="n">
        <f aca="false">Pronóstico!$B$5*P141*AE141</f>
        <v>0.00962283536478229</v>
      </c>
      <c r="AH141" s="55" t="n">
        <f aca="false">IF(ISNUMBER(G141),G141,1)+2*'Mi portafolio'!$C$5</f>
        <v>0.1086797122</v>
      </c>
      <c r="AI141" s="55" t="n">
        <f aca="false">AF141*Pronóstico!$B$8+AG141-AH141</f>
        <v>-0.0869033234399649</v>
      </c>
    </row>
    <row r="142" customFormat="false" ht="15" hidden="false" customHeight="false" outlineLevel="0" collapsed="false">
      <c r="A142" s="60" t="s">
        <v>104</v>
      </c>
      <c r="B142" s="60" t="s">
        <v>203</v>
      </c>
      <c r="C142" s="61" t="n">
        <v>18886.4391625977</v>
      </c>
      <c r="D142" s="62" t="n">
        <v>-0.0339962495635312</v>
      </c>
      <c r="E142" s="61" t="n">
        <v>19350.01</v>
      </c>
      <c r="F142" s="61" t="n">
        <v>19524.99</v>
      </c>
      <c r="G142" s="63" t="n">
        <v>0.0090021865</v>
      </c>
      <c r="H142" s="64" t="n">
        <v>2150</v>
      </c>
      <c r="I142" s="64" t="n">
        <v>246</v>
      </c>
      <c r="J142" s="65" t="s">
        <v>204</v>
      </c>
      <c r="K142" s="62" t="n">
        <v>0.0866803601264309</v>
      </c>
      <c r="L142" s="62" t="n">
        <v>0.15171669277914</v>
      </c>
      <c r="M142" s="62" t="n">
        <v>1.39954765005809</v>
      </c>
      <c r="N142" s="62" t="n">
        <v>4.06828268333736</v>
      </c>
      <c r="O142" s="62" t="n">
        <v>0.807498357100623</v>
      </c>
      <c r="P142" s="62" t="n">
        <v>0.254338075831128</v>
      </c>
      <c r="Q142" s="62" t="n">
        <v>-0.397310573623586</v>
      </c>
      <c r="R142" s="66" t="n">
        <v>1.37217108624575</v>
      </c>
      <c r="S142" s="62" t="n">
        <v>1.10717455933307</v>
      </c>
      <c r="T142" s="62" t="n">
        <v>-0.342500585260354</v>
      </c>
      <c r="U142" s="60" t="s">
        <v>327</v>
      </c>
      <c r="V142" s="34" t="n">
        <v>28230.2819613648</v>
      </c>
      <c r="W142" s="13" t="n">
        <v>0.494738193807939</v>
      </c>
      <c r="X142" s="12" t="n">
        <v>46</v>
      </c>
      <c r="Y142" s="30" t="s">
        <v>371</v>
      </c>
      <c r="Z142" s="30" t="s">
        <v>217</v>
      </c>
      <c r="AA142" s="67" t="n">
        <v>472944739112.368</v>
      </c>
      <c r="AB142" s="67" t="n">
        <v>4794048</v>
      </c>
      <c r="AC142" s="30" t="s">
        <v>204</v>
      </c>
      <c r="AD142" s="13" t="n">
        <v>3.66400504629318</v>
      </c>
      <c r="AE142" s="56" t="n">
        <v>3.16880656922335</v>
      </c>
      <c r="AF142" s="56" t="n">
        <v>2.15447159395473</v>
      </c>
      <c r="AG142" s="55" t="n">
        <f aca="false">Pronóstico!$B$5*P142*AE142</f>
        <v>0.0402974082748652</v>
      </c>
      <c r="AH142" s="55" t="n">
        <f aca="false">IF(ISNUMBER(G142),G142,1)+2*'Mi portafolio'!$C$5</f>
        <v>0.0113221865</v>
      </c>
      <c r="AI142" s="55" t="n">
        <f aca="false">AF142*Pronóstico!$B$8+AG142-AH142</f>
        <v>0.0460742026792678</v>
      </c>
    </row>
    <row r="143" customFormat="false" ht="15" hidden="false" customHeight="false" outlineLevel="0" collapsed="false">
      <c r="A143" s="60" t="s">
        <v>372</v>
      </c>
      <c r="B143" s="60" t="s">
        <v>203</v>
      </c>
      <c r="C143" s="61" t="n">
        <v>67.8014545440674</v>
      </c>
      <c r="D143" s="62" t="n">
        <v>-0.0300242641874921</v>
      </c>
      <c r="E143" s="61" t="n">
        <v>68</v>
      </c>
      <c r="F143" s="61" t="n">
        <v>68.85</v>
      </c>
      <c r="G143" s="63" t="n">
        <v>0.0124223602</v>
      </c>
      <c r="H143" s="64" t="n">
        <v>5</v>
      </c>
      <c r="I143" s="64" t="n">
        <v>2</v>
      </c>
      <c r="J143" s="65" t="s">
        <v>204</v>
      </c>
      <c r="K143" s="62" t="n">
        <v>-0.0609847067127733</v>
      </c>
      <c r="L143" s="62" t="n">
        <v>-0.296868732427295</v>
      </c>
      <c r="M143" s="62" t="n">
        <v>-0.521363236543225</v>
      </c>
      <c r="N143" s="62" t="n">
        <v>-0.812592779817207</v>
      </c>
      <c r="O143" s="62" t="n">
        <v>0.839109648182295</v>
      </c>
      <c r="P143" s="62" t="n">
        <v>0.264294696643483</v>
      </c>
      <c r="Q143" s="62" t="n">
        <v>-0.814381874248147</v>
      </c>
      <c r="R143" s="66" t="n">
        <v>1.15507730342654</v>
      </c>
      <c r="S143" s="62" t="n">
        <v>0.592619786524785</v>
      </c>
      <c r="T143" s="62" t="n">
        <v>-0.486516322512794</v>
      </c>
      <c r="U143" s="60" t="s">
        <v>327</v>
      </c>
      <c r="V143" s="34" t="n">
        <v>144.21541835022</v>
      </c>
      <c r="W143" s="13" t="n">
        <v>1.12702543507363</v>
      </c>
      <c r="X143" s="12" t="n">
        <v>9</v>
      </c>
      <c r="Y143" s="30" t="s">
        <v>313</v>
      </c>
      <c r="Z143" s="30" t="s">
        <v>204</v>
      </c>
      <c r="AA143" s="67" t="n">
        <v>783616609.198852</v>
      </c>
      <c r="AB143" s="67" t="n">
        <v>137.7</v>
      </c>
      <c r="AC143" s="30" t="s">
        <v>217</v>
      </c>
      <c r="AD143" s="13" t="n">
        <v>-0.800421546355509</v>
      </c>
      <c r="AE143" s="56" t="n">
        <v>0.782549352328619</v>
      </c>
      <c r="AF143" s="56" t="n">
        <v>2.69829074135055</v>
      </c>
      <c r="AG143" s="55" t="n">
        <f aca="false">Pronóstico!$B$5*P143*AE143</f>
        <v>0.0103411821841123</v>
      </c>
      <c r="AH143" s="55" t="n">
        <f aca="false">IF(ISNUMBER(G143),G143,1)+2*'Mi portafolio'!$C$5</f>
        <v>0.0147423602</v>
      </c>
      <c r="AI143" s="55" t="n">
        <f aca="false">AF143*Pronóstico!$B$8+AG143-AH143</f>
        <v>0.0170138278678469</v>
      </c>
    </row>
    <row r="144" customFormat="false" ht="15" hidden="false" customHeight="false" outlineLevel="0" collapsed="false">
      <c r="A144" s="60" t="s">
        <v>373</v>
      </c>
      <c r="B144" s="60" t="s">
        <v>203</v>
      </c>
      <c r="C144" s="61" t="n">
        <v>175.993333816528</v>
      </c>
      <c r="D144" s="62" t="n">
        <v>-0.051203730793766</v>
      </c>
      <c r="E144" s="61" t="n">
        <v>178.69</v>
      </c>
      <c r="F144" s="61" t="n">
        <v>179.25</v>
      </c>
      <c r="G144" s="63" t="n">
        <v>0.003129016</v>
      </c>
      <c r="H144" s="64" t="n">
        <v>20</v>
      </c>
      <c r="I144" s="64" t="n">
        <v>10</v>
      </c>
      <c r="J144" s="65" t="s">
        <v>204</v>
      </c>
      <c r="K144" s="62" t="n">
        <v>-0.123712722746135</v>
      </c>
      <c r="L144" s="62" t="n">
        <v>-0.17204532419459</v>
      </c>
      <c r="M144" s="62" t="n">
        <v>-0.0222569323760024</v>
      </c>
      <c r="N144" s="62" t="n">
        <v>-0.510291088887718</v>
      </c>
      <c r="O144" s="62" t="n">
        <v>0.850817797172472</v>
      </c>
      <c r="P144" s="62" t="n">
        <v>0.267982416945971</v>
      </c>
      <c r="Q144" s="62" t="n">
        <v>-0.69374044278853</v>
      </c>
      <c r="R144" s="66" t="n">
        <v>1.46674523960002</v>
      </c>
      <c r="S144" s="62" t="n">
        <v>1.80948559885214</v>
      </c>
      <c r="T144" s="62" t="n">
        <v>-0.518316895226137</v>
      </c>
      <c r="U144" s="60" t="s">
        <v>327</v>
      </c>
      <c r="V144" s="34" t="n">
        <v>339.209678668976</v>
      </c>
      <c r="W144" s="13" t="n">
        <v>0.927400722021661</v>
      </c>
      <c r="X144" s="12" t="n">
        <v>13</v>
      </c>
      <c r="Y144" s="30" t="s">
        <v>220</v>
      </c>
      <c r="Z144" s="30" t="s">
        <v>204</v>
      </c>
      <c r="AA144" s="67" t="n">
        <v>9241043924.92143</v>
      </c>
      <c r="AB144" s="67" t="n">
        <v>1792.5</v>
      </c>
      <c r="AC144" s="30" t="s">
        <v>217</v>
      </c>
      <c r="AD144" s="13" t="n">
        <v>-0.441154831498928</v>
      </c>
      <c r="AE144" s="56" t="n">
        <v>0.782549352328619</v>
      </c>
      <c r="AF144" s="56" t="n">
        <v>3.13462983925037</v>
      </c>
      <c r="AG144" s="55" t="n">
        <f aca="false">Pronóstico!$B$5*P144*AE144</f>
        <v>0.0104854733408264</v>
      </c>
      <c r="AH144" s="55" t="n">
        <f aca="false">IF(ISNUMBER(G144),G144,1)+2*'Mi portafolio'!$C$5</f>
        <v>0.005449016</v>
      </c>
      <c r="AI144" s="55" t="n">
        <f aca="false">AF144*Pronóstico!$B$8+AG144-AH144</f>
        <v>0.0299144719380515</v>
      </c>
    </row>
    <row r="145" customFormat="false" ht="15" hidden="false" customHeight="false" outlineLevel="0" collapsed="false">
      <c r="A145" s="60" t="s">
        <v>374</v>
      </c>
      <c r="B145" s="60" t="s">
        <v>203</v>
      </c>
      <c r="C145" s="61" t="n">
        <v>298.435317993164</v>
      </c>
      <c r="D145" s="62" t="n">
        <v>-0.103380824052186</v>
      </c>
      <c r="E145" s="61" t="n">
        <v>305.11</v>
      </c>
      <c r="F145" s="61" t="n">
        <v>312.5</v>
      </c>
      <c r="G145" s="63" t="n">
        <v>0.0239309597</v>
      </c>
      <c r="H145" s="64" t="n">
        <v>5</v>
      </c>
      <c r="I145" s="64" t="n">
        <v>50</v>
      </c>
      <c r="J145" s="65" t="s">
        <v>204</v>
      </c>
      <c r="K145" s="62" t="n">
        <v>-0.199602908055724</v>
      </c>
      <c r="L145" s="62" t="n">
        <v>-0.15460633684933</v>
      </c>
      <c r="M145" s="62" t="n">
        <v>-0.0061785858628611</v>
      </c>
      <c r="N145" s="62" t="n">
        <v>-0.190842756353888</v>
      </c>
      <c r="O145" s="62" t="n">
        <v>0.875149708908857</v>
      </c>
      <c r="P145" s="62" t="n">
        <v>0.275646248776596</v>
      </c>
      <c r="Q145" s="62" t="n">
        <v>-0.506806540407971</v>
      </c>
      <c r="R145" s="66" t="n">
        <v>2.19336683597851</v>
      </c>
      <c r="S145" s="62" t="n">
        <v>0.916492519862317</v>
      </c>
      <c r="T145" s="62" t="n">
        <v>-0.408430796027299</v>
      </c>
      <c r="U145" s="60" t="s">
        <v>327</v>
      </c>
      <c r="V145" s="34" t="n">
        <v>572.545616149902</v>
      </c>
      <c r="W145" s="13" t="n">
        <v>0.918491484184915</v>
      </c>
      <c r="X145" s="12" t="n">
        <v>22</v>
      </c>
      <c r="Y145" s="30" t="s">
        <v>252</v>
      </c>
      <c r="Z145" s="30" t="s">
        <v>204</v>
      </c>
      <c r="AA145" s="67" t="n">
        <v>6389663083.87869</v>
      </c>
      <c r="AB145" s="67" t="n">
        <v>1527.25</v>
      </c>
      <c r="AC145" s="30" t="s">
        <v>217</v>
      </c>
      <c r="AD145" s="13" t="n">
        <v>0.0109447570337324</v>
      </c>
      <c r="AE145" s="56" t="n">
        <v>2.14760155686698</v>
      </c>
      <c r="AF145" s="56" t="n">
        <v>3.20689003078029</v>
      </c>
      <c r="AG145" s="55" t="n">
        <f aca="false">Pronóstico!$B$5*P145*AE145</f>
        <v>0.029598915650858</v>
      </c>
      <c r="AH145" s="55" t="n">
        <f aca="false">IF(ISNUMBER(G145),G145,1)+2*'Mi portafolio'!$C$5</f>
        <v>0.0262509597</v>
      </c>
      <c r="AI145" s="55" t="n">
        <f aca="false">AF145*Pronóstico!$B$8+AG145-AH145</f>
        <v>0.0287994641316539</v>
      </c>
    </row>
    <row r="146" customFormat="false" ht="15" hidden="false" customHeight="false" outlineLevel="0" collapsed="false">
      <c r="A146" s="60" t="s">
        <v>375</v>
      </c>
      <c r="B146" s="60" t="s">
        <v>203</v>
      </c>
      <c r="C146" s="61" t="n">
        <v>52.8252296447754</v>
      </c>
      <c r="D146" s="62" t="n">
        <v>-0.0250114225228922</v>
      </c>
      <c r="E146" s="61" t="n">
        <v>52.97</v>
      </c>
      <c r="F146" s="61" t="n">
        <v>53.63</v>
      </c>
      <c r="G146" s="63" t="n">
        <v>0.0123827392</v>
      </c>
      <c r="H146" s="64" t="n">
        <v>840</v>
      </c>
      <c r="I146" s="64" t="n">
        <v>140</v>
      </c>
      <c r="J146" s="65" t="s">
        <v>204</v>
      </c>
      <c r="K146" s="62" t="n">
        <v>0.0535723401337002</v>
      </c>
      <c r="L146" s="62" t="n">
        <v>0.245168675686081</v>
      </c>
      <c r="M146" s="62" t="n">
        <v>0.0799865004680322</v>
      </c>
      <c r="N146" s="62" t="n">
        <v>-0.2987029963079</v>
      </c>
      <c r="O146" s="62" t="n">
        <v>1.07817979048762</v>
      </c>
      <c r="P146" s="62" t="n">
        <v>0.33959471360071</v>
      </c>
      <c r="Q146" s="62" t="n">
        <v>-0.675259249087326</v>
      </c>
      <c r="R146" s="66" t="n">
        <v>0.481802756945261</v>
      </c>
      <c r="S146" s="62" t="n">
        <v>1.94856551990932</v>
      </c>
      <c r="T146" s="62" t="n">
        <v>-0.639519578252129</v>
      </c>
      <c r="U146" s="60" t="s">
        <v>327</v>
      </c>
      <c r="V146" s="34" t="n">
        <v>64.6246795654297</v>
      </c>
      <c r="W146" s="13" t="n">
        <v>0.223367697594502</v>
      </c>
      <c r="X146" s="12" t="n">
        <v>5</v>
      </c>
      <c r="Y146" s="30" t="s">
        <v>376</v>
      </c>
      <c r="Z146" s="30" t="s">
        <v>217</v>
      </c>
      <c r="AA146" s="67" t="n">
        <v>318970301.351926</v>
      </c>
      <c r="AB146" s="67" t="n">
        <v>7399</v>
      </c>
      <c r="AC146" s="30" t="s">
        <v>217</v>
      </c>
      <c r="AD146" s="13" t="n">
        <v>-0.334362741904268</v>
      </c>
      <c r="AE146" s="56" t="n">
        <v>-1.33833931216516</v>
      </c>
      <c r="AF146" s="56" t="n">
        <v>2.52097663821819</v>
      </c>
      <c r="AG146" s="55" t="n">
        <f aca="false">Pronóstico!$B$5*P146*AE146</f>
        <v>-0.0227246477707649</v>
      </c>
      <c r="AH146" s="55" t="n">
        <f aca="false">IF(ISNUMBER(G146),G146,1)+2*'Mi portafolio'!$C$5</f>
        <v>0.0147027392</v>
      </c>
      <c r="AI146" s="55" t="n">
        <f aca="false">AF146*Pronóstico!$B$8+AG146-AH146</f>
        <v>-0.0174196358737952</v>
      </c>
    </row>
    <row r="147" customFormat="false" ht="15" hidden="false" customHeight="false" outlineLevel="0" collapsed="false">
      <c r="A147" s="60" t="s">
        <v>377</v>
      </c>
      <c r="B147" s="60" t="s">
        <v>203</v>
      </c>
      <c r="C147" s="61" t="n">
        <v>3546.64235115051</v>
      </c>
      <c r="D147" s="62" t="n">
        <v>0.0057559347201121</v>
      </c>
      <c r="E147" s="61" t="n">
        <v>3524.01</v>
      </c>
      <c r="F147" s="61" t="n">
        <v>3609.99</v>
      </c>
      <c r="G147" s="63" t="n">
        <v>0.0241042893</v>
      </c>
      <c r="H147" s="64" t="n">
        <v>2300</v>
      </c>
      <c r="I147" s="64" t="n">
        <v>2700</v>
      </c>
      <c r="J147" s="65" t="s">
        <v>204</v>
      </c>
      <c r="K147" s="62" t="n">
        <v>0.548493123555393</v>
      </c>
      <c r="L147" s="62" t="n">
        <v>2.02795109570362</v>
      </c>
      <c r="M147" s="62" t="n">
        <v>2.79288693571963</v>
      </c>
      <c r="N147" s="62" t="n">
        <v>6.40741547157621</v>
      </c>
      <c r="O147" s="62" t="n">
        <v>1.93338247924911</v>
      </c>
      <c r="P147" s="62" t="n">
        <v>0.608958241578886</v>
      </c>
      <c r="Q147" s="62" t="n">
        <v>-0.350783160930848</v>
      </c>
      <c r="R147" s="66" t="n">
        <v>1.02589656540767</v>
      </c>
      <c r="S147" s="62" t="n">
        <v>1.93128278114582</v>
      </c>
      <c r="T147" s="62" t="n">
        <v>-0.358159468445805</v>
      </c>
      <c r="U147" s="60" t="s">
        <v>327</v>
      </c>
      <c r="V147" s="34" t="n">
        <v>2196.51298522949</v>
      </c>
      <c r="W147" s="13" t="n">
        <v>-0.380678182981446</v>
      </c>
      <c r="X147" s="12" t="n">
        <v>18</v>
      </c>
      <c r="Y147" s="30" t="s">
        <v>295</v>
      </c>
      <c r="Z147" s="30" t="s">
        <v>204</v>
      </c>
      <c r="AA147" s="67" t="n">
        <v>50445329696.1025</v>
      </c>
      <c r="AB147" s="67" t="n">
        <v>8248283</v>
      </c>
      <c r="AC147" s="30" t="s">
        <v>204</v>
      </c>
      <c r="AD147" s="13" t="n">
        <v>3.78362826343622</v>
      </c>
      <c r="AE147" s="56" t="n">
        <v>0.844765025987237</v>
      </c>
      <c r="AF147" s="56" t="n">
        <v>3.72949271334141</v>
      </c>
      <c r="AG147" s="55" t="n">
        <f aca="false">Pronóstico!$B$5*P147*AE147</f>
        <v>0.0257213312386265</v>
      </c>
      <c r="AH147" s="55" t="n">
        <f aca="false">IF(ISNUMBER(G147),G147,1)+2*'Mi portafolio'!$C$5</f>
        <v>0.0264242893</v>
      </c>
      <c r="AI147" s="55" t="n">
        <f aca="false">AF147*Pronóstico!$B$8+AG147-AH147</f>
        <v>0.0288961904572092</v>
      </c>
    </row>
    <row r="148" customFormat="false" ht="15" hidden="false" customHeight="false" outlineLevel="0" collapsed="false">
      <c r="A148" s="60" t="s">
        <v>378</v>
      </c>
      <c r="B148" s="60" t="s">
        <v>203</v>
      </c>
      <c r="C148" s="61" t="n">
        <v>136.96438407898</v>
      </c>
      <c r="D148" s="62" t="n">
        <v>-0.0082345654166352</v>
      </c>
      <c r="E148" s="61" t="n">
        <v>138</v>
      </c>
      <c r="F148" s="61" t="n">
        <v>139.99</v>
      </c>
      <c r="G148" s="63" t="n">
        <v>0.0143170618</v>
      </c>
      <c r="H148" s="64" t="n">
        <v>2</v>
      </c>
      <c r="I148" s="64" t="n">
        <v>2000</v>
      </c>
      <c r="J148" s="65" t="s">
        <v>204</v>
      </c>
      <c r="K148" s="62" t="n">
        <v>-0.259369997064048</v>
      </c>
      <c r="L148" s="62" t="n">
        <v>-0.581300503999509</v>
      </c>
      <c r="M148" s="62" t="n">
        <v>-0.648831742319085</v>
      </c>
      <c r="N148" s="62" t="n">
        <v>-0.617809320693092</v>
      </c>
      <c r="O148" s="62" t="n">
        <v>2.25731132442565</v>
      </c>
      <c r="P148" s="62" t="n">
        <v>0.710986237628584</v>
      </c>
      <c r="Q148" s="62" t="n">
        <v>-0.931682263701453</v>
      </c>
      <c r="R148" s="66" t="n">
        <v>0.0631429806202287</v>
      </c>
      <c r="S148" s="62" t="n">
        <v>0.679625708847517</v>
      </c>
      <c r="T148" s="62" t="n">
        <v>-0.801353004733186</v>
      </c>
      <c r="U148" s="60" t="s">
        <v>327</v>
      </c>
      <c r="V148" s="34" t="n">
        <v>226.912498474121</v>
      </c>
      <c r="W148" s="13"/>
      <c r="X148" s="12" t="n">
        <v>2</v>
      </c>
      <c r="Y148" s="30" t="s">
        <v>220</v>
      </c>
      <c r="Z148" s="30" t="s">
        <v>204</v>
      </c>
      <c r="AA148" s="67" t="n">
        <v>222555879.772714</v>
      </c>
      <c r="AB148" s="67" t="n">
        <v>278.78</v>
      </c>
      <c r="AC148" s="30" t="s">
        <v>217</v>
      </c>
      <c r="AD148" s="13" t="n">
        <v>-0.483965437813949</v>
      </c>
      <c r="AE148" s="56" t="n">
        <v>-3.02525801621127</v>
      </c>
      <c r="AF148" s="56" t="n">
        <v>4.06788306239031</v>
      </c>
      <c r="AG148" s="55" t="n">
        <f aca="false">Pronóstico!$B$5*P148*AE148</f>
        <v>-0.107545840740088</v>
      </c>
      <c r="AH148" s="55" t="n">
        <f aca="false">IF(ISNUMBER(G148),G148,1)+2*'Mi portafolio'!$C$5</f>
        <v>0.0166370618</v>
      </c>
      <c r="AI148" s="55" t="n">
        <f aca="false">AF148*Pronóstico!$B$8+AG148-AH148</f>
        <v>-0.0918981163306413</v>
      </c>
    </row>
    <row r="149" customFormat="false" ht="15" hidden="false" customHeight="false" outlineLevel="0" collapsed="false">
      <c r="A149" s="60" t="s">
        <v>379</v>
      </c>
      <c r="B149" s="60" t="s">
        <v>208</v>
      </c>
      <c r="C149" s="61" t="n">
        <v>3.12</v>
      </c>
      <c r="D149" s="62" t="n">
        <v>0</v>
      </c>
      <c r="E149" s="61"/>
      <c r="F149" s="61"/>
      <c r="G149" s="63"/>
      <c r="H149" s="64" t="n">
        <v>0</v>
      </c>
      <c r="I149" s="64" t="n">
        <v>0</v>
      </c>
      <c r="J149" s="65" t="s">
        <v>297</v>
      </c>
      <c r="K149" s="62"/>
      <c r="L149" s="62"/>
      <c r="M149" s="62"/>
      <c r="N149" s="62"/>
      <c r="O149" s="62"/>
      <c r="P149" s="62" t="str">
        <f aca="false">IF(O149="","",O149*SQRT(25/252))</f>
        <v/>
      </c>
      <c r="Q149" s="62"/>
      <c r="R149" s="66"/>
      <c r="S149" s="62"/>
      <c r="T149" s="62"/>
      <c r="U149" s="60" t="s">
        <v>380</v>
      </c>
    </row>
  </sheetData>
  <autoFilter ref="A4:U149"/>
  <conditionalFormatting sqref="D5:D149">
    <cfRule type="colorScale" priority="2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K5:K149">
    <cfRule type="colorScale" priority="3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L5:L149">
    <cfRule type="colorScale" priority="4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M5:M149">
    <cfRule type="colorScale" priority="5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N5:N149">
    <cfRule type="colorScale" priority="6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Q5:Q149">
    <cfRule type="colorScale" priority="7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S5:S149">
    <cfRule type="colorScale" priority="8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T5:T149">
    <cfRule type="colorScale" priority="9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O5:O149">
    <cfRule type="colorScale" priority="10">
      <colorScale>
        <cfvo type="min" val="0"/>
        <cfvo type="max" val="0"/>
        <color rgb="FFFFFFFF"/>
        <color rgb="FFF4B183"/>
      </colorScale>
    </cfRule>
  </conditionalFormatting>
  <conditionalFormatting sqref="G5:G149">
    <cfRule type="cellIs" priority="11" operator="greaterThan" aboveAverage="0" equalAverage="0" bottom="0" percent="0" rank="0" text="" dxfId="1">
      <formula>0.03</formula>
    </cfRule>
    <cfRule type="cellIs" priority="12" operator="between" aboveAverage="0" equalAverage="0" bottom="0" percent="0" rank="0" text="" dxfId="2">
      <formula>0.01</formula>
      <formula>0.03</formula>
    </cfRule>
  </conditionalFormatting>
  <conditionalFormatting sqref="J5:J149">
    <cfRule type="expression" priority="13" aboveAverage="0" equalAverage="0" bottom="0" percent="0" rank="0" text="" dxfId="0">
      <formula>J5&lt;&gt;"Sí"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O1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145" min="2" style="0" width="6"/>
  </cols>
  <sheetData>
    <row r="1" customFormat="false" ht="18.75" hidden="false" customHeight="true" outlineLevel="0" collapsed="false">
      <c r="A1" s="5" t="s">
        <v>381</v>
      </c>
    </row>
    <row r="2" customFormat="false" ht="15" hidden="false" customHeight="false" outlineLevel="0" collapsed="false">
      <c r="A2" s="39" t="s">
        <v>382</v>
      </c>
    </row>
    <row r="4" customFormat="false" ht="39.75" hidden="false" customHeight="true" outlineLevel="0" collapsed="false">
      <c r="B4" s="43" t="s">
        <v>202</v>
      </c>
      <c r="C4" s="43" t="s">
        <v>207</v>
      </c>
      <c r="D4" s="43" t="s">
        <v>210</v>
      </c>
      <c r="E4" s="43" t="s">
        <v>212</v>
      </c>
      <c r="F4" s="43" t="s">
        <v>214</v>
      </c>
      <c r="G4" s="43" t="s">
        <v>215</v>
      </c>
      <c r="H4" s="43" t="s">
        <v>218</v>
      </c>
      <c r="I4" s="43" t="s">
        <v>219</v>
      </c>
      <c r="J4" s="43" t="s">
        <v>221</v>
      </c>
      <c r="K4" s="43" t="s">
        <v>223</v>
      </c>
      <c r="L4" s="43" t="s">
        <v>224</v>
      </c>
      <c r="M4" s="43" t="s">
        <v>225</v>
      </c>
      <c r="N4" s="43" t="s">
        <v>227</v>
      </c>
      <c r="O4" s="43" t="s">
        <v>229</v>
      </c>
      <c r="P4" s="43" t="s">
        <v>231</v>
      </c>
      <c r="Q4" s="43" t="s">
        <v>233</v>
      </c>
      <c r="R4" s="43" t="s">
        <v>234</v>
      </c>
      <c r="S4" s="43" t="s">
        <v>236</v>
      </c>
      <c r="T4" s="43" t="s">
        <v>238</v>
      </c>
      <c r="U4" s="43" t="s">
        <v>240</v>
      </c>
      <c r="V4" s="43" t="s">
        <v>242</v>
      </c>
      <c r="W4" s="43" t="s">
        <v>244</v>
      </c>
      <c r="X4" s="43" t="s">
        <v>246</v>
      </c>
      <c r="Y4" s="43" t="s">
        <v>247</v>
      </c>
      <c r="Z4" s="43" t="s">
        <v>248</v>
      </c>
      <c r="AA4" s="43" t="s">
        <v>249</v>
      </c>
      <c r="AB4" s="43" t="s">
        <v>251</v>
      </c>
      <c r="AC4" s="43" t="s">
        <v>253</v>
      </c>
      <c r="AD4" s="43" t="s">
        <v>254</v>
      </c>
      <c r="AE4" s="43" t="s">
        <v>255</v>
      </c>
      <c r="AF4" s="43" t="s">
        <v>106</v>
      </c>
      <c r="AG4" s="43" t="s">
        <v>256</v>
      </c>
      <c r="AH4" s="43" t="s">
        <v>257</v>
      </c>
      <c r="AI4" s="43" t="s">
        <v>258</v>
      </c>
      <c r="AJ4" s="43" t="s">
        <v>259</v>
      </c>
      <c r="AK4" s="43" t="s">
        <v>107</v>
      </c>
      <c r="AL4" s="43" t="s">
        <v>260</v>
      </c>
      <c r="AM4" s="43" t="s">
        <v>108</v>
      </c>
      <c r="AN4" s="43" t="s">
        <v>262</v>
      </c>
      <c r="AO4" s="43" t="s">
        <v>264</v>
      </c>
      <c r="AP4" s="43" t="s">
        <v>265</v>
      </c>
      <c r="AQ4" s="43" t="s">
        <v>267</v>
      </c>
      <c r="AR4" s="43" t="s">
        <v>268</v>
      </c>
      <c r="AS4" s="43" t="s">
        <v>269</v>
      </c>
      <c r="AT4" s="43" t="s">
        <v>270</v>
      </c>
      <c r="AU4" s="43" t="s">
        <v>272</v>
      </c>
      <c r="AV4" s="43" t="s">
        <v>274</v>
      </c>
      <c r="AW4" s="43" t="s">
        <v>162</v>
      </c>
      <c r="AX4" s="43" t="s">
        <v>276</v>
      </c>
      <c r="AY4" s="43" t="s">
        <v>277</v>
      </c>
      <c r="AZ4" s="43" t="s">
        <v>278</v>
      </c>
      <c r="BA4" s="43" t="s">
        <v>279</v>
      </c>
      <c r="BB4" s="43" t="s">
        <v>280</v>
      </c>
      <c r="BC4" s="43" t="s">
        <v>281</v>
      </c>
      <c r="BD4" s="43" t="s">
        <v>282</v>
      </c>
      <c r="BE4" s="43" t="s">
        <v>283</v>
      </c>
      <c r="BF4" s="43" t="s">
        <v>284</v>
      </c>
      <c r="BG4" s="43" t="s">
        <v>285</v>
      </c>
      <c r="BH4" s="43" t="s">
        <v>164</v>
      </c>
      <c r="BI4" s="43" t="s">
        <v>286</v>
      </c>
      <c r="BJ4" s="43" t="s">
        <v>287</v>
      </c>
      <c r="BK4" s="43" t="s">
        <v>289</v>
      </c>
      <c r="BL4" s="43" t="s">
        <v>290</v>
      </c>
      <c r="BM4" s="43" t="s">
        <v>291</v>
      </c>
      <c r="BN4" s="43" t="s">
        <v>293</v>
      </c>
      <c r="BO4" s="43" t="s">
        <v>168</v>
      </c>
      <c r="BP4" s="43" t="s">
        <v>167</v>
      </c>
      <c r="BQ4" s="43" t="s">
        <v>163</v>
      </c>
      <c r="BR4" s="43" t="s">
        <v>294</v>
      </c>
      <c r="BS4" s="43" t="s">
        <v>296</v>
      </c>
      <c r="BT4" s="43" t="s">
        <v>298</v>
      </c>
      <c r="BU4" s="43" t="s">
        <v>299</v>
      </c>
      <c r="BV4" s="43" t="s">
        <v>300</v>
      </c>
      <c r="BW4" s="43" t="s">
        <v>301</v>
      </c>
      <c r="BX4" s="43" t="s">
        <v>302</v>
      </c>
      <c r="BY4" s="43" t="s">
        <v>303</v>
      </c>
      <c r="BZ4" s="43" t="s">
        <v>304</v>
      </c>
      <c r="CA4" s="43" t="s">
        <v>305</v>
      </c>
      <c r="CB4" s="43" t="s">
        <v>306</v>
      </c>
      <c r="CC4" s="43" t="s">
        <v>307</v>
      </c>
      <c r="CD4" s="43" t="s">
        <v>308</v>
      </c>
      <c r="CE4" s="43" t="s">
        <v>309</v>
      </c>
      <c r="CF4" s="43" t="s">
        <v>310</v>
      </c>
      <c r="CG4" s="43" t="s">
        <v>311</v>
      </c>
      <c r="CH4" s="43" t="s">
        <v>166</v>
      </c>
      <c r="CI4" s="43" t="s">
        <v>312</v>
      </c>
      <c r="CJ4" s="43" t="s">
        <v>314</v>
      </c>
      <c r="CK4" s="43" t="s">
        <v>315</v>
      </c>
      <c r="CL4" s="43" t="s">
        <v>317</v>
      </c>
      <c r="CM4" s="43" t="s">
        <v>165</v>
      </c>
      <c r="CN4" s="43" t="s">
        <v>318</v>
      </c>
      <c r="CO4" s="43" t="s">
        <v>319</v>
      </c>
      <c r="CP4" s="43" t="s">
        <v>320</v>
      </c>
      <c r="CQ4" s="43" t="s">
        <v>322</v>
      </c>
      <c r="CR4" s="43" t="s">
        <v>324</v>
      </c>
      <c r="CS4" s="43" t="s">
        <v>326</v>
      </c>
      <c r="CT4" s="43" t="s">
        <v>328</v>
      </c>
      <c r="CU4" s="43" t="s">
        <v>161</v>
      </c>
      <c r="CV4" s="43" t="s">
        <v>330</v>
      </c>
      <c r="CW4" s="43" t="s">
        <v>331</v>
      </c>
      <c r="CX4" s="43" t="s">
        <v>332</v>
      </c>
      <c r="CY4" s="43" t="s">
        <v>333</v>
      </c>
      <c r="CZ4" s="43" t="s">
        <v>334</v>
      </c>
      <c r="DA4" s="43" t="s">
        <v>335</v>
      </c>
      <c r="DB4" s="43" t="s">
        <v>336</v>
      </c>
      <c r="DC4" s="43" t="s">
        <v>337</v>
      </c>
      <c r="DD4" s="43" t="s">
        <v>338</v>
      </c>
      <c r="DE4" s="43" t="s">
        <v>339</v>
      </c>
      <c r="DF4" s="43" t="s">
        <v>340</v>
      </c>
      <c r="DG4" s="43" t="s">
        <v>342</v>
      </c>
      <c r="DH4" s="43" t="s">
        <v>343</v>
      </c>
      <c r="DI4" s="43" t="s">
        <v>345</v>
      </c>
      <c r="DJ4" s="43" t="s">
        <v>346</v>
      </c>
      <c r="DK4" s="43" t="s">
        <v>347</v>
      </c>
      <c r="DL4" s="43" t="s">
        <v>348</v>
      </c>
      <c r="DM4" s="43" t="s">
        <v>349</v>
      </c>
      <c r="DN4" s="43" t="s">
        <v>351</v>
      </c>
      <c r="DO4" s="43" t="s">
        <v>352</v>
      </c>
      <c r="DP4" s="43" t="s">
        <v>353</v>
      </c>
      <c r="DQ4" s="43" t="s">
        <v>354</v>
      </c>
      <c r="DR4" s="43" t="s">
        <v>355</v>
      </c>
      <c r="DS4" s="43" t="s">
        <v>356</v>
      </c>
      <c r="DT4" s="43" t="s">
        <v>357</v>
      </c>
      <c r="DU4" s="43" t="s">
        <v>358</v>
      </c>
      <c r="DV4" s="43" t="s">
        <v>359</v>
      </c>
      <c r="DW4" s="43" t="s">
        <v>360</v>
      </c>
      <c r="DX4" s="43" t="s">
        <v>361</v>
      </c>
      <c r="DY4" s="43" t="s">
        <v>362</v>
      </c>
      <c r="DZ4" s="43" t="s">
        <v>363</v>
      </c>
      <c r="EA4" s="43" t="s">
        <v>364</v>
      </c>
      <c r="EB4" s="43" t="s">
        <v>365</v>
      </c>
      <c r="EC4" s="43" t="s">
        <v>366</v>
      </c>
      <c r="ED4" s="43" t="s">
        <v>367</v>
      </c>
      <c r="EE4" s="43" t="s">
        <v>368</v>
      </c>
      <c r="EF4" s="43" t="s">
        <v>369</v>
      </c>
      <c r="EG4" s="43" t="s">
        <v>105</v>
      </c>
      <c r="EH4" s="43" t="s">
        <v>370</v>
      </c>
      <c r="EI4" s="43" t="s">
        <v>104</v>
      </c>
      <c r="EJ4" s="43" t="s">
        <v>372</v>
      </c>
      <c r="EK4" s="43" t="s">
        <v>373</v>
      </c>
      <c r="EL4" s="43" t="s">
        <v>374</v>
      </c>
      <c r="EM4" s="43" t="s">
        <v>375</v>
      </c>
      <c r="EN4" s="43" t="s">
        <v>377</v>
      </c>
      <c r="EO4" s="43" t="s">
        <v>378</v>
      </c>
    </row>
    <row r="5" customFormat="false" ht="15" hidden="false" customHeight="false" outlineLevel="0" collapsed="false">
      <c r="A5" s="68" t="s">
        <v>202</v>
      </c>
      <c r="B5" s="69" t="n">
        <v>1</v>
      </c>
      <c r="C5" s="69" t="n">
        <v>-0.03</v>
      </c>
      <c r="D5" s="69" t="n">
        <v>-0.11</v>
      </c>
      <c r="E5" s="69" t="n">
        <v>0.07</v>
      </c>
      <c r="F5" s="69" t="n">
        <v>0.44</v>
      </c>
      <c r="G5" s="69" t="n">
        <v>-0.1</v>
      </c>
      <c r="H5" s="69" t="n">
        <v>-0.01</v>
      </c>
      <c r="I5" s="69" t="n">
        <v>0.47</v>
      </c>
      <c r="J5" s="69" t="n">
        <v>0.32</v>
      </c>
      <c r="K5" s="69" t="n">
        <v>0.44</v>
      </c>
      <c r="L5" s="69" t="n">
        <v>0.07</v>
      </c>
      <c r="M5" s="69" t="n">
        <v>0.26</v>
      </c>
      <c r="N5" s="69" t="n">
        <v>0.32</v>
      </c>
      <c r="O5" s="69" t="n">
        <v>0.15</v>
      </c>
      <c r="P5" s="69" t="n">
        <v>0.39</v>
      </c>
      <c r="Q5" s="69" t="n">
        <v>0.03</v>
      </c>
      <c r="R5" s="69" t="n">
        <v>0.38</v>
      </c>
      <c r="S5" s="69" t="n">
        <v>0.01</v>
      </c>
      <c r="T5" s="69" t="n">
        <v>0.25</v>
      </c>
      <c r="U5" s="69" t="n">
        <v>0.08</v>
      </c>
      <c r="V5" s="69" t="n">
        <v>0.04</v>
      </c>
      <c r="W5" s="69" t="n">
        <v>0.03</v>
      </c>
      <c r="X5" s="69" t="n">
        <v>0.33</v>
      </c>
      <c r="Y5" s="69" t="n">
        <v>0.45</v>
      </c>
      <c r="Z5" s="69" t="n">
        <v>0.05</v>
      </c>
      <c r="AA5" s="69" t="n">
        <v>0.06</v>
      </c>
      <c r="AB5" s="69" t="n">
        <v>0.49</v>
      </c>
      <c r="AC5" s="69" t="n">
        <v>0.04</v>
      </c>
      <c r="AD5" s="69" t="n">
        <v>0.07</v>
      </c>
      <c r="AE5" s="69" t="n">
        <v>0.01</v>
      </c>
      <c r="AF5" s="69" t="n">
        <v>-0.12</v>
      </c>
      <c r="AG5" s="69" t="n">
        <v>0.27</v>
      </c>
      <c r="AH5" s="69" t="n">
        <v>0.31</v>
      </c>
      <c r="AI5" s="69" t="n">
        <v>0.18</v>
      </c>
      <c r="AJ5" s="69" t="n">
        <v>0.04</v>
      </c>
      <c r="AK5" s="69" t="n">
        <v>-0.02</v>
      </c>
      <c r="AL5" s="69" t="n">
        <v>0.29</v>
      </c>
      <c r="AM5" s="69" t="n">
        <v>0.03</v>
      </c>
      <c r="AN5" s="69" t="n">
        <v>0.37</v>
      </c>
      <c r="AO5" s="69" t="n">
        <v>0.25</v>
      </c>
      <c r="AP5" s="69" t="n">
        <v>0.24</v>
      </c>
      <c r="AQ5" s="69" t="n">
        <v>0.13</v>
      </c>
      <c r="AR5" s="69" t="n">
        <v>0.24</v>
      </c>
      <c r="AS5" s="69" t="n">
        <v>-0.12</v>
      </c>
      <c r="AT5" s="69" t="n">
        <v>0.29</v>
      </c>
      <c r="AU5" s="69" t="n">
        <v>0.31</v>
      </c>
      <c r="AV5" s="69" t="n">
        <v>0.08</v>
      </c>
      <c r="AW5" s="69" t="n">
        <v>0</v>
      </c>
      <c r="AX5" s="69" t="n">
        <v>0.34</v>
      </c>
      <c r="AY5" s="69" t="n">
        <v>0.26</v>
      </c>
      <c r="AZ5" s="69" t="n">
        <v>0.02</v>
      </c>
      <c r="BA5" s="69" t="n">
        <v>0.19</v>
      </c>
      <c r="BB5" s="69" t="n">
        <v>0.16</v>
      </c>
      <c r="BC5" s="69" t="n">
        <v>0.11</v>
      </c>
      <c r="BD5" s="69" t="n">
        <v>0.01</v>
      </c>
      <c r="BE5" s="69" t="n">
        <v>0.29</v>
      </c>
      <c r="BF5" s="69" t="n">
        <v>0.04</v>
      </c>
      <c r="BG5" s="69" t="n">
        <v>0.21</v>
      </c>
      <c r="BH5" s="69" t="n">
        <v>0.05</v>
      </c>
      <c r="BI5" s="69" t="n">
        <v>0.1</v>
      </c>
      <c r="BJ5" s="69" t="n">
        <v>-0.02</v>
      </c>
      <c r="BK5" s="69" t="n">
        <v>0.02</v>
      </c>
      <c r="BL5" s="69" t="n">
        <v>0.09</v>
      </c>
      <c r="BM5" s="69" t="n">
        <v>0.18</v>
      </c>
      <c r="BN5" s="69" t="n">
        <v>0.28</v>
      </c>
      <c r="BO5" s="69" t="n">
        <v>0.15</v>
      </c>
      <c r="BP5" s="69" t="n">
        <v>0.12</v>
      </c>
      <c r="BQ5" s="69" t="n">
        <v>-0.05</v>
      </c>
      <c r="BR5" s="69" t="n">
        <v>0.22</v>
      </c>
      <c r="BS5" s="69" t="n">
        <v>0.03</v>
      </c>
      <c r="BT5" s="69" t="n">
        <v>0.19</v>
      </c>
      <c r="BU5" s="69" t="n">
        <v>-0.07</v>
      </c>
      <c r="BV5" s="69" t="n">
        <v>0.14</v>
      </c>
      <c r="BW5" s="69" t="n">
        <v>0.17</v>
      </c>
      <c r="BX5" s="69" t="n">
        <v>0.27</v>
      </c>
      <c r="BY5" s="69" t="n">
        <v>0.16</v>
      </c>
      <c r="BZ5" s="69" t="n">
        <v>0.22</v>
      </c>
      <c r="CA5" s="69" t="n">
        <v>0.05</v>
      </c>
      <c r="CB5" s="69" t="n">
        <v>0.04</v>
      </c>
      <c r="CC5" s="69" t="n">
        <v>0.22</v>
      </c>
      <c r="CD5" s="69" t="n">
        <v>0.18</v>
      </c>
      <c r="CE5" s="69" t="n">
        <v>0.07</v>
      </c>
      <c r="CF5" s="69" t="n">
        <v>0.08</v>
      </c>
      <c r="CG5" s="69" t="n">
        <v>0.24</v>
      </c>
      <c r="CH5" s="69" t="n">
        <v>-0.07</v>
      </c>
      <c r="CI5" s="69" t="n">
        <v>0.1</v>
      </c>
      <c r="CJ5" s="69" t="n">
        <v>0.27</v>
      </c>
      <c r="CK5" s="69" t="n">
        <v>0.33</v>
      </c>
      <c r="CL5" s="69" t="n">
        <v>0.11</v>
      </c>
      <c r="CM5" s="69" t="n">
        <v>-0.14</v>
      </c>
      <c r="CN5" s="69" t="n">
        <v>-0.03</v>
      </c>
      <c r="CO5" s="69" t="n">
        <v>0.02</v>
      </c>
      <c r="CP5" s="69" t="n">
        <v>0.18</v>
      </c>
      <c r="CQ5" s="69" t="n">
        <v>0.27</v>
      </c>
      <c r="CR5" s="69" t="n">
        <v>-0.05</v>
      </c>
      <c r="CS5" s="69" t="n">
        <v>0.01</v>
      </c>
      <c r="CT5" s="69" t="n">
        <v>0.1</v>
      </c>
      <c r="CU5" s="69" t="n">
        <v>0</v>
      </c>
      <c r="CV5" s="69" t="n">
        <v>0.07</v>
      </c>
      <c r="CW5" s="69" t="n">
        <v>0.11</v>
      </c>
      <c r="CX5" s="69" t="n">
        <v>0.07</v>
      </c>
      <c r="CY5" s="69" t="n">
        <v>0.22</v>
      </c>
      <c r="CZ5" s="69" t="n">
        <v>0.1</v>
      </c>
      <c r="DA5" s="69" t="n">
        <v>0.12</v>
      </c>
      <c r="DB5" s="69" t="n">
        <v>0</v>
      </c>
      <c r="DC5" s="69" t="n">
        <v>-0.02</v>
      </c>
      <c r="DD5" s="69" t="n">
        <v>0.14</v>
      </c>
      <c r="DE5" s="69" t="n">
        <v>-0.08</v>
      </c>
      <c r="DF5" s="69" t="n">
        <v>0.17</v>
      </c>
      <c r="DG5" s="69" t="n">
        <v>0.02</v>
      </c>
      <c r="DH5" s="69" t="n">
        <v>-0.04</v>
      </c>
      <c r="DI5" s="69" t="n">
        <v>0.27</v>
      </c>
      <c r="DJ5" s="69" t="n">
        <v>0.22</v>
      </c>
      <c r="DK5" s="69" t="n">
        <v>0.23</v>
      </c>
      <c r="DL5" s="69" t="n">
        <v>-0.11</v>
      </c>
      <c r="DM5" s="69" t="n">
        <v>0.27</v>
      </c>
      <c r="DN5" s="69" t="n">
        <v>0.2</v>
      </c>
      <c r="DO5" s="69" t="n">
        <v>0.07</v>
      </c>
      <c r="DP5" s="69" t="n">
        <v>0.26</v>
      </c>
      <c r="DQ5" s="69" t="n">
        <v>0.01</v>
      </c>
      <c r="DR5" s="69" t="n">
        <v>-0.05</v>
      </c>
      <c r="DS5" s="69" t="n">
        <v>0.11</v>
      </c>
      <c r="DT5" s="69" t="n">
        <v>-0.12</v>
      </c>
      <c r="DU5" s="69" t="n">
        <v>-0.01</v>
      </c>
      <c r="DV5" s="69" t="n">
        <v>0</v>
      </c>
      <c r="DW5" s="69" t="n">
        <v>0.11</v>
      </c>
      <c r="DX5" s="69" t="n">
        <v>-0.15</v>
      </c>
      <c r="DY5" s="69" t="n">
        <v>0.16</v>
      </c>
      <c r="DZ5" s="69" t="n">
        <v>0.02</v>
      </c>
      <c r="EA5" s="69" t="n">
        <v>0</v>
      </c>
      <c r="EB5" s="69" t="n">
        <v>0.05</v>
      </c>
      <c r="EC5" s="69" t="n">
        <v>-0.11</v>
      </c>
      <c r="ED5" s="69" t="n">
        <v>0.05</v>
      </c>
      <c r="EE5" s="69" t="n">
        <v>-0.08</v>
      </c>
      <c r="EF5" s="69" t="n">
        <v>0.06</v>
      </c>
      <c r="EG5" s="69" t="n">
        <v>-0.07</v>
      </c>
      <c r="EH5" s="69" t="n">
        <v>0.07</v>
      </c>
      <c r="EI5" s="69" t="n">
        <v>-0.19</v>
      </c>
      <c r="EJ5" s="69" t="n">
        <v>0.07</v>
      </c>
      <c r="EK5" s="69" t="n">
        <v>-0.03</v>
      </c>
      <c r="EL5" s="69" t="n">
        <v>-0.11</v>
      </c>
      <c r="EM5" s="69" t="n">
        <v>-0.07</v>
      </c>
      <c r="EN5" s="69" t="n">
        <v>0</v>
      </c>
      <c r="EO5" s="69" t="n">
        <v>-0.02</v>
      </c>
    </row>
    <row r="6" customFormat="false" ht="15" hidden="false" customHeight="false" outlineLevel="0" collapsed="false">
      <c r="A6" s="68" t="s">
        <v>207</v>
      </c>
      <c r="B6" s="69" t="n">
        <v>-0.03</v>
      </c>
      <c r="C6" s="69" t="n">
        <v>1</v>
      </c>
      <c r="D6" s="69" t="n">
        <v>0.08</v>
      </c>
      <c r="E6" s="69" t="n">
        <v>0.09</v>
      </c>
      <c r="F6" s="69" t="n">
        <v>0.02</v>
      </c>
      <c r="G6" s="69" t="n">
        <v>0.02</v>
      </c>
      <c r="H6" s="69" t="n">
        <v>0.14</v>
      </c>
      <c r="I6" s="69" t="n">
        <v>0.08</v>
      </c>
      <c r="J6" s="69" t="n">
        <v>0.04</v>
      </c>
      <c r="K6" s="69" t="n">
        <v>-0.07</v>
      </c>
      <c r="L6" s="69" t="n">
        <v>0.31</v>
      </c>
      <c r="M6" s="69" t="n">
        <v>0.07</v>
      </c>
      <c r="N6" s="69" t="n">
        <v>0</v>
      </c>
      <c r="O6" s="69" t="n">
        <v>0.17</v>
      </c>
      <c r="P6" s="69" t="n">
        <v>0.08</v>
      </c>
      <c r="Q6" s="69" t="n">
        <v>0</v>
      </c>
      <c r="R6" s="69" t="n">
        <v>0.03</v>
      </c>
      <c r="S6" s="69" t="n">
        <v>0.07</v>
      </c>
      <c r="T6" s="69" t="n">
        <v>0</v>
      </c>
      <c r="U6" s="69" t="n">
        <v>0.12</v>
      </c>
      <c r="V6" s="69" t="n">
        <v>0.15</v>
      </c>
      <c r="W6" s="69" t="n">
        <v>0.14</v>
      </c>
      <c r="X6" s="69" t="n">
        <v>0.03</v>
      </c>
      <c r="Y6" s="69" t="n">
        <v>0.12</v>
      </c>
      <c r="Z6" s="69" t="n">
        <v>0.2</v>
      </c>
      <c r="AA6" s="69" t="n">
        <v>0.09</v>
      </c>
      <c r="AB6" s="69" t="n">
        <v>0.05</v>
      </c>
      <c r="AC6" s="69" t="n">
        <v>0.04</v>
      </c>
      <c r="AD6" s="69" t="n">
        <v>0.2</v>
      </c>
      <c r="AE6" s="69" t="n">
        <v>0.2</v>
      </c>
      <c r="AF6" s="69" t="n">
        <v>0.22</v>
      </c>
      <c r="AG6" s="69" t="n">
        <v>-0.01</v>
      </c>
      <c r="AH6" s="69" t="n">
        <v>0</v>
      </c>
      <c r="AI6" s="69" t="n">
        <v>-0.01</v>
      </c>
      <c r="AJ6" s="69" t="n">
        <v>0.1</v>
      </c>
      <c r="AK6" s="69" t="n">
        <v>0.21</v>
      </c>
      <c r="AL6" s="69" t="n">
        <v>0</v>
      </c>
      <c r="AM6" s="69" t="n">
        <v>0.08</v>
      </c>
      <c r="AN6" s="69" t="n">
        <v>0.02</v>
      </c>
      <c r="AO6" s="69" t="n">
        <v>0.04</v>
      </c>
      <c r="AP6" s="69" t="n">
        <v>-0.05</v>
      </c>
      <c r="AQ6" s="69" t="n">
        <v>0.02</v>
      </c>
      <c r="AR6" s="69" t="n">
        <v>0</v>
      </c>
      <c r="AS6" s="69" t="n">
        <v>0.11</v>
      </c>
      <c r="AT6" s="69" t="n">
        <v>0.02</v>
      </c>
      <c r="AU6" s="69" t="n">
        <v>0.05</v>
      </c>
      <c r="AV6" s="69" t="n">
        <v>0.28</v>
      </c>
      <c r="AW6" s="69" t="n">
        <v>0.19</v>
      </c>
      <c r="AX6" s="69" t="n">
        <v>0</v>
      </c>
      <c r="AY6" s="69" t="n">
        <v>0.13</v>
      </c>
      <c r="AZ6" s="69" t="n">
        <v>0.09</v>
      </c>
      <c r="BA6" s="69" t="n">
        <v>0.06</v>
      </c>
      <c r="BB6" s="69" t="n">
        <v>-0.07</v>
      </c>
      <c r="BC6" s="69" t="n">
        <v>0.02</v>
      </c>
      <c r="BD6" s="69" t="n">
        <v>0.16</v>
      </c>
      <c r="BE6" s="69" t="n">
        <v>0.07</v>
      </c>
      <c r="BF6" s="69" t="n">
        <v>-0.01</v>
      </c>
      <c r="BG6" s="69" t="n">
        <v>0.02</v>
      </c>
      <c r="BH6" s="69" t="n">
        <v>0.05</v>
      </c>
      <c r="BI6" s="69" t="n">
        <v>-0.01</v>
      </c>
      <c r="BJ6" s="69" t="n">
        <v>0.02</v>
      </c>
      <c r="BK6" s="69" t="n">
        <v>0.06</v>
      </c>
      <c r="BL6" s="69" t="n">
        <v>0</v>
      </c>
      <c r="BM6" s="69" t="n">
        <v>0.04</v>
      </c>
      <c r="BN6" s="69" t="n">
        <v>0.03</v>
      </c>
      <c r="BO6" s="69" t="n">
        <v>-0.02</v>
      </c>
      <c r="BP6" s="69" t="n">
        <v>-0.06</v>
      </c>
      <c r="BQ6" s="69" t="n">
        <v>0.19</v>
      </c>
      <c r="BR6" s="69" t="n">
        <v>-0.06</v>
      </c>
      <c r="BS6" s="69" t="n">
        <v>-0.03</v>
      </c>
      <c r="BT6" s="69" t="n">
        <v>0.04</v>
      </c>
      <c r="BU6" s="69" t="n">
        <v>0.06</v>
      </c>
      <c r="BV6" s="69" t="n">
        <v>-0.02</v>
      </c>
      <c r="BW6" s="69" t="n">
        <v>-0.04</v>
      </c>
      <c r="BX6" s="69" t="n">
        <v>-0.07</v>
      </c>
      <c r="BY6" s="69" t="n">
        <v>-0.02</v>
      </c>
      <c r="BZ6" s="69" t="n">
        <v>0.12</v>
      </c>
      <c r="CA6" s="69" t="n">
        <v>0.15</v>
      </c>
      <c r="CB6" s="69" t="n">
        <v>0.09</v>
      </c>
      <c r="CC6" s="69" t="n">
        <v>-0.02</v>
      </c>
      <c r="CD6" s="69" t="n">
        <v>-0.04</v>
      </c>
      <c r="CE6" s="69" t="n">
        <v>-0.03</v>
      </c>
      <c r="CF6" s="69" t="n">
        <v>-0.04</v>
      </c>
      <c r="CG6" s="69" t="n">
        <v>-0.01</v>
      </c>
      <c r="CH6" s="69" t="n">
        <v>0.12</v>
      </c>
      <c r="CI6" s="69" t="n">
        <v>-0.05</v>
      </c>
      <c r="CJ6" s="69" t="n">
        <v>-0.01</v>
      </c>
      <c r="CK6" s="69" t="n">
        <v>-0.06</v>
      </c>
      <c r="CL6" s="69" t="n">
        <v>0.01</v>
      </c>
      <c r="CM6" s="69" t="n">
        <v>-0.07</v>
      </c>
      <c r="CN6" s="69" t="n">
        <v>0.17</v>
      </c>
      <c r="CO6" s="69" t="n">
        <v>0.07</v>
      </c>
      <c r="CP6" s="69" t="n">
        <v>0.01</v>
      </c>
      <c r="CQ6" s="69" t="n">
        <v>-0.02</v>
      </c>
      <c r="CR6" s="69" t="n">
        <v>-0.06</v>
      </c>
      <c r="CS6" s="69" t="n">
        <v>0.05</v>
      </c>
      <c r="CT6" s="69" t="n">
        <v>0.03</v>
      </c>
      <c r="CU6" s="69" t="n">
        <v>0.01</v>
      </c>
      <c r="CV6" s="69" t="n">
        <v>-0.06</v>
      </c>
      <c r="CW6" s="69" t="n">
        <v>0.02</v>
      </c>
      <c r="CX6" s="69" t="n">
        <v>0.02</v>
      </c>
      <c r="CY6" s="69" t="n">
        <v>0</v>
      </c>
      <c r="CZ6" s="69" t="n">
        <v>-0.13</v>
      </c>
      <c r="DA6" s="69" t="n">
        <v>-0.01</v>
      </c>
      <c r="DB6" s="69" t="n">
        <v>0.05</v>
      </c>
      <c r="DC6" s="69" t="n">
        <v>0.04</v>
      </c>
      <c r="DD6" s="69" t="n">
        <v>-0.04</v>
      </c>
      <c r="DE6" s="69" t="n">
        <v>0.07</v>
      </c>
      <c r="DF6" s="69" t="n">
        <v>-0.08</v>
      </c>
      <c r="DG6" s="69" t="n">
        <v>0.05</v>
      </c>
      <c r="DH6" s="69" t="n">
        <v>0.06</v>
      </c>
      <c r="DI6" s="69" t="n">
        <v>-0.03</v>
      </c>
      <c r="DJ6" s="69" t="n">
        <v>-0.05</v>
      </c>
      <c r="DK6" s="69" t="n">
        <v>0.01</v>
      </c>
      <c r="DL6" s="69" t="n">
        <v>0.17</v>
      </c>
      <c r="DM6" s="69" t="n">
        <v>-0.01</v>
      </c>
      <c r="DN6" s="69" t="n">
        <v>0.1</v>
      </c>
      <c r="DO6" s="69" t="n">
        <v>0.15</v>
      </c>
      <c r="DP6" s="69" t="n">
        <v>-0.02</v>
      </c>
      <c r="DQ6" s="69" t="n">
        <v>0.02</v>
      </c>
      <c r="DR6" s="69" t="n">
        <v>0.05</v>
      </c>
      <c r="DS6" s="69" t="n">
        <v>-0.07</v>
      </c>
      <c r="DT6" s="69" t="n">
        <v>-0.04</v>
      </c>
      <c r="DU6" s="69" t="n">
        <v>-0.05</v>
      </c>
      <c r="DV6" s="69" t="n">
        <v>-0.05</v>
      </c>
      <c r="DW6" s="69" t="n">
        <v>-0.11</v>
      </c>
      <c r="DX6" s="69" t="n">
        <v>0.04</v>
      </c>
      <c r="DY6" s="69" t="n">
        <v>0.01</v>
      </c>
      <c r="DZ6" s="69" t="n">
        <v>-0.1</v>
      </c>
      <c r="EA6" s="69" t="n">
        <v>0.02</v>
      </c>
      <c r="EB6" s="69" t="n">
        <v>-0.08</v>
      </c>
      <c r="EC6" s="69" t="n">
        <v>0.03</v>
      </c>
      <c r="ED6" s="69" t="n">
        <v>0.13</v>
      </c>
      <c r="EE6" s="69" t="n">
        <v>0.03</v>
      </c>
      <c r="EF6" s="69" t="n">
        <v>0.11</v>
      </c>
      <c r="EG6" s="69" t="n">
        <v>0.08</v>
      </c>
      <c r="EH6" s="69" t="n">
        <v>-0.01</v>
      </c>
      <c r="EI6" s="69" t="n">
        <v>0.02</v>
      </c>
      <c r="EJ6" s="69" t="n">
        <v>-0.02</v>
      </c>
      <c r="EK6" s="69" t="n">
        <v>0.04</v>
      </c>
      <c r="EL6" s="69" t="n">
        <v>0.02</v>
      </c>
      <c r="EM6" s="69" t="n">
        <v>-0.06</v>
      </c>
      <c r="EN6" s="69" t="n">
        <v>0.01</v>
      </c>
      <c r="EO6" s="69" t="n">
        <v>0.04</v>
      </c>
    </row>
    <row r="7" customFormat="false" ht="15" hidden="false" customHeight="false" outlineLevel="0" collapsed="false">
      <c r="A7" s="68" t="s">
        <v>210</v>
      </c>
      <c r="B7" s="69" t="n">
        <v>-0.11</v>
      </c>
      <c r="C7" s="69" t="n">
        <v>0.08</v>
      </c>
      <c r="D7" s="69" t="n">
        <v>1</v>
      </c>
      <c r="E7" s="69" t="n">
        <v>0.12</v>
      </c>
      <c r="F7" s="69" t="n">
        <v>-0.09</v>
      </c>
      <c r="G7" s="69" t="n">
        <v>0.12</v>
      </c>
      <c r="H7" s="69" t="n">
        <v>0.15</v>
      </c>
      <c r="I7" s="69" t="n">
        <v>-0.02</v>
      </c>
      <c r="J7" s="69" t="n">
        <v>-0.04</v>
      </c>
      <c r="K7" s="69" t="n">
        <v>-0.05</v>
      </c>
      <c r="L7" s="69" t="n">
        <v>0.11</v>
      </c>
      <c r="M7" s="69" t="n">
        <v>-0.07</v>
      </c>
      <c r="N7" s="69" t="n">
        <v>0.18</v>
      </c>
      <c r="O7" s="69" t="n">
        <v>0.03</v>
      </c>
      <c r="P7" s="69" t="n">
        <v>0</v>
      </c>
      <c r="Q7" s="69" t="n">
        <v>0.02</v>
      </c>
      <c r="R7" s="69" t="n">
        <v>-0.16</v>
      </c>
      <c r="S7" s="69" t="n">
        <v>0.11</v>
      </c>
      <c r="T7" s="69" t="n">
        <v>0.06</v>
      </c>
      <c r="U7" s="69" t="n">
        <v>0.12</v>
      </c>
      <c r="V7" s="69" t="n">
        <v>0.03</v>
      </c>
      <c r="W7" s="69" t="n">
        <v>-0.04</v>
      </c>
      <c r="X7" s="69" t="n">
        <v>0.01</v>
      </c>
      <c r="Y7" s="69" t="n">
        <v>0</v>
      </c>
      <c r="Z7" s="69" t="n">
        <v>0.09</v>
      </c>
      <c r="AA7" s="69" t="n">
        <v>0.09</v>
      </c>
      <c r="AB7" s="69" t="n">
        <v>0.03</v>
      </c>
      <c r="AC7" s="69" t="n">
        <v>0.08</v>
      </c>
      <c r="AD7" s="69" t="n">
        <v>0.02</v>
      </c>
      <c r="AE7" s="69" t="n">
        <v>0.19</v>
      </c>
      <c r="AF7" s="69" t="n">
        <v>0.17</v>
      </c>
      <c r="AG7" s="69" t="n">
        <v>-0.02</v>
      </c>
      <c r="AH7" s="69" t="n">
        <v>-0.03</v>
      </c>
      <c r="AI7" s="69" t="n">
        <v>-0.1</v>
      </c>
      <c r="AJ7" s="69" t="n">
        <v>0.21</v>
      </c>
      <c r="AK7" s="69" t="n">
        <v>0.02</v>
      </c>
      <c r="AL7" s="69" t="n">
        <v>0.04</v>
      </c>
      <c r="AM7" s="69" t="n">
        <v>0.09</v>
      </c>
      <c r="AN7" s="69" t="n">
        <v>-0.05</v>
      </c>
      <c r="AO7" s="69" t="n">
        <v>0.02</v>
      </c>
      <c r="AP7" s="69" t="n">
        <v>0.03</v>
      </c>
      <c r="AQ7" s="69" t="n">
        <v>-0.09</v>
      </c>
      <c r="AR7" s="69" t="n">
        <v>0.06</v>
      </c>
      <c r="AS7" s="69" t="n">
        <v>0.12</v>
      </c>
      <c r="AT7" s="69" t="n">
        <v>0.02</v>
      </c>
      <c r="AU7" s="69" t="n">
        <v>-0.04</v>
      </c>
      <c r="AV7" s="69" t="n">
        <v>0.1</v>
      </c>
      <c r="AW7" s="69" t="n">
        <v>0.04</v>
      </c>
      <c r="AX7" s="69" t="n">
        <v>0.09</v>
      </c>
      <c r="AY7" s="69" t="n">
        <v>-0.03</v>
      </c>
      <c r="AZ7" s="69" t="n">
        <v>0.21</v>
      </c>
      <c r="BA7" s="69" t="n">
        <v>-0.03</v>
      </c>
      <c r="BB7" s="69" t="n">
        <v>0.05</v>
      </c>
      <c r="BC7" s="69" t="n">
        <v>0.06</v>
      </c>
      <c r="BD7" s="69" t="n">
        <v>0.16</v>
      </c>
      <c r="BE7" s="69" t="n">
        <v>-0.02</v>
      </c>
      <c r="BF7" s="69" t="n">
        <v>0.13</v>
      </c>
      <c r="BG7" s="69" t="n">
        <v>0.04</v>
      </c>
      <c r="BH7" s="69" t="n">
        <v>0.11</v>
      </c>
      <c r="BI7" s="69" t="n">
        <v>0.12</v>
      </c>
      <c r="BJ7" s="69" t="n">
        <v>0.07</v>
      </c>
      <c r="BK7" s="69" t="n">
        <v>0.22</v>
      </c>
      <c r="BL7" s="69" t="n">
        <v>-0.05</v>
      </c>
      <c r="BM7" s="69" t="n">
        <v>0.05</v>
      </c>
      <c r="BN7" s="69" t="n">
        <v>-0.11</v>
      </c>
      <c r="BO7" s="69" t="n">
        <v>0.08</v>
      </c>
      <c r="BP7" s="69" t="n">
        <v>0.08</v>
      </c>
      <c r="BQ7" s="69" t="n">
        <v>0.1</v>
      </c>
      <c r="BR7" s="69" t="n">
        <v>0.04</v>
      </c>
      <c r="BS7" s="69" t="n">
        <v>-0.06</v>
      </c>
      <c r="BT7" s="69" t="n">
        <v>0.05</v>
      </c>
      <c r="BU7" s="69" t="n">
        <v>0.1</v>
      </c>
      <c r="BV7" s="69" t="n">
        <v>0.03</v>
      </c>
      <c r="BW7" s="69" t="n">
        <v>0.03</v>
      </c>
      <c r="BX7" s="69" t="n">
        <v>0.08</v>
      </c>
      <c r="BY7" s="69" t="n">
        <v>-0.05</v>
      </c>
      <c r="BZ7" s="69" t="n">
        <v>-0.01</v>
      </c>
      <c r="CA7" s="69" t="n">
        <v>0.15</v>
      </c>
      <c r="CB7" s="69" t="n">
        <v>-0.06</v>
      </c>
      <c r="CC7" s="69" t="n">
        <v>-0.01</v>
      </c>
      <c r="CD7" s="69" t="n">
        <v>0.04</v>
      </c>
      <c r="CE7" s="69" t="n">
        <v>0.04</v>
      </c>
      <c r="CF7" s="69" t="n">
        <v>-0.04</v>
      </c>
      <c r="CG7" s="69" t="n">
        <v>0.1</v>
      </c>
      <c r="CH7" s="69" t="n">
        <v>0.04</v>
      </c>
      <c r="CI7" s="69" t="n">
        <v>-0.07</v>
      </c>
      <c r="CJ7" s="69" t="n">
        <v>0.05</v>
      </c>
      <c r="CK7" s="69" t="n">
        <v>0.02</v>
      </c>
      <c r="CL7" s="69" t="n">
        <v>0</v>
      </c>
      <c r="CM7" s="69" t="n">
        <v>0.06</v>
      </c>
      <c r="CN7" s="69" t="n">
        <v>0.2</v>
      </c>
      <c r="CO7" s="69" t="n">
        <v>0</v>
      </c>
      <c r="CP7" s="69" t="n">
        <v>0.04</v>
      </c>
      <c r="CQ7" s="69" t="n">
        <v>0.04</v>
      </c>
      <c r="CR7" s="69" t="n">
        <v>-0.01</v>
      </c>
      <c r="CS7" s="69" t="n">
        <v>0.03</v>
      </c>
      <c r="CT7" s="69" t="n">
        <v>0.07</v>
      </c>
      <c r="CU7" s="69" t="n">
        <v>0.08</v>
      </c>
      <c r="CV7" s="69" t="n">
        <v>0.02</v>
      </c>
      <c r="CW7" s="69" t="n">
        <v>-0.01</v>
      </c>
      <c r="CX7" s="69" t="n">
        <v>0</v>
      </c>
      <c r="CY7" s="69" t="n">
        <v>0.02</v>
      </c>
      <c r="CZ7" s="69" t="n">
        <v>0.11</v>
      </c>
      <c r="DA7" s="69" t="n">
        <v>0.16</v>
      </c>
      <c r="DB7" s="69" t="n">
        <v>0.09</v>
      </c>
      <c r="DC7" s="69" t="n">
        <v>0.18</v>
      </c>
      <c r="DD7" s="69" t="n">
        <v>0.18</v>
      </c>
      <c r="DE7" s="69" t="n">
        <v>0.04</v>
      </c>
      <c r="DF7" s="69" t="n">
        <v>0.07</v>
      </c>
      <c r="DG7" s="69" t="n">
        <v>0.08</v>
      </c>
      <c r="DH7" s="69" t="n">
        <v>0.04</v>
      </c>
      <c r="DI7" s="69" t="n">
        <v>0.03</v>
      </c>
      <c r="DJ7" s="69" t="n">
        <v>0</v>
      </c>
      <c r="DK7" s="69" t="n">
        <v>0.02</v>
      </c>
      <c r="DL7" s="69" t="n">
        <v>0.2</v>
      </c>
      <c r="DM7" s="69" t="n">
        <v>0.02</v>
      </c>
      <c r="DN7" s="69" t="n">
        <v>-0.06</v>
      </c>
      <c r="DO7" s="69" t="n">
        <v>0.07</v>
      </c>
      <c r="DP7" s="69" t="n">
        <v>0.02</v>
      </c>
      <c r="DQ7" s="69" t="n">
        <v>-0.01</v>
      </c>
      <c r="DR7" s="69" t="n">
        <v>-0.02</v>
      </c>
      <c r="DS7" s="69" t="n">
        <v>0.04</v>
      </c>
      <c r="DT7" s="69" t="n">
        <v>0.04</v>
      </c>
      <c r="DU7" s="69" t="n">
        <v>0.11</v>
      </c>
      <c r="DV7" s="69" t="n">
        <v>0.06</v>
      </c>
      <c r="DW7" s="69" t="n">
        <v>0.07</v>
      </c>
      <c r="DX7" s="69" t="n">
        <v>0.06</v>
      </c>
      <c r="DY7" s="69" t="n">
        <v>0.03</v>
      </c>
      <c r="DZ7" s="69" t="n">
        <v>0.12</v>
      </c>
      <c r="EA7" s="69" t="n">
        <v>0.04</v>
      </c>
      <c r="EB7" s="69" t="n">
        <v>0.05</v>
      </c>
      <c r="EC7" s="69" t="n">
        <v>0</v>
      </c>
      <c r="ED7" s="69" t="n">
        <v>0.1</v>
      </c>
      <c r="EE7" s="69" t="n">
        <v>0.04</v>
      </c>
      <c r="EF7" s="69" t="n">
        <v>0.08</v>
      </c>
      <c r="EG7" s="69" t="n">
        <v>-0.01</v>
      </c>
      <c r="EH7" s="69" t="n">
        <v>0.06</v>
      </c>
      <c r="EI7" s="69" t="n">
        <v>0.06</v>
      </c>
      <c r="EJ7" s="69" t="n">
        <v>0.05</v>
      </c>
      <c r="EK7" s="69" t="n">
        <v>0.04</v>
      </c>
      <c r="EL7" s="69" t="n">
        <v>0.09</v>
      </c>
      <c r="EM7" s="69" t="n">
        <v>0.02</v>
      </c>
      <c r="EN7" s="69" t="n">
        <v>-0.01</v>
      </c>
      <c r="EO7" s="69" t="n">
        <v>-0.09</v>
      </c>
    </row>
    <row r="8" customFormat="false" ht="15" hidden="false" customHeight="false" outlineLevel="0" collapsed="false">
      <c r="A8" s="68" t="s">
        <v>212</v>
      </c>
      <c r="B8" s="69" t="n">
        <v>0.07</v>
      </c>
      <c r="C8" s="69" t="n">
        <v>0.09</v>
      </c>
      <c r="D8" s="69" t="n">
        <v>0.12</v>
      </c>
      <c r="E8" s="69" t="n">
        <v>1</v>
      </c>
      <c r="F8" s="69" t="n">
        <v>0.13</v>
      </c>
      <c r="G8" s="69" t="n">
        <v>0.05</v>
      </c>
      <c r="H8" s="69" t="n">
        <v>0.22</v>
      </c>
      <c r="I8" s="69" t="n">
        <v>0.16</v>
      </c>
      <c r="J8" s="69" t="n">
        <v>0.07</v>
      </c>
      <c r="K8" s="69" t="n">
        <v>0.09</v>
      </c>
      <c r="L8" s="69" t="n">
        <v>0.31</v>
      </c>
      <c r="M8" s="69" t="n">
        <v>0.19</v>
      </c>
      <c r="N8" s="69" t="n">
        <v>0.19</v>
      </c>
      <c r="O8" s="69" t="n">
        <v>0.36</v>
      </c>
      <c r="P8" s="69" t="n">
        <v>0.16</v>
      </c>
      <c r="Q8" s="69" t="n">
        <v>0.08</v>
      </c>
      <c r="R8" s="69" t="n">
        <v>0.09</v>
      </c>
      <c r="S8" s="69" t="n">
        <v>0.25</v>
      </c>
      <c r="T8" s="69" t="n">
        <v>0.14</v>
      </c>
      <c r="U8" s="69" t="n">
        <v>0.32</v>
      </c>
      <c r="V8" s="69" t="n">
        <v>0.32</v>
      </c>
      <c r="W8" s="69" t="n">
        <v>0.27</v>
      </c>
      <c r="X8" s="69" t="n">
        <v>0.14</v>
      </c>
      <c r="Y8" s="69" t="n">
        <v>0.05</v>
      </c>
      <c r="Z8" s="69" t="n">
        <v>0.18</v>
      </c>
      <c r="AA8" s="69" t="n">
        <v>0.2</v>
      </c>
      <c r="AB8" s="69" t="n">
        <v>0.06</v>
      </c>
      <c r="AC8" s="69" t="n">
        <v>0.31</v>
      </c>
      <c r="AD8" s="69" t="n">
        <v>0.24</v>
      </c>
      <c r="AE8" s="69" t="n">
        <v>0.19</v>
      </c>
      <c r="AF8" s="69" t="n">
        <v>0.34</v>
      </c>
      <c r="AG8" s="69" t="n">
        <v>0.08</v>
      </c>
      <c r="AH8" s="69" t="n">
        <v>0.09</v>
      </c>
      <c r="AI8" s="69" t="n">
        <v>0.07</v>
      </c>
      <c r="AJ8" s="69" t="n">
        <v>0.1</v>
      </c>
      <c r="AK8" s="69" t="n">
        <v>0.3</v>
      </c>
      <c r="AL8" s="69" t="n">
        <v>0.14</v>
      </c>
      <c r="AM8" s="69" t="n">
        <v>0.16</v>
      </c>
      <c r="AN8" s="69" t="n">
        <v>0.12</v>
      </c>
      <c r="AO8" s="69" t="n">
        <v>0.11</v>
      </c>
      <c r="AP8" s="69" t="n">
        <v>0.13</v>
      </c>
      <c r="AQ8" s="69" t="n">
        <v>0.11</v>
      </c>
      <c r="AR8" s="69" t="n">
        <v>0.08</v>
      </c>
      <c r="AS8" s="69" t="n">
        <v>0.18</v>
      </c>
      <c r="AT8" s="69" t="n">
        <v>0.13</v>
      </c>
      <c r="AU8" s="69" t="n">
        <v>0.09</v>
      </c>
      <c r="AV8" s="69" t="n">
        <v>0.45</v>
      </c>
      <c r="AW8" s="69" t="n">
        <v>0.17</v>
      </c>
      <c r="AX8" s="69" t="n">
        <v>0.13</v>
      </c>
      <c r="AY8" s="69" t="n">
        <v>0.11</v>
      </c>
      <c r="AZ8" s="69" t="n">
        <v>0.24</v>
      </c>
      <c r="BA8" s="69" t="n">
        <v>0.18</v>
      </c>
      <c r="BB8" s="69" t="n">
        <v>0.12</v>
      </c>
      <c r="BC8" s="69" t="n">
        <v>0.22</v>
      </c>
      <c r="BD8" s="69" t="n">
        <v>0.23</v>
      </c>
      <c r="BE8" s="69" t="n">
        <v>0.09</v>
      </c>
      <c r="BF8" s="69" t="n">
        <v>0.32</v>
      </c>
      <c r="BG8" s="69" t="n">
        <v>-0.01</v>
      </c>
      <c r="BH8" s="69" t="n">
        <v>0.22</v>
      </c>
      <c r="BI8" s="69" t="n">
        <v>0.21</v>
      </c>
      <c r="BJ8" s="69" t="n">
        <v>0.06</v>
      </c>
      <c r="BK8" s="69" t="n">
        <v>0.18</v>
      </c>
      <c r="BL8" s="69" t="n">
        <v>0.11</v>
      </c>
      <c r="BM8" s="69" t="n">
        <v>0.22</v>
      </c>
      <c r="BN8" s="69" t="n">
        <v>0.08</v>
      </c>
      <c r="BO8" s="69" t="n">
        <v>0.08</v>
      </c>
      <c r="BP8" s="69" t="n">
        <v>0.08</v>
      </c>
      <c r="BQ8" s="69" t="n">
        <v>0.15</v>
      </c>
      <c r="BR8" s="69" t="n">
        <v>0.07</v>
      </c>
      <c r="BS8" s="69" t="n">
        <v>0.03</v>
      </c>
      <c r="BT8" s="69" t="n">
        <v>0.06</v>
      </c>
      <c r="BU8" s="69" t="n">
        <v>0.17</v>
      </c>
      <c r="BV8" s="69" t="n">
        <v>-0.03</v>
      </c>
      <c r="BW8" s="69" t="n">
        <v>0.13</v>
      </c>
      <c r="BX8" s="69" t="n">
        <v>0.03</v>
      </c>
      <c r="BY8" s="69" t="n">
        <v>0.06</v>
      </c>
      <c r="BZ8" s="69" t="n">
        <v>0.13</v>
      </c>
      <c r="CA8" s="69" t="n">
        <v>0.26</v>
      </c>
      <c r="CB8" s="69" t="n">
        <v>0.02</v>
      </c>
      <c r="CC8" s="69" t="n">
        <v>0.07</v>
      </c>
      <c r="CD8" s="69" t="n">
        <v>0.05</v>
      </c>
      <c r="CE8" s="69" t="n">
        <v>0.01</v>
      </c>
      <c r="CF8" s="69" t="n">
        <v>0.03</v>
      </c>
      <c r="CG8" s="69" t="n">
        <v>0.03</v>
      </c>
      <c r="CH8" s="69" t="n">
        <v>0.19</v>
      </c>
      <c r="CI8" s="69" t="n">
        <v>-0.05</v>
      </c>
      <c r="CJ8" s="69" t="n">
        <v>0.06</v>
      </c>
      <c r="CK8" s="69" t="n">
        <v>0.12</v>
      </c>
      <c r="CL8" s="69" t="n">
        <v>0</v>
      </c>
      <c r="CM8" s="69" t="n">
        <v>-0.03</v>
      </c>
      <c r="CN8" s="69" t="n">
        <v>0.16</v>
      </c>
      <c r="CO8" s="69" t="n">
        <v>0.14</v>
      </c>
      <c r="CP8" s="69" t="n">
        <v>0.03</v>
      </c>
      <c r="CQ8" s="69" t="n">
        <v>0.17</v>
      </c>
      <c r="CR8" s="69" t="n">
        <v>0.08</v>
      </c>
      <c r="CS8" s="69" t="n">
        <v>0.08</v>
      </c>
      <c r="CT8" s="69" t="n">
        <v>0.15</v>
      </c>
      <c r="CU8" s="69" t="n">
        <v>0.01</v>
      </c>
      <c r="CV8" s="69" t="n">
        <v>0</v>
      </c>
      <c r="CW8" s="69" t="n">
        <v>0.1</v>
      </c>
      <c r="CX8" s="69" t="n">
        <v>0.07</v>
      </c>
      <c r="CY8" s="69" t="n">
        <v>0.19</v>
      </c>
      <c r="CZ8" s="69" t="n">
        <v>0.06</v>
      </c>
      <c r="DA8" s="69" t="n">
        <v>-0.01</v>
      </c>
      <c r="DB8" s="69" t="n">
        <v>0.19</v>
      </c>
      <c r="DC8" s="69" t="n">
        <v>0.17</v>
      </c>
      <c r="DD8" s="69" t="n">
        <v>0.13</v>
      </c>
      <c r="DE8" s="69" t="n">
        <v>0.15</v>
      </c>
      <c r="DF8" s="69" t="n">
        <v>0.04</v>
      </c>
      <c r="DG8" s="69" t="n">
        <v>0.09</v>
      </c>
      <c r="DH8" s="69" t="n">
        <v>0.1</v>
      </c>
      <c r="DI8" s="69" t="n">
        <v>0.2</v>
      </c>
      <c r="DJ8" s="69" t="n">
        <v>0.08</v>
      </c>
      <c r="DK8" s="69" t="n">
        <v>0.13</v>
      </c>
      <c r="DL8" s="69" t="n">
        <v>0.11</v>
      </c>
      <c r="DM8" s="69" t="n">
        <v>0.12</v>
      </c>
      <c r="DN8" s="69" t="n">
        <v>-0.02</v>
      </c>
      <c r="DO8" s="69" t="n">
        <v>0.14</v>
      </c>
      <c r="DP8" s="69" t="n">
        <v>0.06</v>
      </c>
      <c r="DQ8" s="69" t="n">
        <v>0.08</v>
      </c>
      <c r="DR8" s="69" t="n">
        <v>0.12</v>
      </c>
      <c r="DS8" s="69" t="n">
        <v>-0.01</v>
      </c>
      <c r="DT8" s="69" t="n">
        <v>0.05</v>
      </c>
      <c r="DU8" s="69" t="n">
        <v>0.14</v>
      </c>
      <c r="DV8" s="69" t="n">
        <v>0.09</v>
      </c>
      <c r="DW8" s="69" t="n">
        <v>0.02</v>
      </c>
      <c r="DX8" s="69" t="n">
        <v>0.05</v>
      </c>
      <c r="DY8" s="69" t="n">
        <v>0.09</v>
      </c>
      <c r="DZ8" s="69" t="n">
        <v>0.03</v>
      </c>
      <c r="EA8" s="69" t="n">
        <v>0.05</v>
      </c>
      <c r="EB8" s="69" t="n">
        <v>0.12</v>
      </c>
      <c r="EC8" s="69" t="n">
        <v>0.09</v>
      </c>
      <c r="ED8" s="69" t="n">
        <v>0.19</v>
      </c>
      <c r="EE8" s="69" t="n">
        <v>0.08</v>
      </c>
      <c r="EF8" s="69" t="n">
        <v>0.01</v>
      </c>
      <c r="EG8" s="69" t="n">
        <v>0.06</v>
      </c>
      <c r="EH8" s="69" t="n">
        <v>-0.02</v>
      </c>
      <c r="EI8" s="69" t="n">
        <v>-0.02</v>
      </c>
      <c r="EJ8" s="69" t="n">
        <v>0.17</v>
      </c>
      <c r="EK8" s="69" t="n">
        <v>0.07</v>
      </c>
      <c r="EL8" s="69" t="n">
        <v>0.1</v>
      </c>
      <c r="EM8" s="69" t="n">
        <v>0.05</v>
      </c>
      <c r="EN8" s="69" t="n">
        <v>0.02</v>
      </c>
      <c r="EO8" s="69" t="n">
        <v>0.02</v>
      </c>
    </row>
    <row r="9" customFormat="false" ht="15" hidden="false" customHeight="false" outlineLevel="0" collapsed="false">
      <c r="A9" s="68" t="s">
        <v>214</v>
      </c>
      <c r="B9" s="69" t="n">
        <v>0.44</v>
      </c>
      <c r="C9" s="69" t="n">
        <v>0.02</v>
      </c>
      <c r="D9" s="69" t="n">
        <v>-0.09</v>
      </c>
      <c r="E9" s="69" t="n">
        <v>0.13</v>
      </c>
      <c r="F9" s="69" t="n">
        <v>1</v>
      </c>
      <c r="G9" s="69" t="n">
        <v>-0.02</v>
      </c>
      <c r="H9" s="69" t="n">
        <v>0.08</v>
      </c>
      <c r="I9" s="69" t="n">
        <v>0.58</v>
      </c>
      <c r="J9" s="69" t="n">
        <v>0.46</v>
      </c>
      <c r="K9" s="69" t="n">
        <v>0.58</v>
      </c>
      <c r="L9" s="69" t="n">
        <v>0.16</v>
      </c>
      <c r="M9" s="69" t="n">
        <v>0.29</v>
      </c>
      <c r="N9" s="69" t="n">
        <v>0.3</v>
      </c>
      <c r="O9" s="69" t="n">
        <v>0.08</v>
      </c>
      <c r="P9" s="69" t="n">
        <v>0.48</v>
      </c>
      <c r="Q9" s="69" t="n">
        <v>-0.1</v>
      </c>
      <c r="R9" s="69" t="n">
        <v>0.65</v>
      </c>
      <c r="S9" s="69" t="n">
        <v>0.11</v>
      </c>
      <c r="T9" s="69" t="n">
        <v>0.05</v>
      </c>
      <c r="U9" s="69" t="n">
        <v>0.07</v>
      </c>
      <c r="V9" s="69" t="n">
        <v>0.05</v>
      </c>
      <c r="W9" s="69" t="n">
        <v>0.13</v>
      </c>
      <c r="X9" s="69" t="n">
        <v>0.04</v>
      </c>
      <c r="Y9" s="69" t="n">
        <v>0.31</v>
      </c>
      <c r="Z9" s="69" t="n">
        <v>0.1</v>
      </c>
      <c r="AA9" s="69" t="n">
        <v>0.27</v>
      </c>
      <c r="AB9" s="69" t="n">
        <v>0.33</v>
      </c>
      <c r="AC9" s="69" t="n">
        <v>-0.02</v>
      </c>
      <c r="AD9" s="69" t="n">
        <v>0.14</v>
      </c>
      <c r="AE9" s="69" t="n">
        <v>-0.07</v>
      </c>
      <c r="AF9" s="69" t="n">
        <v>-0.08</v>
      </c>
      <c r="AG9" s="69" t="n">
        <v>0.4</v>
      </c>
      <c r="AH9" s="69" t="n">
        <v>0.41</v>
      </c>
      <c r="AI9" s="69" t="n">
        <v>0.24</v>
      </c>
      <c r="AJ9" s="69" t="n">
        <v>-0.02</v>
      </c>
      <c r="AK9" s="69" t="n">
        <v>-0.03</v>
      </c>
      <c r="AL9" s="69" t="n">
        <v>0.27</v>
      </c>
      <c r="AM9" s="69" t="n">
        <v>-0.01</v>
      </c>
      <c r="AN9" s="69" t="n">
        <v>0.4</v>
      </c>
      <c r="AO9" s="69" t="n">
        <v>0.39</v>
      </c>
      <c r="AP9" s="69" t="n">
        <v>0.29</v>
      </c>
      <c r="AQ9" s="69" t="n">
        <v>0.26</v>
      </c>
      <c r="AR9" s="69" t="n">
        <v>0.06</v>
      </c>
      <c r="AS9" s="69" t="n">
        <v>0.01</v>
      </c>
      <c r="AT9" s="69" t="n">
        <v>0.08</v>
      </c>
      <c r="AU9" s="69" t="n">
        <v>0.41</v>
      </c>
      <c r="AV9" s="69" t="n">
        <v>0.09</v>
      </c>
      <c r="AW9" s="69" t="n">
        <v>-0.03</v>
      </c>
      <c r="AX9" s="69" t="n">
        <v>0.36</v>
      </c>
      <c r="AY9" s="69" t="n">
        <v>0.33</v>
      </c>
      <c r="AZ9" s="69" t="n">
        <v>-0.03</v>
      </c>
      <c r="BA9" s="69" t="n">
        <v>0.21</v>
      </c>
      <c r="BB9" s="69" t="n">
        <v>-0.07</v>
      </c>
      <c r="BC9" s="69" t="n">
        <v>0.08</v>
      </c>
      <c r="BD9" s="69" t="n">
        <v>0.01</v>
      </c>
      <c r="BE9" s="69" t="n">
        <v>0.41</v>
      </c>
      <c r="BF9" s="69" t="n">
        <v>0.03</v>
      </c>
      <c r="BG9" s="69" t="n">
        <v>0.1</v>
      </c>
      <c r="BH9" s="69" t="n">
        <v>0</v>
      </c>
      <c r="BI9" s="69" t="n">
        <v>-0.07</v>
      </c>
      <c r="BJ9" s="69" t="n">
        <v>-0.08</v>
      </c>
      <c r="BK9" s="69" t="n">
        <v>-0.06</v>
      </c>
      <c r="BL9" s="69" t="n">
        <v>0.11</v>
      </c>
      <c r="BM9" s="69" t="n">
        <v>0.36</v>
      </c>
      <c r="BN9" s="69" t="n">
        <v>0.21</v>
      </c>
      <c r="BO9" s="69" t="n">
        <v>0.08</v>
      </c>
      <c r="BP9" s="69" t="n">
        <v>-0.02</v>
      </c>
      <c r="BQ9" s="69" t="n">
        <v>-0.04</v>
      </c>
      <c r="BR9" s="69" t="n">
        <v>0.14</v>
      </c>
      <c r="BS9" s="69" t="n">
        <v>0.15</v>
      </c>
      <c r="BT9" s="69" t="n">
        <v>0.08</v>
      </c>
      <c r="BU9" s="69" t="n">
        <v>-0.06</v>
      </c>
      <c r="BV9" s="69" t="n">
        <v>0.02</v>
      </c>
      <c r="BW9" s="69" t="n">
        <v>0.16</v>
      </c>
      <c r="BX9" s="69" t="n">
        <v>0.22</v>
      </c>
      <c r="BY9" s="69" t="n">
        <v>0.25</v>
      </c>
      <c r="BZ9" s="69" t="n">
        <v>0.08</v>
      </c>
      <c r="CA9" s="69" t="n">
        <v>0.05</v>
      </c>
      <c r="CB9" s="69" t="n">
        <v>0.07</v>
      </c>
      <c r="CC9" s="69" t="n">
        <v>0.08</v>
      </c>
      <c r="CD9" s="69" t="n">
        <v>0.17</v>
      </c>
      <c r="CE9" s="69" t="n">
        <v>-0.08</v>
      </c>
      <c r="CF9" s="69" t="n">
        <v>0.24</v>
      </c>
      <c r="CG9" s="69" t="n">
        <v>0.17</v>
      </c>
      <c r="CH9" s="69" t="n">
        <v>-0.07</v>
      </c>
      <c r="CI9" s="69" t="n">
        <v>0.19</v>
      </c>
      <c r="CJ9" s="69" t="n">
        <v>0.3</v>
      </c>
      <c r="CK9" s="69" t="n">
        <v>0.26</v>
      </c>
      <c r="CL9" s="69" t="n">
        <v>0.14</v>
      </c>
      <c r="CM9" s="69" t="n">
        <v>-0.19</v>
      </c>
      <c r="CN9" s="69" t="n">
        <v>-0.09</v>
      </c>
      <c r="CO9" s="69" t="n">
        <v>-0.01</v>
      </c>
      <c r="CP9" s="69" t="n">
        <v>0.12</v>
      </c>
      <c r="CQ9" s="69" t="n">
        <v>0.1</v>
      </c>
      <c r="CR9" s="69" t="n">
        <v>-0.13</v>
      </c>
      <c r="CS9" s="69" t="n">
        <v>-0.13</v>
      </c>
      <c r="CT9" s="69" t="n">
        <v>-0.01</v>
      </c>
      <c r="CU9" s="69" t="n">
        <v>0</v>
      </c>
      <c r="CV9" s="69" t="n">
        <v>-0.06</v>
      </c>
      <c r="CW9" s="69" t="n">
        <v>0.1</v>
      </c>
      <c r="CX9" s="69" t="n">
        <v>0.05</v>
      </c>
      <c r="CY9" s="69" t="n">
        <v>0.13</v>
      </c>
      <c r="CZ9" s="69" t="n">
        <v>0.02</v>
      </c>
      <c r="DA9" s="69" t="n">
        <v>0.07</v>
      </c>
      <c r="DB9" s="69" t="n">
        <v>-0.08</v>
      </c>
      <c r="DC9" s="69" t="n">
        <v>-0.09</v>
      </c>
      <c r="DD9" s="69" t="n">
        <v>0.03</v>
      </c>
      <c r="DE9" s="69" t="n">
        <v>-0.11</v>
      </c>
      <c r="DF9" s="69" t="n">
        <v>0.08</v>
      </c>
      <c r="DG9" s="69" t="n">
        <v>-0.06</v>
      </c>
      <c r="DH9" s="69" t="n">
        <v>-0.16</v>
      </c>
      <c r="DI9" s="69" t="n">
        <v>0.11</v>
      </c>
      <c r="DJ9" s="69" t="n">
        <v>0.15</v>
      </c>
      <c r="DK9" s="69" t="n">
        <v>0.07</v>
      </c>
      <c r="DL9" s="69" t="n">
        <v>-0.11</v>
      </c>
      <c r="DM9" s="69" t="n">
        <v>0.16</v>
      </c>
      <c r="DN9" s="69" t="n">
        <v>0.17</v>
      </c>
      <c r="DO9" s="69" t="n">
        <v>-0.11</v>
      </c>
      <c r="DP9" s="69" t="n">
        <v>0.14</v>
      </c>
      <c r="DQ9" s="69" t="n">
        <v>-0.1</v>
      </c>
      <c r="DR9" s="69" t="n">
        <v>-0.08</v>
      </c>
      <c r="DS9" s="69" t="n">
        <v>0.04</v>
      </c>
      <c r="DT9" s="69" t="n">
        <v>-0.26</v>
      </c>
      <c r="DU9" s="69" t="n">
        <v>-0.12</v>
      </c>
      <c r="DV9" s="69" t="n">
        <v>-0.08</v>
      </c>
      <c r="DW9" s="69" t="n">
        <v>-0.04</v>
      </c>
      <c r="DX9" s="69" t="n">
        <v>-0.19</v>
      </c>
      <c r="DY9" s="69" t="n">
        <v>0</v>
      </c>
      <c r="DZ9" s="69" t="n">
        <v>-0.05</v>
      </c>
      <c r="EA9" s="69" t="n">
        <v>0.01</v>
      </c>
      <c r="EB9" s="69" t="n">
        <v>-0.05</v>
      </c>
      <c r="EC9" s="69" t="n">
        <v>-0.12</v>
      </c>
      <c r="ED9" s="69" t="n">
        <v>-0.02</v>
      </c>
      <c r="EE9" s="69" t="n">
        <v>-0.18</v>
      </c>
      <c r="EF9" s="69" t="n">
        <v>-0.06</v>
      </c>
      <c r="EG9" s="69" t="n">
        <v>-0.09</v>
      </c>
      <c r="EH9" s="69" t="n">
        <v>0.06</v>
      </c>
      <c r="EI9" s="69" t="n">
        <v>-0.2</v>
      </c>
      <c r="EJ9" s="69" t="n">
        <v>0.03</v>
      </c>
      <c r="EK9" s="69" t="n">
        <v>-0.05</v>
      </c>
      <c r="EL9" s="69" t="n">
        <v>-0.16</v>
      </c>
      <c r="EM9" s="69" t="n">
        <v>-0.09</v>
      </c>
      <c r="EN9" s="69" t="n">
        <v>0.09</v>
      </c>
      <c r="EO9" s="69" t="n">
        <v>0.11</v>
      </c>
    </row>
    <row r="10" customFormat="false" ht="15" hidden="false" customHeight="false" outlineLevel="0" collapsed="false">
      <c r="A10" s="68" t="s">
        <v>215</v>
      </c>
      <c r="B10" s="69" t="n">
        <v>-0.1</v>
      </c>
      <c r="C10" s="69" t="n">
        <v>0.02</v>
      </c>
      <c r="D10" s="69" t="n">
        <v>0.12</v>
      </c>
      <c r="E10" s="69" t="n">
        <v>0.05</v>
      </c>
      <c r="F10" s="69" t="n">
        <v>-0.02</v>
      </c>
      <c r="G10" s="69" t="n">
        <v>1</v>
      </c>
      <c r="H10" s="69" t="n">
        <v>0.18</v>
      </c>
      <c r="I10" s="69" t="n">
        <v>0.02</v>
      </c>
      <c r="J10" s="69" t="n">
        <v>-0.01</v>
      </c>
      <c r="K10" s="69" t="n">
        <v>0.01</v>
      </c>
      <c r="L10" s="69" t="n">
        <v>-0.02</v>
      </c>
      <c r="M10" s="69" t="n">
        <v>0.06</v>
      </c>
      <c r="N10" s="69" t="n">
        <v>0.05</v>
      </c>
      <c r="O10" s="69" t="n">
        <v>0.11</v>
      </c>
      <c r="P10" s="69" t="n">
        <v>-0.1</v>
      </c>
      <c r="Q10" s="69" t="n">
        <v>0.05</v>
      </c>
      <c r="R10" s="69" t="n">
        <v>-0.02</v>
      </c>
      <c r="S10" s="69" t="n">
        <v>-0.05</v>
      </c>
      <c r="T10" s="69" t="n">
        <v>0.02</v>
      </c>
      <c r="U10" s="69" t="n">
        <v>0.07</v>
      </c>
      <c r="V10" s="69" t="n">
        <v>0.14</v>
      </c>
      <c r="W10" s="69" t="n">
        <v>0.05</v>
      </c>
      <c r="X10" s="69" t="n">
        <v>-0.03</v>
      </c>
      <c r="Y10" s="69" t="n">
        <v>-0.04</v>
      </c>
      <c r="Z10" s="69" t="n">
        <v>0.21</v>
      </c>
      <c r="AA10" s="69" t="n">
        <v>0.08</v>
      </c>
      <c r="AB10" s="69" t="n">
        <v>0</v>
      </c>
      <c r="AC10" s="69" t="n">
        <v>0.16</v>
      </c>
      <c r="AD10" s="69" t="n">
        <v>0.03</v>
      </c>
      <c r="AE10" s="69" t="n">
        <v>0.22</v>
      </c>
      <c r="AF10" s="69" t="n">
        <v>0.18</v>
      </c>
      <c r="AG10" s="69" t="n">
        <v>-0.08</v>
      </c>
      <c r="AH10" s="69" t="n">
        <v>-0.08</v>
      </c>
      <c r="AI10" s="69" t="n">
        <v>-0.06</v>
      </c>
      <c r="AJ10" s="69" t="n">
        <v>0.08</v>
      </c>
      <c r="AK10" s="69" t="n">
        <v>0.13</v>
      </c>
      <c r="AL10" s="69" t="n">
        <v>-0.06</v>
      </c>
      <c r="AM10" s="69" t="n">
        <v>0.16</v>
      </c>
      <c r="AN10" s="69" t="n">
        <v>-0.02</v>
      </c>
      <c r="AO10" s="69" t="n">
        <v>0.03</v>
      </c>
      <c r="AP10" s="69" t="n">
        <v>0.05</v>
      </c>
      <c r="AQ10" s="69" t="n">
        <v>-0.01</v>
      </c>
      <c r="AR10" s="69" t="n">
        <v>0</v>
      </c>
      <c r="AS10" s="69" t="n">
        <v>0.15</v>
      </c>
      <c r="AT10" s="69" t="n">
        <v>-0.02</v>
      </c>
      <c r="AU10" s="69" t="n">
        <v>-0.02</v>
      </c>
      <c r="AV10" s="69" t="n">
        <v>0.05</v>
      </c>
      <c r="AW10" s="69" t="n">
        <v>0.11</v>
      </c>
      <c r="AX10" s="69" t="n">
        <v>0.05</v>
      </c>
      <c r="AY10" s="69" t="n">
        <v>0.03</v>
      </c>
      <c r="AZ10" s="69" t="n">
        <v>0.11</v>
      </c>
      <c r="BA10" s="69" t="n">
        <v>0.01</v>
      </c>
      <c r="BB10" s="69" t="n">
        <v>0.08</v>
      </c>
      <c r="BC10" s="69" t="n">
        <v>0.03</v>
      </c>
      <c r="BD10" s="69" t="n">
        <v>0.16</v>
      </c>
      <c r="BE10" s="69" t="n">
        <v>-0.03</v>
      </c>
      <c r="BF10" s="69" t="n">
        <v>0.21</v>
      </c>
      <c r="BG10" s="69" t="n">
        <v>-0.02</v>
      </c>
      <c r="BH10" s="69" t="n">
        <v>0.03</v>
      </c>
      <c r="BI10" s="69" t="n">
        <v>0.1</v>
      </c>
      <c r="BJ10" s="69" t="n">
        <v>0.05</v>
      </c>
      <c r="BK10" s="69" t="n">
        <v>0.16</v>
      </c>
      <c r="BL10" s="69" t="n">
        <v>0.08</v>
      </c>
      <c r="BM10" s="69" t="n">
        <v>-0.07</v>
      </c>
      <c r="BN10" s="69" t="n">
        <v>0.02</v>
      </c>
      <c r="BO10" s="69" t="n">
        <v>0.07</v>
      </c>
      <c r="BP10" s="69" t="n">
        <v>-0.03</v>
      </c>
      <c r="BQ10" s="69" t="n">
        <v>0.09</v>
      </c>
      <c r="BR10" s="69" t="n">
        <v>0</v>
      </c>
      <c r="BS10" s="69" t="n">
        <v>0</v>
      </c>
      <c r="BT10" s="69" t="n">
        <v>0.01</v>
      </c>
      <c r="BU10" s="69" t="n">
        <v>-0.01</v>
      </c>
      <c r="BV10" s="69" t="n">
        <v>0.02</v>
      </c>
      <c r="BW10" s="69" t="n">
        <v>0.08</v>
      </c>
      <c r="BX10" s="69" t="n">
        <v>-0.01</v>
      </c>
      <c r="BY10" s="69" t="n">
        <v>0.03</v>
      </c>
      <c r="BZ10" s="69" t="n">
        <v>-0.09</v>
      </c>
      <c r="CA10" s="69" t="n">
        <v>0.12</v>
      </c>
      <c r="CB10" s="69" t="n">
        <v>-0.02</v>
      </c>
      <c r="CC10" s="69" t="n">
        <v>0.04</v>
      </c>
      <c r="CD10" s="69" t="n">
        <v>0.02</v>
      </c>
      <c r="CE10" s="69" t="n">
        <v>-0.01</v>
      </c>
      <c r="CF10" s="69" t="n">
        <v>0.02</v>
      </c>
      <c r="CG10" s="69" t="n">
        <v>0.06</v>
      </c>
      <c r="CH10" s="69" t="n">
        <v>0.17</v>
      </c>
      <c r="CI10" s="69" t="n">
        <v>-0.02</v>
      </c>
      <c r="CJ10" s="69" t="n">
        <v>0.08</v>
      </c>
      <c r="CK10" s="69" t="n">
        <v>-0.1</v>
      </c>
      <c r="CL10" s="69" t="n">
        <v>0.07</v>
      </c>
      <c r="CM10" s="69" t="n">
        <v>-0.01</v>
      </c>
      <c r="CN10" s="69" t="n">
        <v>0.11</v>
      </c>
      <c r="CO10" s="69" t="n">
        <v>-0.05</v>
      </c>
      <c r="CP10" s="69" t="n">
        <v>0.05</v>
      </c>
      <c r="CQ10" s="69" t="n">
        <v>-0.05</v>
      </c>
      <c r="CR10" s="69" t="n">
        <v>-0.01</v>
      </c>
      <c r="CS10" s="69" t="n">
        <v>0</v>
      </c>
      <c r="CT10" s="69" t="n">
        <v>0.14</v>
      </c>
      <c r="CU10" s="69" t="n">
        <v>-0.03</v>
      </c>
      <c r="CV10" s="69" t="n">
        <v>0.01</v>
      </c>
      <c r="CW10" s="69" t="n">
        <v>-0.03</v>
      </c>
      <c r="CX10" s="69" t="n">
        <v>0.08</v>
      </c>
      <c r="CY10" s="69" t="n">
        <v>0</v>
      </c>
      <c r="CZ10" s="69" t="n">
        <v>-0.11</v>
      </c>
      <c r="DA10" s="69" t="n">
        <v>-0.09</v>
      </c>
      <c r="DB10" s="69" t="n">
        <v>0.08</v>
      </c>
      <c r="DC10" s="69" t="n">
        <v>0.1</v>
      </c>
      <c r="DD10" s="69" t="n">
        <v>0.05</v>
      </c>
      <c r="DE10" s="69" t="n">
        <v>0.02</v>
      </c>
      <c r="DF10" s="69" t="n">
        <v>0.01</v>
      </c>
      <c r="DG10" s="69" t="n">
        <v>0.02</v>
      </c>
      <c r="DH10" s="69" t="n">
        <v>-0.03</v>
      </c>
      <c r="DI10" s="69" t="n">
        <v>0</v>
      </c>
      <c r="DJ10" s="69" t="n">
        <v>-0.04</v>
      </c>
      <c r="DK10" s="69" t="n">
        <v>-0.05</v>
      </c>
      <c r="DL10" s="69" t="n">
        <v>0.16</v>
      </c>
      <c r="DM10" s="69" t="n">
        <v>0.04</v>
      </c>
      <c r="DN10" s="69" t="n">
        <v>0.02</v>
      </c>
      <c r="DO10" s="69" t="n">
        <v>-0.03</v>
      </c>
      <c r="DP10" s="69" t="n">
        <v>0.01</v>
      </c>
      <c r="DQ10" s="69" t="n">
        <v>-0.17</v>
      </c>
      <c r="DR10" s="69" t="n">
        <v>0.07</v>
      </c>
      <c r="DS10" s="69" t="n">
        <v>-0.02</v>
      </c>
      <c r="DT10" s="69" t="n">
        <v>-0.05</v>
      </c>
      <c r="DU10" s="69" t="n">
        <v>0.03</v>
      </c>
      <c r="DV10" s="69" t="n">
        <v>0.04</v>
      </c>
      <c r="DW10" s="69" t="n">
        <v>-0.08</v>
      </c>
      <c r="DX10" s="69" t="n">
        <v>0.01</v>
      </c>
      <c r="DY10" s="69" t="n">
        <v>-0.04</v>
      </c>
      <c r="DZ10" s="69" t="n">
        <v>0.04</v>
      </c>
      <c r="EA10" s="69" t="n">
        <v>0.04</v>
      </c>
      <c r="EB10" s="69" t="n">
        <v>0.01</v>
      </c>
      <c r="EC10" s="69" t="n">
        <v>0.15</v>
      </c>
      <c r="ED10" s="69" t="n">
        <v>0.07</v>
      </c>
      <c r="EE10" s="69" t="n">
        <v>0.03</v>
      </c>
      <c r="EF10" s="69" t="n">
        <v>0.07</v>
      </c>
      <c r="EG10" s="69" t="n">
        <v>0.05</v>
      </c>
      <c r="EH10" s="69" t="n">
        <v>-0.07</v>
      </c>
      <c r="EI10" s="69" t="n">
        <v>0</v>
      </c>
      <c r="EJ10" s="69" t="n">
        <v>0.1</v>
      </c>
      <c r="EK10" s="69" t="n">
        <v>0.04</v>
      </c>
      <c r="EL10" s="69" t="n">
        <v>0.04</v>
      </c>
      <c r="EM10" s="69" t="n">
        <v>-0.06</v>
      </c>
      <c r="EN10" s="69" t="n">
        <v>0</v>
      </c>
      <c r="EO10" s="69" t="n">
        <v>0.06</v>
      </c>
    </row>
    <row r="11" customFormat="false" ht="15" hidden="false" customHeight="false" outlineLevel="0" collapsed="false">
      <c r="A11" s="68" t="s">
        <v>218</v>
      </c>
      <c r="B11" s="69" t="n">
        <v>-0.01</v>
      </c>
      <c r="C11" s="69" t="n">
        <v>0.14</v>
      </c>
      <c r="D11" s="69" t="n">
        <v>0.15</v>
      </c>
      <c r="E11" s="69" t="n">
        <v>0.22</v>
      </c>
      <c r="F11" s="69" t="n">
        <v>0.08</v>
      </c>
      <c r="G11" s="69" t="n">
        <v>0.18</v>
      </c>
      <c r="H11" s="69" t="n">
        <v>1</v>
      </c>
      <c r="I11" s="69" t="n">
        <v>0.09</v>
      </c>
      <c r="J11" s="69" t="n">
        <v>0</v>
      </c>
      <c r="K11" s="69" t="n">
        <v>0.1</v>
      </c>
      <c r="L11" s="69" t="n">
        <v>0.2</v>
      </c>
      <c r="M11" s="69" t="n">
        <v>0.18</v>
      </c>
      <c r="N11" s="69" t="n">
        <v>0.11</v>
      </c>
      <c r="O11" s="69" t="n">
        <v>0.21</v>
      </c>
      <c r="P11" s="69" t="n">
        <v>0.02</v>
      </c>
      <c r="Q11" s="69" t="n">
        <v>-0.02</v>
      </c>
      <c r="R11" s="69" t="n">
        <v>0.06</v>
      </c>
      <c r="S11" s="69" t="n">
        <v>0.25</v>
      </c>
      <c r="T11" s="69" t="n">
        <v>0.03</v>
      </c>
      <c r="U11" s="69" t="n">
        <v>0.3</v>
      </c>
      <c r="V11" s="69" t="n">
        <v>0.37</v>
      </c>
      <c r="W11" s="69" t="n">
        <v>0.15</v>
      </c>
      <c r="X11" s="69" t="n">
        <v>0.07</v>
      </c>
      <c r="Y11" s="69" t="n">
        <v>-0.08</v>
      </c>
      <c r="Z11" s="69" t="n">
        <v>0.28</v>
      </c>
      <c r="AA11" s="69" t="n">
        <v>0.22</v>
      </c>
      <c r="AB11" s="69" t="n">
        <v>-0.09</v>
      </c>
      <c r="AC11" s="69" t="n">
        <v>0.23</v>
      </c>
      <c r="AD11" s="69" t="n">
        <v>0.21</v>
      </c>
      <c r="AE11" s="69" t="n">
        <v>0.21</v>
      </c>
      <c r="AF11" s="69" t="n">
        <v>0.26</v>
      </c>
      <c r="AG11" s="69" t="n">
        <v>-0.02</v>
      </c>
      <c r="AH11" s="69" t="n">
        <v>0.01</v>
      </c>
      <c r="AI11" s="69" t="n">
        <v>-0.11</v>
      </c>
      <c r="AJ11" s="69" t="n">
        <v>0.27</v>
      </c>
      <c r="AK11" s="69" t="n">
        <v>0.26</v>
      </c>
      <c r="AL11" s="69" t="n">
        <v>0.01</v>
      </c>
      <c r="AM11" s="69" t="n">
        <v>0.17</v>
      </c>
      <c r="AN11" s="69" t="n">
        <v>0.14</v>
      </c>
      <c r="AO11" s="69" t="n">
        <v>0</v>
      </c>
      <c r="AP11" s="69" t="n">
        <v>0.03</v>
      </c>
      <c r="AQ11" s="69" t="n">
        <v>-0.08</v>
      </c>
      <c r="AR11" s="69" t="n">
        <v>-0.01</v>
      </c>
      <c r="AS11" s="69" t="n">
        <v>0.31</v>
      </c>
      <c r="AT11" s="69" t="n">
        <v>0</v>
      </c>
      <c r="AU11" s="69" t="n">
        <v>0.02</v>
      </c>
      <c r="AV11" s="69" t="n">
        <v>0.19</v>
      </c>
      <c r="AW11" s="69" t="n">
        <v>0.35</v>
      </c>
      <c r="AX11" s="69" t="n">
        <v>0.06</v>
      </c>
      <c r="AY11" s="69" t="n">
        <v>0.01</v>
      </c>
      <c r="AZ11" s="69" t="n">
        <v>0.28</v>
      </c>
      <c r="BA11" s="69" t="n">
        <v>0.08</v>
      </c>
      <c r="BB11" s="69" t="n">
        <v>0.03</v>
      </c>
      <c r="BC11" s="69" t="n">
        <v>0.16</v>
      </c>
      <c r="BD11" s="69" t="n">
        <v>0.24</v>
      </c>
      <c r="BE11" s="69" t="n">
        <v>0.09</v>
      </c>
      <c r="BF11" s="69" t="n">
        <v>0.23</v>
      </c>
      <c r="BG11" s="69" t="n">
        <v>0.04</v>
      </c>
      <c r="BH11" s="69" t="n">
        <v>0.3</v>
      </c>
      <c r="BI11" s="69" t="n">
        <v>0.14</v>
      </c>
      <c r="BJ11" s="69" t="n">
        <v>-0.08</v>
      </c>
      <c r="BK11" s="69" t="n">
        <v>0.19</v>
      </c>
      <c r="BL11" s="69" t="n">
        <v>0.13</v>
      </c>
      <c r="BM11" s="69" t="n">
        <v>0.06</v>
      </c>
      <c r="BN11" s="69" t="n">
        <v>-0.08</v>
      </c>
      <c r="BO11" s="69" t="n">
        <v>0.18</v>
      </c>
      <c r="BP11" s="69" t="n">
        <v>0.03</v>
      </c>
      <c r="BQ11" s="69" t="n">
        <v>0.27</v>
      </c>
      <c r="BR11" s="69" t="n">
        <v>0.12</v>
      </c>
      <c r="BS11" s="69" t="n">
        <v>-0.09</v>
      </c>
      <c r="BT11" s="69" t="n">
        <v>0.18</v>
      </c>
      <c r="BU11" s="69" t="n">
        <v>0.19</v>
      </c>
      <c r="BV11" s="69" t="n">
        <v>0.07</v>
      </c>
      <c r="BW11" s="69" t="n">
        <v>0.1</v>
      </c>
      <c r="BX11" s="69" t="n">
        <v>0.06</v>
      </c>
      <c r="BY11" s="69" t="n">
        <v>0.13</v>
      </c>
      <c r="BZ11" s="69" t="n">
        <v>0.12</v>
      </c>
      <c r="CA11" s="69" t="n">
        <v>0.28</v>
      </c>
      <c r="CB11" s="69" t="n">
        <v>-0.1</v>
      </c>
      <c r="CC11" s="69" t="n">
        <v>-0.06</v>
      </c>
      <c r="CD11" s="69" t="n">
        <v>0.05</v>
      </c>
      <c r="CE11" s="69" t="n">
        <v>0.02</v>
      </c>
      <c r="CF11" s="69" t="n">
        <v>-0.12</v>
      </c>
      <c r="CG11" s="69" t="n">
        <v>0.11</v>
      </c>
      <c r="CH11" s="69" t="n">
        <v>0.27</v>
      </c>
      <c r="CI11" s="69" t="n">
        <v>-0.12</v>
      </c>
      <c r="CJ11" s="69" t="n">
        <v>-0.01</v>
      </c>
      <c r="CK11" s="69" t="n">
        <v>0.02</v>
      </c>
      <c r="CL11" s="69" t="n">
        <v>0.22</v>
      </c>
      <c r="CM11" s="69" t="n">
        <v>0.04</v>
      </c>
      <c r="CN11" s="69" t="n">
        <v>0.23</v>
      </c>
      <c r="CO11" s="69" t="n">
        <v>0.13</v>
      </c>
      <c r="CP11" s="69" t="n">
        <v>0.05</v>
      </c>
      <c r="CQ11" s="69" t="n">
        <v>0.09</v>
      </c>
      <c r="CR11" s="69" t="n">
        <v>0.1</v>
      </c>
      <c r="CS11" s="69" t="n">
        <v>0.11</v>
      </c>
      <c r="CT11" s="69" t="n">
        <v>0.14</v>
      </c>
      <c r="CU11" s="69" t="n">
        <v>0.04</v>
      </c>
      <c r="CV11" s="69" t="n">
        <v>0.02</v>
      </c>
      <c r="CW11" s="69" t="n">
        <v>0.07</v>
      </c>
      <c r="CX11" s="69" t="n">
        <v>0.06</v>
      </c>
      <c r="CY11" s="69" t="n">
        <v>0.03</v>
      </c>
      <c r="CZ11" s="69" t="n">
        <v>0.11</v>
      </c>
      <c r="DA11" s="69" t="n">
        <v>0.06</v>
      </c>
      <c r="DB11" s="69" t="n">
        <v>0.12</v>
      </c>
      <c r="DC11" s="69" t="n">
        <v>0.16</v>
      </c>
      <c r="DD11" s="69" t="n">
        <v>0.06</v>
      </c>
      <c r="DE11" s="69" t="n">
        <v>0.11</v>
      </c>
      <c r="DF11" s="69" t="n">
        <v>0.03</v>
      </c>
      <c r="DG11" s="69" t="n">
        <v>0.11</v>
      </c>
      <c r="DH11" s="69" t="n">
        <v>0.09</v>
      </c>
      <c r="DI11" s="69" t="n">
        <v>0.11</v>
      </c>
      <c r="DJ11" s="69" t="n">
        <v>0.06</v>
      </c>
      <c r="DK11" s="69" t="n">
        <v>0.09</v>
      </c>
      <c r="DL11" s="69" t="n">
        <v>0.22</v>
      </c>
      <c r="DM11" s="69" t="n">
        <v>0.14</v>
      </c>
      <c r="DN11" s="69" t="n">
        <v>0.09</v>
      </c>
      <c r="DO11" s="69" t="n">
        <v>0.13</v>
      </c>
      <c r="DP11" s="69" t="n">
        <v>0.11</v>
      </c>
      <c r="DQ11" s="69" t="n">
        <v>0.13</v>
      </c>
      <c r="DR11" s="69" t="n">
        <v>0.04</v>
      </c>
      <c r="DS11" s="69" t="n">
        <v>0.02</v>
      </c>
      <c r="DT11" s="69" t="n">
        <v>0.01</v>
      </c>
      <c r="DU11" s="69" t="n">
        <v>0.05</v>
      </c>
      <c r="DV11" s="69" t="n">
        <v>0.02</v>
      </c>
      <c r="DW11" s="69" t="n">
        <v>0.03</v>
      </c>
      <c r="DX11" s="69" t="n">
        <v>0.1</v>
      </c>
      <c r="DY11" s="69" t="n">
        <v>-0.05</v>
      </c>
      <c r="DZ11" s="69" t="n">
        <v>0.04</v>
      </c>
      <c r="EA11" s="69" t="n">
        <v>0.1</v>
      </c>
      <c r="EB11" s="69" t="n">
        <v>0</v>
      </c>
      <c r="EC11" s="69" t="n">
        <v>0.04</v>
      </c>
      <c r="ED11" s="69" t="n">
        <v>0.21</v>
      </c>
      <c r="EE11" s="69" t="n">
        <v>0.1</v>
      </c>
      <c r="EF11" s="69" t="n">
        <v>0</v>
      </c>
      <c r="EG11" s="69" t="n">
        <v>0.09</v>
      </c>
      <c r="EH11" s="69" t="n">
        <v>-0.04</v>
      </c>
      <c r="EI11" s="69" t="n">
        <v>0.03</v>
      </c>
      <c r="EJ11" s="69" t="n">
        <v>0.1</v>
      </c>
      <c r="EK11" s="69" t="n">
        <v>0.05</v>
      </c>
      <c r="EL11" s="69" t="n">
        <v>0.09</v>
      </c>
      <c r="EM11" s="69" t="n">
        <v>0.02</v>
      </c>
      <c r="EN11" s="69" t="n">
        <v>0.01</v>
      </c>
      <c r="EO11" s="69" t="n">
        <v>0.03</v>
      </c>
    </row>
    <row r="12" customFormat="false" ht="15" hidden="false" customHeight="false" outlineLevel="0" collapsed="false">
      <c r="A12" s="68" t="s">
        <v>219</v>
      </c>
      <c r="B12" s="69" t="n">
        <v>0.47</v>
      </c>
      <c r="C12" s="69" t="n">
        <v>0.08</v>
      </c>
      <c r="D12" s="69" t="n">
        <v>-0.02</v>
      </c>
      <c r="E12" s="69" t="n">
        <v>0.16</v>
      </c>
      <c r="F12" s="69" t="n">
        <v>0.58</v>
      </c>
      <c r="G12" s="69" t="n">
        <v>0.02</v>
      </c>
      <c r="H12" s="69" t="n">
        <v>0.09</v>
      </c>
      <c r="I12" s="69" t="n">
        <v>1</v>
      </c>
      <c r="J12" s="69" t="n">
        <v>0.43</v>
      </c>
      <c r="K12" s="69" t="n">
        <v>0.56</v>
      </c>
      <c r="L12" s="69" t="n">
        <v>0.14</v>
      </c>
      <c r="M12" s="69" t="n">
        <v>0.31</v>
      </c>
      <c r="N12" s="69" t="n">
        <v>0.37</v>
      </c>
      <c r="O12" s="69" t="n">
        <v>0.11</v>
      </c>
      <c r="P12" s="69" t="n">
        <v>0.49</v>
      </c>
      <c r="Q12" s="69" t="n">
        <v>-0.03</v>
      </c>
      <c r="R12" s="69" t="n">
        <v>0.55</v>
      </c>
      <c r="S12" s="69" t="n">
        <v>0.11</v>
      </c>
      <c r="T12" s="69" t="n">
        <v>0.16</v>
      </c>
      <c r="U12" s="69" t="n">
        <v>0.07</v>
      </c>
      <c r="V12" s="69" t="n">
        <v>0.12</v>
      </c>
      <c r="W12" s="69" t="n">
        <v>0.19</v>
      </c>
      <c r="X12" s="69" t="n">
        <v>0.17</v>
      </c>
      <c r="Y12" s="69" t="n">
        <v>0.4</v>
      </c>
      <c r="Z12" s="69" t="n">
        <v>0.12</v>
      </c>
      <c r="AA12" s="69" t="n">
        <v>0.21</v>
      </c>
      <c r="AB12" s="69" t="n">
        <v>0.42</v>
      </c>
      <c r="AC12" s="69" t="n">
        <v>0.04</v>
      </c>
      <c r="AD12" s="69" t="n">
        <v>0.08</v>
      </c>
      <c r="AE12" s="69" t="n">
        <v>0.05</v>
      </c>
      <c r="AF12" s="69" t="n">
        <v>0</v>
      </c>
      <c r="AG12" s="69" t="n">
        <v>0.31</v>
      </c>
      <c r="AH12" s="69" t="n">
        <v>0.31</v>
      </c>
      <c r="AI12" s="69" t="n">
        <v>0.11</v>
      </c>
      <c r="AJ12" s="69" t="n">
        <v>0.05</v>
      </c>
      <c r="AK12" s="69" t="n">
        <v>0.05</v>
      </c>
      <c r="AL12" s="69" t="n">
        <v>0.3</v>
      </c>
      <c r="AM12" s="69" t="n">
        <v>0.04</v>
      </c>
      <c r="AN12" s="69" t="n">
        <v>0.48</v>
      </c>
      <c r="AO12" s="69" t="n">
        <v>0.36</v>
      </c>
      <c r="AP12" s="69" t="n">
        <v>0.3</v>
      </c>
      <c r="AQ12" s="69" t="n">
        <v>0.14</v>
      </c>
      <c r="AR12" s="69" t="n">
        <v>0.2</v>
      </c>
      <c r="AS12" s="69" t="n">
        <v>-0.01</v>
      </c>
      <c r="AT12" s="69" t="n">
        <v>0.23</v>
      </c>
      <c r="AU12" s="69" t="n">
        <v>0.42</v>
      </c>
      <c r="AV12" s="69" t="n">
        <v>0.14</v>
      </c>
      <c r="AW12" s="69" t="n">
        <v>0.03</v>
      </c>
      <c r="AX12" s="69" t="n">
        <v>0.41</v>
      </c>
      <c r="AY12" s="69" t="n">
        <v>0.36</v>
      </c>
      <c r="AZ12" s="69" t="n">
        <v>0.07</v>
      </c>
      <c r="BA12" s="69" t="n">
        <v>0.22</v>
      </c>
      <c r="BB12" s="69" t="n">
        <v>0.09</v>
      </c>
      <c r="BC12" s="69" t="n">
        <v>0.12</v>
      </c>
      <c r="BD12" s="69" t="n">
        <v>0.04</v>
      </c>
      <c r="BE12" s="69" t="n">
        <v>0.35</v>
      </c>
      <c r="BF12" s="69" t="n">
        <v>0.09</v>
      </c>
      <c r="BG12" s="69" t="n">
        <v>0.15</v>
      </c>
      <c r="BH12" s="69" t="n">
        <v>0.03</v>
      </c>
      <c r="BI12" s="69" t="n">
        <v>0.03</v>
      </c>
      <c r="BJ12" s="69" t="n">
        <v>0.01</v>
      </c>
      <c r="BK12" s="69" t="n">
        <v>0</v>
      </c>
      <c r="BL12" s="69" t="n">
        <v>0.12</v>
      </c>
      <c r="BM12" s="69" t="n">
        <v>0.34</v>
      </c>
      <c r="BN12" s="69" t="n">
        <v>0.13</v>
      </c>
      <c r="BO12" s="69" t="n">
        <v>0.21</v>
      </c>
      <c r="BP12" s="69" t="n">
        <v>0.11</v>
      </c>
      <c r="BQ12" s="69" t="n">
        <v>0.02</v>
      </c>
      <c r="BR12" s="69" t="n">
        <v>0.24</v>
      </c>
      <c r="BS12" s="69" t="n">
        <v>0.02</v>
      </c>
      <c r="BT12" s="69" t="n">
        <v>0.18</v>
      </c>
      <c r="BU12" s="69" t="n">
        <v>-0.06</v>
      </c>
      <c r="BV12" s="69" t="n">
        <v>0.14</v>
      </c>
      <c r="BW12" s="69" t="n">
        <v>0.2</v>
      </c>
      <c r="BX12" s="69" t="n">
        <v>0.33</v>
      </c>
      <c r="BY12" s="69" t="n">
        <v>0.23</v>
      </c>
      <c r="BZ12" s="69" t="n">
        <v>0.2</v>
      </c>
      <c r="CA12" s="69" t="n">
        <v>0.06</v>
      </c>
      <c r="CB12" s="69" t="n">
        <v>0.01</v>
      </c>
      <c r="CC12" s="69" t="n">
        <v>0.12</v>
      </c>
      <c r="CD12" s="69" t="n">
        <v>0.23</v>
      </c>
      <c r="CE12" s="69" t="n">
        <v>-0.01</v>
      </c>
      <c r="CF12" s="69" t="n">
        <v>0.07</v>
      </c>
      <c r="CG12" s="69" t="n">
        <v>0.29</v>
      </c>
      <c r="CH12" s="69" t="n">
        <v>0.02</v>
      </c>
      <c r="CI12" s="69" t="n">
        <v>0.12</v>
      </c>
      <c r="CJ12" s="69" t="n">
        <v>0.25</v>
      </c>
      <c r="CK12" s="69" t="n">
        <v>0.33</v>
      </c>
      <c r="CL12" s="69" t="n">
        <v>0.1</v>
      </c>
      <c r="CM12" s="69" t="n">
        <v>-0.15</v>
      </c>
      <c r="CN12" s="69" t="n">
        <v>-0.05</v>
      </c>
      <c r="CO12" s="69" t="n">
        <v>0.11</v>
      </c>
      <c r="CP12" s="69" t="n">
        <v>0.19</v>
      </c>
      <c r="CQ12" s="69" t="n">
        <v>0.22</v>
      </c>
      <c r="CR12" s="69" t="n">
        <v>-0.06</v>
      </c>
      <c r="CS12" s="69" t="n">
        <v>-0.03</v>
      </c>
      <c r="CT12" s="69" t="n">
        <v>0.06</v>
      </c>
      <c r="CU12" s="69" t="n">
        <v>0.07</v>
      </c>
      <c r="CV12" s="69" t="n">
        <v>0.06</v>
      </c>
      <c r="CW12" s="69" t="n">
        <v>0.24</v>
      </c>
      <c r="CX12" s="69" t="n">
        <v>0.17</v>
      </c>
      <c r="CY12" s="69" t="n">
        <v>0.24</v>
      </c>
      <c r="CZ12" s="69" t="n">
        <v>0.09</v>
      </c>
      <c r="DA12" s="69" t="n">
        <v>0.12</v>
      </c>
      <c r="DB12" s="69" t="n">
        <v>-0.03</v>
      </c>
      <c r="DC12" s="69" t="n">
        <v>0.03</v>
      </c>
      <c r="DD12" s="69" t="n">
        <v>0.17</v>
      </c>
      <c r="DE12" s="69" t="n">
        <v>-0.01</v>
      </c>
      <c r="DF12" s="69" t="n">
        <v>0.12</v>
      </c>
      <c r="DG12" s="69" t="n">
        <v>0.08</v>
      </c>
      <c r="DH12" s="69" t="n">
        <v>-0.06</v>
      </c>
      <c r="DI12" s="69" t="n">
        <v>0.23</v>
      </c>
      <c r="DJ12" s="69" t="n">
        <v>0.26</v>
      </c>
      <c r="DK12" s="69" t="n">
        <v>0.18</v>
      </c>
      <c r="DL12" s="69" t="n">
        <v>-0.03</v>
      </c>
      <c r="DM12" s="69" t="n">
        <v>0.28</v>
      </c>
      <c r="DN12" s="69" t="n">
        <v>0.27</v>
      </c>
      <c r="DO12" s="69" t="n">
        <v>0.04</v>
      </c>
      <c r="DP12" s="69" t="n">
        <v>0.25</v>
      </c>
      <c r="DQ12" s="69" t="n">
        <v>-0.03</v>
      </c>
      <c r="DR12" s="69" t="n">
        <v>-0.04</v>
      </c>
      <c r="DS12" s="69" t="n">
        <v>0.07</v>
      </c>
      <c r="DT12" s="69" t="n">
        <v>-0.12</v>
      </c>
      <c r="DU12" s="69" t="n">
        <v>0</v>
      </c>
      <c r="DV12" s="69" t="n">
        <v>0.08</v>
      </c>
      <c r="DW12" s="69" t="n">
        <v>0.18</v>
      </c>
      <c r="DX12" s="69" t="n">
        <v>-0.16</v>
      </c>
      <c r="DY12" s="69" t="n">
        <v>0.13</v>
      </c>
      <c r="DZ12" s="69" t="n">
        <v>-0.01</v>
      </c>
      <c r="EA12" s="69" t="n">
        <v>0.1</v>
      </c>
      <c r="EB12" s="69" t="n">
        <v>0.09</v>
      </c>
      <c r="EC12" s="69" t="n">
        <v>-0.07</v>
      </c>
      <c r="ED12" s="69" t="n">
        <v>0.11</v>
      </c>
      <c r="EE12" s="69" t="n">
        <v>-0.14</v>
      </c>
      <c r="EF12" s="69" t="n">
        <v>0</v>
      </c>
      <c r="EG12" s="69" t="n">
        <v>-0.16</v>
      </c>
      <c r="EH12" s="69" t="n">
        <v>0.14</v>
      </c>
      <c r="EI12" s="69" t="n">
        <v>-0.23</v>
      </c>
      <c r="EJ12" s="69" t="n">
        <v>0.04</v>
      </c>
      <c r="EK12" s="69" t="n">
        <v>-0.01</v>
      </c>
      <c r="EL12" s="69" t="n">
        <v>-0.1</v>
      </c>
      <c r="EM12" s="69" t="n">
        <v>0</v>
      </c>
      <c r="EN12" s="69" t="n">
        <v>0.07</v>
      </c>
      <c r="EO12" s="69" t="n">
        <v>0.01</v>
      </c>
    </row>
    <row r="13" customFormat="false" ht="15" hidden="false" customHeight="false" outlineLevel="0" collapsed="false">
      <c r="A13" s="68" t="s">
        <v>221</v>
      </c>
      <c r="B13" s="69" t="n">
        <v>0.32</v>
      </c>
      <c r="C13" s="69" t="n">
        <v>0.04</v>
      </c>
      <c r="D13" s="69" t="n">
        <v>-0.04</v>
      </c>
      <c r="E13" s="69" t="n">
        <v>0.07</v>
      </c>
      <c r="F13" s="69" t="n">
        <v>0.46</v>
      </c>
      <c r="G13" s="69" t="n">
        <v>-0.01</v>
      </c>
      <c r="H13" s="69" t="n">
        <v>0</v>
      </c>
      <c r="I13" s="69" t="n">
        <v>0.43</v>
      </c>
      <c r="J13" s="69" t="n">
        <v>1</v>
      </c>
      <c r="K13" s="69" t="n">
        <v>0.46</v>
      </c>
      <c r="L13" s="69" t="n">
        <v>0.1</v>
      </c>
      <c r="M13" s="69" t="n">
        <v>0.2</v>
      </c>
      <c r="N13" s="69" t="n">
        <v>0.41</v>
      </c>
      <c r="O13" s="69" t="n">
        <v>0.11</v>
      </c>
      <c r="P13" s="69" t="n">
        <v>0.41</v>
      </c>
      <c r="Q13" s="69" t="n">
        <v>0.01</v>
      </c>
      <c r="R13" s="69" t="n">
        <v>0.49</v>
      </c>
      <c r="S13" s="69" t="n">
        <v>0.15</v>
      </c>
      <c r="T13" s="69" t="n">
        <v>0.12</v>
      </c>
      <c r="U13" s="69" t="n">
        <v>0.1</v>
      </c>
      <c r="V13" s="69" t="n">
        <v>-0.02</v>
      </c>
      <c r="W13" s="69" t="n">
        <v>0.16</v>
      </c>
      <c r="X13" s="69" t="n">
        <v>0.16</v>
      </c>
      <c r="Y13" s="69" t="n">
        <v>0.26</v>
      </c>
      <c r="Z13" s="69" t="n">
        <v>0.07</v>
      </c>
      <c r="AA13" s="69" t="n">
        <v>0.18</v>
      </c>
      <c r="AB13" s="69" t="n">
        <v>0.23</v>
      </c>
      <c r="AC13" s="69" t="n">
        <v>-0.14</v>
      </c>
      <c r="AD13" s="69" t="n">
        <v>0.12</v>
      </c>
      <c r="AE13" s="69" t="n">
        <v>-0.08</v>
      </c>
      <c r="AF13" s="69" t="n">
        <v>0</v>
      </c>
      <c r="AG13" s="69" t="n">
        <v>0.3</v>
      </c>
      <c r="AH13" s="69" t="n">
        <v>0.28</v>
      </c>
      <c r="AI13" s="69" t="n">
        <v>0.21</v>
      </c>
      <c r="AJ13" s="69" t="n">
        <v>0.02</v>
      </c>
      <c r="AK13" s="69" t="n">
        <v>0.08</v>
      </c>
      <c r="AL13" s="69" t="n">
        <v>0.21</v>
      </c>
      <c r="AM13" s="69" t="n">
        <v>0.07</v>
      </c>
      <c r="AN13" s="69" t="n">
        <v>0.29</v>
      </c>
      <c r="AO13" s="69" t="n">
        <v>0.56</v>
      </c>
      <c r="AP13" s="69" t="n">
        <v>0.12</v>
      </c>
      <c r="AQ13" s="69" t="n">
        <v>0.21</v>
      </c>
      <c r="AR13" s="69" t="n">
        <v>0.09</v>
      </c>
      <c r="AS13" s="69" t="n">
        <v>0.06</v>
      </c>
      <c r="AT13" s="69" t="n">
        <v>0.03</v>
      </c>
      <c r="AU13" s="69" t="n">
        <v>0.43</v>
      </c>
      <c r="AV13" s="69" t="n">
        <v>0.04</v>
      </c>
      <c r="AW13" s="69" t="n">
        <v>0.03</v>
      </c>
      <c r="AX13" s="69" t="n">
        <v>0.52</v>
      </c>
      <c r="AY13" s="69" t="n">
        <v>0.19</v>
      </c>
      <c r="AZ13" s="69" t="n">
        <v>-0.05</v>
      </c>
      <c r="BA13" s="69" t="n">
        <v>0.2</v>
      </c>
      <c r="BB13" s="69" t="n">
        <v>0.01</v>
      </c>
      <c r="BC13" s="69" t="n">
        <v>0</v>
      </c>
      <c r="BD13" s="69" t="n">
        <v>0.04</v>
      </c>
      <c r="BE13" s="69" t="n">
        <v>0.55</v>
      </c>
      <c r="BF13" s="69" t="n">
        <v>0.04</v>
      </c>
      <c r="BG13" s="69" t="n">
        <v>0.19</v>
      </c>
      <c r="BH13" s="69" t="n">
        <v>-0.03</v>
      </c>
      <c r="BI13" s="69" t="n">
        <v>-0.01</v>
      </c>
      <c r="BJ13" s="69" t="n">
        <v>-0.03</v>
      </c>
      <c r="BK13" s="69" t="n">
        <v>-0.06</v>
      </c>
      <c r="BL13" s="69" t="n">
        <v>0.17</v>
      </c>
      <c r="BM13" s="69" t="n">
        <v>0.2</v>
      </c>
      <c r="BN13" s="69" t="n">
        <v>0.21</v>
      </c>
      <c r="BO13" s="69" t="n">
        <v>0.14</v>
      </c>
      <c r="BP13" s="69" t="n">
        <v>-0.15</v>
      </c>
      <c r="BQ13" s="69" t="n">
        <v>-0.03</v>
      </c>
      <c r="BR13" s="69" t="n">
        <v>0.09</v>
      </c>
      <c r="BS13" s="69" t="n">
        <v>0.12</v>
      </c>
      <c r="BT13" s="69" t="n">
        <v>0.2</v>
      </c>
      <c r="BU13" s="69" t="n">
        <v>0.03</v>
      </c>
      <c r="BV13" s="69" t="n">
        <v>-0.01</v>
      </c>
      <c r="BW13" s="69" t="n">
        <v>0.15</v>
      </c>
      <c r="BX13" s="69" t="n">
        <v>0.5</v>
      </c>
      <c r="BY13" s="69" t="n">
        <v>0.08</v>
      </c>
      <c r="BZ13" s="69" t="n">
        <v>0.1</v>
      </c>
      <c r="CA13" s="69" t="n">
        <v>0.02</v>
      </c>
      <c r="CB13" s="69" t="n">
        <v>0.11</v>
      </c>
      <c r="CC13" s="69" t="n">
        <v>0.11</v>
      </c>
      <c r="CD13" s="69" t="n">
        <v>0.09</v>
      </c>
      <c r="CE13" s="69" t="n">
        <v>0.01</v>
      </c>
      <c r="CF13" s="69" t="n">
        <v>0.17</v>
      </c>
      <c r="CG13" s="69" t="n">
        <v>0.1</v>
      </c>
      <c r="CH13" s="69" t="n">
        <v>0</v>
      </c>
      <c r="CI13" s="69" t="n">
        <v>0.15</v>
      </c>
      <c r="CJ13" s="69" t="n">
        <v>0.21</v>
      </c>
      <c r="CK13" s="69" t="n">
        <v>0.22</v>
      </c>
      <c r="CL13" s="69" t="n">
        <v>0.11</v>
      </c>
      <c r="CM13" s="69" t="n">
        <v>-0.13</v>
      </c>
      <c r="CN13" s="69" t="n">
        <v>0.04</v>
      </c>
      <c r="CO13" s="69" t="n">
        <v>-0.06</v>
      </c>
      <c r="CP13" s="69" t="n">
        <v>0.12</v>
      </c>
      <c r="CQ13" s="69" t="n">
        <v>0.09</v>
      </c>
      <c r="CR13" s="69" t="n">
        <v>-0.11</v>
      </c>
      <c r="CS13" s="69" t="n">
        <v>0.04</v>
      </c>
      <c r="CT13" s="69" t="n">
        <v>0</v>
      </c>
      <c r="CU13" s="69" t="n">
        <v>0.01</v>
      </c>
      <c r="CV13" s="69" t="n">
        <v>-0.08</v>
      </c>
      <c r="CW13" s="69" t="n">
        <v>0.07</v>
      </c>
      <c r="CX13" s="69" t="n">
        <v>0.06</v>
      </c>
      <c r="CY13" s="69" t="n">
        <v>0.07</v>
      </c>
      <c r="CZ13" s="69" t="n">
        <v>0.04</v>
      </c>
      <c r="DA13" s="69" t="n">
        <v>0</v>
      </c>
      <c r="DB13" s="69" t="n">
        <v>-0.09</v>
      </c>
      <c r="DC13" s="69" t="n">
        <v>-0.06</v>
      </c>
      <c r="DD13" s="69" t="n">
        <v>0.01</v>
      </c>
      <c r="DE13" s="69" t="n">
        <v>-0.04</v>
      </c>
      <c r="DF13" s="69" t="n">
        <v>-0.01</v>
      </c>
      <c r="DG13" s="69" t="n">
        <v>0.1</v>
      </c>
      <c r="DH13" s="69" t="n">
        <v>-0.15</v>
      </c>
      <c r="DI13" s="69" t="n">
        <v>0.04</v>
      </c>
      <c r="DJ13" s="69" t="n">
        <v>0.13</v>
      </c>
      <c r="DK13" s="69" t="n">
        <v>0.06</v>
      </c>
      <c r="DL13" s="69" t="n">
        <v>0</v>
      </c>
      <c r="DM13" s="69" t="n">
        <v>0.12</v>
      </c>
      <c r="DN13" s="69" t="n">
        <v>0.08</v>
      </c>
      <c r="DO13" s="69" t="n">
        <v>-0.07</v>
      </c>
      <c r="DP13" s="69" t="n">
        <v>0.15</v>
      </c>
      <c r="DQ13" s="69" t="n">
        <v>-0.02</v>
      </c>
      <c r="DR13" s="69" t="n">
        <v>0.01</v>
      </c>
      <c r="DS13" s="69" t="n">
        <v>0.01</v>
      </c>
      <c r="DT13" s="69" t="n">
        <v>-0.23</v>
      </c>
      <c r="DU13" s="69" t="n">
        <v>-0.12</v>
      </c>
      <c r="DV13" s="69" t="n">
        <v>-0.04</v>
      </c>
      <c r="DW13" s="69" t="n">
        <v>-0.01</v>
      </c>
      <c r="DX13" s="69" t="n">
        <v>-0.13</v>
      </c>
      <c r="DY13" s="69" t="n">
        <v>-0.12</v>
      </c>
      <c r="DZ13" s="69" t="n">
        <v>0</v>
      </c>
      <c r="EA13" s="69" t="n">
        <v>0.01</v>
      </c>
      <c r="EB13" s="69" t="n">
        <v>-0.06</v>
      </c>
      <c r="EC13" s="69" t="n">
        <v>0.03</v>
      </c>
      <c r="ED13" s="69" t="n">
        <v>-0.05</v>
      </c>
      <c r="EE13" s="69" t="n">
        <v>-0.15</v>
      </c>
      <c r="EF13" s="69" t="n">
        <v>0.05</v>
      </c>
      <c r="EG13" s="69" t="n">
        <v>-0.1</v>
      </c>
      <c r="EH13" s="69" t="n">
        <v>0.01</v>
      </c>
      <c r="EI13" s="69" t="n">
        <v>-0.18</v>
      </c>
      <c r="EJ13" s="69" t="n">
        <v>-0.04</v>
      </c>
      <c r="EK13" s="69" t="n">
        <v>-0.08</v>
      </c>
      <c r="EL13" s="69" t="n">
        <v>-0.08</v>
      </c>
      <c r="EM13" s="69" t="n">
        <v>-0.09</v>
      </c>
      <c r="EN13" s="69" t="n">
        <v>0.11</v>
      </c>
      <c r="EO13" s="69" t="n">
        <v>-0.04</v>
      </c>
    </row>
    <row r="14" customFormat="false" ht="15" hidden="false" customHeight="false" outlineLevel="0" collapsed="false">
      <c r="A14" s="68" t="s">
        <v>223</v>
      </c>
      <c r="B14" s="69" t="n">
        <v>0.44</v>
      </c>
      <c r="C14" s="69" t="n">
        <v>-0.07</v>
      </c>
      <c r="D14" s="69" t="n">
        <v>-0.05</v>
      </c>
      <c r="E14" s="69" t="n">
        <v>0.09</v>
      </c>
      <c r="F14" s="69" t="n">
        <v>0.58</v>
      </c>
      <c r="G14" s="69" t="n">
        <v>0.01</v>
      </c>
      <c r="H14" s="69" t="n">
        <v>0.1</v>
      </c>
      <c r="I14" s="69" t="n">
        <v>0.56</v>
      </c>
      <c r="J14" s="69" t="n">
        <v>0.46</v>
      </c>
      <c r="K14" s="69" t="n">
        <v>1</v>
      </c>
      <c r="L14" s="69" t="n">
        <v>0.09</v>
      </c>
      <c r="M14" s="69" t="n">
        <v>0.31</v>
      </c>
      <c r="N14" s="69" t="n">
        <v>0.35</v>
      </c>
      <c r="O14" s="69" t="n">
        <v>0.18</v>
      </c>
      <c r="P14" s="69" t="n">
        <v>0.42</v>
      </c>
      <c r="Q14" s="69" t="n">
        <v>-0.04</v>
      </c>
      <c r="R14" s="69" t="n">
        <v>0.6</v>
      </c>
      <c r="S14" s="69" t="n">
        <v>0.18</v>
      </c>
      <c r="T14" s="69" t="n">
        <v>0.13</v>
      </c>
      <c r="U14" s="69" t="n">
        <v>0.11</v>
      </c>
      <c r="V14" s="69" t="n">
        <v>0.15</v>
      </c>
      <c r="W14" s="69" t="n">
        <v>0.19</v>
      </c>
      <c r="X14" s="69" t="n">
        <v>0.14</v>
      </c>
      <c r="Y14" s="69" t="n">
        <v>0.3</v>
      </c>
      <c r="Z14" s="69" t="n">
        <v>0.14</v>
      </c>
      <c r="AA14" s="69" t="n">
        <v>0.21</v>
      </c>
      <c r="AB14" s="69" t="n">
        <v>0.32</v>
      </c>
      <c r="AC14" s="69" t="n">
        <v>0.05</v>
      </c>
      <c r="AD14" s="69" t="n">
        <v>0.15</v>
      </c>
      <c r="AE14" s="69" t="n">
        <v>0.04</v>
      </c>
      <c r="AF14" s="69" t="n">
        <v>-0.05</v>
      </c>
      <c r="AG14" s="69" t="n">
        <v>0.36</v>
      </c>
      <c r="AH14" s="69" t="n">
        <v>0.37</v>
      </c>
      <c r="AI14" s="69" t="n">
        <v>0.08</v>
      </c>
      <c r="AJ14" s="69" t="n">
        <v>0.05</v>
      </c>
      <c r="AK14" s="69" t="n">
        <v>0.03</v>
      </c>
      <c r="AL14" s="69" t="n">
        <v>0.28</v>
      </c>
      <c r="AM14" s="69" t="n">
        <v>0.02</v>
      </c>
      <c r="AN14" s="69" t="n">
        <v>0.52</v>
      </c>
      <c r="AO14" s="69" t="n">
        <v>0.32</v>
      </c>
      <c r="AP14" s="69" t="n">
        <v>0.32</v>
      </c>
      <c r="AQ14" s="69" t="n">
        <v>0.08</v>
      </c>
      <c r="AR14" s="69" t="n">
        <v>0.14</v>
      </c>
      <c r="AS14" s="69" t="n">
        <v>0.01</v>
      </c>
      <c r="AT14" s="69" t="n">
        <v>0.17</v>
      </c>
      <c r="AU14" s="69" t="n">
        <v>0.43</v>
      </c>
      <c r="AV14" s="69" t="n">
        <v>0.09</v>
      </c>
      <c r="AW14" s="69" t="n">
        <v>0.03</v>
      </c>
      <c r="AX14" s="69" t="n">
        <v>0.39</v>
      </c>
      <c r="AY14" s="69" t="n">
        <v>0.27</v>
      </c>
      <c r="AZ14" s="69" t="n">
        <v>0.04</v>
      </c>
      <c r="BA14" s="69" t="n">
        <v>0.3</v>
      </c>
      <c r="BB14" s="69" t="n">
        <v>0</v>
      </c>
      <c r="BC14" s="69" t="n">
        <v>0.03</v>
      </c>
      <c r="BD14" s="69" t="n">
        <v>0.1</v>
      </c>
      <c r="BE14" s="69" t="n">
        <v>0.4</v>
      </c>
      <c r="BF14" s="69" t="n">
        <v>0.1</v>
      </c>
      <c r="BG14" s="69" t="n">
        <v>0.14</v>
      </c>
      <c r="BH14" s="69" t="n">
        <v>0.03</v>
      </c>
      <c r="BI14" s="69" t="n">
        <v>0.04</v>
      </c>
      <c r="BJ14" s="69" t="n">
        <v>-0.05</v>
      </c>
      <c r="BK14" s="69" t="n">
        <v>0.02</v>
      </c>
      <c r="BL14" s="69" t="n">
        <v>0.2</v>
      </c>
      <c r="BM14" s="69" t="n">
        <v>0.34</v>
      </c>
      <c r="BN14" s="69" t="n">
        <v>0.23</v>
      </c>
      <c r="BO14" s="69" t="n">
        <v>0.21</v>
      </c>
      <c r="BP14" s="69" t="n">
        <v>-0.04</v>
      </c>
      <c r="BQ14" s="69" t="n">
        <v>0.1</v>
      </c>
      <c r="BR14" s="69" t="n">
        <v>0.14</v>
      </c>
      <c r="BS14" s="69" t="n">
        <v>-0.05</v>
      </c>
      <c r="BT14" s="69" t="n">
        <v>0.18</v>
      </c>
      <c r="BU14" s="69" t="n">
        <v>-0.04</v>
      </c>
      <c r="BV14" s="69" t="n">
        <v>0.14</v>
      </c>
      <c r="BW14" s="69" t="n">
        <v>0.11</v>
      </c>
      <c r="BX14" s="69" t="n">
        <v>0.25</v>
      </c>
      <c r="BY14" s="69" t="n">
        <v>0.21</v>
      </c>
      <c r="BZ14" s="69" t="n">
        <v>0.17</v>
      </c>
      <c r="CA14" s="69" t="n">
        <v>0.15</v>
      </c>
      <c r="CB14" s="69" t="n">
        <v>-0.02</v>
      </c>
      <c r="CC14" s="69" t="n">
        <v>0.15</v>
      </c>
      <c r="CD14" s="69" t="n">
        <v>0.12</v>
      </c>
      <c r="CE14" s="69" t="n">
        <v>-0.04</v>
      </c>
      <c r="CF14" s="69" t="n">
        <v>0.02</v>
      </c>
      <c r="CG14" s="69" t="n">
        <v>0.18</v>
      </c>
      <c r="CH14" s="69" t="n">
        <v>0.02</v>
      </c>
      <c r="CI14" s="69" t="n">
        <v>0.01</v>
      </c>
      <c r="CJ14" s="69" t="n">
        <v>0.18</v>
      </c>
      <c r="CK14" s="69" t="n">
        <v>0.35</v>
      </c>
      <c r="CL14" s="69" t="n">
        <v>0.16</v>
      </c>
      <c r="CM14" s="69" t="n">
        <v>-0.14</v>
      </c>
      <c r="CN14" s="69" t="n">
        <v>-0.02</v>
      </c>
      <c r="CO14" s="69" t="n">
        <v>0.06</v>
      </c>
      <c r="CP14" s="69" t="n">
        <v>0.18</v>
      </c>
      <c r="CQ14" s="69" t="n">
        <v>0.19</v>
      </c>
      <c r="CR14" s="69" t="n">
        <v>-0.04</v>
      </c>
      <c r="CS14" s="69" t="n">
        <v>0.05</v>
      </c>
      <c r="CT14" s="69" t="n">
        <v>0.09</v>
      </c>
      <c r="CU14" s="69" t="n">
        <v>0.05</v>
      </c>
      <c r="CV14" s="69" t="n">
        <v>0.09</v>
      </c>
      <c r="CW14" s="69" t="n">
        <v>0.13</v>
      </c>
      <c r="CX14" s="69" t="n">
        <v>0.12</v>
      </c>
      <c r="CY14" s="69" t="n">
        <v>0.28</v>
      </c>
      <c r="CZ14" s="69" t="n">
        <v>0.01</v>
      </c>
      <c r="DA14" s="69" t="n">
        <v>0.14</v>
      </c>
      <c r="DB14" s="69" t="n">
        <v>-0.02</v>
      </c>
      <c r="DC14" s="69" t="n">
        <v>0.13</v>
      </c>
      <c r="DD14" s="69" t="n">
        <v>0.12</v>
      </c>
      <c r="DE14" s="69" t="n">
        <v>-0.01</v>
      </c>
      <c r="DF14" s="69" t="n">
        <v>-0.03</v>
      </c>
      <c r="DG14" s="69" t="n">
        <v>0.05</v>
      </c>
      <c r="DH14" s="69" t="n">
        <v>-0.15</v>
      </c>
      <c r="DI14" s="69" t="n">
        <v>0.23</v>
      </c>
      <c r="DJ14" s="69" t="n">
        <v>0.27</v>
      </c>
      <c r="DK14" s="69" t="n">
        <v>0.2</v>
      </c>
      <c r="DL14" s="69" t="n">
        <v>0.02</v>
      </c>
      <c r="DM14" s="69" t="n">
        <v>0.33</v>
      </c>
      <c r="DN14" s="69" t="n">
        <v>0.19</v>
      </c>
      <c r="DO14" s="69" t="n">
        <v>0.02</v>
      </c>
      <c r="DP14" s="69" t="n">
        <v>0.29</v>
      </c>
      <c r="DQ14" s="69" t="n">
        <v>-0.01</v>
      </c>
      <c r="DR14" s="69" t="n">
        <v>-0.11</v>
      </c>
      <c r="DS14" s="69" t="n">
        <v>0.07</v>
      </c>
      <c r="DT14" s="69" t="n">
        <v>-0.22</v>
      </c>
      <c r="DU14" s="69" t="n">
        <v>-0.06</v>
      </c>
      <c r="DV14" s="69" t="n">
        <v>-0.03</v>
      </c>
      <c r="DW14" s="69" t="n">
        <v>0.01</v>
      </c>
      <c r="DX14" s="69" t="n">
        <v>-0.17</v>
      </c>
      <c r="DY14" s="69" t="n">
        <v>0.02</v>
      </c>
      <c r="DZ14" s="69" t="n">
        <v>-0.09</v>
      </c>
      <c r="EA14" s="69" t="n">
        <v>0.11</v>
      </c>
      <c r="EB14" s="69" t="n">
        <v>0</v>
      </c>
      <c r="EC14" s="69" t="n">
        <v>-0.13</v>
      </c>
      <c r="ED14" s="69" t="n">
        <v>-0.06</v>
      </c>
      <c r="EE14" s="69" t="n">
        <v>-0.07</v>
      </c>
      <c r="EF14" s="69" t="n">
        <v>0.12</v>
      </c>
      <c r="EG14" s="69" t="n">
        <v>-0.08</v>
      </c>
      <c r="EH14" s="69" t="n">
        <v>-0.01</v>
      </c>
      <c r="EI14" s="69" t="n">
        <v>-0.24</v>
      </c>
      <c r="EJ14" s="69" t="n">
        <v>0.01</v>
      </c>
      <c r="EK14" s="69" t="n">
        <v>-0.07</v>
      </c>
      <c r="EL14" s="69" t="n">
        <v>-0.1</v>
      </c>
      <c r="EM14" s="69" t="n">
        <v>-0.09</v>
      </c>
      <c r="EN14" s="69" t="n">
        <v>0.08</v>
      </c>
      <c r="EO14" s="69" t="n">
        <v>0.01</v>
      </c>
    </row>
    <row r="15" customFormat="false" ht="15" hidden="false" customHeight="false" outlineLevel="0" collapsed="false">
      <c r="A15" s="68" t="s">
        <v>224</v>
      </c>
      <c r="B15" s="69" t="n">
        <v>0.07</v>
      </c>
      <c r="C15" s="69" t="n">
        <v>0.31</v>
      </c>
      <c r="D15" s="69" t="n">
        <v>0.11</v>
      </c>
      <c r="E15" s="69" t="n">
        <v>0.31</v>
      </c>
      <c r="F15" s="69" t="n">
        <v>0.16</v>
      </c>
      <c r="G15" s="69" t="n">
        <v>-0.02</v>
      </c>
      <c r="H15" s="69" t="n">
        <v>0.2</v>
      </c>
      <c r="I15" s="69" t="n">
        <v>0.14</v>
      </c>
      <c r="J15" s="69" t="n">
        <v>0.1</v>
      </c>
      <c r="K15" s="69" t="n">
        <v>0.09</v>
      </c>
      <c r="L15" s="69" t="n">
        <v>1</v>
      </c>
      <c r="M15" s="69" t="n">
        <v>0.17</v>
      </c>
      <c r="N15" s="69" t="n">
        <v>0.15</v>
      </c>
      <c r="O15" s="69" t="n">
        <v>0.37</v>
      </c>
      <c r="P15" s="69" t="n">
        <v>0.14</v>
      </c>
      <c r="Q15" s="69" t="n">
        <v>0.09</v>
      </c>
      <c r="R15" s="69" t="n">
        <v>0.1</v>
      </c>
      <c r="S15" s="69" t="n">
        <v>0.35</v>
      </c>
      <c r="T15" s="69" t="n">
        <v>0.03</v>
      </c>
      <c r="U15" s="69" t="n">
        <v>0.32</v>
      </c>
      <c r="V15" s="69" t="n">
        <v>0.29</v>
      </c>
      <c r="W15" s="69" t="n">
        <v>0.19</v>
      </c>
      <c r="X15" s="69" t="n">
        <v>0.05</v>
      </c>
      <c r="Y15" s="69" t="n">
        <v>0.17</v>
      </c>
      <c r="Z15" s="69" t="n">
        <v>0.3</v>
      </c>
      <c r="AA15" s="69" t="n">
        <v>0.31</v>
      </c>
      <c r="AB15" s="69" t="n">
        <v>0.12</v>
      </c>
      <c r="AC15" s="69" t="n">
        <v>0.12</v>
      </c>
      <c r="AD15" s="69" t="n">
        <v>0.22</v>
      </c>
      <c r="AE15" s="69" t="n">
        <v>0.25</v>
      </c>
      <c r="AF15" s="69" t="n">
        <v>0.29</v>
      </c>
      <c r="AG15" s="69" t="n">
        <v>-0.02</v>
      </c>
      <c r="AH15" s="69" t="n">
        <v>0.01</v>
      </c>
      <c r="AI15" s="69" t="n">
        <v>-0.02</v>
      </c>
      <c r="AJ15" s="69" t="n">
        <v>0.23</v>
      </c>
      <c r="AK15" s="69" t="n">
        <v>0.27</v>
      </c>
      <c r="AL15" s="69" t="n">
        <v>0.11</v>
      </c>
      <c r="AM15" s="69" t="n">
        <v>0.16</v>
      </c>
      <c r="AN15" s="69" t="n">
        <v>0.14</v>
      </c>
      <c r="AO15" s="69" t="n">
        <v>0.06</v>
      </c>
      <c r="AP15" s="69" t="n">
        <v>0.09</v>
      </c>
      <c r="AQ15" s="69" t="n">
        <v>0</v>
      </c>
      <c r="AR15" s="69" t="n">
        <v>-0.01</v>
      </c>
      <c r="AS15" s="69" t="n">
        <v>0.2</v>
      </c>
      <c r="AT15" s="69" t="n">
        <v>0.06</v>
      </c>
      <c r="AU15" s="69" t="n">
        <v>0.1</v>
      </c>
      <c r="AV15" s="69" t="n">
        <v>0.3</v>
      </c>
      <c r="AW15" s="69" t="n">
        <v>0.16</v>
      </c>
      <c r="AX15" s="69" t="n">
        <v>0.15</v>
      </c>
      <c r="AY15" s="69" t="n">
        <v>0.28</v>
      </c>
      <c r="AZ15" s="69" t="n">
        <v>0.27</v>
      </c>
      <c r="BA15" s="69" t="n">
        <v>0.24</v>
      </c>
      <c r="BB15" s="69" t="n">
        <v>0.05</v>
      </c>
      <c r="BC15" s="69" t="n">
        <v>0.11</v>
      </c>
      <c r="BD15" s="69" t="n">
        <v>0.22</v>
      </c>
      <c r="BE15" s="69" t="n">
        <v>0.11</v>
      </c>
      <c r="BF15" s="69" t="n">
        <v>0.17</v>
      </c>
      <c r="BG15" s="69" t="n">
        <v>0.01</v>
      </c>
      <c r="BH15" s="69" t="n">
        <v>0.26</v>
      </c>
      <c r="BI15" s="69" t="n">
        <v>0.18</v>
      </c>
      <c r="BJ15" s="69" t="n">
        <v>0.01</v>
      </c>
      <c r="BK15" s="69" t="n">
        <v>0.2</v>
      </c>
      <c r="BL15" s="69" t="n">
        <v>0.09</v>
      </c>
      <c r="BM15" s="69" t="n">
        <v>0.13</v>
      </c>
      <c r="BN15" s="69" t="n">
        <v>0.1</v>
      </c>
      <c r="BO15" s="69" t="n">
        <v>0.09</v>
      </c>
      <c r="BP15" s="69" t="n">
        <v>0.18</v>
      </c>
      <c r="BQ15" s="69" t="n">
        <v>0.23</v>
      </c>
      <c r="BR15" s="69" t="n">
        <v>0.1</v>
      </c>
      <c r="BS15" s="69" t="n">
        <v>-0.06</v>
      </c>
      <c r="BT15" s="69" t="n">
        <v>0.14</v>
      </c>
      <c r="BU15" s="69" t="n">
        <v>0.08</v>
      </c>
      <c r="BV15" s="69" t="n">
        <v>0.12</v>
      </c>
      <c r="BW15" s="69" t="n">
        <v>0.14</v>
      </c>
      <c r="BX15" s="69" t="n">
        <v>-0.04</v>
      </c>
      <c r="BY15" s="69" t="n">
        <v>0.05</v>
      </c>
      <c r="BZ15" s="69" t="n">
        <v>0.15</v>
      </c>
      <c r="CA15" s="69" t="n">
        <v>0.18</v>
      </c>
      <c r="CB15" s="69" t="n">
        <v>-0.08</v>
      </c>
      <c r="CC15" s="69" t="n">
        <v>0.01</v>
      </c>
      <c r="CD15" s="69" t="n">
        <v>0.15</v>
      </c>
      <c r="CE15" s="69" t="n">
        <v>0.06</v>
      </c>
      <c r="CF15" s="69" t="n">
        <v>0</v>
      </c>
      <c r="CG15" s="69" t="n">
        <v>0.11</v>
      </c>
      <c r="CH15" s="69" t="n">
        <v>0.17</v>
      </c>
      <c r="CI15" s="69" t="n">
        <v>-0.02</v>
      </c>
      <c r="CJ15" s="69" t="n">
        <v>-0.02</v>
      </c>
      <c r="CK15" s="69" t="n">
        <v>0.04</v>
      </c>
      <c r="CL15" s="69" t="n">
        <v>0.05</v>
      </c>
      <c r="CM15" s="69" t="n">
        <v>0.05</v>
      </c>
      <c r="CN15" s="69" t="n">
        <v>0.16</v>
      </c>
      <c r="CO15" s="69" t="n">
        <v>0.08</v>
      </c>
      <c r="CP15" s="69" t="n">
        <v>0.04</v>
      </c>
      <c r="CQ15" s="69" t="n">
        <v>0.13</v>
      </c>
      <c r="CR15" s="69" t="n">
        <v>0.13</v>
      </c>
      <c r="CS15" s="69" t="n">
        <v>0.08</v>
      </c>
      <c r="CT15" s="69" t="n">
        <v>0.1</v>
      </c>
      <c r="CU15" s="69" t="n">
        <v>0.11</v>
      </c>
      <c r="CV15" s="69" t="n">
        <v>0</v>
      </c>
      <c r="CW15" s="69" t="n">
        <v>0.15</v>
      </c>
      <c r="CX15" s="69" t="n">
        <v>0.07</v>
      </c>
      <c r="CY15" s="69" t="n">
        <v>0.08</v>
      </c>
      <c r="CZ15" s="69" t="n">
        <v>0.14</v>
      </c>
      <c r="DA15" s="69" t="n">
        <v>0.12</v>
      </c>
      <c r="DB15" s="69" t="n">
        <v>0.12</v>
      </c>
      <c r="DC15" s="69" t="n">
        <v>0.15</v>
      </c>
      <c r="DD15" s="69" t="n">
        <v>0.06</v>
      </c>
      <c r="DE15" s="69" t="n">
        <v>0.09</v>
      </c>
      <c r="DF15" s="69" t="n">
        <v>0.06</v>
      </c>
      <c r="DG15" s="69" t="n">
        <v>0.12</v>
      </c>
      <c r="DH15" s="69" t="n">
        <v>0.08</v>
      </c>
      <c r="DI15" s="69" t="n">
        <v>0.14</v>
      </c>
      <c r="DJ15" s="69" t="n">
        <v>0.08</v>
      </c>
      <c r="DK15" s="69" t="n">
        <v>0.15</v>
      </c>
      <c r="DL15" s="69" t="n">
        <v>0.15</v>
      </c>
      <c r="DM15" s="69" t="n">
        <v>0.15</v>
      </c>
      <c r="DN15" s="69" t="n">
        <v>0.21</v>
      </c>
      <c r="DO15" s="69" t="n">
        <v>0.15</v>
      </c>
      <c r="DP15" s="69" t="n">
        <v>0.1</v>
      </c>
      <c r="DQ15" s="69" t="n">
        <v>0.1</v>
      </c>
      <c r="DR15" s="69" t="n">
        <v>0.04</v>
      </c>
      <c r="DS15" s="69" t="n">
        <v>0.04</v>
      </c>
      <c r="DT15" s="69" t="n">
        <v>0.03</v>
      </c>
      <c r="DU15" s="69" t="n">
        <v>-0.01</v>
      </c>
      <c r="DV15" s="69" t="n">
        <v>0.07</v>
      </c>
      <c r="DW15" s="69" t="n">
        <v>-0.01</v>
      </c>
      <c r="DX15" s="69" t="n">
        <v>0.12</v>
      </c>
      <c r="DY15" s="69" t="n">
        <v>0.07</v>
      </c>
      <c r="DZ15" s="69" t="n">
        <v>0.1</v>
      </c>
      <c r="EA15" s="69" t="n">
        <v>0.11</v>
      </c>
      <c r="EB15" s="69" t="n">
        <v>0.04</v>
      </c>
      <c r="EC15" s="69" t="n">
        <v>0.03</v>
      </c>
      <c r="ED15" s="69" t="n">
        <v>0.08</v>
      </c>
      <c r="EE15" s="69" t="n">
        <v>0.11</v>
      </c>
      <c r="EF15" s="69" t="n">
        <v>0.07</v>
      </c>
      <c r="EG15" s="69" t="n">
        <v>0.2</v>
      </c>
      <c r="EH15" s="69" t="n">
        <v>0</v>
      </c>
      <c r="EI15" s="69" t="n">
        <v>0.08</v>
      </c>
      <c r="EJ15" s="69" t="n">
        <v>0.14</v>
      </c>
      <c r="EK15" s="69" t="n">
        <v>0.12</v>
      </c>
      <c r="EL15" s="69" t="n">
        <v>0.15</v>
      </c>
      <c r="EM15" s="69" t="n">
        <v>0.01</v>
      </c>
      <c r="EN15" s="69" t="n">
        <v>0</v>
      </c>
      <c r="EO15" s="69" t="n">
        <v>0.03</v>
      </c>
    </row>
    <row r="16" customFormat="false" ht="15" hidden="false" customHeight="false" outlineLevel="0" collapsed="false">
      <c r="A16" s="68" t="s">
        <v>225</v>
      </c>
      <c r="B16" s="69" t="n">
        <v>0.26</v>
      </c>
      <c r="C16" s="69" t="n">
        <v>0.07</v>
      </c>
      <c r="D16" s="69" t="n">
        <v>-0.07</v>
      </c>
      <c r="E16" s="69" t="n">
        <v>0.19</v>
      </c>
      <c r="F16" s="69" t="n">
        <v>0.29</v>
      </c>
      <c r="G16" s="69" t="n">
        <v>0.06</v>
      </c>
      <c r="H16" s="69" t="n">
        <v>0.18</v>
      </c>
      <c r="I16" s="69" t="n">
        <v>0.31</v>
      </c>
      <c r="J16" s="69" t="n">
        <v>0.2</v>
      </c>
      <c r="K16" s="69" t="n">
        <v>0.31</v>
      </c>
      <c r="L16" s="69" t="n">
        <v>0.17</v>
      </c>
      <c r="M16" s="69" t="n">
        <v>1</v>
      </c>
      <c r="N16" s="69" t="n">
        <v>0.3</v>
      </c>
      <c r="O16" s="69" t="n">
        <v>0.22</v>
      </c>
      <c r="P16" s="69" t="n">
        <v>0.21</v>
      </c>
      <c r="Q16" s="69" t="n">
        <v>0</v>
      </c>
      <c r="R16" s="69" t="n">
        <v>0.31</v>
      </c>
      <c r="S16" s="69" t="n">
        <v>0.12</v>
      </c>
      <c r="T16" s="69" t="n">
        <v>0.36</v>
      </c>
      <c r="U16" s="69" t="n">
        <v>0.29</v>
      </c>
      <c r="V16" s="69" t="n">
        <v>0.29</v>
      </c>
      <c r="W16" s="69" t="n">
        <v>0.17</v>
      </c>
      <c r="X16" s="69" t="n">
        <v>0.34</v>
      </c>
      <c r="Y16" s="69" t="n">
        <v>0.23</v>
      </c>
      <c r="Z16" s="69" t="n">
        <v>0.29</v>
      </c>
      <c r="AA16" s="69" t="n">
        <v>0.21</v>
      </c>
      <c r="AB16" s="69" t="n">
        <v>0.24</v>
      </c>
      <c r="AC16" s="69" t="n">
        <v>0.11</v>
      </c>
      <c r="AD16" s="69" t="n">
        <v>0.17</v>
      </c>
      <c r="AE16" s="69" t="n">
        <v>0.23</v>
      </c>
      <c r="AF16" s="69" t="n">
        <v>0.13</v>
      </c>
      <c r="AG16" s="69" t="n">
        <v>0.04</v>
      </c>
      <c r="AH16" s="69" t="n">
        <v>0.05</v>
      </c>
      <c r="AI16" s="69" t="n">
        <v>-0.06</v>
      </c>
      <c r="AJ16" s="69" t="n">
        <v>0.03</v>
      </c>
      <c r="AK16" s="69" t="n">
        <v>0.24</v>
      </c>
      <c r="AL16" s="69" t="n">
        <v>0.27</v>
      </c>
      <c r="AM16" s="69" t="n">
        <v>0.19</v>
      </c>
      <c r="AN16" s="69" t="n">
        <v>0.54</v>
      </c>
      <c r="AO16" s="69" t="n">
        <v>0.15</v>
      </c>
      <c r="AP16" s="69" t="n">
        <v>0.27</v>
      </c>
      <c r="AQ16" s="69" t="n">
        <v>-0.11</v>
      </c>
      <c r="AR16" s="69" t="n">
        <v>0.25</v>
      </c>
      <c r="AS16" s="69" t="n">
        <v>0.24</v>
      </c>
      <c r="AT16" s="69" t="n">
        <v>0.38</v>
      </c>
      <c r="AU16" s="69" t="n">
        <v>0.24</v>
      </c>
      <c r="AV16" s="69" t="n">
        <v>0.19</v>
      </c>
      <c r="AW16" s="69" t="n">
        <v>0.24</v>
      </c>
      <c r="AX16" s="69" t="n">
        <v>0.27</v>
      </c>
      <c r="AY16" s="69" t="n">
        <v>0.36</v>
      </c>
      <c r="AZ16" s="69" t="n">
        <v>0.26</v>
      </c>
      <c r="BA16" s="69" t="n">
        <v>0.37</v>
      </c>
      <c r="BB16" s="69" t="n">
        <v>0.33</v>
      </c>
      <c r="BC16" s="69" t="n">
        <v>0.15</v>
      </c>
      <c r="BD16" s="69" t="n">
        <v>0.18</v>
      </c>
      <c r="BE16" s="69" t="n">
        <v>0.29</v>
      </c>
      <c r="BF16" s="69" t="n">
        <v>0.26</v>
      </c>
      <c r="BG16" s="69" t="n">
        <v>0.33</v>
      </c>
      <c r="BH16" s="69" t="n">
        <v>0.16</v>
      </c>
      <c r="BI16" s="69" t="n">
        <v>0.13</v>
      </c>
      <c r="BJ16" s="69" t="n">
        <v>-0.11</v>
      </c>
      <c r="BK16" s="69" t="n">
        <v>0.17</v>
      </c>
      <c r="BL16" s="69" t="n">
        <v>0.37</v>
      </c>
      <c r="BM16" s="69" t="n">
        <v>0.32</v>
      </c>
      <c r="BN16" s="69" t="n">
        <v>0.03</v>
      </c>
      <c r="BO16" s="69" t="n">
        <v>0.32</v>
      </c>
      <c r="BP16" s="69" t="n">
        <v>0.16</v>
      </c>
      <c r="BQ16" s="69" t="n">
        <v>0.32</v>
      </c>
      <c r="BR16" s="69" t="n">
        <v>0.35</v>
      </c>
      <c r="BS16" s="69" t="n">
        <v>-0.09</v>
      </c>
      <c r="BT16" s="69" t="n">
        <v>0.35</v>
      </c>
      <c r="BU16" s="69" t="n">
        <v>0.13</v>
      </c>
      <c r="BV16" s="69" t="n">
        <v>0.32</v>
      </c>
      <c r="BW16" s="69" t="n">
        <v>0.27</v>
      </c>
      <c r="BX16" s="69" t="n">
        <v>0.14</v>
      </c>
      <c r="BY16" s="69" t="n">
        <v>0.4</v>
      </c>
      <c r="BZ16" s="69" t="n">
        <v>0.41</v>
      </c>
      <c r="CA16" s="69" t="n">
        <v>0.23</v>
      </c>
      <c r="CB16" s="69" t="n">
        <v>-0.04</v>
      </c>
      <c r="CC16" s="69" t="n">
        <v>0.08</v>
      </c>
      <c r="CD16" s="69" t="n">
        <v>0.28</v>
      </c>
      <c r="CE16" s="69" t="n">
        <v>0.09</v>
      </c>
      <c r="CF16" s="69" t="n">
        <v>-0.08</v>
      </c>
      <c r="CG16" s="69" t="n">
        <v>0.35</v>
      </c>
      <c r="CH16" s="69" t="n">
        <v>0.34</v>
      </c>
      <c r="CI16" s="69" t="n">
        <v>-0.11</v>
      </c>
      <c r="CJ16" s="69" t="n">
        <v>0.09</v>
      </c>
      <c r="CK16" s="69" t="n">
        <v>0.31</v>
      </c>
      <c r="CL16" s="69" t="n">
        <v>0.33</v>
      </c>
      <c r="CM16" s="69" t="n">
        <v>0.22</v>
      </c>
      <c r="CN16" s="69" t="n">
        <v>0.04</v>
      </c>
      <c r="CO16" s="69" t="n">
        <v>0.1</v>
      </c>
      <c r="CP16" s="69" t="n">
        <v>0.15</v>
      </c>
      <c r="CQ16" s="69" t="n">
        <v>0.43</v>
      </c>
      <c r="CR16" s="69" t="n">
        <v>0.31</v>
      </c>
      <c r="CS16" s="69" t="n">
        <v>0.28</v>
      </c>
      <c r="CT16" s="69" t="n">
        <v>0.26</v>
      </c>
      <c r="CU16" s="69" t="n">
        <v>0.15</v>
      </c>
      <c r="CV16" s="69" t="n">
        <v>0.27</v>
      </c>
      <c r="CW16" s="69" t="n">
        <v>0.31</v>
      </c>
      <c r="CX16" s="69" t="n">
        <v>0.35</v>
      </c>
      <c r="CY16" s="69" t="n">
        <v>0.41</v>
      </c>
      <c r="CZ16" s="69" t="n">
        <v>0.1</v>
      </c>
      <c r="DA16" s="69" t="n">
        <v>0.17</v>
      </c>
      <c r="DB16" s="69" t="n">
        <v>0.3</v>
      </c>
      <c r="DC16" s="69" t="n">
        <v>0.32</v>
      </c>
      <c r="DD16" s="69" t="n">
        <v>0.31</v>
      </c>
      <c r="DE16" s="69" t="n">
        <v>0.35</v>
      </c>
      <c r="DF16" s="69" t="n">
        <v>0.11</v>
      </c>
      <c r="DG16" s="69" t="n">
        <v>0.37</v>
      </c>
      <c r="DH16" s="69" t="n">
        <v>0.18</v>
      </c>
      <c r="DI16" s="69" t="n">
        <v>0.41</v>
      </c>
      <c r="DJ16" s="69" t="n">
        <v>0.36</v>
      </c>
      <c r="DK16" s="69" t="n">
        <v>0.43</v>
      </c>
      <c r="DL16" s="69" t="n">
        <v>0.19</v>
      </c>
      <c r="DM16" s="69" t="n">
        <v>0.45</v>
      </c>
      <c r="DN16" s="69" t="n">
        <v>0.33</v>
      </c>
      <c r="DO16" s="69" t="n">
        <v>0.26</v>
      </c>
      <c r="DP16" s="69" t="n">
        <v>0.4</v>
      </c>
      <c r="DQ16" s="69" t="n">
        <v>0.26</v>
      </c>
      <c r="DR16" s="69" t="n">
        <v>0.23</v>
      </c>
      <c r="DS16" s="69" t="n">
        <v>0.13</v>
      </c>
      <c r="DT16" s="69" t="n">
        <v>0.14</v>
      </c>
      <c r="DU16" s="69" t="n">
        <v>0.3</v>
      </c>
      <c r="DV16" s="69" t="n">
        <v>0.16</v>
      </c>
      <c r="DW16" s="69" t="n">
        <v>0.23</v>
      </c>
      <c r="DX16" s="69" t="n">
        <v>0.25</v>
      </c>
      <c r="DY16" s="69" t="n">
        <v>0.37</v>
      </c>
      <c r="DZ16" s="69" t="n">
        <v>0.1</v>
      </c>
      <c r="EA16" s="69" t="n">
        <v>0.21</v>
      </c>
      <c r="EB16" s="69" t="n">
        <v>0.37</v>
      </c>
      <c r="EC16" s="69" t="n">
        <v>0.04</v>
      </c>
      <c r="ED16" s="69" t="n">
        <v>0.29</v>
      </c>
      <c r="EE16" s="69" t="n">
        <v>0.22</v>
      </c>
      <c r="EF16" s="69" t="n">
        <v>0.25</v>
      </c>
      <c r="EG16" s="69" t="n">
        <v>0.23</v>
      </c>
      <c r="EH16" s="69" t="n">
        <v>0.14</v>
      </c>
      <c r="EI16" s="69" t="n">
        <v>0.19</v>
      </c>
      <c r="EJ16" s="69" t="n">
        <v>0.33</v>
      </c>
      <c r="EK16" s="69" t="n">
        <v>0.27</v>
      </c>
      <c r="EL16" s="69" t="n">
        <v>0.31</v>
      </c>
      <c r="EM16" s="69" t="n">
        <v>0.18</v>
      </c>
      <c r="EN16" s="69" t="n">
        <v>0.17</v>
      </c>
      <c r="EO16" s="69" t="n">
        <v>0.09</v>
      </c>
    </row>
    <row r="17" customFormat="false" ht="15" hidden="false" customHeight="false" outlineLevel="0" collapsed="false">
      <c r="A17" s="68" t="s">
        <v>227</v>
      </c>
      <c r="B17" s="69" t="n">
        <v>0.32</v>
      </c>
      <c r="C17" s="69" t="n">
        <v>0</v>
      </c>
      <c r="D17" s="69" t="n">
        <v>0.18</v>
      </c>
      <c r="E17" s="69" t="n">
        <v>0.19</v>
      </c>
      <c r="F17" s="69" t="n">
        <v>0.3</v>
      </c>
      <c r="G17" s="69" t="n">
        <v>0.05</v>
      </c>
      <c r="H17" s="69" t="n">
        <v>0.11</v>
      </c>
      <c r="I17" s="69" t="n">
        <v>0.37</v>
      </c>
      <c r="J17" s="69" t="n">
        <v>0.41</v>
      </c>
      <c r="K17" s="69" t="n">
        <v>0.35</v>
      </c>
      <c r="L17" s="69" t="n">
        <v>0.15</v>
      </c>
      <c r="M17" s="69" t="n">
        <v>0.3</v>
      </c>
      <c r="N17" s="69" t="n">
        <v>1</v>
      </c>
      <c r="O17" s="69" t="n">
        <v>0.08</v>
      </c>
      <c r="P17" s="69" t="n">
        <v>0.23</v>
      </c>
      <c r="Q17" s="69" t="n">
        <v>-0.03</v>
      </c>
      <c r="R17" s="69" t="n">
        <v>0.32</v>
      </c>
      <c r="S17" s="69" t="n">
        <v>0.12</v>
      </c>
      <c r="T17" s="69" t="n">
        <v>0.22</v>
      </c>
      <c r="U17" s="69" t="n">
        <v>0.15</v>
      </c>
      <c r="V17" s="69" t="n">
        <v>0.03</v>
      </c>
      <c r="W17" s="69" t="n">
        <v>0.08</v>
      </c>
      <c r="X17" s="69" t="n">
        <v>0.23</v>
      </c>
      <c r="Y17" s="69" t="n">
        <v>0.26</v>
      </c>
      <c r="Z17" s="69" t="n">
        <v>0.13</v>
      </c>
      <c r="AA17" s="69" t="n">
        <v>0.18</v>
      </c>
      <c r="AB17" s="69" t="n">
        <v>0.27</v>
      </c>
      <c r="AC17" s="69" t="n">
        <v>0.04</v>
      </c>
      <c r="AD17" s="69" t="n">
        <v>0.03</v>
      </c>
      <c r="AE17" s="69" t="n">
        <v>0</v>
      </c>
      <c r="AF17" s="69" t="n">
        <v>0.01</v>
      </c>
      <c r="AG17" s="69" t="n">
        <v>0.19</v>
      </c>
      <c r="AH17" s="69" t="n">
        <v>0.24</v>
      </c>
      <c r="AI17" s="69" t="n">
        <v>0.12</v>
      </c>
      <c r="AJ17" s="69" t="n">
        <v>0.16</v>
      </c>
      <c r="AK17" s="69" t="n">
        <v>0.05</v>
      </c>
      <c r="AL17" s="69" t="n">
        <v>0.31</v>
      </c>
      <c r="AM17" s="69" t="n">
        <v>0.11</v>
      </c>
      <c r="AN17" s="69" t="n">
        <v>0.35</v>
      </c>
      <c r="AO17" s="69" t="n">
        <v>0.41</v>
      </c>
      <c r="AP17" s="69" t="n">
        <v>0.39</v>
      </c>
      <c r="AQ17" s="69" t="n">
        <v>0.09</v>
      </c>
      <c r="AR17" s="69" t="n">
        <v>0.2</v>
      </c>
      <c r="AS17" s="69" t="n">
        <v>0.06</v>
      </c>
      <c r="AT17" s="69" t="n">
        <v>0.24</v>
      </c>
      <c r="AU17" s="69" t="n">
        <v>0.22</v>
      </c>
      <c r="AV17" s="69" t="n">
        <v>0.17</v>
      </c>
      <c r="AW17" s="69" t="n">
        <v>0.06</v>
      </c>
      <c r="AX17" s="69" t="n">
        <v>0.62</v>
      </c>
      <c r="AY17" s="69" t="n">
        <v>0.26</v>
      </c>
      <c r="AZ17" s="69" t="n">
        <v>0.11</v>
      </c>
      <c r="BA17" s="69" t="n">
        <v>0.29</v>
      </c>
      <c r="BB17" s="69" t="n">
        <v>0.19</v>
      </c>
      <c r="BC17" s="69" t="n">
        <v>0.07</v>
      </c>
      <c r="BD17" s="69" t="n">
        <v>0.09</v>
      </c>
      <c r="BE17" s="69" t="n">
        <v>0.5</v>
      </c>
      <c r="BF17" s="69" t="n">
        <v>0.17</v>
      </c>
      <c r="BG17" s="69" t="n">
        <v>0.34</v>
      </c>
      <c r="BH17" s="69" t="n">
        <v>0.15</v>
      </c>
      <c r="BI17" s="69" t="n">
        <v>0.05</v>
      </c>
      <c r="BJ17" s="69" t="n">
        <v>-0.02</v>
      </c>
      <c r="BK17" s="69" t="n">
        <v>0.01</v>
      </c>
      <c r="BL17" s="69" t="n">
        <v>0.2</v>
      </c>
      <c r="BM17" s="69" t="n">
        <v>0.25</v>
      </c>
      <c r="BN17" s="69" t="n">
        <v>0.06</v>
      </c>
      <c r="BO17" s="69" t="n">
        <v>0.18</v>
      </c>
      <c r="BP17" s="69" t="n">
        <v>0.07</v>
      </c>
      <c r="BQ17" s="69" t="n">
        <v>0.04</v>
      </c>
      <c r="BR17" s="69" t="n">
        <v>0.27</v>
      </c>
      <c r="BS17" s="69" t="n">
        <v>0.05</v>
      </c>
      <c r="BT17" s="69" t="n">
        <v>0.2</v>
      </c>
      <c r="BU17" s="69" t="n">
        <v>0.04</v>
      </c>
      <c r="BV17" s="69" t="n">
        <v>0.16</v>
      </c>
      <c r="BW17" s="69" t="n">
        <v>0.2</v>
      </c>
      <c r="BX17" s="69" t="n">
        <v>0.45</v>
      </c>
      <c r="BY17" s="69" t="n">
        <v>0.25</v>
      </c>
      <c r="BZ17" s="69" t="n">
        <v>0.22</v>
      </c>
      <c r="CA17" s="69" t="n">
        <v>0.06</v>
      </c>
      <c r="CB17" s="69" t="n">
        <v>0.08</v>
      </c>
      <c r="CC17" s="69" t="n">
        <v>0.06</v>
      </c>
      <c r="CD17" s="69" t="n">
        <v>0.24</v>
      </c>
      <c r="CE17" s="69" t="n">
        <v>0.05</v>
      </c>
      <c r="CF17" s="69" t="n">
        <v>0.08</v>
      </c>
      <c r="CG17" s="69" t="n">
        <v>0.3</v>
      </c>
      <c r="CH17" s="69" t="n">
        <v>0.1</v>
      </c>
      <c r="CI17" s="69" t="n">
        <v>0.08</v>
      </c>
      <c r="CJ17" s="69" t="n">
        <v>0.26</v>
      </c>
      <c r="CK17" s="69" t="n">
        <v>0.31</v>
      </c>
      <c r="CL17" s="69" t="n">
        <v>0.26</v>
      </c>
      <c r="CM17" s="69" t="n">
        <v>-0.01</v>
      </c>
      <c r="CN17" s="69" t="n">
        <v>0.15</v>
      </c>
      <c r="CO17" s="69" t="n">
        <v>0.06</v>
      </c>
      <c r="CP17" s="69" t="n">
        <v>0.2</v>
      </c>
      <c r="CQ17" s="69" t="n">
        <v>0.29</v>
      </c>
      <c r="CR17" s="69" t="n">
        <v>0.03</v>
      </c>
      <c r="CS17" s="69" t="n">
        <v>0.1</v>
      </c>
      <c r="CT17" s="69" t="n">
        <v>0.2</v>
      </c>
      <c r="CU17" s="69" t="n">
        <v>0.12</v>
      </c>
      <c r="CV17" s="69" t="n">
        <v>0.07</v>
      </c>
      <c r="CW17" s="69" t="n">
        <v>0.19</v>
      </c>
      <c r="CX17" s="69" t="n">
        <v>0.16</v>
      </c>
      <c r="CY17" s="69" t="n">
        <v>0.25</v>
      </c>
      <c r="CZ17" s="69" t="n">
        <v>0.19</v>
      </c>
      <c r="DA17" s="69" t="n">
        <v>0.36</v>
      </c>
      <c r="DB17" s="69" t="n">
        <v>0.14</v>
      </c>
      <c r="DC17" s="69" t="n">
        <v>0.11</v>
      </c>
      <c r="DD17" s="69" t="n">
        <v>0.25</v>
      </c>
      <c r="DE17" s="69" t="n">
        <v>0.1</v>
      </c>
      <c r="DF17" s="69" t="n">
        <v>0.18</v>
      </c>
      <c r="DG17" s="69" t="n">
        <v>0.22</v>
      </c>
      <c r="DH17" s="69" t="n">
        <v>-0.02</v>
      </c>
      <c r="DI17" s="69" t="n">
        <v>0.22</v>
      </c>
      <c r="DJ17" s="69" t="n">
        <v>0.29</v>
      </c>
      <c r="DK17" s="69" t="n">
        <v>0.23</v>
      </c>
      <c r="DL17" s="69" t="n">
        <v>0.05</v>
      </c>
      <c r="DM17" s="69" t="n">
        <v>0.35</v>
      </c>
      <c r="DN17" s="69" t="n">
        <v>0.19</v>
      </c>
      <c r="DO17" s="69" t="n">
        <v>0.2</v>
      </c>
      <c r="DP17" s="69" t="n">
        <v>0.3</v>
      </c>
      <c r="DQ17" s="69" t="n">
        <v>0.06</v>
      </c>
      <c r="DR17" s="69" t="n">
        <v>0.15</v>
      </c>
      <c r="DS17" s="69" t="n">
        <v>0.07</v>
      </c>
      <c r="DT17" s="69" t="n">
        <v>0.01</v>
      </c>
      <c r="DU17" s="69" t="n">
        <v>0.12</v>
      </c>
      <c r="DV17" s="69" t="n">
        <v>0.1</v>
      </c>
      <c r="DW17" s="69" t="n">
        <v>0.14</v>
      </c>
      <c r="DX17" s="69" t="n">
        <v>0</v>
      </c>
      <c r="DY17" s="69" t="n">
        <v>0.12</v>
      </c>
      <c r="DZ17" s="69" t="n">
        <v>0.12</v>
      </c>
      <c r="EA17" s="69" t="n">
        <v>0.22</v>
      </c>
      <c r="EB17" s="69" t="n">
        <v>0.17</v>
      </c>
      <c r="EC17" s="69" t="n">
        <v>-0.07</v>
      </c>
      <c r="ED17" s="69" t="n">
        <v>0.23</v>
      </c>
      <c r="EE17" s="69" t="n">
        <v>-0.03</v>
      </c>
      <c r="EF17" s="69" t="n">
        <v>0.16</v>
      </c>
      <c r="EG17" s="69" t="n">
        <v>0.02</v>
      </c>
      <c r="EH17" s="69" t="n">
        <v>0.11</v>
      </c>
      <c r="EI17" s="69" t="n">
        <v>-0.04</v>
      </c>
      <c r="EJ17" s="69" t="n">
        <v>0.26</v>
      </c>
      <c r="EK17" s="69" t="n">
        <v>0.11</v>
      </c>
      <c r="EL17" s="69" t="n">
        <v>0.01</v>
      </c>
      <c r="EM17" s="69" t="n">
        <v>0.07</v>
      </c>
      <c r="EN17" s="69" t="n">
        <v>0.26</v>
      </c>
      <c r="EO17" s="69" t="n">
        <v>0.03</v>
      </c>
    </row>
    <row r="18" customFormat="false" ht="15" hidden="false" customHeight="false" outlineLevel="0" collapsed="false">
      <c r="A18" s="68" t="s">
        <v>229</v>
      </c>
      <c r="B18" s="69" t="n">
        <v>0.15</v>
      </c>
      <c r="C18" s="69" t="n">
        <v>0.17</v>
      </c>
      <c r="D18" s="69" t="n">
        <v>0.03</v>
      </c>
      <c r="E18" s="69" t="n">
        <v>0.36</v>
      </c>
      <c r="F18" s="69" t="n">
        <v>0.08</v>
      </c>
      <c r="G18" s="69" t="n">
        <v>0.11</v>
      </c>
      <c r="H18" s="69" t="n">
        <v>0.21</v>
      </c>
      <c r="I18" s="69" t="n">
        <v>0.11</v>
      </c>
      <c r="J18" s="69" t="n">
        <v>0.11</v>
      </c>
      <c r="K18" s="69" t="n">
        <v>0.18</v>
      </c>
      <c r="L18" s="69" t="n">
        <v>0.37</v>
      </c>
      <c r="M18" s="69" t="n">
        <v>0.22</v>
      </c>
      <c r="N18" s="69" t="n">
        <v>0.08</v>
      </c>
      <c r="O18" s="69" t="n">
        <v>1</v>
      </c>
      <c r="P18" s="69" t="n">
        <v>0.13</v>
      </c>
      <c r="Q18" s="69" t="n">
        <v>0.1</v>
      </c>
      <c r="R18" s="69" t="n">
        <v>0.12</v>
      </c>
      <c r="S18" s="69" t="n">
        <v>0.26</v>
      </c>
      <c r="T18" s="69" t="n">
        <v>0.07</v>
      </c>
      <c r="U18" s="69" t="n">
        <v>0.42</v>
      </c>
      <c r="V18" s="69" t="n">
        <v>0.42</v>
      </c>
      <c r="W18" s="69" t="n">
        <v>0.33</v>
      </c>
      <c r="X18" s="69" t="n">
        <v>0.19</v>
      </c>
      <c r="Y18" s="69" t="n">
        <v>0.05</v>
      </c>
      <c r="Z18" s="69" t="n">
        <v>0.38</v>
      </c>
      <c r="AA18" s="69" t="n">
        <v>0.36</v>
      </c>
      <c r="AB18" s="69" t="n">
        <v>0.04</v>
      </c>
      <c r="AC18" s="69" t="n">
        <v>0.32</v>
      </c>
      <c r="AD18" s="69" t="n">
        <v>0.29</v>
      </c>
      <c r="AE18" s="69" t="n">
        <v>0.32</v>
      </c>
      <c r="AF18" s="69" t="n">
        <v>0.44</v>
      </c>
      <c r="AG18" s="69" t="n">
        <v>0.05</v>
      </c>
      <c r="AH18" s="69" t="n">
        <v>0.08</v>
      </c>
      <c r="AI18" s="69" t="n">
        <v>-0.03</v>
      </c>
      <c r="AJ18" s="69" t="n">
        <v>0.26</v>
      </c>
      <c r="AK18" s="69" t="n">
        <v>0.46</v>
      </c>
      <c r="AL18" s="69" t="n">
        <v>0.11</v>
      </c>
      <c r="AM18" s="69" t="n">
        <v>0.27</v>
      </c>
      <c r="AN18" s="69" t="n">
        <v>0.14</v>
      </c>
      <c r="AO18" s="69" t="n">
        <v>0</v>
      </c>
      <c r="AP18" s="69" t="n">
        <v>0.14</v>
      </c>
      <c r="AQ18" s="69" t="n">
        <v>-0.01</v>
      </c>
      <c r="AR18" s="69" t="n">
        <v>0.06</v>
      </c>
      <c r="AS18" s="69" t="n">
        <v>0.24</v>
      </c>
      <c r="AT18" s="69" t="n">
        <v>0.05</v>
      </c>
      <c r="AU18" s="69" t="n">
        <v>0.09</v>
      </c>
      <c r="AV18" s="69" t="n">
        <v>0.34</v>
      </c>
      <c r="AW18" s="69" t="n">
        <v>0.26</v>
      </c>
      <c r="AX18" s="69" t="n">
        <v>0.09</v>
      </c>
      <c r="AY18" s="69" t="n">
        <v>0.02</v>
      </c>
      <c r="AZ18" s="69" t="n">
        <v>0.28</v>
      </c>
      <c r="BA18" s="69" t="n">
        <v>0.22</v>
      </c>
      <c r="BB18" s="69" t="n">
        <v>0.09</v>
      </c>
      <c r="BC18" s="69" t="n">
        <v>0.28</v>
      </c>
      <c r="BD18" s="69" t="n">
        <v>0.33</v>
      </c>
      <c r="BE18" s="69" t="n">
        <v>0.11</v>
      </c>
      <c r="BF18" s="69" t="n">
        <v>0.26</v>
      </c>
      <c r="BG18" s="69" t="n">
        <v>-0.11</v>
      </c>
      <c r="BH18" s="69" t="n">
        <v>0.18</v>
      </c>
      <c r="BI18" s="69" t="n">
        <v>0.25</v>
      </c>
      <c r="BJ18" s="69" t="n">
        <v>-0.01</v>
      </c>
      <c r="BK18" s="69" t="n">
        <v>0.24</v>
      </c>
      <c r="BL18" s="69" t="n">
        <v>0.16</v>
      </c>
      <c r="BM18" s="69" t="n">
        <v>0.05</v>
      </c>
      <c r="BN18" s="69" t="n">
        <v>0.13</v>
      </c>
      <c r="BO18" s="69" t="n">
        <v>0.07</v>
      </c>
      <c r="BP18" s="69" t="n">
        <v>0.01</v>
      </c>
      <c r="BQ18" s="69" t="n">
        <v>0.35</v>
      </c>
      <c r="BR18" s="69" t="n">
        <v>0.05</v>
      </c>
      <c r="BS18" s="69" t="n">
        <v>-0.06</v>
      </c>
      <c r="BT18" s="69" t="n">
        <v>0.19</v>
      </c>
      <c r="BU18" s="69" t="n">
        <v>0.18</v>
      </c>
      <c r="BV18" s="69" t="n">
        <v>0.1</v>
      </c>
      <c r="BW18" s="69" t="n">
        <v>0.03</v>
      </c>
      <c r="BX18" s="69" t="n">
        <v>-0.03</v>
      </c>
      <c r="BY18" s="69" t="n">
        <v>0.08</v>
      </c>
      <c r="BZ18" s="69" t="n">
        <v>0.17</v>
      </c>
      <c r="CA18" s="69" t="n">
        <v>0.33</v>
      </c>
      <c r="CB18" s="69" t="n">
        <v>-0.01</v>
      </c>
      <c r="CC18" s="69" t="n">
        <v>0.05</v>
      </c>
      <c r="CD18" s="69" t="n">
        <v>0.03</v>
      </c>
      <c r="CE18" s="69" t="n">
        <v>-0.03</v>
      </c>
      <c r="CF18" s="69" t="n">
        <v>-0.01</v>
      </c>
      <c r="CG18" s="69" t="n">
        <v>0.03</v>
      </c>
      <c r="CH18" s="69" t="n">
        <v>0.36</v>
      </c>
      <c r="CI18" s="69" t="n">
        <v>-0.04</v>
      </c>
      <c r="CJ18" s="69" t="n">
        <v>-0.03</v>
      </c>
      <c r="CK18" s="69" t="n">
        <v>-0.04</v>
      </c>
      <c r="CL18" s="69" t="n">
        <v>0.04</v>
      </c>
      <c r="CM18" s="69" t="n">
        <v>-0.04</v>
      </c>
      <c r="CN18" s="69" t="n">
        <v>0.21</v>
      </c>
      <c r="CO18" s="69" t="n">
        <v>0.04</v>
      </c>
      <c r="CP18" s="69" t="n">
        <v>0.03</v>
      </c>
      <c r="CQ18" s="69" t="n">
        <v>0.1</v>
      </c>
      <c r="CR18" s="69" t="n">
        <v>0.05</v>
      </c>
      <c r="CS18" s="69" t="n">
        <v>0.11</v>
      </c>
      <c r="CT18" s="69" t="n">
        <v>0.13</v>
      </c>
      <c r="CU18" s="69" t="n">
        <v>0.01</v>
      </c>
      <c r="CV18" s="69" t="n">
        <v>0.02</v>
      </c>
      <c r="CW18" s="69" t="n">
        <v>0.07</v>
      </c>
      <c r="CX18" s="69" t="n">
        <v>0.06</v>
      </c>
      <c r="CY18" s="69" t="n">
        <v>0.12</v>
      </c>
      <c r="CZ18" s="69" t="n">
        <v>-0.01</v>
      </c>
      <c r="DA18" s="69" t="n">
        <v>-0.12</v>
      </c>
      <c r="DB18" s="69" t="n">
        <v>0.12</v>
      </c>
      <c r="DC18" s="69" t="n">
        <v>0.21</v>
      </c>
      <c r="DD18" s="69" t="n">
        <v>0.02</v>
      </c>
      <c r="DE18" s="69" t="n">
        <v>0.11</v>
      </c>
      <c r="DF18" s="69" t="n">
        <v>-0.05</v>
      </c>
      <c r="DG18" s="69" t="n">
        <v>0.19</v>
      </c>
      <c r="DH18" s="69" t="n">
        <v>0.02</v>
      </c>
      <c r="DI18" s="69" t="n">
        <v>0.19</v>
      </c>
      <c r="DJ18" s="69" t="n">
        <v>0.06</v>
      </c>
      <c r="DK18" s="69" t="n">
        <v>0.14</v>
      </c>
      <c r="DL18" s="69" t="n">
        <v>0.26</v>
      </c>
      <c r="DM18" s="69" t="n">
        <v>0.17</v>
      </c>
      <c r="DN18" s="69" t="n">
        <v>0.05</v>
      </c>
      <c r="DO18" s="69" t="n">
        <v>0.12</v>
      </c>
      <c r="DP18" s="69" t="n">
        <v>0.1</v>
      </c>
      <c r="DQ18" s="69" t="n">
        <v>0.08</v>
      </c>
      <c r="DR18" s="69" t="n">
        <v>0.09</v>
      </c>
      <c r="DS18" s="69" t="n">
        <v>-0.08</v>
      </c>
      <c r="DT18" s="69" t="n">
        <v>-0.02</v>
      </c>
      <c r="DU18" s="69" t="n">
        <v>0.08</v>
      </c>
      <c r="DV18" s="69" t="n">
        <v>0.02</v>
      </c>
      <c r="DW18" s="69" t="n">
        <v>-0.04</v>
      </c>
      <c r="DX18" s="69" t="n">
        <v>0.04</v>
      </c>
      <c r="DY18" s="69" t="n">
        <v>0.03</v>
      </c>
      <c r="DZ18" s="69" t="n">
        <v>-0.07</v>
      </c>
      <c r="EA18" s="69" t="n">
        <v>0.05</v>
      </c>
      <c r="EB18" s="69" t="n">
        <v>0</v>
      </c>
      <c r="EC18" s="69" t="n">
        <v>0.02</v>
      </c>
      <c r="ED18" s="69" t="n">
        <v>0.09</v>
      </c>
      <c r="EE18" s="69" t="n">
        <v>0.1</v>
      </c>
      <c r="EF18" s="69" t="n">
        <v>0.07</v>
      </c>
      <c r="EG18" s="69" t="n">
        <v>0.11</v>
      </c>
      <c r="EH18" s="69" t="n">
        <v>-0.11</v>
      </c>
      <c r="EI18" s="69" t="n">
        <v>0.01</v>
      </c>
      <c r="EJ18" s="69" t="n">
        <v>0.08</v>
      </c>
      <c r="EK18" s="69" t="n">
        <v>0.08</v>
      </c>
      <c r="EL18" s="69" t="n">
        <v>0.17</v>
      </c>
      <c r="EM18" s="69" t="n">
        <v>0.03</v>
      </c>
      <c r="EN18" s="69" t="n">
        <v>-0.03</v>
      </c>
      <c r="EO18" s="69" t="n">
        <v>0.01</v>
      </c>
    </row>
    <row r="19" customFormat="false" ht="15" hidden="false" customHeight="false" outlineLevel="0" collapsed="false">
      <c r="A19" s="68" t="s">
        <v>231</v>
      </c>
      <c r="B19" s="69" t="n">
        <v>0.39</v>
      </c>
      <c r="C19" s="69" t="n">
        <v>0.08</v>
      </c>
      <c r="D19" s="69" t="n">
        <v>0</v>
      </c>
      <c r="E19" s="69" t="n">
        <v>0.16</v>
      </c>
      <c r="F19" s="69" t="n">
        <v>0.48</v>
      </c>
      <c r="G19" s="69" t="n">
        <v>-0.1</v>
      </c>
      <c r="H19" s="69" t="n">
        <v>0.02</v>
      </c>
      <c r="I19" s="69" t="n">
        <v>0.49</v>
      </c>
      <c r="J19" s="69" t="n">
        <v>0.41</v>
      </c>
      <c r="K19" s="69" t="n">
        <v>0.42</v>
      </c>
      <c r="L19" s="69" t="n">
        <v>0.14</v>
      </c>
      <c r="M19" s="69" t="n">
        <v>0.21</v>
      </c>
      <c r="N19" s="69" t="n">
        <v>0.23</v>
      </c>
      <c r="O19" s="69" t="n">
        <v>0.13</v>
      </c>
      <c r="P19" s="69" t="n">
        <v>1</v>
      </c>
      <c r="Q19" s="69" t="n">
        <v>0.13</v>
      </c>
      <c r="R19" s="69" t="n">
        <v>0.48</v>
      </c>
      <c r="S19" s="69" t="n">
        <v>0.11</v>
      </c>
      <c r="T19" s="69" t="n">
        <v>0.1</v>
      </c>
      <c r="U19" s="69" t="n">
        <v>0.13</v>
      </c>
      <c r="V19" s="69" t="n">
        <v>0.03</v>
      </c>
      <c r="W19" s="69" t="n">
        <v>0.19</v>
      </c>
      <c r="X19" s="69" t="n">
        <v>0.1</v>
      </c>
      <c r="Y19" s="69" t="n">
        <v>0.38</v>
      </c>
      <c r="Z19" s="69" t="n">
        <v>0.08</v>
      </c>
      <c r="AA19" s="69" t="n">
        <v>0.19</v>
      </c>
      <c r="AB19" s="69" t="n">
        <v>0.34</v>
      </c>
      <c r="AC19" s="69" t="n">
        <v>0.02</v>
      </c>
      <c r="AD19" s="69" t="n">
        <v>0.12</v>
      </c>
      <c r="AE19" s="69" t="n">
        <v>0.03</v>
      </c>
      <c r="AF19" s="69" t="n">
        <v>0.02</v>
      </c>
      <c r="AG19" s="69" t="n">
        <v>0.31</v>
      </c>
      <c r="AH19" s="69" t="n">
        <v>0.29</v>
      </c>
      <c r="AI19" s="69" t="n">
        <v>0.27</v>
      </c>
      <c r="AJ19" s="69" t="n">
        <v>-0.02</v>
      </c>
      <c r="AK19" s="69" t="n">
        <v>0.03</v>
      </c>
      <c r="AL19" s="69" t="n">
        <v>0.24</v>
      </c>
      <c r="AM19" s="69" t="n">
        <v>0.07</v>
      </c>
      <c r="AN19" s="69" t="n">
        <v>0.35</v>
      </c>
      <c r="AO19" s="69" t="n">
        <v>0.32</v>
      </c>
      <c r="AP19" s="69" t="n">
        <v>0.18</v>
      </c>
      <c r="AQ19" s="69" t="n">
        <v>0.27</v>
      </c>
      <c r="AR19" s="69" t="n">
        <v>0.11</v>
      </c>
      <c r="AS19" s="69" t="n">
        <v>0.04</v>
      </c>
      <c r="AT19" s="69" t="n">
        <v>0.11</v>
      </c>
      <c r="AU19" s="69" t="n">
        <v>0.67</v>
      </c>
      <c r="AV19" s="69" t="n">
        <v>0.19</v>
      </c>
      <c r="AW19" s="69" t="n">
        <v>0.12</v>
      </c>
      <c r="AX19" s="69" t="n">
        <v>0.32</v>
      </c>
      <c r="AY19" s="69" t="n">
        <v>0.3</v>
      </c>
      <c r="AZ19" s="69" t="n">
        <v>0.06</v>
      </c>
      <c r="BA19" s="69" t="n">
        <v>0.17</v>
      </c>
      <c r="BB19" s="69" t="n">
        <v>0</v>
      </c>
      <c r="BC19" s="69" t="n">
        <v>0.06</v>
      </c>
      <c r="BD19" s="69" t="n">
        <v>0.04</v>
      </c>
      <c r="BE19" s="69" t="n">
        <v>0.29</v>
      </c>
      <c r="BF19" s="69" t="n">
        <v>0.08</v>
      </c>
      <c r="BG19" s="69" t="n">
        <v>0.06</v>
      </c>
      <c r="BH19" s="69" t="n">
        <v>-0.02</v>
      </c>
      <c r="BI19" s="69" t="n">
        <v>-0.02</v>
      </c>
      <c r="BJ19" s="69" t="n">
        <v>-0.05</v>
      </c>
      <c r="BK19" s="69" t="n">
        <v>0.06</v>
      </c>
      <c r="BL19" s="69" t="n">
        <v>-0.02</v>
      </c>
      <c r="BM19" s="69" t="n">
        <v>0.41</v>
      </c>
      <c r="BN19" s="69" t="n">
        <v>0.25</v>
      </c>
      <c r="BO19" s="69" t="n">
        <v>0.15</v>
      </c>
      <c r="BP19" s="69" t="n">
        <v>0.06</v>
      </c>
      <c r="BQ19" s="69" t="n">
        <v>-0.01</v>
      </c>
      <c r="BR19" s="69" t="n">
        <v>0.15</v>
      </c>
      <c r="BS19" s="69" t="n">
        <v>0.17</v>
      </c>
      <c r="BT19" s="69" t="n">
        <v>0.03</v>
      </c>
      <c r="BU19" s="69" t="n">
        <v>0.04</v>
      </c>
      <c r="BV19" s="69" t="n">
        <v>0.11</v>
      </c>
      <c r="BW19" s="69" t="n">
        <v>0.18</v>
      </c>
      <c r="BX19" s="69" t="n">
        <v>0.23</v>
      </c>
      <c r="BY19" s="69" t="n">
        <v>0.13</v>
      </c>
      <c r="BZ19" s="69" t="n">
        <v>0.19</v>
      </c>
      <c r="CA19" s="69" t="n">
        <v>0.11</v>
      </c>
      <c r="CB19" s="69" t="n">
        <v>0.07</v>
      </c>
      <c r="CC19" s="69" t="n">
        <v>0.21</v>
      </c>
      <c r="CD19" s="69" t="n">
        <v>0.19</v>
      </c>
      <c r="CE19" s="69" t="n">
        <v>0.09</v>
      </c>
      <c r="CF19" s="69" t="n">
        <v>0.21</v>
      </c>
      <c r="CG19" s="69" t="n">
        <v>0.17</v>
      </c>
      <c r="CH19" s="69" t="n">
        <v>-0.02</v>
      </c>
      <c r="CI19" s="69" t="n">
        <v>0.22</v>
      </c>
      <c r="CJ19" s="69" t="n">
        <v>0.24</v>
      </c>
      <c r="CK19" s="69" t="n">
        <v>0.26</v>
      </c>
      <c r="CL19" s="69" t="n">
        <v>0.05</v>
      </c>
      <c r="CM19" s="69" t="n">
        <v>-0.14</v>
      </c>
      <c r="CN19" s="69" t="n">
        <v>0.06</v>
      </c>
      <c r="CO19" s="69" t="n">
        <v>0.03</v>
      </c>
      <c r="CP19" s="69" t="n">
        <v>0.09</v>
      </c>
      <c r="CQ19" s="69" t="n">
        <v>0.09</v>
      </c>
      <c r="CR19" s="69" t="n">
        <v>-0.05</v>
      </c>
      <c r="CS19" s="69" t="n">
        <v>0.04</v>
      </c>
      <c r="CT19" s="69" t="n">
        <v>0.09</v>
      </c>
      <c r="CU19" s="69" t="n">
        <v>0.05</v>
      </c>
      <c r="CV19" s="69" t="n">
        <v>-0.04</v>
      </c>
      <c r="CW19" s="69" t="n">
        <v>0.16</v>
      </c>
      <c r="CX19" s="69" t="n">
        <v>0.06</v>
      </c>
      <c r="CY19" s="69" t="n">
        <v>0.05</v>
      </c>
      <c r="CZ19" s="69" t="n">
        <v>0.13</v>
      </c>
      <c r="DA19" s="69" t="n">
        <v>0.11</v>
      </c>
      <c r="DB19" s="69" t="n">
        <v>-0.07</v>
      </c>
      <c r="DC19" s="69" t="n">
        <v>-0.09</v>
      </c>
      <c r="DD19" s="69" t="n">
        <v>0.09</v>
      </c>
      <c r="DE19" s="69" t="n">
        <v>-0.09</v>
      </c>
      <c r="DF19" s="69" t="n">
        <v>0.09</v>
      </c>
      <c r="DG19" s="69" t="n">
        <v>-0.05</v>
      </c>
      <c r="DH19" s="69" t="n">
        <v>-0.11</v>
      </c>
      <c r="DI19" s="69" t="n">
        <v>0.05</v>
      </c>
      <c r="DJ19" s="69" t="n">
        <v>0.08</v>
      </c>
      <c r="DK19" s="69" t="n">
        <v>0.05</v>
      </c>
      <c r="DL19" s="69" t="n">
        <v>-0.03</v>
      </c>
      <c r="DM19" s="69" t="n">
        <v>0.1</v>
      </c>
      <c r="DN19" s="69" t="n">
        <v>0.17</v>
      </c>
      <c r="DO19" s="69" t="n">
        <v>-0.03</v>
      </c>
      <c r="DP19" s="69" t="n">
        <v>0.04</v>
      </c>
      <c r="DQ19" s="69" t="n">
        <v>-0.04</v>
      </c>
      <c r="DR19" s="69" t="n">
        <v>-0.03</v>
      </c>
      <c r="DS19" s="69" t="n">
        <v>0.07</v>
      </c>
      <c r="DT19" s="69" t="n">
        <v>-0.17</v>
      </c>
      <c r="DU19" s="69" t="n">
        <v>-0.09</v>
      </c>
      <c r="DV19" s="69" t="n">
        <v>0.04</v>
      </c>
      <c r="DW19" s="69" t="n">
        <v>0.03</v>
      </c>
      <c r="DX19" s="69" t="n">
        <v>-0.09</v>
      </c>
      <c r="DY19" s="69" t="n">
        <v>0.02</v>
      </c>
      <c r="DZ19" s="69" t="n">
        <v>0.01</v>
      </c>
      <c r="EA19" s="69" t="n">
        <v>-0.07</v>
      </c>
      <c r="EB19" s="69" t="n">
        <v>0.01</v>
      </c>
      <c r="EC19" s="69" t="n">
        <v>-0.14</v>
      </c>
      <c r="ED19" s="69" t="n">
        <v>-0.04</v>
      </c>
      <c r="EE19" s="69" t="n">
        <v>-0.1</v>
      </c>
      <c r="EF19" s="69" t="n">
        <v>-0.06</v>
      </c>
      <c r="EG19" s="69" t="n">
        <v>-0.06</v>
      </c>
      <c r="EH19" s="69" t="n">
        <v>0.08</v>
      </c>
      <c r="EI19" s="69" t="n">
        <v>-0.2</v>
      </c>
      <c r="EJ19" s="69" t="n">
        <v>0.02</v>
      </c>
      <c r="EK19" s="69" t="n">
        <v>-0.04</v>
      </c>
      <c r="EL19" s="69" t="n">
        <v>-0.1</v>
      </c>
      <c r="EM19" s="69" t="n">
        <v>-0.18</v>
      </c>
      <c r="EN19" s="69" t="n">
        <v>0.01</v>
      </c>
      <c r="EO19" s="69" t="n">
        <v>0.01</v>
      </c>
    </row>
    <row r="20" customFormat="false" ht="15" hidden="false" customHeight="false" outlineLevel="0" collapsed="false">
      <c r="A20" s="68" t="s">
        <v>233</v>
      </c>
      <c r="B20" s="69" t="n">
        <v>0.03</v>
      </c>
      <c r="C20" s="69" t="n">
        <v>0</v>
      </c>
      <c r="D20" s="69" t="n">
        <v>0.02</v>
      </c>
      <c r="E20" s="69" t="n">
        <v>0.08</v>
      </c>
      <c r="F20" s="69" t="n">
        <v>-0.1</v>
      </c>
      <c r="G20" s="69" t="n">
        <v>0.05</v>
      </c>
      <c r="H20" s="69" t="n">
        <v>-0.02</v>
      </c>
      <c r="I20" s="69" t="n">
        <v>-0.03</v>
      </c>
      <c r="J20" s="69" t="n">
        <v>0.01</v>
      </c>
      <c r="K20" s="69" t="n">
        <v>-0.04</v>
      </c>
      <c r="L20" s="69" t="n">
        <v>0.09</v>
      </c>
      <c r="M20" s="69" t="n">
        <v>0</v>
      </c>
      <c r="N20" s="69" t="n">
        <v>-0.03</v>
      </c>
      <c r="O20" s="69" t="n">
        <v>0.1</v>
      </c>
      <c r="P20" s="69" t="n">
        <v>0.13</v>
      </c>
      <c r="Q20" s="69" t="n">
        <v>1</v>
      </c>
      <c r="R20" s="69" t="n">
        <v>-0.04</v>
      </c>
      <c r="S20" s="69" t="n">
        <v>0.1</v>
      </c>
      <c r="T20" s="69" t="n">
        <v>0.07</v>
      </c>
      <c r="U20" s="69" t="n">
        <v>-0.05</v>
      </c>
      <c r="V20" s="69" t="n">
        <v>-0.02</v>
      </c>
      <c r="W20" s="69" t="n">
        <v>0.02</v>
      </c>
      <c r="X20" s="69" t="n">
        <v>0.03</v>
      </c>
      <c r="Y20" s="69" t="n">
        <v>0.05</v>
      </c>
      <c r="Z20" s="69" t="n">
        <v>0.13</v>
      </c>
      <c r="AA20" s="69" t="n">
        <v>0</v>
      </c>
      <c r="AB20" s="69" t="n">
        <v>0.01</v>
      </c>
      <c r="AC20" s="69" t="n">
        <v>0.01</v>
      </c>
      <c r="AD20" s="69" t="n">
        <v>0.03</v>
      </c>
      <c r="AE20" s="69" t="n">
        <v>0.07</v>
      </c>
      <c r="AF20" s="69" t="n">
        <v>0.05</v>
      </c>
      <c r="AG20" s="69" t="n">
        <v>0.02</v>
      </c>
      <c r="AH20" s="69" t="n">
        <v>0.02</v>
      </c>
      <c r="AI20" s="69" t="n">
        <v>0.01</v>
      </c>
      <c r="AJ20" s="69" t="n">
        <v>0.02</v>
      </c>
      <c r="AK20" s="69" t="n">
        <v>-0.02</v>
      </c>
      <c r="AL20" s="69" t="n">
        <v>0.09</v>
      </c>
      <c r="AM20" s="69" t="n">
        <v>0.06</v>
      </c>
      <c r="AN20" s="69" t="n">
        <v>0.08</v>
      </c>
      <c r="AO20" s="69" t="n">
        <v>0</v>
      </c>
      <c r="AP20" s="69" t="n">
        <v>0.08</v>
      </c>
      <c r="AQ20" s="69" t="n">
        <v>-0.05</v>
      </c>
      <c r="AR20" s="69" t="n">
        <v>0.03</v>
      </c>
      <c r="AS20" s="69" t="n">
        <v>0.02</v>
      </c>
      <c r="AT20" s="69" t="n">
        <v>-0.06</v>
      </c>
      <c r="AU20" s="69" t="n">
        <v>0.02</v>
      </c>
      <c r="AV20" s="69" t="n">
        <v>0.06</v>
      </c>
      <c r="AW20" s="69" t="n">
        <v>0.13</v>
      </c>
      <c r="AX20" s="69" t="n">
        <v>0</v>
      </c>
      <c r="AY20" s="69" t="n">
        <v>-0.06</v>
      </c>
      <c r="AZ20" s="69" t="n">
        <v>0.1</v>
      </c>
      <c r="BA20" s="69" t="n">
        <v>0.03</v>
      </c>
      <c r="BB20" s="69" t="n">
        <v>0.05</v>
      </c>
      <c r="BC20" s="69" t="n">
        <v>-0.09</v>
      </c>
      <c r="BD20" s="69" t="n">
        <v>0.05</v>
      </c>
      <c r="BE20" s="69" t="n">
        <v>-0.08</v>
      </c>
      <c r="BF20" s="69" t="n">
        <v>0.07</v>
      </c>
      <c r="BG20" s="69" t="n">
        <v>0.03</v>
      </c>
      <c r="BH20" s="69" t="n">
        <v>-0.05</v>
      </c>
      <c r="BI20" s="69" t="n">
        <v>0.07</v>
      </c>
      <c r="BJ20" s="69" t="n">
        <v>-0.01</v>
      </c>
      <c r="BK20" s="69" t="n">
        <v>0.17</v>
      </c>
      <c r="BL20" s="69" t="n">
        <v>0.04</v>
      </c>
      <c r="BM20" s="69" t="n">
        <v>0.01</v>
      </c>
      <c r="BN20" s="69" t="n">
        <v>0.03</v>
      </c>
      <c r="BO20" s="69" t="n">
        <v>0.07</v>
      </c>
      <c r="BP20" s="69" t="n">
        <v>-0.02</v>
      </c>
      <c r="BQ20" s="69" t="n">
        <v>0.11</v>
      </c>
      <c r="BR20" s="69" t="n">
        <v>0.05</v>
      </c>
      <c r="BS20" s="69" t="n">
        <v>-0.05</v>
      </c>
      <c r="BT20" s="69" t="n">
        <v>0.02</v>
      </c>
      <c r="BU20" s="69" t="n">
        <v>-0.02</v>
      </c>
      <c r="BV20" s="69" t="n">
        <v>0.02</v>
      </c>
      <c r="BW20" s="69" t="n">
        <v>0.04</v>
      </c>
      <c r="BX20" s="69" t="n">
        <v>0.08</v>
      </c>
      <c r="BY20" s="69" t="n">
        <v>-0.07</v>
      </c>
      <c r="BZ20" s="69" t="n">
        <v>0.03</v>
      </c>
      <c r="CA20" s="69" t="n">
        <v>-0.06</v>
      </c>
      <c r="CB20" s="69" t="n">
        <v>-0.02</v>
      </c>
      <c r="CC20" s="69" t="n">
        <v>0.06</v>
      </c>
      <c r="CD20" s="69" t="n">
        <v>0.04</v>
      </c>
      <c r="CE20" s="69" t="n">
        <v>0.03</v>
      </c>
      <c r="CF20" s="69" t="n">
        <v>-0.06</v>
      </c>
      <c r="CG20" s="69" t="n">
        <v>0.01</v>
      </c>
      <c r="CH20" s="69" t="n">
        <v>0.11</v>
      </c>
      <c r="CI20" s="69" t="n">
        <v>-0.05</v>
      </c>
      <c r="CJ20" s="69" t="n">
        <v>0.03</v>
      </c>
      <c r="CK20" s="69" t="n">
        <v>0</v>
      </c>
      <c r="CL20" s="69" t="n">
        <v>-0.01</v>
      </c>
      <c r="CM20" s="69" t="n">
        <v>0.07</v>
      </c>
      <c r="CN20" s="69" t="n">
        <v>0.09</v>
      </c>
      <c r="CO20" s="69" t="n">
        <v>-0.05</v>
      </c>
      <c r="CP20" s="69" t="n">
        <v>0.1</v>
      </c>
      <c r="CQ20" s="69" t="n">
        <v>0.02</v>
      </c>
      <c r="CR20" s="69" t="n">
        <v>0.08</v>
      </c>
      <c r="CS20" s="69" t="n">
        <v>0.09</v>
      </c>
      <c r="CT20" s="69" t="n">
        <v>0.09</v>
      </c>
      <c r="CU20" s="69" t="n">
        <v>0.1</v>
      </c>
      <c r="CV20" s="69" t="n">
        <v>-0.1</v>
      </c>
      <c r="CW20" s="69" t="n">
        <v>0.19</v>
      </c>
      <c r="CX20" s="69" t="n">
        <v>0.11</v>
      </c>
      <c r="CY20" s="69" t="n">
        <v>0.01</v>
      </c>
      <c r="CZ20" s="69" t="n">
        <v>0.01</v>
      </c>
      <c r="DA20" s="69" t="n">
        <v>0</v>
      </c>
      <c r="DB20" s="69" t="n">
        <v>0.07</v>
      </c>
      <c r="DC20" s="69" t="n">
        <v>0.09</v>
      </c>
      <c r="DD20" s="69" t="n">
        <v>0.06</v>
      </c>
      <c r="DE20" s="69" t="n">
        <v>0.05</v>
      </c>
      <c r="DF20" s="69" t="n">
        <v>-0.06</v>
      </c>
      <c r="DG20" s="69" t="n">
        <v>0.07</v>
      </c>
      <c r="DH20" s="69" t="n">
        <v>0.11</v>
      </c>
      <c r="DI20" s="69" t="n">
        <v>0.07</v>
      </c>
      <c r="DJ20" s="69" t="n">
        <v>0</v>
      </c>
      <c r="DK20" s="69" t="n">
        <v>0.04</v>
      </c>
      <c r="DL20" s="69" t="n">
        <v>0.04</v>
      </c>
      <c r="DM20" s="69" t="n">
        <v>-0.01</v>
      </c>
      <c r="DN20" s="69" t="n">
        <v>-0.11</v>
      </c>
      <c r="DO20" s="69" t="n">
        <v>0.09</v>
      </c>
      <c r="DP20" s="69" t="n">
        <v>-0.01</v>
      </c>
      <c r="DQ20" s="69" t="n">
        <v>0.05</v>
      </c>
      <c r="DR20" s="69" t="n">
        <v>0.15</v>
      </c>
      <c r="DS20" s="69" t="n">
        <v>0.01</v>
      </c>
      <c r="DT20" s="69" t="n">
        <v>-0.09</v>
      </c>
      <c r="DU20" s="69" t="n">
        <v>0.01</v>
      </c>
      <c r="DV20" s="69" t="n">
        <v>-0.02</v>
      </c>
      <c r="DW20" s="69" t="n">
        <v>-0.04</v>
      </c>
      <c r="DX20" s="69" t="n">
        <v>0.04</v>
      </c>
      <c r="DY20" s="69" t="n">
        <v>0.04</v>
      </c>
      <c r="DZ20" s="69" t="n">
        <v>0.05</v>
      </c>
      <c r="EA20" s="69" t="n">
        <v>0.05</v>
      </c>
      <c r="EB20" s="69" t="n">
        <v>0.04</v>
      </c>
      <c r="EC20" s="69" t="n">
        <v>0.05</v>
      </c>
      <c r="ED20" s="69" t="n">
        <v>-0.08</v>
      </c>
      <c r="EE20" s="69" t="n">
        <v>0.06</v>
      </c>
      <c r="EF20" s="69" t="n">
        <v>0.07</v>
      </c>
      <c r="EG20" s="69" t="n">
        <v>0.09</v>
      </c>
      <c r="EH20" s="69" t="n">
        <v>0.01</v>
      </c>
      <c r="EI20" s="69" t="n">
        <v>0</v>
      </c>
      <c r="EJ20" s="69" t="n">
        <v>-0.01</v>
      </c>
      <c r="EK20" s="69" t="n">
        <v>0.01</v>
      </c>
      <c r="EL20" s="69" t="n">
        <v>0.03</v>
      </c>
      <c r="EM20" s="69" t="n">
        <v>0.01</v>
      </c>
      <c r="EN20" s="69" t="n">
        <v>-0.07</v>
      </c>
      <c r="EO20" s="69" t="n">
        <v>0.01</v>
      </c>
    </row>
    <row r="21" customFormat="false" ht="15" hidden="false" customHeight="false" outlineLevel="0" collapsed="false">
      <c r="A21" s="68" t="s">
        <v>234</v>
      </c>
      <c r="B21" s="69" t="n">
        <v>0.38</v>
      </c>
      <c r="C21" s="69" t="n">
        <v>0.03</v>
      </c>
      <c r="D21" s="69" t="n">
        <v>-0.16</v>
      </c>
      <c r="E21" s="69" t="n">
        <v>0.09</v>
      </c>
      <c r="F21" s="69" t="n">
        <v>0.65</v>
      </c>
      <c r="G21" s="69" t="n">
        <v>-0.02</v>
      </c>
      <c r="H21" s="69" t="n">
        <v>0.06</v>
      </c>
      <c r="I21" s="69" t="n">
        <v>0.55</v>
      </c>
      <c r="J21" s="69" t="n">
        <v>0.49</v>
      </c>
      <c r="K21" s="69" t="n">
        <v>0.6</v>
      </c>
      <c r="L21" s="69" t="n">
        <v>0.1</v>
      </c>
      <c r="M21" s="69" t="n">
        <v>0.31</v>
      </c>
      <c r="N21" s="69" t="n">
        <v>0.32</v>
      </c>
      <c r="O21" s="69" t="n">
        <v>0.12</v>
      </c>
      <c r="P21" s="69" t="n">
        <v>0.48</v>
      </c>
      <c r="Q21" s="69" t="n">
        <v>-0.04</v>
      </c>
      <c r="R21" s="69" t="n">
        <v>1</v>
      </c>
      <c r="S21" s="69" t="n">
        <v>0.11</v>
      </c>
      <c r="T21" s="69" t="n">
        <v>0.13</v>
      </c>
      <c r="U21" s="69" t="n">
        <v>0.08</v>
      </c>
      <c r="V21" s="69" t="n">
        <v>0.09</v>
      </c>
      <c r="W21" s="69" t="n">
        <v>0.17</v>
      </c>
      <c r="X21" s="69" t="n">
        <v>0.13</v>
      </c>
      <c r="Y21" s="69" t="n">
        <v>0.22</v>
      </c>
      <c r="Z21" s="69" t="n">
        <v>0.14</v>
      </c>
      <c r="AA21" s="69" t="n">
        <v>0.23</v>
      </c>
      <c r="AB21" s="69" t="n">
        <v>0.22</v>
      </c>
      <c r="AC21" s="69" t="n">
        <v>0.05</v>
      </c>
      <c r="AD21" s="69" t="n">
        <v>0.08</v>
      </c>
      <c r="AE21" s="69" t="n">
        <v>0.02</v>
      </c>
      <c r="AF21" s="69" t="n">
        <v>-0.01</v>
      </c>
      <c r="AG21" s="69" t="n">
        <v>0.38</v>
      </c>
      <c r="AH21" s="69" t="n">
        <v>0.45</v>
      </c>
      <c r="AI21" s="69" t="n">
        <v>0.27</v>
      </c>
      <c r="AJ21" s="69" t="n">
        <v>-0.11</v>
      </c>
      <c r="AK21" s="69" t="n">
        <v>0.08</v>
      </c>
      <c r="AL21" s="69" t="n">
        <v>0.3</v>
      </c>
      <c r="AM21" s="69" t="n">
        <v>0.1</v>
      </c>
      <c r="AN21" s="69" t="n">
        <v>0.42</v>
      </c>
      <c r="AO21" s="69" t="n">
        <v>0.29</v>
      </c>
      <c r="AP21" s="69" t="n">
        <v>0.35</v>
      </c>
      <c r="AQ21" s="69" t="n">
        <v>0.25</v>
      </c>
      <c r="AR21" s="69" t="n">
        <v>0.16</v>
      </c>
      <c r="AS21" s="69" t="n">
        <v>0.02</v>
      </c>
      <c r="AT21" s="69" t="n">
        <v>0.11</v>
      </c>
      <c r="AU21" s="69" t="n">
        <v>0.45</v>
      </c>
      <c r="AV21" s="69" t="n">
        <v>0.16</v>
      </c>
      <c r="AW21" s="69" t="n">
        <v>0.05</v>
      </c>
      <c r="AX21" s="69" t="n">
        <v>0.38</v>
      </c>
      <c r="AY21" s="69" t="n">
        <v>0.3</v>
      </c>
      <c r="AZ21" s="69" t="n">
        <v>0</v>
      </c>
      <c r="BA21" s="69" t="n">
        <v>0.3</v>
      </c>
      <c r="BB21" s="69" t="n">
        <v>0</v>
      </c>
      <c r="BC21" s="69" t="n">
        <v>0.06</v>
      </c>
      <c r="BD21" s="69" t="n">
        <v>0.05</v>
      </c>
      <c r="BE21" s="69" t="n">
        <v>0.37</v>
      </c>
      <c r="BF21" s="69" t="n">
        <v>0.07</v>
      </c>
      <c r="BG21" s="69" t="n">
        <v>0.13</v>
      </c>
      <c r="BH21" s="69" t="n">
        <v>0.08</v>
      </c>
      <c r="BI21" s="69" t="n">
        <v>0.07</v>
      </c>
      <c r="BJ21" s="69" t="n">
        <v>-0.1</v>
      </c>
      <c r="BK21" s="69" t="n">
        <v>0.02</v>
      </c>
      <c r="BL21" s="69" t="n">
        <v>0.13</v>
      </c>
      <c r="BM21" s="69" t="n">
        <v>0.43</v>
      </c>
      <c r="BN21" s="69" t="n">
        <v>0.18</v>
      </c>
      <c r="BO21" s="69" t="n">
        <v>0.13</v>
      </c>
      <c r="BP21" s="69" t="n">
        <v>0.01</v>
      </c>
      <c r="BQ21" s="69" t="n">
        <v>0.01</v>
      </c>
      <c r="BR21" s="69" t="n">
        <v>0.21</v>
      </c>
      <c r="BS21" s="69" t="n">
        <v>0.15</v>
      </c>
      <c r="BT21" s="69" t="n">
        <v>0.09</v>
      </c>
      <c r="BU21" s="69" t="n">
        <v>0.01</v>
      </c>
      <c r="BV21" s="69" t="n">
        <v>0.04</v>
      </c>
      <c r="BW21" s="69" t="n">
        <v>0.23</v>
      </c>
      <c r="BX21" s="69" t="n">
        <v>0.21</v>
      </c>
      <c r="BY21" s="69" t="n">
        <v>0.23</v>
      </c>
      <c r="BZ21" s="69" t="n">
        <v>0.15</v>
      </c>
      <c r="CA21" s="69" t="n">
        <v>0.03</v>
      </c>
      <c r="CB21" s="69" t="n">
        <v>0.07</v>
      </c>
      <c r="CC21" s="69" t="n">
        <v>0.04</v>
      </c>
      <c r="CD21" s="69" t="n">
        <v>0.15</v>
      </c>
      <c r="CE21" s="69" t="n">
        <v>0.01</v>
      </c>
      <c r="CF21" s="69" t="n">
        <v>0.2</v>
      </c>
      <c r="CG21" s="69" t="n">
        <v>0.15</v>
      </c>
      <c r="CH21" s="69" t="n">
        <v>0.03</v>
      </c>
      <c r="CI21" s="69" t="n">
        <v>0.18</v>
      </c>
      <c r="CJ21" s="69" t="n">
        <v>0.31</v>
      </c>
      <c r="CK21" s="69" t="n">
        <v>0.34</v>
      </c>
      <c r="CL21" s="69" t="n">
        <v>0.11</v>
      </c>
      <c r="CM21" s="69" t="n">
        <v>-0.18</v>
      </c>
      <c r="CN21" s="69" t="n">
        <v>-0.1</v>
      </c>
      <c r="CO21" s="69" t="n">
        <v>0.05</v>
      </c>
      <c r="CP21" s="69" t="n">
        <v>0.17</v>
      </c>
      <c r="CQ21" s="69" t="n">
        <v>0.12</v>
      </c>
      <c r="CR21" s="69" t="n">
        <v>-0.11</v>
      </c>
      <c r="CS21" s="69" t="n">
        <v>-0.04</v>
      </c>
      <c r="CT21" s="69" t="n">
        <v>0.02</v>
      </c>
      <c r="CU21" s="69" t="n">
        <v>0.05</v>
      </c>
      <c r="CV21" s="69" t="n">
        <v>0.03</v>
      </c>
      <c r="CW21" s="69" t="n">
        <v>0.13</v>
      </c>
      <c r="CX21" s="69" t="n">
        <v>0.06</v>
      </c>
      <c r="CY21" s="69" t="n">
        <v>0.12</v>
      </c>
      <c r="CZ21" s="69" t="n">
        <v>0.1</v>
      </c>
      <c r="DA21" s="69" t="n">
        <v>0.04</v>
      </c>
      <c r="DB21" s="69" t="n">
        <v>-0.04</v>
      </c>
      <c r="DC21" s="69" t="n">
        <v>-0.03</v>
      </c>
      <c r="DD21" s="69" t="n">
        <v>0.06</v>
      </c>
      <c r="DE21" s="69" t="n">
        <v>-0.05</v>
      </c>
      <c r="DF21" s="69" t="n">
        <v>0.06</v>
      </c>
      <c r="DG21" s="69" t="n">
        <v>0.03</v>
      </c>
      <c r="DH21" s="69" t="n">
        <v>-0.14</v>
      </c>
      <c r="DI21" s="69" t="n">
        <v>0.12</v>
      </c>
      <c r="DJ21" s="69" t="n">
        <v>0.15</v>
      </c>
      <c r="DK21" s="69" t="n">
        <v>0.1</v>
      </c>
      <c r="DL21" s="69" t="n">
        <v>-0.04</v>
      </c>
      <c r="DM21" s="69" t="n">
        <v>0.19</v>
      </c>
      <c r="DN21" s="69" t="n">
        <v>0.17</v>
      </c>
      <c r="DO21" s="69" t="n">
        <v>0.03</v>
      </c>
      <c r="DP21" s="69" t="n">
        <v>0.12</v>
      </c>
      <c r="DQ21" s="69" t="n">
        <v>0.03</v>
      </c>
      <c r="DR21" s="69" t="n">
        <v>-0.05</v>
      </c>
      <c r="DS21" s="69" t="n">
        <v>0.06</v>
      </c>
      <c r="DT21" s="69" t="n">
        <v>-0.14</v>
      </c>
      <c r="DU21" s="69" t="n">
        <v>-0.07</v>
      </c>
      <c r="DV21" s="69" t="n">
        <v>0.02</v>
      </c>
      <c r="DW21" s="69" t="n">
        <v>0.02</v>
      </c>
      <c r="DX21" s="69" t="n">
        <v>-0.23</v>
      </c>
      <c r="DY21" s="69" t="n">
        <v>0.01</v>
      </c>
      <c r="DZ21" s="69" t="n">
        <v>-0.05</v>
      </c>
      <c r="EA21" s="69" t="n">
        <v>0</v>
      </c>
      <c r="EB21" s="69" t="n">
        <v>-0.01</v>
      </c>
      <c r="EC21" s="69" t="n">
        <v>-0.11</v>
      </c>
      <c r="ED21" s="69" t="n">
        <v>-0.01</v>
      </c>
      <c r="EE21" s="69" t="n">
        <v>-0.14</v>
      </c>
      <c r="EF21" s="69" t="n">
        <v>0.07</v>
      </c>
      <c r="EG21" s="69" t="n">
        <v>-0.11</v>
      </c>
      <c r="EH21" s="69" t="n">
        <v>0.02</v>
      </c>
      <c r="EI21" s="69" t="n">
        <v>-0.27</v>
      </c>
      <c r="EJ21" s="69" t="n">
        <v>0.06</v>
      </c>
      <c r="EK21" s="69" t="n">
        <v>-0.02</v>
      </c>
      <c r="EL21" s="69" t="n">
        <v>-0.14</v>
      </c>
      <c r="EM21" s="69" t="n">
        <v>-0.08</v>
      </c>
      <c r="EN21" s="69" t="n">
        <v>0.1</v>
      </c>
      <c r="EO21" s="69" t="n">
        <v>0.02</v>
      </c>
    </row>
    <row r="22" customFormat="false" ht="15" hidden="false" customHeight="false" outlineLevel="0" collapsed="false">
      <c r="A22" s="68" t="s">
        <v>236</v>
      </c>
      <c r="B22" s="69" t="n">
        <v>0.01</v>
      </c>
      <c r="C22" s="69" t="n">
        <v>0.07</v>
      </c>
      <c r="D22" s="69" t="n">
        <v>0.11</v>
      </c>
      <c r="E22" s="69" t="n">
        <v>0.25</v>
      </c>
      <c r="F22" s="69" t="n">
        <v>0.11</v>
      </c>
      <c r="G22" s="69" t="n">
        <v>-0.05</v>
      </c>
      <c r="H22" s="69" t="n">
        <v>0.25</v>
      </c>
      <c r="I22" s="69" t="n">
        <v>0.11</v>
      </c>
      <c r="J22" s="69" t="n">
        <v>0.15</v>
      </c>
      <c r="K22" s="69" t="n">
        <v>0.18</v>
      </c>
      <c r="L22" s="69" t="n">
        <v>0.35</v>
      </c>
      <c r="M22" s="69" t="n">
        <v>0.12</v>
      </c>
      <c r="N22" s="69" t="n">
        <v>0.12</v>
      </c>
      <c r="O22" s="69" t="n">
        <v>0.26</v>
      </c>
      <c r="P22" s="69" t="n">
        <v>0.11</v>
      </c>
      <c r="Q22" s="69" t="n">
        <v>0.1</v>
      </c>
      <c r="R22" s="69" t="n">
        <v>0.11</v>
      </c>
      <c r="S22" s="69" t="n">
        <v>1</v>
      </c>
      <c r="T22" s="69" t="n">
        <v>-0.01</v>
      </c>
      <c r="U22" s="69" t="n">
        <v>0.35</v>
      </c>
      <c r="V22" s="69" t="n">
        <v>0.23</v>
      </c>
      <c r="W22" s="69" t="n">
        <v>0.22</v>
      </c>
      <c r="X22" s="69" t="n">
        <v>0.02</v>
      </c>
      <c r="Y22" s="69" t="n">
        <v>0.15</v>
      </c>
      <c r="Z22" s="69" t="n">
        <v>0.27</v>
      </c>
      <c r="AA22" s="69" t="n">
        <v>0.22</v>
      </c>
      <c r="AB22" s="69" t="n">
        <v>0.08</v>
      </c>
      <c r="AC22" s="69" t="n">
        <v>0.11</v>
      </c>
      <c r="AD22" s="69" t="n">
        <v>0.28</v>
      </c>
      <c r="AE22" s="69" t="n">
        <v>0.24</v>
      </c>
      <c r="AF22" s="69" t="n">
        <v>0.31</v>
      </c>
      <c r="AG22" s="69" t="n">
        <v>0.12</v>
      </c>
      <c r="AH22" s="69" t="n">
        <v>0.08</v>
      </c>
      <c r="AI22" s="69" t="n">
        <v>-0.09</v>
      </c>
      <c r="AJ22" s="69" t="n">
        <v>0.17</v>
      </c>
      <c r="AK22" s="69" t="n">
        <v>0.21</v>
      </c>
      <c r="AL22" s="69" t="n">
        <v>0.03</v>
      </c>
      <c r="AM22" s="69" t="n">
        <v>0.16</v>
      </c>
      <c r="AN22" s="69" t="n">
        <v>0.18</v>
      </c>
      <c r="AO22" s="69" t="n">
        <v>0.1</v>
      </c>
      <c r="AP22" s="69" t="n">
        <v>0.1</v>
      </c>
      <c r="AQ22" s="69" t="n">
        <v>-0.13</v>
      </c>
      <c r="AR22" s="69" t="n">
        <v>0.02</v>
      </c>
      <c r="AS22" s="69" t="n">
        <v>0.21</v>
      </c>
      <c r="AT22" s="69" t="n">
        <v>0.02</v>
      </c>
      <c r="AU22" s="69" t="n">
        <v>0.08</v>
      </c>
      <c r="AV22" s="69" t="n">
        <v>0.29</v>
      </c>
      <c r="AW22" s="69" t="n">
        <v>0.32</v>
      </c>
      <c r="AX22" s="69" t="n">
        <v>0.16</v>
      </c>
      <c r="AY22" s="69" t="n">
        <v>0.05</v>
      </c>
      <c r="AZ22" s="69" t="n">
        <v>0.28</v>
      </c>
      <c r="BA22" s="69" t="n">
        <v>0.11</v>
      </c>
      <c r="BB22" s="69" t="n">
        <v>-0.02</v>
      </c>
      <c r="BC22" s="69" t="n">
        <v>0.19</v>
      </c>
      <c r="BD22" s="69" t="n">
        <v>0.34</v>
      </c>
      <c r="BE22" s="69" t="n">
        <v>0.16</v>
      </c>
      <c r="BF22" s="69" t="n">
        <v>0.22</v>
      </c>
      <c r="BG22" s="69" t="n">
        <v>0.08</v>
      </c>
      <c r="BH22" s="69" t="n">
        <v>0.24</v>
      </c>
      <c r="BI22" s="69" t="n">
        <v>0.18</v>
      </c>
      <c r="BJ22" s="69" t="n">
        <v>0.1</v>
      </c>
      <c r="BK22" s="69" t="n">
        <v>0.22</v>
      </c>
      <c r="BL22" s="69" t="n">
        <v>0.07</v>
      </c>
      <c r="BM22" s="69" t="n">
        <v>0.11</v>
      </c>
      <c r="BN22" s="69" t="n">
        <v>0.11</v>
      </c>
      <c r="BO22" s="69" t="n">
        <v>0.13</v>
      </c>
      <c r="BP22" s="69" t="n">
        <v>0.09</v>
      </c>
      <c r="BQ22" s="69" t="n">
        <v>0.3</v>
      </c>
      <c r="BR22" s="69" t="n">
        <v>0.09</v>
      </c>
      <c r="BS22" s="69" t="n">
        <v>-0.12</v>
      </c>
      <c r="BT22" s="69" t="n">
        <v>0.17</v>
      </c>
      <c r="BU22" s="69" t="n">
        <v>0.2</v>
      </c>
      <c r="BV22" s="69" t="n">
        <v>0.07</v>
      </c>
      <c r="BW22" s="69" t="n">
        <v>0.1</v>
      </c>
      <c r="BX22" s="69" t="n">
        <v>0.18</v>
      </c>
      <c r="BY22" s="69" t="n">
        <v>-0.01</v>
      </c>
      <c r="BZ22" s="69" t="n">
        <v>0.11</v>
      </c>
      <c r="CA22" s="69" t="n">
        <v>0.24</v>
      </c>
      <c r="CB22" s="69" t="n">
        <v>-0.09</v>
      </c>
      <c r="CC22" s="69" t="n">
        <v>0.1</v>
      </c>
      <c r="CD22" s="69" t="n">
        <v>0.12</v>
      </c>
      <c r="CE22" s="69" t="n">
        <v>-0.02</v>
      </c>
      <c r="CF22" s="69" t="n">
        <v>-0.09</v>
      </c>
      <c r="CG22" s="69" t="n">
        <v>0.14</v>
      </c>
      <c r="CH22" s="69" t="n">
        <v>0.15</v>
      </c>
      <c r="CI22" s="69" t="n">
        <v>-0.15</v>
      </c>
      <c r="CJ22" s="69" t="n">
        <v>0.08</v>
      </c>
      <c r="CK22" s="69" t="n">
        <v>0.09</v>
      </c>
      <c r="CL22" s="69" t="n">
        <v>-0.04</v>
      </c>
      <c r="CM22" s="69" t="n">
        <v>-0.01</v>
      </c>
      <c r="CN22" s="69" t="n">
        <v>0.07</v>
      </c>
      <c r="CO22" s="69" t="n">
        <v>0.14</v>
      </c>
      <c r="CP22" s="69" t="n">
        <v>-0.01</v>
      </c>
      <c r="CQ22" s="69" t="n">
        <v>0.08</v>
      </c>
      <c r="CR22" s="69" t="n">
        <v>0.01</v>
      </c>
      <c r="CS22" s="69" t="n">
        <v>0.04</v>
      </c>
      <c r="CT22" s="69" t="n">
        <v>0.06</v>
      </c>
      <c r="CU22" s="69" t="n">
        <v>0.05</v>
      </c>
      <c r="CV22" s="69" t="n">
        <v>0.05</v>
      </c>
      <c r="CW22" s="69" t="n">
        <v>0.15</v>
      </c>
      <c r="CX22" s="69" t="n">
        <v>0.12</v>
      </c>
      <c r="CY22" s="69" t="n">
        <v>0.04</v>
      </c>
      <c r="CZ22" s="69" t="n">
        <v>0.1</v>
      </c>
      <c r="DA22" s="69" t="n">
        <v>0.1</v>
      </c>
      <c r="DB22" s="69" t="n">
        <v>0.03</v>
      </c>
      <c r="DC22" s="69" t="n">
        <v>0.09</v>
      </c>
      <c r="DD22" s="69" t="n">
        <v>0.13</v>
      </c>
      <c r="DE22" s="69" t="n">
        <v>-0.03</v>
      </c>
      <c r="DF22" s="69" t="n">
        <v>-0.03</v>
      </c>
      <c r="DG22" s="69" t="n">
        <v>0.14</v>
      </c>
      <c r="DH22" s="69" t="n">
        <v>0</v>
      </c>
      <c r="DI22" s="69" t="n">
        <v>0.11</v>
      </c>
      <c r="DJ22" s="69" t="n">
        <v>0.06</v>
      </c>
      <c r="DK22" s="69" t="n">
        <v>0.11</v>
      </c>
      <c r="DL22" s="69" t="n">
        <v>0.17</v>
      </c>
      <c r="DM22" s="69" t="n">
        <v>0.09</v>
      </c>
      <c r="DN22" s="69" t="n">
        <v>0</v>
      </c>
      <c r="DO22" s="69" t="n">
        <v>0.09</v>
      </c>
      <c r="DP22" s="69" t="n">
        <v>0.06</v>
      </c>
      <c r="DQ22" s="69" t="n">
        <v>0.08</v>
      </c>
      <c r="DR22" s="69" t="n">
        <v>-0.07</v>
      </c>
      <c r="DS22" s="69" t="n">
        <v>0.03</v>
      </c>
      <c r="DT22" s="69" t="n">
        <v>-0.02</v>
      </c>
      <c r="DU22" s="69" t="n">
        <v>0.06</v>
      </c>
      <c r="DV22" s="69" t="n">
        <v>0.02</v>
      </c>
      <c r="DW22" s="69" t="n">
        <v>0.06</v>
      </c>
      <c r="DX22" s="69" t="n">
        <v>-0.07</v>
      </c>
      <c r="DY22" s="69" t="n">
        <v>0.04</v>
      </c>
      <c r="DZ22" s="69" t="n">
        <v>0.06</v>
      </c>
      <c r="EA22" s="69" t="n">
        <v>0.07</v>
      </c>
      <c r="EB22" s="69" t="n">
        <v>0</v>
      </c>
      <c r="EC22" s="69" t="n">
        <v>0.09</v>
      </c>
      <c r="ED22" s="69" t="n">
        <v>0.05</v>
      </c>
      <c r="EE22" s="69" t="n">
        <v>0.05</v>
      </c>
      <c r="EF22" s="69" t="n">
        <v>0.01</v>
      </c>
      <c r="EG22" s="69" t="n">
        <v>0.1</v>
      </c>
      <c r="EH22" s="69" t="n">
        <v>-0.08</v>
      </c>
      <c r="EI22" s="69" t="n">
        <v>0.01</v>
      </c>
      <c r="EJ22" s="69" t="n">
        <v>0.07</v>
      </c>
      <c r="EK22" s="69" t="n">
        <v>-0.04</v>
      </c>
      <c r="EL22" s="69" t="n">
        <v>0.02</v>
      </c>
      <c r="EM22" s="69" t="n">
        <v>0.02</v>
      </c>
      <c r="EN22" s="69" t="n">
        <v>0.06</v>
      </c>
      <c r="EO22" s="69" t="n">
        <v>-0.07</v>
      </c>
    </row>
    <row r="23" customFormat="false" ht="15" hidden="false" customHeight="false" outlineLevel="0" collapsed="false">
      <c r="A23" s="68" t="s">
        <v>238</v>
      </c>
      <c r="B23" s="69" t="n">
        <v>0.25</v>
      </c>
      <c r="C23" s="69" t="n">
        <v>0</v>
      </c>
      <c r="D23" s="69" t="n">
        <v>0.06</v>
      </c>
      <c r="E23" s="69" t="n">
        <v>0.14</v>
      </c>
      <c r="F23" s="69" t="n">
        <v>0.05</v>
      </c>
      <c r="G23" s="69" t="n">
        <v>0.02</v>
      </c>
      <c r="H23" s="69" t="n">
        <v>0.03</v>
      </c>
      <c r="I23" s="69" t="n">
        <v>0.16</v>
      </c>
      <c r="J23" s="69" t="n">
        <v>0.12</v>
      </c>
      <c r="K23" s="69" t="n">
        <v>0.13</v>
      </c>
      <c r="L23" s="69" t="n">
        <v>0.03</v>
      </c>
      <c r="M23" s="69" t="n">
        <v>0.36</v>
      </c>
      <c r="N23" s="69" t="n">
        <v>0.22</v>
      </c>
      <c r="O23" s="69" t="n">
        <v>0.07</v>
      </c>
      <c r="P23" s="69" t="n">
        <v>0.1</v>
      </c>
      <c r="Q23" s="69" t="n">
        <v>0.07</v>
      </c>
      <c r="R23" s="69" t="n">
        <v>0.13</v>
      </c>
      <c r="S23" s="69" t="n">
        <v>-0.01</v>
      </c>
      <c r="T23" s="69" t="n">
        <v>1</v>
      </c>
      <c r="U23" s="69" t="n">
        <v>0.16</v>
      </c>
      <c r="V23" s="69" t="n">
        <v>0.02</v>
      </c>
      <c r="W23" s="69" t="n">
        <v>0.09</v>
      </c>
      <c r="X23" s="69" t="n">
        <v>0.8</v>
      </c>
      <c r="Y23" s="69" t="n">
        <v>0.37</v>
      </c>
      <c r="Z23" s="69" t="n">
        <v>0.08</v>
      </c>
      <c r="AA23" s="69" t="n">
        <v>0.13</v>
      </c>
      <c r="AB23" s="69" t="n">
        <v>0.4</v>
      </c>
      <c r="AC23" s="69" t="n">
        <v>0.06</v>
      </c>
      <c r="AD23" s="69" t="n">
        <v>-0.03</v>
      </c>
      <c r="AE23" s="69" t="n">
        <v>0.17</v>
      </c>
      <c r="AF23" s="69" t="n">
        <v>0.1</v>
      </c>
      <c r="AG23" s="69" t="n">
        <v>0.07</v>
      </c>
      <c r="AH23" s="69" t="n">
        <v>0.08</v>
      </c>
      <c r="AI23" s="69" t="n">
        <v>0.05</v>
      </c>
      <c r="AJ23" s="69" t="n">
        <v>-0.03</v>
      </c>
      <c r="AK23" s="69" t="n">
        <v>0.16</v>
      </c>
      <c r="AL23" s="69" t="n">
        <v>0.31</v>
      </c>
      <c r="AM23" s="69" t="n">
        <v>0.2</v>
      </c>
      <c r="AN23" s="69" t="n">
        <v>0.29</v>
      </c>
      <c r="AO23" s="69" t="n">
        <v>0.13</v>
      </c>
      <c r="AP23" s="69" t="n">
        <v>0.26</v>
      </c>
      <c r="AQ23" s="69" t="n">
        <v>-0.01</v>
      </c>
      <c r="AR23" s="69" t="n">
        <v>0.82</v>
      </c>
      <c r="AS23" s="69" t="n">
        <v>0.11</v>
      </c>
      <c r="AT23" s="69" t="n">
        <v>0.63</v>
      </c>
      <c r="AU23" s="69" t="n">
        <v>0.08</v>
      </c>
      <c r="AV23" s="69" t="n">
        <v>0.15</v>
      </c>
      <c r="AW23" s="69" t="n">
        <v>0.08</v>
      </c>
      <c r="AX23" s="69" t="n">
        <v>0.23</v>
      </c>
      <c r="AY23" s="69" t="n">
        <v>0.25</v>
      </c>
      <c r="AZ23" s="69" t="n">
        <v>0.13</v>
      </c>
      <c r="BA23" s="69" t="n">
        <v>0.33</v>
      </c>
      <c r="BB23" s="69" t="n">
        <v>0.75</v>
      </c>
      <c r="BC23" s="69" t="n">
        <v>0.07</v>
      </c>
      <c r="BD23" s="69" t="n">
        <v>0.09</v>
      </c>
      <c r="BE23" s="69" t="n">
        <v>0.17</v>
      </c>
      <c r="BF23" s="69" t="n">
        <v>0.16</v>
      </c>
      <c r="BG23" s="69" t="n">
        <v>0.3</v>
      </c>
      <c r="BH23" s="69" t="n">
        <v>0.1</v>
      </c>
      <c r="BI23" s="69" t="n">
        <v>0.13</v>
      </c>
      <c r="BJ23" s="69" t="n">
        <v>0.04</v>
      </c>
      <c r="BK23" s="69" t="n">
        <v>0.18</v>
      </c>
      <c r="BL23" s="69" t="n">
        <v>0.31</v>
      </c>
      <c r="BM23" s="69" t="n">
        <v>0.22</v>
      </c>
      <c r="BN23" s="69" t="n">
        <v>0.13</v>
      </c>
      <c r="BO23" s="69" t="n">
        <v>0.24</v>
      </c>
      <c r="BP23" s="69" t="n">
        <v>0.15</v>
      </c>
      <c r="BQ23" s="69" t="n">
        <v>0.26</v>
      </c>
      <c r="BR23" s="69" t="n">
        <v>0.37</v>
      </c>
      <c r="BS23" s="69" t="n">
        <v>0</v>
      </c>
      <c r="BT23" s="69" t="n">
        <v>0.47</v>
      </c>
      <c r="BU23" s="69" t="n">
        <v>0.17</v>
      </c>
      <c r="BV23" s="69" t="n">
        <v>0.25</v>
      </c>
      <c r="BW23" s="69" t="n">
        <v>0.23</v>
      </c>
      <c r="BX23" s="69" t="n">
        <v>0.14</v>
      </c>
      <c r="BY23" s="69" t="n">
        <v>0.28</v>
      </c>
      <c r="BZ23" s="69" t="n">
        <v>0.32</v>
      </c>
      <c r="CA23" s="69" t="n">
        <v>0.06</v>
      </c>
      <c r="CB23" s="69" t="n">
        <v>0.02</v>
      </c>
      <c r="CC23" s="69" t="n">
        <v>0.16</v>
      </c>
      <c r="CD23" s="69" t="n">
        <v>0.25</v>
      </c>
      <c r="CE23" s="69" t="n">
        <v>0.28</v>
      </c>
      <c r="CF23" s="69" t="n">
        <v>0.01</v>
      </c>
      <c r="CG23" s="69" t="n">
        <v>0.37</v>
      </c>
      <c r="CH23" s="69" t="n">
        <v>0.19</v>
      </c>
      <c r="CI23" s="69" t="n">
        <v>-0.03</v>
      </c>
      <c r="CJ23" s="69" t="n">
        <v>0.09</v>
      </c>
      <c r="CK23" s="69" t="n">
        <v>0.23</v>
      </c>
      <c r="CL23" s="69" t="n">
        <v>0.21</v>
      </c>
      <c r="CM23" s="69" t="n">
        <v>0.17</v>
      </c>
      <c r="CN23" s="69" t="n">
        <v>0.09</v>
      </c>
      <c r="CO23" s="69" t="n">
        <v>0.09</v>
      </c>
      <c r="CP23" s="69" t="n">
        <v>0.15</v>
      </c>
      <c r="CQ23" s="69" t="n">
        <v>0.47</v>
      </c>
      <c r="CR23" s="69" t="n">
        <v>0.2</v>
      </c>
      <c r="CS23" s="69" t="n">
        <v>0.34</v>
      </c>
      <c r="CT23" s="69" t="n">
        <v>0.26</v>
      </c>
      <c r="CU23" s="69" t="n">
        <v>0.13</v>
      </c>
      <c r="CV23" s="69" t="n">
        <v>0.23</v>
      </c>
      <c r="CW23" s="69" t="n">
        <v>0.25</v>
      </c>
      <c r="CX23" s="69" t="n">
        <v>0.36</v>
      </c>
      <c r="CY23" s="69" t="n">
        <v>0.43</v>
      </c>
      <c r="CZ23" s="69" t="n">
        <v>0.16</v>
      </c>
      <c r="DA23" s="69" t="n">
        <v>0.15</v>
      </c>
      <c r="DB23" s="69" t="n">
        <v>0.19</v>
      </c>
      <c r="DC23" s="69" t="n">
        <v>0.31</v>
      </c>
      <c r="DD23" s="69" t="n">
        <v>0.25</v>
      </c>
      <c r="DE23" s="69" t="n">
        <v>0.24</v>
      </c>
      <c r="DF23" s="69" t="n">
        <v>0.07</v>
      </c>
      <c r="DG23" s="69" t="n">
        <v>0.19</v>
      </c>
      <c r="DH23" s="69" t="n">
        <v>0.18</v>
      </c>
      <c r="DI23" s="69" t="n">
        <v>0.4</v>
      </c>
      <c r="DJ23" s="69" t="n">
        <v>0.4</v>
      </c>
      <c r="DK23" s="69" t="n">
        <v>0.43</v>
      </c>
      <c r="DL23" s="69" t="n">
        <v>0.04</v>
      </c>
      <c r="DM23" s="69" t="n">
        <v>0.45</v>
      </c>
      <c r="DN23" s="69" t="n">
        <v>0.22</v>
      </c>
      <c r="DO23" s="69" t="n">
        <v>0.24</v>
      </c>
      <c r="DP23" s="69" t="n">
        <v>0.38</v>
      </c>
      <c r="DQ23" s="69" t="n">
        <v>0.15</v>
      </c>
      <c r="DR23" s="69" t="n">
        <v>0.24</v>
      </c>
      <c r="DS23" s="69" t="n">
        <v>0.26</v>
      </c>
      <c r="DT23" s="69" t="n">
        <v>0.17</v>
      </c>
      <c r="DU23" s="69" t="n">
        <v>0.33</v>
      </c>
      <c r="DV23" s="69" t="n">
        <v>0.12</v>
      </c>
      <c r="DW23" s="69" t="n">
        <v>0.23</v>
      </c>
      <c r="DX23" s="69" t="n">
        <v>0.22</v>
      </c>
      <c r="DY23" s="69" t="n">
        <v>0.35</v>
      </c>
      <c r="DZ23" s="69" t="n">
        <v>0.11</v>
      </c>
      <c r="EA23" s="69" t="n">
        <v>0.13</v>
      </c>
      <c r="EB23" s="69" t="n">
        <v>0.38</v>
      </c>
      <c r="EC23" s="69" t="n">
        <v>0.05</v>
      </c>
      <c r="ED23" s="69" t="n">
        <v>0.19</v>
      </c>
      <c r="EE23" s="69" t="n">
        <v>0.16</v>
      </c>
      <c r="EF23" s="69" t="n">
        <v>0.28</v>
      </c>
      <c r="EG23" s="69" t="n">
        <v>0.14</v>
      </c>
      <c r="EH23" s="69" t="n">
        <v>0.13</v>
      </c>
      <c r="EI23" s="69" t="n">
        <v>0.08</v>
      </c>
      <c r="EJ23" s="69" t="n">
        <v>0.2</v>
      </c>
      <c r="EK23" s="69" t="n">
        <v>0.2</v>
      </c>
      <c r="EL23" s="69" t="n">
        <v>0.22</v>
      </c>
      <c r="EM23" s="69" t="n">
        <v>0.1</v>
      </c>
      <c r="EN23" s="69" t="n">
        <v>0.02</v>
      </c>
      <c r="EO23" s="69" t="n">
        <v>0.04</v>
      </c>
    </row>
    <row r="24" customFormat="false" ht="15" hidden="false" customHeight="false" outlineLevel="0" collapsed="false">
      <c r="A24" s="68" t="s">
        <v>240</v>
      </c>
      <c r="B24" s="69" t="n">
        <v>0.08</v>
      </c>
      <c r="C24" s="69" t="n">
        <v>0.12</v>
      </c>
      <c r="D24" s="69" t="n">
        <v>0.12</v>
      </c>
      <c r="E24" s="69" t="n">
        <v>0.32</v>
      </c>
      <c r="F24" s="69" t="n">
        <v>0.07</v>
      </c>
      <c r="G24" s="69" t="n">
        <v>0.07</v>
      </c>
      <c r="H24" s="69" t="n">
        <v>0.3</v>
      </c>
      <c r="I24" s="69" t="n">
        <v>0.07</v>
      </c>
      <c r="J24" s="69" t="n">
        <v>0.1</v>
      </c>
      <c r="K24" s="69" t="n">
        <v>0.11</v>
      </c>
      <c r="L24" s="69" t="n">
        <v>0.32</v>
      </c>
      <c r="M24" s="69" t="n">
        <v>0.29</v>
      </c>
      <c r="N24" s="69" t="n">
        <v>0.15</v>
      </c>
      <c r="O24" s="69" t="n">
        <v>0.42</v>
      </c>
      <c r="P24" s="69" t="n">
        <v>0.13</v>
      </c>
      <c r="Q24" s="69" t="n">
        <v>-0.05</v>
      </c>
      <c r="R24" s="69" t="n">
        <v>0.08</v>
      </c>
      <c r="S24" s="69" t="n">
        <v>0.35</v>
      </c>
      <c r="T24" s="69" t="n">
        <v>0.16</v>
      </c>
      <c r="U24" s="69" t="n">
        <v>1</v>
      </c>
      <c r="V24" s="69" t="n">
        <v>0.3</v>
      </c>
      <c r="W24" s="69" t="n">
        <v>0.28</v>
      </c>
      <c r="X24" s="69" t="n">
        <v>0.21</v>
      </c>
      <c r="Y24" s="69" t="n">
        <v>0.06</v>
      </c>
      <c r="Z24" s="69" t="n">
        <v>0.29</v>
      </c>
      <c r="AA24" s="69" t="n">
        <v>0.29</v>
      </c>
      <c r="AB24" s="69" t="n">
        <v>0.05</v>
      </c>
      <c r="AC24" s="69" t="n">
        <v>0.25</v>
      </c>
      <c r="AD24" s="69" t="n">
        <v>0.27</v>
      </c>
      <c r="AE24" s="69" t="n">
        <v>0.34</v>
      </c>
      <c r="AF24" s="69" t="n">
        <v>0.41</v>
      </c>
      <c r="AG24" s="69" t="n">
        <v>0.07</v>
      </c>
      <c r="AH24" s="69" t="n">
        <v>0.1</v>
      </c>
      <c r="AI24" s="69" t="n">
        <v>-0.08</v>
      </c>
      <c r="AJ24" s="69" t="n">
        <v>0.31</v>
      </c>
      <c r="AK24" s="69" t="n">
        <v>0.54</v>
      </c>
      <c r="AL24" s="69" t="n">
        <v>0.12</v>
      </c>
      <c r="AM24" s="69" t="n">
        <v>0.29</v>
      </c>
      <c r="AN24" s="69" t="n">
        <v>0.23</v>
      </c>
      <c r="AO24" s="69" t="n">
        <v>0.1</v>
      </c>
      <c r="AP24" s="69" t="n">
        <v>0.19</v>
      </c>
      <c r="AQ24" s="69" t="n">
        <v>-0.1</v>
      </c>
      <c r="AR24" s="69" t="n">
        <v>0.11</v>
      </c>
      <c r="AS24" s="69" t="n">
        <v>0.48</v>
      </c>
      <c r="AT24" s="69" t="n">
        <v>0.12</v>
      </c>
      <c r="AU24" s="69" t="n">
        <v>0.09</v>
      </c>
      <c r="AV24" s="69" t="n">
        <v>0.37</v>
      </c>
      <c r="AW24" s="69" t="n">
        <v>0.35</v>
      </c>
      <c r="AX24" s="69" t="n">
        <v>0.15</v>
      </c>
      <c r="AY24" s="69" t="n">
        <v>0.05</v>
      </c>
      <c r="AZ24" s="69" t="n">
        <v>0.29</v>
      </c>
      <c r="BA24" s="69" t="n">
        <v>0.22</v>
      </c>
      <c r="BB24" s="69" t="n">
        <v>0.18</v>
      </c>
      <c r="BC24" s="69" t="n">
        <v>0.17</v>
      </c>
      <c r="BD24" s="69" t="n">
        <v>0.5</v>
      </c>
      <c r="BE24" s="69" t="n">
        <v>0.23</v>
      </c>
      <c r="BF24" s="69" t="n">
        <v>0.32</v>
      </c>
      <c r="BG24" s="69" t="n">
        <v>0.06</v>
      </c>
      <c r="BH24" s="69" t="n">
        <v>0.35</v>
      </c>
      <c r="BI24" s="69" t="n">
        <v>0.15</v>
      </c>
      <c r="BJ24" s="69" t="n">
        <v>0.07</v>
      </c>
      <c r="BK24" s="69" t="n">
        <v>0.24</v>
      </c>
      <c r="BL24" s="69" t="n">
        <v>0.19</v>
      </c>
      <c r="BM24" s="69" t="n">
        <v>0.17</v>
      </c>
      <c r="BN24" s="69" t="n">
        <v>0.05</v>
      </c>
      <c r="BO24" s="69" t="n">
        <v>0.17</v>
      </c>
      <c r="BP24" s="69" t="n">
        <v>0.12</v>
      </c>
      <c r="BQ24" s="69" t="n">
        <v>0.34</v>
      </c>
      <c r="BR24" s="69" t="n">
        <v>0.13</v>
      </c>
      <c r="BS24" s="69" t="n">
        <v>-0.09</v>
      </c>
      <c r="BT24" s="69" t="n">
        <v>0.2</v>
      </c>
      <c r="BU24" s="69" t="n">
        <v>0.29</v>
      </c>
      <c r="BV24" s="69" t="n">
        <v>0.16</v>
      </c>
      <c r="BW24" s="69" t="n">
        <v>0.13</v>
      </c>
      <c r="BX24" s="69" t="n">
        <v>0.06</v>
      </c>
      <c r="BY24" s="69" t="n">
        <v>0.15</v>
      </c>
      <c r="BZ24" s="69" t="n">
        <v>0.2</v>
      </c>
      <c r="CA24" s="69" t="n">
        <v>0.45</v>
      </c>
      <c r="CB24" s="69" t="n">
        <v>0.01</v>
      </c>
      <c r="CC24" s="69" t="n">
        <v>0.07</v>
      </c>
      <c r="CD24" s="69" t="n">
        <v>0.1</v>
      </c>
      <c r="CE24" s="69" t="n">
        <v>0.11</v>
      </c>
      <c r="CF24" s="69" t="n">
        <v>-0.09</v>
      </c>
      <c r="CG24" s="69" t="n">
        <v>0.13</v>
      </c>
      <c r="CH24" s="69" t="n">
        <v>0.41</v>
      </c>
      <c r="CI24" s="69" t="n">
        <v>-0.08</v>
      </c>
      <c r="CJ24" s="69" t="n">
        <v>0.13</v>
      </c>
      <c r="CK24" s="69" t="n">
        <v>0.13</v>
      </c>
      <c r="CL24" s="69" t="n">
        <v>0.14</v>
      </c>
      <c r="CM24" s="69" t="n">
        <v>0.14</v>
      </c>
      <c r="CN24" s="69" t="n">
        <v>0.33</v>
      </c>
      <c r="CO24" s="69" t="n">
        <v>0.2</v>
      </c>
      <c r="CP24" s="69" t="n">
        <v>0.08</v>
      </c>
      <c r="CQ24" s="69" t="n">
        <v>0.17</v>
      </c>
      <c r="CR24" s="69" t="n">
        <v>0.17</v>
      </c>
      <c r="CS24" s="69" t="n">
        <v>0.18</v>
      </c>
      <c r="CT24" s="69" t="n">
        <v>0.27</v>
      </c>
      <c r="CU24" s="69" t="n">
        <v>0.12</v>
      </c>
      <c r="CV24" s="69" t="n">
        <v>0.13</v>
      </c>
      <c r="CW24" s="69" t="n">
        <v>0.2</v>
      </c>
      <c r="CX24" s="69" t="n">
        <v>0.21</v>
      </c>
      <c r="CY24" s="69" t="n">
        <v>0.1</v>
      </c>
      <c r="CZ24" s="69" t="n">
        <v>0.17</v>
      </c>
      <c r="DA24" s="69" t="n">
        <v>0.04</v>
      </c>
      <c r="DB24" s="69" t="n">
        <v>0.27</v>
      </c>
      <c r="DC24" s="69" t="n">
        <v>0.2</v>
      </c>
      <c r="DD24" s="69" t="n">
        <v>0.16</v>
      </c>
      <c r="DE24" s="69" t="n">
        <v>0.22</v>
      </c>
      <c r="DF24" s="69" t="n">
        <v>0.06</v>
      </c>
      <c r="DG24" s="69" t="n">
        <v>0.19</v>
      </c>
      <c r="DH24" s="69" t="n">
        <v>0.11</v>
      </c>
      <c r="DI24" s="69" t="n">
        <v>0.15</v>
      </c>
      <c r="DJ24" s="69" t="n">
        <v>0.07</v>
      </c>
      <c r="DK24" s="69" t="n">
        <v>0.15</v>
      </c>
      <c r="DL24" s="69" t="n">
        <v>0.3</v>
      </c>
      <c r="DM24" s="69" t="n">
        <v>0.16</v>
      </c>
      <c r="DN24" s="69" t="n">
        <v>0.06</v>
      </c>
      <c r="DO24" s="69" t="n">
        <v>0.1</v>
      </c>
      <c r="DP24" s="69" t="n">
        <v>0.13</v>
      </c>
      <c r="DQ24" s="69" t="n">
        <v>0.11</v>
      </c>
      <c r="DR24" s="69" t="n">
        <v>0.14</v>
      </c>
      <c r="DS24" s="69" t="n">
        <v>0.02</v>
      </c>
      <c r="DT24" s="69" t="n">
        <v>0.11</v>
      </c>
      <c r="DU24" s="69" t="n">
        <v>0.21</v>
      </c>
      <c r="DV24" s="69" t="n">
        <v>0.12</v>
      </c>
      <c r="DW24" s="69" t="n">
        <v>0.11</v>
      </c>
      <c r="DX24" s="69" t="n">
        <v>0.13</v>
      </c>
      <c r="DY24" s="69" t="n">
        <v>0.13</v>
      </c>
      <c r="DZ24" s="69" t="n">
        <v>0.07</v>
      </c>
      <c r="EA24" s="69" t="n">
        <v>0.09</v>
      </c>
      <c r="EB24" s="69" t="n">
        <v>0.18</v>
      </c>
      <c r="EC24" s="69" t="n">
        <v>0.12</v>
      </c>
      <c r="ED24" s="69" t="n">
        <v>0.21</v>
      </c>
      <c r="EE24" s="69" t="n">
        <v>0.12</v>
      </c>
      <c r="EF24" s="69" t="n">
        <v>0.07</v>
      </c>
      <c r="EG24" s="69" t="n">
        <v>0.09</v>
      </c>
      <c r="EH24" s="69" t="n">
        <v>-0.03</v>
      </c>
      <c r="EI24" s="69" t="n">
        <v>0.02</v>
      </c>
      <c r="EJ24" s="69" t="n">
        <v>0.19</v>
      </c>
      <c r="EK24" s="69" t="n">
        <v>0.13</v>
      </c>
      <c r="EL24" s="69" t="n">
        <v>0.21</v>
      </c>
      <c r="EM24" s="69" t="n">
        <v>0.09</v>
      </c>
      <c r="EN24" s="69" t="n">
        <v>0.18</v>
      </c>
      <c r="EO24" s="69" t="n">
        <v>0.04</v>
      </c>
    </row>
    <row r="25" customFormat="false" ht="15" hidden="false" customHeight="false" outlineLevel="0" collapsed="false">
      <c r="A25" s="68" t="s">
        <v>242</v>
      </c>
      <c r="B25" s="69" t="n">
        <v>0.04</v>
      </c>
      <c r="C25" s="69" t="n">
        <v>0.15</v>
      </c>
      <c r="D25" s="69" t="n">
        <v>0.03</v>
      </c>
      <c r="E25" s="69" t="n">
        <v>0.32</v>
      </c>
      <c r="F25" s="69" t="n">
        <v>0.05</v>
      </c>
      <c r="G25" s="69" t="n">
        <v>0.14</v>
      </c>
      <c r="H25" s="69" t="n">
        <v>0.37</v>
      </c>
      <c r="I25" s="69" t="n">
        <v>0.12</v>
      </c>
      <c r="J25" s="69" t="n">
        <v>-0.02</v>
      </c>
      <c r="K25" s="69" t="n">
        <v>0.15</v>
      </c>
      <c r="L25" s="69" t="n">
        <v>0.29</v>
      </c>
      <c r="M25" s="69" t="n">
        <v>0.29</v>
      </c>
      <c r="N25" s="69" t="n">
        <v>0.03</v>
      </c>
      <c r="O25" s="69" t="n">
        <v>0.42</v>
      </c>
      <c r="P25" s="69" t="n">
        <v>0.03</v>
      </c>
      <c r="Q25" s="69" t="n">
        <v>-0.02</v>
      </c>
      <c r="R25" s="69" t="n">
        <v>0.09</v>
      </c>
      <c r="S25" s="69" t="n">
        <v>0.23</v>
      </c>
      <c r="T25" s="69" t="n">
        <v>0.02</v>
      </c>
      <c r="U25" s="69" t="n">
        <v>0.3</v>
      </c>
      <c r="V25" s="69" t="n">
        <v>1</v>
      </c>
      <c r="W25" s="69" t="n">
        <v>0.19</v>
      </c>
      <c r="X25" s="69" t="n">
        <v>0.05</v>
      </c>
      <c r="Y25" s="69" t="n">
        <v>0.08</v>
      </c>
      <c r="Z25" s="69" t="n">
        <v>0.33</v>
      </c>
      <c r="AA25" s="69" t="n">
        <v>0.26</v>
      </c>
      <c r="AB25" s="69" t="n">
        <v>0.04</v>
      </c>
      <c r="AC25" s="69" t="n">
        <v>0.3</v>
      </c>
      <c r="AD25" s="69" t="n">
        <v>0.27</v>
      </c>
      <c r="AE25" s="69" t="n">
        <v>0.26</v>
      </c>
      <c r="AF25" s="69" t="n">
        <v>0.42</v>
      </c>
      <c r="AG25" s="69" t="n">
        <v>0.01</v>
      </c>
      <c r="AH25" s="69" t="n">
        <v>-0.09</v>
      </c>
      <c r="AI25" s="69" t="n">
        <v>-0.17</v>
      </c>
      <c r="AJ25" s="69" t="n">
        <v>0.19</v>
      </c>
      <c r="AK25" s="69" t="n">
        <v>0.38</v>
      </c>
      <c r="AL25" s="69" t="n">
        <v>0.05</v>
      </c>
      <c r="AM25" s="69" t="n">
        <v>0.16</v>
      </c>
      <c r="AN25" s="69" t="n">
        <v>0.18</v>
      </c>
      <c r="AO25" s="69" t="n">
        <v>-0.03</v>
      </c>
      <c r="AP25" s="69" t="n">
        <v>0.13</v>
      </c>
      <c r="AQ25" s="69" t="n">
        <v>-0.06</v>
      </c>
      <c r="AR25" s="69" t="n">
        <v>-0.05</v>
      </c>
      <c r="AS25" s="69" t="n">
        <v>0.3</v>
      </c>
      <c r="AT25" s="69" t="n">
        <v>0.06</v>
      </c>
      <c r="AU25" s="69" t="n">
        <v>0.03</v>
      </c>
      <c r="AV25" s="69" t="n">
        <v>0.25</v>
      </c>
      <c r="AW25" s="69" t="n">
        <v>0.35</v>
      </c>
      <c r="AX25" s="69" t="n">
        <v>0.03</v>
      </c>
      <c r="AY25" s="69" t="n">
        <v>0.08</v>
      </c>
      <c r="AZ25" s="69" t="n">
        <v>0.28</v>
      </c>
      <c r="BA25" s="69" t="n">
        <v>0.09</v>
      </c>
      <c r="BB25" s="69" t="n">
        <v>0.05</v>
      </c>
      <c r="BC25" s="69" t="n">
        <v>0.13</v>
      </c>
      <c r="BD25" s="69" t="n">
        <v>0.22</v>
      </c>
      <c r="BE25" s="69" t="n">
        <v>0.03</v>
      </c>
      <c r="BF25" s="69" t="n">
        <v>0.27</v>
      </c>
      <c r="BG25" s="69" t="n">
        <v>-0.03</v>
      </c>
      <c r="BH25" s="69" t="n">
        <v>0.24</v>
      </c>
      <c r="BI25" s="69" t="n">
        <v>0.23</v>
      </c>
      <c r="BJ25" s="69" t="n">
        <v>-0.01</v>
      </c>
      <c r="BK25" s="69" t="n">
        <v>0.18</v>
      </c>
      <c r="BL25" s="69" t="n">
        <v>0.15</v>
      </c>
      <c r="BM25" s="69" t="n">
        <v>0.12</v>
      </c>
      <c r="BN25" s="69" t="n">
        <v>0.02</v>
      </c>
      <c r="BO25" s="69" t="n">
        <v>-0.04</v>
      </c>
      <c r="BP25" s="69" t="n">
        <v>0.02</v>
      </c>
      <c r="BQ25" s="69" t="n">
        <v>0.28</v>
      </c>
      <c r="BR25" s="69" t="n">
        <v>0.09</v>
      </c>
      <c r="BS25" s="69" t="n">
        <v>-0.09</v>
      </c>
      <c r="BT25" s="69" t="n">
        <v>0.06</v>
      </c>
      <c r="BU25" s="69" t="n">
        <v>0.11</v>
      </c>
      <c r="BV25" s="69" t="n">
        <v>0.05</v>
      </c>
      <c r="BW25" s="69" t="n">
        <v>0.04</v>
      </c>
      <c r="BX25" s="69" t="n">
        <v>-0.09</v>
      </c>
      <c r="BY25" s="69" t="n">
        <v>0.15</v>
      </c>
      <c r="BZ25" s="69" t="n">
        <v>0.07</v>
      </c>
      <c r="CA25" s="69" t="n">
        <v>0.44</v>
      </c>
      <c r="CB25" s="69" t="n">
        <v>-0.12</v>
      </c>
      <c r="CC25" s="69" t="n">
        <v>-0.03</v>
      </c>
      <c r="CD25" s="69" t="n">
        <v>0</v>
      </c>
      <c r="CE25" s="69" t="n">
        <v>0.05</v>
      </c>
      <c r="CF25" s="69" t="n">
        <v>-0.09</v>
      </c>
      <c r="CG25" s="69" t="n">
        <v>0.01</v>
      </c>
      <c r="CH25" s="69" t="n">
        <v>0.39</v>
      </c>
      <c r="CI25" s="69" t="n">
        <v>-0.13</v>
      </c>
      <c r="CJ25" s="69" t="n">
        <v>-0.05</v>
      </c>
      <c r="CK25" s="69" t="n">
        <v>0.1</v>
      </c>
      <c r="CL25" s="69" t="n">
        <v>0.1</v>
      </c>
      <c r="CM25" s="69" t="n">
        <v>-0.02</v>
      </c>
      <c r="CN25" s="69" t="n">
        <v>0.18</v>
      </c>
      <c r="CO25" s="69" t="n">
        <v>0.17</v>
      </c>
      <c r="CP25" s="69" t="n">
        <v>-0.1</v>
      </c>
      <c r="CQ25" s="69" t="n">
        <v>0.09</v>
      </c>
      <c r="CR25" s="69" t="n">
        <v>0.06</v>
      </c>
      <c r="CS25" s="69" t="n">
        <v>0.02</v>
      </c>
      <c r="CT25" s="69" t="n">
        <v>0.18</v>
      </c>
      <c r="CU25" s="69" t="n">
        <v>0.07</v>
      </c>
      <c r="CV25" s="69" t="n">
        <v>0.13</v>
      </c>
      <c r="CW25" s="69" t="n">
        <v>0.06</v>
      </c>
      <c r="CX25" s="69" t="n">
        <v>0.03</v>
      </c>
      <c r="CY25" s="69" t="n">
        <v>0.11</v>
      </c>
      <c r="CZ25" s="69" t="n">
        <v>-0.03</v>
      </c>
      <c r="DA25" s="69" t="n">
        <v>0.01</v>
      </c>
      <c r="DB25" s="69" t="n">
        <v>0.13</v>
      </c>
      <c r="DC25" s="69" t="n">
        <v>0.21</v>
      </c>
      <c r="DD25" s="69" t="n">
        <v>0.15</v>
      </c>
      <c r="DE25" s="69" t="n">
        <v>0.15</v>
      </c>
      <c r="DF25" s="69" t="n">
        <v>-0.05</v>
      </c>
      <c r="DG25" s="69" t="n">
        <v>0.22</v>
      </c>
      <c r="DH25" s="69" t="n">
        <v>-0.01</v>
      </c>
      <c r="DI25" s="69" t="n">
        <v>0.1</v>
      </c>
      <c r="DJ25" s="69" t="n">
        <v>0.1</v>
      </c>
      <c r="DK25" s="69" t="n">
        <v>0.11</v>
      </c>
      <c r="DL25" s="69" t="n">
        <v>0.32</v>
      </c>
      <c r="DM25" s="69" t="n">
        <v>0.19</v>
      </c>
      <c r="DN25" s="69" t="n">
        <v>0.15</v>
      </c>
      <c r="DO25" s="69" t="n">
        <v>0.07</v>
      </c>
      <c r="DP25" s="69" t="n">
        <v>0.09</v>
      </c>
      <c r="DQ25" s="69" t="n">
        <v>0.05</v>
      </c>
      <c r="DR25" s="69" t="n">
        <v>0.05</v>
      </c>
      <c r="DS25" s="69" t="n">
        <v>-0.06</v>
      </c>
      <c r="DT25" s="69" t="n">
        <v>0</v>
      </c>
      <c r="DU25" s="69" t="n">
        <v>0.04</v>
      </c>
      <c r="DV25" s="69" t="n">
        <v>0.01</v>
      </c>
      <c r="DW25" s="69" t="n">
        <v>-0.03</v>
      </c>
      <c r="DX25" s="69" t="n">
        <v>0.03</v>
      </c>
      <c r="DY25" s="69" t="n">
        <v>0.09</v>
      </c>
      <c r="DZ25" s="69" t="n">
        <v>-0.08</v>
      </c>
      <c r="EA25" s="69" t="n">
        <v>0.06</v>
      </c>
      <c r="EB25" s="69" t="n">
        <v>0.05</v>
      </c>
      <c r="EC25" s="69" t="n">
        <v>0.15</v>
      </c>
      <c r="ED25" s="69" t="n">
        <v>0.16</v>
      </c>
      <c r="EE25" s="69" t="n">
        <v>0.04</v>
      </c>
      <c r="EF25" s="69" t="n">
        <v>0.06</v>
      </c>
      <c r="EG25" s="69" t="n">
        <v>0</v>
      </c>
      <c r="EH25" s="69" t="n">
        <v>-0.07</v>
      </c>
      <c r="EI25" s="69" t="n">
        <v>-0.02</v>
      </c>
      <c r="EJ25" s="69" t="n">
        <v>0.06</v>
      </c>
      <c r="EK25" s="69" t="n">
        <v>0.03</v>
      </c>
      <c r="EL25" s="69" t="n">
        <v>0.11</v>
      </c>
      <c r="EM25" s="69" t="n">
        <v>-0.09</v>
      </c>
      <c r="EN25" s="69" t="n">
        <v>-0.01</v>
      </c>
      <c r="EO25" s="69" t="n">
        <v>-0.01</v>
      </c>
    </row>
    <row r="26" customFormat="false" ht="15" hidden="false" customHeight="false" outlineLevel="0" collapsed="false">
      <c r="A26" s="68" t="s">
        <v>244</v>
      </c>
      <c r="B26" s="69" t="n">
        <v>0.03</v>
      </c>
      <c r="C26" s="69" t="n">
        <v>0.14</v>
      </c>
      <c r="D26" s="69" t="n">
        <v>-0.04</v>
      </c>
      <c r="E26" s="69" t="n">
        <v>0.27</v>
      </c>
      <c r="F26" s="69" t="n">
        <v>0.13</v>
      </c>
      <c r="G26" s="69" t="n">
        <v>0.05</v>
      </c>
      <c r="H26" s="69" t="n">
        <v>0.15</v>
      </c>
      <c r="I26" s="69" t="n">
        <v>0.19</v>
      </c>
      <c r="J26" s="69" t="n">
        <v>0.16</v>
      </c>
      <c r="K26" s="69" t="n">
        <v>0.19</v>
      </c>
      <c r="L26" s="69" t="n">
        <v>0.19</v>
      </c>
      <c r="M26" s="69" t="n">
        <v>0.17</v>
      </c>
      <c r="N26" s="69" t="n">
        <v>0.08</v>
      </c>
      <c r="O26" s="69" t="n">
        <v>0.33</v>
      </c>
      <c r="P26" s="69" t="n">
        <v>0.19</v>
      </c>
      <c r="Q26" s="69" t="n">
        <v>0.02</v>
      </c>
      <c r="R26" s="69" t="n">
        <v>0.17</v>
      </c>
      <c r="S26" s="69" t="n">
        <v>0.22</v>
      </c>
      <c r="T26" s="69" t="n">
        <v>0.09</v>
      </c>
      <c r="U26" s="69" t="n">
        <v>0.28</v>
      </c>
      <c r="V26" s="69" t="n">
        <v>0.19</v>
      </c>
      <c r="W26" s="69" t="n">
        <v>1</v>
      </c>
      <c r="X26" s="69" t="n">
        <v>0.13</v>
      </c>
      <c r="Y26" s="69" t="n">
        <v>0.03</v>
      </c>
      <c r="Z26" s="69" t="n">
        <v>0.22</v>
      </c>
      <c r="AA26" s="69" t="n">
        <v>0.46</v>
      </c>
      <c r="AB26" s="69" t="n">
        <v>0.04</v>
      </c>
      <c r="AC26" s="69" t="n">
        <v>0.14</v>
      </c>
      <c r="AD26" s="69" t="n">
        <v>0.36</v>
      </c>
      <c r="AE26" s="69" t="n">
        <v>0.15</v>
      </c>
      <c r="AF26" s="69" t="n">
        <v>0.33</v>
      </c>
      <c r="AG26" s="69" t="n">
        <v>0.09</v>
      </c>
      <c r="AH26" s="69" t="n">
        <v>0.1</v>
      </c>
      <c r="AI26" s="69" t="n">
        <v>0.04</v>
      </c>
      <c r="AJ26" s="69" t="n">
        <v>0.13</v>
      </c>
      <c r="AK26" s="69" t="n">
        <v>0.33</v>
      </c>
      <c r="AL26" s="69" t="n">
        <v>0.03</v>
      </c>
      <c r="AM26" s="69" t="n">
        <v>0.12</v>
      </c>
      <c r="AN26" s="69" t="n">
        <v>0.08</v>
      </c>
      <c r="AO26" s="69" t="n">
        <v>0.11</v>
      </c>
      <c r="AP26" s="69" t="n">
        <v>0.1</v>
      </c>
      <c r="AQ26" s="69" t="n">
        <v>0.06</v>
      </c>
      <c r="AR26" s="69" t="n">
        <v>0.1</v>
      </c>
      <c r="AS26" s="69" t="n">
        <v>0.22</v>
      </c>
      <c r="AT26" s="69" t="n">
        <v>0.12</v>
      </c>
      <c r="AU26" s="69" t="n">
        <v>0.15</v>
      </c>
      <c r="AV26" s="69" t="n">
        <v>0.39</v>
      </c>
      <c r="AW26" s="69" t="n">
        <v>0.24</v>
      </c>
      <c r="AX26" s="69" t="n">
        <v>0.15</v>
      </c>
      <c r="AY26" s="69" t="n">
        <v>0.16</v>
      </c>
      <c r="AZ26" s="69" t="n">
        <v>0.13</v>
      </c>
      <c r="BA26" s="69" t="n">
        <v>0.07</v>
      </c>
      <c r="BB26" s="69" t="n">
        <v>0.09</v>
      </c>
      <c r="BC26" s="69" t="n">
        <v>0.12</v>
      </c>
      <c r="BD26" s="69" t="n">
        <v>0.26</v>
      </c>
      <c r="BE26" s="69" t="n">
        <v>0.11</v>
      </c>
      <c r="BF26" s="69" t="n">
        <v>0.22</v>
      </c>
      <c r="BG26" s="69" t="n">
        <v>-0.09</v>
      </c>
      <c r="BH26" s="69" t="n">
        <v>0.17</v>
      </c>
      <c r="BI26" s="69" t="n">
        <v>0.06</v>
      </c>
      <c r="BJ26" s="69" t="n">
        <v>0</v>
      </c>
      <c r="BK26" s="69" t="n">
        <v>0.16</v>
      </c>
      <c r="BL26" s="69" t="n">
        <v>0.05</v>
      </c>
      <c r="BM26" s="69" t="n">
        <v>0.09</v>
      </c>
      <c r="BN26" s="69" t="n">
        <v>0.17</v>
      </c>
      <c r="BO26" s="69" t="n">
        <v>0.14</v>
      </c>
      <c r="BP26" s="69" t="n">
        <v>0.06</v>
      </c>
      <c r="BQ26" s="69" t="n">
        <v>0.31</v>
      </c>
      <c r="BR26" s="69" t="n">
        <v>0.08</v>
      </c>
      <c r="BS26" s="69" t="n">
        <v>-0.04</v>
      </c>
      <c r="BT26" s="69" t="n">
        <v>0.06</v>
      </c>
      <c r="BU26" s="69" t="n">
        <v>0.14</v>
      </c>
      <c r="BV26" s="69" t="n">
        <v>0.02</v>
      </c>
      <c r="BW26" s="69" t="n">
        <v>0.12</v>
      </c>
      <c r="BX26" s="69" t="n">
        <v>0.04</v>
      </c>
      <c r="BY26" s="69" t="n">
        <v>0.02</v>
      </c>
      <c r="BZ26" s="69" t="n">
        <v>0.12</v>
      </c>
      <c r="CA26" s="69" t="n">
        <v>0.18</v>
      </c>
      <c r="CB26" s="69" t="n">
        <v>0.02</v>
      </c>
      <c r="CC26" s="69" t="n">
        <v>0.15</v>
      </c>
      <c r="CD26" s="69" t="n">
        <v>0.02</v>
      </c>
      <c r="CE26" s="69" t="n">
        <v>0.06</v>
      </c>
      <c r="CF26" s="69" t="n">
        <v>-0.01</v>
      </c>
      <c r="CG26" s="69" t="n">
        <v>-0.03</v>
      </c>
      <c r="CH26" s="69" t="n">
        <v>0.25</v>
      </c>
      <c r="CI26" s="69" t="n">
        <v>-0.03</v>
      </c>
      <c r="CJ26" s="69" t="n">
        <v>0.02</v>
      </c>
      <c r="CK26" s="69" t="n">
        <v>0.03</v>
      </c>
      <c r="CL26" s="69" t="n">
        <v>-0.07</v>
      </c>
      <c r="CM26" s="69" t="n">
        <v>-0.12</v>
      </c>
      <c r="CN26" s="69" t="n">
        <v>0.14</v>
      </c>
      <c r="CO26" s="69" t="n">
        <v>0.13</v>
      </c>
      <c r="CP26" s="69" t="n">
        <v>0.11</v>
      </c>
      <c r="CQ26" s="69" t="n">
        <v>0.07</v>
      </c>
      <c r="CR26" s="69" t="n">
        <v>0.02</v>
      </c>
      <c r="CS26" s="69" t="n">
        <v>0.16</v>
      </c>
      <c r="CT26" s="69" t="n">
        <v>0.14</v>
      </c>
      <c r="CU26" s="69" t="n">
        <v>0.01</v>
      </c>
      <c r="CV26" s="69" t="n">
        <v>-0.03</v>
      </c>
      <c r="CW26" s="69" t="n">
        <v>0.08</v>
      </c>
      <c r="CX26" s="69" t="n">
        <v>0.2</v>
      </c>
      <c r="CY26" s="69" t="n">
        <v>0.04</v>
      </c>
      <c r="CZ26" s="69" t="n">
        <v>-0.04</v>
      </c>
      <c r="DA26" s="69" t="n">
        <v>-0.11</v>
      </c>
      <c r="DB26" s="69" t="n">
        <v>0.16</v>
      </c>
      <c r="DC26" s="69" t="n">
        <v>0.14</v>
      </c>
      <c r="DD26" s="69" t="n">
        <v>-0.04</v>
      </c>
      <c r="DE26" s="69" t="n">
        <v>0.14</v>
      </c>
      <c r="DF26" s="69" t="n">
        <v>-0.12</v>
      </c>
      <c r="DG26" s="69" t="n">
        <v>0.14</v>
      </c>
      <c r="DH26" s="69" t="n">
        <v>-0.02</v>
      </c>
      <c r="DI26" s="69" t="n">
        <v>0.11</v>
      </c>
      <c r="DJ26" s="69" t="n">
        <v>-0.03</v>
      </c>
      <c r="DK26" s="69" t="n">
        <v>0.08</v>
      </c>
      <c r="DL26" s="69" t="n">
        <v>0.08</v>
      </c>
      <c r="DM26" s="69" t="n">
        <v>0.08</v>
      </c>
      <c r="DN26" s="69" t="n">
        <v>0.04</v>
      </c>
      <c r="DO26" s="69" t="n">
        <v>0.09</v>
      </c>
      <c r="DP26" s="69" t="n">
        <v>-0.03</v>
      </c>
      <c r="DQ26" s="69" t="n">
        <v>0.03</v>
      </c>
      <c r="DR26" s="69" t="n">
        <v>0.09</v>
      </c>
      <c r="DS26" s="69" t="n">
        <v>0.03</v>
      </c>
      <c r="DT26" s="69" t="n">
        <v>-0.07</v>
      </c>
      <c r="DU26" s="69" t="n">
        <v>0.14</v>
      </c>
      <c r="DV26" s="69" t="n">
        <v>0.08</v>
      </c>
      <c r="DW26" s="69" t="n">
        <v>0.03</v>
      </c>
      <c r="DX26" s="69" t="n">
        <v>0.1</v>
      </c>
      <c r="DY26" s="69" t="n">
        <v>0.06</v>
      </c>
      <c r="DZ26" s="69" t="n">
        <v>0.02</v>
      </c>
      <c r="EA26" s="69" t="n">
        <v>0.07</v>
      </c>
      <c r="EB26" s="69" t="n">
        <v>0.05</v>
      </c>
      <c r="EC26" s="69" t="n">
        <v>-0.01</v>
      </c>
      <c r="ED26" s="69" t="n">
        <v>0.14</v>
      </c>
      <c r="EE26" s="69" t="n">
        <v>0.05</v>
      </c>
      <c r="EF26" s="69" t="n">
        <v>0.04</v>
      </c>
      <c r="EG26" s="69" t="n">
        <v>0.09</v>
      </c>
      <c r="EH26" s="69" t="n">
        <v>-0.02</v>
      </c>
      <c r="EI26" s="69" t="n">
        <v>0.02</v>
      </c>
      <c r="EJ26" s="69" t="n">
        <v>0</v>
      </c>
      <c r="EK26" s="69" t="n">
        <v>0.12</v>
      </c>
      <c r="EL26" s="69" t="n">
        <v>0.12</v>
      </c>
      <c r="EM26" s="69" t="n">
        <v>0.02</v>
      </c>
      <c r="EN26" s="69" t="n">
        <v>0.08</v>
      </c>
      <c r="EO26" s="69" t="n">
        <v>-0.04</v>
      </c>
    </row>
    <row r="27" customFormat="false" ht="15" hidden="false" customHeight="false" outlineLevel="0" collapsed="false">
      <c r="A27" s="68" t="s">
        <v>246</v>
      </c>
      <c r="B27" s="69" t="n">
        <v>0.33</v>
      </c>
      <c r="C27" s="69" t="n">
        <v>0.03</v>
      </c>
      <c r="D27" s="69" t="n">
        <v>0.01</v>
      </c>
      <c r="E27" s="69" t="n">
        <v>0.14</v>
      </c>
      <c r="F27" s="69" t="n">
        <v>0.04</v>
      </c>
      <c r="G27" s="69" t="n">
        <v>-0.03</v>
      </c>
      <c r="H27" s="69" t="n">
        <v>0.07</v>
      </c>
      <c r="I27" s="69" t="n">
        <v>0.17</v>
      </c>
      <c r="J27" s="69" t="n">
        <v>0.16</v>
      </c>
      <c r="K27" s="69" t="n">
        <v>0.14</v>
      </c>
      <c r="L27" s="69" t="n">
        <v>0.05</v>
      </c>
      <c r="M27" s="69" t="n">
        <v>0.34</v>
      </c>
      <c r="N27" s="69" t="n">
        <v>0.23</v>
      </c>
      <c r="O27" s="69" t="n">
        <v>0.19</v>
      </c>
      <c r="P27" s="69" t="n">
        <v>0.1</v>
      </c>
      <c r="Q27" s="69" t="n">
        <v>0.03</v>
      </c>
      <c r="R27" s="69" t="n">
        <v>0.13</v>
      </c>
      <c r="S27" s="69" t="n">
        <v>0.02</v>
      </c>
      <c r="T27" s="69" t="n">
        <v>0.8</v>
      </c>
      <c r="U27" s="69" t="n">
        <v>0.21</v>
      </c>
      <c r="V27" s="69" t="n">
        <v>0.05</v>
      </c>
      <c r="W27" s="69" t="n">
        <v>0.13</v>
      </c>
      <c r="X27" s="69" t="n">
        <v>1</v>
      </c>
      <c r="Y27" s="69" t="n">
        <v>0.4</v>
      </c>
      <c r="Z27" s="69" t="n">
        <v>0.1</v>
      </c>
      <c r="AA27" s="69" t="n">
        <v>0.15</v>
      </c>
      <c r="AB27" s="69" t="n">
        <v>0.4</v>
      </c>
      <c r="AC27" s="69" t="n">
        <v>0.11</v>
      </c>
      <c r="AD27" s="69" t="n">
        <v>0.04</v>
      </c>
      <c r="AE27" s="69" t="n">
        <v>0.15</v>
      </c>
      <c r="AF27" s="69" t="n">
        <v>0.15</v>
      </c>
      <c r="AG27" s="69" t="n">
        <v>0.13</v>
      </c>
      <c r="AH27" s="69" t="n">
        <v>0.16</v>
      </c>
      <c r="AI27" s="69" t="n">
        <v>0.07</v>
      </c>
      <c r="AJ27" s="69" t="n">
        <v>0.05</v>
      </c>
      <c r="AK27" s="69" t="n">
        <v>0.2</v>
      </c>
      <c r="AL27" s="69" t="n">
        <v>0.26</v>
      </c>
      <c r="AM27" s="69" t="n">
        <v>0.25</v>
      </c>
      <c r="AN27" s="69" t="n">
        <v>0.31</v>
      </c>
      <c r="AO27" s="69" t="n">
        <v>0.13</v>
      </c>
      <c r="AP27" s="69" t="n">
        <v>0.3</v>
      </c>
      <c r="AQ27" s="69" t="n">
        <v>0</v>
      </c>
      <c r="AR27" s="69" t="n">
        <v>0.75</v>
      </c>
      <c r="AS27" s="69" t="n">
        <v>0.12</v>
      </c>
      <c r="AT27" s="69" t="n">
        <v>0.6</v>
      </c>
      <c r="AU27" s="69" t="n">
        <v>0.09</v>
      </c>
      <c r="AV27" s="69" t="n">
        <v>0.16</v>
      </c>
      <c r="AW27" s="69" t="n">
        <v>0.1</v>
      </c>
      <c r="AX27" s="69" t="n">
        <v>0.28</v>
      </c>
      <c r="AY27" s="69" t="n">
        <v>0.26</v>
      </c>
      <c r="AZ27" s="69" t="n">
        <v>0.15</v>
      </c>
      <c r="BA27" s="69" t="n">
        <v>0.39</v>
      </c>
      <c r="BB27" s="69" t="n">
        <v>0.7</v>
      </c>
      <c r="BC27" s="69" t="n">
        <v>0.14</v>
      </c>
      <c r="BD27" s="69" t="n">
        <v>0.16</v>
      </c>
      <c r="BE27" s="69" t="n">
        <v>0.21</v>
      </c>
      <c r="BF27" s="69" t="n">
        <v>0.12</v>
      </c>
      <c r="BG27" s="69" t="n">
        <v>0.26</v>
      </c>
      <c r="BH27" s="69" t="n">
        <v>0.15</v>
      </c>
      <c r="BI27" s="69" t="n">
        <v>0.12</v>
      </c>
      <c r="BJ27" s="69" t="n">
        <v>0</v>
      </c>
      <c r="BK27" s="69" t="n">
        <v>0.13</v>
      </c>
      <c r="BL27" s="69" t="n">
        <v>0.34</v>
      </c>
      <c r="BM27" s="69" t="n">
        <v>0.2</v>
      </c>
      <c r="BN27" s="69" t="n">
        <v>0.2</v>
      </c>
      <c r="BO27" s="69" t="n">
        <v>0.26</v>
      </c>
      <c r="BP27" s="69" t="n">
        <v>0.13</v>
      </c>
      <c r="BQ27" s="69" t="n">
        <v>0.3</v>
      </c>
      <c r="BR27" s="69" t="n">
        <v>0.31</v>
      </c>
      <c r="BS27" s="69" t="n">
        <v>-0.01</v>
      </c>
      <c r="BT27" s="69" t="n">
        <v>0.47</v>
      </c>
      <c r="BU27" s="69" t="n">
        <v>0.19</v>
      </c>
      <c r="BV27" s="69" t="n">
        <v>0.23</v>
      </c>
      <c r="BW27" s="69" t="n">
        <v>0.17</v>
      </c>
      <c r="BX27" s="69" t="n">
        <v>0.16</v>
      </c>
      <c r="BY27" s="69" t="n">
        <v>0.3</v>
      </c>
      <c r="BZ27" s="69" t="n">
        <v>0.32</v>
      </c>
      <c r="CA27" s="69" t="n">
        <v>0.06</v>
      </c>
      <c r="CB27" s="69" t="n">
        <v>0</v>
      </c>
      <c r="CC27" s="69" t="n">
        <v>0.21</v>
      </c>
      <c r="CD27" s="69" t="n">
        <v>0.19</v>
      </c>
      <c r="CE27" s="69" t="n">
        <v>0.26</v>
      </c>
      <c r="CF27" s="69" t="n">
        <v>-0.02</v>
      </c>
      <c r="CG27" s="69" t="n">
        <v>0.31</v>
      </c>
      <c r="CH27" s="69" t="n">
        <v>0.24</v>
      </c>
      <c r="CI27" s="69" t="n">
        <v>0</v>
      </c>
      <c r="CJ27" s="69" t="n">
        <v>0.1</v>
      </c>
      <c r="CK27" s="69" t="n">
        <v>0.2</v>
      </c>
      <c r="CL27" s="69" t="n">
        <v>0.2</v>
      </c>
      <c r="CM27" s="69" t="n">
        <v>0.19</v>
      </c>
      <c r="CN27" s="69" t="n">
        <v>0.09</v>
      </c>
      <c r="CO27" s="69" t="n">
        <v>0.09</v>
      </c>
      <c r="CP27" s="69" t="n">
        <v>0.14</v>
      </c>
      <c r="CQ27" s="69" t="n">
        <v>0.5</v>
      </c>
      <c r="CR27" s="69" t="n">
        <v>0.21</v>
      </c>
      <c r="CS27" s="69" t="n">
        <v>0.43</v>
      </c>
      <c r="CT27" s="69" t="n">
        <v>0.27</v>
      </c>
      <c r="CU27" s="69" t="n">
        <v>0.13</v>
      </c>
      <c r="CV27" s="69" t="n">
        <v>0.21</v>
      </c>
      <c r="CW27" s="69" t="n">
        <v>0.23</v>
      </c>
      <c r="CX27" s="69" t="n">
        <v>0.38</v>
      </c>
      <c r="CY27" s="69" t="n">
        <v>0.44</v>
      </c>
      <c r="CZ27" s="69" t="n">
        <v>0.13</v>
      </c>
      <c r="DA27" s="69" t="n">
        <v>0.15</v>
      </c>
      <c r="DB27" s="69" t="n">
        <v>0.19</v>
      </c>
      <c r="DC27" s="69" t="n">
        <v>0.25</v>
      </c>
      <c r="DD27" s="69" t="n">
        <v>0.32</v>
      </c>
      <c r="DE27" s="69" t="n">
        <v>0.29</v>
      </c>
      <c r="DF27" s="69" t="n">
        <v>0.09</v>
      </c>
      <c r="DG27" s="69" t="n">
        <v>0.23</v>
      </c>
      <c r="DH27" s="69" t="n">
        <v>0.2</v>
      </c>
      <c r="DI27" s="69" t="n">
        <v>0.41</v>
      </c>
      <c r="DJ27" s="69" t="n">
        <v>0.39</v>
      </c>
      <c r="DK27" s="69" t="n">
        <v>0.47</v>
      </c>
      <c r="DL27" s="69" t="n">
        <v>0.07</v>
      </c>
      <c r="DM27" s="69" t="n">
        <v>0.47</v>
      </c>
      <c r="DN27" s="69" t="n">
        <v>0.25</v>
      </c>
      <c r="DO27" s="69" t="n">
        <v>0.26</v>
      </c>
      <c r="DP27" s="69" t="n">
        <v>0.38</v>
      </c>
      <c r="DQ27" s="69" t="n">
        <v>0.19</v>
      </c>
      <c r="DR27" s="69" t="n">
        <v>0.26</v>
      </c>
      <c r="DS27" s="69" t="n">
        <v>0.14</v>
      </c>
      <c r="DT27" s="69" t="n">
        <v>0.14</v>
      </c>
      <c r="DU27" s="69" t="n">
        <v>0.37</v>
      </c>
      <c r="DV27" s="69" t="n">
        <v>0.19</v>
      </c>
      <c r="DW27" s="69" t="n">
        <v>0.21</v>
      </c>
      <c r="DX27" s="69" t="n">
        <v>0.27</v>
      </c>
      <c r="DY27" s="69" t="n">
        <v>0.31</v>
      </c>
      <c r="DZ27" s="69" t="n">
        <v>0.1</v>
      </c>
      <c r="EA27" s="69" t="n">
        <v>0.08</v>
      </c>
      <c r="EB27" s="69" t="n">
        <v>0.31</v>
      </c>
      <c r="EC27" s="69" t="n">
        <v>0.07</v>
      </c>
      <c r="ED27" s="69" t="n">
        <v>0.2</v>
      </c>
      <c r="EE27" s="69" t="n">
        <v>0.21</v>
      </c>
      <c r="EF27" s="69" t="n">
        <v>0.29</v>
      </c>
      <c r="EG27" s="69" t="n">
        <v>0.14</v>
      </c>
      <c r="EH27" s="69" t="n">
        <v>0.05</v>
      </c>
      <c r="EI27" s="69" t="n">
        <v>0.09</v>
      </c>
      <c r="EJ27" s="69" t="n">
        <v>0.19</v>
      </c>
      <c r="EK27" s="69" t="n">
        <v>0.3</v>
      </c>
      <c r="EL27" s="69" t="n">
        <v>0.27</v>
      </c>
      <c r="EM27" s="69" t="n">
        <v>0.13</v>
      </c>
      <c r="EN27" s="69" t="n">
        <v>0.03</v>
      </c>
      <c r="EO27" s="69" t="n">
        <v>0.06</v>
      </c>
    </row>
    <row r="28" customFormat="false" ht="15" hidden="false" customHeight="false" outlineLevel="0" collapsed="false">
      <c r="A28" s="68" t="s">
        <v>247</v>
      </c>
      <c r="B28" s="69" t="n">
        <v>0.45</v>
      </c>
      <c r="C28" s="69" t="n">
        <v>0.12</v>
      </c>
      <c r="D28" s="69" t="n">
        <v>0</v>
      </c>
      <c r="E28" s="69" t="n">
        <v>0.05</v>
      </c>
      <c r="F28" s="69" t="n">
        <v>0.31</v>
      </c>
      <c r="G28" s="69" t="n">
        <v>-0.04</v>
      </c>
      <c r="H28" s="69" t="n">
        <v>-0.08</v>
      </c>
      <c r="I28" s="69" t="n">
        <v>0.4</v>
      </c>
      <c r="J28" s="69" t="n">
        <v>0.26</v>
      </c>
      <c r="K28" s="69" t="n">
        <v>0.3</v>
      </c>
      <c r="L28" s="69" t="n">
        <v>0.17</v>
      </c>
      <c r="M28" s="69" t="n">
        <v>0.23</v>
      </c>
      <c r="N28" s="69" t="n">
        <v>0.26</v>
      </c>
      <c r="O28" s="69" t="n">
        <v>0.05</v>
      </c>
      <c r="P28" s="69" t="n">
        <v>0.38</v>
      </c>
      <c r="Q28" s="69" t="n">
        <v>0.05</v>
      </c>
      <c r="R28" s="69" t="n">
        <v>0.22</v>
      </c>
      <c r="S28" s="69" t="n">
        <v>0.15</v>
      </c>
      <c r="T28" s="69" t="n">
        <v>0.37</v>
      </c>
      <c r="U28" s="69" t="n">
        <v>0.06</v>
      </c>
      <c r="V28" s="69" t="n">
        <v>0.08</v>
      </c>
      <c r="W28" s="69" t="n">
        <v>0.03</v>
      </c>
      <c r="X28" s="69" t="n">
        <v>0.4</v>
      </c>
      <c r="Y28" s="69" t="n">
        <v>1</v>
      </c>
      <c r="Z28" s="69" t="n">
        <v>0.02</v>
      </c>
      <c r="AA28" s="69" t="n">
        <v>0.11</v>
      </c>
      <c r="AB28" s="69" t="n">
        <v>0.88</v>
      </c>
      <c r="AC28" s="69" t="n">
        <v>0.05</v>
      </c>
      <c r="AD28" s="69" t="n">
        <v>0.03</v>
      </c>
      <c r="AE28" s="69" t="n">
        <v>0.14</v>
      </c>
      <c r="AF28" s="69" t="n">
        <v>0</v>
      </c>
      <c r="AG28" s="69" t="n">
        <v>0.19</v>
      </c>
      <c r="AH28" s="69" t="n">
        <v>0.13</v>
      </c>
      <c r="AI28" s="69" t="n">
        <v>0.09</v>
      </c>
      <c r="AJ28" s="69" t="n">
        <v>-0.05</v>
      </c>
      <c r="AK28" s="69" t="n">
        <v>-0.01</v>
      </c>
      <c r="AL28" s="69" t="n">
        <v>0.3</v>
      </c>
      <c r="AM28" s="69" t="n">
        <v>0.11</v>
      </c>
      <c r="AN28" s="69" t="n">
        <v>0.33</v>
      </c>
      <c r="AO28" s="69" t="n">
        <v>0.33</v>
      </c>
      <c r="AP28" s="69" t="n">
        <v>0.3</v>
      </c>
      <c r="AQ28" s="69" t="n">
        <v>0.08</v>
      </c>
      <c r="AR28" s="69" t="n">
        <v>0.35</v>
      </c>
      <c r="AS28" s="69" t="n">
        <v>0.05</v>
      </c>
      <c r="AT28" s="69" t="n">
        <v>0.52</v>
      </c>
      <c r="AU28" s="69" t="n">
        <v>0.2</v>
      </c>
      <c r="AV28" s="69" t="n">
        <v>0.12</v>
      </c>
      <c r="AW28" s="69" t="n">
        <v>0.05</v>
      </c>
      <c r="AX28" s="69" t="n">
        <v>0.28</v>
      </c>
      <c r="AY28" s="69" t="n">
        <v>0.45</v>
      </c>
      <c r="AZ28" s="69" t="n">
        <v>0.14</v>
      </c>
      <c r="BA28" s="69" t="n">
        <v>0.17</v>
      </c>
      <c r="BB28" s="69" t="n">
        <v>0.29</v>
      </c>
      <c r="BC28" s="69" t="n">
        <v>0.07</v>
      </c>
      <c r="BD28" s="69" t="n">
        <v>0.08</v>
      </c>
      <c r="BE28" s="69" t="n">
        <v>0.26</v>
      </c>
      <c r="BF28" s="69" t="n">
        <v>-0.02</v>
      </c>
      <c r="BG28" s="69" t="n">
        <v>0.31</v>
      </c>
      <c r="BH28" s="69" t="n">
        <v>0.03</v>
      </c>
      <c r="BI28" s="69" t="n">
        <v>0.03</v>
      </c>
      <c r="BJ28" s="69" t="n">
        <v>0.03</v>
      </c>
      <c r="BK28" s="69" t="n">
        <v>0.09</v>
      </c>
      <c r="BL28" s="69" t="n">
        <v>0.03</v>
      </c>
      <c r="BM28" s="69" t="n">
        <v>0.21</v>
      </c>
      <c r="BN28" s="69" t="n">
        <v>0.22</v>
      </c>
      <c r="BO28" s="69" t="n">
        <v>0.2</v>
      </c>
      <c r="BP28" s="69" t="n">
        <v>0.25</v>
      </c>
      <c r="BQ28" s="69" t="n">
        <v>0.04</v>
      </c>
      <c r="BR28" s="69" t="n">
        <v>0.17</v>
      </c>
      <c r="BS28" s="69" t="n">
        <v>-0.01</v>
      </c>
      <c r="BT28" s="69" t="n">
        <v>0.17</v>
      </c>
      <c r="BU28" s="69" t="n">
        <v>-0.01</v>
      </c>
      <c r="BV28" s="69" t="n">
        <v>0.24</v>
      </c>
      <c r="BW28" s="69" t="n">
        <v>0.21</v>
      </c>
      <c r="BX28" s="69" t="n">
        <v>0.11</v>
      </c>
      <c r="BY28" s="69" t="n">
        <v>0.17</v>
      </c>
      <c r="BZ28" s="69" t="n">
        <v>0.11</v>
      </c>
      <c r="CA28" s="69" t="n">
        <v>0.03</v>
      </c>
      <c r="CB28" s="69" t="n">
        <v>0.1</v>
      </c>
      <c r="CC28" s="69" t="n">
        <v>0.25</v>
      </c>
      <c r="CD28" s="69" t="n">
        <v>0.31</v>
      </c>
      <c r="CE28" s="69" t="n">
        <v>0.12</v>
      </c>
      <c r="CF28" s="69" t="n">
        <v>0.03</v>
      </c>
      <c r="CG28" s="69" t="n">
        <v>0.33</v>
      </c>
      <c r="CH28" s="69" t="n">
        <v>0.06</v>
      </c>
      <c r="CI28" s="69" t="n">
        <v>0.05</v>
      </c>
      <c r="CJ28" s="69" t="n">
        <v>0.32</v>
      </c>
      <c r="CK28" s="69" t="n">
        <v>0.32</v>
      </c>
      <c r="CL28" s="69" t="n">
        <v>0.07</v>
      </c>
      <c r="CM28" s="69" t="n">
        <v>-0.04</v>
      </c>
      <c r="CN28" s="69" t="n">
        <v>0.02</v>
      </c>
      <c r="CO28" s="69" t="n">
        <v>0.05</v>
      </c>
      <c r="CP28" s="69" t="n">
        <v>0.14</v>
      </c>
      <c r="CQ28" s="69" t="n">
        <v>0.28</v>
      </c>
      <c r="CR28" s="69" t="n">
        <v>0</v>
      </c>
      <c r="CS28" s="69" t="n">
        <v>0.01</v>
      </c>
      <c r="CT28" s="69" t="n">
        <v>0.25</v>
      </c>
      <c r="CU28" s="69" t="n">
        <v>0.01</v>
      </c>
      <c r="CV28" s="69" t="n">
        <v>0.23</v>
      </c>
      <c r="CW28" s="69" t="n">
        <v>0.34</v>
      </c>
      <c r="CX28" s="69" t="n">
        <v>0.3</v>
      </c>
      <c r="CY28" s="69" t="n">
        <v>0.28</v>
      </c>
      <c r="CZ28" s="69" t="n">
        <v>0.24</v>
      </c>
      <c r="DA28" s="69" t="n">
        <v>0.33</v>
      </c>
      <c r="DB28" s="69" t="n">
        <v>0.03</v>
      </c>
      <c r="DC28" s="69" t="n">
        <v>0.05</v>
      </c>
      <c r="DD28" s="69" t="n">
        <v>0.39</v>
      </c>
      <c r="DE28" s="69" t="n">
        <v>0</v>
      </c>
      <c r="DF28" s="69" t="n">
        <v>0.29</v>
      </c>
      <c r="DG28" s="69" t="n">
        <v>0.06</v>
      </c>
      <c r="DH28" s="69" t="n">
        <v>-0.02</v>
      </c>
      <c r="DI28" s="69" t="n">
        <v>0.24</v>
      </c>
      <c r="DJ28" s="69" t="n">
        <v>0.33</v>
      </c>
      <c r="DK28" s="69" t="n">
        <v>0.22</v>
      </c>
      <c r="DL28" s="69" t="n">
        <v>-0.06</v>
      </c>
      <c r="DM28" s="69" t="n">
        <v>0.35</v>
      </c>
      <c r="DN28" s="69" t="n">
        <v>0.31</v>
      </c>
      <c r="DO28" s="69" t="n">
        <v>0.06</v>
      </c>
      <c r="DP28" s="69" t="n">
        <v>0.35</v>
      </c>
      <c r="DQ28" s="69" t="n">
        <v>-0.09</v>
      </c>
      <c r="DR28" s="69" t="n">
        <v>-0.01</v>
      </c>
      <c r="DS28" s="69" t="n">
        <v>0.25</v>
      </c>
      <c r="DT28" s="69" t="n">
        <v>-0.08</v>
      </c>
      <c r="DU28" s="69" t="n">
        <v>0.09</v>
      </c>
      <c r="DV28" s="69" t="n">
        <v>0.19</v>
      </c>
      <c r="DW28" s="69" t="n">
        <v>0.33</v>
      </c>
      <c r="DX28" s="69" t="n">
        <v>-0.08</v>
      </c>
      <c r="DY28" s="69" t="n">
        <v>0.36</v>
      </c>
      <c r="DZ28" s="69" t="n">
        <v>0.08</v>
      </c>
      <c r="EA28" s="69" t="n">
        <v>0.06</v>
      </c>
      <c r="EB28" s="69" t="n">
        <v>0.23</v>
      </c>
      <c r="EC28" s="69" t="n">
        <v>0.04</v>
      </c>
      <c r="ED28" s="69" t="n">
        <v>0.05</v>
      </c>
      <c r="EE28" s="69" t="n">
        <v>-0.06</v>
      </c>
      <c r="EF28" s="69" t="n">
        <v>0.12</v>
      </c>
      <c r="EG28" s="69" t="n">
        <v>-0.03</v>
      </c>
      <c r="EH28" s="69" t="n">
        <v>0.21</v>
      </c>
      <c r="EI28" s="69" t="n">
        <v>-0.12</v>
      </c>
      <c r="EJ28" s="69" t="n">
        <v>0.07</v>
      </c>
      <c r="EK28" s="69" t="n">
        <v>0.01</v>
      </c>
      <c r="EL28" s="69" t="n">
        <v>-0.06</v>
      </c>
      <c r="EM28" s="69" t="n">
        <v>-0.02</v>
      </c>
      <c r="EN28" s="69" t="n">
        <v>0.07</v>
      </c>
      <c r="EO28" s="69" t="n">
        <v>0.03</v>
      </c>
    </row>
    <row r="29" customFormat="false" ht="15" hidden="false" customHeight="false" outlineLevel="0" collapsed="false">
      <c r="A29" s="68" t="s">
        <v>248</v>
      </c>
      <c r="B29" s="69" t="n">
        <v>0.05</v>
      </c>
      <c r="C29" s="69" t="n">
        <v>0.2</v>
      </c>
      <c r="D29" s="69" t="n">
        <v>0.09</v>
      </c>
      <c r="E29" s="69" t="n">
        <v>0.18</v>
      </c>
      <c r="F29" s="69" t="n">
        <v>0.1</v>
      </c>
      <c r="G29" s="69" t="n">
        <v>0.21</v>
      </c>
      <c r="H29" s="69" t="n">
        <v>0.28</v>
      </c>
      <c r="I29" s="69" t="n">
        <v>0.12</v>
      </c>
      <c r="J29" s="69" t="n">
        <v>0.07</v>
      </c>
      <c r="K29" s="69" t="n">
        <v>0.14</v>
      </c>
      <c r="L29" s="69" t="n">
        <v>0.3</v>
      </c>
      <c r="M29" s="69" t="n">
        <v>0.29</v>
      </c>
      <c r="N29" s="69" t="n">
        <v>0.13</v>
      </c>
      <c r="O29" s="69" t="n">
        <v>0.38</v>
      </c>
      <c r="P29" s="69" t="n">
        <v>0.08</v>
      </c>
      <c r="Q29" s="69" t="n">
        <v>0.13</v>
      </c>
      <c r="R29" s="69" t="n">
        <v>0.14</v>
      </c>
      <c r="S29" s="69" t="n">
        <v>0.27</v>
      </c>
      <c r="T29" s="69" t="n">
        <v>0.08</v>
      </c>
      <c r="U29" s="69" t="n">
        <v>0.29</v>
      </c>
      <c r="V29" s="69" t="n">
        <v>0.33</v>
      </c>
      <c r="W29" s="69" t="n">
        <v>0.22</v>
      </c>
      <c r="X29" s="69" t="n">
        <v>0.1</v>
      </c>
      <c r="Y29" s="69" t="n">
        <v>0.02</v>
      </c>
      <c r="Z29" s="69" t="n">
        <v>1</v>
      </c>
      <c r="AA29" s="69" t="n">
        <v>0.19</v>
      </c>
      <c r="AB29" s="69" t="n">
        <v>0.02</v>
      </c>
      <c r="AC29" s="69" t="n">
        <v>0.21</v>
      </c>
      <c r="AD29" s="69" t="n">
        <v>0.27</v>
      </c>
      <c r="AE29" s="69" t="n">
        <v>0.31</v>
      </c>
      <c r="AF29" s="69" t="n">
        <v>0.28</v>
      </c>
      <c r="AG29" s="69" t="n">
        <v>0.02</v>
      </c>
      <c r="AH29" s="69" t="n">
        <v>-0.02</v>
      </c>
      <c r="AI29" s="69" t="n">
        <v>-0.06</v>
      </c>
      <c r="AJ29" s="69" t="n">
        <v>0.18</v>
      </c>
      <c r="AK29" s="69" t="n">
        <v>0.39</v>
      </c>
      <c r="AL29" s="69" t="n">
        <v>0.05</v>
      </c>
      <c r="AM29" s="69" t="n">
        <v>0.3</v>
      </c>
      <c r="AN29" s="69" t="n">
        <v>0.18</v>
      </c>
      <c r="AO29" s="69" t="n">
        <v>0.02</v>
      </c>
      <c r="AP29" s="69" t="n">
        <v>0.07</v>
      </c>
      <c r="AQ29" s="69" t="n">
        <v>-0.01</v>
      </c>
      <c r="AR29" s="69" t="n">
        <v>0.03</v>
      </c>
      <c r="AS29" s="69" t="n">
        <v>0.3</v>
      </c>
      <c r="AT29" s="69" t="n">
        <v>0.09</v>
      </c>
      <c r="AU29" s="69" t="n">
        <v>0.12</v>
      </c>
      <c r="AV29" s="69" t="n">
        <v>0.26</v>
      </c>
      <c r="AW29" s="69" t="n">
        <v>0.37</v>
      </c>
      <c r="AX29" s="69" t="n">
        <v>0.1</v>
      </c>
      <c r="AY29" s="69" t="n">
        <v>0.03</v>
      </c>
      <c r="AZ29" s="69" t="n">
        <v>0.25</v>
      </c>
      <c r="BA29" s="69" t="n">
        <v>0.19</v>
      </c>
      <c r="BB29" s="69" t="n">
        <v>0.08</v>
      </c>
      <c r="BC29" s="69" t="n">
        <v>0.18</v>
      </c>
      <c r="BD29" s="69" t="n">
        <v>0.32</v>
      </c>
      <c r="BE29" s="69" t="n">
        <v>0.09</v>
      </c>
      <c r="BF29" s="69" t="n">
        <v>0.45</v>
      </c>
      <c r="BG29" s="69" t="n">
        <v>0.06</v>
      </c>
      <c r="BH29" s="69" t="n">
        <v>0.33</v>
      </c>
      <c r="BI29" s="69" t="n">
        <v>0.14</v>
      </c>
      <c r="BJ29" s="69" t="n">
        <v>-0.11</v>
      </c>
      <c r="BK29" s="69" t="n">
        <v>0.29</v>
      </c>
      <c r="BL29" s="69" t="n">
        <v>0.18</v>
      </c>
      <c r="BM29" s="69" t="n">
        <v>0.03</v>
      </c>
      <c r="BN29" s="69" t="n">
        <v>0.01</v>
      </c>
      <c r="BO29" s="69" t="n">
        <v>0.05</v>
      </c>
      <c r="BP29" s="69" t="n">
        <v>0.03</v>
      </c>
      <c r="BQ29" s="69" t="n">
        <v>0.37</v>
      </c>
      <c r="BR29" s="69" t="n">
        <v>0.04</v>
      </c>
      <c r="BS29" s="69" t="n">
        <v>-0.11</v>
      </c>
      <c r="BT29" s="69" t="n">
        <v>0.12</v>
      </c>
      <c r="BU29" s="69" t="n">
        <v>0.28</v>
      </c>
      <c r="BV29" s="69" t="n">
        <v>0.01</v>
      </c>
      <c r="BW29" s="69" t="n">
        <v>0.08</v>
      </c>
      <c r="BX29" s="69" t="n">
        <v>-0.01</v>
      </c>
      <c r="BY29" s="69" t="n">
        <v>0.14</v>
      </c>
      <c r="BZ29" s="69" t="n">
        <v>0.11</v>
      </c>
      <c r="CA29" s="69" t="n">
        <v>0.21</v>
      </c>
      <c r="CB29" s="69" t="n">
        <v>-0.11</v>
      </c>
      <c r="CC29" s="69" t="n">
        <v>0.02</v>
      </c>
      <c r="CD29" s="69" t="n">
        <v>0.11</v>
      </c>
      <c r="CE29" s="69" t="n">
        <v>-0.01</v>
      </c>
      <c r="CF29" s="69" t="n">
        <v>-0.06</v>
      </c>
      <c r="CG29" s="69" t="n">
        <v>0.09</v>
      </c>
      <c r="CH29" s="69" t="n">
        <v>0.34</v>
      </c>
      <c r="CI29" s="69" t="n">
        <v>-0.1</v>
      </c>
      <c r="CJ29" s="69" t="n">
        <v>0.03</v>
      </c>
      <c r="CK29" s="69" t="n">
        <v>0.06</v>
      </c>
      <c r="CL29" s="69" t="n">
        <v>0.11</v>
      </c>
      <c r="CM29" s="69" t="n">
        <v>0.07</v>
      </c>
      <c r="CN29" s="69" t="n">
        <v>0.25</v>
      </c>
      <c r="CO29" s="69" t="n">
        <v>0.11</v>
      </c>
      <c r="CP29" s="69" t="n">
        <v>0.08</v>
      </c>
      <c r="CQ29" s="69" t="n">
        <v>0.11</v>
      </c>
      <c r="CR29" s="69" t="n">
        <v>0.1</v>
      </c>
      <c r="CS29" s="69" t="n">
        <v>0.12</v>
      </c>
      <c r="CT29" s="69" t="n">
        <v>0.14</v>
      </c>
      <c r="CU29" s="69" t="n">
        <v>0.15</v>
      </c>
      <c r="CV29" s="69" t="n">
        <v>0.1</v>
      </c>
      <c r="CW29" s="69" t="n">
        <v>0.11</v>
      </c>
      <c r="CX29" s="69" t="n">
        <v>0.14</v>
      </c>
      <c r="CY29" s="69" t="n">
        <v>0.12</v>
      </c>
      <c r="CZ29" s="69" t="n">
        <v>0.04</v>
      </c>
      <c r="DA29" s="69" t="n">
        <v>0.02</v>
      </c>
      <c r="DB29" s="69" t="n">
        <v>0.15</v>
      </c>
      <c r="DC29" s="69" t="n">
        <v>0.23</v>
      </c>
      <c r="DD29" s="69" t="n">
        <v>0.08</v>
      </c>
      <c r="DE29" s="69" t="n">
        <v>0.19</v>
      </c>
      <c r="DF29" s="69" t="n">
        <v>0</v>
      </c>
      <c r="DG29" s="69" t="n">
        <v>0.21</v>
      </c>
      <c r="DH29" s="69" t="n">
        <v>0.09</v>
      </c>
      <c r="DI29" s="69" t="n">
        <v>0.09</v>
      </c>
      <c r="DJ29" s="69" t="n">
        <v>0.11</v>
      </c>
      <c r="DK29" s="69" t="n">
        <v>0.09</v>
      </c>
      <c r="DL29" s="69" t="n">
        <v>0.32</v>
      </c>
      <c r="DM29" s="69" t="n">
        <v>0.19</v>
      </c>
      <c r="DN29" s="69" t="n">
        <v>0.08</v>
      </c>
      <c r="DO29" s="69" t="n">
        <v>-0.03</v>
      </c>
      <c r="DP29" s="69" t="n">
        <v>0.14</v>
      </c>
      <c r="DQ29" s="69" t="n">
        <v>0.04</v>
      </c>
      <c r="DR29" s="69" t="n">
        <v>0.14</v>
      </c>
      <c r="DS29" s="69" t="n">
        <v>0.01</v>
      </c>
      <c r="DT29" s="69" t="n">
        <v>0.06</v>
      </c>
      <c r="DU29" s="69" t="n">
        <v>0.14</v>
      </c>
      <c r="DV29" s="69" t="n">
        <v>0.05</v>
      </c>
      <c r="DW29" s="69" t="n">
        <v>0.04</v>
      </c>
      <c r="DX29" s="69" t="n">
        <v>0.05</v>
      </c>
      <c r="DY29" s="69" t="n">
        <v>0.09</v>
      </c>
      <c r="DZ29" s="69" t="n">
        <v>0.04</v>
      </c>
      <c r="EA29" s="69" t="n">
        <v>0.15</v>
      </c>
      <c r="EB29" s="69" t="n">
        <v>0.14</v>
      </c>
      <c r="EC29" s="69" t="n">
        <v>0.09</v>
      </c>
      <c r="ED29" s="69" t="n">
        <v>0.15</v>
      </c>
      <c r="EE29" s="69" t="n">
        <v>0.07</v>
      </c>
      <c r="EF29" s="69" t="n">
        <v>0.15</v>
      </c>
      <c r="EG29" s="69" t="n">
        <v>0.05</v>
      </c>
      <c r="EH29" s="69" t="n">
        <v>0.03</v>
      </c>
      <c r="EI29" s="69" t="n">
        <v>0.09</v>
      </c>
      <c r="EJ29" s="69" t="n">
        <v>0.17</v>
      </c>
      <c r="EK29" s="69" t="n">
        <v>0.12</v>
      </c>
      <c r="EL29" s="69" t="n">
        <v>0.12</v>
      </c>
      <c r="EM29" s="69" t="n">
        <v>0.07</v>
      </c>
      <c r="EN29" s="69" t="n">
        <v>0.07</v>
      </c>
      <c r="EO29" s="69" t="n">
        <v>0.03</v>
      </c>
    </row>
    <row r="30" customFormat="false" ht="15" hidden="false" customHeight="false" outlineLevel="0" collapsed="false">
      <c r="A30" s="68" t="s">
        <v>249</v>
      </c>
      <c r="B30" s="69" t="n">
        <v>0.06</v>
      </c>
      <c r="C30" s="69" t="n">
        <v>0.09</v>
      </c>
      <c r="D30" s="69" t="n">
        <v>0.09</v>
      </c>
      <c r="E30" s="69" t="n">
        <v>0.2</v>
      </c>
      <c r="F30" s="69" t="n">
        <v>0.27</v>
      </c>
      <c r="G30" s="69" t="n">
        <v>0.08</v>
      </c>
      <c r="H30" s="69" t="n">
        <v>0.22</v>
      </c>
      <c r="I30" s="69" t="n">
        <v>0.21</v>
      </c>
      <c r="J30" s="69" t="n">
        <v>0.18</v>
      </c>
      <c r="K30" s="69" t="n">
        <v>0.21</v>
      </c>
      <c r="L30" s="69" t="n">
        <v>0.31</v>
      </c>
      <c r="M30" s="69" t="n">
        <v>0.21</v>
      </c>
      <c r="N30" s="69" t="n">
        <v>0.18</v>
      </c>
      <c r="O30" s="69" t="n">
        <v>0.36</v>
      </c>
      <c r="P30" s="69" t="n">
        <v>0.19</v>
      </c>
      <c r="Q30" s="69" t="n">
        <v>0</v>
      </c>
      <c r="R30" s="69" t="n">
        <v>0.23</v>
      </c>
      <c r="S30" s="69" t="n">
        <v>0.22</v>
      </c>
      <c r="T30" s="69" t="n">
        <v>0.13</v>
      </c>
      <c r="U30" s="69" t="n">
        <v>0.29</v>
      </c>
      <c r="V30" s="69" t="n">
        <v>0.26</v>
      </c>
      <c r="W30" s="69" t="n">
        <v>0.46</v>
      </c>
      <c r="X30" s="69" t="n">
        <v>0.15</v>
      </c>
      <c r="Y30" s="69" t="n">
        <v>0.11</v>
      </c>
      <c r="Z30" s="69" t="n">
        <v>0.19</v>
      </c>
      <c r="AA30" s="69" t="n">
        <v>1</v>
      </c>
      <c r="AB30" s="69" t="n">
        <v>0.12</v>
      </c>
      <c r="AC30" s="69" t="n">
        <v>0.14</v>
      </c>
      <c r="AD30" s="69" t="n">
        <v>0.2</v>
      </c>
      <c r="AE30" s="69" t="n">
        <v>0.29</v>
      </c>
      <c r="AF30" s="69" t="n">
        <v>0.32</v>
      </c>
      <c r="AG30" s="69" t="n">
        <v>0.08</v>
      </c>
      <c r="AH30" s="69" t="n">
        <v>0.15</v>
      </c>
      <c r="AI30" s="69" t="n">
        <v>-0.1</v>
      </c>
      <c r="AJ30" s="69" t="n">
        <v>0.21</v>
      </c>
      <c r="AK30" s="69" t="n">
        <v>0.22</v>
      </c>
      <c r="AL30" s="69" t="n">
        <v>0.16</v>
      </c>
      <c r="AM30" s="69" t="n">
        <v>0.25</v>
      </c>
      <c r="AN30" s="69" t="n">
        <v>0.22</v>
      </c>
      <c r="AO30" s="69" t="n">
        <v>0.19</v>
      </c>
      <c r="AP30" s="69" t="n">
        <v>0.21</v>
      </c>
      <c r="AQ30" s="69" t="n">
        <v>-0.08</v>
      </c>
      <c r="AR30" s="69" t="n">
        <v>0.15</v>
      </c>
      <c r="AS30" s="69" t="n">
        <v>0.24</v>
      </c>
      <c r="AT30" s="69" t="n">
        <v>0.12</v>
      </c>
      <c r="AU30" s="69" t="n">
        <v>0.15</v>
      </c>
      <c r="AV30" s="69" t="n">
        <v>0.18</v>
      </c>
      <c r="AW30" s="69" t="n">
        <v>0.06</v>
      </c>
      <c r="AX30" s="69" t="n">
        <v>0.24</v>
      </c>
      <c r="AY30" s="69" t="n">
        <v>0.14</v>
      </c>
      <c r="AZ30" s="69" t="n">
        <v>0.3</v>
      </c>
      <c r="BA30" s="69" t="n">
        <v>0.22</v>
      </c>
      <c r="BB30" s="69" t="n">
        <v>0.13</v>
      </c>
      <c r="BC30" s="69" t="n">
        <v>0.16</v>
      </c>
      <c r="BD30" s="69" t="n">
        <v>0.25</v>
      </c>
      <c r="BE30" s="69" t="n">
        <v>0.17</v>
      </c>
      <c r="BF30" s="69" t="n">
        <v>0.21</v>
      </c>
      <c r="BG30" s="69" t="n">
        <v>-0.01</v>
      </c>
      <c r="BH30" s="69" t="n">
        <v>0.07</v>
      </c>
      <c r="BI30" s="69" t="n">
        <v>0.02</v>
      </c>
      <c r="BJ30" s="69" t="n">
        <v>-0.02</v>
      </c>
      <c r="BK30" s="69" t="n">
        <v>0.24</v>
      </c>
      <c r="BL30" s="69" t="n">
        <v>0.12</v>
      </c>
      <c r="BM30" s="69" t="n">
        <v>0.17</v>
      </c>
      <c r="BN30" s="69" t="n">
        <v>0.02</v>
      </c>
      <c r="BO30" s="69" t="n">
        <v>0.06</v>
      </c>
      <c r="BP30" s="69" t="n">
        <v>0.08</v>
      </c>
      <c r="BQ30" s="69" t="n">
        <v>0.26</v>
      </c>
      <c r="BR30" s="69" t="n">
        <v>0.18</v>
      </c>
      <c r="BS30" s="69" t="n">
        <v>-0.13</v>
      </c>
      <c r="BT30" s="69" t="n">
        <v>0.14</v>
      </c>
      <c r="BU30" s="69" t="n">
        <v>0.12</v>
      </c>
      <c r="BV30" s="69" t="n">
        <v>0.02</v>
      </c>
      <c r="BW30" s="69" t="n">
        <v>0.14</v>
      </c>
      <c r="BX30" s="69" t="n">
        <v>0.03</v>
      </c>
      <c r="BY30" s="69" t="n">
        <v>0.2</v>
      </c>
      <c r="BZ30" s="69" t="n">
        <v>0.17</v>
      </c>
      <c r="CA30" s="69" t="n">
        <v>0.22</v>
      </c>
      <c r="CB30" s="69" t="n">
        <v>-0.09</v>
      </c>
      <c r="CC30" s="69" t="n">
        <v>0</v>
      </c>
      <c r="CD30" s="69" t="n">
        <v>0.08</v>
      </c>
      <c r="CE30" s="69" t="n">
        <v>0.08</v>
      </c>
      <c r="CF30" s="69" t="n">
        <v>-0.06</v>
      </c>
      <c r="CG30" s="69" t="n">
        <v>0.07</v>
      </c>
      <c r="CH30" s="69" t="n">
        <v>0.19</v>
      </c>
      <c r="CI30" s="69" t="n">
        <v>-0.14</v>
      </c>
      <c r="CJ30" s="69" t="n">
        <v>0.02</v>
      </c>
      <c r="CK30" s="69" t="n">
        <v>0</v>
      </c>
      <c r="CL30" s="69" t="n">
        <v>0.21</v>
      </c>
      <c r="CM30" s="69" t="n">
        <v>-0.07</v>
      </c>
      <c r="CN30" s="69" t="n">
        <v>0.14</v>
      </c>
      <c r="CO30" s="69" t="n">
        <v>0.03</v>
      </c>
      <c r="CP30" s="69" t="n">
        <v>0.04</v>
      </c>
      <c r="CQ30" s="69" t="n">
        <v>0.16</v>
      </c>
      <c r="CR30" s="69" t="n">
        <v>0.1</v>
      </c>
      <c r="CS30" s="69" t="n">
        <v>0.1</v>
      </c>
      <c r="CT30" s="69" t="n">
        <v>0.12</v>
      </c>
      <c r="CU30" s="69" t="n">
        <v>0.04</v>
      </c>
      <c r="CV30" s="69" t="n">
        <v>-0.03</v>
      </c>
      <c r="CW30" s="69" t="n">
        <v>0.22</v>
      </c>
      <c r="CX30" s="69" t="n">
        <v>0.18</v>
      </c>
      <c r="CY30" s="69" t="n">
        <v>0.11</v>
      </c>
      <c r="CZ30" s="69" t="n">
        <v>0.08</v>
      </c>
      <c r="DA30" s="69" t="n">
        <v>-0.04</v>
      </c>
      <c r="DB30" s="69" t="n">
        <v>0.05</v>
      </c>
      <c r="DC30" s="69" t="n">
        <v>0.29</v>
      </c>
      <c r="DD30" s="69" t="n">
        <v>0.05</v>
      </c>
      <c r="DE30" s="69" t="n">
        <v>0.1</v>
      </c>
      <c r="DF30" s="69" t="n">
        <v>0.02</v>
      </c>
      <c r="DG30" s="69" t="n">
        <v>0.07</v>
      </c>
      <c r="DH30" s="69" t="n">
        <v>0.01</v>
      </c>
      <c r="DI30" s="69" t="n">
        <v>0.18</v>
      </c>
      <c r="DJ30" s="69" t="n">
        <v>0.09</v>
      </c>
      <c r="DK30" s="69" t="n">
        <v>0.17</v>
      </c>
      <c r="DL30" s="69" t="n">
        <v>0.13</v>
      </c>
      <c r="DM30" s="69" t="n">
        <v>0.24</v>
      </c>
      <c r="DN30" s="69" t="n">
        <v>0.09</v>
      </c>
      <c r="DO30" s="69" t="n">
        <v>0.12</v>
      </c>
      <c r="DP30" s="69" t="n">
        <v>0.1</v>
      </c>
      <c r="DQ30" s="69" t="n">
        <v>0.06</v>
      </c>
      <c r="DR30" s="69" t="n">
        <v>0.06</v>
      </c>
      <c r="DS30" s="69" t="n">
        <v>0.05</v>
      </c>
      <c r="DT30" s="69" t="n">
        <v>-0.01</v>
      </c>
      <c r="DU30" s="69" t="n">
        <v>0.03</v>
      </c>
      <c r="DV30" s="69" t="n">
        <v>-0.01</v>
      </c>
      <c r="DW30" s="69" t="n">
        <v>-0.01</v>
      </c>
      <c r="DX30" s="69" t="n">
        <v>0.07</v>
      </c>
      <c r="DY30" s="69" t="n">
        <v>0.01</v>
      </c>
      <c r="DZ30" s="69" t="n">
        <v>0.02</v>
      </c>
      <c r="EA30" s="69" t="n">
        <v>0.07</v>
      </c>
      <c r="EB30" s="69" t="n">
        <v>-0.01</v>
      </c>
      <c r="EC30" s="69" t="n">
        <v>0.03</v>
      </c>
      <c r="ED30" s="69" t="n">
        <v>0.11</v>
      </c>
      <c r="EE30" s="69" t="n">
        <v>0.08</v>
      </c>
      <c r="EF30" s="69" t="n">
        <v>0</v>
      </c>
      <c r="EG30" s="69" t="n">
        <v>0.12</v>
      </c>
      <c r="EH30" s="69" t="n">
        <v>0.02</v>
      </c>
      <c r="EI30" s="69" t="n">
        <v>0.06</v>
      </c>
      <c r="EJ30" s="69" t="n">
        <v>0.1</v>
      </c>
      <c r="EK30" s="69" t="n">
        <v>0.05</v>
      </c>
      <c r="EL30" s="69" t="n">
        <v>0.11</v>
      </c>
      <c r="EM30" s="69" t="n">
        <v>0</v>
      </c>
      <c r="EN30" s="69" t="n">
        <v>0.14</v>
      </c>
      <c r="EO30" s="69" t="n">
        <v>-0.02</v>
      </c>
    </row>
    <row r="31" customFormat="false" ht="15" hidden="false" customHeight="false" outlineLevel="0" collapsed="false">
      <c r="A31" s="68" t="s">
        <v>251</v>
      </c>
      <c r="B31" s="69" t="n">
        <v>0.49</v>
      </c>
      <c r="C31" s="69" t="n">
        <v>0.05</v>
      </c>
      <c r="D31" s="69" t="n">
        <v>0.03</v>
      </c>
      <c r="E31" s="69" t="n">
        <v>0.06</v>
      </c>
      <c r="F31" s="69" t="n">
        <v>0.33</v>
      </c>
      <c r="G31" s="69" t="n">
        <v>0</v>
      </c>
      <c r="H31" s="69" t="n">
        <v>-0.09</v>
      </c>
      <c r="I31" s="69" t="n">
        <v>0.42</v>
      </c>
      <c r="J31" s="69" t="n">
        <v>0.23</v>
      </c>
      <c r="K31" s="69" t="n">
        <v>0.32</v>
      </c>
      <c r="L31" s="69" t="n">
        <v>0.12</v>
      </c>
      <c r="M31" s="69" t="n">
        <v>0.24</v>
      </c>
      <c r="N31" s="69" t="n">
        <v>0.27</v>
      </c>
      <c r="O31" s="69" t="n">
        <v>0.04</v>
      </c>
      <c r="P31" s="69" t="n">
        <v>0.34</v>
      </c>
      <c r="Q31" s="69" t="n">
        <v>0.01</v>
      </c>
      <c r="R31" s="69" t="n">
        <v>0.22</v>
      </c>
      <c r="S31" s="69" t="n">
        <v>0.08</v>
      </c>
      <c r="T31" s="69" t="n">
        <v>0.4</v>
      </c>
      <c r="U31" s="69" t="n">
        <v>0.05</v>
      </c>
      <c r="V31" s="69" t="n">
        <v>0.04</v>
      </c>
      <c r="W31" s="69" t="n">
        <v>0.04</v>
      </c>
      <c r="X31" s="69" t="n">
        <v>0.4</v>
      </c>
      <c r="Y31" s="69" t="n">
        <v>0.88</v>
      </c>
      <c r="Z31" s="69" t="n">
        <v>0.02</v>
      </c>
      <c r="AA31" s="69" t="n">
        <v>0.12</v>
      </c>
      <c r="AB31" s="69" t="n">
        <v>1</v>
      </c>
      <c r="AC31" s="69" t="n">
        <v>0.02</v>
      </c>
      <c r="AD31" s="69" t="n">
        <v>-0.02</v>
      </c>
      <c r="AE31" s="69" t="n">
        <v>0.1</v>
      </c>
      <c r="AF31" s="69" t="n">
        <v>-0.04</v>
      </c>
      <c r="AG31" s="69" t="n">
        <v>0.19</v>
      </c>
      <c r="AH31" s="69" t="n">
        <v>0.15</v>
      </c>
      <c r="AI31" s="69" t="n">
        <v>0.09</v>
      </c>
      <c r="AJ31" s="69" t="n">
        <v>-0.07</v>
      </c>
      <c r="AK31" s="69" t="n">
        <v>0</v>
      </c>
      <c r="AL31" s="69" t="n">
        <v>0.28</v>
      </c>
      <c r="AM31" s="69" t="n">
        <v>0.1</v>
      </c>
      <c r="AN31" s="69" t="n">
        <v>0.34</v>
      </c>
      <c r="AO31" s="69" t="n">
        <v>0.29</v>
      </c>
      <c r="AP31" s="69" t="n">
        <v>0.33</v>
      </c>
      <c r="AQ31" s="69" t="n">
        <v>0.08</v>
      </c>
      <c r="AR31" s="69" t="n">
        <v>0.37</v>
      </c>
      <c r="AS31" s="69" t="n">
        <v>-0.03</v>
      </c>
      <c r="AT31" s="69" t="n">
        <v>0.52</v>
      </c>
      <c r="AU31" s="69" t="n">
        <v>0.17</v>
      </c>
      <c r="AV31" s="69" t="n">
        <v>0.03</v>
      </c>
      <c r="AW31" s="69" t="n">
        <v>0</v>
      </c>
      <c r="AX31" s="69" t="n">
        <v>0.28</v>
      </c>
      <c r="AY31" s="69" t="n">
        <v>0.39</v>
      </c>
      <c r="AZ31" s="69" t="n">
        <v>0.07</v>
      </c>
      <c r="BA31" s="69" t="n">
        <v>0.16</v>
      </c>
      <c r="BB31" s="69" t="n">
        <v>0.3</v>
      </c>
      <c r="BC31" s="69" t="n">
        <v>0</v>
      </c>
      <c r="BD31" s="69" t="n">
        <v>0.06</v>
      </c>
      <c r="BE31" s="69" t="n">
        <v>0.25</v>
      </c>
      <c r="BF31" s="69" t="n">
        <v>-0.02</v>
      </c>
      <c r="BG31" s="69" t="n">
        <v>0.32</v>
      </c>
      <c r="BH31" s="69" t="n">
        <v>0.01</v>
      </c>
      <c r="BI31" s="69" t="n">
        <v>0.08</v>
      </c>
      <c r="BJ31" s="69" t="n">
        <v>0.03</v>
      </c>
      <c r="BK31" s="69" t="n">
        <v>0.06</v>
      </c>
      <c r="BL31" s="69" t="n">
        <v>0.01</v>
      </c>
      <c r="BM31" s="69" t="n">
        <v>0.23</v>
      </c>
      <c r="BN31" s="69" t="n">
        <v>0.2</v>
      </c>
      <c r="BO31" s="69" t="n">
        <v>0.18</v>
      </c>
      <c r="BP31" s="69" t="n">
        <v>0.31</v>
      </c>
      <c r="BQ31" s="69" t="n">
        <v>-0.02</v>
      </c>
      <c r="BR31" s="69" t="n">
        <v>0.23</v>
      </c>
      <c r="BS31" s="69" t="n">
        <v>0</v>
      </c>
      <c r="BT31" s="69" t="n">
        <v>0.18</v>
      </c>
      <c r="BU31" s="69" t="n">
        <v>-0.02</v>
      </c>
      <c r="BV31" s="69" t="n">
        <v>0.27</v>
      </c>
      <c r="BW31" s="69" t="n">
        <v>0.21</v>
      </c>
      <c r="BX31" s="69" t="n">
        <v>0.08</v>
      </c>
      <c r="BY31" s="69" t="n">
        <v>0.21</v>
      </c>
      <c r="BZ31" s="69" t="n">
        <v>0.15</v>
      </c>
      <c r="CA31" s="69" t="n">
        <v>-0.04</v>
      </c>
      <c r="CB31" s="69" t="n">
        <v>0.04</v>
      </c>
      <c r="CC31" s="69" t="n">
        <v>0.27</v>
      </c>
      <c r="CD31" s="69" t="n">
        <v>0.34</v>
      </c>
      <c r="CE31" s="69" t="n">
        <v>0.07</v>
      </c>
      <c r="CF31" s="69" t="n">
        <v>0.02</v>
      </c>
      <c r="CG31" s="69" t="n">
        <v>0.35</v>
      </c>
      <c r="CH31" s="69" t="n">
        <v>0.01</v>
      </c>
      <c r="CI31" s="69" t="n">
        <v>0.04</v>
      </c>
      <c r="CJ31" s="69" t="n">
        <v>0.31</v>
      </c>
      <c r="CK31" s="69" t="n">
        <v>0.38</v>
      </c>
      <c r="CL31" s="69" t="n">
        <v>0.07</v>
      </c>
      <c r="CM31" s="69" t="n">
        <v>-0.04</v>
      </c>
      <c r="CN31" s="69" t="n">
        <v>0.03</v>
      </c>
      <c r="CO31" s="69" t="n">
        <v>0.07</v>
      </c>
      <c r="CP31" s="69" t="n">
        <v>0.13</v>
      </c>
      <c r="CQ31" s="69" t="n">
        <v>0.3</v>
      </c>
      <c r="CR31" s="69" t="n">
        <v>-0.02</v>
      </c>
      <c r="CS31" s="69" t="n">
        <v>-0.07</v>
      </c>
      <c r="CT31" s="69" t="n">
        <v>0.24</v>
      </c>
      <c r="CU31" s="69" t="n">
        <v>0</v>
      </c>
      <c r="CV31" s="69" t="n">
        <v>0.25</v>
      </c>
      <c r="CW31" s="69" t="n">
        <v>0.33</v>
      </c>
      <c r="CX31" s="69" t="n">
        <v>0.31</v>
      </c>
      <c r="CY31" s="69" t="n">
        <v>0.34</v>
      </c>
      <c r="CZ31" s="69" t="n">
        <v>0.22</v>
      </c>
      <c r="DA31" s="69" t="n">
        <v>0.31</v>
      </c>
      <c r="DB31" s="69" t="n">
        <v>0.01</v>
      </c>
      <c r="DC31" s="69" t="n">
        <v>0.06</v>
      </c>
      <c r="DD31" s="69" t="n">
        <v>0.37</v>
      </c>
      <c r="DE31" s="69" t="n">
        <v>-0.02</v>
      </c>
      <c r="DF31" s="69" t="n">
        <v>0.31</v>
      </c>
      <c r="DG31" s="69" t="n">
        <v>0</v>
      </c>
      <c r="DH31" s="69" t="n">
        <v>-0.08</v>
      </c>
      <c r="DI31" s="69" t="n">
        <v>0.27</v>
      </c>
      <c r="DJ31" s="69" t="n">
        <v>0.36</v>
      </c>
      <c r="DK31" s="69" t="n">
        <v>0.24</v>
      </c>
      <c r="DL31" s="69" t="n">
        <v>-0.12</v>
      </c>
      <c r="DM31" s="69" t="n">
        <v>0.35</v>
      </c>
      <c r="DN31" s="69" t="n">
        <v>0.32</v>
      </c>
      <c r="DO31" s="69" t="n">
        <v>-0.02</v>
      </c>
      <c r="DP31" s="69" t="n">
        <v>0.3</v>
      </c>
      <c r="DQ31" s="69" t="n">
        <v>-0.12</v>
      </c>
      <c r="DR31" s="69" t="n">
        <v>-0.01</v>
      </c>
      <c r="DS31" s="69" t="n">
        <v>0.31</v>
      </c>
      <c r="DT31" s="69" t="n">
        <v>-0.04</v>
      </c>
      <c r="DU31" s="69" t="n">
        <v>0.14</v>
      </c>
      <c r="DV31" s="69" t="n">
        <v>0.18</v>
      </c>
      <c r="DW31" s="69" t="n">
        <v>0.35</v>
      </c>
      <c r="DX31" s="69" t="n">
        <v>-0.11</v>
      </c>
      <c r="DY31" s="69" t="n">
        <v>0.37</v>
      </c>
      <c r="DZ31" s="69" t="n">
        <v>0.08</v>
      </c>
      <c r="EA31" s="69" t="n">
        <v>0.03</v>
      </c>
      <c r="EB31" s="69" t="n">
        <v>0.24</v>
      </c>
      <c r="EC31" s="69" t="n">
        <v>0.02</v>
      </c>
      <c r="ED31" s="69" t="n">
        <v>0.09</v>
      </c>
      <c r="EE31" s="69" t="n">
        <v>-0.11</v>
      </c>
      <c r="EF31" s="69" t="n">
        <v>0.1</v>
      </c>
      <c r="EG31" s="69" t="n">
        <v>-0.06</v>
      </c>
      <c r="EH31" s="69" t="n">
        <v>0.21</v>
      </c>
      <c r="EI31" s="69" t="n">
        <v>-0.14</v>
      </c>
      <c r="EJ31" s="69" t="n">
        <v>0.09</v>
      </c>
      <c r="EK31" s="69" t="n">
        <v>-0.01</v>
      </c>
      <c r="EL31" s="69" t="n">
        <v>-0.07</v>
      </c>
      <c r="EM31" s="69" t="n">
        <v>0.04</v>
      </c>
      <c r="EN31" s="69" t="n">
        <v>0.05</v>
      </c>
      <c r="EO31" s="69" t="n">
        <v>0.04</v>
      </c>
    </row>
    <row r="32" customFormat="false" ht="15" hidden="false" customHeight="false" outlineLevel="0" collapsed="false">
      <c r="A32" s="68" t="s">
        <v>253</v>
      </c>
      <c r="B32" s="69" t="n">
        <v>0.04</v>
      </c>
      <c r="C32" s="69" t="n">
        <v>0.04</v>
      </c>
      <c r="D32" s="69" t="n">
        <v>0.08</v>
      </c>
      <c r="E32" s="69" t="n">
        <v>0.31</v>
      </c>
      <c r="F32" s="69" t="n">
        <v>-0.02</v>
      </c>
      <c r="G32" s="69" t="n">
        <v>0.16</v>
      </c>
      <c r="H32" s="69" t="n">
        <v>0.23</v>
      </c>
      <c r="I32" s="69" t="n">
        <v>0.04</v>
      </c>
      <c r="J32" s="69" t="n">
        <v>-0.14</v>
      </c>
      <c r="K32" s="69" t="n">
        <v>0.05</v>
      </c>
      <c r="L32" s="69" t="n">
        <v>0.12</v>
      </c>
      <c r="M32" s="69" t="n">
        <v>0.11</v>
      </c>
      <c r="N32" s="69" t="n">
        <v>0.04</v>
      </c>
      <c r="O32" s="69" t="n">
        <v>0.32</v>
      </c>
      <c r="P32" s="69" t="n">
        <v>0.02</v>
      </c>
      <c r="Q32" s="69" t="n">
        <v>0.01</v>
      </c>
      <c r="R32" s="69" t="n">
        <v>0.05</v>
      </c>
      <c r="S32" s="69" t="n">
        <v>0.11</v>
      </c>
      <c r="T32" s="69" t="n">
        <v>0.06</v>
      </c>
      <c r="U32" s="69" t="n">
        <v>0.25</v>
      </c>
      <c r="V32" s="69" t="n">
        <v>0.3</v>
      </c>
      <c r="W32" s="69" t="n">
        <v>0.14</v>
      </c>
      <c r="X32" s="69" t="n">
        <v>0.11</v>
      </c>
      <c r="Y32" s="69" t="n">
        <v>0.05</v>
      </c>
      <c r="Z32" s="69" t="n">
        <v>0.21</v>
      </c>
      <c r="AA32" s="69" t="n">
        <v>0.14</v>
      </c>
      <c r="AB32" s="69" t="n">
        <v>0.02</v>
      </c>
      <c r="AC32" s="69" t="n">
        <v>1</v>
      </c>
      <c r="AD32" s="69" t="n">
        <v>0.19</v>
      </c>
      <c r="AE32" s="69" t="n">
        <v>0.19</v>
      </c>
      <c r="AF32" s="69" t="n">
        <v>0.17</v>
      </c>
      <c r="AG32" s="69" t="n">
        <v>-0.04</v>
      </c>
      <c r="AH32" s="69" t="n">
        <v>-0.05</v>
      </c>
      <c r="AI32" s="69" t="n">
        <v>0.07</v>
      </c>
      <c r="AJ32" s="69" t="n">
        <v>0.11</v>
      </c>
      <c r="AK32" s="69" t="n">
        <v>0.21</v>
      </c>
      <c r="AL32" s="69" t="n">
        <v>-0.07</v>
      </c>
      <c r="AM32" s="69" t="n">
        <v>0.16</v>
      </c>
      <c r="AN32" s="69" t="n">
        <v>0.01</v>
      </c>
      <c r="AO32" s="69" t="n">
        <v>-0.13</v>
      </c>
      <c r="AP32" s="69" t="n">
        <v>0.03</v>
      </c>
      <c r="AQ32" s="69" t="n">
        <v>0.08</v>
      </c>
      <c r="AR32" s="69" t="n">
        <v>-0.01</v>
      </c>
      <c r="AS32" s="69" t="n">
        <v>0.08</v>
      </c>
      <c r="AT32" s="69" t="n">
        <v>0.03</v>
      </c>
      <c r="AU32" s="69" t="n">
        <v>-0.03</v>
      </c>
      <c r="AV32" s="69" t="n">
        <v>0.26</v>
      </c>
      <c r="AW32" s="69" t="n">
        <v>0.21</v>
      </c>
      <c r="AX32" s="69" t="n">
        <v>-0.06</v>
      </c>
      <c r="AY32" s="69" t="n">
        <v>-0.01</v>
      </c>
      <c r="AZ32" s="69" t="n">
        <v>0.13</v>
      </c>
      <c r="BA32" s="69" t="n">
        <v>0.07</v>
      </c>
      <c r="BB32" s="69" t="n">
        <v>0.06</v>
      </c>
      <c r="BC32" s="69" t="n">
        <v>0.23</v>
      </c>
      <c r="BD32" s="69" t="n">
        <v>0.14</v>
      </c>
      <c r="BE32" s="69" t="n">
        <v>0</v>
      </c>
      <c r="BF32" s="69" t="n">
        <v>0.18</v>
      </c>
      <c r="BG32" s="69" t="n">
        <v>0.02</v>
      </c>
      <c r="BH32" s="69" t="n">
        <v>0.26</v>
      </c>
      <c r="BI32" s="69" t="n">
        <v>0.19</v>
      </c>
      <c r="BJ32" s="69" t="n">
        <v>0.05</v>
      </c>
      <c r="BK32" s="69" t="n">
        <v>0.13</v>
      </c>
      <c r="BL32" s="69" t="n">
        <v>0</v>
      </c>
      <c r="BM32" s="69" t="n">
        <v>-0.02</v>
      </c>
      <c r="BN32" s="69" t="n">
        <v>-0.02</v>
      </c>
      <c r="BO32" s="69" t="n">
        <v>0.04</v>
      </c>
      <c r="BP32" s="69" t="n">
        <v>0.08</v>
      </c>
      <c r="BQ32" s="69" t="n">
        <v>0.12</v>
      </c>
      <c r="BR32" s="69" t="n">
        <v>-0.06</v>
      </c>
      <c r="BS32" s="69" t="n">
        <v>0.01</v>
      </c>
      <c r="BT32" s="69" t="n">
        <v>0.11</v>
      </c>
      <c r="BU32" s="69" t="n">
        <v>0.08</v>
      </c>
      <c r="BV32" s="69" t="n">
        <v>0.01</v>
      </c>
      <c r="BW32" s="69" t="n">
        <v>0.02</v>
      </c>
      <c r="BX32" s="69" t="n">
        <v>-0.1</v>
      </c>
      <c r="BY32" s="69" t="n">
        <v>0.1</v>
      </c>
      <c r="BZ32" s="69" t="n">
        <v>0.04</v>
      </c>
      <c r="CA32" s="69" t="n">
        <v>0.3</v>
      </c>
      <c r="CB32" s="69" t="n">
        <v>-0.04</v>
      </c>
      <c r="CC32" s="69" t="n">
        <v>-0.08</v>
      </c>
      <c r="CD32" s="69" t="n">
        <v>-0.05</v>
      </c>
      <c r="CE32" s="69" t="n">
        <v>0.08</v>
      </c>
      <c r="CF32" s="69" t="n">
        <v>-0.04</v>
      </c>
      <c r="CG32" s="69" t="n">
        <v>-0.08</v>
      </c>
      <c r="CH32" s="69" t="n">
        <v>0.23</v>
      </c>
      <c r="CI32" s="69" t="n">
        <v>0</v>
      </c>
      <c r="CJ32" s="69" t="n">
        <v>0.08</v>
      </c>
      <c r="CK32" s="69" t="n">
        <v>-0.03</v>
      </c>
      <c r="CL32" s="69" t="n">
        <v>0.04</v>
      </c>
      <c r="CM32" s="69" t="n">
        <v>-0.01</v>
      </c>
      <c r="CN32" s="69" t="n">
        <v>0.21</v>
      </c>
      <c r="CO32" s="69" t="n">
        <v>-0.05</v>
      </c>
      <c r="CP32" s="69" t="n">
        <v>-0.02</v>
      </c>
      <c r="CQ32" s="69" t="n">
        <v>0.05</v>
      </c>
      <c r="CR32" s="69" t="n">
        <v>0.06</v>
      </c>
      <c r="CS32" s="69" t="n">
        <v>0.11</v>
      </c>
      <c r="CT32" s="69" t="n">
        <v>0.13</v>
      </c>
      <c r="CU32" s="69" t="n">
        <v>0.03</v>
      </c>
      <c r="CV32" s="69" t="n">
        <v>0.11</v>
      </c>
      <c r="CW32" s="69" t="n">
        <v>0.11</v>
      </c>
      <c r="CX32" s="69" t="n">
        <v>0.05</v>
      </c>
      <c r="CY32" s="69" t="n">
        <v>0.08</v>
      </c>
      <c r="CZ32" s="69" t="n">
        <v>-0.04</v>
      </c>
      <c r="DA32" s="69" t="n">
        <v>-0.09</v>
      </c>
      <c r="DB32" s="69" t="n">
        <v>0.15</v>
      </c>
      <c r="DC32" s="69" t="n">
        <v>0.12</v>
      </c>
      <c r="DD32" s="69" t="n">
        <v>0.08</v>
      </c>
      <c r="DE32" s="69" t="n">
        <v>0.08</v>
      </c>
      <c r="DF32" s="69" t="n">
        <v>-0.02</v>
      </c>
      <c r="DG32" s="69" t="n">
        <v>0.13</v>
      </c>
      <c r="DH32" s="69" t="n">
        <v>0.1</v>
      </c>
      <c r="DI32" s="69" t="n">
        <v>0.12</v>
      </c>
      <c r="DJ32" s="69" t="n">
        <v>0</v>
      </c>
      <c r="DK32" s="69" t="n">
        <v>0.04</v>
      </c>
      <c r="DL32" s="69" t="n">
        <v>0.23</v>
      </c>
      <c r="DM32" s="69" t="n">
        <v>0.11</v>
      </c>
      <c r="DN32" s="69" t="n">
        <v>-0.01</v>
      </c>
      <c r="DO32" s="69" t="n">
        <v>0.14</v>
      </c>
      <c r="DP32" s="69" t="n">
        <v>0.05</v>
      </c>
      <c r="DQ32" s="69" t="n">
        <v>0.08</v>
      </c>
      <c r="DR32" s="69" t="n">
        <v>0.07</v>
      </c>
      <c r="DS32" s="69" t="n">
        <v>-0.07</v>
      </c>
      <c r="DT32" s="69" t="n">
        <v>0.12</v>
      </c>
      <c r="DU32" s="69" t="n">
        <v>0.12</v>
      </c>
      <c r="DV32" s="69" t="n">
        <v>0.05</v>
      </c>
      <c r="DW32" s="69" t="n">
        <v>-0.04</v>
      </c>
      <c r="DX32" s="69" t="n">
        <v>0.04</v>
      </c>
      <c r="DY32" s="69" t="n">
        <v>0.01</v>
      </c>
      <c r="DZ32" s="69" t="n">
        <v>-0.07</v>
      </c>
      <c r="EA32" s="69" t="n">
        <v>-0.05</v>
      </c>
      <c r="EB32" s="69" t="n">
        <v>0.04</v>
      </c>
      <c r="EC32" s="69" t="n">
        <v>0.14</v>
      </c>
      <c r="ED32" s="69" t="n">
        <v>0.06</v>
      </c>
      <c r="EE32" s="69" t="n">
        <v>0.11</v>
      </c>
      <c r="EF32" s="69" t="n">
        <v>-0.03</v>
      </c>
      <c r="EG32" s="69" t="n">
        <v>0.02</v>
      </c>
      <c r="EH32" s="69" t="n">
        <v>-0.09</v>
      </c>
      <c r="EI32" s="69" t="n">
        <v>0.02</v>
      </c>
      <c r="EJ32" s="69" t="n">
        <v>0.1</v>
      </c>
      <c r="EK32" s="69" t="n">
        <v>0.15</v>
      </c>
      <c r="EL32" s="69" t="n">
        <v>0.13</v>
      </c>
      <c r="EM32" s="69" t="n">
        <v>0</v>
      </c>
      <c r="EN32" s="69" t="n">
        <v>0.03</v>
      </c>
      <c r="EO32" s="69" t="n">
        <v>0</v>
      </c>
    </row>
    <row r="33" customFormat="false" ht="15" hidden="false" customHeight="false" outlineLevel="0" collapsed="false">
      <c r="A33" s="68" t="s">
        <v>254</v>
      </c>
      <c r="B33" s="69" t="n">
        <v>0.07</v>
      </c>
      <c r="C33" s="69" t="n">
        <v>0.2</v>
      </c>
      <c r="D33" s="69" t="n">
        <v>0.02</v>
      </c>
      <c r="E33" s="69" t="n">
        <v>0.24</v>
      </c>
      <c r="F33" s="69" t="n">
        <v>0.14</v>
      </c>
      <c r="G33" s="69" t="n">
        <v>0.03</v>
      </c>
      <c r="H33" s="69" t="n">
        <v>0.21</v>
      </c>
      <c r="I33" s="69" t="n">
        <v>0.08</v>
      </c>
      <c r="J33" s="69" t="n">
        <v>0.12</v>
      </c>
      <c r="K33" s="69" t="n">
        <v>0.15</v>
      </c>
      <c r="L33" s="69" t="n">
        <v>0.22</v>
      </c>
      <c r="M33" s="69" t="n">
        <v>0.17</v>
      </c>
      <c r="N33" s="69" t="n">
        <v>0.03</v>
      </c>
      <c r="O33" s="69" t="n">
        <v>0.29</v>
      </c>
      <c r="P33" s="69" t="n">
        <v>0.12</v>
      </c>
      <c r="Q33" s="69" t="n">
        <v>0.03</v>
      </c>
      <c r="R33" s="69" t="n">
        <v>0.08</v>
      </c>
      <c r="S33" s="69" t="n">
        <v>0.28</v>
      </c>
      <c r="T33" s="69" t="n">
        <v>-0.03</v>
      </c>
      <c r="U33" s="69" t="n">
        <v>0.27</v>
      </c>
      <c r="V33" s="69" t="n">
        <v>0.27</v>
      </c>
      <c r="W33" s="69" t="n">
        <v>0.36</v>
      </c>
      <c r="X33" s="69" t="n">
        <v>0.04</v>
      </c>
      <c r="Y33" s="69" t="n">
        <v>0.03</v>
      </c>
      <c r="Z33" s="69" t="n">
        <v>0.27</v>
      </c>
      <c r="AA33" s="69" t="n">
        <v>0.2</v>
      </c>
      <c r="AB33" s="69" t="n">
        <v>-0.02</v>
      </c>
      <c r="AC33" s="69" t="n">
        <v>0.19</v>
      </c>
      <c r="AD33" s="69" t="n">
        <v>1</v>
      </c>
      <c r="AE33" s="69" t="n">
        <v>0.29</v>
      </c>
      <c r="AF33" s="69" t="n">
        <v>0.31</v>
      </c>
      <c r="AG33" s="69" t="n">
        <v>0.13</v>
      </c>
      <c r="AH33" s="69" t="n">
        <v>0.08</v>
      </c>
      <c r="AI33" s="69" t="n">
        <v>0.04</v>
      </c>
      <c r="AJ33" s="69" t="n">
        <v>0.15</v>
      </c>
      <c r="AK33" s="69" t="n">
        <v>0.29</v>
      </c>
      <c r="AL33" s="69" t="n">
        <v>0.06</v>
      </c>
      <c r="AM33" s="69" t="n">
        <v>0.13</v>
      </c>
      <c r="AN33" s="69" t="n">
        <v>0.07</v>
      </c>
      <c r="AO33" s="69" t="n">
        <v>0.02</v>
      </c>
      <c r="AP33" s="69" t="n">
        <v>-0.03</v>
      </c>
      <c r="AQ33" s="69" t="n">
        <v>0.05</v>
      </c>
      <c r="AR33" s="69" t="n">
        <v>-0.02</v>
      </c>
      <c r="AS33" s="69" t="n">
        <v>0.15</v>
      </c>
      <c r="AT33" s="69" t="n">
        <v>-0.04</v>
      </c>
      <c r="AU33" s="69" t="n">
        <v>0.06</v>
      </c>
      <c r="AV33" s="69" t="n">
        <v>0.27</v>
      </c>
      <c r="AW33" s="69" t="n">
        <v>0.32</v>
      </c>
      <c r="AX33" s="69" t="n">
        <v>0.04</v>
      </c>
      <c r="AY33" s="69" t="n">
        <v>0.1</v>
      </c>
      <c r="AZ33" s="69" t="n">
        <v>0.17</v>
      </c>
      <c r="BA33" s="69" t="n">
        <v>0.19</v>
      </c>
      <c r="BB33" s="69" t="n">
        <v>0.01</v>
      </c>
      <c r="BC33" s="69" t="n">
        <v>0.23</v>
      </c>
      <c r="BD33" s="69" t="n">
        <v>0.28</v>
      </c>
      <c r="BE33" s="69" t="n">
        <v>0.12</v>
      </c>
      <c r="BF33" s="69" t="n">
        <v>0.2</v>
      </c>
      <c r="BG33" s="69" t="n">
        <v>0</v>
      </c>
      <c r="BH33" s="69" t="n">
        <v>0.2</v>
      </c>
      <c r="BI33" s="69" t="n">
        <v>0.03</v>
      </c>
      <c r="BJ33" s="69" t="n">
        <v>0.03</v>
      </c>
      <c r="BK33" s="69" t="n">
        <v>0.21</v>
      </c>
      <c r="BL33" s="69" t="n">
        <v>0.17</v>
      </c>
      <c r="BM33" s="69" t="n">
        <v>0.03</v>
      </c>
      <c r="BN33" s="69" t="n">
        <v>0.11</v>
      </c>
      <c r="BO33" s="69" t="n">
        <v>0.08</v>
      </c>
      <c r="BP33" s="69" t="n">
        <v>-0.06</v>
      </c>
      <c r="BQ33" s="69" t="n">
        <v>0.33</v>
      </c>
      <c r="BR33" s="69" t="n">
        <v>0.04</v>
      </c>
      <c r="BS33" s="69" t="n">
        <v>0.07</v>
      </c>
      <c r="BT33" s="69" t="n">
        <v>0.17</v>
      </c>
      <c r="BU33" s="69" t="n">
        <v>0.2</v>
      </c>
      <c r="BV33" s="69" t="n">
        <v>0.11</v>
      </c>
      <c r="BW33" s="69" t="n">
        <v>0.06</v>
      </c>
      <c r="BX33" s="69" t="n">
        <v>0.03</v>
      </c>
      <c r="BY33" s="69" t="n">
        <v>0.08</v>
      </c>
      <c r="BZ33" s="69" t="n">
        <v>0.1</v>
      </c>
      <c r="CA33" s="69" t="n">
        <v>0.32</v>
      </c>
      <c r="CB33" s="69" t="n">
        <v>-0.08</v>
      </c>
      <c r="CC33" s="69" t="n">
        <v>0.02</v>
      </c>
      <c r="CD33" s="69" t="n">
        <v>-0.04</v>
      </c>
      <c r="CE33" s="69" t="n">
        <v>0.08</v>
      </c>
      <c r="CF33" s="69" t="n">
        <v>0.09</v>
      </c>
      <c r="CG33" s="69" t="n">
        <v>-0.06</v>
      </c>
      <c r="CH33" s="69" t="n">
        <v>0.25</v>
      </c>
      <c r="CI33" s="69" t="n">
        <v>0.01</v>
      </c>
      <c r="CJ33" s="69" t="n">
        <v>0.06</v>
      </c>
      <c r="CK33" s="69" t="n">
        <v>0.04</v>
      </c>
      <c r="CL33" s="69" t="n">
        <v>0.1</v>
      </c>
      <c r="CM33" s="69" t="n">
        <v>0.01</v>
      </c>
      <c r="CN33" s="69" t="n">
        <v>0.18</v>
      </c>
      <c r="CO33" s="69" t="n">
        <v>0.13</v>
      </c>
      <c r="CP33" s="69" t="n">
        <v>-0.04</v>
      </c>
      <c r="CQ33" s="69" t="n">
        <v>0.07</v>
      </c>
      <c r="CR33" s="69" t="n">
        <v>0.17</v>
      </c>
      <c r="CS33" s="69" t="n">
        <v>0.2</v>
      </c>
      <c r="CT33" s="69" t="n">
        <v>0.1</v>
      </c>
      <c r="CU33" s="69" t="n">
        <v>0.06</v>
      </c>
      <c r="CV33" s="69" t="n">
        <v>0.05</v>
      </c>
      <c r="CW33" s="69" t="n">
        <v>0.12</v>
      </c>
      <c r="CX33" s="69" t="n">
        <v>0.14</v>
      </c>
      <c r="CY33" s="69" t="n">
        <v>0.09</v>
      </c>
      <c r="CZ33" s="69" t="n">
        <v>-0.04</v>
      </c>
      <c r="DA33" s="69" t="n">
        <v>-0.01</v>
      </c>
      <c r="DB33" s="69" t="n">
        <v>0.13</v>
      </c>
      <c r="DC33" s="69" t="n">
        <v>0.05</v>
      </c>
      <c r="DD33" s="69" t="n">
        <v>0.04</v>
      </c>
      <c r="DE33" s="69" t="n">
        <v>0.18</v>
      </c>
      <c r="DF33" s="69" t="n">
        <v>-0.19</v>
      </c>
      <c r="DG33" s="69" t="n">
        <v>0.11</v>
      </c>
      <c r="DH33" s="69" t="n">
        <v>0.12</v>
      </c>
      <c r="DI33" s="69" t="n">
        <v>0.07</v>
      </c>
      <c r="DJ33" s="69" t="n">
        <v>0.06</v>
      </c>
      <c r="DK33" s="69" t="n">
        <v>0.1</v>
      </c>
      <c r="DL33" s="69" t="n">
        <v>0.12</v>
      </c>
      <c r="DM33" s="69" t="n">
        <v>0.13</v>
      </c>
      <c r="DN33" s="69" t="n">
        <v>-0.1</v>
      </c>
      <c r="DO33" s="69" t="n">
        <v>0.11</v>
      </c>
      <c r="DP33" s="69" t="n">
        <v>0.05</v>
      </c>
      <c r="DQ33" s="69" t="n">
        <v>0.13</v>
      </c>
      <c r="DR33" s="69" t="n">
        <v>0.08</v>
      </c>
      <c r="DS33" s="69" t="n">
        <v>-0.07</v>
      </c>
      <c r="DT33" s="69" t="n">
        <v>-0.11</v>
      </c>
      <c r="DU33" s="69" t="n">
        <v>0.09</v>
      </c>
      <c r="DV33" s="69" t="n">
        <v>-0.05</v>
      </c>
      <c r="DW33" s="69" t="n">
        <v>-0.1</v>
      </c>
      <c r="DX33" s="69" t="n">
        <v>0.17</v>
      </c>
      <c r="DY33" s="69" t="n">
        <v>0.05</v>
      </c>
      <c r="DZ33" s="69" t="n">
        <v>-0.03</v>
      </c>
      <c r="EA33" s="69" t="n">
        <v>0.1</v>
      </c>
      <c r="EB33" s="69" t="n">
        <v>0.01</v>
      </c>
      <c r="EC33" s="69" t="n">
        <v>0.05</v>
      </c>
      <c r="ED33" s="69" t="n">
        <v>0.06</v>
      </c>
      <c r="EE33" s="69" t="n">
        <v>0.17</v>
      </c>
      <c r="EF33" s="69" t="n">
        <v>0.09</v>
      </c>
      <c r="EG33" s="69" t="n">
        <v>0.2</v>
      </c>
      <c r="EH33" s="69" t="n">
        <v>-0.07</v>
      </c>
      <c r="EI33" s="69" t="n">
        <v>0.12</v>
      </c>
      <c r="EJ33" s="69" t="n">
        <v>0.13</v>
      </c>
      <c r="EK33" s="69" t="n">
        <v>0.11</v>
      </c>
      <c r="EL33" s="69" t="n">
        <v>0.16</v>
      </c>
      <c r="EM33" s="69" t="n">
        <v>0.07</v>
      </c>
      <c r="EN33" s="69" t="n">
        <v>0.01</v>
      </c>
      <c r="EO33" s="69" t="n">
        <v>-0.03</v>
      </c>
    </row>
    <row r="34" customFormat="false" ht="15" hidden="false" customHeight="false" outlineLevel="0" collapsed="false">
      <c r="A34" s="68" t="s">
        <v>255</v>
      </c>
      <c r="B34" s="69" t="n">
        <v>0.01</v>
      </c>
      <c r="C34" s="69" t="n">
        <v>0.2</v>
      </c>
      <c r="D34" s="69" t="n">
        <v>0.19</v>
      </c>
      <c r="E34" s="69" t="n">
        <v>0.19</v>
      </c>
      <c r="F34" s="69" t="n">
        <v>-0.07</v>
      </c>
      <c r="G34" s="69" t="n">
        <v>0.22</v>
      </c>
      <c r="H34" s="69" t="n">
        <v>0.21</v>
      </c>
      <c r="I34" s="69" t="n">
        <v>0.05</v>
      </c>
      <c r="J34" s="69" t="n">
        <v>-0.08</v>
      </c>
      <c r="K34" s="69" t="n">
        <v>0.04</v>
      </c>
      <c r="L34" s="69" t="n">
        <v>0.25</v>
      </c>
      <c r="M34" s="69" t="n">
        <v>0.23</v>
      </c>
      <c r="N34" s="69" t="n">
        <v>0</v>
      </c>
      <c r="O34" s="69" t="n">
        <v>0.32</v>
      </c>
      <c r="P34" s="69" t="n">
        <v>0.03</v>
      </c>
      <c r="Q34" s="69" t="n">
        <v>0.07</v>
      </c>
      <c r="R34" s="69" t="n">
        <v>0.02</v>
      </c>
      <c r="S34" s="69" t="n">
        <v>0.24</v>
      </c>
      <c r="T34" s="69" t="n">
        <v>0.17</v>
      </c>
      <c r="U34" s="69" t="n">
        <v>0.34</v>
      </c>
      <c r="V34" s="69" t="n">
        <v>0.26</v>
      </c>
      <c r="W34" s="69" t="n">
        <v>0.15</v>
      </c>
      <c r="X34" s="69" t="n">
        <v>0.15</v>
      </c>
      <c r="Y34" s="69" t="n">
        <v>0.14</v>
      </c>
      <c r="Z34" s="69" t="n">
        <v>0.31</v>
      </c>
      <c r="AA34" s="69" t="n">
        <v>0.29</v>
      </c>
      <c r="AB34" s="69" t="n">
        <v>0.1</v>
      </c>
      <c r="AC34" s="69" t="n">
        <v>0.19</v>
      </c>
      <c r="AD34" s="69" t="n">
        <v>0.29</v>
      </c>
      <c r="AE34" s="69" t="n">
        <v>1</v>
      </c>
      <c r="AF34" s="69" t="n">
        <v>0.45</v>
      </c>
      <c r="AG34" s="69" t="n">
        <v>-0.08</v>
      </c>
      <c r="AH34" s="69" t="n">
        <v>-0.05</v>
      </c>
      <c r="AI34" s="69" t="n">
        <v>-0.27</v>
      </c>
      <c r="AJ34" s="69" t="n">
        <v>0.24</v>
      </c>
      <c r="AK34" s="69" t="n">
        <v>0.38</v>
      </c>
      <c r="AL34" s="69" t="n">
        <v>0.11</v>
      </c>
      <c r="AM34" s="69" t="n">
        <v>0.25</v>
      </c>
      <c r="AN34" s="69" t="n">
        <v>0.21</v>
      </c>
      <c r="AO34" s="69" t="n">
        <v>-0.03</v>
      </c>
      <c r="AP34" s="69" t="n">
        <v>0.08</v>
      </c>
      <c r="AQ34" s="69" t="n">
        <v>-0.23</v>
      </c>
      <c r="AR34" s="69" t="n">
        <v>0.16</v>
      </c>
      <c r="AS34" s="69" t="n">
        <v>0.37</v>
      </c>
      <c r="AT34" s="69" t="n">
        <v>0.22</v>
      </c>
      <c r="AU34" s="69" t="n">
        <v>-0.03</v>
      </c>
      <c r="AV34" s="69" t="n">
        <v>0.32</v>
      </c>
      <c r="AW34" s="69" t="n">
        <v>0.3</v>
      </c>
      <c r="AX34" s="69" t="n">
        <v>0.06</v>
      </c>
      <c r="AY34" s="69" t="n">
        <v>0.08</v>
      </c>
      <c r="AZ34" s="69" t="n">
        <v>0.65</v>
      </c>
      <c r="BA34" s="69" t="n">
        <v>0.22</v>
      </c>
      <c r="BB34" s="69" t="n">
        <v>0.25</v>
      </c>
      <c r="BC34" s="69" t="n">
        <v>0.22</v>
      </c>
      <c r="BD34" s="69" t="n">
        <v>0.43</v>
      </c>
      <c r="BE34" s="69" t="n">
        <v>0.05</v>
      </c>
      <c r="BF34" s="69" t="n">
        <v>0.32</v>
      </c>
      <c r="BG34" s="69" t="n">
        <v>0.11</v>
      </c>
      <c r="BH34" s="69" t="n">
        <v>0.25</v>
      </c>
      <c r="BI34" s="69" t="n">
        <v>0.14</v>
      </c>
      <c r="BJ34" s="69" t="n">
        <v>0.08</v>
      </c>
      <c r="BK34" s="69" t="n">
        <v>0.66</v>
      </c>
      <c r="BL34" s="69" t="n">
        <v>0.15</v>
      </c>
      <c r="BM34" s="69" t="n">
        <v>0.03</v>
      </c>
      <c r="BN34" s="69" t="n">
        <v>-0.05</v>
      </c>
      <c r="BO34" s="69" t="n">
        <v>0.14</v>
      </c>
      <c r="BP34" s="69" t="n">
        <v>0.05</v>
      </c>
      <c r="BQ34" s="69" t="n">
        <v>0.34</v>
      </c>
      <c r="BR34" s="69" t="n">
        <v>0.16</v>
      </c>
      <c r="BS34" s="69" t="n">
        <v>-0.22</v>
      </c>
      <c r="BT34" s="69" t="n">
        <v>0.29</v>
      </c>
      <c r="BU34" s="69" t="n">
        <v>0.27</v>
      </c>
      <c r="BV34" s="69" t="n">
        <v>0.11</v>
      </c>
      <c r="BW34" s="69" t="n">
        <v>0.14</v>
      </c>
      <c r="BX34" s="69" t="n">
        <v>-0.03</v>
      </c>
      <c r="BY34" s="69" t="n">
        <v>0.17</v>
      </c>
      <c r="BZ34" s="69" t="n">
        <v>0.16</v>
      </c>
      <c r="CA34" s="69" t="n">
        <v>0.29</v>
      </c>
      <c r="CB34" s="69" t="n">
        <v>-0.07</v>
      </c>
      <c r="CC34" s="69" t="n">
        <v>-0.04</v>
      </c>
      <c r="CD34" s="69" t="n">
        <v>0.11</v>
      </c>
      <c r="CE34" s="69" t="n">
        <v>0.14</v>
      </c>
      <c r="CF34" s="69" t="n">
        <v>-0.21</v>
      </c>
      <c r="CG34" s="69" t="n">
        <v>0.12</v>
      </c>
      <c r="CH34" s="69" t="n">
        <v>0.37</v>
      </c>
      <c r="CI34" s="69" t="n">
        <v>-0.24</v>
      </c>
      <c r="CJ34" s="69" t="n">
        <v>-0.01</v>
      </c>
      <c r="CK34" s="69" t="n">
        <v>0.05</v>
      </c>
      <c r="CL34" s="69" t="n">
        <v>0.1</v>
      </c>
      <c r="CM34" s="69" t="n">
        <v>0.11</v>
      </c>
      <c r="CN34" s="69" t="n">
        <v>0.16</v>
      </c>
      <c r="CO34" s="69" t="n">
        <v>0.12</v>
      </c>
      <c r="CP34" s="69" t="n">
        <v>-0.01</v>
      </c>
      <c r="CQ34" s="69" t="n">
        <v>0.22</v>
      </c>
      <c r="CR34" s="69" t="n">
        <v>0.22</v>
      </c>
      <c r="CS34" s="69" t="n">
        <v>0.25</v>
      </c>
      <c r="CT34" s="69" t="n">
        <v>0.11</v>
      </c>
      <c r="CU34" s="69" t="n">
        <v>0.13</v>
      </c>
      <c r="CV34" s="69" t="n">
        <v>0.14</v>
      </c>
      <c r="CW34" s="69" t="n">
        <v>0.15</v>
      </c>
      <c r="CX34" s="69" t="n">
        <v>0.2</v>
      </c>
      <c r="CY34" s="69" t="n">
        <v>0.26</v>
      </c>
      <c r="CZ34" s="69" t="n">
        <v>0.03</v>
      </c>
      <c r="DA34" s="69" t="n">
        <v>0.02</v>
      </c>
      <c r="DB34" s="69" t="n">
        <v>0.13</v>
      </c>
      <c r="DC34" s="69" t="n">
        <v>0.42</v>
      </c>
      <c r="DD34" s="69" t="n">
        <v>0.18</v>
      </c>
      <c r="DE34" s="69" t="n">
        <v>0.29</v>
      </c>
      <c r="DF34" s="69" t="n">
        <v>-0.13</v>
      </c>
      <c r="DG34" s="69" t="n">
        <v>0.22</v>
      </c>
      <c r="DH34" s="69" t="n">
        <v>0.16</v>
      </c>
      <c r="DI34" s="69" t="n">
        <v>0.24</v>
      </c>
      <c r="DJ34" s="69" t="n">
        <v>0.17</v>
      </c>
      <c r="DK34" s="69" t="n">
        <v>0.27</v>
      </c>
      <c r="DL34" s="69" t="n">
        <v>0.3</v>
      </c>
      <c r="DM34" s="69" t="n">
        <v>0.3</v>
      </c>
      <c r="DN34" s="69" t="n">
        <v>-0.06</v>
      </c>
      <c r="DO34" s="69" t="n">
        <v>0.14</v>
      </c>
      <c r="DP34" s="69" t="n">
        <v>0.22</v>
      </c>
      <c r="DQ34" s="69" t="n">
        <v>0.12</v>
      </c>
      <c r="DR34" s="69" t="n">
        <v>0.05</v>
      </c>
      <c r="DS34" s="69" t="n">
        <v>-0.02</v>
      </c>
      <c r="DT34" s="69" t="n">
        <v>0.05</v>
      </c>
      <c r="DU34" s="69" t="n">
        <v>0.16</v>
      </c>
      <c r="DV34" s="69" t="n">
        <v>0</v>
      </c>
      <c r="DW34" s="69" t="n">
        <v>0.06</v>
      </c>
      <c r="DX34" s="69" t="n">
        <v>0.23</v>
      </c>
      <c r="DY34" s="69" t="n">
        <v>0.16</v>
      </c>
      <c r="DZ34" s="69" t="n">
        <v>-0.03</v>
      </c>
      <c r="EA34" s="69" t="n">
        <v>0.15</v>
      </c>
      <c r="EB34" s="69" t="n">
        <v>0.14</v>
      </c>
      <c r="EC34" s="69" t="n">
        <v>0.13</v>
      </c>
      <c r="ED34" s="69" t="n">
        <v>0.22</v>
      </c>
      <c r="EE34" s="69" t="n">
        <v>0.17</v>
      </c>
      <c r="EF34" s="69" t="n">
        <v>0.1</v>
      </c>
      <c r="EG34" s="69" t="n">
        <v>0.13</v>
      </c>
      <c r="EH34" s="69" t="n">
        <v>-0.05</v>
      </c>
      <c r="EI34" s="69" t="n">
        <v>0.18</v>
      </c>
      <c r="EJ34" s="69" t="n">
        <v>0.23</v>
      </c>
      <c r="EK34" s="69" t="n">
        <v>0.11</v>
      </c>
      <c r="EL34" s="69" t="n">
        <v>0.19</v>
      </c>
      <c r="EM34" s="69" t="n">
        <v>-0.05</v>
      </c>
      <c r="EN34" s="69" t="n">
        <v>0.04</v>
      </c>
      <c r="EO34" s="69" t="n">
        <v>0.03</v>
      </c>
    </row>
    <row r="35" customFormat="false" ht="15" hidden="false" customHeight="false" outlineLevel="0" collapsed="false">
      <c r="A35" s="68" t="s">
        <v>106</v>
      </c>
      <c r="B35" s="69" t="n">
        <v>-0.12</v>
      </c>
      <c r="C35" s="69" t="n">
        <v>0.22</v>
      </c>
      <c r="D35" s="69" t="n">
        <v>0.17</v>
      </c>
      <c r="E35" s="69" t="n">
        <v>0.34</v>
      </c>
      <c r="F35" s="69" t="n">
        <v>-0.08</v>
      </c>
      <c r="G35" s="69" t="n">
        <v>0.18</v>
      </c>
      <c r="H35" s="69" t="n">
        <v>0.26</v>
      </c>
      <c r="I35" s="69" t="n">
        <v>0</v>
      </c>
      <c r="J35" s="69" t="n">
        <v>0</v>
      </c>
      <c r="K35" s="69" t="n">
        <v>-0.05</v>
      </c>
      <c r="L35" s="69" t="n">
        <v>0.29</v>
      </c>
      <c r="M35" s="69" t="n">
        <v>0.13</v>
      </c>
      <c r="N35" s="69" t="n">
        <v>0.01</v>
      </c>
      <c r="O35" s="69" t="n">
        <v>0.44</v>
      </c>
      <c r="P35" s="69" t="n">
        <v>0.02</v>
      </c>
      <c r="Q35" s="69" t="n">
        <v>0.05</v>
      </c>
      <c r="R35" s="69" t="n">
        <v>-0.01</v>
      </c>
      <c r="S35" s="69" t="n">
        <v>0.31</v>
      </c>
      <c r="T35" s="69" t="n">
        <v>0.1</v>
      </c>
      <c r="U35" s="69" t="n">
        <v>0.41</v>
      </c>
      <c r="V35" s="69" t="n">
        <v>0.42</v>
      </c>
      <c r="W35" s="69" t="n">
        <v>0.33</v>
      </c>
      <c r="X35" s="69" t="n">
        <v>0.15</v>
      </c>
      <c r="Y35" s="69" t="n">
        <v>0</v>
      </c>
      <c r="Z35" s="69" t="n">
        <v>0.28</v>
      </c>
      <c r="AA35" s="69" t="n">
        <v>0.32</v>
      </c>
      <c r="AB35" s="69" t="n">
        <v>-0.04</v>
      </c>
      <c r="AC35" s="69" t="n">
        <v>0.17</v>
      </c>
      <c r="AD35" s="69" t="n">
        <v>0.31</v>
      </c>
      <c r="AE35" s="69" t="n">
        <v>0.45</v>
      </c>
      <c r="AF35" s="69" t="n">
        <v>1</v>
      </c>
      <c r="AG35" s="69" t="n">
        <v>-0.05</v>
      </c>
      <c r="AH35" s="69" t="n">
        <v>-0.04</v>
      </c>
      <c r="AI35" s="69" t="n">
        <v>-0.14</v>
      </c>
      <c r="AJ35" s="69" t="n">
        <v>0.24</v>
      </c>
      <c r="AK35" s="69" t="n">
        <v>0.48</v>
      </c>
      <c r="AL35" s="69" t="n">
        <v>0.04</v>
      </c>
      <c r="AM35" s="69" t="n">
        <v>0.27</v>
      </c>
      <c r="AN35" s="69" t="n">
        <v>0.01</v>
      </c>
      <c r="AO35" s="69" t="n">
        <v>-0.04</v>
      </c>
      <c r="AP35" s="69" t="n">
        <v>0.05</v>
      </c>
      <c r="AQ35" s="69" t="n">
        <v>-0.06</v>
      </c>
      <c r="AR35" s="69" t="n">
        <v>0.09</v>
      </c>
      <c r="AS35" s="69" t="n">
        <v>0.4</v>
      </c>
      <c r="AT35" s="69" t="n">
        <v>0.06</v>
      </c>
      <c r="AU35" s="69" t="n">
        <v>0.01</v>
      </c>
      <c r="AV35" s="69" t="n">
        <v>0.32</v>
      </c>
      <c r="AW35" s="69" t="n">
        <v>0.33</v>
      </c>
      <c r="AX35" s="69" t="n">
        <v>0.01</v>
      </c>
      <c r="AY35" s="69" t="n">
        <v>0.05</v>
      </c>
      <c r="AZ35" s="69" t="n">
        <v>0.43</v>
      </c>
      <c r="BA35" s="69" t="n">
        <v>0.08</v>
      </c>
      <c r="BB35" s="69" t="n">
        <v>0.17</v>
      </c>
      <c r="BC35" s="69" t="n">
        <v>0.22</v>
      </c>
      <c r="BD35" s="69" t="n">
        <v>0.34</v>
      </c>
      <c r="BE35" s="69" t="n">
        <v>0.06</v>
      </c>
      <c r="BF35" s="69" t="n">
        <v>0.29</v>
      </c>
      <c r="BG35" s="69" t="n">
        <v>0.01</v>
      </c>
      <c r="BH35" s="69" t="n">
        <v>0.24</v>
      </c>
      <c r="BI35" s="69" t="n">
        <v>0.22</v>
      </c>
      <c r="BJ35" s="69" t="n">
        <v>0.12</v>
      </c>
      <c r="BK35" s="69" t="n">
        <v>0.42</v>
      </c>
      <c r="BL35" s="69" t="n">
        <v>0.13</v>
      </c>
      <c r="BM35" s="69" t="n">
        <v>0.02</v>
      </c>
      <c r="BN35" s="69" t="n">
        <v>0.02</v>
      </c>
      <c r="BO35" s="69" t="n">
        <v>0.07</v>
      </c>
      <c r="BP35" s="69" t="n">
        <v>0.04</v>
      </c>
      <c r="BQ35" s="69" t="n">
        <v>0.41</v>
      </c>
      <c r="BR35" s="69" t="n">
        <v>0.13</v>
      </c>
      <c r="BS35" s="69" t="n">
        <v>-0.1</v>
      </c>
      <c r="BT35" s="69" t="n">
        <v>0.19</v>
      </c>
      <c r="BU35" s="69" t="n">
        <v>0.26</v>
      </c>
      <c r="BV35" s="69" t="n">
        <v>0.02</v>
      </c>
      <c r="BW35" s="69" t="n">
        <v>0.16</v>
      </c>
      <c r="BX35" s="69" t="n">
        <v>-0.05</v>
      </c>
      <c r="BY35" s="69" t="n">
        <v>0.03</v>
      </c>
      <c r="BZ35" s="69" t="n">
        <v>0.11</v>
      </c>
      <c r="CA35" s="69" t="n">
        <v>0.39</v>
      </c>
      <c r="CB35" s="69" t="n">
        <v>-0.06</v>
      </c>
      <c r="CC35" s="69" t="n">
        <v>0.02</v>
      </c>
      <c r="CD35" s="69" t="n">
        <v>-0.05</v>
      </c>
      <c r="CE35" s="69" t="n">
        <v>0.09</v>
      </c>
      <c r="CF35" s="69" t="n">
        <v>-0.08</v>
      </c>
      <c r="CG35" s="69" t="n">
        <v>-0.02</v>
      </c>
      <c r="CH35" s="69" t="n">
        <v>0.51</v>
      </c>
      <c r="CI35" s="69" t="n">
        <v>-0.1</v>
      </c>
      <c r="CJ35" s="69" t="n">
        <v>-0.09</v>
      </c>
      <c r="CK35" s="69" t="n">
        <v>-0.04</v>
      </c>
      <c r="CL35" s="69" t="n">
        <v>0.02</v>
      </c>
      <c r="CM35" s="69" t="n">
        <v>0.14</v>
      </c>
      <c r="CN35" s="69" t="n">
        <v>0.34</v>
      </c>
      <c r="CO35" s="69" t="n">
        <v>0.21</v>
      </c>
      <c r="CP35" s="69" t="n">
        <v>0.02</v>
      </c>
      <c r="CQ35" s="69" t="n">
        <v>0.12</v>
      </c>
      <c r="CR35" s="69" t="n">
        <v>0.13</v>
      </c>
      <c r="CS35" s="69" t="n">
        <v>0.23</v>
      </c>
      <c r="CT35" s="69" t="n">
        <v>0.15</v>
      </c>
      <c r="CU35" s="69" t="n">
        <v>0.09</v>
      </c>
      <c r="CV35" s="69" t="n">
        <v>0.17</v>
      </c>
      <c r="CW35" s="69" t="n">
        <v>0.13</v>
      </c>
      <c r="CX35" s="69" t="n">
        <v>0.18</v>
      </c>
      <c r="CY35" s="69" t="n">
        <v>0.07</v>
      </c>
      <c r="CZ35" s="69" t="n">
        <v>0.1</v>
      </c>
      <c r="DA35" s="69" t="n">
        <v>-0.11</v>
      </c>
      <c r="DB35" s="69" t="n">
        <v>0.26</v>
      </c>
      <c r="DC35" s="69" t="n">
        <v>0.27</v>
      </c>
      <c r="DD35" s="69" t="n">
        <v>0.07</v>
      </c>
      <c r="DE35" s="69" t="n">
        <v>0.31</v>
      </c>
      <c r="DF35" s="69" t="n">
        <v>-0.07</v>
      </c>
      <c r="DG35" s="69" t="n">
        <v>0.24</v>
      </c>
      <c r="DH35" s="69" t="n">
        <v>0.12</v>
      </c>
      <c r="DI35" s="69" t="n">
        <v>0.11</v>
      </c>
      <c r="DJ35" s="69" t="n">
        <v>0</v>
      </c>
      <c r="DK35" s="69" t="n">
        <v>0.13</v>
      </c>
      <c r="DL35" s="69" t="n">
        <v>0.35</v>
      </c>
      <c r="DM35" s="69" t="n">
        <v>0.09</v>
      </c>
      <c r="DN35" s="69" t="n">
        <v>-0.01</v>
      </c>
      <c r="DO35" s="69" t="n">
        <v>0.16</v>
      </c>
      <c r="DP35" s="69" t="n">
        <v>0.01</v>
      </c>
      <c r="DQ35" s="69" t="n">
        <v>0.08</v>
      </c>
      <c r="DR35" s="69" t="n">
        <v>0.19</v>
      </c>
      <c r="DS35" s="69" t="n">
        <v>-0.04</v>
      </c>
      <c r="DT35" s="69" t="n">
        <v>0.03</v>
      </c>
      <c r="DU35" s="69" t="n">
        <v>0.16</v>
      </c>
      <c r="DV35" s="69" t="n">
        <v>0.15</v>
      </c>
      <c r="DW35" s="69" t="n">
        <v>-0.01</v>
      </c>
      <c r="DX35" s="69" t="n">
        <v>0.22</v>
      </c>
      <c r="DY35" s="69" t="n">
        <v>0.07</v>
      </c>
      <c r="DZ35" s="69" t="n">
        <v>0</v>
      </c>
      <c r="EA35" s="69" t="n">
        <v>0.11</v>
      </c>
      <c r="EB35" s="69" t="n">
        <v>0.07</v>
      </c>
      <c r="EC35" s="69" t="n">
        <v>0.13</v>
      </c>
      <c r="ED35" s="69" t="n">
        <v>0.18</v>
      </c>
      <c r="EE35" s="69" t="n">
        <v>0.15</v>
      </c>
      <c r="EF35" s="69" t="n">
        <v>0.15</v>
      </c>
      <c r="EG35" s="69" t="n">
        <v>0.21</v>
      </c>
      <c r="EH35" s="69" t="n">
        <v>-0.12</v>
      </c>
      <c r="EI35" s="69" t="n">
        <v>0.12</v>
      </c>
      <c r="EJ35" s="69" t="n">
        <v>0.13</v>
      </c>
      <c r="EK35" s="69" t="n">
        <v>0.09</v>
      </c>
      <c r="EL35" s="69" t="n">
        <v>0.17</v>
      </c>
      <c r="EM35" s="69" t="n">
        <v>0</v>
      </c>
      <c r="EN35" s="69" t="n">
        <v>0.02</v>
      </c>
      <c r="EO35" s="69" t="n">
        <v>-0.05</v>
      </c>
    </row>
    <row r="36" customFormat="false" ht="15" hidden="false" customHeight="false" outlineLevel="0" collapsed="false">
      <c r="A36" s="68" t="s">
        <v>256</v>
      </c>
      <c r="B36" s="69" t="n">
        <v>0.27</v>
      </c>
      <c r="C36" s="69" t="n">
        <v>-0.01</v>
      </c>
      <c r="D36" s="69" t="n">
        <v>-0.02</v>
      </c>
      <c r="E36" s="69" t="n">
        <v>0.08</v>
      </c>
      <c r="F36" s="69" t="n">
        <v>0.4</v>
      </c>
      <c r="G36" s="69" t="n">
        <v>-0.08</v>
      </c>
      <c r="H36" s="69" t="n">
        <v>-0.02</v>
      </c>
      <c r="I36" s="69" t="n">
        <v>0.31</v>
      </c>
      <c r="J36" s="69" t="n">
        <v>0.3</v>
      </c>
      <c r="K36" s="69" t="n">
        <v>0.36</v>
      </c>
      <c r="L36" s="69" t="n">
        <v>-0.02</v>
      </c>
      <c r="M36" s="69" t="n">
        <v>0.04</v>
      </c>
      <c r="N36" s="69" t="n">
        <v>0.19</v>
      </c>
      <c r="O36" s="69" t="n">
        <v>0.05</v>
      </c>
      <c r="P36" s="69" t="n">
        <v>0.31</v>
      </c>
      <c r="Q36" s="69" t="n">
        <v>0.02</v>
      </c>
      <c r="R36" s="69" t="n">
        <v>0.38</v>
      </c>
      <c r="S36" s="69" t="n">
        <v>0.12</v>
      </c>
      <c r="T36" s="69" t="n">
        <v>0.07</v>
      </c>
      <c r="U36" s="69" t="n">
        <v>0.07</v>
      </c>
      <c r="V36" s="69" t="n">
        <v>0.01</v>
      </c>
      <c r="W36" s="69" t="n">
        <v>0.09</v>
      </c>
      <c r="X36" s="69" t="n">
        <v>0.13</v>
      </c>
      <c r="Y36" s="69" t="n">
        <v>0.19</v>
      </c>
      <c r="Z36" s="69" t="n">
        <v>0.02</v>
      </c>
      <c r="AA36" s="69" t="n">
        <v>0.08</v>
      </c>
      <c r="AB36" s="69" t="n">
        <v>0.19</v>
      </c>
      <c r="AC36" s="69" t="n">
        <v>-0.04</v>
      </c>
      <c r="AD36" s="69" t="n">
        <v>0.13</v>
      </c>
      <c r="AE36" s="69" t="n">
        <v>-0.08</v>
      </c>
      <c r="AF36" s="69" t="n">
        <v>-0.05</v>
      </c>
      <c r="AG36" s="69" t="n">
        <v>1</v>
      </c>
      <c r="AH36" s="69" t="n">
        <v>0.78</v>
      </c>
      <c r="AI36" s="69" t="n">
        <v>0.36</v>
      </c>
      <c r="AJ36" s="69" t="n">
        <v>-0.01</v>
      </c>
      <c r="AK36" s="69" t="n">
        <v>-0.01</v>
      </c>
      <c r="AL36" s="69" t="n">
        <v>0.15</v>
      </c>
      <c r="AM36" s="69" t="n">
        <v>0.05</v>
      </c>
      <c r="AN36" s="69" t="n">
        <v>0.18</v>
      </c>
      <c r="AO36" s="69" t="n">
        <v>0.23</v>
      </c>
      <c r="AP36" s="69" t="n">
        <v>0.18</v>
      </c>
      <c r="AQ36" s="69" t="n">
        <v>0.28</v>
      </c>
      <c r="AR36" s="69" t="n">
        <v>0.11</v>
      </c>
      <c r="AS36" s="69" t="n">
        <v>-0.09</v>
      </c>
      <c r="AT36" s="69" t="n">
        <v>-0.02</v>
      </c>
      <c r="AU36" s="69" t="n">
        <v>0.26</v>
      </c>
      <c r="AV36" s="69" t="n">
        <v>0.06</v>
      </c>
      <c r="AW36" s="69" t="n">
        <v>-0.02</v>
      </c>
      <c r="AX36" s="69" t="n">
        <v>0.2</v>
      </c>
      <c r="AY36" s="69" t="n">
        <v>0.1</v>
      </c>
      <c r="AZ36" s="69" t="n">
        <v>-0.03</v>
      </c>
      <c r="BA36" s="69" t="n">
        <v>0.19</v>
      </c>
      <c r="BB36" s="69" t="n">
        <v>-0.04</v>
      </c>
      <c r="BC36" s="69" t="n">
        <v>0.01</v>
      </c>
      <c r="BD36" s="69" t="n">
        <v>0.04</v>
      </c>
      <c r="BE36" s="69" t="n">
        <v>0.28</v>
      </c>
      <c r="BF36" s="69" t="n">
        <v>-0.03</v>
      </c>
      <c r="BG36" s="69" t="n">
        <v>-0.01</v>
      </c>
      <c r="BH36" s="69" t="n">
        <v>-0.02</v>
      </c>
      <c r="BI36" s="69" t="n">
        <v>-0.06</v>
      </c>
      <c r="BJ36" s="69" t="n">
        <v>-0.02</v>
      </c>
      <c r="BK36" s="69" t="n">
        <v>-0.03</v>
      </c>
      <c r="BL36" s="69" t="n">
        <v>0.05</v>
      </c>
      <c r="BM36" s="69" t="n">
        <v>0.31</v>
      </c>
      <c r="BN36" s="69" t="n">
        <v>0.22</v>
      </c>
      <c r="BO36" s="69" t="n">
        <v>-0.03</v>
      </c>
      <c r="BP36" s="69" t="n">
        <v>-0.06</v>
      </c>
      <c r="BQ36" s="69" t="n">
        <v>-0.05</v>
      </c>
      <c r="BR36" s="69" t="n">
        <v>0.03</v>
      </c>
      <c r="BS36" s="69" t="n">
        <v>0.22</v>
      </c>
      <c r="BT36" s="69" t="n">
        <v>-0.06</v>
      </c>
      <c r="BU36" s="69" t="n">
        <v>-0.04</v>
      </c>
      <c r="BV36" s="69" t="n">
        <v>0.02</v>
      </c>
      <c r="BW36" s="69" t="n">
        <v>-0.05</v>
      </c>
      <c r="BX36" s="69" t="n">
        <v>0.11</v>
      </c>
      <c r="BY36" s="69" t="n">
        <v>0.09</v>
      </c>
      <c r="BZ36" s="69" t="n">
        <v>0.04</v>
      </c>
      <c r="CA36" s="69" t="n">
        <v>-0.03</v>
      </c>
      <c r="CB36" s="69" t="n">
        <v>0.04</v>
      </c>
      <c r="CC36" s="69" t="n">
        <v>0.12</v>
      </c>
      <c r="CD36" s="69" t="n">
        <v>0</v>
      </c>
      <c r="CE36" s="69" t="n">
        <v>-0.02</v>
      </c>
      <c r="CF36" s="69" t="n">
        <v>0.26</v>
      </c>
      <c r="CG36" s="69" t="n">
        <v>0.05</v>
      </c>
      <c r="CH36" s="69" t="n">
        <v>-0.12</v>
      </c>
      <c r="CI36" s="69" t="n">
        <v>0.26</v>
      </c>
      <c r="CJ36" s="69" t="n">
        <v>0.22</v>
      </c>
      <c r="CK36" s="69" t="n">
        <v>0.14</v>
      </c>
      <c r="CL36" s="69" t="n">
        <v>0.07</v>
      </c>
      <c r="CM36" s="69" t="n">
        <v>-0.19</v>
      </c>
      <c r="CN36" s="69" t="n">
        <v>-0.01</v>
      </c>
      <c r="CO36" s="69" t="n">
        <v>0.01</v>
      </c>
      <c r="CP36" s="69" t="n">
        <v>-0.06</v>
      </c>
      <c r="CQ36" s="69" t="n">
        <v>0.05</v>
      </c>
      <c r="CR36" s="69" t="n">
        <v>-0.22</v>
      </c>
      <c r="CS36" s="69" t="n">
        <v>-0.07</v>
      </c>
      <c r="CT36" s="69" t="n">
        <v>0</v>
      </c>
      <c r="CU36" s="69" t="n">
        <v>-0.01</v>
      </c>
      <c r="CV36" s="69" t="n">
        <v>0.01</v>
      </c>
      <c r="CW36" s="69" t="n">
        <v>0.02</v>
      </c>
      <c r="CX36" s="69" t="n">
        <v>0.04</v>
      </c>
      <c r="CY36" s="69" t="n">
        <v>0.09</v>
      </c>
      <c r="CZ36" s="69" t="n">
        <v>0.06</v>
      </c>
      <c r="DA36" s="69" t="n">
        <v>0.09</v>
      </c>
      <c r="DB36" s="69" t="n">
        <v>-0.08</v>
      </c>
      <c r="DC36" s="69" t="n">
        <v>-0.12</v>
      </c>
      <c r="DD36" s="69" t="n">
        <v>0</v>
      </c>
      <c r="DE36" s="69" t="n">
        <v>-0.14</v>
      </c>
      <c r="DF36" s="69" t="n">
        <v>0.07</v>
      </c>
      <c r="DG36" s="69" t="n">
        <v>-0.11</v>
      </c>
      <c r="DH36" s="69" t="n">
        <v>-0.14</v>
      </c>
      <c r="DI36" s="69" t="n">
        <v>0.03</v>
      </c>
      <c r="DJ36" s="69" t="n">
        <v>0.04</v>
      </c>
      <c r="DK36" s="69" t="n">
        <v>0</v>
      </c>
      <c r="DL36" s="69" t="n">
        <v>-0.15</v>
      </c>
      <c r="DM36" s="69" t="n">
        <v>0.02</v>
      </c>
      <c r="DN36" s="69" t="n">
        <v>0.06</v>
      </c>
      <c r="DO36" s="69" t="n">
        <v>-0.01</v>
      </c>
      <c r="DP36" s="69" t="n">
        <v>0.03</v>
      </c>
      <c r="DQ36" s="69" t="n">
        <v>0.01</v>
      </c>
      <c r="DR36" s="69" t="n">
        <v>-0.09</v>
      </c>
      <c r="DS36" s="69" t="n">
        <v>0</v>
      </c>
      <c r="DT36" s="69" t="n">
        <v>-0.19</v>
      </c>
      <c r="DU36" s="69" t="n">
        <v>-0.04</v>
      </c>
      <c r="DV36" s="69" t="n">
        <v>-0.02</v>
      </c>
      <c r="DW36" s="69" t="n">
        <v>-0.04</v>
      </c>
      <c r="DX36" s="69" t="n">
        <v>-0.27</v>
      </c>
      <c r="DY36" s="69" t="n">
        <v>-0.05</v>
      </c>
      <c r="DZ36" s="69" t="n">
        <v>-0.07</v>
      </c>
      <c r="EA36" s="69" t="n">
        <v>-0.16</v>
      </c>
      <c r="EB36" s="69" t="n">
        <v>-0.08</v>
      </c>
      <c r="EC36" s="69" t="n">
        <v>-0.13</v>
      </c>
      <c r="ED36" s="69" t="n">
        <v>-0.06</v>
      </c>
      <c r="EE36" s="69" t="n">
        <v>-0.15</v>
      </c>
      <c r="EF36" s="69" t="n">
        <v>0.01</v>
      </c>
      <c r="EG36" s="69" t="n">
        <v>-0.21</v>
      </c>
      <c r="EH36" s="69" t="n">
        <v>0.04</v>
      </c>
      <c r="EI36" s="69" t="n">
        <v>-0.23</v>
      </c>
      <c r="EJ36" s="69" t="n">
        <v>-0.03</v>
      </c>
      <c r="EK36" s="69" t="n">
        <v>-0.05</v>
      </c>
      <c r="EL36" s="69" t="n">
        <v>-0.19</v>
      </c>
      <c r="EM36" s="69" t="n">
        <v>-0.07</v>
      </c>
      <c r="EN36" s="69" t="n">
        <v>-0.01</v>
      </c>
      <c r="EO36" s="69" t="n">
        <v>-0.09</v>
      </c>
    </row>
    <row r="37" customFormat="false" ht="15" hidden="false" customHeight="false" outlineLevel="0" collapsed="false">
      <c r="A37" s="68" t="s">
        <v>257</v>
      </c>
      <c r="B37" s="69" t="n">
        <v>0.31</v>
      </c>
      <c r="C37" s="69" t="n">
        <v>0</v>
      </c>
      <c r="D37" s="69" t="n">
        <v>-0.03</v>
      </c>
      <c r="E37" s="69" t="n">
        <v>0.09</v>
      </c>
      <c r="F37" s="69" t="n">
        <v>0.41</v>
      </c>
      <c r="G37" s="69" t="n">
        <v>-0.08</v>
      </c>
      <c r="H37" s="69" t="n">
        <v>0.01</v>
      </c>
      <c r="I37" s="69" t="n">
        <v>0.31</v>
      </c>
      <c r="J37" s="69" t="n">
        <v>0.28</v>
      </c>
      <c r="K37" s="69" t="n">
        <v>0.37</v>
      </c>
      <c r="L37" s="69" t="n">
        <v>0.01</v>
      </c>
      <c r="M37" s="69" t="n">
        <v>0.05</v>
      </c>
      <c r="N37" s="69" t="n">
        <v>0.24</v>
      </c>
      <c r="O37" s="69" t="n">
        <v>0.08</v>
      </c>
      <c r="P37" s="69" t="n">
        <v>0.29</v>
      </c>
      <c r="Q37" s="69" t="n">
        <v>0.02</v>
      </c>
      <c r="R37" s="69" t="n">
        <v>0.45</v>
      </c>
      <c r="S37" s="69" t="n">
        <v>0.08</v>
      </c>
      <c r="T37" s="69" t="n">
        <v>0.08</v>
      </c>
      <c r="U37" s="69" t="n">
        <v>0.1</v>
      </c>
      <c r="V37" s="69" t="n">
        <v>-0.09</v>
      </c>
      <c r="W37" s="69" t="n">
        <v>0.1</v>
      </c>
      <c r="X37" s="69" t="n">
        <v>0.16</v>
      </c>
      <c r="Y37" s="69" t="n">
        <v>0.13</v>
      </c>
      <c r="Z37" s="69" t="n">
        <v>-0.02</v>
      </c>
      <c r="AA37" s="69" t="n">
        <v>0.15</v>
      </c>
      <c r="AB37" s="69" t="n">
        <v>0.15</v>
      </c>
      <c r="AC37" s="69" t="n">
        <v>-0.05</v>
      </c>
      <c r="AD37" s="69" t="n">
        <v>0.08</v>
      </c>
      <c r="AE37" s="69" t="n">
        <v>-0.05</v>
      </c>
      <c r="AF37" s="69" t="n">
        <v>-0.04</v>
      </c>
      <c r="AG37" s="69" t="n">
        <v>0.78</v>
      </c>
      <c r="AH37" s="69" t="n">
        <v>1</v>
      </c>
      <c r="AI37" s="69" t="n">
        <v>0.37</v>
      </c>
      <c r="AJ37" s="69" t="n">
        <v>0.02</v>
      </c>
      <c r="AK37" s="69" t="n">
        <v>-0.1</v>
      </c>
      <c r="AL37" s="69" t="n">
        <v>0.12</v>
      </c>
      <c r="AM37" s="69" t="n">
        <v>-0.01</v>
      </c>
      <c r="AN37" s="69" t="n">
        <v>0.23</v>
      </c>
      <c r="AO37" s="69" t="n">
        <v>0.25</v>
      </c>
      <c r="AP37" s="69" t="n">
        <v>0.22</v>
      </c>
      <c r="AQ37" s="69" t="n">
        <v>0.25</v>
      </c>
      <c r="AR37" s="69" t="n">
        <v>0.11</v>
      </c>
      <c r="AS37" s="69" t="n">
        <v>-0.06</v>
      </c>
      <c r="AT37" s="69" t="n">
        <v>0.01</v>
      </c>
      <c r="AU37" s="69" t="n">
        <v>0.26</v>
      </c>
      <c r="AV37" s="69" t="n">
        <v>0.08</v>
      </c>
      <c r="AW37" s="69" t="n">
        <v>-0.06</v>
      </c>
      <c r="AX37" s="69" t="n">
        <v>0.24</v>
      </c>
      <c r="AY37" s="69" t="n">
        <v>0.11</v>
      </c>
      <c r="AZ37" s="69" t="n">
        <v>-0.05</v>
      </c>
      <c r="BA37" s="69" t="n">
        <v>0.24</v>
      </c>
      <c r="BB37" s="69" t="n">
        <v>-0.05</v>
      </c>
      <c r="BC37" s="69" t="n">
        <v>-0.01</v>
      </c>
      <c r="BD37" s="69" t="n">
        <v>0.04</v>
      </c>
      <c r="BE37" s="69" t="n">
        <v>0.26</v>
      </c>
      <c r="BF37" s="69" t="n">
        <v>-0.02</v>
      </c>
      <c r="BG37" s="69" t="n">
        <v>-0.01</v>
      </c>
      <c r="BH37" s="69" t="n">
        <v>0.02</v>
      </c>
      <c r="BI37" s="69" t="n">
        <v>-0.04</v>
      </c>
      <c r="BJ37" s="69" t="n">
        <v>-0.1</v>
      </c>
      <c r="BK37" s="69" t="n">
        <v>-0.05</v>
      </c>
      <c r="BL37" s="69" t="n">
        <v>0.04</v>
      </c>
      <c r="BM37" s="69" t="n">
        <v>0.34</v>
      </c>
      <c r="BN37" s="69" t="n">
        <v>0.2</v>
      </c>
      <c r="BO37" s="69" t="n">
        <v>0.04</v>
      </c>
      <c r="BP37" s="69" t="n">
        <v>-0.02</v>
      </c>
      <c r="BQ37" s="69" t="n">
        <v>-0.03</v>
      </c>
      <c r="BR37" s="69" t="n">
        <v>0.06</v>
      </c>
      <c r="BS37" s="69" t="n">
        <v>0.21</v>
      </c>
      <c r="BT37" s="69" t="n">
        <v>0.01</v>
      </c>
      <c r="BU37" s="69" t="n">
        <v>-0.09</v>
      </c>
      <c r="BV37" s="69" t="n">
        <v>0.03</v>
      </c>
      <c r="BW37" s="69" t="n">
        <v>0.06</v>
      </c>
      <c r="BX37" s="69" t="n">
        <v>0.15</v>
      </c>
      <c r="BY37" s="69" t="n">
        <v>0.03</v>
      </c>
      <c r="BZ37" s="69" t="n">
        <v>0.07</v>
      </c>
      <c r="CA37" s="69" t="n">
        <v>-0.02</v>
      </c>
      <c r="CB37" s="69" t="n">
        <v>0.05</v>
      </c>
      <c r="CC37" s="69" t="n">
        <v>0.06</v>
      </c>
      <c r="CD37" s="69" t="n">
        <v>0.05</v>
      </c>
      <c r="CE37" s="69" t="n">
        <v>-0.03</v>
      </c>
      <c r="CF37" s="69" t="n">
        <v>0.22</v>
      </c>
      <c r="CG37" s="69" t="n">
        <v>0.05</v>
      </c>
      <c r="CH37" s="69" t="n">
        <v>-0.13</v>
      </c>
      <c r="CI37" s="69" t="n">
        <v>0.25</v>
      </c>
      <c r="CJ37" s="69" t="n">
        <v>0.23</v>
      </c>
      <c r="CK37" s="69" t="n">
        <v>0.18</v>
      </c>
      <c r="CL37" s="69" t="n">
        <v>0.08</v>
      </c>
      <c r="CM37" s="69" t="n">
        <v>-0.19</v>
      </c>
      <c r="CN37" s="69" t="n">
        <v>0.03</v>
      </c>
      <c r="CO37" s="69" t="n">
        <v>0</v>
      </c>
      <c r="CP37" s="69" t="n">
        <v>0.06</v>
      </c>
      <c r="CQ37" s="69" t="n">
        <v>0.05</v>
      </c>
      <c r="CR37" s="69" t="n">
        <v>-0.24</v>
      </c>
      <c r="CS37" s="69" t="n">
        <v>-0.01</v>
      </c>
      <c r="CT37" s="69" t="n">
        <v>0</v>
      </c>
      <c r="CU37" s="69" t="n">
        <v>-0.03</v>
      </c>
      <c r="CV37" s="69" t="n">
        <v>-0.04</v>
      </c>
      <c r="CW37" s="69" t="n">
        <v>0.01</v>
      </c>
      <c r="CX37" s="69" t="n">
        <v>0</v>
      </c>
      <c r="CY37" s="69" t="n">
        <v>0.05</v>
      </c>
      <c r="CZ37" s="69" t="n">
        <v>0.08</v>
      </c>
      <c r="DA37" s="69" t="n">
        <v>0.05</v>
      </c>
      <c r="DB37" s="69" t="n">
        <v>-0.02</v>
      </c>
      <c r="DC37" s="69" t="n">
        <v>-0.1</v>
      </c>
      <c r="DD37" s="69" t="n">
        <v>0.01</v>
      </c>
      <c r="DE37" s="69" t="n">
        <v>-0.14</v>
      </c>
      <c r="DF37" s="69" t="n">
        <v>0.11</v>
      </c>
      <c r="DG37" s="69" t="n">
        <v>-0.15</v>
      </c>
      <c r="DH37" s="69" t="n">
        <v>-0.14</v>
      </c>
      <c r="DI37" s="69" t="n">
        <v>0.05</v>
      </c>
      <c r="DJ37" s="69" t="n">
        <v>0</v>
      </c>
      <c r="DK37" s="69" t="n">
        <v>0.02</v>
      </c>
      <c r="DL37" s="69" t="n">
        <v>-0.21</v>
      </c>
      <c r="DM37" s="69" t="n">
        <v>0.02</v>
      </c>
      <c r="DN37" s="69" t="n">
        <v>0.03</v>
      </c>
      <c r="DO37" s="69" t="n">
        <v>0.02</v>
      </c>
      <c r="DP37" s="69" t="n">
        <v>0.02</v>
      </c>
      <c r="DQ37" s="69" t="n">
        <v>0.04</v>
      </c>
      <c r="DR37" s="69" t="n">
        <v>-0.06</v>
      </c>
      <c r="DS37" s="69" t="n">
        <v>0</v>
      </c>
      <c r="DT37" s="69" t="n">
        <v>-0.14</v>
      </c>
      <c r="DU37" s="69" t="n">
        <v>-0.06</v>
      </c>
      <c r="DV37" s="69" t="n">
        <v>-0.02</v>
      </c>
      <c r="DW37" s="69" t="n">
        <v>-0.11</v>
      </c>
      <c r="DX37" s="69" t="n">
        <v>-0.25</v>
      </c>
      <c r="DY37" s="69" t="n">
        <v>-0.04</v>
      </c>
      <c r="DZ37" s="69" t="n">
        <v>-0.04</v>
      </c>
      <c r="EA37" s="69" t="n">
        <v>-0.12</v>
      </c>
      <c r="EB37" s="69" t="n">
        <v>-0.1</v>
      </c>
      <c r="EC37" s="69" t="n">
        <v>-0.22</v>
      </c>
      <c r="ED37" s="69" t="n">
        <v>-0.04</v>
      </c>
      <c r="EE37" s="69" t="n">
        <v>-0.18</v>
      </c>
      <c r="EF37" s="69" t="n">
        <v>0.02</v>
      </c>
      <c r="EG37" s="69" t="n">
        <v>-0.18</v>
      </c>
      <c r="EH37" s="69" t="n">
        <v>0</v>
      </c>
      <c r="EI37" s="69" t="n">
        <v>-0.21</v>
      </c>
      <c r="EJ37" s="69" t="n">
        <v>-0.02</v>
      </c>
      <c r="EK37" s="69" t="n">
        <v>-0.03</v>
      </c>
      <c r="EL37" s="69" t="n">
        <v>-0.2</v>
      </c>
      <c r="EM37" s="69" t="n">
        <v>-0.03</v>
      </c>
      <c r="EN37" s="69" t="n">
        <v>0.01</v>
      </c>
      <c r="EO37" s="69" t="n">
        <v>-0.04</v>
      </c>
    </row>
    <row r="38" customFormat="false" ht="15" hidden="false" customHeight="false" outlineLevel="0" collapsed="false">
      <c r="A38" s="68" t="s">
        <v>258</v>
      </c>
      <c r="B38" s="69" t="n">
        <v>0.18</v>
      </c>
      <c r="C38" s="69" t="n">
        <v>-0.01</v>
      </c>
      <c r="D38" s="69" t="n">
        <v>-0.1</v>
      </c>
      <c r="E38" s="69" t="n">
        <v>0.07</v>
      </c>
      <c r="F38" s="69" t="n">
        <v>0.24</v>
      </c>
      <c r="G38" s="69" t="n">
        <v>-0.06</v>
      </c>
      <c r="H38" s="69" t="n">
        <v>-0.11</v>
      </c>
      <c r="I38" s="69" t="n">
        <v>0.11</v>
      </c>
      <c r="J38" s="69" t="n">
        <v>0.21</v>
      </c>
      <c r="K38" s="69" t="n">
        <v>0.08</v>
      </c>
      <c r="L38" s="69" t="n">
        <v>-0.02</v>
      </c>
      <c r="M38" s="69" t="n">
        <v>-0.06</v>
      </c>
      <c r="N38" s="69" t="n">
        <v>0.12</v>
      </c>
      <c r="O38" s="69" t="n">
        <v>-0.03</v>
      </c>
      <c r="P38" s="69" t="n">
        <v>0.27</v>
      </c>
      <c r="Q38" s="69" t="n">
        <v>0.01</v>
      </c>
      <c r="R38" s="69" t="n">
        <v>0.27</v>
      </c>
      <c r="S38" s="69" t="n">
        <v>-0.09</v>
      </c>
      <c r="T38" s="69" t="n">
        <v>0.05</v>
      </c>
      <c r="U38" s="69" t="n">
        <v>-0.08</v>
      </c>
      <c r="V38" s="69" t="n">
        <v>-0.17</v>
      </c>
      <c r="W38" s="69" t="n">
        <v>0.04</v>
      </c>
      <c r="X38" s="69" t="n">
        <v>0.07</v>
      </c>
      <c r="Y38" s="69" t="n">
        <v>0.09</v>
      </c>
      <c r="Z38" s="69" t="n">
        <v>-0.06</v>
      </c>
      <c r="AA38" s="69" t="n">
        <v>-0.1</v>
      </c>
      <c r="AB38" s="69" t="n">
        <v>0.09</v>
      </c>
      <c r="AC38" s="69" t="n">
        <v>0.07</v>
      </c>
      <c r="AD38" s="69" t="n">
        <v>0.04</v>
      </c>
      <c r="AE38" s="69" t="n">
        <v>-0.27</v>
      </c>
      <c r="AF38" s="69" t="n">
        <v>-0.14</v>
      </c>
      <c r="AG38" s="69" t="n">
        <v>0.36</v>
      </c>
      <c r="AH38" s="69" t="n">
        <v>0.37</v>
      </c>
      <c r="AI38" s="69" t="n">
        <v>1</v>
      </c>
      <c r="AJ38" s="69" t="n">
        <v>-0.05</v>
      </c>
      <c r="AK38" s="69" t="n">
        <v>-0.16</v>
      </c>
      <c r="AL38" s="69" t="n">
        <v>0</v>
      </c>
      <c r="AM38" s="69" t="n">
        <v>-0.13</v>
      </c>
      <c r="AN38" s="69" t="n">
        <v>-0.11</v>
      </c>
      <c r="AO38" s="69" t="n">
        <v>0.11</v>
      </c>
      <c r="AP38" s="69" t="n">
        <v>-0.04</v>
      </c>
      <c r="AQ38" s="69" t="n">
        <v>0.86</v>
      </c>
      <c r="AR38" s="69" t="n">
        <v>0.11</v>
      </c>
      <c r="AS38" s="69" t="n">
        <v>-0.21</v>
      </c>
      <c r="AT38" s="69" t="n">
        <v>-0.03</v>
      </c>
      <c r="AU38" s="69" t="n">
        <v>0.17</v>
      </c>
      <c r="AV38" s="69" t="n">
        <v>0.04</v>
      </c>
      <c r="AW38" s="69" t="n">
        <v>-0.1</v>
      </c>
      <c r="AX38" s="69" t="n">
        <v>0.11</v>
      </c>
      <c r="AY38" s="69" t="n">
        <v>0.06</v>
      </c>
      <c r="AZ38" s="69" t="n">
        <v>-0.24</v>
      </c>
      <c r="BA38" s="69" t="n">
        <v>0.01</v>
      </c>
      <c r="BB38" s="69" t="n">
        <v>-0.08</v>
      </c>
      <c r="BC38" s="69" t="n">
        <v>-0.02</v>
      </c>
      <c r="BD38" s="69" t="n">
        <v>-0.18</v>
      </c>
      <c r="BE38" s="69" t="n">
        <v>0.15</v>
      </c>
      <c r="BF38" s="69" t="n">
        <v>-0.06</v>
      </c>
      <c r="BG38" s="69" t="n">
        <v>0.04</v>
      </c>
      <c r="BH38" s="69" t="n">
        <v>-0.13</v>
      </c>
      <c r="BI38" s="69" t="n">
        <v>0</v>
      </c>
      <c r="BJ38" s="69" t="n">
        <v>-0.02</v>
      </c>
      <c r="BK38" s="69" t="n">
        <v>-0.19</v>
      </c>
      <c r="BL38" s="69" t="n">
        <v>-0.04</v>
      </c>
      <c r="BM38" s="69" t="n">
        <v>0.11</v>
      </c>
      <c r="BN38" s="69" t="n">
        <v>0.13</v>
      </c>
      <c r="BO38" s="69" t="n">
        <v>-0.12</v>
      </c>
      <c r="BP38" s="69" t="n">
        <v>-0.01</v>
      </c>
      <c r="BQ38" s="69" t="n">
        <v>-0.14</v>
      </c>
      <c r="BR38" s="69" t="n">
        <v>-0.04</v>
      </c>
      <c r="BS38" s="69" t="n">
        <v>0.72</v>
      </c>
      <c r="BT38" s="69" t="n">
        <v>-0.22</v>
      </c>
      <c r="BU38" s="69" t="n">
        <v>-0.11</v>
      </c>
      <c r="BV38" s="69" t="n">
        <v>-0.04</v>
      </c>
      <c r="BW38" s="69" t="n">
        <v>0.03</v>
      </c>
      <c r="BX38" s="69" t="n">
        <v>-0.02</v>
      </c>
      <c r="BY38" s="69" t="n">
        <v>-0.09</v>
      </c>
      <c r="BZ38" s="69" t="n">
        <v>-0.18</v>
      </c>
      <c r="CA38" s="69" t="n">
        <v>-0.09</v>
      </c>
      <c r="CB38" s="69" t="n">
        <v>0.17</v>
      </c>
      <c r="CC38" s="69" t="n">
        <v>0.03</v>
      </c>
      <c r="CD38" s="69" t="n">
        <v>-0.08</v>
      </c>
      <c r="CE38" s="69" t="n">
        <v>0.1</v>
      </c>
      <c r="CF38" s="69" t="n">
        <v>0.75</v>
      </c>
      <c r="CG38" s="69" t="n">
        <v>-0.09</v>
      </c>
      <c r="CH38" s="69" t="n">
        <v>-0.2</v>
      </c>
      <c r="CI38" s="69" t="n">
        <v>0.76</v>
      </c>
      <c r="CJ38" s="69" t="n">
        <v>0.11</v>
      </c>
      <c r="CK38" s="69" t="n">
        <v>0.11</v>
      </c>
      <c r="CL38" s="69" t="n">
        <v>-0.11</v>
      </c>
      <c r="CM38" s="69" t="n">
        <v>-0.13</v>
      </c>
      <c r="CN38" s="69" t="n">
        <v>0.01</v>
      </c>
      <c r="CO38" s="69" t="n">
        <v>-0.09</v>
      </c>
      <c r="CP38" s="69" t="n">
        <v>0.11</v>
      </c>
      <c r="CQ38" s="69" t="n">
        <v>-0.22</v>
      </c>
      <c r="CR38" s="69" t="n">
        <v>-0.2</v>
      </c>
      <c r="CS38" s="69" t="n">
        <v>-0.04</v>
      </c>
      <c r="CT38" s="69" t="n">
        <v>-0.04</v>
      </c>
      <c r="CU38" s="69" t="n">
        <v>0</v>
      </c>
      <c r="CV38" s="69" t="n">
        <v>-0.15</v>
      </c>
      <c r="CW38" s="69" t="n">
        <v>-0.05</v>
      </c>
      <c r="CX38" s="69" t="n">
        <v>-0.09</v>
      </c>
      <c r="CY38" s="69" t="n">
        <v>-0.26</v>
      </c>
      <c r="CZ38" s="69" t="n">
        <v>0.1</v>
      </c>
      <c r="DA38" s="69" t="n">
        <v>0.02</v>
      </c>
      <c r="DB38" s="69" t="n">
        <v>-0.08</v>
      </c>
      <c r="DC38" s="69" t="n">
        <v>-0.35</v>
      </c>
      <c r="DD38" s="69" t="n">
        <v>-0.1</v>
      </c>
      <c r="DE38" s="69" t="n">
        <v>-0.14</v>
      </c>
      <c r="DF38" s="69" t="n">
        <v>0.13</v>
      </c>
      <c r="DG38" s="69" t="n">
        <v>-0.14</v>
      </c>
      <c r="DH38" s="69" t="n">
        <v>-0.08</v>
      </c>
      <c r="DI38" s="69" t="n">
        <v>-0.3</v>
      </c>
      <c r="DJ38" s="69" t="n">
        <v>-0.2</v>
      </c>
      <c r="DK38" s="69" t="n">
        <v>-0.31</v>
      </c>
      <c r="DL38" s="69" t="n">
        <v>-0.24</v>
      </c>
      <c r="DM38" s="69" t="n">
        <v>-0.26</v>
      </c>
      <c r="DN38" s="69" t="n">
        <v>-0.02</v>
      </c>
      <c r="DO38" s="69" t="n">
        <v>-0.02</v>
      </c>
      <c r="DP38" s="69" t="n">
        <v>-0.25</v>
      </c>
      <c r="DQ38" s="69" t="n">
        <v>-0.03</v>
      </c>
      <c r="DR38" s="69" t="n">
        <v>0.08</v>
      </c>
      <c r="DS38" s="69" t="n">
        <v>-0.03</v>
      </c>
      <c r="DT38" s="69" t="n">
        <v>-0.03</v>
      </c>
      <c r="DU38" s="69" t="n">
        <v>-0.11</v>
      </c>
      <c r="DV38" s="69" t="n">
        <v>0.02</v>
      </c>
      <c r="DW38" s="69" t="n">
        <v>-0.16</v>
      </c>
      <c r="DX38" s="69" t="n">
        <v>-0.15</v>
      </c>
      <c r="DY38" s="69" t="n">
        <v>-0.15</v>
      </c>
      <c r="DZ38" s="69" t="n">
        <v>0.03</v>
      </c>
      <c r="EA38" s="69" t="n">
        <v>-0.16</v>
      </c>
      <c r="EB38" s="69" t="n">
        <v>-0.1</v>
      </c>
      <c r="EC38" s="69" t="n">
        <v>-0.11</v>
      </c>
      <c r="ED38" s="69" t="n">
        <v>-0.06</v>
      </c>
      <c r="EE38" s="69" t="n">
        <v>-0.16</v>
      </c>
      <c r="EF38" s="69" t="n">
        <v>0.02</v>
      </c>
      <c r="EG38" s="69" t="n">
        <v>-0.15</v>
      </c>
      <c r="EH38" s="69" t="n">
        <v>-0.06</v>
      </c>
      <c r="EI38" s="69" t="n">
        <v>-0.2</v>
      </c>
      <c r="EJ38" s="69" t="n">
        <v>-0.03</v>
      </c>
      <c r="EK38" s="69" t="n">
        <v>0.05</v>
      </c>
      <c r="EL38" s="69" t="n">
        <v>-0.17</v>
      </c>
      <c r="EM38" s="69" t="n">
        <v>-0.07</v>
      </c>
      <c r="EN38" s="69" t="n">
        <v>-0.02</v>
      </c>
      <c r="EO38" s="69" t="n">
        <v>-0.02</v>
      </c>
    </row>
    <row r="39" customFormat="false" ht="15" hidden="false" customHeight="false" outlineLevel="0" collapsed="false">
      <c r="A39" s="68" t="s">
        <v>259</v>
      </c>
      <c r="B39" s="69" t="n">
        <v>0.04</v>
      </c>
      <c r="C39" s="69" t="n">
        <v>0.1</v>
      </c>
      <c r="D39" s="69" t="n">
        <v>0.21</v>
      </c>
      <c r="E39" s="69" t="n">
        <v>0.1</v>
      </c>
      <c r="F39" s="69" t="n">
        <v>-0.02</v>
      </c>
      <c r="G39" s="69" t="n">
        <v>0.08</v>
      </c>
      <c r="H39" s="69" t="n">
        <v>0.27</v>
      </c>
      <c r="I39" s="69" t="n">
        <v>0.05</v>
      </c>
      <c r="J39" s="69" t="n">
        <v>0.02</v>
      </c>
      <c r="K39" s="69" t="n">
        <v>0.05</v>
      </c>
      <c r="L39" s="69" t="n">
        <v>0.23</v>
      </c>
      <c r="M39" s="69" t="n">
        <v>0.03</v>
      </c>
      <c r="N39" s="69" t="n">
        <v>0.16</v>
      </c>
      <c r="O39" s="69" t="n">
        <v>0.26</v>
      </c>
      <c r="P39" s="69" t="n">
        <v>-0.02</v>
      </c>
      <c r="Q39" s="69" t="n">
        <v>0.02</v>
      </c>
      <c r="R39" s="69" t="n">
        <v>-0.11</v>
      </c>
      <c r="S39" s="69" t="n">
        <v>0.17</v>
      </c>
      <c r="T39" s="69" t="n">
        <v>-0.03</v>
      </c>
      <c r="U39" s="69" t="n">
        <v>0.31</v>
      </c>
      <c r="V39" s="69" t="n">
        <v>0.19</v>
      </c>
      <c r="W39" s="69" t="n">
        <v>0.13</v>
      </c>
      <c r="X39" s="69" t="n">
        <v>0.05</v>
      </c>
      <c r="Y39" s="69" t="n">
        <v>-0.05</v>
      </c>
      <c r="Z39" s="69" t="n">
        <v>0.18</v>
      </c>
      <c r="AA39" s="69" t="n">
        <v>0.21</v>
      </c>
      <c r="AB39" s="69" t="n">
        <v>-0.07</v>
      </c>
      <c r="AC39" s="69" t="n">
        <v>0.11</v>
      </c>
      <c r="AD39" s="69" t="n">
        <v>0.15</v>
      </c>
      <c r="AE39" s="69" t="n">
        <v>0.24</v>
      </c>
      <c r="AF39" s="69" t="n">
        <v>0.24</v>
      </c>
      <c r="AG39" s="69" t="n">
        <v>-0.01</v>
      </c>
      <c r="AH39" s="69" t="n">
        <v>0.02</v>
      </c>
      <c r="AI39" s="69" t="n">
        <v>-0.05</v>
      </c>
      <c r="AJ39" s="69" t="n">
        <v>1</v>
      </c>
      <c r="AK39" s="69" t="n">
        <v>0.16</v>
      </c>
      <c r="AL39" s="69" t="n">
        <v>0.08</v>
      </c>
      <c r="AM39" s="69" t="n">
        <v>0.15</v>
      </c>
      <c r="AN39" s="69" t="n">
        <v>0</v>
      </c>
      <c r="AO39" s="69" t="n">
        <v>-0.03</v>
      </c>
      <c r="AP39" s="69" t="n">
        <v>0.09</v>
      </c>
      <c r="AQ39" s="69" t="n">
        <v>-0.04</v>
      </c>
      <c r="AR39" s="69" t="n">
        <v>0.02</v>
      </c>
      <c r="AS39" s="69" t="n">
        <v>0.28</v>
      </c>
      <c r="AT39" s="69" t="n">
        <v>-0.03</v>
      </c>
      <c r="AU39" s="69" t="n">
        <v>-0.06</v>
      </c>
      <c r="AV39" s="69" t="n">
        <v>0.22</v>
      </c>
      <c r="AW39" s="69" t="n">
        <v>0.09</v>
      </c>
      <c r="AX39" s="69" t="n">
        <v>0.08</v>
      </c>
      <c r="AY39" s="69" t="n">
        <v>-0.03</v>
      </c>
      <c r="AZ39" s="69" t="n">
        <v>0.21</v>
      </c>
      <c r="BA39" s="69" t="n">
        <v>0.1</v>
      </c>
      <c r="BB39" s="69" t="n">
        <v>0.09</v>
      </c>
      <c r="BC39" s="69" t="n">
        <v>0.14</v>
      </c>
      <c r="BD39" s="69" t="n">
        <v>0.3</v>
      </c>
      <c r="BE39" s="69" t="n">
        <v>0.06</v>
      </c>
      <c r="BF39" s="69" t="n">
        <v>0.23</v>
      </c>
      <c r="BG39" s="69" t="n">
        <v>0.02</v>
      </c>
      <c r="BH39" s="69" t="n">
        <v>0.16</v>
      </c>
      <c r="BI39" s="69" t="n">
        <v>0.03</v>
      </c>
      <c r="BJ39" s="69" t="n">
        <v>0.16</v>
      </c>
      <c r="BK39" s="69" t="n">
        <v>0.19</v>
      </c>
      <c r="BL39" s="69" t="n">
        <v>0.13</v>
      </c>
      <c r="BM39" s="69" t="n">
        <v>-0.08</v>
      </c>
      <c r="BN39" s="69" t="n">
        <v>0.01</v>
      </c>
      <c r="BO39" s="69" t="n">
        <v>0.02</v>
      </c>
      <c r="BP39" s="69" t="n">
        <v>0.07</v>
      </c>
      <c r="BQ39" s="69" t="n">
        <v>0.17</v>
      </c>
      <c r="BR39" s="69" t="n">
        <v>0.12</v>
      </c>
      <c r="BS39" s="69" t="n">
        <v>-0.06</v>
      </c>
      <c r="BT39" s="69" t="n">
        <v>0.06</v>
      </c>
      <c r="BU39" s="69" t="n">
        <v>0.16</v>
      </c>
      <c r="BV39" s="69" t="n">
        <v>0.02</v>
      </c>
      <c r="BW39" s="69" t="n">
        <v>0.05</v>
      </c>
      <c r="BX39" s="69" t="n">
        <v>0.04</v>
      </c>
      <c r="BY39" s="69" t="n">
        <v>-0.01</v>
      </c>
      <c r="BZ39" s="69" t="n">
        <v>0.11</v>
      </c>
      <c r="CA39" s="69" t="n">
        <v>0.23</v>
      </c>
      <c r="CB39" s="69" t="n">
        <v>-0.02</v>
      </c>
      <c r="CC39" s="69" t="n">
        <v>-0.03</v>
      </c>
      <c r="CD39" s="69" t="n">
        <v>-0.07</v>
      </c>
      <c r="CE39" s="69" t="n">
        <v>0.08</v>
      </c>
      <c r="CF39" s="69" t="n">
        <v>-0.03</v>
      </c>
      <c r="CG39" s="69" t="n">
        <v>0.07</v>
      </c>
      <c r="CH39" s="69" t="n">
        <v>0.2</v>
      </c>
      <c r="CI39" s="69" t="n">
        <v>0</v>
      </c>
      <c r="CJ39" s="69" t="n">
        <v>-0.05</v>
      </c>
      <c r="CK39" s="69" t="n">
        <v>0.04</v>
      </c>
      <c r="CL39" s="69" t="n">
        <v>0.05</v>
      </c>
      <c r="CM39" s="69" t="n">
        <v>0.02</v>
      </c>
      <c r="CN39" s="69" t="n">
        <v>0.24</v>
      </c>
      <c r="CO39" s="69" t="n">
        <v>0.05</v>
      </c>
      <c r="CP39" s="69" t="n">
        <v>0.04</v>
      </c>
      <c r="CQ39" s="69" t="n">
        <v>0.11</v>
      </c>
      <c r="CR39" s="69" t="n">
        <v>0.07</v>
      </c>
      <c r="CS39" s="69" t="n">
        <v>0.08</v>
      </c>
      <c r="CT39" s="69" t="n">
        <v>0.12</v>
      </c>
      <c r="CU39" s="69" t="n">
        <v>0.08</v>
      </c>
      <c r="CV39" s="69" t="n">
        <v>-0.07</v>
      </c>
      <c r="CW39" s="69" t="n">
        <v>0.05</v>
      </c>
      <c r="CX39" s="69" t="n">
        <v>0.01</v>
      </c>
      <c r="CY39" s="69" t="n">
        <v>0.05</v>
      </c>
      <c r="CZ39" s="69" t="n">
        <v>0.04</v>
      </c>
      <c r="DA39" s="69" t="n">
        <v>0.01</v>
      </c>
      <c r="DB39" s="69" t="n">
        <v>0.1</v>
      </c>
      <c r="DC39" s="69" t="n">
        <v>0.28</v>
      </c>
      <c r="DD39" s="69" t="n">
        <v>0.04</v>
      </c>
      <c r="DE39" s="69" t="n">
        <v>0.12</v>
      </c>
      <c r="DF39" s="69" t="n">
        <v>0.01</v>
      </c>
      <c r="DG39" s="69" t="n">
        <v>0.21</v>
      </c>
      <c r="DH39" s="69" t="n">
        <v>0.05</v>
      </c>
      <c r="DI39" s="69" t="n">
        <v>0.04</v>
      </c>
      <c r="DJ39" s="69" t="n">
        <v>0.02</v>
      </c>
      <c r="DK39" s="69" t="n">
        <v>0.08</v>
      </c>
      <c r="DL39" s="69" t="n">
        <v>0.29</v>
      </c>
      <c r="DM39" s="69" t="n">
        <v>0.12</v>
      </c>
      <c r="DN39" s="69" t="n">
        <v>0.03</v>
      </c>
      <c r="DO39" s="69" t="n">
        <v>0.13</v>
      </c>
      <c r="DP39" s="69" t="n">
        <v>0.08</v>
      </c>
      <c r="DQ39" s="69" t="n">
        <v>0.14</v>
      </c>
      <c r="DR39" s="69" t="n">
        <v>0.08</v>
      </c>
      <c r="DS39" s="69" t="n">
        <v>-0.12</v>
      </c>
      <c r="DT39" s="69" t="n">
        <v>0.04</v>
      </c>
      <c r="DU39" s="69" t="n">
        <v>0.08</v>
      </c>
      <c r="DV39" s="69" t="n">
        <v>-0.05</v>
      </c>
      <c r="DW39" s="69" t="n">
        <v>0.02</v>
      </c>
      <c r="DX39" s="69" t="n">
        <v>0.13</v>
      </c>
      <c r="DY39" s="69" t="n">
        <v>-0.02</v>
      </c>
      <c r="DZ39" s="69" t="n">
        <v>0.04</v>
      </c>
      <c r="EA39" s="69" t="n">
        <v>0.18</v>
      </c>
      <c r="EB39" s="69" t="n">
        <v>-0.01</v>
      </c>
      <c r="EC39" s="69" t="n">
        <v>0.03</v>
      </c>
      <c r="ED39" s="69" t="n">
        <v>0.17</v>
      </c>
      <c r="EE39" s="69" t="n">
        <v>0.08</v>
      </c>
      <c r="EF39" s="69" t="n">
        <v>0.1</v>
      </c>
      <c r="EG39" s="69" t="n">
        <v>0.04</v>
      </c>
      <c r="EH39" s="69" t="n">
        <v>-0.03</v>
      </c>
      <c r="EI39" s="69" t="n">
        <v>0.07</v>
      </c>
      <c r="EJ39" s="69" t="n">
        <v>0.06</v>
      </c>
      <c r="EK39" s="69" t="n">
        <v>0.12</v>
      </c>
      <c r="EL39" s="69" t="n">
        <v>0.17</v>
      </c>
      <c r="EM39" s="69" t="n">
        <v>0.03</v>
      </c>
      <c r="EN39" s="69" t="n">
        <v>0.08</v>
      </c>
      <c r="EO39" s="69" t="n">
        <v>0.01</v>
      </c>
    </row>
    <row r="40" customFormat="false" ht="15" hidden="false" customHeight="false" outlineLevel="0" collapsed="false">
      <c r="A40" s="68" t="s">
        <v>107</v>
      </c>
      <c r="B40" s="69" t="n">
        <v>-0.02</v>
      </c>
      <c r="C40" s="69" t="n">
        <v>0.21</v>
      </c>
      <c r="D40" s="69" t="n">
        <v>0.02</v>
      </c>
      <c r="E40" s="69" t="n">
        <v>0.3</v>
      </c>
      <c r="F40" s="69" t="n">
        <v>-0.03</v>
      </c>
      <c r="G40" s="69" t="n">
        <v>0.13</v>
      </c>
      <c r="H40" s="69" t="n">
        <v>0.26</v>
      </c>
      <c r="I40" s="69" t="n">
        <v>0.05</v>
      </c>
      <c r="J40" s="69" t="n">
        <v>0.08</v>
      </c>
      <c r="K40" s="69" t="n">
        <v>0.03</v>
      </c>
      <c r="L40" s="69" t="n">
        <v>0.27</v>
      </c>
      <c r="M40" s="69" t="n">
        <v>0.24</v>
      </c>
      <c r="N40" s="69" t="n">
        <v>0.05</v>
      </c>
      <c r="O40" s="69" t="n">
        <v>0.46</v>
      </c>
      <c r="P40" s="69" t="n">
        <v>0.03</v>
      </c>
      <c r="Q40" s="69" t="n">
        <v>-0.02</v>
      </c>
      <c r="R40" s="69" t="n">
        <v>0.08</v>
      </c>
      <c r="S40" s="69" t="n">
        <v>0.21</v>
      </c>
      <c r="T40" s="69" t="n">
        <v>0.16</v>
      </c>
      <c r="U40" s="69" t="n">
        <v>0.54</v>
      </c>
      <c r="V40" s="69" t="n">
        <v>0.38</v>
      </c>
      <c r="W40" s="69" t="n">
        <v>0.33</v>
      </c>
      <c r="X40" s="69" t="n">
        <v>0.2</v>
      </c>
      <c r="Y40" s="69" t="n">
        <v>-0.01</v>
      </c>
      <c r="Z40" s="69" t="n">
        <v>0.39</v>
      </c>
      <c r="AA40" s="69" t="n">
        <v>0.22</v>
      </c>
      <c r="AB40" s="69" t="n">
        <v>0</v>
      </c>
      <c r="AC40" s="69" t="n">
        <v>0.21</v>
      </c>
      <c r="AD40" s="69" t="n">
        <v>0.29</v>
      </c>
      <c r="AE40" s="69" t="n">
        <v>0.38</v>
      </c>
      <c r="AF40" s="69" t="n">
        <v>0.48</v>
      </c>
      <c r="AG40" s="69" t="n">
        <v>-0.01</v>
      </c>
      <c r="AH40" s="69" t="n">
        <v>-0.1</v>
      </c>
      <c r="AI40" s="69" t="n">
        <v>-0.16</v>
      </c>
      <c r="AJ40" s="69" t="n">
        <v>0.16</v>
      </c>
      <c r="AK40" s="69" t="n">
        <v>1</v>
      </c>
      <c r="AL40" s="69" t="n">
        <v>0.05</v>
      </c>
      <c r="AM40" s="69" t="n">
        <v>0.34</v>
      </c>
      <c r="AN40" s="69" t="n">
        <v>0.17</v>
      </c>
      <c r="AO40" s="69" t="n">
        <v>-0.06</v>
      </c>
      <c r="AP40" s="69" t="n">
        <v>0.13</v>
      </c>
      <c r="AQ40" s="69" t="n">
        <v>-0.07</v>
      </c>
      <c r="AR40" s="69" t="n">
        <v>0.07</v>
      </c>
      <c r="AS40" s="69" t="n">
        <v>0.48</v>
      </c>
      <c r="AT40" s="69" t="n">
        <v>0.12</v>
      </c>
      <c r="AU40" s="69" t="n">
        <v>0.06</v>
      </c>
      <c r="AV40" s="69" t="n">
        <v>0.32</v>
      </c>
      <c r="AW40" s="69" t="n">
        <v>0.38</v>
      </c>
      <c r="AX40" s="69" t="n">
        <v>0.01</v>
      </c>
      <c r="AY40" s="69" t="n">
        <v>0.09</v>
      </c>
      <c r="AZ40" s="69" t="n">
        <v>0.35</v>
      </c>
      <c r="BA40" s="69" t="n">
        <v>0.23</v>
      </c>
      <c r="BB40" s="69" t="n">
        <v>0.2</v>
      </c>
      <c r="BC40" s="69" t="n">
        <v>0.17</v>
      </c>
      <c r="BD40" s="69" t="n">
        <v>0.54</v>
      </c>
      <c r="BE40" s="69" t="n">
        <v>0.08</v>
      </c>
      <c r="BF40" s="69" t="n">
        <v>0.25</v>
      </c>
      <c r="BG40" s="69" t="n">
        <v>0.01</v>
      </c>
      <c r="BH40" s="69" t="n">
        <v>0.3</v>
      </c>
      <c r="BI40" s="69" t="n">
        <v>0.05</v>
      </c>
      <c r="BJ40" s="69" t="n">
        <v>0.06</v>
      </c>
      <c r="BK40" s="69" t="n">
        <v>0.29</v>
      </c>
      <c r="BL40" s="69" t="n">
        <v>0.21</v>
      </c>
      <c r="BM40" s="69" t="n">
        <v>0.05</v>
      </c>
      <c r="BN40" s="69" t="n">
        <v>0.07</v>
      </c>
      <c r="BO40" s="69" t="n">
        <v>0.11</v>
      </c>
      <c r="BP40" s="69" t="n">
        <v>-0.06</v>
      </c>
      <c r="BQ40" s="69" t="n">
        <v>0.39</v>
      </c>
      <c r="BR40" s="69" t="n">
        <v>0.11</v>
      </c>
      <c r="BS40" s="69" t="n">
        <v>-0.15</v>
      </c>
      <c r="BT40" s="69" t="n">
        <v>0.26</v>
      </c>
      <c r="BU40" s="69" t="n">
        <v>0.37</v>
      </c>
      <c r="BV40" s="69" t="n">
        <v>0.04</v>
      </c>
      <c r="BW40" s="69" t="n">
        <v>0.08</v>
      </c>
      <c r="BX40" s="69" t="n">
        <v>-0.04</v>
      </c>
      <c r="BY40" s="69" t="n">
        <v>0.2</v>
      </c>
      <c r="BZ40" s="69" t="n">
        <v>0.17</v>
      </c>
      <c r="CA40" s="69" t="n">
        <v>0.33</v>
      </c>
      <c r="CB40" s="69" t="n">
        <v>0.02</v>
      </c>
      <c r="CC40" s="69" t="n">
        <v>0.05</v>
      </c>
      <c r="CD40" s="69" t="n">
        <v>-0.02</v>
      </c>
      <c r="CE40" s="69" t="n">
        <v>0.05</v>
      </c>
      <c r="CF40" s="69" t="n">
        <v>-0.19</v>
      </c>
      <c r="CG40" s="69" t="n">
        <v>-0.01</v>
      </c>
      <c r="CH40" s="69" t="n">
        <v>0.5</v>
      </c>
      <c r="CI40" s="69" t="n">
        <v>-0.18</v>
      </c>
      <c r="CJ40" s="69" t="n">
        <v>-0.02</v>
      </c>
      <c r="CK40" s="69" t="n">
        <v>0.07</v>
      </c>
      <c r="CL40" s="69" t="n">
        <v>0.09</v>
      </c>
      <c r="CM40" s="69" t="n">
        <v>0.13</v>
      </c>
      <c r="CN40" s="69" t="n">
        <v>0.29</v>
      </c>
      <c r="CO40" s="69" t="n">
        <v>0.14</v>
      </c>
      <c r="CP40" s="69" t="n">
        <v>-0.04</v>
      </c>
      <c r="CQ40" s="69" t="n">
        <v>0.18</v>
      </c>
      <c r="CR40" s="69" t="n">
        <v>0.19</v>
      </c>
      <c r="CS40" s="69" t="n">
        <v>0.24</v>
      </c>
      <c r="CT40" s="69" t="n">
        <v>0.2</v>
      </c>
      <c r="CU40" s="69" t="n">
        <v>0.1</v>
      </c>
      <c r="CV40" s="69" t="n">
        <v>0.12</v>
      </c>
      <c r="CW40" s="69" t="n">
        <v>0.07</v>
      </c>
      <c r="CX40" s="69" t="n">
        <v>0.21</v>
      </c>
      <c r="CY40" s="69" t="n">
        <v>0.23</v>
      </c>
      <c r="CZ40" s="69" t="n">
        <v>0.02</v>
      </c>
      <c r="DA40" s="69" t="n">
        <v>-0.08</v>
      </c>
      <c r="DB40" s="69" t="n">
        <v>0.18</v>
      </c>
      <c r="DC40" s="69" t="n">
        <v>0.33</v>
      </c>
      <c r="DD40" s="69" t="n">
        <v>0.04</v>
      </c>
      <c r="DE40" s="69" t="n">
        <v>0.33</v>
      </c>
      <c r="DF40" s="69" t="n">
        <v>-0.17</v>
      </c>
      <c r="DG40" s="69" t="n">
        <v>0.21</v>
      </c>
      <c r="DH40" s="69" t="n">
        <v>0.08</v>
      </c>
      <c r="DI40" s="69" t="n">
        <v>0.18</v>
      </c>
      <c r="DJ40" s="69" t="n">
        <v>0.19</v>
      </c>
      <c r="DK40" s="69" t="n">
        <v>0.19</v>
      </c>
      <c r="DL40" s="69" t="n">
        <v>0.33</v>
      </c>
      <c r="DM40" s="69" t="n">
        <v>0.26</v>
      </c>
      <c r="DN40" s="69" t="n">
        <v>0.03</v>
      </c>
      <c r="DO40" s="69" t="n">
        <v>0.13</v>
      </c>
      <c r="DP40" s="69" t="n">
        <v>0.16</v>
      </c>
      <c r="DQ40" s="69" t="n">
        <v>0.13</v>
      </c>
      <c r="DR40" s="69" t="n">
        <v>0.12</v>
      </c>
      <c r="DS40" s="69" t="n">
        <v>-0.04</v>
      </c>
      <c r="DT40" s="69" t="n">
        <v>0.01</v>
      </c>
      <c r="DU40" s="69" t="n">
        <v>0.15</v>
      </c>
      <c r="DV40" s="69" t="n">
        <v>-0.01</v>
      </c>
      <c r="DW40" s="69" t="n">
        <v>0.07</v>
      </c>
      <c r="DX40" s="69" t="n">
        <v>0.21</v>
      </c>
      <c r="DY40" s="69" t="n">
        <v>0.04</v>
      </c>
      <c r="DZ40" s="69" t="n">
        <v>-0.07</v>
      </c>
      <c r="EA40" s="69" t="n">
        <v>0.1</v>
      </c>
      <c r="EB40" s="69" t="n">
        <v>0.1</v>
      </c>
      <c r="EC40" s="69" t="n">
        <v>0.23</v>
      </c>
      <c r="ED40" s="69" t="n">
        <v>0.14</v>
      </c>
      <c r="EE40" s="69" t="n">
        <v>0.19</v>
      </c>
      <c r="EF40" s="69" t="n">
        <v>0.13</v>
      </c>
      <c r="EG40" s="69" t="n">
        <v>0.2</v>
      </c>
      <c r="EH40" s="69" t="n">
        <v>-0.03</v>
      </c>
      <c r="EI40" s="69" t="n">
        <v>0.16</v>
      </c>
      <c r="EJ40" s="69" t="n">
        <v>0.14</v>
      </c>
      <c r="EK40" s="69" t="n">
        <v>0.13</v>
      </c>
      <c r="EL40" s="69" t="n">
        <v>0.27</v>
      </c>
      <c r="EM40" s="69" t="n">
        <v>0.01</v>
      </c>
      <c r="EN40" s="69" t="n">
        <v>0</v>
      </c>
      <c r="EO40" s="69" t="n">
        <v>0.07</v>
      </c>
    </row>
    <row r="41" customFormat="false" ht="15" hidden="false" customHeight="false" outlineLevel="0" collapsed="false">
      <c r="A41" s="68" t="s">
        <v>260</v>
      </c>
      <c r="B41" s="69" t="n">
        <v>0.29</v>
      </c>
      <c r="C41" s="69" t="n">
        <v>0</v>
      </c>
      <c r="D41" s="69" t="n">
        <v>0.04</v>
      </c>
      <c r="E41" s="69" t="n">
        <v>0.14</v>
      </c>
      <c r="F41" s="69" t="n">
        <v>0.27</v>
      </c>
      <c r="G41" s="69" t="n">
        <v>-0.06</v>
      </c>
      <c r="H41" s="69" t="n">
        <v>0.01</v>
      </c>
      <c r="I41" s="69" t="n">
        <v>0.3</v>
      </c>
      <c r="J41" s="69" t="n">
        <v>0.21</v>
      </c>
      <c r="K41" s="69" t="n">
        <v>0.28</v>
      </c>
      <c r="L41" s="69" t="n">
        <v>0.11</v>
      </c>
      <c r="M41" s="69" t="n">
        <v>0.27</v>
      </c>
      <c r="N41" s="69" t="n">
        <v>0.31</v>
      </c>
      <c r="O41" s="69" t="n">
        <v>0.11</v>
      </c>
      <c r="P41" s="69" t="n">
        <v>0.24</v>
      </c>
      <c r="Q41" s="69" t="n">
        <v>0.09</v>
      </c>
      <c r="R41" s="69" t="n">
        <v>0.3</v>
      </c>
      <c r="S41" s="69" t="n">
        <v>0.03</v>
      </c>
      <c r="T41" s="69" t="n">
        <v>0.31</v>
      </c>
      <c r="U41" s="69" t="n">
        <v>0.12</v>
      </c>
      <c r="V41" s="69" t="n">
        <v>0.05</v>
      </c>
      <c r="W41" s="69" t="n">
        <v>0.03</v>
      </c>
      <c r="X41" s="69" t="n">
        <v>0.26</v>
      </c>
      <c r="Y41" s="69" t="n">
        <v>0.3</v>
      </c>
      <c r="Z41" s="69" t="n">
        <v>0.05</v>
      </c>
      <c r="AA41" s="69" t="n">
        <v>0.16</v>
      </c>
      <c r="AB41" s="69" t="n">
        <v>0.28</v>
      </c>
      <c r="AC41" s="69" t="n">
        <v>-0.07</v>
      </c>
      <c r="AD41" s="69" t="n">
        <v>0.06</v>
      </c>
      <c r="AE41" s="69" t="n">
        <v>0.11</v>
      </c>
      <c r="AF41" s="69" t="n">
        <v>0.04</v>
      </c>
      <c r="AG41" s="69" t="n">
        <v>0.15</v>
      </c>
      <c r="AH41" s="69" t="n">
        <v>0.12</v>
      </c>
      <c r="AI41" s="69" t="n">
        <v>0</v>
      </c>
      <c r="AJ41" s="69" t="n">
        <v>0.08</v>
      </c>
      <c r="AK41" s="69" t="n">
        <v>0.05</v>
      </c>
      <c r="AL41" s="69" t="n">
        <v>1</v>
      </c>
      <c r="AM41" s="69" t="n">
        <v>0.1</v>
      </c>
      <c r="AN41" s="69" t="n">
        <v>0.28</v>
      </c>
      <c r="AO41" s="69" t="n">
        <v>0.21</v>
      </c>
      <c r="AP41" s="69" t="n">
        <v>0.29</v>
      </c>
      <c r="AQ41" s="69" t="n">
        <v>0.01</v>
      </c>
      <c r="AR41" s="69" t="n">
        <v>0.3</v>
      </c>
      <c r="AS41" s="69" t="n">
        <v>0.12</v>
      </c>
      <c r="AT41" s="69" t="n">
        <v>0.3</v>
      </c>
      <c r="AU41" s="69" t="n">
        <v>0.19</v>
      </c>
      <c r="AV41" s="69" t="n">
        <v>0.12</v>
      </c>
      <c r="AW41" s="69" t="n">
        <v>0.04</v>
      </c>
      <c r="AX41" s="69" t="n">
        <v>0.24</v>
      </c>
      <c r="AY41" s="69" t="n">
        <v>0.23</v>
      </c>
      <c r="AZ41" s="69" t="n">
        <v>0.11</v>
      </c>
      <c r="BA41" s="69" t="n">
        <v>0.19</v>
      </c>
      <c r="BB41" s="69" t="n">
        <v>0.29</v>
      </c>
      <c r="BC41" s="69" t="n">
        <v>0.1</v>
      </c>
      <c r="BD41" s="69" t="n">
        <v>0.01</v>
      </c>
      <c r="BE41" s="69" t="n">
        <v>0.26</v>
      </c>
      <c r="BF41" s="69" t="n">
        <v>0.14</v>
      </c>
      <c r="BG41" s="69" t="n">
        <v>0.14</v>
      </c>
      <c r="BH41" s="69" t="n">
        <v>0.06</v>
      </c>
      <c r="BI41" s="69" t="n">
        <v>0.02</v>
      </c>
      <c r="BJ41" s="69" t="n">
        <v>-0.08</v>
      </c>
      <c r="BK41" s="69" t="n">
        <v>0.04</v>
      </c>
      <c r="BL41" s="69" t="n">
        <v>0.2</v>
      </c>
      <c r="BM41" s="69" t="n">
        <v>0.25</v>
      </c>
      <c r="BN41" s="69" t="n">
        <v>0.05</v>
      </c>
      <c r="BO41" s="69" t="n">
        <v>0.23</v>
      </c>
      <c r="BP41" s="69" t="n">
        <v>0.18</v>
      </c>
      <c r="BQ41" s="69" t="n">
        <v>0.09</v>
      </c>
      <c r="BR41" s="69" t="n">
        <v>0.3</v>
      </c>
      <c r="BS41" s="69" t="n">
        <v>-0.01</v>
      </c>
      <c r="BT41" s="69" t="n">
        <v>0.23</v>
      </c>
      <c r="BU41" s="69" t="n">
        <v>0.08</v>
      </c>
      <c r="BV41" s="69" t="n">
        <v>0.16</v>
      </c>
      <c r="BW41" s="69" t="n">
        <v>0.24</v>
      </c>
      <c r="BX41" s="69" t="n">
        <v>0.24</v>
      </c>
      <c r="BY41" s="69" t="n">
        <v>0.27</v>
      </c>
      <c r="BZ41" s="69" t="n">
        <v>0.27</v>
      </c>
      <c r="CA41" s="69" t="n">
        <v>0.09</v>
      </c>
      <c r="CB41" s="69" t="n">
        <v>-0.04</v>
      </c>
      <c r="CC41" s="69" t="n">
        <v>-0.03</v>
      </c>
      <c r="CD41" s="69" t="n">
        <v>0.19</v>
      </c>
      <c r="CE41" s="69" t="n">
        <v>0.2</v>
      </c>
      <c r="CF41" s="69" t="n">
        <v>0.01</v>
      </c>
      <c r="CG41" s="69" t="n">
        <v>0.33</v>
      </c>
      <c r="CH41" s="69" t="n">
        <v>0.12</v>
      </c>
      <c r="CI41" s="69" t="n">
        <v>-0.05</v>
      </c>
      <c r="CJ41" s="69" t="n">
        <v>0.22</v>
      </c>
      <c r="CK41" s="69" t="n">
        <v>0.28</v>
      </c>
      <c r="CL41" s="69" t="n">
        <v>0.25</v>
      </c>
      <c r="CM41" s="69" t="n">
        <v>0.13</v>
      </c>
      <c r="CN41" s="69" t="n">
        <v>-0.01</v>
      </c>
      <c r="CO41" s="69" t="n">
        <v>0.06</v>
      </c>
      <c r="CP41" s="69" t="n">
        <v>0.32</v>
      </c>
      <c r="CQ41" s="69" t="n">
        <v>0.32</v>
      </c>
      <c r="CR41" s="69" t="n">
        <v>0.18</v>
      </c>
      <c r="CS41" s="69" t="n">
        <v>0.13</v>
      </c>
      <c r="CT41" s="69" t="n">
        <v>0.21</v>
      </c>
      <c r="CU41" s="69" t="n">
        <v>0.21</v>
      </c>
      <c r="CV41" s="69" t="n">
        <v>0.16</v>
      </c>
      <c r="CW41" s="69" t="n">
        <v>0.23</v>
      </c>
      <c r="CX41" s="69" t="n">
        <v>0.18</v>
      </c>
      <c r="CY41" s="69" t="n">
        <v>0.28</v>
      </c>
      <c r="CZ41" s="69" t="n">
        <v>0.22</v>
      </c>
      <c r="DA41" s="69" t="n">
        <v>0.28</v>
      </c>
      <c r="DB41" s="69" t="n">
        <v>0.21</v>
      </c>
      <c r="DC41" s="69" t="n">
        <v>0.09</v>
      </c>
      <c r="DD41" s="69" t="n">
        <v>0.25</v>
      </c>
      <c r="DE41" s="69" t="n">
        <v>0.16</v>
      </c>
      <c r="DF41" s="69" t="n">
        <v>0.18</v>
      </c>
      <c r="DG41" s="69" t="n">
        <v>0.18</v>
      </c>
      <c r="DH41" s="69" t="n">
        <v>0.21</v>
      </c>
      <c r="DI41" s="69" t="n">
        <v>0.3</v>
      </c>
      <c r="DJ41" s="69" t="n">
        <v>0.27</v>
      </c>
      <c r="DK41" s="69" t="n">
        <v>0.3</v>
      </c>
      <c r="DL41" s="69" t="n">
        <v>0</v>
      </c>
      <c r="DM41" s="69" t="n">
        <v>0.31</v>
      </c>
      <c r="DN41" s="69" t="n">
        <v>0.24</v>
      </c>
      <c r="DO41" s="69" t="n">
        <v>0.26</v>
      </c>
      <c r="DP41" s="69" t="n">
        <v>0.29</v>
      </c>
      <c r="DQ41" s="69" t="n">
        <v>0.19</v>
      </c>
      <c r="DR41" s="69" t="n">
        <v>0.07</v>
      </c>
      <c r="DS41" s="69" t="n">
        <v>0.25</v>
      </c>
      <c r="DT41" s="69" t="n">
        <v>0.04</v>
      </c>
      <c r="DU41" s="69" t="n">
        <v>0.21</v>
      </c>
      <c r="DV41" s="69" t="n">
        <v>0.22</v>
      </c>
      <c r="DW41" s="69" t="n">
        <v>0.25</v>
      </c>
      <c r="DX41" s="69" t="n">
        <v>-0.03</v>
      </c>
      <c r="DY41" s="69" t="n">
        <v>0.28</v>
      </c>
      <c r="DZ41" s="69" t="n">
        <v>0.15</v>
      </c>
      <c r="EA41" s="69" t="n">
        <v>0.21</v>
      </c>
      <c r="EB41" s="69" t="n">
        <v>0.26</v>
      </c>
      <c r="EC41" s="69" t="n">
        <v>0</v>
      </c>
      <c r="ED41" s="69" t="n">
        <v>0.19</v>
      </c>
      <c r="EE41" s="69" t="n">
        <v>0.12</v>
      </c>
      <c r="EF41" s="69" t="n">
        <v>0.27</v>
      </c>
      <c r="EG41" s="69" t="n">
        <v>0.09</v>
      </c>
      <c r="EH41" s="69" t="n">
        <v>0.22</v>
      </c>
      <c r="EI41" s="69" t="n">
        <v>0</v>
      </c>
      <c r="EJ41" s="69" t="n">
        <v>0.2</v>
      </c>
      <c r="EK41" s="69" t="n">
        <v>0.08</v>
      </c>
      <c r="EL41" s="69" t="n">
        <v>0.1</v>
      </c>
      <c r="EM41" s="69" t="n">
        <v>0.09</v>
      </c>
      <c r="EN41" s="69" t="n">
        <v>0.15</v>
      </c>
      <c r="EO41" s="69" t="n">
        <v>0.12</v>
      </c>
    </row>
    <row r="42" customFormat="false" ht="15" hidden="false" customHeight="false" outlineLevel="0" collapsed="false">
      <c r="A42" s="68" t="s">
        <v>108</v>
      </c>
      <c r="B42" s="69" t="n">
        <v>0.03</v>
      </c>
      <c r="C42" s="69" t="n">
        <v>0.08</v>
      </c>
      <c r="D42" s="69" t="n">
        <v>0.09</v>
      </c>
      <c r="E42" s="69" t="n">
        <v>0.16</v>
      </c>
      <c r="F42" s="69" t="n">
        <v>-0.01</v>
      </c>
      <c r="G42" s="69" t="n">
        <v>0.16</v>
      </c>
      <c r="H42" s="69" t="n">
        <v>0.17</v>
      </c>
      <c r="I42" s="69" t="n">
        <v>0.04</v>
      </c>
      <c r="J42" s="69" t="n">
        <v>0.07</v>
      </c>
      <c r="K42" s="69" t="n">
        <v>0.02</v>
      </c>
      <c r="L42" s="69" t="n">
        <v>0.16</v>
      </c>
      <c r="M42" s="69" t="n">
        <v>0.19</v>
      </c>
      <c r="N42" s="69" t="n">
        <v>0.11</v>
      </c>
      <c r="O42" s="69" t="n">
        <v>0.27</v>
      </c>
      <c r="P42" s="69" t="n">
        <v>0.07</v>
      </c>
      <c r="Q42" s="69" t="n">
        <v>0.06</v>
      </c>
      <c r="R42" s="69" t="n">
        <v>0.1</v>
      </c>
      <c r="S42" s="69" t="n">
        <v>0.16</v>
      </c>
      <c r="T42" s="69" t="n">
        <v>0.2</v>
      </c>
      <c r="U42" s="69" t="n">
        <v>0.29</v>
      </c>
      <c r="V42" s="69" t="n">
        <v>0.16</v>
      </c>
      <c r="W42" s="69" t="n">
        <v>0.12</v>
      </c>
      <c r="X42" s="69" t="n">
        <v>0.25</v>
      </c>
      <c r="Y42" s="69" t="n">
        <v>0.11</v>
      </c>
      <c r="Z42" s="69" t="n">
        <v>0.3</v>
      </c>
      <c r="AA42" s="69" t="n">
        <v>0.25</v>
      </c>
      <c r="AB42" s="69" t="n">
        <v>0.1</v>
      </c>
      <c r="AC42" s="69" t="n">
        <v>0.16</v>
      </c>
      <c r="AD42" s="69" t="n">
        <v>0.13</v>
      </c>
      <c r="AE42" s="69" t="n">
        <v>0.25</v>
      </c>
      <c r="AF42" s="69" t="n">
        <v>0.27</v>
      </c>
      <c r="AG42" s="69" t="n">
        <v>0.05</v>
      </c>
      <c r="AH42" s="69" t="n">
        <v>-0.01</v>
      </c>
      <c r="AI42" s="69" t="n">
        <v>-0.13</v>
      </c>
      <c r="AJ42" s="69" t="n">
        <v>0.15</v>
      </c>
      <c r="AK42" s="69" t="n">
        <v>0.34</v>
      </c>
      <c r="AL42" s="69" t="n">
        <v>0.1</v>
      </c>
      <c r="AM42" s="69" t="n">
        <v>1</v>
      </c>
      <c r="AN42" s="69" t="n">
        <v>0.1</v>
      </c>
      <c r="AO42" s="69" t="n">
        <v>0.1</v>
      </c>
      <c r="AP42" s="69" t="n">
        <v>0.12</v>
      </c>
      <c r="AQ42" s="69" t="n">
        <v>-0.15</v>
      </c>
      <c r="AR42" s="69" t="n">
        <v>0.14</v>
      </c>
      <c r="AS42" s="69" t="n">
        <v>0.19</v>
      </c>
      <c r="AT42" s="69" t="n">
        <v>0.13</v>
      </c>
      <c r="AU42" s="69" t="n">
        <v>0.06</v>
      </c>
      <c r="AV42" s="69" t="n">
        <v>0.13</v>
      </c>
      <c r="AW42" s="69" t="n">
        <v>0.17</v>
      </c>
      <c r="AX42" s="69" t="n">
        <v>0.16</v>
      </c>
      <c r="AY42" s="69" t="n">
        <v>0.06</v>
      </c>
      <c r="AZ42" s="69" t="n">
        <v>0.21</v>
      </c>
      <c r="BA42" s="69" t="n">
        <v>0.18</v>
      </c>
      <c r="BB42" s="69" t="n">
        <v>0.21</v>
      </c>
      <c r="BC42" s="69" t="n">
        <v>0.21</v>
      </c>
      <c r="BD42" s="69" t="n">
        <v>0.31</v>
      </c>
      <c r="BE42" s="69" t="n">
        <v>0.11</v>
      </c>
      <c r="BF42" s="69" t="n">
        <v>0.23</v>
      </c>
      <c r="BG42" s="69" t="n">
        <v>0.08</v>
      </c>
      <c r="BH42" s="69" t="n">
        <v>0.17</v>
      </c>
      <c r="BI42" s="69" t="n">
        <v>0.11</v>
      </c>
      <c r="BJ42" s="69" t="n">
        <v>0.02</v>
      </c>
      <c r="BK42" s="69" t="n">
        <v>0.29</v>
      </c>
      <c r="BL42" s="69" t="n">
        <v>0.09</v>
      </c>
      <c r="BM42" s="69" t="n">
        <v>0.07</v>
      </c>
      <c r="BN42" s="69" t="n">
        <v>0.14</v>
      </c>
      <c r="BO42" s="69" t="n">
        <v>0.15</v>
      </c>
      <c r="BP42" s="69" t="n">
        <v>0.05</v>
      </c>
      <c r="BQ42" s="69" t="n">
        <v>0.28</v>
      </c>
      <c r="BR42" s="69" t="n">
        <v>0.17</v>
      </c>
      <c r="BS42" s="69" t="n">
        <v>-0.12</v>
      </c>
      <c r="BT42" s="69" t="n">
        <v>0.26</v>
      </c>
      <c r="BU42" s="69" t="n">
        <v>0.29</v>
      </c>
      <c r="BV42" s="69" t="n">
        <v>0.08</v>
      </c>
      <c r="BW42" s="69" t="n">
        <v>0.16</v>
      </c>
      <c r="BX42" s="69" t="n">
        <v>0.03</v>
      </c>
      <c r="BY42" s="69" t="n">
        <v>0.18</v>
      </c>
      <c r="BZ42" s="69" t="n">
        <v>0.24</v>
      </c>
      <c r="CA42" s="69" t="n">
        <v>0.25</v>
      </c>
      <c r="CB42" s="69" t="n">
        <v>-0.06</v>
      </c>
      <c r="CC42" s="69" t="n">
        <v>0.08</v>
      </c>
      <c r="CD42" s="69" t="n">
        <v>0.2</v>
      </c>
      <c r="CE42" s="69" t="n">
        <v>0.13</v>
      </c>
      <c r="CF42" s="69" t="n">
        <v>-0.12</v>
      </c>
      <c r="CG42" s="69" t="n">
        <v>0.11</v>
      </c>
      <c r="CH42" s="69" t="n">
        <v>0.2</v>
      </c>
      <c r="CI42" s="69" t="n">
        <v>-0.13</v>
      </c>
      <c r="CJ42" s="69" t="n">
        <v>0.09</v>
      </c>
      <c r="CK42" s="69" t="n">
        <v>-0.04</v>
      </c>
      <c r="CL42" s="69" t="n">
        <v>0.15</v>
      </c>
      <c r="CM42" s="69" t="n">
        <v>0.08</v>
      </c>
      <c r="CN42" s="69" t="n">
        <v>0.11</v>
      </c>
      <c r="CO42" s="69" t="n">
        <v>0.06</v>
      </c>
      <c r="CP42" s="69" t="n">
        <v>0.04</v>
      </c>
      <c r="CQ42" s="69" t="n">
        <v>0.18</v>
      </c>
      <c r="CR42" s="69" t="n">
        <v>0.14</v>
      </c>
      <c r="CS42" s="69" t="n">
        <v>0.15</v>
      </c>
      <c r="CT42" s="69" t="n">
        <v>0.19</v>
      </c>
      <c r="CU42" s="69" t="n">
        <v>0.16</v>
      </c>
      <c r="CV42" s="69" t="n">
        <v>0.09</v>
      </c>
      <c r="CW42" s="69" t="n">
        <v>0.13</v>
      </c>
      <c r="CX42" s="69" t="n">
        <v>0.15</v>
      </c>
      <c r="CY42" s="69" t="n">
        <v>0.12</v>
      </c>
      <c r="CZ42" s="69" t="n">
        <v>0.16</v>
      </c>
      <c r="DA42" s="69" t="n">
        <v>0.1</v>
      </c>
      <c r="DB42" s="69" t="n">
        <v>0.17</v>
      </c>
      <c r="DC42" s="69" t="n">
        <v>0.34</v>
      </c>
      <c r="DD42" s="69" t="n">
        <v>0.27</v>
      </c>
      <c r="DE42" s="69" t="n">
        <v>0.13</v>
      </c>
      <c r="DF42" s="69" t="n">
        <v>0.05</v>
      </c>
      <c r="DG42" s="69" t="n">
        <v>0.1</v>
      </c>
      <c r="DH42" s="69" t="n">
        <v>0.13</v>
      </c>
      <c r="DI42" s="69" t="n">
        <v>0.16</v>
      </c>
      <c r="DJ42" s="69" t="n">
        <v>0.12</v>
      </c>
      <c r="DK42" s="69" t="n">
        <v>0.18</v>
      </c>
      <c r="DL42" s="69" t="n">
        <v>0.12</v>
      </c>
      <c r="DM42" s="69" t="n">
        <v>0.23</v>
      </c>
      <c r="DN42" s="69" t="n">
        <v>0.09</v>
      </c>
      <c r="DO42" s="69" t="n">
        <v>0.16</v>
      </c>
      <c r="DP42" s="69" t="n">
        <v>0.17</v>
      </c>
      <c r="DQ42" s="69" t="n">
        <v>0.24</v>
      </c>
      <c r="DR42" s="69" t="n">
        <v>0.18</v>
      </c>
      <c r="DS42" s="69" t="n">
        <v>0.12</v>
      </c>
      <c r="DT42" s="69" t="n">
        <v>0.09</v>
      </c>
      <c r="DU42" s="69" t="n">
        <v>0.2</v>
      </c>
      <c r="DV42" s="69" t="n">
        <v>0.13</v>
      </c>
      <c r="DW42" s="69" t="n">
        <v>0.15</v>
      </c>
      <c r="DX42" s="69" t="n">
        <v>0.08</v>
      </c>
      <c r="DY42" s="69" t="n">
        <v>0.13</v>
      </c>
      <c r="DZ42" s="69" t="n">
        <v>0.16</v>
      </c>
      <c r="EA42" s="69" t="n">
        <v>0.03</v>
      </c>
      <c r="EB42" s="69" t="n">
        <v>0.19</v>
      </c>
      <c r="EC42" s="69" t="n">
        <v>0.04</v>
      </c>
      <c r="ED42" s="69" t="n">
        <v>0.2</v>
      </c>
      <c r="EE42" s="69" t="n">
        <v>0.19</v>
      </c>
      <c r="EF42" s="69" t="n">
        <v>0.13</v>
      </c>
      <c r="EG42" s="69" t="n">
        <v>0.11</v>
      </c>
      <c r="EH42" s="69" t="n">
        <v>0.05</v>
      </c>
      <c r="EI42" s="69" t="n">
        <v>0.03</v>
      </c>
      <c r="EJ42" s="69" t="n">
        <v>0.21</v>
      </c>
      <c r="EK42" s="69" t="n">
        <v>0.16</v>
      </c>
      <c r="EL42" s="69" t="n">
        <v>0.22</v>
      </c>
      <c r="EM42" s="69" t="n">
        <v>0.11</v>
      </c>
      <c r="EN42" s="69" t="n">
        <v>0.08</v>
      </c>
      <c r="EO42" s="69" t="n">
        <v>0.05</v>
      </c>
    </row>
    <row r="43" customFormat="false" ht="15" hidden="false" customHeight="false" outlineLevel="0" collapsed="false">
      <c r="A43" s="68" t="s">
        <v>262</v>
      </c>
      <c r="B43" s="69" t="n">
        <v>0.37</v>
      </c>
      <c r="C43" s="69" t="n">
        <v>0.02</v>
      </c>
      <c r="D43" s="69" t="n">
        <v>-0.05</v>
      </c>
      <c r="E43" s="69" t="n">
        <v>0.12</v>
      </c>
      <c r="F43" s="69" t="n">
        <v>0.4</v>
      </c>
      <c r="G43" s="69" t="n">
        <v>-0.02</v>
      </c>
      <c r="H43" s="69" t="n">
        <v>0.14</v>
      </c>
      <c r="I43" s="69" t="n">
        <v>0.48</v>
      </c>
      <c r="J43" s="69" t="n">
        <v>0.29</v>
      </c>
      <c r="K43" s="69" t="n">
        <v>0.52</v>
      </c>
      <c r="L43" s="69" t="n">
        <v>0.14</v>
      </c>
      <c r="M43" s="69" t="n">
        <v>0.54</v>
      </c>
      <c r="N43" s="69" t="n">
        <v>0.35</v>
      </c>
      <c r="O43" s="69" t="n">
        <v>0.14</v>
      </c>
      <c r="P43" s="69" t="n">
        <v>0.35</v>
      </c>
      <c r="Q43" s="69" t="n">
        <v>0.08</v>
      </c>
      <c r="R43" s="69" t="n">
        <v>0.42</v>
      </c>
      <c r="S43" s="69" t="n">
        <v>0.18</v>
      </c>
      <c r="T43" s="69" t="n">
        <v>0.29</v>
      </c>
      <c r="U43" s="69" t="n">
        <v>0.23</v>
      </c>
      <c r="V43" s="69" t="n">
        <v>0.18</v>
      </c>
      <c r="W43" s="69" t="n">
        <v>0.08</v>
      </c>
      <c r="X43" s="69" t="n">
        <v>0.31</v>
      </c>
      <c r="Y43" s="69" t="n">
        <v>0.33</v>
      </c>
      <c r="Z43" s="69" t="n">
        <v>0.18</v>
      </c>
      <c r="AA43" s="69" t="n">
        <v>0.22</v>
      </c>
      <c r="AB43" s="69" t="n">
        <v>0.34</v>
      </c>
      <c r="AC43" s="69" t="n">
        <v>0.01</v>
      </c>
      <c r="AD43" s="69" t="n">
        <v>0.07</v>
      </c>
      <c r="AE43" s="69" t="n">
        <v>0.21</v>
      </c>
      <c r="AF43" s="69" t="n">
        <v>0.01</v>
      </c>
      <c r="AG43" s="69" t="n">
        <v>0.18</v>
      </c>
      <c r="AH43" s="69" t="n">
        <v>0.23</v>
      </c>
      <c r="AI43" s="69" t="n">
        <v>-0.11</v>
      </c>
      <c r="AJ43" s="69" t="n">
        <v>0</v>
      </c>
      <c r="AK43" s="69" t="n">
        <v>0.17</v>
      </c>
      <c r="AL43" s="69" t="n">
        <v>0.28</v>
      </c>
      <c r="AM43" s="69" t="n">
        <v>0.1</v>
      </c>
      <c r="AN43" s="69" t="n">
        <v>1</v>
      </c>
      <c r="AO43" s="69" t="n">
        <v>0.25</v>
      </c>
      <c r="AP43" s="69" t="n">
        <v>0.42</v>
      </c>
      <c r="AQ43" s="69" t="n">
        <v>-0.13</v>
      </c>
      <c r="AR43" s="69" t="n">
        <v>0.27</v>
      </c>
      <c r="AS43" s="69" t="n">
        <v>0.22</v>
      </c>
      <c r="AT43" s="69" t="n">
        <v>0.35</v>
      </c>
      <c r="AU43" s="69" t="n">
        <v>0.38</v>
      </c>
      <c r="AV43" s="69" t="n">
        <v>0.18</v>
      </c>
      <c r="AW43" s="69" t="n">
        <v>0.23</v>
      </c>
      <c r="AX43" s="69" t="n">
        <v>0.34</v>
      </c>
      <c r="AY43" s="69" t="n">
        <v>0.37</v>
      </c>
      <c r="AZ43" s="69" t="n">
        <v>0.24</v>
      </c>
      <c r="BA43" s="69" t="n">
        <v>0.43</v>
      </c>
      <c r="BB43" s="69" t="n">
        <v>0.25</v>
      </c>
      <c r="BC43" s="69" t="n">
        <v>0.11</v>
      </c>
      <c r="BD43" s="69" t="n">
        <v>0.18</v>
      </c>
      <c r="BE43" s="69" t="n">
        <v>0.33</v>
      </c>
      <c r="BF43" s="69" t="n">
        <v>0.19</v>
      </c>
      <c r="BG43" s="69" t="n">
        <v>0.34</v>
      </c>
      <c r="BH43" s="69" t="n">
        <v>0.2</v>
      </c>
      <c r="BI43" s="69" t="n">
        <v>0.1</v>
      </c>
      <c r="BJ43" s="69" t="n">
        <v>-0.06</v>
      </c>
      <c r="BK43" s="69" t="n">
        <v>0.12</v>
      </c>
      <c r="BL43" s="69" t="n">
        <v>0.3</v>
      </c>
      <c r="BM43" s="69" t="n">
        <v>0.44</v>
      </c>
      <c r="BN43" s="69" t="n">
        <v>0.13</v>
      </c>
      <c r="BO43" s="69" t="n">
        <v>0.27</v>
      </c>
      <c r="BP43" s="69" t="n">
        <v>0.08</v>
      </c>
      <c r="BQ43" s="69" t="n">
        <v>0.25</v>
      </c>
      <c r="BR43" s="69" t="n">
        <v>0.35</v>
      </c>
      <c r="BS43" s="69" t="n">
        <v>-0.18</v>
      </c>
      <c r="BT43" s="69" t="n">
        <v>0.43</v>
      </c>
      <c r="BU43" s="69" t="n">
        <v>0.13</v>
      </c>
      <c r="BV43" s="69" t="n">
        <v>0.3</v>
      </c>
      <c r="BW43" s="69" t="n">
        <v>0.22</v>
      </c>
      <c r="BX43" s="69" t="n">
        <v>0.26</v>
      </c>
      <c r="BY43" s="69" t="n">
        <v>0.39</v>
      </c>
      <c r="BZ43" s="69" t="n">
        <v>0.38</v>
      </c>
      <c r="CA43" s="69" t="n">
        <v>0.15</v>
      </c>
      <c r="CB43" s="69" t="n">
        <v>0.01</v>
      </c>
      <c r="CC43" s="69" t="n">
        <v>0.13</v>
      </c>
      <c r="CD43" s="69" t="n">
        <v>0.3</v>
      </c>
      <c r="CE43" s="69" t="n">
        <v>0.09</v>
      </c>
      <c r="CF43" s="69" t="n">
        <v>-0.17</v>
      </c>
      <c r="CG43" s="69" t="n">
        <v>0.42</v>
      </c>
      <c r="CH43" s="69" t="n">
        <v>0.19</v>
      </c>
      <c r="CI43" s="69" t="n">
        <v>-0.17</v>
      </c>
      <c r="CJ43" s="69" t="n">
        <v>0.13</v>
      </c>
      <c r="CK43" s="69" t="n">
        <v>0.46</v>
      </c>
      <c r="CL43" s="69" t="n">
        <v>0.3</v>
      </c>
      <c r="CM43" s="69" t="n">
        <v>0.06</v>
      </c>
      <c r="CN43" s="69" t="n">
        <v>0.04</v>
      </c>
      <c r="CO43" s="69" t="n">
        <v>0.13</v>
      </c>
      <c r="CP43" s="69" t="n">
        <v>0.18</v>
      </c>
      <c r="CQ43" s="69" t="n">
        <v>0.43</v>
      </c>
      <c r="CR43" s="69" t="n">
        <v>0.19</v>
      </c>
      <c r="CS43" s="69" t="n">
        <v>0.24</v>
      </c>
      <c r="CT43" s="69" t="n">
        <v>0.24</v>
      </c>
      <c r="CU43" s="69" t="n">
        <v>0.09</v>
      </c>
      <c r="CV43" s="69" t="n">
        <v>0.17</v>
      </c>
      <c r="CW43" s="69" t="n">
        <v>0.34</v>
      </c>
      <c r="CX43" s="69" t="n">
        <v>0.27</v>
      </c>
      <c r="CY43" s="69" t="n">
        <v>0.44</v>
      </c>
      <c r="CZ43" s="69" t="n">
        <v>0.14</v>
      </c>
      <c r="DA43" s="69" t="n">
        <v>0.22</v>
      </c>
      <c r="DB43" s="69" t="n">
        <v>0.17</v>
      </c>
      <c r="DC43" s="69" t="n">
        <v>0.29</v>
      </c>
      <c r="DD43" s="69" t="n">
        <v>0.33</v>
      </c>
      <c r="DE43" s="69" t="n">
        <v>0.22</v>
      </c>
      <c r="DF43" s="69" t="n">
        <v>0.06</v>
      </c>
      <c r="DG43" s="69" t="n">
        <v>0.2</v>
      </c>
      <c r="DH43" s="69" t="n">
        <v>0.06</v>
      </c>
      <c r="DI43" s="69" t="n">
        <v>0.46</v>
      </c>
      <c r="DJ43" s="69" t="n">
        <v>0.43</v>
      </c>
      <c r="DK43" s="69" t="n">
        <v>0.47</v>
      </c>
      <c r="DL43" s="69" t="n">
        <v>0.08</v>
      </c>
      <c r="DM43" s="69" t="n">
        <v>0.5</v>
      </c>
      <c r="DN43" s="69" t="n">
        <v>0.31</v>
      </c>
      <c r="DO43" s="69" t="n">
        <v>0.14</v>
      </c>
      <c r="DP43" s="69" t="n">
        <v>0.45</v>
      </c>
      <c r="DQ43" s="69" t="n">
        <v>0.2</v>
      </c>
      <c r="DR43" s="69" t="n">
        <v>0.04</v>
      </c>
      <c r="DS43" s="69" t="n">
        <v>0.16</v>
      </c>
      <c r="DT43" s="69" t="n">
        <v>-0.01</v>
      </c>
      <c r="DU43" s="69" t="n">
        <v>0.21</v>
      </c>
      <c r="DV43" s="69" t="n">
        <v>0.09</v>
      </c>
      <c r="DW43" s="69" t="n">
        <v>0.23</v>
      </c>
      <c r="DX43" s="69" t="n">
        <v>0.13</v>
      </c>
      <c r="DY43" s="69" t="n">
        <v>0.36</v>
      </c>
      <c r="DZ43" s="69" t="n">
        <v>0.03</v>
      </c>
      <c r="EA43" s="69" t="n">
        <v>0.17</v>
      </c>
      <c r="EB43" s="69" t="n">
        <v>0.31</v>
      </c>
      <c r="EC43" s="69" t="n">
        <v>-0.04</v>
      </c>
      <c r="ED43" s="69" t="n">
        <v>0.14</v>
      </c>
      <c r="EE43" s="69" t="n">
        <v>0.08</v>
      </c>
      <c r="EF43" s="69" t="n">
        <v>0.13</v>
      </c>
      <c r="EG43" s="69" t="n">
        <v>0.08</v>
      </c>
      <c r="EH43" s="69" t="n">
        <v>0.09</v>
      </c>
      <c r="EI43" s="69" t="n">
        <v>0.01</v>
      </c>
      <c r="EJ43" s="69" t="n">
        <v>0.17</v>
      </c>
      <c r="EK43" s="69" t="n">
        <v>0.08</v>
      </c>
      <c r="EL43" s="69" t="n">
        <v>0.12</v>
      </c>
      <c r="EM43" s="69" t="n">
        <v>0.04</v>
      </c>
      <c r="EN43" s="69" t="n">
        <v>0.16</v>
      </c>
      <c r="EO43" s="69" t="n">
        <v>0.1</v>
      </c>
    </row>
    <row r="44" customFormat="false" ht="15" hidden="false" customHeight="false" outlineLevel="0" collapsed="false">
      <c r="A44" s="68" t="s">
        <v>264</v>
      </c>
      <c r="B44" s="69" t="n">
        <v>0.25</v>
      </c>
      <c r="C44" s="69" t="n">
        <v>0.04</v>
      </c>
      <c r="D44" s="69" t="n">
        <v>0.02</v>
      </c>
      <c r="E44" s="69" t="n">
        <v>0.11</v>
      </c>
      <c r="F44" s="69" t="n">
        <v>0.39</v>
      </c>
      <c r="G44" s="69" t="n">
        <v>0.03</v>
      </c>
      <c r="H44" s="69" t="n">
        <v>0</v>
      </c>
      <c r="I44" s="69" t="n">
        <v>0.36</v>
      </c>
      <c r="J44" s="69" t="n">
        <v>0.56</v>
      </c>
      <c r="K44" s="69" t="n">
        <v>0.32</v>
      </c>
      <c r="L44" s="69" t="n">
        <v>0.06</v>
      </c>
      <c r="M44" s="69" t="n">
        <v>0.15</v>
      </c>
      <c r="N44" s="69" t="n">
        <v>0.41</v>
      </c>
      <c r="O44" s="69" t="n">
        <v>0</v>
      </c>
      <c r="P44" s="69" t="n">
        <v>0.32</v>
      </c>
      <c r="Q44" s="69" t="n">
        <v>0</v>
      </c>
      <c r="R44" s="69" t="n">
        <v>0.29</v>
      </c>
      <c r="S44" s="69" t="n">
        <v>0.1</v>
      </c>
      <c r="T44" s="69" t="n">
        <v>0.13</v>
      </c>
      <c r="U44" s="69" t="n">
        <v>0.1</v>
      </c>
      <c r="V44" s="69" t="n">
        <v>-0.03</v>
      </c>
      <c r="W44" s="69" t="n">
        <v>0.11</v>
      </c>
      <c r="X44" s="69" t="n">
        <v>0.13</v>
      </c>
      <c r="Y44" s="69" t="n">
        <v>0.33</v>
      </c>
      <c r="Z44" s="69" t="n">
        <v>0.02</v>
      </c>
      <c r="AA44" s="69" t="n">
        <v>0.19</v>
      </c>
      <c r="AB44" s="69" t="n">
        <v>0.29</v>
      </c>
      <c r="AC44" s="69" t="n">
        <v>-0.13</v>
      </c>
      <c r="AD44" s="69" t="n">
        <v>0.02</v>
      </c>
      <c r="AE44" s="69" t="n">
        <v>-0.03</v>
      </c>
      <c r="AF44" s="69" t="n">
        <v>-0.04</v>
      </c>
      <c r="AG44" s="69" t="n">
        <v>0.23</v>
      </c>
      <c r="AH44" s="69" t="n">
        <v>0.25</v>
      </c>
      <c r="AI44" s="69" t="n">
        <v>0.11</v>
      </c>
      <c r="AJ44" s="69" t="n">
        <v>-0.03</v>
      </c>
      <c r="AK44" s="69" t="n">
        <v>-0.06</v>
      </c>
      <c r="AL44" s="69" t="n">
        <v>0.21</v>
      </c>
      <c r="AM44" s="69" t="n">
        <v>0.1</v>
      </c>
      <c r="AN44" s="69" t="n">
        <v>0.25</v>
      </c>
      <c r="AO44" s="69" t="n">
        <v>1</v>
      </c>
      <c r="AP44" s="69" t="n">
        <v>0.13</v>
      </c>
      <c r="AQ44" s="69" t="n">
        <v>0.12</v>
      </c>
      <c r="AR44" s="69" t="n">
        <v>0.14</v>
      </c>
      <c r="AS44" s="69" t="n">
        <v>-0.04</v>
      </c>
      <c r="AT44" s="69" t="n">
        <v>0.12</v>
      </c>
      <c r="AU44" s="69" t="n">
        <v>0.31</v>
      </c>
      <c r="AV44" s="69" t="n">
        <v>0.1</v>
      </c>
      <c r="AW44" s="69" t="n">
        <v>-0.05</v>
      </c>
      <c r="AX44" s="69" t="n">
        <v>0.54</v>
      </c>
      <c r="AY44" s="69" t="n">
        <v>0.18</v>
      </c>
      <c r="AZ44" s="69" t="n">
        <v>-0.01</v>
      </c>
      <c r="BA44" s="69" t="n">
        <v>0.19</v>
      </c>
      <c r="BB44" s="69" t="n">
        <v>0.05</v>
      </c>
      <c r="BC44" s="69" t="n">
        <v>0.01</v>
      </c>
      <c r="BD44" s="69" t="n">
        <v>0.03</v>
      </c>
      <c r="BE44" s="69" t="n">
        <v>0.46</v>
      </c>
      <c r="BF44" s="69" t="n">
        <v>0.07</v>
      </c>
      <c r="BG44" s="69" t="n">
        <v>0.28</v>
      </c>
      <c r="BH44" s="69" t="n">
        <v>-0.01</v>
      </c>
      <c r="BI44" s="69" t="n">
        <v>-0.05</v>
      </c>
      <c r="BJ44" s="69" t="n">
        <v>-0.06</v>
      </c>
      <c r="BK44" s="69" t="n">
        <v>-0.02</v>
      </c>
      <c r="BL44" s="69" t="n">
        <v>0.15</v>
      </c>
      <c r="BM44" s="69" t="n">
        <v>0.21</v>
      </c>
      <c r="BN44" s="69" t="n">
        <v>0.21</v>
      </c>
      <c r="BO44" s="69" t="n">
        <v>0.06</v>
      </c>
      <c r="BP44" s="69" t="n">
        <v>-0.05</v>
      </c>
      <c r="BQ44" s="69" t="n">
        <v>-0.07</v>
      </c>
      <c r="BR44" s="69" t="n">
        <v>-0.02</v>
      </c>
      <c r="BS44" s="69" t="n">
        <v>0.06</v>
      </c>
      <c r="BT44" s="69" t="n">
        <v>0.12</v>
      </c>
      <c r="BU44" s="69" t="n">
        <v>-0.1</v>
      </c>
      <c r="BV44" s="69" t="n">
        <v>-0.1</v>
      </c>
      <c r="BW44" s="69" t="n">
        <v>0.07</v>
      </c>
      <c r="BX44" s="69" t="n">
        <v>0.42</v>
      </c>
      <c r="BY44" s="69" t="n">
        <v>0.13</v>
      </c>
      <c r="BZ44" s="69" t="n">
        <v>0.04</v>
      </c>
      <c r="CA44" s="69" t="n">
        <v>-0.03</v>
      </c>
      <c r="CB44" s="69" t="n">
        <v>-0.01</v>
      </c>
      <c r="CC44" s="69" t="n">
        <v>0.19</v>
      </c>
      <c r="CD44" s="69" t="n">
        <v>0.17</v>
      </c>
      <c r="CE44" s="69" t="n">
        <v>0.08</v>
      </c>
      <c r="CF44" s="69" t="n">
        <v>0.07</v>
      </c>
      <c r="CG44" s="69" t="n">
        <v>0.11</v>
      </c>
      <c r="CH44" s="69" t="n">
        <v>0</v>
      </c>
      <c r="CI44" s="69" t="n">
        <v>0.1</v>
      </c>
      <c r="CJ44" s="69" t="n">
        <v>0.18</v>
      </c>
      <c r="CK44" s="69" t="n">
        <v>0.12</v>
      </c>
      <c r="CL44" s="69" t="n">
        <v>0.14</v>
      </c>
      <c r="CM44" s="69" t="n">
        <v>-0.1</v>
      </c>
      <c r="CN44" s="69" t="n">
        <v>-0.01</v>
      </c>
      <c r="CO44" s="69" t="n">
        <v>-0.09</v>
      </c>
      <c r="CP44" s="69" t="n">
        <v>0.13</v>
      </c>
      <c r="CQ44" s="69" t="n">
        <v>0.12</v>
      </c>
      <c r="CR44" s="69" t="n">
        <v>-0.08</v>
      </c>
      <c r="CS44" s="69" t="n">
        <v>0.04</v>
      </c>
      <c r="CT44" s="69" t="n">
        <v>0.01</v>
      </c>
      <c r="CU44" s="69" t="n">
        <v>-0.08</v>
      </c>
      <c r="CV44" s="69" t="n">
        <v>-0.04</v>
      </c>
      <c r="CW44" s="69" t="n">
        <v>0.13</v>
      </c>
      <c r="CX44" s="69" t="n">
        <v>0.12</v>
      </c>
      <c r="CY44" s="69" t="n">
        <v>0.12</v>
      </c>
      <c r="CZ44" s="69" t="n">
        <v>0.02</v>
      </c>
      <c r="DA44" s="69" t="n">
        <v>0.18</v>
      </c>
      <c r="DB44" s="69" t="n">
        <v>-0.05</v>
      </c>
      <c r="DC44" s="69" t="n">
        <v>0</v>
      </c>
      <c r="DD44" s="69" t="n">
        <v>0.1</v>
      </c>
      <c r="DE44" s="69" t="n">
        <v>-0.01</v>
      </c>
      <c r="DF44" s="69" t="n">
        <v>0.05</v>
      </c>
      <c r="DG44" s="69" t="n">
        <v>0.04</v>
      </c>
      <c r="DH44" s="69" t="n">
        <v>-0.13</v>
      </c>
      <c r="DI44" s="69" t="n">
        <v>0.06</v>
      </c>
      <c r="DJ44" s="69" t="n">
        <v>0.15</v>
      </c>
      <c r="DK44" s="69" t="n">
        <v>0.08</v>
      </c>
      <c r="DL44" s="69" t="n">
        <v>-0.07</v>
      </c>
      <c r="DM44" s="69" t="n">
        <v>0.15</v>
      </c>
      <c r="DN44" s="69" t="n">
        <v>0.12</v>
      </c>
      <c r="DO44" s="69" t="n">
        <v>-0.01</v>
      </c>
      <c r="DP44" s="69" t="n">
        <v>0.14</v>
      </c>
      <c r="DQ44" s="69" t="n">
        <v>-0.14</v>
      </c>
      <c r="DR44" s="69" t="n">
        <v>0.04</v>
      </c>
      <c r="DS44" s="69" t="n">
        <v>-0.01</v>
      </c>
      <c r="DT44" s="69" t="n">
        <v>-0.16</v>
      </c>
      <c r="DU44" s="69" t="n">
        <v>-0.09</v>
      </c>
      <c r="DV44" s="69" t="n">
        <v>-0.02</v>
      </c>
      <c r="DW44" s="69" t="n">
        <v>0.03</v>
      </c>
      <c r="DX44" s="69" t="n">
        <v>-0.05</v>
      </c>
      <c r="DY44" s="69" t="n">
        <v>-0.01</v>
      </c>
      <c r="DZ44" s="69" t="n">
        <v>-0.02</v>
      </c>
      <c r="EA44" s="69" t="n">
        <v>0.1</v>
      </c>
      <c r="EB44" s="69" t="n">
        <v>0</v>
      </c>
      <c r="EC44" s="69" t="n">
        <v>-0.04</v>
      </c>
      <c r="ED44" s="69" t="n">
        <v>0.08</v>
      </c>
      <c r="EE44" s="69" t="n">
        <v>-0.06</v>
      </c>
      <c r="EF44" s="69" t="n">
        <v>0.01</v>
      </c>
      <c r="EG44" s="69" t="n">
        <v>-0.08</v>
      </c>
      <c r="EH44" s="69" t="n">
        <v>0.07</v>
      </c>
      <c r="EI44" s="69" t="n">
        <v>-0.1</v>
      </c>
      <c r="EJ44" s="69" t="n">
        <v>0.11</v>
      </c>
      <c r="EK44" s="69" t="n">
        <v>0</v>
      </c>
      <c r="EL44" s="69" t="n">
        <v>-0.06</v>
      </c>
      <c r="EM44" s="69" t="n">
        <v>-0.04</v>
      </c>
      <c r="EN44" s="69" t="n">
        <v>0.19</v>
      </c>
      <c r="EO44" s="69" t="n">
        <v>0.02</v>
      </c>
    </row>
    <row r="45" customFormat="false" ht="15" hidden="false" customHeight="false" outlineLevel="0" collapsed="false">
      <c r="A45" s="68" t="s">
        <v>265</v>
      </c>
      <c r="B45" s="69" t="n">
        <v>0.24</v>
      </c>
      <c r="C45" s="69" t="n">
        <v>-0.05</v>
      </c>
      <c r="D45" s="69" t="n">
        <v>0.03</v>
      </c>
      <c r="E45" s="69" t="n">
        <v>0.13</v>
      </c>
      <c r="F45" s="69" t="n">
        <v>0.29</v>
      </c>
      <c r="G45" s="69" t="n">
        <v>0.05</v>
      </c>
      <c r="H45" s="69" t="n">
        <v>0.03</v>
      </c>
      <c r="I45" s="69" t="n">
        <v>0.3</v>
      </c>
      <c r="J45" s="69" t="n">
        <v>0.12</v>
      </c>
      <c r="K45" s="69" t="n">
        <v>0.32</v>
      </c>
      <c r="L45" s="69" t="n">
        <v>0.09</v>
      </c>
      <c r="M45" s="69" t="n">
        <v>0.27</v>
      </c>
      <c r="N45" s="69" t="n">
        <v>0.39</v>
      </c>
      <c r="O45" s="69" t="n">
        <v>0.14</v>
      </c>
      <c r="P45" s="69" t="n">
        <v>0.18</v>
      </c>
      <c r="Q45" s="69" t="n">
        <v>0.08</v>
      </c>
      <c r="R45" s="69" t="n">
        <v>0.35</v>
      </c>
      <c r="S45" s="69" t="n">
        <v>0.1</v>
      </c>
      <c r="T45" s="69" t="n">
        <v>0.26</v>
      </c>
      <c r="U45" s="69" t="n">
        <v>0.19</v>
      </c>
      <c r="V45" s="69" t="n">
        <v>0.13</v>
      </c>
      <c r="W45" s="69" t="n">
        <v>0.1</v>
      </c>
      <c r="X45" s="69" t="n">
        <v>0.3</v>
      </c>
      <c r="Y45" s="69" t="n">
        <v>0.3</v>
      </c>
      <c r="Z45" s="69" t="n">
        <v>0.07</v>
      </c>
      <c r="AA45" s="69" t="n">
        <v>0.21</v>
      </c>
      <c r="AB45" s="69" t="n">
        <v>0.33</v>
      </c>
      <c r="AC45" s="69" t="n">
        <v>0.03</v>
      </c>
      <c r="AD45" s="69" t="n">
        <v>-0.03</v>
      </c>
      <c r="AE45" s="69" t="n">
        <v>0.08</v>
      </c>
      <c r="AF45" s="69" t="n">
        <v>0.05</v>
      </c>
      <c r="AG45" s="69" t="n">
        <v>0.18</v>
      </c>
      <c r="AH45" s="69" t="n">
        <v>0.22</v>
      </c>
      <c r="AI45" s="69" t="n">
        <v>-0.04</v>
      </c>
      <c r="AJ45" s="69" t="n">
        <v>0.09</v>
      </c>
      <c r="AK45" s="69" t="n">
        <v>0.13</v>
      </c>
      <c r="AL45" s="69" t="n">
        <v>0.29</v>
      </c>
      <c r="AM45" s="69" t="n">
        <v>0.12</v>
      </c>
      <c r="AN45" s="69" t="n">
        <v>0.42</v>
      </c>
      <c r="AO45" s="69" t="n">
        <v>0.13</v>
      </c>
      <c r="AP45" s="69" t="n">
        <v>1</v>
      </c>
      <c r="AQ45" s="69" t="n">
        <v>-0.06</v>
      </c>
      <c r="AR45" s="69" t="n">
        <v>0.21</v>
      </c>
      <c r="AS45" s="69" t="n">
        <v>0.12</v>
      </c>
      <c r="AT45" s="69" t="n">
        <v>0.37</v>
      </c>
      <c r="AU45" s="69" t="n">
        <v>0.14</v>
      </c>
      <c r="AV45" s="69" t="n">
        <v>0.17</v>
      </c>
      <c r="AW45" s="69" t="n">
        <v>0.13</v>
      </c>
      <c r="AX45" s="69" t="n">
        <v>0.27</v>
      </c>
      <c r="AY45" s="69" t="n">
        <v>0.26</v>
      </c>
      <c r="AZ45" s="69" t="n">
        <v>0.08</v>
      </c>
      <c r="BA45" s="69" t="n">
        <v>0.29</v>
      </c>
      <c r="BB45" s="69" t="n">
        <v>0.26</v>
      </c>
      <c r="BC45" s="69" t="n">
        <v>0.14</v>
      </c>
      <c r="BD45" s="69" t="n">
        <v>0.13</v>
      </c>
      <c r="BE45" s="69" t="n">
        <v>0.21</v>
      </c>
      <c r="BF45" s="69" t="n">
        <v>0.12</v>
      </c>
      <c r="BG45" s="69" t="n">
        <v>0.3</v>
      </c>
      <c r="BH45" s="69" t="n">
        <v>0.12</v>
      </c>
      <c r="BI45" s="69" t="n">
        <v>0.11</v>
      </c>
      <c r="BJ45" s="69" t="n">
        <v>-0.01</v>
      </c>
      <c r="BK45" s="69" t="n">
        <v>0.05</v>
      </c>
      <c r="BL45" s="69" t="n">
        <v>0.18</v>
      </c>
      <c r="BM45" s="69" t="n">
        <v>0.28</v>
      </c>
      <c r="BN45" s="69" t="n">
        <v>0.14</v>
      </c>
      <c r="BO45" s="69" t="n">
        <v>0.27</v>
      </c>
      <c r="BP45" s="69" t="n">
        <v>0.16</v>
      </c>
      <c r="BQ45" s="69" t="n">
        <v>0.15</v>
      </c>
      <c r="BR45" s="69" t="n">
        <v>0.41</v>
      </c>
      <c r="BS45" s="69" t="n">
        <v>-0.07</v>
      </c>
      <c r="BT45" s="69" t="n">
        <v>0.25</v>
      </c>
      <c r="BU45" s="69" t="n">
        <v>0.09</v>
      </c>
      <c r="BV45" s="69" t="n">
        <v>0.23</v>
      </c>
      <c r="BW45" s="69" t="n">
        <v>0.23</v>
      </c>
      <c r="BX45" s="69" t="n">
        <v>0.21</v>
      </c>
      <c r="BY45" s="69" t="n">
        <v>0.32</v>
      </c>
      <c r="BZ45" s="69" t="n">
        <v>0.21</v>
      </c>
      <c r="CA45" s="69" t="n">
        <v>0.07</v>
      </c>
      <c r="CB45" s="69" t="n">
        <v>0</v>
      </c>
      <c r="CC45" s="69" t="n">
        <v>0.16</v>
      </c>
      <c r="CD45" s="69" t="n">
        <v>0.33</v>
      </c>
      <c r="CE45" s="69" t="n">
        <v>0</v>
      </c>
      <c r="CF45" s="69" t="n">
        <v>-0.09</v>
      </c>
      <c r="CG45" s="69" t="n">
        <v>0.37</v>
      </c>
      <c r="CH45" s="69" t="n">
        <v>0.18</v>
      </c>
      <c r="CI45" s="69" t="n">
        <v>-0.06</v>
      </c>
      <c r="CJ45" s="69" t="n">
        <v>0.34</v>
      </c>
      <c r="CK45" s="69" t="n">
        <v>0.42</v>
      </c>
      <c r="CL45" s="69" t="n">
        <v>0.22</v>
      </c>
      <c r="CM45" s="69" t="n">
        <v>0.13</v>
      </c>
      <c r="CN45" s="69" t="n">
        <v>0.05</v>
      </c>
      <c r="CO45" s="69" t="n">
        <v>0.16</v>
      </c>
      <c r="CP45" s="69" t="n">
        <v>0.16</v>
      </c>
      <c r="CQ45" s="69" t="n">
        <v>0.33</v>
      </c>
      <c r="CR45" s="69" t="n">
        <v>0.1</v>
      </c>
      <c r="CS45" s="69" t="n">
        <v>0.06</v>
      </c>
      <c r="CT45" s="69" t="n">
        <v>0.36</v>
      </c>
      <c r="CU45" s="69" t="n">
        <v>0.13</v>
      </c>
      <c r="CV45" s="69" t="n">
        <v>0.17</v>
      </c>
      <c r="CW45" s="69" t="n">
        <v>0.34</v>
      </c>
      <c r="CX45" s="69" t="n">
        <v>0.26</v>
      </c>
      <c r="CY45" s="69" t="n">
        <v>0.32</v>
      </c>
      <c r="CZ45" s="69" t="n">
        <v>0.14</v>
      </c>
      <c r="DA45" s="69" t="n">
        <v>0.3</v>
      </c>
      <c r="DB45" s="69" t="n">
        <v>0.19</v>
      </c>
      <c r="DC45" s="69" t="n">
        <v>0.17</v>
      </c>
      <c r="DD45" s="69" t="n">
        <v>0.36</v>
      </c>
      <c r="DE45" s="69" t="n">
        <v>0.14</v>
      </c>
      <c r="DF45" s="69" t="n">
        <v>0.18</v>
      </c>
      <c r="DG45" s="69" t="n">
        <v>0.2</v>
      </c>
      <c r="DH45" s="69" t="n">
        <v>0.04</v>
      </c>
      <c r="DI45" s="69" t="n">
        <v>0.34</v>
      </c>
      <c r="DJ45" s="69" t="n">
        <v>0.39</v>
      </c>
      <c r="DK45" s="69" t="n">
        <v>0.33</v>
      </c>
      <c r="DL45" s="69" t="n">
        <v>0.1</v>
      </c>
      <c r="DM45" s="69" t="n">
        <v>0.41</v>
      </c>
      <c r="DN45" s="69" t="n">
        <v>0.36</v>
      </c>
      <c r="DO45" s="69" t="n">
        <v>0.16</v>
      </c>
      <c r="DP45" s="69" t="n">
        <v>0.34</v>
      </c>
      <c r="DQ45" s="69" t="n">
        <v>0.06</v>
      </c>
      <c r="DR45" s="69" t="n">
        <v>0.07</v>
      </c>
      <c r="DS45" s="69" t="n">
        <v>0.16</v>
      </c>
      <c r="DT45" s="69" t="n">
        <v>0.07</v>
      </c>
      <c r="DU45" s="69" t="n">
        <v>0.29</v>
      </c>
      <c r="DV45" s="69" t="n">
        <v>0.14</v>
      </c>
      <c r="DW45" s="69" t="n">
        <v>0.3</v>
      </c>
      <c r="DX45" s="69" t="n">
        <v>-0.04</v>
      </c>
      <c r="DY45" s="69" t="n">
        <v>0.35</v>
      </c>
      <c r="DZ45" s="69" t="n">
        <v>0.09</v>
      </c>
      <c r="EA45" s="69" t="n">
        <v>0.26</v>
      </c>
      <c r="EB45" s="69" t="n">
        <v>0.3</v>
      </c>
      <c r="EC45" s="69" t="n">
        <v>0</v>
      </c>
      <c r="ED45" s="69" t="n">
        <v>0.24</v>
      </c>
      <c r="EE45" s="69" t="n">
        <v>0.08</v>
      </c>
      <c r="EF45" s="69" t="n">
        <v>0.13</v>
      </c>
      <c r="EG45" s="69" t="n">
        <v>0.03</v>
      </c>
      <c r="EH45" s="69" t="n">
        <v>0.19</v>
      </c>
      <c r="EI45" s="69" t="n">
        <v>-0.09</v>
      </c>
      <c r="EJ45" s="69" t="n">
        <v>0.23</v>
      </c>
      <c r="EK45" s="69" t="n">
        <v>0.15</v>
      </c>
      <c r="EL45" s="69" t="n">
        <v>0.1</v>
      </c>
      <c r="EM45" s="69" t="n">
        <v>0.15</v>
      </c>
      <c r="EN45" s="69" t="n">
        <v>0.21</v>
      </c>
      <c r="EO45" s="69" t="n">
        <v>0.17</v>
      </c>
    </row>
    <row r="46" customFormat="false" ht="15" hidden="false" customHeight="false" outlineLevel="0" collapsed="false">
      <c r="A46" s="68" t="s">
        <v>267</v>
      </c>
      <c r="B46" s="69" t="n">
        <v>0.13</v>
      </c>
      <c r="C46" s="69" t="n">
        <v>0.02</v>
      </c>
      <c r="D46" s="69" t="n">
        <v>-0.09</v>
      </c>
      <c r="E46" s="69" t="n">
        <v>0.11</v>
      </c>
      <c r="F46" s="69" t="n">
        <v>0.26</v>
      </c>
      <c r="G46" s="69" t="n">
        <v>-0.01</v>
      </c>
      <c r="H46" s="69" t="n">
        <v>-0.08</v>
      </c>
      <c r="I46" s="69" t="n">
        <v>0.14</v>
      </c>
      <c r="J46" s="69" t="n">
        <v>0.21</v>
      </c>
      <c r="K46" s="69" t="n">
        <v>0.08</v>
      </c>
      <c r="L46" s="69" t="n">
        <v>0</v>
      </c>
      <c r="M46" s="69" t="n">
        <v>-0.11</v>
      </c>
      <c r="N46" s="69" t="n">
        <v>0.09</v>
      </c>
      <c r="O46" s="69" t="n">
        <v>-0.01</v>
      </c>
      <c r="P46" s="69" t="n">
        <v>0.27</v>
      </c>
      <c r="Q46" s="69" t="n">
        <v>-0.05</v>
      </c>
      <c r="R46" s="69" t="n">
        <v>0.25</v>
      </c>
      <c r="S46" s="69" t="n">
        <v>-0.13</v>
      </c>
      <c r="T46" s="69" t="n">
        <v>-0.01</v>
      </c>
      <c r="U46" s="69" t="n">
        <v>-0.1</v>
      </c>
      <c r="V46" s="69" t="n">
        <v>-0.06</v>
      </c>
      <c r="W46" s="69" t="n">
        <v>0.06</v>
      </c>
      <c r="X46" s="69" t="n">
        <v>0</v>
      </c>
      <c r="Y46" s="69" t="n">
        <v>0.08</v>
      </c>
      <c r="Z46" s="69" t="n">
        <v>-0.01</v>
      </c>
      <c r="AA46" s="69" t="n">
        <v>-0.08</v>
      </c>
      <c r="AB46" s="69" t="n">
        <v>0.08</v>
      </c>
      <c r="AC46" s="69" t="n">
        <v>0.08</v>
      </c>
      <c r="AD46" s="69" t="n">
        <v>0.05</v>
      </c>
      <c r="AE46" s="69" t="n">
        <v>-0.23</v>
      </c>
      <c r="AF46" s="69" t="n">
        <v>-0.06</v>
      </c>
      <c r="AG46" s="69" t="n">
        <v>0.28</v>
      </c>
      <c r="AH46" s="69" t="n">
        <v>0.25</v>
      </c>
      <c r="AI46" s="69" t="n">
        <v>0.86</v>
      </c>
      <c r="AJ46" s="69" t="n">
        <v>-0.04</v>
      </c>
      <c r="AK46" s="69" t="n">
        <v>-0.07</v>
      </c>
      <c r="AL46" s="69" t="n">
        <v>0.01</v>
      </c>
      <c r="AM46" s="69" t="n">
        <v>-0.15</v>
      </c>
      <c r="AN46" s="69" t="n">
        <v>-0.13</v>
      </c>
      <c r="AO46" s="69" t="n">
        <v>0.12</v>
      </c>
      <c r="AP46" s="69" t="n">
        <v>-0.06</v>
      </c>
      <c r="AQ46" s="69" t="n">
        <v>1</v>
      </c>
      <c r="AR46" s="69" t="n">
        <v>0.03</v>
      </c>
      <c r="AS46" s="69" t="n">
        <v>-0.11</v>
      </c>
      <c r="AT46" s="69" t="n">
        <v>-0.08</v>
      </c>
      <c r="AU46" s="69" t="n">
        <v>0.18</v>
      </c>
      <c r="AV46" s="69" t="n">
        <v>0.04</v>
      </c>
      <c r="AW46" s="69" t="n">
        <v>-0.05</v>
      </c>
      <c r="AX46" s="69" t="n">
        <v>0.05</v>
      </c>
      <c r="AY46" s="69" t="n">
        <v>0.05</v>
      </c>
      <c r="AZ46" s="69" t="n">
        <v>-0.19</v>
      </c>
      <c r="BA46" s="69" t="n">
        <v>-0.02</v>
      </c>
      <c r="BB46" s="69" t="n">
        <v>-0.12</v>
      </c>
      <c r="BC46" s="69" t="n">
        <v>-0.03</v>
      </c>
      <c r="BD46" s="69" t="n">
        <v>-0.12</v>
      </c>
      <c r="BE46" s="69" t="n">
        <v>0.12</v>
      </c>
      <c r="BF46" s="69" t="n">
        <v>0.01</v>
      </c>
      <c r="BG46" s="69" t="n">
        <v>-0.01</v>
      </c>
      <c r="BH46" s="69" t="n">
        <v>-0.14</v>
      </c>
      <c r="BI46" s="69" t="n">
        <v>-0.04</v>
      </c>
      <c r="BJ46" s="69" t="n">
        <v>-0.02</v>
      </c>
      <c r="BK46" s="69" t="n">
        <v>-0.14</v>
      </c>
      <c r="BL46" s="69" t="n">
        <v>-0.04</v>
      </c>
      <c r="BM46" s="69" t="n">
        <v>0.05</v>
      </c>
      <c r="BN46" s="69" t="n">
        <v>0.12</v>
      </c>
      <c r="BO46" s="69" t="n">
        <v>-0.17</v>
      </c>
      <c r="BP46" s="69" t="n">
        <v>-0.07</v>
      </c>
      <c r="BQ46" s="69" t="n">
        <v>-0.14</v>
      </c>
      <c r="BR46" s="69" t="n">
        <v>-0.05</v>
      </c>
      <c r="BS46" s="69" t="n">
        <v>0.74</v>
      </c>
      <c r="BT46" s="69" t="n">
        <v>-0.24</v>
      </c>
      <c r="BU46" s="69" t="n">
        <v>-0.06</v>
      </c>
      <c r="BV46" s="69" t="n">
        <v>-0.17</v>
      </c>
      <c r="BW46" s="69" t="n">
        <v>0.01</v>
      </c>
      <c r="BX46" s="69" t="n">
        <v>-0.01</v>
      </c>
      <c r="BY46" s="69" t="n">
        <v>-0.13</v>
      </c>
      <c r="BZ46" s="69" t="n">
        <v>-0.2</v>
      </c>
      <c r="CA46" s="69" t="n">
        <v>-0.1</v>
      </c>
      <c r="CB46" s="69" t="n">
        <v>0.16</v>
      </c>
      <c r="CC46" s="69" t="n">
        <v>0.01</v>
      </c>
      <c r="CD46" s="69" t="n">
        <v>-0.08</v>
      </c>
      <c r="CE46" s="69" t="n">
        <v>0.11</v>
      </c>
      <c r="CF46" s="69" t="n">
        <v>0.78</v>
      </c>
      <c r="CG46" s="69" t="n">
        <v>-0.15</v>
      </c>
      <c r="CH46" s="69" t="n">
        <v>-0.12</v>
      </c>
      <c r="CI46" s="69" t="n">
        <v>0.78</v>
      </c>
      <c r="CJ46" s="69" t="n">
        <v>0.08</v>
      </c>
      <c r="CK46" s="69" t="n">
        <v>0.08</v>
      </c>
      <c r="CL46" s="69" t="n">
        <v>-0.17</v>
      </c>
      <c r="CM46" s="69" t="n">
        <v>-0.14</v>
      </c>
      <c r="CN46" s="69" t="n">
        <v>0.06</v>
      </c>
      <c r="CO46" s="69" t="n">
        <v>-0.07</v>
      </c>
      <c r="CP46" s="69" t="n">
        <v>0.08</v>
      </c>
      <c r="CQ46" s="69" t="n">
        <v>-0.26</v>
      </c>
      <c r="CR46" s="69" t="n">
        <v>-0.18</v>
      </c>
      <c r="CS46" s="69" t="n">
        <v>-0.03</v>
      </c>
      <c r="CT46" s="69" t="n">
        <v>-0.08</v>
      </c>
      <c r="CU46" s="69" t="n">
        <v>-0.02</v>
      </c>
      <c r="CV46" s="69" t="n">
        <v>-0.18</v>
      </c>
      <c r="CW46" s="69" t="n">
        <v>-0.1</v>
      </c>
      <c r="CX46" s="69" t="n">
        <v>-0.13</v>
      </c>
      <c r="CY46" s="69" t="n">
        <v>-0.26</v>
      </c>
      <c r="CZ46" s="69" t="n">
        <v>0.02</v>
      </c>
      <c r="DA46" s="69" t="n">
        <v>-0.06</v>
      </c>
      <c r="DB46" s="69" t="n">
        <v>-0.12</v>
      </c>
      <c r="DC46" s="69" t="n">
        <v>-0.35</v>
      </c>
      <c r="DD46" s="69" t="n">
        <v>-0.16</v>
      </c>
      <c r="DE46" s="69" t="n">
        <v>-0.09</v>
      </c>
      <c r="DF46" s="69" t="n">
        <v>0.03</v>
      </c>
      <c r="DG46" s="69" t="n">
        <v>-0.09</v>
      </c>
      <c r="DH46" s="69" t="n">
        <v>-0.11</v>
      </c>
      <c r="DI46" s="69" t="n">
        <v>-0.35</v>
      </c>
      <c r="DJ46" s="69" t="n">
        <v>-0.2</v>
      </c>
      <c r="DK46" s="69" t="n">
        <v>-0.35</v>
      </c>
      <c r="DL46" s="69" t="n">
        <v>-0.21</v>
      </c>
      <c r="DM46" s="69" t="n">
        <v>-0.28</v>
      </c>
      <c r="DN46" s="69" t="n">
        <v>-0.05</v>
      </c>
      <c r="DO46" s="69" t="n">
        <v>-0.06</v>
      </c>
      <c r="DP46" s="69" t="n">
        <v>-0.28</v>
      </c>
      <c r="DQ46" s="69" t="n">
        <v>-0.07</v>
      </c>
      <c r="DR46" s="69" t="n">
        <v>0.07</v>
      </c>
      <c r="DS46" s="69" t="n">
        <v>-0.04</v>
      </c>
      <c r="DT46" s="69" t="n">
        <v>-0.1</v>
      </c>
      <c r="DU46" s="69" t="n">
        <v>-0.15</v>
      </c>
      <c r="DV46" s="69" t="n">
        <v>-0.02</v>
      </c>
      <c r="DW46" s="69" t="n">
        <v>-0.19</v>
      </c>
      <c r="DX46" s="69" t="n">
        <v>-0.13</v>
      </c>
      <c r="DY46" s="69" t="n">
        <v>-0.17</v>
      </c>
      <c r="DZ46" s="69" t="n">
        <v>-0.04</v>
      </c>
      <c r="EA46" s="69" t="n">
        <v>-0.17</v>
      </c>
      <c r="EB46" s="69" t="n">
        <v>-0.13</v>
      </c>
      <c r="EC46" s="69" t="n">
        <v>0</v>
      </c>
      <c r="ED46" s="69" t="n">
        <v>-0.09</v>
      </c>
      <c r="EE46" s="69" t="n">
        <v>-0.16</v>
      </c>
      <c r="EF46" s="69" t="n">
        <v>0.02</v>
      </c>
      <c r="EG46" s="69" t="n">
        <v>-0.15</v>
      </c>
      <c r="EH46" s="69" t="n">
        <v>-0.07</v>
      </c>
      <c r="EI46" s="69" t="n">
        <v>-0.16</v>
      </c>
      <c r="EJ46" s="69" t="n">
        <v>-0.06</v>
      </c>
      <c r="EK46" s="69" t="n">
        <v>0.02</v>
      </c>
      <c r="EL46" s="69" t="n">
        <v>-0.14</v>
      </c>
      <c r="EM46" s="69" t="n">
        <v>-0.06</v>
      </c>
      <c r="EN46" s="69" t="n">
        <v>-0.06</v>
      </c>
      <c r="EO46" s="69" t="n">
        <v>-0.01</v>
      </c>
    </row>
    <row r="47" customFormat="false" ht="15" hidden="false" customHeight="false" outlineLevel="0" collapsed="false">
      <c r="A47" s="68" t="s">
        <v>268</v>
      </c>
      <c r="B47" s="69" t="n">
        <v>0.24</v>
      </c>
      <c r="C47" s="69" t="n">
        <v>0</v>
      </c>
      <c r="D47" s="69" t="n">
        <v>0.06</v>
      </c>
      <c r="E47" s="69" t="n">
        <v>0.08</v>
      </c>
      <c r="F47" s="69" t="n">
        <v>0.06</v>
      </c>
      <c r="G47" s="69" t="n">
        <v>0</v>
      </c>
      <c r="H47" s="69" t="n">
        <v>-0.01</v>
      </c>
      <c r="I47" s="69" t="n">
        <v>0.2</v>
      </c>
      <c r="J47" s="69" t="n">
        <v>0.09</v>
      </c>
      <c r="K47" s="69" t="n">
        <v>0.14</v>
      </c>
      <c r="L47" s="69" t="n">
        <v>-0.01</v>
      </c>
      <c r="M47" s="69" t="n">
        <v>0.25</v>
      </c>
      <c r="N47" s="69" t="n">
        <v>0.2</v>
      </c>
      <c r="O47" s="69" t="n">
        <v>0.06</v>
      </c>
      <c r="P47" s="69" t="n">
        <v>0.11</v>
      </c>
      <c r="Q47" s="69" t="n">
        <v>0.03</v>
      </c>
      <c r="R47" s="69" t="n">
        <v>0.16</v>
      </c>
      <c r="S47" s="69" t="n">
        <v>0.02</v>
      </c>
      <c r="T47" s="69" t="n">
        <v>0.82</v>
      </c>
      <c r="U47" s="69" t="n">
        <v>0.11</v>
      </c>
      <c r="V47" s="69" t="n">
        <v>-0.05</v>
      </c>
      <c r="W47" s="69" t="n">
        <v>0.1</v>
      </c>
      <c r="X47" s="69" t="n">
        <v>0.75</v>
      </c>
      <c r="Y47" s="69" t="n">
        <v>0.35</v>
      </c>
      <c r="Z47" s="69" t="n">
        <v>0.03</v>
      </c>
      <c r="AA47" s="69" t="n">
        <v>0.15</v>
      </c>
      <c r="AB47" s="69" t="n">
        <v>0.37</v>
      </c>
      <c r="AC47" s="69" t="n">
        <v>-0.01</v>
      </c>
      <c r="AD47" s="69" t="n">
        <v>-0.02</v>
      </c>
      <c r="AE47" s="69" t="n">
        <v>0.16</v>
      </c>
      <c r="AF47" s="69" t="n">
        <v>0.09</v>
      </c>
      <c r="AG47" s="69" t="n">
        <v>0.11</v>
      </c>
      <c r="AH47" s="69" t="n">
        <v>0.11</v>
      </c>
      <c r="AI47" s="69" t="n">
        <v>0.11</v>
      </c>
      <c r="AJ47" s="69" t="n">
        <v>0.02</v>
      </c>
      <c r="AK47" s="69" t="n">
        <v>0.07</v>
      </c>
      <c r="AL47" s="69" t="n">
        <v>0.3</v>
      </c>
      <c r="AM47" s="69" t="n">
        <v>0.14</v>
      </c>
      <c r="AN47" s="69" t="n">
        <v>0.27</v>
      </c>
      <c r="AO47" s="69" t="n">
        <v>0.14</v>
      </c>
      <c r="AP47" s="69" t="n">
        <v>0.21</v>
      </c>
      <c r="AQ47" s="69" t="n">
        <v>0.03</v>
      </c>
      <c r="AR47" s="69" t="n">
        <v>1</v>
      </c>
      <c r="AS47" s="69" t="n">
        <v>0.07</v>
      </c>
      <c r="AT47" s="69" t="n">
        <v>0.58</v>
      </c>
      <c r="AU47" s="69" t="n">
        <v>0.09</v>
      </c>
      <c r="AV47" s="69" t="n">
        <v>0.11</v>
      </c>
      <c r="AW47" s="69" t="n">
        <v>0.01</v>
      </c>
      <c r="AX47" s="69" t="n">
        <v>0.27</v>
      </c>
      <c r="AY47" s="69" t="n">
        <v>0.18</v>
      </c>
      <c r="AZ47" s="69" t="n">
        <v>0.1</v>
      </c>
      <c r="BA47" s="69" t="n">
        <v>0.32</v>
      </c>
      <c r="BB47" s="69" t="n">
        <v>0.7</v>
      </c>
      <c r="BC47" s="69" t="n">
        <v>0.06</v>
      </c>
      <c r="BD47" s="69" t="n">
        <v>0.16</v>
      </c>
      <c r="BE47" s="69" t="n">
        <v>0.16</v>
      </c>
      <c r="BF47" s="69" t="n">
        <v>0.12</v>
      </c>
      <c r="BG47" s="69" t="n">
        <v>0.25</v>
      </c>
      <c r="BH47" s="69" t="n">
        <v>0.09</v>
      </c>
      <c r="BI47" s="69" t="n">
        <v>0.1</v>
      </c>
      <c r="BJ47" s="69" t="n">
        <v>0.08</v>
      </c>
      <c r="BK47" s="69" t="n">
        <v>0.19</v>
      </c>
      <c r="BL47" s="69" t="n">
        <v>0.32</v>
      </c>
      <c r="BM47" s="69" t="n">
        <v>0.22</v>
      </c>
      <c r="BN47" s="69" t="n">
        <v>0.18</v>
      </c>
      <c r="BO47" s="69" t="n">
        <v>0.21</v>
      </c>
      <c r="BP47" s="69" t="n">
        <v>0.16</v>
      </c>
      <c r="BQ47" s="69" t="n">
        <v>0.24</v>
      </c>
      <c r="BR47" s="69" t="n">
        <v>0.32</v>
      </c>
      <c r="BS47" s="69" t="n">
        <v>0.03</v>
      </c>
      <c r="BT47" s="69" t="n">
        <v>0.39</v>
      </c>
      <c r="BU47" s="69" t="n">
        <v>0.21</v>
      </c>
      <c r="BV47" s="69" t="n">
        <v>0.25</v>
      </c>
      <c r="BW47" s="69" t="n">
        <v>0.17</v>
      </c>
      <c r="BX47" s="69" t="n">
        <v>0.11</v>
      </c>
      <c r="BY47" s="69" t="n">
        <v>0.28</v>
      </c>
      <c r="BZ47" s="69" t="n">
        <v>0.32</v>
      </c>
      <c r="CA47" s="69" t="n">
        <v>-0.03</v>
      </c>
      <c r="CB47" s="69" t="n">
        <v>0.07</v>
      </c>
      <c r="CC47" s="69" t="n">
        <v>0.16</v>
      </c>
      <c r="CD47" s="69" t="n">
        <v>0.2</v>
      </c>
      <c r="CE47" s="69" t="n">
        <v>0.28</v>
      </c>
      <c r="CF47" s="69" t="n">
        <v>0.05</v>
      </c>
      <c r="CG47" s="69" t="n">
        <v>0.32</v>
      </c>
      <c r="CH47" s="69" t="n">
        <v>0.14</v>
      </c>
      <c r="CI47" s="69" t="n">
        <v>0.04</v>
      </c>
      <c r="CJ47" s="69" t="n">
        <v>0.08</v>
      </c>
      <c r="CK47" s="69" t="n">
        <v>0.19</v>
      </c>
      <c r="CL47" s="69" t="n">
        <v>0.19</v>
      </c>
      <c r="CM47" s="69" t="n">
        <v>0.14</v>
      </c>
      <c r="CN47" s="69" t="n">
        <v>0.03</v>
      </c>
      <c r="CO47" s="69" t="n">
        <v>0.03</v>
      </c>
      <c r="CP47" s="69" t="n">
        <v>0.13</v>
      </c>
      <c r="CQ47" s="69" t="n">
        <v>0.43</v>
      </c>
      <c r="CR47" s="69" t="n">
        <v>0.16</v>
      </c>
      <c r="CS47" s="69" t="n">
        <v>0.33</v>
      </c>
      <c r="CT47" s="69" t="n">
        <v>0.21</v>
      </c>
      <c r="CU47" s="69" t="n">
        <v>0.15</v>
      </c>
      <c r="CV47" s="69" t="n">
        <v>0.28</v>
      </c>
      <c r="CW47" s="69" t="n">
        <v>0.27</v>
      </c>
      <c r="CX47" s="69" t="n">
        <v>0.37</v>
      </c>
      <c r="CY47" s="69" t="n">
        <v>0.4</v>
      </c>
      <c r="CZ47" s="69" t="n">
        <v>0.19</v>
      </c>
      <c r="DA47" s="69" t="n">
        <v>0.17</v>
      </c>
      <c r="DB47" s="69" t="n">
        <v>0.14</v>
      </c>
      <c r="DC47" s="69" t="n">
        <v>0.23</v>
      </c>
      <c r="DD47" s="69" t="n">
        <v>0.21</v>
      </c>
      <c r="DE47" s="69" t="n">
        <v>0.2</v>
      </c>
      <c r="DF47" s="69" t="n">
        <v>0.14</v>
      </c>
      <c r="DG47" s="69" t="n">
        <v>0.16</v>
      </c>
      <c r="DH47" s="69" t="n">
        <v>0.13</v>
      </c>
      <c r="DI47" s="69" t="n">
        <v>0.35</v>
      </c>
      <c r="DJ47" s="69" t="n">
        <v>0.35</v>
      </c>
      <c r="DK47" s="69" t="n">
        <v>0.43</v>
      </c>
      <c r="DL47" s="69" t="n">
        <v>-0.01</v>
      </c>
      <c r="DM47" s="69" t="n">
        <v>0.38</v>
      </c>
      <c r="DN47" s="69" t="n">
        <v>0.21</v>
      </c>
      <c r="DO47" s="69" t="n">
        <v>0.2</v>
      </c>
      <c r="DP47" s="69" t="n">
        <v>0.31</v>
      </c>
      <c r="DQ47" s="69" t="n">
        <v>0.15</v>
      </c>
      <c r="DR47" s="69" t="n">
        <v>0.22</v>
      </c>
      <c r="DS47" s="69" t="n">
        <v>0.17</v>
      </c>
      <c r="DT47" s="69" t="n">
        <v>0.15</v>
      </c>
      <c r="DU47" s="69" t="n">
        <v>0.32</v>
      </c>
      <c r="DV47" s="69" t="n">
        <v>0.14</v>
      </c>
      <c r="DW47" s="69" t="n">
        <v>0.24</v>
      </c>
      <c r="DX47" s="69" t="n">
        <v>0.19</v>
      </c>
      <c r="DY47" s="69" t="n">
        <v>0.29</v>
      </c>
      <c r="DZ47" s="69" t="n">
        <v>0.11</v>
      </c>
      <c r="EA47" s="69" t="n">
        <v>0.12</v>
      </c>
      <c r="EB47" s="69" t="n">
        <v>0.33</v>
      </c>
      <c r="EC47" s="69" t="n">
        <v>0.01</v>
      </c>
      <c r="ED47" s="69" t="n">
        <v>0.15</v>
      </c>
      <c r="EE47" s="69" t="n">
        <v>0.14</v>
      </c>
      <c r="EF47" s="69" t="n">
        <v>0.28</v>
      </c>
      <c r="EG47" s="69" t="n">
        <v>0.08</v>
      </c>
      <c r="EH47" s="69" t="n">
        <v>0.15</v>
      </c>
      <c r="EI47" s="69" t="n">
        <v>0.03</v>
      </c>
      <c r="EJ47" s="69" t="n">
        <v>0.22</v>
      </c>
      <c r="EK47" s="69" t="n">
        <v>0.19</v>
      </c>
      <c r="EL47" s="69" t="n">
        <v>0.16</v>
      </c>
      <c r="EM47" s="69" t="n">
        <v>0.1</v>
      </c>
      <c r="EN47" s="69" t="n">
        <v>0</v>
      </c>
      <c r="EO47" s="69" t="n">
        <v>0.06</v>
      </c>
    </row>
    <row r="48" customFormat="false" ht="15" hidden="false" customHeight="false" outlineLevel="0" collapsed="false">
      <c r="A48" s="68" t="s">
        <v>269</v>
      </c>
      <c r="B48" s="69" t="n">
        <v>-0.12</v>
      </c>
      <c r="C48" s="69" t="n">
        <v>0.11</v>
      </c>
      <c r="D48" s="69" t="n">
        <v>0.12</v>
      </c>
      <c r="E48" s="69" t="n">
        <v>0.18</v>
      </c>
      <c r="F48" s="69" t="n">
        <v>0.01</v>
      </c>
      <c r="G48" s="69" t="n">
        <v>0.15</v>
      </c>
      <c r="H48" s="69" t="n">
        <v>0.31</v>
      </c>
      <c r="I48" s="69" t="n">
        <v>-0.01</v>
      </c>
      <c r="J48" s="69" t="n">
        <v>0.06</v>
      </c>
      <c r="K48" s="69" t="n">
        <v>0.01</v>
      </c>
      <c r="L48" s="69" t="n">
        <v>0.2</v>
      </c>
      <c r="M48" s="69" t="n">
        <v>0.24</v>
      </c>
      <c r="N48" s="69" t="n">
        <v>0.06</v>
      </c>
      <c r="O48" s="69" t="n">
        <v>0.24</v>
      </c>
      <c r="P48" s="69" t="n">
        <v>0.04</v>
      </c>
      <c r="Q48" s="69" t="n">
        <v>0.02</v>
      </c>
      <c r="R48" s="69" t="n">
        <v>0.02</v>
      </c>
      <c r="S48" s="69" t="n">
        <v>0.21</v>
      </c>
      <c r="T48" s="69" t="n">
        <v>0.11</v>
      </c>
      <c r="U48" s="69" t="n">
        <v>0.48</v>
      </c>
      <c r="V48" s="69" t="n">
        <v>0.3</v>
      </c>
      <c r="W48" s="69" t="n">
        <v>0.22</v>
      </c>
      <c r="X48" s="69" t="n">
        <v>0.12</v>
      </c>
      <c r="Y48" s="69" t="n">
        <v>0.05</v>
      </c>
      <c r="Z48" s="69" t="n">
        <v>0.3</v>
      </c>
      <c r="AA48" s="69" t="n">
        <v>0.24</v>
      </c>
      <c r="AB48" s="69" t="n">
        <v>-0.03</v>
      </c>
      <c r="AC48" s="69" t="n">
        <v>0.08</v>
      </c>
      <c r="AD48" s="69" t="n">
        <v>0.15</v>
      </c>
      <c r="AE48" s="69" t="n">
        <v>0.37</v>
      </c>
      <c r="AF48" s="69" t="n">
        <v>0.4</v>
      </c>
      <c r="AG48" s="69" t="n">
        <v>-0.09</v>
      </c>
      <c r="AH48" s="69" t="n">
        <v>-0.06</v>
      </c>
      <c r="AI48" s="69" t="n">
        <v>-0.21</v>
      </c>
      <c r="AJ48" s="69" t="n">
        <v>0.28</v>
      </c>
      <c r="AK48" s="69" t="n">
        <v>0.48</v>
      </c>
      <c r="AL48" s="69" t="n">
        <v>0.12</v>
      </c>
      <c r="AM48" s="69" t="n">
        <v>0.19</v>
      </c>
      <c r="AN48" s="69" t="n">
        <v>0.22</v>
      </c>
      <c r="AO48" s="69" t="n">
        <v>-0.04</v>
      </c>
      <c r="AP48" s="69" t="n">
        <v>0.12</v>
      </c>
      <c r="AQ48" s="69" t="n">
        <v>-0.11</v>
      </c>
      <c r="AR48" s="69" t="n">
        <v>0.07</v>
      </c>
      <c r="AS48" s="69" t="n">
        <v>1</v>
      </c>
      <c r="AT48" s="69" t="n">
        <v>0.13</v>
      </c>
      <c r="AU48" s="69" t="n">
        <v>0</v>
      </c>
      <c r="AV48" s="69" t="n">
        <v>0.22</v>
      </c>
      <c r="AW48" s="69" t="n">
        <v>0.28</v>
      </c>
      <c r="AX48" s="69" t="n">
        <v>0.04</v>
      </c>
      <c r="AY48" s="69" t="n">
        <v>0.02</v>
      </c>
      <c r="AZ48" s="69" t="n">
        <v>0.28</v>
      </c>
      <c r="BA48" s="69" t="n">
        <v>0.14</v>
      </c>
      <c r="BB48" s="69" t="n">
        <v>0.15</v>
      </c>
      <c r="BC48" s="69" t="n">
        <v>0.13</v>
      </c>
      <c r="BD48" s="69" t="n">
        <v>0.51</v>
      </c>
      <c r="BE48" s="69" t="n">
        <v>0.05</v>
      </c>
      <c r="BF48" s="69" t="n">
        <v>0.31</v>
      </c>
      <c r="BG48" s="69" t="n">
        <v>0.09</v>
      </c>
      <c r="BH48" s="69" t="n">
        <v>0.33</v>
      </c>
      <c r="BI48" s="69" t="n">
        <v>0.04</v>
      </c>
      <c r="BJ48" s="69" t="n">
        <v>0.07</v>
      </c>
      <c r="BK48" s="69" t="n">
        <v>0.19</v>
      </c>
      <c r="BL48" s="69" t="n">
        <v>0.25</v>
      </c>
      <c r="BM48" s="69" t="n">
        <v>0.04</v>
      </c>
      <c r="BN48" s="69" t="n">
        <v>-0.02</v>
      </c>
      <c r="BO48" s="69" t="n">
        <v>0.19</v>
      </c>
      <c r="BP48" s="69" t="n">
        <v>0.04</v>
      </c>
      <c r="BQ48" s="69" t="n">
        <v>0.29</v>
      </c>
      <c r="BR48" s="69" t="n">
        <v>0.13</v>
      </c>
      <c r="BS48" s="69" t="n">
        <v>-0.14</v>
      </c>
      <c r="BT48" s="69" t="n">
        <v>0.15</v>
      </c>
      <c r="BU48" s="69" t="n">
        <v>0.27</v>
      </c>
      <c r="BV48" s="69" t="n">
        <v>0.06</v>
      </c>
      <c r="BW48" s="69" t="n">
        <v>0.26</v>
      </c>
      <c r="BX48" s="69" t="n">
        <v>-0.01</v>
      </c>
      <c r="BY48" s="69" t="n">
        <v>0.18</v>
      </c>
      <c r="BZ48" s="69" t="n">
        <v>0.14</v>
      </c>
      <c r="CA48" s="69" t="n">
        <v>0.34</v>
      </c>
      <c r="CB48" s="69" t="n">
        <v>0.1</v>
      </c>
      <c r="CC48" s="69" t="n">
        <v>0.01</v>
      </c>
      <c r="CD48" s="69" t="n">
        <v>0.09</v>
      </c>
      <c r="CE48" s="69" t="n">
        <v>0.08</v>
      </c>
      <c r="CF48" s="69" t="n">
        <v>-0.16</v>
      </c>
      <c r="CG48" s="69" t="n">
        <v>0.07</v>
      </c>
      <c r="CH48" s="69" t="n">
        <v>0.42</v>
      </c>
      <c r="CI48" s="69" t="n">
        <v>-0.2</v>
      </c>
      <c r="CJ48" s="69" t="n">
        <v>0.07</v>
      </c>
      <c r="CK48" s="69" t="n">
        <v>0.04</v>
      </c>
      <c r="CL48" s="69" t="n">
        <v>0.12</v>
      </c>
      <c r="CM48" s="69" t="n">
        <v>0.15</v>
      </c>
      <c r="CN48" s="69" t="n">
        <v>0.23</v>
      </c>
      <c r="CO48" s="69" t="n">
        <v>0.2</v>
      </c>
      <c r="CP48" s="69" t="n">
        <v>0.1</v>
      </c>
      <c r="CQ48" s="69" t="n">
        <v>0.13</v>
      </c>
      <c r="CR48" s="69" t="n">
        <v>0.18</v>
      </c>
      <c r="CS48" s="69" t="n">
        <v>0.14</v>
      </c>
      <c r="CT48" s="69" t="n">
        <v>0.25</v>
      </c>
      <c r="CU48" s="69" t="n">
        <v>0.18</v>
      </c>
      <c r="CV48" s="69" t="n">
        <v>0.07</v>
      </c>
      <c r="CW48" s="69" t="n">
        <v>0.17</v>
      </c>
      <c r="CX48" s="69" t="n">
        <v>0.18</v>
      </c>
      <c r="CY48" s="69" t="n">
        <v>0.09</v>
      </c>
      <c r="CZ48" s="69" t="n">
        <v>0.07</v>
      </c>
      <c r="DA48" s="69" t="n">
        <v>0.08</v>
      </c>
      <c r="DB48" s="69" t="n">
        <v>0.2</v>
      </c>
      <c r="DC48" s="69" t="n">
        <v>0.27</v>
      </c>
      <c r="DD48" s="69" t="n">
        <v>0.15</v>
      </c>
      <c r="DE48" s="69" t="n">
        <v>0.25</v>
      </c>
      <c r="DF48" s="69" t="n">
        <v>-0.01</v>
      </c>
      <c r="DG48" s="69" t="n">
        <v>0.2</v>
      </c>
      <c r="DH48" s="69" t="n">
        <v>0.06</v>
      </c>
      <c r="DI48" s="69" t="n">
        <v>0.07</v>
      </c>
      <c r="DJ48" s="69" t="n">
        <v>0.09</v>
      </c>
      <c r="DK48" s="69" t="n">
        <v>0.14</v>
      </c>
      <c r="DL48" s="69" t="n">
        <v>0.3</v>
      </c>
      <c r="DM48" s="69" t="n">
        <v>0.13</v>
      </c>
      <c r="DN48" s="69" t="n">
        <v>0.08</v>
      </c>
      <c r="DO48" s="69" t="n">
        <v>0.09</v>
      </c>
      <c r="DP48" s="69" t="n">
        <v>0.15</v>
      </c>
      <c r="DQ48" s="69" t="n">
        <v>0.07</v>
      </c>
      <c r="DR48" s="69" t="n">
        <v>0.09</v>
      </c>
      <c r="DS48" s="69" t="n">
        <v>0.02</v>
      </c>
      <c r="DT48" s="69" t="n">
        <v>0.02</v>
      </c>
      <c r="DU48" s="69" t="n">
        <v>0.13</v>
      </c>
      <c r="DV48" s="69" t="n">
        <v>0.04</v>
      </c>
      <c r="DW48" s="69" t="n">
        <v>0.07</v>
      </c>
      <c r="DX48" s="69" t="n">
        <v>0.11</v>
      </c>
      <c r="DY48" s="69" t="n">
        <v>0.07</v>
      </c>
      <c r="DZ48" s="69" t="n">
        <v>0.03</v>
      </c>
      <c r="EA48" s="69" t="n">
        <v>0.1</v>
      </c>
      <c r="EB48" s="69" t="n">
        <v>0.09</v>
      </c>
      <c r="EC48" s="69" t="n">
        <v>0.15</v>
      </c>
      <c r="ED48" s="69" t="n">
        <v>0.12</v>
      </c>
      <c r="EE48" s="69" t="n">
        <v>0.11</v>
      </c>
      <c r="EF48" s="69" t="n">
        <v>0.09</v>
      </c>
      <c r="EG48" s="69" t="n">
        <v>0.12</v>
      </c>
      <c r="EH48" s="69" t="n">
        <v>-0.03</v>
      </c>
      <c r="EI48" s="69" t="n">
        <v>0.11</v>
      </c>
      <c r="EJ48" s="69" t="n">
        <v>0.15</v>
      </c>
      <c r="EK48" s="69" t="n">
        <v>0.09</v>
      </c>
      <c r="EL48" s="69" t="n">
        <v>0.16</v>
      </c>
      <c r="EM48" s="69" t="n">
        <v>-0.03</v>
      </c>
      <c r="EN48" s="69" t="n">
        <v>0.05</v>
      </c>
      <c r="EO48" s="69" t="n">
        <v>0.11</v>
      </c>
    </row>
    <row r="49" customFormat="false" ht="15" hidden="false" customHeight="false" outlineLevel="0" collapsed="false">
      <c r="A49" s="68" t="s">
        <v>270</v>
      </c>
      <c r="B49" s="69" t="n">
        <v>0.29</v>
      </c>
      <c r="C49" s="69" t="n">
        <v>0.02</v>
      </c>
      <c r="D49" s="69" t="n">
        <v>0.02</v>
      </c>
      <c r="E49" s="69" t="n">
        <v>0.13</v>
      </c>
      <c r="F49" s="69" t="n">
        <v>0.08</v>
      </c>
      <c r="G49" s="69" t="n">
        <v>-0.02</v>
      </c>
      <c r="H49" s="69" t="n">
        <v>0</v>
      </c>
      <c r="I49" s="69" t="n">
        <v>0.23</v>
      </c>
      <c r="J49" s="69" t="n">
        <v>0.03</v>
      </c>
      <c r="K49" s="69" t="n">
        <v>0.17</v>
      </c>
      <c r="L49" s="69" t="n">
        <v>0.06</v>
      </c>
      <c r="M49" s="69" t="n">
        <v>0.38</v>
      </c>
      <c r="N49" s="69" t="n">
        <v>0.24</v>
      </c>
      <c r="O49" s="69" t="n">
        <v>0.05</v>
      </c>
      <c r="P49" s="69" t="n">
        <v>0.11</v>
      </c>
      <c r="Q49" s="69" t="n">
        <v>-0.06</v>
      </c>
      <c r="R49" s="69" t="n">
        <v>0.11</v>
      </c>
      <c r="S49" s="69" t="n">
        <v>0.02</v>
      </c>
      <c r="T49" s="69" t="n">
        <v>0.63</v>
      </c>
      <c r="U49" s="69" t="n">
        <v>0.12</v>
      </c>
      <c r="V49" s="69" t="n">
        <v>0.06</v>
      </c>
      <c r="W49" s="69" t="n">
        <v>0.12</v>
      </c>
      <c r="X49" s="69" t="n">
        <v>0.6</v>
      </c>
      <c r="Y49" s="69" t="n">
        <v>0.52</v>
      </c>
      <c r="Z49" s="69" t="n">
        <v>0.09</v>
      </c>
      <c r="AA49" s="69" t="n">
        <v>0.12</v>
      </c>
      <c r="AB49" s="69" t="n">
        <v>0.52</v>
      </c>
      <c r="AC49" s="69" t="n">
        <v>0.03</v>
      </c>
      <c r="AD49" s="69" t="n">
        <v>-0.04</v>
      </c>
      <c r="AE49" s="69" t="n">
        <v>0.22</v>
      </c>
      <c r="AF49" s="69" t="n">
        <v>0.06</v>
      </c>
      <c r="AG49" s="69" t="n">
        <v>-0.02</v>
      </c>
      <c r="AH49" s="69" t="n">
        <v>0.01</v>
      </c>
      <c r="AI49" s="69" t="n">
        <v>-0.03</v>
      </c>
      <c r="AJ49" s="69" t="n">
        <v>-0.03</v>
      </c>
      <c r="AK49" s="69" t="n">
        <v>0.12</v>
      </c>
      <c r="AL49" s="69" t="n">
        <v>0.3</v>
      </c>
      <c r="AM49" s="69" t="n">
        <v>0.13</v>
      </c>
      <c r="AN49" s="69" t="n">
        <v>0.35</v>
      </c>
      <c r="AO49" s="69" t="n">
        <v>0.12</v>
      </c>
      <c r="AP49" s="69" t="n">
        <v>0.37</v>
      </c>
      <c r="AQ49" s="69" t="n">
        <v>-0.08</v>
      </c>
      <c r="AR49" s="69" t="n">
        <v>0.58</v>
      </c>
      <c r="AS49" s="69" t="n">
        <v>0.13</v>
      </c>
      <c r="AT49" s="69" t="n">
        <v>1</v>
      </c>
      <c r="AU49" s="69" t="n">
        <v>0.03</v>
      </c>
      <c r="AV49" s="69" t="n">
        <v>0.17</v>
      </c>
      <c r="AW49" s="69" t="n">
        <v>0.1</v>
      </c>
      <c r="AX49" s="69" t="n">
        <v>0.25</v>
      </c>
      <c r="AY49" s="69" t="n">
        <v>0.37</v>
      </c>
      <c r="AZ49" s="69" t="n">
        <v>0.18</v>
      </c>
      <c r="BA49" s="69" t="n">
        <v>0.32</v>
      </c>
      <c r="BB49" s="69" t="n">
        <v>0.62</v>
      </c>
      <c r="BC49" s="69" t="n">
        <v>0.11</v>
      </c>
      <c r="BD49" s="69" t="n">
        <v>0.11</v>
      </c>
      <c r="BE49" s="69" t="n">
        <v>0.14</v>
      </c>
      <c r="BF49" s="69" t="n">
        <v>0.11</v>
      </c>
      <c r="BG49" s="69" t="n">
        <v>0.41</v>
      </c>
      <c r="BH49" s="69" t="n">
        <v>0.14</v>
      </c>
      <c r="BI49" s="69" t="n">
        <v>0.12</v>
      </c>
      <c r="BJ49" s="69" t="n">
        <v>-0.02</v>
      </c>
      <c r="BK49" s="69" t="n">
        <v>0.16</v>
      </c>
      <c r="BL49" s="69" t="n">
        <v>0.27</v>
      </c>
      <c r="BM49" s="69" t="n">
        <v>0.26</v>
      </c>
      <c r="BN49" s="69" t="n">
        <v>0.14</v>
      </c>
      <c r="BO49" s="69" t="n">
        <v>0.35</v>
      </c>
      <c r="BP49" s="69" t="n">
        <v>0.28</v>
      </c>
      <c r="BQ49" s="69" t="n">
        <v>0.22</v>
      </c>
      <c r="BR49" s="69" t="n">
        <v>0.36</v>
      </c>
      <c r="BS49" s="69" t="n">
        <v>-0.08</v>
      </c>
      <c r="BT49" s="69" t="n">
        <v>0.32</v>
      </c>
      <c r="BU49" s="69" t="n">
        <v>0.09</v>
      </c>
      <c r="BV49" s="69" t="n">
        <v>0.33</v>
      </c>
      <c r="BW49" s="69" t="n">
        <v>0.31</v>
      </c>
      <c r="BX49" s="69" t="n">
        <v>0.11</v>
      </c>
      <c r="BY49" s="69" t="n">
        <v>0.4</v>
      </c>
      <c r="BZ49" s="69" t="n">
        <v>0.33</v>
      </c>
      <c r="CA49" s="69" t="n">
        <v>0.01</v>
      </c>
      <c r="CB49" s="69" t="n">
        <v>0.04</v>
      </c>
      <c r="CC49" s="69" t="n">
        <v>0.26</v>
      </c>
      <c r="CD49" s="69" t="n">
        <v>0.34</v>
      </c>
      <c r="CE49" s="69" t="n">
        <v>0.22</v>
      </c>
      <c r="CF49" s="69" t="n">
        <v>-0.06</v>
      </c>
      <c r="CG49" s="69" t="n">
        <v>0.43</v>
      </c>
      <c r="CH49" s="69" t="n">
        <v>0.16</v>
      </c>
      <c r="CI49" s="69" t="n">
        <v>-0.05</v>
      </c>
      <c r="CJ49" s="69" t="n">
        <v>0.11</v>
      </c>
      <c r="CK49" s="69" t="n">
        <v>0.38</v>
      </c>
      <c r="CL49" s="69" t="n">
        <v>0.29</v>
      </c>
      <c r="CM49" s="69" t="n">
        <v>0.19</v>
      </c>
      <c r="CN49" s="69" t="n">
        <v>0.08</v>
      </c>
      <c r="CO49" s="69" t="n">
        <v>0.23</v>
      </c>
      <c r="CP49" s="69" t="n">
        <v>0.13</v>
      </c>
      <c r="CQ49" s="69" t="n">
        <v>0.53</v>
      </c>
      <c r="CR49" s="69" t="n">
        <v>0.24</v>
      </c>
      <c r="CS49" s="69" t="n">
        <v>0.26</v>
      </c>
      <c r="CT49" s="69" t="n">
        <v>0.32</v>
      </c>
      <c r="CU49" s="69" t="n">
        <v>0.12</v>
      </c>
      <c r="CV49" s="69" t="n">
        <v>0.28</v>
      </c>
      <c r="CW49" s="69" t="n">
        <v>0.33</v>
      </c>
      <c r="CX49" s="69" t="n">
        <v>0.4</v>
      </c>
      <c r="CY49" s="69" t="n">
        <v>0.46</v>
      </c>
      <c r="CZ49" s="69" t="n">
        <v>0.2</v>
      </c>
      <c r="DA49" s="69" t="n">
        <v>0.3</v>
      </c>
      <c r="DB49" s="69" t="n">
        <v>0.3</v>
      </c>
      <c r="DC49" s="69" t="n">
        <v>0.29</v>
      </c>
      <c r="DD49" s="69" t="n">
        <v>0.38</v>
      </c>
      <c r="DE49" s="69" t="n">
        <v>0.24</v>
      </c>
      <c r="DF49" s="69" t="n">
        <v>0.23</v>
      </c>
      <c r="DG49" s="69" t="n">
        <v>0.15</v>
      </c>
      <c r="DH49" s="69" t="n">
        <v>0.17</v>
      </c>
      <c r="DI49" s="69" t="n">
        <v>0.47</v>
      </c>
      <c r="DJ49" s="69" t="n">
        <v>0.45</v>
      </c>
      <c r="DK49" s="69" t="n">
        <v>0.51</v>
      </c>
      <c r="DL49" s="69" t="n">
        <v>-0.02</v>
      </c>
      <c r="DM49" s="69" t="n">
        <v>0.47</v>
      </c>
      <c r="DN49" s="69" t="n">
        <v>0.34</v>
      </c>
      <c r="DO49" s="69" t="n">
        <v>0.27</v>
      </c>
      <c r="DP49" s="69" t="n">
        <v>0.43</v>
      </c>
      <c r="DQ49" s="69" t="n">
        <v>0.18</v>
      </c>
      <c r="DR49" s="69" t="n">
        <v>0.16</v>
      </c>
      <c r="DS49" s="69" t="n">
        <v>0.3</v>
      </c>
      <c r="DT49" s="69" t="n">
        <v>0.23</v>
      </c>
      <c r="DU49" s="69" t="n">
        <v>0.47</v>
      </c>
      <c r="DV49" s="69" t="n">
        <v>0.24</v>
      </c>
      <c r="DW49" s="69" t="n">
        <v>0.42</v>
      </c>
      <c r="DX49" s="69" t="n">
        <v>0.18</v>
      </c>
      <c r="DY49" s="69" t="n">
        <v>0.59</v>
      </c>
      <c r="DZ49" s="69" t="n">
        <v>0.14</v>
      </c>
      <c r="EA49" s="69" t="n">
        <v>0.25</v>
      </c>
      <c r="EB49" s="69" t="n">
        <v>0.54</v>
      </c>
      <c r="EC49" s="69" t="n">
        <v>0.02</v>
      </c>
      <c r="ED49" s="69" t="n">
        <v>0.25</v>
      </c>
      <c r="EE49" s="69" t="n">
        <v>0.15</v>
      </c>
      <c r="EF49" s="69" t="n">
        <v>0.16</v>
      </c>
      <c r="EG49" s="69" t="n">
        <v>0.11</v>
      </c>
      <c r="EH49" s="69" t="n">
        <v>0.27</v>
      </c>
      <c r="EI49" s="69" t="n">
        <v>0.08</v>
      </c>
      <c r="EJ49" s="69" t="n">
        <v>0.32</v>
      </c>
      <c r="EK49" s="69" t="n">
        <v>0.23</v>
      </c>
      <c r="EL49" s="69" t="n">
        <v>0.2</v>
      </c>
      <c r="EM49" s="69" t="n">
        <v>0.14</v>
      </c>
      <c r="EN49" s="69" t="n">
        <v>0.14</v>
      </c>
      <c r="EO49" s="69" t="n">
        <v>0.12</v>
      </c>
    </row>
    <row r="50" customFormat="false" ht="15" hidden="false" customHeight="false" outlineLevel="0" collapsed="false">
      <c r="A50" s="68" t="s">
        <v>272</v>
      </c>
      <c r="B50" s="69" t="n">
        <v>0.31</v>
      </c>
      <c r="C50" s="69" t="n">
        <v>0.05</v>
      </c>
      <c r="D50" s="69" t="n">
        <v>-0.04</v>
      </c>
      <c r="E50" s="69" t="n">
        <v>0.09</v>
      </c>
      <c r="F50" s="69" t="n">
        <v>0.41</v>
      </c>
      <c r="G50" s="69" t="n">
        <v>-0.02</v>
      </c>
      <c r="H50" s="69" t="n">
        <v>0.02</v>
      </c>
      <c r="I50" s="69" t="n">
        <v>0.42</v>
      </c>
      <c r="J50" s="69" t="n">
        <v>0.43</v>
      </c>
      <c r="K50" s="69" t="n">
        <v>0.43</v>
      </c>
      <c r="L50" s="69" t="n">
        <v>0.1</v>
      </c>
      <c r="M50" s="69" t="n">
        <v>0.24</v>
      </c>
      <c r="N50" s="69" t="n">
        <v>0.22</v>
      </c>
      <c r="O50" s="69" t="n">
        <v>0.09</v>
      </c>
      <c r="P50" s="69" t="n">
        <v>0.67</v>
      </c>
      <c r="Q50" s="69" t="n">
        <v>0.02</v>
      </c>
      <c r="R50" s="69" t="n">
        <v>0.45</v>
      </c>
      <c r="S50" s="69" t="n">
        <v>0.08</v>
      </c>
      <c r="T50" s="69" t="n">
        <v>0.08</v>
      </c>
      <c r="U50" s="69" t="n">
        <v>0.09</v>
      </c>
      <c r="V50" s="69" t="n">
        <v>0.03</v>
      </c>
      <c r="W50" s="69" t="n">
        <v>0.15</v>
      </c>
      <c r="X50" s="69" t="n">
        <v>0.09</v>
      </c>
      <c r="Y50" s="69" t="n">
        <v>0.2</v>
      </c>
      <c r="Z50" s="69" t="n">
        <v>0.12</v>
      </c>
      <c r="AA50" s="69" t="n">
        <v>0.15</v>
      </c>
      <c r="AB50" s="69" t="n">
        <v>0.17</v>
      </c>
      <c r="AC50" s="69" t="n">
        <v>-0.03</v>
      </c>
      <c r="AD50" s="69" t="n">
        <v>0.06</v>
      </c>
      <c r="AE50" s="69" t="n">
        <v>-0.03</v>
      </c>
      <c r="AF50" s="69" t="n">
        <v>0.01</v>
      </c>
      <c r="AG50" s="69" t="n">
        <v>0.26</v>
      </c>
      <c r="AH50" s="69" t="n">
        <v>0.26</v>
      </c>
      <c r="AI50" s="69" t="n">
        <v>0.17</v>
      </c>
      <c r="AJ50" s="69" t="n">
        <v>-0.06</v>
      </c>
      <c r="AK50" s="69" t="n">
        <v>0.06</v>
      </c>
      <c r="AL50" s="69" t="n">
        <v>0.19</v>
      </c>
      <c r="AM50" s="69" t="n">
        <v>0.06</v>
      </c>
      <c r="AN50" s="69" t="n">
        <v>0.38</v>
      </c>
      <c r="AO50" s="69" t="n">
        <v>0.31</v>
      </c>
      <c r="AP50" s="69" t="n">
        <v>0.14</v>
      </c>
      <c r="AQ50" s="69" t="n">
        <v>0.18</v>
      </c>
      <c r="AR50" s="69" t="n">
        <v>0.09</v>
      </c>
      <c r="AS50" s="69" t="n">
        <v>0</v>
      </c>
      <c r="AT50" s="69" t="n">
        <v>0.03</v>
      </c>
      <c r="AU50" s="69" t="n">
        <v>1</v>
      </c>
      <c r="AV50" s="69" t="n">
        <v>0.15</v>
      </c>
      <c r="AW50" s="69" t="n">
        <v>0.13</v>
      </c>
      <c r="AX50" s="69" t="n">
        <v>0.34</v>
      </c>
      <c r="AY50" s="69" t="n">
        <v>0.24</v>
      </c>
      <c r="AZ50" s="69" t="n">
        <v>0.01</v>
      </c>
      <c r="BA50" s="69" t="n">
        <v>0.2</v>
      </c>
      <c r="BB50" s="69" t="n">
        <v>0</v>
      </c>
      <c r="BC50" s="69" t="n">
        <v>0.04</v>
      </c>
      <c r="BD50" s="69" t="n">
        <v>-0.05</v>
      </c>
      <c r="BE50" s="69" t="n">
        <v>0.27</v>
      </c>
      <c r="BF50" s="69" t="n">
        <v>0.02</v>
      </c>
      <c r="BG50" s="69" t="n">
        <v>0.02</v>
      </c>
      <c r="BH50" s="69" t="n">
        <v>-0.01</v>
      </c>
      <c r="BI50" s="69" t="n">
        <v>-0.03</v>
      </c>
      <c r="BJ50" s="69" t="n">
        <v>-0.07</v>
      </c>
      <c r="BK50" s="69" t="n">
        <v>-0.01</v>
      </c>
      <c r="BL50" s="69" t="n">
        <v>0.07</v>
      </c>
      <c r="BM50" s="69" t="n">
        <v>0.35</v>
      </c>
      <c r="BN50" s="69" t="n">
        <v>0.21</v>
      </c>
      <c r="BO50" s="69" t="n">
        <v>0.13</v>
      </c>
      <c r="BP50" s="69" t="n">
        <v>-0.05</v>
      </c>
      <c r="BQ50" s="69" t="n">
        <v>0.03</v>
      </c>
      <c r="BR50" s="69" t="n">
        <v>0.13</v>
      </c>
      <c r="BS50" s="69" t="n">
        <v>0.12</v>
      </c>
      <c r="BT50" s="69" t="n">
        <v>0.11</v>
      </c>
      <c r="BU50" s="69" t="n">
        <v>-0.01</v>
      </c>
      <c r="BV50" s="69" t="n">
        <v>0.01</v>
      </c>
      <c r="BW50" s="69" t="n">
        <v>0.14</v>
      </c>
      <c r="BX50" s="69" t="n">
        <v>0.27</v>
      </c>
      <c r="BY50" s="69" t="n">
        <v>0.13</v>
      </c>
      <c r="BZ50" s="69" t="n">
        <v>0.18</v>
      </c>
      <c r="CA50" s="69" t="n">
        <v>0.1</v>
      </c>
      <c r="CB50" s="69" t="n">
        <v>0.01</v>
      </c>
      <c r="CC50" s="69" t="n">
        <v>0.13</v>
      </c>
      <c r="CD50" s="69" t="n">
        <v>0.05</v>
      </c>
      <c r="CE50" s="69" t="n">
        <v>0.03</v>
      </c>
      <c r="CF50" s="69" t="n">
        <v>0.14</v>
      </c>
      <c r="CG50" s="69" t="n">
        <v>0.08</v>
      </c>
      <c r="CH50" s="69" t="n">
        <v>0.01</v>
      </c>
      <c r="CI50" s="69" t="n">
        <v>0.11</v>
      </c>
      <c r="CJ50" s="69" t="n">
        <v>0.1</v>
      </c>
      <c r="CK50" s="69" t="n">
        <v>0.2</v>
      </c>
      <c r="CL50" s="69" t="n">
        <v>0.09</v>
      </c>
      <c r="CM50" s="69" t="n">
        <v>-0.08</v>
      </c>
      <c r="CN50" s="69" t="n">
        <v>0.01</v>
      </c>
      <c r="CO50" s="69" t="n">
        <v>-0.05</v>
      </c>
      <c r="CP50" s="69" t="n">
        <v>0.15</v>
      </c>
      <c r="CQ50" s="69" t="n">
        <v>0.1</v>
      </c>
      <c r="CR50" s="69" t="n">
        <v>-0.03</v>
      </c>
      <c r="CS50" s="69" t="n">
        <v>0.14</v>
      </c>
      <c r="CT50" s="69" t="n">
        <v>0.02</v>
      </c>
      <c r="CU50" s="69" t="n">
        <v>0.03</v>
      </c>
      <c r="CV50" s="69" t="n">
        <v>-0.02</v>
      </c>
      <c r="CW50" s="69" t="n">
        <v>-0.03</v>
      </c>
      <c r="CX50" s="69" t="n">
        <v>0.04</v>
      </c>
      <c r="CY50" s="69" t="n">
        <v>0.08</v>
      </c>
      <c r="CZ50" s="69" t="n">
        <v>0.06</v>
      </c>
      <c r="DA50" s="69" t="n">
        <v>-0.01</v>
      </c>
      <c r="DB50" s="69" t="n">
        <v>-0.02</v>
      </c>
      <c r="DC50" s="69" t="n">
        <v>-0.01</v>
      </c>
      <c r="DD50" s="69" t="n">
        <v>0.05</v>
      </c>
      <c r="DE50" s="69" t="n">
        <v>-0.05</v>
      </c>
      <c r="DF50" s="69" t="n">
        <v>-0.01</v>
      </c>
      <c r="DG50" s="69" t="n">
        <v>-0.03</v>
      </c>
      <c r="DH50" s="69" t="n">
        <v>-0.07</v>
      </c>
      <c r="DI50" s="69" t="n">
        <v>0.06</v>
      </c>
      <c r="DJ50" s="69" t="n">
        <v>0.12</v>
      </c>
      <c r="DK50" s="69" t="n">
        <v>0.08</v>
      </c>
      <c r="DL50" s="69" t="n">
        <v>-0.03</v>
      </c>
      <c r="DM50" s="69" t="n">
        <v>0.15</v>
      </c>
      <c r="DN50" s="69" t="n">
        <v>0.14</v>
      </c>
      <c r="DO50" s="69" t="n">
        <v>-0.05</v>
      </c>
      <c r="DP50" s="69" t="n">
        <v>0.12</v>
      </c>
      <c r="DQ50" s="69" t="n">
        <v>-0.01</v>
      </c>
      <c r="DR50" s="69" t="n">
        <v>-0.01</v>
      </c>
      <c r="DS50" s="69" t="n">
        <v>-0.02</v>
      </c>
      <c r="DT50" s="69" t="n">
        <v>-0.13</v>
      </c>
      <c r="DU50" s="69" t="n">
        <v>-0.11</v>
      </c>
      <c r="DV50" s="69" t="n">
        <v>0.01</v>
      </c>
      <c r="DW50" s="69" t="n">
        <v>-0.02</v>
      </c>
      <c r="DX50" s="69" t="n">
        <v>-0.06</v>
      </c>
      <c r="DY50" s="69" t="n">
        <v>-0.07</v>
      </c>
      <c r="DZ50" s="69" t="n">
        <v>0</v>
      </c>
      <c r="EA50" s="69" t="n">
        <v>0.01</v>
      </c>
      <c r="EB50" s="69" t="n">
        <v>0</v>
      </c>
      <c r="EC50" s="69" t="n">
        <v>-0.1</v>
      </c>
      <c r="ED50" s="69" t="n">
        <v>0.01</v>
      </c>
      <c r="EE50" s="69" t="n">
        <v>-0.06</v>
      </c>
      <c r="EF50" s="69" t="n">
        <v>-0.01</v>
      </c>
      <c r="EG50" s="69" t="n">
        <v>-0.02</v>
      </c>
      <c r="EH50" s="69" t="n">
        <v>0</v>
      </c>
      <c r="EI50" s="69" t="n">
        <v>-0.16</v>
      </c>
      <c r="EJ50" s="69" t="n">
        <v>-0.01</v>
      </c>
      <c r="EK50" s="69" t="n">
        <v>-0.02</v>
      </c>
      <c r="EL50" s="69" t="n">
        <v>-0.02</v>
      </c>
      <c r="EM50" s="69" t="n">
        <v>-0.06</v>
      </c>
      <c r="EN50" s="69" t="n">
        <v>0.03</v>
      </c>
      <c r="EO50" s="69" t="n">
        <v>-0.02</v>
      </c>
    </row>
    <row r="51" customFormat="false" ht="15" hidden="false" customHeight="false" outlineLevel="0" collapsed="false">
      <c r="A51" s="68" t="s">
        <v>274</v>
      </c>
      <c r="B51" s="69" t="n">
        <v>0.08</v>
      </c>
      <c r="C51" s="69" t="n">
        <v>0.28</v>
      </c>
      <c r="D51" s="69" t="n">
        <v>0.1</v>
      </c>
      <c r="E51" s="69" t="n">
        <v>0.45</v>
      </c>
      <c r="F51" s="69" t="n">
        <v>0.09</v>
      </c>
      <c r="G51" s="69" t="n">
        <v>0.05</v>
      </c>
      <c r="H51" s="69" t="n">
        <v>0.19</v>
      </c>
      <c r="I51" s="69" t="n">
        <v>0.14</v>
      </c>
      <c r="J51" s="69" t="n">
        <v>0.04</v>
      </c>
      <c r="K51" s="69" t="n">
        <v>0.09</v>
      </c>
      <c r="L51" s="69" t="n">
        <v>0.3</v>
      </c>
      <c r="M51" s="69" t="n">
        <v>0.19</v>
      </c>
      <c r="N51" s="69" t="n">
        <v>0.17</v>
      </c>
      <c r="O51" s="69" t="n">
        <v>0.34</v>
      </c>
      <c r="P51" s="69" t="n">
        <v>0.19</v>
      </c>
      <c r="Q51" s="69" t="n">
        <v>0.06</v>
      </c>
      <c r="R51" s="69" t="n">
        <v>0.16</v>
      </c>
      <c r="S51" s="69" t="n">
        <v>0.29</v>
      </c>
      <c r="T51" s="69" t="n">
        <v>0.15</v>
      </c>
      <c r="U51" s="69" t="n">
        <v>0.37</v>
      </c>
      <c r="V51" s="69" t="n">
        <v>0.25</v>
      </c>
      <c r="W51" s="69" t="n">
        <v>0.39</v>
      </c>
      <c r="X51" s="69" t="n">
        <v>0.16</v>
      </c>
      <c r="Y51" s="69" t="n">
        <v>0.12</v>
      </c>
      <c r="Z51" s="69" t="n">
        <v>0.26</v>
      </c>
      <c r="AA51" s="69" t="n">
        <v>0.18</v>
      </c>
      <c r="AB51" s="69" t="n">
        <v>0.03</v>
      </c>
      <c r="AC51" s="69" t="n">
        <v>0.26</v>
      </c>
      <c r="AD51" s="69" t="n">
        <v>0.27</v>
      </c>
      <c r="AE51" s="69" t="n">
        <v>0.32</v>
      </c>
      <c r="AF51" s="69" t="n">
        <v>0.32</v>
      </c>
      <c r="AG51" s="69" t="n">
        <v>0.06</v>
      </c>
      <c r="AH51" s="69" t="n">
        <v>0.08</v>
      </c>
      <c r="AI51" s="69" t="n">
        <v>0.04</v>
      </c>
      <c r="AJ51" s="69" t="n">
        <v>0.22</v>
      </c>
      <c r="AK51" s="69" t="n">
        <v>0.32</v>
      </c>
      <c r="AL51" s="69" t="n">
        <v>0.12</v>
      </c>
      <c r="AM51" s="69" t="n">
        <v>0.13</v>
      </c>
      <c r="AN51" s="69" t="n">
        <v>0.18</v>
      </c>
      <c r="AO51" s="69" t="n">
        <v>0.1</v>
      </c>
      <c r="AP51" s="69" t="n">
        <v>0.17</v>
      </c>
      <c r="AQ51" s="69" t="n">
        <v>0.04</v>
      </c>
      <c r="AR51" s="69" t="n">
        <v>0.11</v>
      </c>
      <c r="AS51" s="69" t="n">
        <v>0.22</v>
      </c>
      <c r="AT51" s="69" t="n">
        <v>0.17</v>
      </c>
      <c r="AU51" s="69" t="n">
        <v>0.15</v>
      </c>
      <c r="AV51" s="69" t="n">
        <v>1</v>
      </c>
      <c r="AW51" s="69" t="n">
        <v>0.36</v>
      </c>
      <c r="AX51" s="69" t="n">
        <v>0.17</v>
      </c>
      <c r="AY51" s="69" t="n">
        <v>0.14</v>
      </c>
      <c r="AZ51" s="69" t="n">
        <v>0.19</v>
      </c>
      <c r="BA51" s="69" t="n">
        <v>0.19</v>
      </c>
      <c r="BB51" s="69" t="n">
        <v>0.16</v>
      </c>
      <c r="BC51" s="69" t="n">
        <v>0.23</v>
      </c>
      <c r="BD51" s="69" t="n">
        <v>0.25</v>
      </c>
      <c r="BE51" s="69" t="n">
        <v>0.08</v>
      </c>
      <c r="BF51" s="69" t="n">
        <v>0.27</v>
      </c>
      <c r="BG51" s="69" t="n">
        <v>0.11</v>
      </c>
      <c r="BH51" s="69" t="n">
        <v>0.32</v>
      </c>
      <c r="BI51" s="69" t="n">
        <v>0.21</v>
      </c>
      <c r="BJ51" s="69" t="n">
        <v>0.12</v>
      </c>
      <c r="BK51" s="69" t="n">
        <v>0.21</v>
      </c>
      <c r="BL51" s="69" t="n">
        <v>0.12</v>
      </c>
      <c r="BM51" s="69" t="n">
        <v>0.13</v>
      </c>
      <c r="BN51" s="69" t="n">
        <v>0.04</v>
      </c>
      <c r="BO51" s="69" t="n">
        <v>0.17</v>
      </c>
      <c r="BP51" s="69" t="n">
        <v>0.11</v>
      </c>
      <c r="BQ51" s="69" t="n">
        <v>0.26</v>
      </c>
      <c r="BR51" s="69" t="n">
        <v>0.17</v>
      </c>
      <c r="BS51" s="69" t="n">
        <v>-0.02</v>
      </c>
      <c r="BT51" s="69" t="n">
        <v>0.1</v>
      </c>
      <c r="BU51" s="69" t="n">
        <v>0.09</v>
      </c>
      <c r="BV51" s="69" t="n">
        <v>0.08</v>
      </c>
      <c r="BW51" s="69" t="n">
        <v>0.16</v>
      </c>
      <c r="BX51" s="69" t="n">
        <v>0.12</v>
      </c>
      <c r="BY51" s="69" t="n">
        <v>0.08</v>
      </c>
      <c r="BZ51" s="69" t="n">
        <v>0.12</v>
      </c>
      <c r="CA51" s="69" t="n">
        <v>0.34</v>
      </c>
      <c r="CB51" s="69" t="n">
        <v>-0.01</v>
      </c>
      <c r="CC51" s="69" t="n">
        <v>0.07</v>
      </c>
      <c r="CD51" s="69" t="n">
        <v>-0.02</v>
      </c>
      <c r="CE51" s="69" t="n">
        <v>0.05</v>
      </c>
      <c r="CF51" s="69" t="n">
        <v>-0.04</v>
      </c>
      <c r="CG51" s="69" t="n">
        <v>0.08</v>
      </c>
      <c r="CH51" s="69" t="n">
        <v>0.3</v>
      </c>
      <c r="CI51" s="69" t="n">
        <v>-0.03</v>
      </c>
      <c r="CJ51" s="69" t="n">
        <v>0.06</v>
      </c>
      <c r="CK51" s="69" t="n">
        <v>0.13</v>
      </c>
      <c r="CL51" s="69" t="n">
        <v>0.06</v>
      </c>
      <c r="CM51" s="69" t="n">
        <v>0.05</v>
      </c>
      <c r="CN51" s="69" t="n">
        <v>0.2</v>
      </c>
      <c r="CO51" s="69" t="n">
        <v>0.16</v>
      </c>
      <c r="CP51" s="69" t="n">
        <v>0.1</v>
      </c>
      <c r="CQ51" s="69" t="n">
        <v>0.11</v>
      </c>
      <c r="CR51" s="69" t="n">
        <v>0.13</v>
      </c>
      <c r="CS51" s="69" t="n">
        <v>0.17</v>
      </c>
      <c r="CT51" s="69" t="n">
        <v>0.12</v>
      </c>
      <c r="CU51" s="69" t="n">
        <v>0.16</v>
      </c>
      <c r="CV51" s="69" t="n">
        <v>0.03</v>
      </c>
      <c r="CW51" s="69" t="n">
        <v>0.15</v>
      </c>
      <c r="CX51" s="69" t="n">
        <v>0.1</v>
      </c>
      <c r="CY51" s="69" t="n">
        <v>0.13</v>
      </c>
      <c r="CZ51" s="69" t="n">
        <v>0.03</v>
      </c>
      <c r="DA51" s="69" t="n">
        <v>0.04</v>
      </c>
      <c r="DB51" s="69" t="n">
        <v>0.23</v>
      </c>
      <c r="DC51" s="69" t="n">
        <v>0.21</v>
      </c>
      <c r="DD51" s="69" t="n">
        <v>0.08</v>
      </c>
      <c r="DE51" s="69" t="n">
        <v>0.18</v>
      </c>
      <c r="DF51" s="69" t="n">
        <v>0.01</v>
      </c>
      <c r="DG51" s="69" t="n">
        <v>0.13</v>
      </c>
      <c r="DH51" s="69" t="n">
        <v>0.18</v>
      </c>
      <c r="DI51" s="69" t="n">
        <v>0.14</v>
      </c>
      <c r="DJ51" s="69" t="n">
        <v>0.03</v>
      </c>
      <c r="DK51" s="69" t="n">
        <v>0.13</v>
      </c>
      <c r="DL51" s="69" t="n">
        <v>0.17</v>
      </c>
      <c r="DM51" s="69" t="n">
        <v>0.09</v>
      </c>
      <c r="DN51" s="69" t="n">
        <v>0.02</v>
      </c>
      <c r="DO51" s="69" t="n">
        <v>0.16</v>
      </c>
      <c r="DP51" s="69" t="n">
        <v>0.04</v>
      </c>
      <c r="DQ51" s="69" t="n">
        <v>-0.01</v>
      </c>
      <c r="DR51" s="69" t="n">
        <v>0.11</v>
      </c>
      <c r="DS51" s="69" t="n">
        <v>-0.06</v>
      </c>
      <c r="DT51" s="69" t="n">
        <v>0.07</v>
      </c>
      <c r="DU51" s="69" t="n">
        <v>0.17</v>
      </c>
      <c r="DV51" s="69" t="n">
        <v>0.14</v>
      </c>
      <c r="DW51" s="69" t="n">
        <v>0.12</v>
      </c>
      <c r="DX51" s="69" t="n">
        <v>0.1</v>
      </c>
      <c r="DY51" s="69" t="n">
        <v>0.13</v>
      </c>
      <c r="DZ51" s="69" t="n">
        <v>0.02</v>
      </c>
      <c r="EA51" s="69" t="n">
        <v>0.09</v>
      </c>
      <c r="EB51" s="69" t="n">
        <v>0.15</v>
      </c>
      <c r="EC51" s="69" t="n">
        <v>0.04</v>
      </c>
      <c r="ED51" s="69" t="n">
        <v>0.19</v>
      </c>
      <c r="EE51" s="69" t="n">
        <v>0.09</v>
      </c>
      <c r="EF51" s="69" t="n">
        <v>0.11</v>
      </c>
      <c r="EG51" s="69" t="n">
        <v>0.1</v>
      </c>
      <c r="EH51" s="69" t="n">
        <v>0.04</v>
      </c>
      <c r="EI51" s="69" t="n">
        <v>0</v>
      </c>
      <c r="EJ51" s="69" t="n">
        <v>0.17</v>
      </c>
      <c r="EK51" s="69" t="n">
        <v>0.17</v>
      </c>
      <c r="EL51" s="69" t="n">
        <v>0.18</v>
      </c>
      <c r="EM51" s="69" t="n">
        <v>0.04</v>
      </c>
      <c r="EN51" s="69" t="n">
        <v>0.01</v>
      </c>
      <c r="EO51" s="69" t="n">
        <v>0.05</v>
      </c>
    </row>
    <row r="52" customFormat="false" ht="15" hidden="false" customHeight="false" outlineLevel="0" collapsed="false">
      <c r="A52" s="68" t="s">
        <v>162</v>
      </c>
      <c r="B52" s="69" t="n">
        <v>0</v>
      </c>
      <c r="C52" s="69" t="n">
        <v>0.19</v>
      </c>
      <c r="D52" s="69" t="n">
        <v>0.04</v>
      </c>
      <c r="E52" s="69" t="n">
        <v>0.17</v>
      </c>
      <c r="F52" s="69" t="n">
        <v>-0.03</v>
      </c>
      <c r="G52" s="69" t="n">
        <v>0.11</v>
      </c>
      <c r="H52" s="69" t="n">
        <v>0.35</v>
      </c>
      <c r="I52" s="69" t="n">
        <v>0.03</v>
      </c>
      <c r="J52" s="69" t="n">
        <v>0.03</v>
      </c>
      <c r="K52" s="69" t="n">
        <v>0.03</v>
      </c>
      <c r="L52" s="69" t="n">
        <v>0.16</v>
      </c>
      <c r="M52" s="69" t="n">
        <v>0.24</v>
      </c>
      <c r="N52" s="69" t="n">
        <v>0.06</v>
      </c>
      <c r="O52" s="69" t="n">
        <v>0.26</v>
      </c>
      <c r="P52" s="69" t="n">
        <v>0.12</v>
      </c>
      <c r="Q52" s="69" t="n">
        <v>0.13</v>
      </c>
      <c r="R52" s="69" t="n">
        <v>0.05</v>
      </c>
      <c r="S52" s="69" t="n">
        <v>0.32</v>
      </c>
      <c r="T52" s="69" t="n">
        <v>0.08</v>
      </c>
      <c r="U52" s="69" t="n">
        <v>0.35</v>
      </c>
      <c r="V52" s="69" t="n">
        <v>0.35</v>
      </c>
      <c r="W52" s="69" t="n">
        <v>0.24</v>
      </c>
      <c r="X52" s="69" t="n">
        <v>0.1</v>
      </c>
      <c r="Y52" s="69" t="n">
        <v>0.05</v>
      </c>
      <c r="Z52" s="69" t="n">
        <v>0.37</v>
      </c>
      <c r="AA52" s="69" t="n">
        <v>0.06</v>
      </c>
      <c r="AB52" s="69" t="n">
        <v>0</v>
      </c>
      <c r="AC52" s="69" t="n">
        <v>0.21</v>
      </c>
      <c r="AD52" s="69" t="n">
        <v>0.32</v>
      </c>
      <c r="AE52" s="69" t="n">
        <v>0.3</v>
      </c>
      <c r="AF52" s="69" t="n">
        <v>0.33</v>
      </c>
      <c r="AG52" s="69" t="n">
        <v>-0.02</v>
      </c>
      <c r="AH52" s="69" t="n">
        <v>-0.06</v>
      </c>
      <c r="AI52" s="69" t="n">
        <v>-0.1</v>
      </c>
      <c r="AJ52" s="69" t="n">
        <v>0.09</v>
      </c>
      <c r="AK52" s="69" t="n">
        <v>0.38</v>
      </c>
      <c r="AL52" s="69" t="n">
        <v>0.04</v>
      </c>
      <c r="AM52" s="69" t="n">
        <v>0.17</v>
      </c>
      <c r="AN52" s="69" t="n">
        <v>0.23</v>
      </c>
      <c r="AO52" s="69" t="n">
        <v>-0.05</v>
      </c>
      <c r="AP52" s="69" t="n">
        <v>0.13</v>
      </c>
      <c r="AQ52" s="69" t="n">
        <v>-0.05</v>
      </c>
      <c r="AR52" s="69" t="n">
        <v>0.01</v>
      </c>
      <c r="AS52" s="69" t="n">
        <v>0.28</v>
      </c>
      <c r="AT52" s="69" t="n">
        <v>0.1</v>
      </c>
      <c r="AU52" s="69" t="n">
        <v>0.13</v>
      </c>
      <c r="AV52" s="69" t="n">
        <v>0.36</v>
      </c>
      <c r="AW52" s="69" t="n">
        <v>1</v>
      </c>
      <c r="AX52" s="69" t="n">
        <v>0.09</v>
      </c>
      <c r="AY52" s="69" t="n">
        <v>0.16</v>
      </c>
      <c r="AZ52" s="69" t="n">
        <v>0.3</v>
      </c>
      <c r="BA52" s="69" t="n">
        <v>0.22</v>
      </c>
      <c r="BB52" s="69" t="n">
        <v>0.11</v>
      </c>
      <c r="BC52" s="69" t="n">
        <v>0.21</v>
      </c>
      <c r="BD52" s="69" t="n">
        <v>0.35</v>
      </c>
      <c r="BE52" s="69" t="n">
        <v>0.11</v>
      </c>
      <c r="BF52" s="69" t="n">
        <v>0.35</v>
      </c>
      <c r="BG52" s="69" t="n">
        <v>0.12</v>
      </c>
      <c r="BH52" s="69" t="n">
        <v>0.36</v>
      </c>
      <c r="BI52" s="69" t="n">
        <v>0.12</v>
      </c>
      <c r="BJ52" s="69" t="n">
        <v>0.07</v>
      </c>
      <c r="BK52" s="69" t="n">
        <v>0.19</v>
      </c>
      <c r="BL52" s="69" t="n">
        <v>0.24</v>
      </c>
      <c r="BM52" s="69" t="n">
        <v>0.03</v>
      </c>
      <c r="BN52" s="69" t="n">
        <v>0.05</v>
      </c>
      <c r="BO52" s="69" t="n">
        <v>0.09</v>
      </c>
      <c r="BP52" s="69" t="n">
        <v>-0.02</v>
      </c>
      <c r="BQ52" s="69" t="n">
        <v>0.47</v>
      </c>
      <c r="BR52" s="69" t="n">
        <v>0.13</v>
      </c>
      <c r="BS52" s="69" t="n">
        <v>-0.06</v>
      </c>
      <c r="BT52" s="69" t="n">
        <v>0.21</v>
      </c>
      <c r="BU52" s="69" t="n">
        <v>0.29</v>
      </c>
      <c r="BV52" s="69" t="n">
        <v>0.07</v>
      </c>
      <c r="BW52" s="69" t="n">
        <v>0.19</v>
      </c>
      <c r="BX52" s="69" t="n">
        <v>0.07</v>
      </c>
      <c r="BY52" s="69" t="n">
        <v>0.14</v>
      </c>
      <c r="BZ52" s="69" t="n">
        <v>0.18</v>
      </c>
      <c r="CA52" s="69" t="n">
        <v>0.28</v>
      </c>
      <c r="CB52" s="69" t="n">
        <v>-0.02</v>
      </c>
      <c r="CC52" s="69" t="n">
        <v>0.11</v>
      </c>
      <c r="CD52" s="69" t="n">
        <v>0.1</v>
      </c>
      <c r="CE52" s="69" t="n">
        <v>0.14</v>
      </c>
      <c r="CF52" s="69" t="n">
        <v>-0.07</v>
      </c>
      <c r="CG52" s="69" t="n">
        <v>0.12</v>
      </c>
      <c r="CH52" s="69" t="n">
        <v>0.42</v>
      </c>
      <c r="CI52" s="69" t="n">
        <v>-0.06</v>
      </c>
      <c r="CJ52" s="69" t="n">
        <v>-0.03</v>
      </c>
      <c r="CK52" s="69" t="n">
        <v>0.19</v>
      </c>
      <c r="CL52" s="69" t="n">
        <v>0.12</v>
      </c>
      <c r="CM52" s="69" t="n">
        <v>0.13</v>
      </c>
      <c r="CN52" s="69" t="n">
        <v>0.29</v>
      </c>
      <c r="CO52" s="69" t="n">
        <v>0.2</v>
      </c>
      <c r="CP52" s="69" t="n">
        <v>0.02</v>
      </c>
      <c r="CQ52" s="69" t="n">
        <v>0.1</v>
      </c>
      <c r="CR52" s="69" t="n">
        <v>0.14</v>
      </c>
      <c r="CS52" s="69" t="n">
        <v>0.23</v>
      </c>
      <c r="CT52" s="69" t="n">
        <v>0.15</v>
      </c>
      <c r="CU52" s="69" t="n">
        <v>0.08</v>
      </c>
      <c r="CV52" s="69" t="n">
        <v>0.02</v>
      </c>
      <c r="CW52" s="69" t="n">
        <v>0.11</v>
      </c>
      <c r="CX52" s="69" t="n">
        <v>0.13</v>
      </c>
      <c r="CY52" s="69" t="n">
        <v>0.09</v>
      </c>
      <c r="CZ52" s="69" t="n">
        <v>0.13</v>
      </c>
      <c r="DA52" s="69" t="n">
        <v>0.04</v>
      </c>
      <c r="DB52" s="69" t="n">
        <v>0.25</v>
      </c>
      <c r="DC52" s="69" t="n">
        <v>0.19</v>
      </c>
      <c r="DD52" s="69" t="n">
        <v>0.17</v>
      </c>
      <c r="DE52" s="69" t="n">
        <v>0.29</v>
      </c>
      <c r="DF52" s="69" t="n">
        <v>-0.04</v>
      </c>
      <c r="DG52" s="69" t="n">
        <v>0.24</v>
      </c>
      <c r="DH52" s="69" t="n">
        <v>0.11</v>
      </c>
      <c r="DI52" s="69" t="n">
        <v>0.12</v>
      </c>
      <c r="DJ52" s="69" t="n">
        <v>0.05</v>
      </c>
      <c r="DK52" s="69" t="n">
        <v>0.16</v>
      </c>
      <c r="DL52" s="69" t="n">
        <v>0.33</v>
      </c>
      <c r="DM52" s="69" t="n">
        <v>0.11</v>
      </c>
      <c r="DN52" s="69" t="n">
        <v>0.07</v>
      </c>
      <c r="DO52" s="69" t="n">
        <v>0.18</v>
      </c>
      <c r="DP52" s="69" t="n">
        <v>0.1</v>
      </c>
      <c r="DQ52" s="69" t="n">
        <v>0.14</v>
      </c>
      <c r="DR52" s="69" t="n">
        <v>0.17</v>
      </c>
      <c r="DS52" s="69" t="n">
        <v>-0.06</v>
      </c>
      <c r="DT52" s="69" t="n">
        <v>0.06</v>
      </c>
      <c r="DU52" s="69" t="n">
        <v>0.11</v>
      </c>
      <c r="DV52" s="69" t="n">
        <v>0.04</v>
      </c>
      <c r="DW52" s="69" t="n">
        <v>0.04</v>
      </c>
      <c r="DX52" s="69" t="n">
        <v>0.2</v>
      </c>
      <c r="DY52" s="69" t="n">
        <v>0.12</v>
      </c>
      <c r="DZ52" s="69" t="n">
        <v>0.03</v>
      </c>
      <c r="EA52" s="69" t="n">
        <v>0.08</v>
      </c>
      <c r="EB52" s="69" t="n">
        <v>0.1</v>
      </c>
      <c r="EC52" s="69" t="n">
        <v>0.17</v>
      </c>
      <c r="ED52" s="69" t="n">
        <v>0.2</v>
      </c>
      <c r="EE52" s="69" t="n">
        <v>0.16</v>
      </c>
      <c r="EF52" s="69" t="n">
        <v>0.16</v>
      </c>
      <c r="EG52" s="69" t="n">
        <v>0.21</v>
      </c>
      <c r="EH52" s="69" t="n">
        <v>-0.03</v>
      </c>
      <c r="EI52" s="69" t="n">
        <v>0.14</v>
      </c>
      <c r="EJ52" s="69" t="n">
        <v>0.14</v>
      </c>
      <c r="EK52" s="69" t="n">
        <v>0.13</v>
      </c>
      <c r="EL52" s="69" t="n">
        <v>0.16</v>
      </c>
      <c r="EM52" s="69" t="n">
        <v>0.05</v>
      </c>
      <c r="EN52" s="69" t="n">
        <v>0.05</v>
      </c>
      <c r="EO52" s="69" t="n">
        <v>0.01</v>
      </c>
    </row>
    <row r="53" customFormat="false" ht="15" hidden="false" customHeight="false" outlineLevel="0" collapsed="false">
      <c r="A53" s="68" t="s">
        <v>276</v>
      </c>
      <c r="B53" s="69" t="n">
        <v>0.34</v>
      </c>
      <c r="C53" s="69" t="n">
        <v>0</v>
      </c>
      <c r="D53" s="69" t="n">
        <v>0.09</v>
      </c>
      <c r="E53" s="69" t="n">
        <v>0.13</v>
      </c>
      <c r="F53" s="69" t="n">
        <v>0.36</v>
      </c>
      <c r="G53" s="69" t="n">
        <v>0.05</v>
      </c>
      <c r="H53" s="69" t="n">
        <v>0.06</v>
      </c>
      <c r="I53" s="69" t="n">
        <v>0.41</v>
      </c>
      <c r="J53" s="69" t="n">
        <v>0.52</v>
      </c>
      <c r="K53" s="69" t="n">
        <v>0.39</v>
      </c>
      <c r="L53" s="69" t="n">
        <v>0.15</v>
      </c>
      <c r="M53" s="69" t="n">
        <v>0.27</v>
      </c>
      <c r="N53" s="69" t="n">
        <v>0.62</v>
      </c>
      <c r="O53" s="69" t="n">
        <v>0.09</v>
      </c>
      <c r="P53" s="69" t="n">
        <v>0.32</v>
      </c>
      <c r="Q53" s="69" t="n">
        <v>0</v>
      </c>
      <c r="R53" s="69" t="n">
        <v>0.38</v>
      </c>
      <c r="S53" s="69" t="n">
        <v>0.16</v>
      </c>
      <c r="T53" s="69" t="n">
        <v>0.23</v>
      </c>
      <c r="U53" s="69" t="n">
        <v>0.15</v>
      </c>
      <c r="V53" s="69" t="n">
        <v>0.03</v>
      </c>
      <c r="W53" s="69" t="n">
        <v>0.15</v>
      </c>
      <c r="X53" s="69" t="n">
        <v>0.28</v>
      </c>
      <c r="Y53" s="69" t="n">
        <v>0.28</v>
      </c>
      <c r="Z53" s="69" t="n">
        <v>0.1</v>
      </c>
      <c r="AA53" s="69" t="n">
        <v>0.24</v>
      </c>
      <c r="AB53" s="69" t="n">
        <v>0.28</v>
      </c>
      <c r="AC53" s="69" t="n">
        <v>-0.06</v>
      </c>
      <c r="AD53" s="69" t="n">
        <v>0.04</v>
      </c>
      <c r="AE53" s="69" t="n">
        <v>0.06</v>
      </c>
      <c r="AF53" s="69" t="n">
        <v>0.01</v>
      </c>
      <c r="AG53" s="69" t="n">
        <v>0.2</v>
      </c>
      <c r="AH53" s="69" t="n">
        <v>0.24</v>
      </c>
      <c r="AI53" s="69" t="n">
        <v>0.11</v>
      </c>
      <c r="AJ53" s="69" t="n">
        <v>0.08</v>
      </c>
      <c r="AK53" s="69" t="n">
        <v>0.01</v>
      </c>
      <c r="AL53" s="69" t="n">
        <v>0.24</v>
      </c>
      <c r="AM53" s="69" t="n">
        <v>0.16</v>
      </c>
      <c r="AN53" s="69" t="n">
        <v>0.34</v>
      </c>
      <c r="AO53" s="69" t="n">
        <v>0.54</v>
      </c>
      <c r="AP53" s="69" t="n">
        <v>0.27</v>
      </c>
      <c r="AQ53" s="69" t="n">
        <v>0.05</v>
      </c>
      <c r="AR53" s="69" t="n">
        <v>0.27</v>
      </c>
      <c r="AS53" s="69" t="n">
        <v>0.04</v>
      </c>
      <c r="AT53" s="69" t="n">
        <v>0.25</v>
      </c>
      <c r="AU53" s="69" t="n">
        <v>0.34</v>
      </c>
      <c r="AV53" s="69" t="n">
        <v>0.17</v>
      </c>
      <c r="AW53" s="69" t="n">
        <v>0.09</v>
      </c>
      <c r="AX53" s="69" t="n">
        <v>1</v>
      </c>
      <c r="AY53" s="69" t="n">
        <v>0.23</v>
      </c>
      <c r="AZ53" s="69" t="n">
        <v>0.04</v>
      </c>
      <c r="BA53" s="69" t="n">
        <v>0.36</v>
      </c>
      <c r="BB53" s="69" t="n">
        <v>0.23</v>
      </c>
      <c r="BC53" s="69" t="n">
        <v>0.11</v>
      </c>
      <c r="BD53" s="69" t="n">
        <v>0.11</v>
      </c>
      <c r="BE53" s="69" t="n">
        <v>0.51</v>
      </c>
      <c r="BF53" s="69" t="n">
        <v>0.12</v>
      </c>
      <c r="BG53" s="69" t="n">
        <v>0.22</v>
      </c>
      <c r="BH53" s="69" t="n">
        <v>0.11</v>
      </c>
      <c r="BI53" s="69" t="n">
        <v>0.05</v>
      </c>
      <c r="BJ53" s="69" t="n">
        <v>0.08</v>
      </c>
      <c r="BK53" s="69" t="n">
        <v>0.05</v>
      </c>
      <c r="BL53" s="69" t="n">
        <v>0.12</v>
      </c>
      <c r="BM53" s="69" t="n">
        <v>0.28</v>
      </c>
      <c r="BN53" s="69" t="n">
        <v>0.14</v>
      </c>
      <c r="BO53" s="69" t="n">
        <v>0.26</v>
      </c>
      <c r="BP53" s="69" t="n">
        <v>0.09</v>
      </c>
      <c r="BQ53" s="69" t="n">
        <v>0.06</v>
      </c>
      <c r="BR53" s="69" t="n">
        <v>0.21</v>
      </c>
      <c r="BS53" s="69" t="n">
        <v>0.02</v>
      </c>
      <c r="BT53" s="69" t="n">
        <v>0.24</v>
      </c>
      <c r="BU53" s="69" t="n">
        <v>0.01</v>
      </c>
      <c r="BV53" s="69" t="n">
        <v>0.14</v>
      </c>
      <c r="BW53" s="69" t="n">
        <v>0.19</v>
      </c>
      <c r="BX53" s="69" t="n">
        <v>0.44</v>
      </c>
      <c r="BY53" s="69" t="n">
        <v>0.2</v>
      </c>
      <c r="BZ53" s="69" t="n">
        <v>0.13</v>
      </c>
      <c r="CA53" s="69" t="n">
        <v>0.05</v>
      </c>
      <c r="CB53" s="69" t="n">
        <v>0</v>
      </c>
      <c r="CC53" s="69" t="n">
        <v>0.12</v>
      </c>
      <c r="CD53" s="69" t="n">
        <v>0.2</v>
      </c>
      <c r="CE53" s="69" t="n">
        <v>0.11</v>
      </c>
      <c r="CF53" s="69" t="n">
        <v>0.07</v>
      </c>
      <c r="CG53" s="69" t="n">
        <v>0.21</v>
      </c>
      <c r="CH53" s="69" t="n">
        <v>0.06</v>
      </c>
      <c r="CI53" s="69" t="n">
        <v>0.08</v>
      </c>
      <c r="CJ53" s="69" t="n">
        <v>0.22</v>
      </c>
      <c r="CK53" s="69" t="n">
        <v>0.18</v>
      </c>
      <c r="CL53" s="69" t="n">
        <v>0.18</v>
      </c>
      <c r="CM53" s="69" t="n">
        <v>-0.08</v>
      </c>
      <c r="CN53" s="69" t="n">
        <v>0.04</v>
      </c>
      <c r="CO53" s="69" t="n">
        <v>-0.03</v>
      </c>
      <c r="CP53" s="69" t="n">
        <v>0.11</v>
      </c>
      <c r="CQ53" s="69" t="n">
        <v>0.28</v>
      </c>
      <c r="CR53" s="69" t="n">
        <v>0.01</v>
      </c>
      <c r="CS53" s="69" t="n">
        <v>0.15</v>
      </c>
      <c r="CT53" s="69" t="n">
        <v>0.09</v>
      </c>
      <c r="CU53" s="69" t="n">
        <v>0.02</v>
      </c>
      <c r="CV53" s="69" t="n">
        <v>-0.11</v>
      </c>
      <c r="CW53" s="69" t="n">
        <v>0.08</v>
      </c>
      <c r="CX53" s="69" t="n">
        <v>0.1</v>
      </c>
      <c r="CY53" s="69" t="n">
        <v>0.23</v>
      </c>
      <c r="CZ53" s="69" t="n">
        <v>0.11</v>
      </c>
      <c r="DA53" s="69" t="n">
        <v>0.2</v>
      </c>
      <c r="DB53" s="69" t="n">
        <v>0.09</v>
      </c>
      <c r="DC53" s="69" t="n">
        <v>0.11</v>
      </c>
      <c r="DD53" s="69" t="n">
        <v>0.16</v>
      </c>
      <c r="DE53" s="69" t="n">
        <v>0.05</v>
      </c>
      <c r="DF53" s="69" t="n">
        <v>0.11</v>
      </c>
      <c r="DG53" s="69" t="n">
        <v>0.14</v>
      </c>
      <c r="DH53" s="69" t="n">
        <v>-0.06</v>
      </c>
      <c r="DI53" s="69" t="n">
        <v>0.25</v>
      </c>
      <c r="DJ53" s="69" t="n">
        <v>0.26</v>
      </c>
      <c r="DK53" s="69" t="n">
        <v>0.23</v>
      </c>
      <c r="DL53" s="69" t="n">
        <v>0.04</v>
      </c>
      <c r="DM53" s="69" t="n">
        <v>0.28</v>
      </c>
      <c r="DN53" s="69" t="n">
        <v>0.17</v>
      </c>
      <c r="DO53" s="69" t="n">
        <v>0.09</v>
      </c>
      <c r="DP53" s="69" t="n">
        <v>0.26</v>
      </c>
      <c r="DQ53" s="69" t="n">
        <v>-0.01</v>
      </c>
      <c r="DR53" s="69" t="n">
        <v>0.08</v>
      </c>
      <c r="DS53" s="69" t="n">
        <v>0.03</v>
      </c>
      <c r="DT53" s="69" t="n">
        <v>-0.09</v>
      </c>
      <c r="DU53" s="69" t="n">
        <v>0.07</v>
      </c>
      <c r="DV53" s="69" t="n">
        <v>0.07</v>
      </c>
      <c r="DW53" s="69" t="n">
        <v>0</v>
      </c>
      <c r="DX53" s="69" t="n">
        <v>0.02</v>
      </c>
      <c r="DY53" s="69" t="n">
        <v>0.05</v>
      </c>
      <c r="DZ53" s="69" t="n">
        <v>0.03</v>
      </c>
      <c r="EA53" s="69" t="n">
        <v>0.1</v>
      </c>
      <c r="EB53" s="69" t="n">
        <v>0.1</v>
      </c>
      <c r="EC53" s="69" t="n">
        <v>-0.12</v>
      </c>
      <c r="ED53" s="69" t="n">
        <v>0.18</v>
      </c>
      <c r="EE53" s="69" t="n">
        <v>-0.02</v>
      </c>
      <c r="EF53" s="69" t="n">
        <v>-0.03</v>
      </c>
      <c r="EG53" s="69" t="n">
        <v>-0.04</v>
      </c>
      <c r="EH53" s="69" t="n">
        <v>0.03</v>
      </c>
      <c r="EI53" s="69" t="n">
        <v>-0.1</v>
      </c>
      <c r="EJ53" s="69" t="n">
        <v>0.24</v>
      </c>
      <c r="EK53" s="69" t="n">
        <v>0.12</v>
      </c>
      <c r="EL53" s="69" t="n">
        <v>0</v>
      </c>
      <c r="EM53" s="69" t="n">
        <v>0.03</v>
      </c>
      <c r="EN53" s="69" t="n">
        <v>0.19</v>
      </c>
      <c r="EO53" s="69" t="n">
        <v>0.07</v>
      </c>
    </row>
    <row r="54" customFormat="false" ht="15" hidden="false" customHeight="false" outlineLevel="0" collapsed="false">
      <c r="A54" s="68" t="s">
        <v>277</v>
      </c>
      <c r="B54" s="69" t="n">
        <v>0.26</v>
      </c>
      <c r="C54" s="69" t="n">
        <v>0.13</v>
      </c>
      <c r="D54" s="69" t="n">
        <v>-0.03</v>
      </c>
      <c r="E54" s="69" t="n">
        <v>0.11</v>
      </c>
      <c r="F54" s="69" t="n">
        <v>0.33</v>
      </c>
      <c r="G54" s="69" t="n">
        <v>0.03</v>
      </c>
      <c r="H54" s="69" t="n">
        <v>0.01</v>
      </c>
      <c r="I54" s="69" t="n">
        <v>0.36</v>
      </c>
      <c r="J54" s="69" t="n">
        <v>0.19</v>
      </c>
      <c r="K54" s="69" t="n">
        <v>0.27</v>
      </c>
      <c r="L54" s="69" t="n">
        <v>0.28</v>
      </c>
      <c r="M54" s="69" t="n">
        <v>0.36</v>
      </c>
      <c r="N54" s="69" t="n">
        <v>0.26</v>
      </c>
      <c r="O54" s="69" t="n">
        <v>0.02</v>
      </c>
      <c r="P54" s="69" t="n">
        <v>0.3</v>
      </c>
      <c r="Q54" s="69" t="n">
        <v>-0.06</v>
      </c>
      <c r="R54" s="69" t="n">
        <v>0.3</v>
      </c>
      <c r="S54" s="69" t="n">
        <v>0.05</v>
      </c>
      <c r="T54" s="69" t="n">
        <v>0.25</v>
      </c>
      <c r="U54" s="69" t="n">
        <v>0.05</v>
      </c>
      <c r="V54" s="69" t="n">
        <v>0.08</v>
      </c>
      <c r="W54" s="69" t="n">
        <v>0.16</v>
      </c>
      <c r="X54" s="69" t="n">
        <v>0.26</v>
      </c>
      <c r="Y54" s="69" t="n">
        <v>0.45</v>
      </c>
      <c r="Z54" s="69" t="n">
        <v>0.03</v>
      </c>
      <c r="AA54" s="69" t="n">
        <v>0.14</v>
      </c>
      <c r="AB54" s="69" t="n">
        <v>0.39</v>
      </c>
      <c r="AC54" s="69" t="n">
        <v>-0.01</v>
      </c>
      <c r="AD54" s="69" t="n">
        <v>0.1</v>
      </c>
      <c r="AE54" s="69" t="n">
        <v>0.08</v>
      </c>
      <c r="AF54" s="69" t="n">
        <v>0.05</v>
      </c>
      <c r="AG54" s="69" t="n">
        <v>0.1</v>
      </c>
      <c r="AH54" s="69" t="n">
        <v>0.11</v>
      </c>
      <c r="AI54" s="69" t="n">
        <v>0.06</v>
      </c>
      <c r="AJ54" s="69" t="n">
        <v>-0.03</v>
      </c>
      <c r="AK54" s="69" t="n">
        <v>0.09</v>
      </c>
      <c r="AL54" s="69" t="n">
        <v>0.23</v>
      </c>
      <c r="AM54" s="69" t="n">
        <v>0.06</v>
      </c>
      <c r="AN54" s="69" t="n">
        <v>0.37</v>
      </c>
      <c r="AO54" s="69" t="n">
        <v>0.18</v>
      </c>
      <c r="AP54" s="69" t="n">
        <v>0.26</v>
      </c>
      <c r="AQ54" s="69" t="n">
        <v>0.05</v>
      </c>
      <c r="AR54" s="69" t="n">
        <v>0.18</v>
      </c>
      <c r="AS54" s="69" t="n">
        <v>0.02</v>
      </c>
      <c r="AT54" s="69" t="n">
        <v>0.37</v>
      </c>
      <c r="AU54" s="69" t="n">
        <v>0.24</v>
      </c>
      <c r="AV54" s="69" t="n">
        <v>0.14</v>
      </c>
      <c r="AW54" s="69" t="n">
        <v>0.16</v>
      </c>
      <c r="AX54" s="69" t="n">
        <v>0.23</v>
      </c>
      <c r="AY54" s="69" t="n">
        <v>1</v>
      </c>
      <c r="AZ54" s="69" t="n">
        <v>0.17</v>
      </c>
      <c r="BA54" s="69" t="n">
        <v>0.29</v>
      </c>
      <c r="BB54" s="69" t="n">
        <v>0.24</v>
      </c>
      <c r="BC54" s="69" t="n">
        <v>0.05</v>
      </c>
      <c r="BD54" s="69" t="n">
        <v>0.03</v>
      </c>
      <c r="BE54" s="69" t="n">
        <v>0.26</v>
      </c>
      <c r="BF54" s="69" t="n">
        <v>0.04</v>
      </c>
      <c r="BG54" s="69" t="n">
        <v>0.22</v>
      </c>
      <c r="BH54" s="69" t="n">
        <v>0.08</v>
      </c>
      <c r="BI54" s="69" t="n">
        <v>0.01</v>
      </c>
      <c r="BJ54" s="69" t="n">
        <v>-0.07</v>
      </c>
      <c r="BK54" s="69" t="n">
        <v>0.08</v>
      </c>
      <c r="BL54" s="69" t="n">
        <v>0.16</v>
      </c>
      <c r="BM54" s="69" t="n">
        <v>0.41</v>
      </c>
      <c r="BN54" s="69" t="n">
        <v>0.21</v>
      </c>
      <c r="BO54" s="69" t="n">
        <v>0.14</v>
      </c>
      <c r="BP54" s="69" t="n">
        <v>0.14</v>
      </c>
      <c r="BQ54" s="69" t="n">
        <v>0.2</v>
      </c>
      <c r="BR54" s="69" t="n">
        <v>0.36</v>
      </c>
      <c r="BS54" s="69" t="n">
        <v>0</v>
      </c>
      <c r="BT54" s="69" t="n">
        <v>0.21</v>
      </c>
      <c r="BU54" s="69" t="n">
        <v>0.06</v>
      </c>
      <c r="BV54" s="69" t="n">
        <v>0.2</v>
      </c>
      <c r="BW54" s="69" t="n">
        <v>0.27</v>
      </c>
      <c r="BX54" s="69" t="n">
        <v>0.16</v>
      </c>
      <c r="BY54" s="69" t="n">
        <v>0.25</v>
      </c>
      <c r="BZ54" s="69" t="n">
        <v>0.2</v>
      </c>
      <c r="CA54" s="69" t="n">
        <v>0.01</v>
      </c>
      <c r="CB54" s="69" t="n">
        <v>-0.02</v>
      </c>
      <c r="CC54" s="69" t="n">
        <v>0.27</v>
      </c>
      <c r="CD54" s="69" t="n">
        <v>0.21</v>
      </c>
      <c r="CE54" s="69" t="n">
        <v>0.17</v>
      </c>
      <c r="CF54" s="69" t="n">
        <v>0.05</v>
      </c>
      <c r="CG54" s="69" t="n">
        <v>0.3</v>
      </c>
      <c r="CH54" s="69" t="n">
        <v>0.16</v>
      </c>
      <c r="CI54" s="69" t="n">
        <v>0.07</v>
      </c>
      <c r="CJ54" s="69" t="n">
        <v>0.12</v>
      </c>
      <c r="CK54" s="69" t="n">
        <v>0.31</v>
      </c>
      <c r="CL54" s="69" t="n">
        <v>0.2</v>
      </c>
      <c r="CM54" s="69" t="n">
        <v>0.03</v>
      </c>
      <c r="CN54" s="69" t="n">
        <v>0.07</v>
      </c>
      <c r="CO54" s="69" t="n">
        <v>0.14</v>
      </c>
      <c r="CP54" s="69" t="n">
        <v>0.13</v>
      </c>
      <c r="CQ54" s="69" t="n">
        <v>0.37</v>
      </c>
      <c r="CR54" s="69" t="n">
        <v>0.16</v>
      </c>
      <c r="CS54" s="69" t="n">
        <v>0.2</v>
      </c>
      <c r="CT54" s="69" t="n">
        <v>0.19</v>
      </c>
      <c r="CU54" s="69" t="n">
        <v>0.03</v>
      </c>
      <c r="CV54" s="69" t="n">
        <v>0.13</v>
      </c>
      <c r="CW54" s="69" t="n">
        <v>0.2</v>
      </c>
      <c r="CX54" s="69" t="n">
        <v>0.2</v>
      </c>
      <c r="CY54" s="69" t="n">
        <v>0.29</v>
      </c>
      <c r="CZ54" s="69" t="n">
        <v>0.15</v>
      </c>
      <c r="DA54" s="69" t="n">
        <v>0.17</v>
      </c>
      <c r="DB54" s="69" t="n">
        <v>0.1</v>
      </c>
      <c r="DC54" s="69" t="n">
        <v>0.12</v>
      </c>
      <c r="DD54" s="69" t="n">
        <v>0.28</v>
      </c>
      <c r="DE54" s="69" t="n">
        <v>0.15</v>
      </c>
      <c r="DF54" s="69" t="n">
        <v>0.07</v>
      </c>
      <c r="DG54" s="69" t="n">
        <v>0.1</v>
      </c>
      <c r="DH54" s="69" t="n">
        <v>0.14</v>
      </c>
      <c r="DI54" s="69" t="n">
        <v>0.34</v>
      </c>
      <c r="DJ54" s="69" t="n">
        <v>0.33</v>
      </c>
      <c r="DK54" s="69" t="n">
        <v>0.37</v>
      </c>
      <c r="DL54" s="69" t="n">
        <v>-0.01</v>
      </c>
      <c r="DM54" s="69" t="n">
        <v>0.36</v>
      </c>
      <c r="DN54" s="69" t="n">
        <v>0.35</v>
      </c>
      <c r="DO54" s="69" t="n">
        <v>0.12</v>
      </c>
      <c r="DP54" s="69" t="n">
        <v>0.33</v>
      </c>
      <c r="DQ54" s="69" t="n">
        <v>0.04</v>
      </c>
      <c r="DR54" s="69" t="n">
        <v>0.09</v>
      </c>
      <c r="DS54" s="69" t="n">
        <v>0.08</v>
      </c>
      <c r="DT54" s="69" t="n">
        <v>-0.02</v>
      </c>
      <c r="DU54" s="69" t="n">
        <v>0.11</v>
      </c>
      <c r="DV54" s="69" t="n">
        <v>0.14</v>
      </c>
      <c r="DW54" s="69" t="n">
        <v>0.2</v>
      </c>
      <c r="DX54" s="69" t="n">
        <v>0.16</v>
      </c>
      <c r="DY54" s="69" t="n">
        <v>0.31</v>
      </c>
      <c r="DZ54" s="69" t="n">
        <v>0.04</v>
      </c>
      <c r="EA54" s="69" t="n">
        <v>0.19</v>
      </c>
      <c r="EB54" s="69" t="n">
        <v>0.21</v>
      </c>
      <c r="EC54" s="69" t="n">
        <v>-0.04</v>
      </c>
      <c r="ED54" s="69" t="n">
        <v>0.15</v>
      </c>
      <c r="EE54" s="69" t="n">
        <v>0.1</v>
      </c>
      <c r="EF54" s="69" t="n">
        <v>0.18</v>
      </c>
      <c r="EG54" s="69" t="n">
        <v>0.18</v>
      </c>
      <c r="EH54" s="69" t="n">
        <v>0.15</v>
      </c>
      <c r="EI54" s="69" t="n">
        <v>0.09</v>
      </c>
      <c r="EJ54" s="69" t="n">
        <v>0.14</v>
      </c>
      <c r="EK54" s="69" t="n">
        <v>0.14</v>
      </c>
      <c r="EL54" s="69" t="n">
        <v>0.13</v>
      </c>
      <c r="EM54" s="69" t="n">
        <v>0.08</v>
      </c>
      <c r="EN54" s="69" t="n">
        <v>0.05</v>
      </c>
      <c r="EO54" s="69" t="n">
        <v>0.03</v>
      </c>
    </row>
    <row r="55" customFormat="false" ht="15" hidden="false" customHeight="false" outlineLevel="0" collapsed="false">
      <c r="A55" s="68" t="s">
        <v>278</v>
      </c>
      <c r="B55" s="69" t="n">
        <v>0.02</v>
      </c>
      <c r="C55" s="69" t="n">
        <v>0.09</v>
      </c>
      <c r="D55" s="69" t="n">
        <v>0.21</v>
      </c>
      <c r="E55" s="69" t="n">
        <v>0.24</v>
      </c>
      <c r="F55" s="69" t="n">
        <v>-0.03</v>
      </c>
      <c r="G55" s="69" t="n">
        <v>0.11</v>
      </c>
      <c r="H55" s="69" t="n">
        <v>0.28</v>
      </c>
      <c r="I55" s="69" t="n">
        <v>0.07</v>
      </c>
      <c r="J55" s="69" t="n">
        <v>-0.05</v>
      </c>
      <c r="K55" s="69" t="n">
        <v>0.04</v>
      </c>
      <c r="L55" s="69" t="n">
        <v>0.27</v>
      </c>
      <c r="M55" s="69" t="n">
        <v>0.26</v>
      </c>
      <c r="N55" s="69" t="n">
        <v>0.11</v>
      </c>
      <c r="O55" s="69" t="n">
        <v>0.28</v>
      </c>
      <c r="P55" s="69" t="n">
        <v>0.06</v>
      </c>
      <c r="Q55" s="69" t="n">
        <v>0.1</v>
      </c>
      <c r="R55" s="69" t="n">
        <v>0</v>
      </c>
      <c r="S55" s="69" t="n">
        <v>0.28</v>
      </c>
      <c r="T55" s="69" t="n">
        <v>0.13</v>
      </c>
      <c r="U55" s="69" t="n">
        <v>0.29</v>
      </c>
      <c r="V55" s="69" t="n">
        <v>0.28</v>
      </c>
      <c r="W55" s="69" t="n">
        <v>0.13</v>
      </c>
      <c r="X55" s="69" t="n">
        <v>0.15</v>
      </c>
      <c r="Y55" s="69" t="n">
        <v>0.14</v>
      </c>
      <c r="Z55" s="69" t="n">
        <v>0.25</v>
      </c>
      <c r="AA55" s="69" t="n">
        <v>0.3</v>
      </c>
      <c r="AB55" s="69" t="n">
        <v>0.07</v>
      </c>
      <c r="AC55" s="69" t="n">
        <v>0.13</v>
      </c>
      <c r="AD55" s="69" t="n">
        <v>0.17</v>
      </c>
      <c r="AE55" s="69" t="n">
        <v>0.65</v>
      </c>
      <c r="AF55" s="69" t="n">
        <v>0.43</v>
      </c>
      <c r="AG55" s="69" t="n">
        <v>-0.03</v>
      </c>
      <c r="AH55" s="69" t="n">
        <v>-0.05</v>
      </c>
      <c r="AI55" s="69" t="n">
        <v>-0.24</v>
      </c>
      <c r="AJ55" s="69" t="n">
        <v>0.21</v>
      </c>
      <c r="AK55" s="69" t="n">
        <v>0.35</v>
      </c>
      <c r="AL55" s="69" t="n">
        <v>0.11</v>
      </c>
      <c r="AM55" s="69" t="n">
        <v>0.21</v>
      </c>
      <c r="AN55" s="69" t="n">
        <v>0.24</v>
      </c>
      <c r="AO55" s="69" t="n">
        <v>-0.01</v>
      </c>
      <c r="AP55" s="69" t="n">
        <v>0.08</v>
      </c>
      <c r="AQ55" s="69" t="n">
        <v>-0.19</v>
      </c>
      <c r="AR55" s="69" t="n">
        <v>0.1</v>
      </c>
      <c r="AS55" s="69" t="n">
        <v>0.28</v>
      </c>
      <c r="AT55" s="69" t="n">
        <v>0.18</v>
      </c>
      <c r="AU55" s="69" t="n">
        <v>0.01</v>
      </c>
      <c r="AV55" s="69" t="n">
        <v>0.19</v>
      </c>
      <c r="AW55" s="69" t="n">
        <v>0.3</v>
      </c>
      <c r="AX55" s="69" t="n">
        <v>0.04</v>
      </c>
      <c r="AY55" s="69" t="n">
        <v>0.17</v>
      </c>
      <c r="AZ55" s="69" t="n">
        <v>1</v>
      </c>
      <c r="BA55" s="69" t="n">
        <v>0.19</v>
      </c>
      <c r="BB55" s="69" t="n">
        <v>0.22</v>
      </c>
      <c r="BC55" s="69" t="n">
        <v>0.19</v>
      </c>
      <c r="BD55" s="69" t="n">
        <v>0.39</v>
      </c>
      <c r="BE55" s="69" t="n">
        <v>0.11</v>
      </c>
      <c r="BF55" s="69" t="n">
        <v>0.26</v>
      </c>
      <c r="BG55" s="69" t="n">
        <v>0.11</v>
      </c>
      <c r="BH55" s="69" t="n">
        <v>0.2</v>
      </c>
      <c r="BI55" s="69" t="n">
        <v>0.18</v>
      </c>
      <c r="BJ55" s="69" t="n">
        <v>0.11</v>
      </c>
      <c r="BK55" s="69" t="n">
        <v>0.68</v>
      </c>
      <c r="BL55" s="69" t="n">
        <v>0.15</v>
      </c>
      <c r="BM55" s="69" t="n">
        <v>0.09</v>
      </c>
      <c r="BN55" s="69" t="n">
        <v>-0.05</v>
      </c>
      <c r="BO55" s="69" t="n">
        <v>0.08</v>
      </c>
      <c r="BP55" s="69" t="n">
        <v>0.04</v>
      </c>
      <c r="BQ55" s="69" t="n">
        <v>0.33</v>
      </c>
      <c r="BR55" s="69" t="n">
        <v>0.17</v>
      </c>
      <c r="BS55" s="69" t="n">
        <v>-0.2</v>
      </c>
      <c r="BT55" s="69" t="n">
        <v>0.22</v>
      </c>
      <c r="BU55" s="69" t="n">
        <v>0.25</v>
      </c>
      <c r="BV55" s="69" t="n">
        <v>0.1</v>
      </c>
      <c r="BW55" s="69" t="n">
        <v>0.08</v>
      </c>
      <c r="BX55" s="69" t="n">
        <v>0</v>
      </c>
      <c r="BY55" s="69" t="n">
        <v>0.15</v>
      </c>
      <c r="BZ55" s="69" t="n">
        <v>0.16</v>
      </c>
      <c r="CA55" s="69" t="n">
        <v>0.34</v>
      </c>
      <c r="CB55" s="69" t="n">
        <v>-0.01</v>
      </c>
      <c r="CC55" s="69" t="n">
        <v>-0.03</v>
      </c>
      <c r="CD55" s="69" t="n">
        <v>0.07</v>
      </c>
      <c r="CE55" s="69" t="n">
        <v>0.15</v>
      </c>
      <c r="CF55" s="69" t="n">
        <v>-0.17</v>
      </c>
      <c r="CG55" s="69" t="n">
        <v>0.16</v>
      </c>
      <c r="CH55" s="69" t="n">
        <v>0.36</v>
      </c>
      <c r="CI55" s="69" t="n">
        <v>-0.21</v>
      </c>
      <c r="CJ55" s="69" t="n">
        <v>-0.07</v>
      </c>
      <c r="CK55" s="69" t="n">
        <v>0.09</v>
      </c>
      <c r="CL55" s="69" t="n">
        <v>0.12</v>
      </c>
      <c r="CM55" s="69" t="n">
        <v>0.16</v>
      </c>
      <c r="CN55" s="69" t="n">
        <v>0.16</v>
      </c>
      <c r="CO55" s="69" t="n">
        <v>0.17</v>
      </c>
      <c r="CP55" s="69" t="n">
        <v>0.04</v>
      </c>
      <c r="CQ55" s="69" t="n">
        <v>0.29</v>
      </c>
      <c r="CR55" s="69" t="n">
        <v>0.25</v>
      </c>
      <c r="CS55" s="69" t="n">
        <v>0.27</v>
      </c>
      <c r="CT55" s="69" t="n">
        <v>0.1</v>
      </c>
      <c r="CU55" s="69" t="n">
        <v>0.07</v>
      </c>
      <c r="CV55" s="69" t="n">
        <v>0.17</v>
      </c>
      <c r="CW55" s="69" t="n">
        <v>0.13</v>
      </c>
      <c r="CX55" s="69" t="n">
        <v>0.18</v>
      </c>
      <c r="CY55" s="69" t="n">
        <v>0.29</v>
      </c>
      <c r="CZ55" s="69" t="n">
        <v>0.12</v>
      </c>
      <c r="DA55" s="69" t="n">
        <v>0.08</v>
      </c>
      <c r="DB55" s="69" t="n">
        <v>0.17</v>
      </c>
      <c r="DC55" s="69" t="n">
        <v>0.41</v>
      </c>
      <c r="DD55" s="69" t="n">
        <v>0.22</v>
      </c>
      <c r="DE55" s="69" t="n">
        <v>0.3</v>
      </c>
      <c r="DF55" s="69" t="n">
        <v>-0.08</v>
      </c>
      <c r="DG55" s="69" t="n">
        <v>0.25</v>
      </c>
      <c r="DH55" s="69" t="n">
        <v>0.24</v>
      </c>
      <c r="DI55" s="69" t="n">
        <v>0.27</v>
      </c>
      <c r="DJ55" s="69" t="n">
        <v>0.17</v>
      </c>
      <c r="DK55" s="69" t="n">
        <v>0.32</v>
      </c>
      <c r="DL55" s="69" t="n">
        <v>0.24</v>
      </c>
      <c r="DM55" s="69" t="n">
        <v>0.26</v>
      </c>
      <c r="DN55" s="69" t="n">
        <v>0.08</v>
      </c>
      <c r="DO55" s="69" t="n">
        <v>0.23</v>
      </c>
      <c r="DP55" s="69" t="n">
        <v>0.2</v>
      </c>
      <c r="DQ55" s="69" t="n">
        <v>0.17</v>
      </c>
      <c r="DR55" s="69" t="n">
        <v>0.06</v>
      </c>
      <c r="DS55" s="69" t="n">
        <v>-0.09</v>
      </c>
      <c r="DT55" s="69" t="n">
        <v>0.01</v>
      </c>
      <c r="DU55" s="69" t="n">
        <v>0.15</v>
      </c>
      <c r="DV55" s="69" t="n">
        <v>0.05</v>
      </c>
      <c r="DW55" s="69" t="n">
        <v>0.11</v>
      </c>
      <c r="DX55" s="69" t="n">
        <v>0.33</v>
      </c>
      <c r="DY55" s="69" t="n">
        <v>0.16</v>
      </c>
      <c r="DZ55" s="69" t="n">
        <v>0.01</v>
      </c>
      <c r="EA55" s="69" t="n">
        <v>0.2</v>
      </c>
      <c r="EB55" s="69" t="n">
        <v>0.14</v>
      </c>
      <c r="EC55" s="69" t="n">
        <v>0.09</v>
      </c>
      <c r="ED55" s="69" t="n">
        <v>0.29</v>
      </c>
      <c r="EE55" s="69" t="n">
        <v>0.23</v>
      </c>
      <c r="EF55" s="69" t="n">
        <v>0.14</v>
      </c>
      <c r="EG55" s="69" t="n">
        <v>0.24</v>
      </c>
      <c r="EH55" s="69" t="n">
        <v>-0.01</v>
      </c>
      <c r="EI55" s="69" t="n">
        <v>0.27</v>
      </c>
      <c r="EJ55" s="69" t="n">
        <v>0.2</v>
      </c>
      <c r="EK55" s="69" t="n">
        <v>0.14</v>
      </c>
      <c r="EL55" s="69" t="n">
        <v>0.23</v>
      </c>
      <c r="EM55" s="69" t="n">
        <v>-0.02</v>
      </c>
      <c r="EN55" s="69" t="n">
        <v>0.08</v>
      </c>
      <c r="EO55" s="69" t="n">
        <v>-0.06</v>
      </c>
    </row>
    <row r="56" customFormat="false" ht="15" hidden="false" customHeight="false" outlineLevel="0" collapsed="false">
      <c r="A56" s="68" t="s">
        <v>279</v>
      </c>
      <c r="B56" s="69" t="n">
        <v>0.19</v>
      </c>
      <c r="C56" s="69" t="n">
        <v>0.06</v>
      </c>
      <c r="D56" s="69" t="n">
        <v>-0.03</v>
      </c>
      <c r="E56" s="69" t="n">
        <v>0.18</v>
      </c>
      <c r="F56" s="69" t="n">
        <v>0.21</v>
      </c>
      <c r="G56" s="69" t="n">
        <v>0.01</v>
      </c>
      <c r="H56" s="69" t="n">
        <v>0.08</v>
      </c>
      <c r="I56" s="69" t="n">
        <v>0.22</v>
      </c>
      <c r="J56" s="69" t="n">
        <v>0.2</v>
      </c>
      <c r="K56" s="69" t="n">
        <v>0.3</v>
      </c>
      <c r="L56" s="69" t="n">
        <v>0.24</v>
      </c>
      <c r="M56" s="69" t="n">
        <v>0.37</v>
      </c>
      <c r="N56" s="69" t="n">
        <v>0.29</v>
      </c>
      <c r="O56" s="69" t="n">
        <v>0.22</v>
      </c>
      <c r="P56" s="69" t="n">
        <v>0.17</v>
      </c>
      <c r="Q56" s="69" t="n">
        <v>0.03</v>
      </c>
      <c r="R56" s="69" t="n">
        <v>0.3</v>
      </c>
      <c r="S56" s="69" t="n">
        <v>0.11</v>
      </c>
      <c r="T56" s="69" t="n">
        <v>0.33</v>
      </c>
      <c r="U56" s="69" t="n">
        <v>0.22</v>
      </c>
      <c r="V56" s="69" t="n">
        <v>0.09</v>
      </c>
      <c r="W56" s="69" t="n">
        <v>0.07</v>
      </c>
      <c r="X56" s="69" t="n">
        <v>0.39</v>
      </c>
      <c r="Y56" s="69" t="n">
        <v>0.17</v>
      </c>
      <c r="Z56" s="69" t="n">
        <v>0.19</v>
      </c>
      <c r="AA56" s="69" t="n">
        <v>0.22</v>
      </c>
      <c r="AB56" s="69" t="n">
        <v>0.16</v>
      </c>
      <c r="AC56" s="69" t="n">
        <v>0.07</v>
      </c>
      <c r="AD56" s="69" t="n">
        <v>0.19</v>
      </c>
      <c r="AE56" s="69" t="n">
        <v>0.22</v>
      </c>
      <c r="AF56" s="69" t="n">
        <v>0.08</v>
      </c>
      <c r="AG56" s="69" t="n">
        <v>0.19</v>
      </c>
      <c r="AH56" s="69" t="n">
        <v>0.24</v>
      </c>
      <c r="AI56" s="69" t="n">
        <v>0.01</v>
      </c>
      <c r="AJ56" s="69" t="n">
        <v>0.1</v>
      </c>
      <c r="AK56" s="69" t="n">
        <v>0.23</v>
      </c>
      <c r="AL56" s="69" t="n">
        <v>0.19</v>
      </c>
      <c r="AM56" s="69" t="n">
        <v>0.18</v>
      </c>
      <c r="AN56" s="69" t="n">
        <v>0.43</v>
      </c>
      <c r="AO56" s="69" t="n">
        <v>0.19</v>
      </c>
      <c r="AP56" s="69" t="n">
        <v>0.29</v>
      </c>
      <c r="AQ56" s="69" t="n">
        <v>-0.02</v>
      </c>
      <c r="AR56" s="69" t="n">
        <v>0.32</v>
      </c>
      <c r="AS56" s="69" t="n">
        <v>0.14</v>
      </c>
      <c r="AT56" s="69" t="n">
        <v>0.32</v>
      </c>
      <c r="AU56" s="69" t="n">
        <v>0.2</v>
      </c>
      <c r="AV56" s="69" t="n">
        <v>0.19</v>
      </c>
      <c r="AW56" s="69" t="n">
        <v>0.22</v>
      </c>
      <c r="AX56" s="69" t="n">
        <v>0.36</v>
      </c>
      <c r="AY56" s="69" t="n">
        <v>0.29</v>
      </c>
      <c r="AZ56" s="69" t="n">
        <v>0.19</v>
      </c>
      <c r="BA56" s="69" t="n">
        <v>1</v>
      </c>
      <c r="BB56" s="69" t="n">
        <v>0.35</v>
      </c>
      <c r="BC56" s="69" t="n">
        <v>0.15</v>
      </c>
      <c r="BD56" s="69" t="n">
        <v>0.28</v>
      </c>
      <c r="BE56" s="69" t="n">
        <v>0.27</v>
      </c>
      <c r="BF56" s="69" t="n">
        <v>0.15</v>
      </c>
      <c r="BG56" s="69" t="n">
        <v>0.22</v>
      </c>
      <c r="BH56" s="69" t="n">
        <v>0.1</v>
      </c>
      <c r="BI56" s="69" t="n">
        <v>0.09</v>
      </c>
      <c r="BJ56" s="69" t="n">
        <v>0.03</v>
      </c>
      <c r="BK56" s="69" t="n">
        <v>0.14</v>
      </c>
      <c r="BL56" s="69" t="n">
        <v>0.36</v>
      </c>
      <c r="BM56" s="69" t="n">
        <v>0.28</v>
      </c>
      <c r="BN56" s="69" t="n">
        <v>0.28</v>
      </c>
      <c r="BO56" s="69" t="n">
        <v>0.25</v>
      </c>
      <c r="BP56" s="69" t="n">
        <v>0</v>
      </c>
      <c r="BQ56" s="69" t="n">
        <v>0.32</v>
      </c>
      <c r="BR56" s="69" t="n">
        <v>0.3</v>
      </c>
      <c r="BS56" s="69" t="n">
        <v>-0.03</v>
      </c>
      <c r="BT56" s="69" t="n">
        <v>0.34</v>
      </c>
      <c r="BU56" s="69" t="n">
        <v>0.17</v>
      </c>
      <c r="BV56" s="69" t="n">
        <v>0.18</v>
      </c>
      <c r="BW56" s="69" t="n">
        <v>0.25</v>
      </c>
      <c r="BX56" s="69" t="n">
        <v>0.18</v>
      </c>
      <c r="BY56" s="69" t="n">
        <v>0.42</v>
      </c>
      <c r="BZ56" s="69" t="n">
        <v>0.23</v>
      </c>
      <c r="CA56" s="69" t="n">
        <v>0.05</v>
      </c>
      <c r="CB56" s="69" t="n">
        <v>0.01</v>
      </c>
      <c r="CC56" s="69" t="n">
        <v>0.1</v>
      </c>
      <c r="CD56" s="69" t="n">
        <v>0.21</v>
      </c>
      <c r="CE56" s="69" t="n">
        <v>0.18</v>
      </c>
      <c r="CF56" s="69" t="n">
        <v>-0.01</v>
      </c>
      <c r="CG56" s="69" t="n">
        <v>0.26</v>
      </c>
      <c r="CH56" s="69" t="n">
        <v>0.27</v>
      </c>
      <c r="CI56" s="69" t="n">
        <v>-0.01</v>
      </c>
      <c r="CJ56" s="69" t="n">
        <v>0.05</v>
      </c>
      <c r="CK56" s="69" t="n">
        <v>0.31</v>
      </c>
      <c r="CL56" s="69" t="n">
        <v>0.34</v>
      </c>
      <c r="CM56" s="69" t="n">
        <v>0.12</v>
      </c>
      <c r="CN56" s="69" t="n">
        <v>0.03</v>
      </c>
      <c r="CO56" s="69" t="n">
        <v>0.1</v>
      </c>
      <c r="CP56" s="69" t="n">
        <v>0.1</v>
      </c>
      <c r="CQ56" s="69" t="n">
        <v>0.42</v>
      </c>
      <c r="CR56" s="69" t="n">
        <v>0.23</v>
      </c>
      <c r="CS56" s="69" t="n">
        <v>0.41</v>
      </c>
      <c r="CT56" s="69" t="n">
        <v>0.17</v>
      </c>
      <c r="CU56" s="69" t="n">
        <v>0.03</v>
      </c>
      <c r="CV56" s="69" t="n">
        <v>0.06</v>
      </c>
      <c r="CW56" s="69" t="n">
        <v>0.16</v>
      </c>
      <c r="CX56" s="69" t="n">
        <v>0.22</v>
      </c>
      <c r="CY56" s="69" t="n">
        <v>0.4</v>
      </c>
      <c r="CZ56" s="69" t="n">
        <v>0.05</v>
      </c>
      <c r="DA56" s="69" t="n">
        <v>0.07</v>
      </c>
      <c r="DB56" s="69" t="n">
        <v>0.17</v>
      </c>
      <c r="DC56" s="69" t="n">
        <v>0.22</v>
      </c>
      <c r="DD56" s="69" t="n">
        <v>0.19</v>
      </c>
      <c r="DE56" s="69" t="n">
        <v>0.23</v>
      </c>
      <c r="DF56" s="69" t="n">
        <v>0.01</v>
      </c>
      <c r="DG56" s="69" t="n">
        <v>0.19</v>
      </c>
      <c r="DH56" s="69" t="n">
        <v>0.13</v>
      </c>
      <c r="DI56" s="69" t="n">
        <v>0.35</v>
      </c>
      <c r="DJ56" s="69" t="n">
        <v>0.32</v>
      </c>
      <c r="DK56" s="69" t="n">
        <v>0.44</v>
      </c>
      <c r="DL56" s="69" t="n">
        <v>0.12</v>
      </c>
      <c r="DM56" s="69" t="n">
        <v>0.43</v>
      </c>
      <c r="DN56" s="69" t="n">
        <v>0.24</v>
      </c>
      <c r="DO56" s="69" t="n">
        <v>0.27</v>
      </c>
      <c r="DP56" s="69" t="n">
        <v>0.38</v>
      </c>
      <c r="DQ56" s="69" t="n">
        <v>0.27</v>
      </c>
      <c r="DR56" s="69" t="n">
        <v>0.14</v>
      </c>
      <c r="DS56" s="69" t="n">
        <v>0.01</v>
      </c>
      <c r="DT56" s="69" t="n">
        <v>0.04</v>
      </c>
      <c r="DU56" s="69" t="n">
        <v>0.18</v>
      </c>
      <c r="DV56" s="69" t="n">
        <v>0.07</v>
      </c>
      <c r="DW56" s="69" t="n">
        <v>0.1</v>
      </c>
      <c r="DX56" s="69" t="n">
        <v>0.28</v>
      </c>
      <c r="DY56" s="69" t="n">
        <v>0.21</v>
      </c>
      <c r="DZ56" s="69" t="n">
        <v>0.01</v>
      </c>
      <c r="EA56" s="69" t="n">
        <v>0.17</v>
      </c>
      <c r="EB56" s="69" t="n">
        <v>0.23</v>
      </c>
      <c r="EC56" s="69" t="n">
        <v>0</v>
      </c>
      <c r="ED56" s="69" t="n">
        <v>0.19</v>
      </c>
      <c r="EE56" s="69" t="n">
        <v>0.18</v>
      </c>
      <c r="EF56" s="69" t="n">
        <v>0.19</v>
      </c>
      <c r="EG56" s="69" t="n">
        <v>0.18</v>
      </c>
      <c r="EH56" s="69" t="n">
        <v>0.01</v>
      </c>
      <c r="EI56" s="69" t="n">
        <v>0.19</v>
      </c>
      <c r="EJ56" s="69" t="n">
        <v>0.16</v>
      </c>
      <c r="EK56" s="69" t="n">
        <v>0.18</v>
      </c>
      <c r="EL56" s="69" t="n">
        <v>0.16</v>
      </c>
      <c r="EM56" s="69" t="n">
        <v>0.17</v>
      </c>
      <c r="EN56" s="69" t="n">
        <v>0.04</v>
      </c>
      <c r="EO56" s="69" t="n">
        <v>0.1</v>
      </c>
    </row>
    <row r="57" customFormat="false" ht="15" hidden="false" customHeight="false" outlineLevel="0" collapsed="false">
      <c r="A57" s="68" t="s">
        <v>280</v>
      </c>
      <c r="B57" s="69" t="n">
        <v>0.16</v>
      </c>
      <c r="C57" s="69" t="n">
        <v>-0.07</v>
      </c>
      <c r="D57" s="69" t="n">
        <v>0.05</v>
      </c>
      <c r="E57" s="69" t="n">
        <v>0.12</v>
      </c>
      <c r="F57" s="69" t="n">
        <v>-0.07</v>
      </c>
      <c r="G57" s="69" t="n">
        <v>0.08</v>
      </c>
      <c r="H57" s="69" t="n">
        <v>0.03</v>
      </c>
      <c r="I57" s="69" t="n">
        <v>0.09</v>
      </c>
      <c r="J57" s="69" t="n">
        <v>0.01</v>
      </c>
      <c r="K57" s="69" t="n">
        <v>0</v>
      </c>
      <c r="L57" s="69" t="n">
        <v>0.05</v>
      </c>
      <c r="M57" s="69" t="n">
        <v>0.33</v>
      </c>
      <c r="N57" s="69" t="n">
        <v>0.19</v>
      </c>
      <c r="O57" s="69" t="n">
        <v>0.09</v>
      </c>
      <c r="P57" s="69" t="n">
        <v>0</v>
      </c>
      <c r="Q57" s="69" t="n">
        <v>0.05</v>
      </c>
      <c r="R57" s="69" t="n">
        <v>0</v>
      </c>
      <c r="S57" s="69" t="n">
        <v>-0.02</v>
      </c>
      <c r="T57" s="69" t="n">
        <v>0.75</v>
      </c>
      <c r="U57" s="69" t="n">
        <v>0.18</v>
      </c>
      <c r="V57" s="69" t="n">
        <v>0.05</v>
      </c>
      <c r="W57" s="69" t="n">
        <v>0.09</v>
      </c>
      <c r="X57" s="69" t="n">
        <v>0.7</v>
      </c>
      <c r="Y57" s="69" t="n">
        <v>0.29</v>
      </c>
      <c r="Z57" s="69" t="n">
        <v>0.08</v>
      </c>
      <c r="AA57" s="69" t="n">
        <v>0.13</v>
      </c>
      <c r="AB57" s="69" t="n">
        <v>0.3</v>
      </c>
      <c r="AC57" s="69" t="n">
        <v>0.06</v>
      </c>
      <c r="AD57" s="69" t="n">
        <v>0.01</v>
      </c>
      <c r="AE57" s="69" t="n">
        <v>0.25</v>
      </c>
      <c r="AF57" s="69" t="n">
        <v>0.17</v>
      </c>
      <c r="AG57" s="69" t="n">
        <v>-0.04</v>
      </c>
      <c r="AH57" s="69" t="n">
        <v>-0.05</v>
      </c>
      <c r="AI57" s="69" t="n">
        <v>-0.08</v>
      </c>
      <c r="AJ57" s="69" t="n">
        <v>0.09</v>
      </c>
      <c r="AK57" s="69" t="n">
        <v>0.2</v>
      </c>
      <c r="AL57" s="69" t="n">
        <v>0.29</v>
      </c>
      <c r="AM57" s="69" t="n">
        <v>0.21</v>
      </c>
      <c r="AN57" s="69" t="n">
        <v>0.25</v>
      </c>
      <c r="AO57" s="69" t="n">
        <v>0.05</v>
      </c>
      <c r="AP57" s="69" t="n">
        <v>0.26</v>
      </c>
      <c r="AQ57" s="69" t="n">
        <v>-0.12</v>
      </c>
      <c r="AR57" s="69" t="n">
        <v>0.7</v>
      </c>
      <c r="AS57" s="69" t="n">
        <v>0.15</v>
      </c>
      <c r="AT57" s="69" t="n">
        <v>0.62</v>
      </c>
      <c r="AU57" s="69" t="n">
        <v>0</v>
      </c>
      <c r="AV57" s="69" t="n">
        <v>0.16</v>
      </c>
      <c r="AW57" s="69" t="n">
        <v>0.11</v>
      </c>
      <c r="AX57" s="69" t="n">
        <v>0.23</v>
      </c>
      <c r="AY57" s="69" t="n">
        <v>0.24</v>
      </c>
      <c r="AZ57" s="69" t="n">
        <v>0.22</v>
      </c>
      <c r="BA57" s="69" t="n">
        <v>0.35</v>
      </c>
      <c r="BB57" s="69" t="n">
        <v>1</v>
      </c>
      <c r="BC57" s="69" t="n">
        <v>0.16</v>
      </c>
      <c r="BD57" s="69" t="n">
        <v>0.16</v>
      </c>
      <c r="BE57" s="69" t="n">
        <v>0.1</v>
      </c>
      <c r="BF57" s="69" t="n">
        <v>0.19</v>
      </c>
      <c r="BG57" s="69" t="n">
        <v>0.25</v>
      </c>
      <c r="BH57" s="69" t="n">
        <v>0.14</v>
      </c>
      <c r="BI57" s="69" t="n">
        <v>0.11</v>
      </c>
      <c r="BJ57" s="69" t="n">
        <v>0.02</v>
      </c>
      <c r="BK57" s="69" t="n">
        <v>0.25</v>
      </c>
      <c r="BL57" s="69" t="n">
        <v>0.36</v>
      </c>
      <c r="BM57" s="69" t="n">
        <v>0.15</v>
      </c>
      <c r="BN57" s="69" t="n">
        <v>0.13</v>
      </c>
      <c r="BO57" s="69" t="n">
        <v>0.27</v>
      </c>
      <c r="BP57" s="69" t="n">
        <v>0.24</v>
      </c>
      <c r="BQ57" s="69" t="n">
        <v>0.31</v>
      </c>
      <c r="BR57" s="69" t="n">
        <v>0.41</v>
      </c>
      <c r="BS57" s="69" t="n">
        <v>-0.1</v>
      </c>
      <c r="BT57" s="69" t="n">
        <v>0.52</v>
      </c>
      <c r="BU57" s="69" t="n">
        <v>0.19</v>
      </c>
      <c r="BV57" s="69" t="n">
        <v>0.26</v>
      </c>
      <c r="BW57" s="69" t="n">
        <v>0.26</v>
      </c>
      <c r="BX57" s="69" t="n">
        <v>0.06</v>
      </c>
      <c r="BY57" s="69" t="n">
        <v>0.36</v>
      </c>
      <c r="BZ57" s="69" t="n">
        <v>0.36</v>
      </c>
      <c r="CA57" s="69" t="n">
        <v>0.08</v>
      </c>
      <c r="CB57" s="69" t="n">
        <v>0</v>
      </c>
      <c r="CC57" s="69" t="n">
        <v>0.17</v>
      </c>
      <c r="CD57" s="69" t="n">
        <v>0.22</v>
      </c>
      <c r="CE57" s="69" t="n">
        <v>0.38</v>
      </c>
      <c r="CF57" s="69" t="n">
        <v>-0.13</v>
      </c>
      <c r="CG57" s="69" t="n">
        <v>0.38</v>
      </c>
      <c r="CH57" s="69" t="n">
        <v>0.28</v>
      </c>
      <c r="CI57" s="69" t="n">
        <v>-0.13</v>
      </c>
      <c r="CJ57" s="69" t="n">
        <v>0.07</v>
      </c>
      <c r="CK57" s="69" t="n">
        <v>0.2</v>
      </c>
      <c r="CL57" s="69" t="n">
        <v>0.21</v>
      </c>
      <c r="CM57" s="69" t="n">
        <v>0.36</v>
      </c>
      <c r="CN57" s="69" t="n">
        <v>0.08</v>
      </c>
      <c r="CO57" s="69" t="n">
        <v>0.14</v>
      </c>
      <c r="CP57" s="69" t="n">
        <v>0.13</v>
      </c>
      <c r="CQ57" s="69" t="n">
        <v>0.62</v>
      </c>
      <c r="CR57" s="69" t="n">
        <v>0.41</v>
      </c>
      <c r="CS57" s="69" t="n">
        <v>0.44</v>
      </c>
      <c r="CT57" s="69" t="n">
        <v>0.3</v>
      </c>
      <c r="CU57" s="69" t="n">
        <v>0.13</v>
      </c>
      <c r="CV57" s="69" t="n">
        <v>0.27</v>
      </c>
      <c r="CW57" s="69" t="n">
        <v>0.27</v>
      </c>
      <c r="CX57" s="69" t="n">
        <v>0.4</v>
      </c>
      <c r="CY57" s="69" t="n">
        <v>0.53</v>
      </c>
      <c r="CZ57" s="69" t="n">
        <v>0.18</v>
      </c>
      <c r="DA57" s="69" t="n">
        <v>0.17</v>
      </c>
      <c r="DB57" s="69" t="n">
        <v>0.37</v>
      </c>
      <c r="DC57" s="69" t="n">
        <v>0.39</v>
      </c>
      <c r="DD57" s="69" t="n">
        <v>0.37</v>
      </c>
      <c r="DE57" s="69" t="n">
        <v>0.36</v>
      </c>
      <c r="DF57" s="69" t="n">
        <v>0.1</v>
      </c>
      <c r="DG57" s="69" t="n">
        <v>0.26</v>
      </c>
      <c r="DH57" s="69" t="n">
        <v>0.33</v>
      </c>
      <c r="DI57" s="69" t="n">
        <v>0.54</v>
      </c>
      <c r="DJ57" s="69" t="n">
        <v>0.41</v>
      </c>
      <c r="DK57" s="69" t="n">
        <v>0.59</v>
      </c>
      <c r="DL57" s="69" t="n">
        <v>0.09</v>
      </c>
      <c r="DM57" s="69" t="n">
        <v>0.5</v>
      </c>
      <c r="DN57" s="69" t="n">
        <v>0.26</v>
      </c>
      <c r="DO57" s="69" t="n">
        <v>0.33</v>
      </c>
      <c r="DP57" s="69" t="n">
        <v>0.42</v>
      </c>
      <c r="DQ57" s="69" t="n">
        <v>0.25</v>
      </c>
      <c r="DR57" s="69" t="n">
        <v>0.29</v>
      </c>
      <c r="DS57" s="69" t="n">
        <v>0.24</v>
      </c>
      <c r="DT57" s="69" t="n">
        <v>0.31</v>
      </c>
      <c r="DU57" s="69" t="n">
        <v>0.48</v>
      </c>
      <c r="DV57" s="69" t="n">
        <v>0.25</v>
      </c>
      <c r="DW57" s="69" t="n">
        <v>0.3</v>
      </c>
      <c r="DX57" s="69" t="n">
        <v>0.42</v>
      </c>
      <c r="DY57" s="69" t="n">
        <v>0.45</v>
      </c>
      <c r="DZ57" s="69" t="n">
        <v>0.19</v>
      </c>
      <c r="EA57" s="69" t="n">
        <v>0.19</v>
      </c>
      <c r="EB57" s="69" t="n">
        <v>0.52</v>
      </c>
      <c r="EC57" s="69" t="n">
        <v>0.1</v>
      </c>
      <c r="ED57" s="69" t="n">
        <v>0.29</v>
      </c>
      <c r="EE57" s="69" t="n">
        <v>0.31</v>
      </c>
      <c r="EF57" s="69" t="n">
        <v>0.33</v>
      </c>
      <c r="EG57" s="69" t="n">
        <v>0.28</v>
      </c>
      <c r="EH57" s="69" t="n">
        <v>0.21</v>
      </c>
      <c r="EI57" s="69" t="n">
        <v>0.27</v>
      </c>
      <c r="EJ57" s="69" t="n">
        <v>0.27</v>
      </c>
      <c r="EK57" s="69" t="n">
        <v>0.35</v>
      </c>
      <c r="EL57" s="69" t="n">
        <v>0.38</v>
      </c>
      <c r="EM57" s="69" t="n">
        <v>0.15</v>
      </c>
      <c r="EN57" s="69" t="n">
        <v>0.01</v>
      </c>
      <c r="EO57" s="69" t="n">
        <v>0.09</v>
      </c>
    </row>
    <row r="58" customFormat="false" ht="15" hidden="false" customHeight="false" outlineLevel="0" collapsed="false">
      <c r="A58" s="68" t="s">
        <v>281</v>
      </c>
      <c r="B58" s="69" t="n">
        <v>0.11</v>
      </c>
      <c r="C58" s="69" t="n">
        <v>0.02</v>
      </c>
      <c r="D58" s="69" t="n">
        <v>0.06</v>
      </c>
      <c r="E58" s="69" t="n">
        <v>0.22</v>
      </c>
      <c r="F58" s="69" t="n">
        <v>0.08</v>
      </c>
      <c r="G58" s="69" t="n">
        <v>0.03</v>
      </c>
      <c r="H58" s="69" t="n">
        <v>0.16</v>
      </c>
      <c r="I58" s="69" t="n">
        <v>0.12</v>
      </c>
      <c r="J58" s="69" t="n">
        <v>0</v>
      </c>
      <c r="K58" s="69" t="n">
        <v>0.03</v>
      </c>
      <c r="L58" s="69" t="n">
        <v>0.11</v>
      </c>
      <c r="M58" s="69" t="n">
        <v>0.15</v>
      </c>
      <c r="N58" s="69" t="n">
        <v>0.07</v>
      </c>
      <c r="O58" s="69" t="n">
        <v>0.28</v>
      </c>
      <c r="P58" s="69" t="n">
        <v>0.06</v>
      </c>
      <c r="Q58" s="69" t="n">
        <v>-0.09</v>
      </c>
      <c r="R58" s="69" t="n">
        <v>0.06</v>
      </c>
      <c r="S58" s="69" t="n">
        <v>0.19</v>
      </c>
      <c r="T58" s="69" t="n">
        <v>0.07</v>
      </c>
      <c r="U58" s="69" t="n">
        <v>0.17</v>
      </c>
      <c r="V58" s="69" t="n">
        <v>0.13</v>
      </c>
      <c r="W58" s="69" t="n">
        <v>0.12</v>
      </c>
      <c r="X58" s="69" t="n">
        <v>0.14</v>
      </c>
      <c r="Y58" s="69" t="n">
        <v>0.07</v>
      </c>
      <c r="Z58" s="69" t="n">
        <v>0.18</v>
      </c>
      <c r="AA58" s="69" t="n">
        <v>0.16</v>
      </c>
      <c r="AB58" s="69" t="n">
        <v>0</v>
      </c>
      <c r="AC58" s="69" t="n">
        <v>0.23</v>
      </c>
      <c r="AD58" s="69" t="n">
        <v>0.23</v>
      </c>
      <c r="AE58" s="69" t="n">
        <v>0.22</v>
      </c>
      <c r="AF58" s="69" t="n">
        <v>0.22</v>
      </c>
      <c r="AG58" s="69" t="n">
        <v>0.01</v>
      </c>
      <c r="AH58" s="69" t="n">
        <v>-0.01</v>
      </c>
      <c r="AI58" s="69" t="n">
        <v>-0.02</v>
      </c>
      <c r="AJ58" s="69" t="n">
        <v>0.14</v>
      </c>
      <c r="AK58" s="69" t="n">
        <v>0.17</v>
      </c>
      <c r="AL58" s="69" t="n">
        <v>0.1</v>
      </c>
      <c r="AM58" s="69" t="n">
        <v>0.21</v>
      </c>
      <c r="AN58" s="69" t="n">
        <v>0.11</v>
      </c>
      <c r="AO58" s="69" t="n">
        <v>0.01</v>
      </c>
      <c r="AP58" s="69" t="n">
        <v>0.14</v>
      </c>
      <c r="AQ58" s="69" t="n">
        <v>-0.03</v>
      </c>
      <c r="AR58" s="69" t="n">
        <v>0.06</v>
      </c>
      <c r="AS58" s="69" t="n">
        <v>0.13</v>
      </c>
      <c r="AT58" s="69" t="n">
        <v>0.11</v>
      </c>
      <c r="AU58" s="69" t="n">
        <v>0.04</v>
      </c>
      <c r="AV58" s="69" t="n">
        <v>0.23</v>
      </c>
      <c r="AW58" s="69" t="n">
        <v>0.21</v>
      </c>
      <c r="AX58" s="69" t="n">
        <v>0.11</v>
      </c>
      <c r="AY58" s="69" t="n">
        <v>0.05</v>
      </c>
      <c r="AZ58" s="69" t="n">
        <v>0.19</v>
      </c>
      <c r="BA58" s="69" t="n">
        <v>0.15</v>
      </c>
      <c r="BB58" s="69" t="n">
        <v>0.16</v>
      </c>
      <c r="BC58" s="69" t="n">
        <v>1</v>
      </c>
      <c r="BD58" s="69" t="n">
        <v>0.24</v>
      </c>
      <c r="BE58" s="69" t="n">
        <v>0.09</v>
      </c>
      <c r="BF58" s="69" t="n">
        <v>0.19</v>
      </c>
      <c r="BG58" s="69" t="n">
        <v>0.11</v>
      </c>
      <c r="BH58" s="69" t="n">
        <v>0.21</v>
      </c>
      <c r="BI58" s="69" t="n">
        <v>0.09</v>
      </c>
      <c r="BJ58" s="69" t="n">
        <v>0.05</v>
      </c>
      <c r="BK58" s="69" t="n">
        <v>0.24</v>
      </c>
      <c r="BL58" s="69" t="n">
        <v>0.06</v>
      </c>
      <c r="BM58" s="69" t="n">
        <v>-0.06</v>
      </c>
      <c r="BN58" s="69" t="n">
        <v>0.1</v>
      </c>
      <c r="BO58" s="69" t="n">
        <v>0.15</v>
      </c>
      <c r="BP58" s="69" t="n">
        <v>0.12</v>
      </c>
      <c r="BQ58" s="69" t="n">
        <v>0.22</v>
      </c>
      <c r="BR58" s="69" t="n">
        <v>0.18</v>
      </c>
      <c r="BS58" s="69" t="n">
        <v>-0.05</v>
      </c>
      <c r="BT58" s="69" t="n">
        <v>0.2</v>
      </c>
      <c r="BU58" s="69" t="n">
        <v>0.14</v>
      </c>
      <c r="BV58" s="69" t="n">
        <v>0</v>
      </c>
      <c r="BW58" s="69" t="n">
        <v>0.21</v>
      </c>
      <c r="BX58" s="69" t="n">
        <v>0.11</v>
      </c>
      <c r="BY58" s="69" t="n">
        <v>0.12</v>
      </c>
      <c r="BZ58" s="69" t="n">
        <v>0.1</v>
      </c>
      <c r="CA58" s="69" t="n">
        <v>0.2</v>
      </c>
      <c r="CB58" s="69" t="n">
        <v>-0.04</v>
      </c>
      <c r="CC58" s="69" t="n">
        <v>0.07</v>
      </c>
      <c r="CD58" s="69" t="n">
        <v>0.01</v>
      </c>
      <c r="CE58" s="69" t="n">
        <v>0.06</v>
      </c>
      <c r="CF58" s="69" t="n">
        <v>-0.03</v>
      </c>
      <c r="CG58" s="69" t="n">
        <v>0.12</v>
      </c>
      <c r="CH58" s="69" t="n">
        <v>0.13</v>
      </c>
      <c r="CI58" s="69" t="n">
        <v>-0.04</v>
      </c>
      <c r="CJ58" s="69" t="n">
        <v>-0.06</v>
      </c>
      <c r="CK58" s="69" t="n">
        <v>0.04</v>
      </c>
      <c r="CL58" s="69" t="n">
        <v>0.07</v>
      </c>
      <c r="CM58" s="69" t="n">
        <v>0.1</v>
      </c>
      <c r="CN58" s="69" t="n">
        <v>0.02</v>
      </c>
      <c r="CO58" s="69" t="n">
        <v>0.15</v>
      </c>
      <c r="CP58" s="69" t="n">
        <v>0.05</v>
      </c>
      <c r="CQ58" s="69" t="n">
        <v>0.14</v>
      </c>
      <c r="CR58" s="69" t="n">
        <v>0.15</v>
      </c>
      <c r="CS58" s="69" t="n">
        <v>0.16</v>
      </c>
      <c r="CT58" s="69" t="n">
        <v>0.16</v>
      </c>
      <c r="CU58" s="69" t="n">
        <v>0.1</v>
      </c>
      <c r="CV58" s="69" t="n">
        <v>0</v>
      </c>
      <c r="CW58" s="69" t="n">
        <v>0.14</v>
      </c>
      <c r="CX58" s="69" t="n">
        <v>0.08</v>
      </c>
      <c r="CY58" s="69" t="n">
        <v>0.09</v>
      </c>
      <c r="CZ58" s="69" t="n">
        <v>0.12</v>
      </c>
      <c r="DA58" s="69" t="n">
        <v>0.04</v>
      </c>
      <c r="DB58" s="69" t="n">
        <v>0.17</v>
      </c>
      <c r="DC58" s="69" t="n">
        <v>0.12</v>
      </c>
      <c r="DD58" s="69" t="n">
        <v>0.14</v>
      </c>
      <c r="DE58" s="69" t="n">
        <v>0.02</v>
      </c>
      <c r="DF58" s="69" t="n">
        <v>0.06</v>
      </c>
      <c r="DG58" s="69" t="n">
        <v>0.1</v>
      </c>
      <c r="DH58" s="69" t="n">
        <v>0.21</v>
      </c>
      <c r="DI58" s="69" t="n">
        <v>0.19</v>
      </c>
      <c r="DJ58" s="69" t="n">
        <v>-0.01</v>
      </c>
      <c r="DK58" s="69" t="n">
        <v>0.18</v>
      </c>
      <c r="DL58" s="69" t="n">
        <v>0.17</v>
      </c>
      <c r="DM58" s="69" t="n">
        <v>0.1</v>
      </c>
      <c r="DN58" s="69" t="n">
        <v>0.06</v>
      </c>
      <c r="DO58" s="69" t="n">
        <v>0.07</v>
      </c>
      <c r="DP58" s="69" t="n">
        <v>0.07</v>
      </c>
      <c r="DQ58" s="69" t="n">
        <v>0.1</v>
      </c>
      <c r="DR58" s="69" t="n">
        <v>-0.02</v>
      </c>
      <c r="DS58" s="69" t="n">
        <v>-0.08</v>
      </c>
      <c r="DT58" s="69" t="n">
        <v>0.06</v>
      </c>
      <c r="DU58" s="69" t="n">
        <v>0.2</v>
      </c>
      <c r="DV58" s="69" t="n">
        <v>0.13</v>
      </c>
      <c r="DW58" s="69" t="n">
        <v>0.1</v>
      </c>
      <c r="DX58" s="69" t="n">
        <v>0.12</v>
      </c>
      <c r="DY58" s="69" t="n">
        <v>0.1</v>
      </c>
      <c r="DZ58" s="69" t="n">
        <v>0.05</v>
      </c>
      <c r="EA58" s="69" t="n">
        <v>0.08</v>
      </c>
      <c r="EB58" s="69" t="n">
        <v>0.06</v>
      </c>
      <c r="EC58" s="69" t="n">
        <v>0.03</v>
      </c>
      <c r="ED58" s="69" t="n">
        <v>0.17</v>
      </c>
      <c r="EE58" s="69" t="n">
        <v>0.11</v>
      </c>
      <c r="EF58" s="69" t="n">
        <v>0.04</v>
      </c>
      <c r="EG58" s="69" t="n">
        <v>0.09</v>
      </c>
      <c r="EH58" s="69" t="n">
        <v>0.04</v>
      </c>
      <c r="EI58" s="69" t="n">
        <v>0.07</v>
      </c>
      <c r="EJ58" s="69" t="n">
        <v>0.13</v>
      </c>
      <c r="EK58" s="69" t="n">
        <v>0.18</v>
      </c>
      <c r="EL58" s="69" t="n">
        <v>0.16</v>
      </c>
      <c r="EM58" s="69" t="n">
        <v>0.05</v>
      </c>
      <c r="EN58" s="69" t="n">
        <v>0.01</v>
      </c>
      <c r="EO58" s="69" t="n">
        <v>-0.06</v>
      </c>
    </row>
    <row r="59" customFormat="false" ht="15" hidden="false" customHeight="false" outlineLevel="0" collapsed="false">
      <c r="A59" s="68" t="s">
        <v>282</v>
      </c>
      <c r="B59" s="69" t="n">
        <v>0.01</v>
      </c>
      <c r="C59" s="69" t="n">
        <v>0.16</v>
      </c>
      <c r="D59" s="69" t="n">
        <v>0.16</v>
      </c>
      <c r="E59" s="69" t="n">
        <v>0.23</v>
      </c>
      <c r="F59" s="69" t="n">
        <v>0.01</v>
      </c>
      <c r="G59" s="69" t="n">
        <v>0.16</v>
      </c>
      <c r="H59" s="69" t="n">
        <v>0.24</v>
      </c>
      <c r="I59" s="69" t="n">
        <v>0.04</v>
      </c>
      <c r="J59" s="69" t="n">
        <v>0.04</v>
      </c>
      <c r="K59" s="69" t="n">
        <v>0.1</v>
      </c>
      <c r="L59" s="69" t="n">
        <v>0.22</v>
      </c>
      <c r="M59" s="69" t="n">
        <v>0.18</v>
      </c>
      <c r="N59" s="69" t="n">
        <v>0.09</v>
      </c>
      <c r="O59" s="69" t="n">
        <v>0.33</v>
      </c>
      <c r="P59" s="69" t="n">
        <v>0.04</v>
      </c>
      <c r="Q59" s="69" t="n">
        <v>0.05</v>
      </c>
      <c r="R59" s="69" t="n">
        <v>0.05</v>
      </c>
      <c r="S59" s="69" t="n">
        <v>0.34</v>
      </c>
      <c r="T59" s="69" t="n">
        <v>0.09</v>
      </c>
      <c r="U59" s="69" t="n">
        <v>0.5</v>
      </c>
      <c r="V59" s="69" t="n">
        <v>0.22</v>
      </c>
      <c r="W59" s="69" t="n">
        <v>0.26</v>
      </c>
      <c r="X59" s="69" t="n">
        <v>0.16</v>
      </c>
      <c r="Y59" s="69" t="n">
        <v>0.08</v>
      </c>
      <c r="Z59" s="69" t="n">
        <v>0.32</v>
      </c>
      <c r="AA59" s="69" t="n">
        <v>0.25</v>
      </c>
      <c r="AB59" s="69" t="n">
        <v>0.06</v>
      </c>
      <c r="AC59" s="69" t="n">
        <v>0.14</v>
      </c>
      <c r="AD59" s="69" t="n">
        <v>0.28</v>
      </c>
      <c r="AE59" s="69" t="n">
        <v>0.43</v>
      </c>
      <c r="AF59" s="69" t="n">
        <v>0.34</v>
      </c>
      <c r="AG59" s="69" t="n">
        <v>0.04</v>
      </c>
      <c r="AH59" s="69" t="n">
        <v>0.04</v>
      </c>
      <c r="AI59" s="69" t="n">
        <v>-0.18</v>
      </c>
      <c r="AJ59" s="69" t="n">
        <v>0.3</v>
      </c>
      <c r="AK59" s="69" t="n">
        <v>0.54</v>
      </c>
      <c r="AL59" s="69" t="n">
        <v>0.01</v>
      </c>
      <c r="AM59" s="69" t="n">
        <v>0.31</v>
      </c>
      <c r="AN59" s="69" t="n">
        <v>0.18</v>
      </c>
      <c r="AO59" s="69" t="n">
        <v>0.03</v>
      </c>
      <c r="AP59" s="69" t="n">
        <v>0.13</v>
      </c>
      <c r="AQ59" s="69" t="n">
        <v>-0.12</v>
      </c>
      <c r="AR59" s="69" t="n">
        <v>0.16</v>
      </c>
      <c r="AS59" s="69" t="n">
        <v>0.51</v>
      </c>
      <c r="AT59" s="69" t="n">
        <v>0.11</v>
      </c>
      <c r="AU59" s="69" t="n">
        <v>-0.05</v>
      </c>
      <c r="AV59" s="69" t="n">
        <v>0.25</v>
      </c>
      <c r="AW59" s="69" t="n">
        <v>0.35</v>
      </c>
      <c r="AX59" s="69" t="n">
        <v>0.11</v>
      </c>
      <c r="AY59" s="69" t="n">
        <v>0.03</v>
      </c>
      <c r="AZ59" s="69" t="n">
        <v>0.39</v>
      </c>
      <c r="BA59" s="69" t="n">
        <v>0.28</v>
      </c>
      <c r="BB59" s="69" t="n">
        <v>0.16</v>
      </c>
      <c r="BC59" s="69" t="n">
        <v>0.24</v>
      </c>
      <c r="BD59" s="69" t="n">
        <v>1</v>
      </c>
      <c r="BE59" s="69" t="n">
        <v>0.08</v>
      </c>
      <c r="BF59" s="69" t="n">
        <v>0.32</v>
      </c>
      <c r="BG59" s="69" t="n">
        <v>0.08</v>
      </c>
      <c r="BH59" s="69" t="n">
        <v>0.35</v>
      </c>
      <c r="BI59" s="69" t="n">
        <v>0.04</v>
      </c>
      <c r="BJ59" s="69" t="n">
        <v>0.07</v>
      </c>
      <c r="BK59" s="69" t="n">
        <v>0.34</v>
      </c>
      <c r="BL59" s="69" t="n">
        <v>0.24</v>
      </c>
      <c r="BM59" s="69" t="n">
        <v>0.01</v>
      </c>
      <c r="BN59" s="69" t="n">
        <v>0.1</v>
      </c>
      <c r="BO59" s="69" t="n">
        <v>0.17</v>
      </c>
      <c r="BP59" s="69" t="n">
        <v>0.1</v>
      </c>
      <c r="BQ59" s="69" t="n">
        <v>0.36</v>
      </c>
      <c r="BR59" s="69" t="n">
        <v>0.11</v>
      </c>
      <c r="BS59" s="69" t="n">
        <v>-0.13</v>
      </c>
      <c r="BT59" s="69" t="n">
        <v>0.15</v>
      </c>
      <c r="BU59" s="69" t="n">
        <v>0.35</v>
      </c>
      <c r="BV59" s="69" t="n">
        <v>0.12</v>
      </c>
      <c r="BW59" s="69" t="n">
        <v>0.17</v>
      </c>
      <c r="BX59" s="69" t="n">
        <v>0.06</v>
      </c>
      <c r="BY59" s="69" t="n">
        <v>0.18</v>
      </c>
      <c r="BZ59" s="69" t="n">
        <v>0.21</v>
      </c>
      <c r="CA59" s="69" t="n">
        <v>0.26</v>
      </c>
      <c r="CB59" s="69" t="n">
        <v>0.02</v>
      </c>
      <c r="CC59" s="69" t="n">
        <v>0.09</v>
      </c>
      <c r="CD59" s="69" t="n">
        <v>0.08</v>
      </c>
      <c r="CE59" s="69" t="n">
        <v>0.12</v>
      </c>
      <c r="CF59" s="69" t="n">
        <v>-0.13</v>
      </c>
      <c r="CG59" s="69" t="n">
        <v>0.1</v>
      </c>
      <c r="CH59" s="69" t="n">
        <v>0.35</v>
      </c>
      <c r="CI59" s="69" t="n">
        <v>-0.18</v>
      </c>
      <c r="CJ59" s="69" t="n">
        <v>0.07</v>
      </c>
      <c r="CK59" s="69" t="n">
        <v>0.04</v>
      </c>
      <c r="CL59" s="69" t="n">
        <v>0.04</v>
      </c>
      <c r="CM59" s="69" t="n">
        <v>0.12</v>
      </c>
      <c r="CN59" s="69" t="n">
        <v>0.27</v>
      </c>
      <c r="CO59" s="69" t="n">
        <v>0.2</v>
      </c>
      <c r="CP59" s="69" t="n">
        <v>0.04</v>
      </c>
      <c r="CQ59" s="69" t="n">
        <v>0.13</v>
      </c>
      <c r="CR59" s="69" t="n">
        <v>0.15</v>
      </c>
      <c r="CS59" s="69" t="n">
        <v>0.2</v>
      </c>
      <c r="CT59" s="69" t="n">
        <v>0.16</v>
      </c>
      <c r="CU59" s="69" t="n">
        <v>0.13</v>
      </c>
      <c r="CV59" s="69" t="n">
        <v>0.05</v>
      </c>
      <c r="CW59" s="69" t="n">
        <v>0.18</v>
      </c>
      <c r="CX59" s="69" t="n">
        <v>0.22</v>
      </c>
      <c r="CY59" s="69" t="n">
        <v>0.15</v>
      </c>
      <c r="CZ59" s="69" t="n">
        <v>0.15</v>
      </c>
      <c r="DA59" s="69" t="n">
        <v>0.09</v>
      </c>
      <c r="DB59" s="69" t="n">
        <v>0.17</v>
      </c>
      <c r="DC59" s="69" t="n">
        <v>0.37</v>
      </c>
      <c r="DD59" s="69" t="n">
        <v>0.14</v>
      </c>
      <c r="DE59" s="69" t="n">
        <v>0.23</v>
      </c>
      <c r="DF59" s="69" t="n">
        <v>-0.01</v>
      </c>
      <c r="DG59" s="69" t="n">
        <v>0.23</v>
      </c>
      <c r="DH59" s="69" t="n">
        <v>0.08</v>
      </c>
      <c r="DI59" s="69" t="n">
        <v>0.16</v>
      </c>
      <c r="DJ59" s="69" t="n">
        <v>0.09</v>
      </c>
      <c r="DK59" s="69" t="n">
        <v>0.17</v>
      </c>
      <c r="DL59" s="69" t="n">
        <v>0.32</v>
      </c>
      <c r="DM59" s="69" t="n">
        <v>0.2</v>
      </c>
      <c r="DN59" s="69" t="n">
        <v>0.04</v>
      </c>
      <c r="DO59" s="69" t="n">
        <v>0.1</v>
      </c>
      <c r="DP59" s="69" t="n">
        <v>0.15</v>
      </c>
      <c r="DQ59" s="69" t="n">
        <v>0.11</v>
      </c>
      <c r="DR59" s="69" t="n">
        <v>0.07</v>
      </c>
      <c r="DS59" s="69" t="n">
        <v>-0.09</v>
      </c>
      <c r="DT59" s="69" t="n">
        <v>0.03</v>
      </c>
      <c r="DU59" s="69" t="n">
        <v>0.2</v>
      </c>
      <c r="DV59" s="69" t="n">
        <v>-0.04</v>
      </c>
      <c r="DW59" s="69" t="n">
        <v>0.08</v>
      </c>
      <c r="DX59" s="69" t="n">
        <v>0.13</v>
      </c>
      <c r="DY59" s="69" t="n">
        <v>0.07</v>
      </c>
      <c r="DZ59" s="69" t="n">
        <v>0.07</v>
      </c>
      <c r="EA59" s="69" t="n">
        <v>0.1</v>
      </c>
      <c r="EB59" s="69" t="n">
        <v>0.04</v>
      </c>
      <c r="EC59" s="69" t="n">
        <v>0.11</v>
      </c>
      <c r="ED59" s="69" t="n">
        <v>0.15</v>
      </c>
      <c r="EE59" s="69" t="n">
        <v>0.17</v>
      </c>
      <c r="EF59" s="69" t="n">
        <v>0.08</v>
      </c>
      <c r="EG59" s="69" t="n">
        <v>0.13</v>
      </c>
      <c r="EH59" s="69" t="n">
        <v>0.06</v>
      </c>
      <c r="EI59" s="69" t="n">
        <v>0.09</v>
      </c>
      <c r="EJ59" s="69" t="n">
        <v>0.16</v>
      </c>
      <c r="EK59" s="69" t="n">
        <v>0.15</v>
      </c>
      <c r="EL59" s="69" t="n">
        <v>0.24</v>
      </c>
      <c r="EM59" s="69" t="n">
        <v>0.07</v>
      </c>
      <c r="EN59" s="69" t="n">
        <v>0.03</v>
      </c>
      <c r="EO59" s="69" t="n">
        <v>0.12</v>
      </c>
    </row>
    <row r="60" customFormat="false" ht="15" hidden="false" customHeight="false" outlineLevel="0" collapsed="false">
      <c r="A60" s="68" t="s">
        <v>283</v>
      </c>
      <c r="B60" s="69" t="n">
        <v>0.29</v>
      </c>
      <c r="C60" s="69" t="n">
        <v>0.07</v>
      </c>
      <c r="D60" s="69" t="n">
        <v>-0.02</v>
      </c>
      <c r="E60" s="69" t="n">
        <v>0.09</v>
      </c>
      <c r="F60" s="69" t="n">
        <v>0.41</v>
      </c>
      <c r="G60" s="69" t="n">
        <v>-0.03</v>
      </c>
      <c r="H60" s="69" t="n">
        <v>0.09</v>
      </c>
      <c r="I60" s="69" t="n">
        <v>0.35</v>
      </c>
      <c r="J60" s="69" t="n">
        <v>0.55</v>
      </c>
      <c r="K60" s="69" t="n">
        <v>0.4</v>
      </c>
      <c r="L60" s="69" t="n">
        <v>0.11</v>
      </c>
      <c r="M60" s="69" t="n">
        <v>0.29</v>
      </c>
      <c r="N60" s="69" t="n">
        <v>0.5</v>
      </c>
      <c r="O60" s="69" t="n">
        <v>0.11</v>
      </c>
      <c r="P60" s="69" t="n">
        <v>0.29</v>
      </c>
      <c r="Q60" s="69" t="n">
        <v>-0.08</v>
      </c>
      <c r="R60" s="69" t="n">
        <v>0.37</v>
      </c>
      <c r="S60" s="69" t="n">
        <v>0.16</v>
      </c>
      <c r="T60" s="69" t="n">
        <v>0.17</v>
      </c>
      <c r="U60" s="69" t="n">
        <v>0.23</v>
      </c>
      <c r="V60" s="69" t="n">
        <v>0.03</v>
      </c>
      <c r="W60" s="69" t="n">
        <v>0.11</v>
      </c>
      <c r="X60" s="69" t="n">
        <v>0.21</v>
      </c>
      <c r="Y60" s="69" t="n">
        <v>0.26</v>
      </c>
      <c r="Z60" s="69" t="n">
        <v>0.09</v>
      </c>
      <c r="AA60" s="69" t="n">
        <v>0.17</v>
      </c>
      <c r="AB60" s="69" t="n">
        <v>0.25</v>
      </c>
      <c r="AC60" s="69" t="n">
        <v>0</v>
      </c>
      <c r="AD60" s="69" t="n">
        <v>0.12</v>
      </c>
      <c r="AE60" s="69" t="n">
        <v>0.05</v>
      </c>
      <c r="AF60" s="69" t="n">
        <v>0.06</v>
      </c>
      <c r="AG60" s="69" t="n">
        <v>0.28</v>
      </c>
      <c r="AH60" s="69" t="n">
        <v>0.26</v>
      </c>
      <c r="AI60" s="69" t="n">
        <v>0.15</v>
      </c>
      <c r="AJ60" s="69" t="n">
        <v>0.06</v>
      </c>
      <c r="AK60" s="69" t="n">
        <v>0.08</v>
      </c>
      <c r="AL60" s="69" t="n">
        <v>0.26</v>
      </c>
      <c r="AM60" s="69" t="n">
        <v>0.11</v>
      </c>
      <c r="AN60" s="69" t="n">
        <v>0.33</v>
      </c>
      <c r="AO60" s="69" t="n">
        <v>0.46</v>
      </c>
      <c r="AP60" s="69" t="n">
        <v>0.21</v>
      </c>
      <c r="AQ60" s="69" t="n">
        <v>0.12</v>
      </c>
      <c r="AR60" s="69" t="n">
        <v>0.16</v>
      </c>
      <c r="AS60" s="69" t="n">
        <v>0.05</v>
      </c>
      <c r="AT60" s="69" t="n">
        <v>0.14</v>
      </c>
      <c r="AU60" s="69" t="n">
        <v>0.27</v>
      </c>
      <c r="AV60" s="69" t="n">
        <v>0.08</v>
      </c>
      <c r="AW60" s="69" t="n">
        <v>0.11</v>
      </c>
      <c r="AX60" s="69" t="n">
        <v>0.51</v>
      </c>
      <c r="AY60" s="69" t="n">
        <v>0.26</v>
      </c>
      <c r="AZ60" s="69" t="n">
        <v>0.11</v>
      </c>
      <c r="BA60" s="69" t="n">
        <v>0.27</v>
      </c>
      <c r="BB60" s="69" t="n">
        <v>0.1</v>
      </c>
      <c r="BC60" s="69" t="n">
        <v>0.09</v>
      </c>
      <c r="BD60" s="69" t="n">
        <v>0.08</v>
      </c>
      <c r="BE60" s="69" t="n">
        <v>1</v>
      </c>
      <c r="BF60" s="69" t="n">
        <v>0.06</v>
      </c>
      <c r="BG60" s="69" t="n">
        <v>0.26</v>
      </c>
      <c r="BH60" s="69" t="n">
        <v>0.08</v>
      </c>
      <c r="BI60" s="69" t="n">
        <v>0.09</v>
      </c>
      <c r="BJ60" s="69" t="n">
        <v>0.02</v>
      </c>
      <c r="BK60" s="69" t="n">
        <v>0.03</v>
      </c>
      <c r="BL60" s="69" t="n">
        <v>0.17</v>
      </c>
      <c r="BM60" s="69" t="n">
        <v>0.29</v>
      </c>
      <c r="BN60" s="69" t="n">
        <v>0.19</v>
      </c>
      <c r="BO60" s="69" t="n">
        <v>0.09</v>
      </c>
      <c r="BP60" s="69" t="n">
        <v>-0.09</v>
      </c>
      <c r="BQ60" s="69" t="n">
        <v>0.13</v>
      </c>
      <c r="BR60" s="69" t="n">
        <v>0.11</v>
      </c>
      <c r="BS60" s="69" t="n">
        <v>0.05</v>
      </c>
      <c r="BT60" s="69" t="n">
        <v>0.22</v>
      </c>
      <c r="BU60" s="69" t="n">
        <v>0.05</v>
      </c>
      <c r="BV60" s="69" t="n">
        <v>0.07</v>
      </c>
      <c r="BW60" s="69" t="n">
        <v>0.15</v>
      </c>
      <c r="BX60" s="69" t="n">
        <v>0.44</v>
      </c>
      <c r="BY60" s="69" t="n">
        <v>0.23</v>
      </c>
      <c r="BZ60" s="69" t="n">
        <v>0.14</v>
      </c>
      <c r="CA60" s="69" t="n">
        <v>0.07</v>
      </c>
      <c r="CB60" s="69" t="n">
        <v>0</v>
      </c>
      <c r="CC60" s="69" t="n">
        <v>0.14</v>
      </c>
      <c r="CD60" s="69" t="n">
        <v>0.12</v>
      </c>
      <c r="CE60" s="69" t="n">
        <v>0.06</v>
      </c>
      <c r="CF60" s="69" t="n">
        <v>0.1</v>
      </c>
      <c r="CG60" s="69" t="n">
        <v>0.12</v>
      </c>
      <c r="CH60" s="69" t="n">
        <v>0.14</v>
      </c>
      <c r="CI60" s="69" t="n">
        <v>0.07</v>
      </c>
      <c r="CJ60" s="69" t="n">
        <v>0.2</v>
      </c>
      <c r="CK60" s="69" t="n">
        <v>0.19</v>
      </c>
      <c r="CL60" s="69" t="n">
        <v>0.31</v>
      </c>
      <c r="CM60" s="69" t="n">
        <v>-0.11</v>
      </c>
      <c r="CN60" s="69" t="n">
        <v>0.05</v>
      </c>
      <c r="CO60" s="69" t="n">
        <v>0.04</v>
      </c>
      <c r="CP60" s="69" t="n">
        <v>0.09</v>
      </c>
      <c r="CQ60" s="69" t="n">
        <v>0.22</v>
      </c>
      <c r="CR60" s="69" t="n">
        <v>0.05</v>
      </c>
      <c r="CS60" s="69" t="n">
        <v>0.15</v>
      </c>
      <c r="CT60" s="69" t="n">
        <v>0.05</v>
      </c>
      <c r="CU60" s="69" t="n">
        <v>-0.01</v>
      </c>
      <c r="CV60" s="69" t="n">
        <v>0.04</v>
      </c>
      <c r="CW60" s="69" t="n">
        <v>0.16</v>
      </c>
      <c r="CX60" s="69" t="n">
        <v>0.14</v>
      </c>
      <c r="CY60" s="69" t="n">
        <v>0.2</v>
      </c>
      <c r="CZ60" s="69" t="n">
        <v>0.12</v>
      </c>
      <c r="DA60" s="69" t="n">
        <v>0.14</v>
      </c>
      <c r="DB60" s="69" t="n">
        <v>0.04</v>
      </c>
      <c r="DC60" s="69" t="n">
        <v>0.08</v>
      </c>
      <c r="DD60" s="69" t="n">
        <v>0.1</v>
      </c>
      <c r="DE60" s="69" t="n">
        <v>0.13</v>
      </c>
      <c r="DF60" s="69" t="n">
        <v>-0.02</v>
      </c>
      <c r="DG60" s="69" t="n">
        <v>0.18</v>
      </c>
      <c r="DH60" s="69" t="n">
        <v>-0.11</v>
      </c>
      <c r="DI60" s="69" t="n">
        <v>0.15</v>
      </c>
      <c r="DJ60" s="69" t="n">
        <v>0.22</v>
      </c>
      <c r="DK60" s="69" t="n">
        <v>0.19</v>
      </c>
      <c r="DL60" s="69" t="n">
        <v>0.06</v>
      </c>
      <c r="DM60" s="69" t="n">
        <v>0.22</v>
      </c>
      <c r="DN60" s="69" t="n">
        <v>0.13</v>
      </c>
      <c r="DO60" s="69" t="n">
        <v>0.05</v>
      </c>
      <c r="DP60" s="69" t="n">
        <v>0.21</v>
      </c>
      <c r="DQ60" s="69" t="n">
        <v>0.09</v>
      </c>
      <c r="DR60" s="69" t="n">
        <v>0.13</v>
      </c>
      <c r="DS60" s="69" t="n">
        <v>-0.02</v>
      </c>
      <c r="DT60" s="69" t="n">
        <v>-0.13</v>
      </c>
      <c r="DU60" s="69" t="n">
        <v>0.04</v>
      </c>
      <c r="DV60" s="69" t="n">
        <v>-0.03</v>
      </c>
      <c r="DW60" s="69" t="n">
        <v>0</v>
      </c>
      <c r="DX60" s="69" t="n">
        <v>0.02</v>
      </c>
      <c r="DY60" s="69" t="n">
        <v>0.05</v>
      </c>
      <c r="DZ60" s="69" t="n">
        <v>-0.03</v>
      </c>
      <c r="EA60" s="69" t="n">
        <v>0.13</v>
      </c>
      <c r="EB60" s="69" t="n">
        <v>0.12</v>
      </c>
      <c r="EC60" s="69" t="n">
        <v>-0.02</v>
      </c>
      <c r="ED60" s="69" t="n">
        <v>0.11</v>
      </c>
      <c r="EE60" s="69" t="n">
        <v>-0.07</v>
      </c>
      <c r="EF60" s="69" t="n">
        <v>0.13</v>
      </c>
      <c r="EG60" s="69" t="n">
        <v>0</v>
      </c>
      <c r="EH60" s="69" t="n">
        <v>0.08</v>
      </c>
      <c r="EI60" s="69" t="n">
        <v>-0.02</v>
      </c>
      <c r="EJ60" s="69" t="n">
        <v>0.18</v>
      </c>
      <c r="EK60" s="69" t="n">
        <v>0.1</v>
      </c>
      <c r="EL60" s="69" t="n">
        <v>0.06</v>
      </c>
      <c r="EM60" s="69" t="n">
        <v>0.06</v>
      </c>
      <c r="EN60" s="69" t="n">
        <v>0.48</v>
      </c>
      <c r="EO60" s="69" t="n">
        <v>0.07</v>
      </c>
    </row>
    <row r="61" customFormat="false" ht="15" hidden="false" customHeight="false" outlineLevel="0" collapsed="false">
      <c r="A61" s="68" t="s">
        <v>284</v>
      </c>
      <c r="B61" s="69" t="n">
        <v>0.04</v>
      </c>
      <c r="C61" s="69" t="n">
        <v>-0.01</v>
      </c>
      <c r="D61" s="69" t="n">
        <v>0.13</v>
      </c>
      <c r="E61" s="69" t="n">
        <v>0.32</v>
      </c>
      <c r="F61" s="69" t="n">
        <v>0.03</v>
      </c>
      <c r="G61" s="69" t="n">
        <v>0.21</v>
      </c>
      <c r="H61" s="69" t="n">
        <v>0.23</v>
      </c>
      <c r="I61" s="69" t="n">
        <v>0.09</v>
      </c>
      <c r="J61" s="69" t="n">
        <v>0.04</v>
      </c>
      <c r="K61" s="69" t="n">
        <v>0.1</v>
      </c>
      <c r="L61" s="69" t="n">
        <v>0.17</v>
      </c>
      <c r="M61" s="69" t="n">
        <v>0.26</v>
      </c>
      <c r="N61" s="69" t="n">
        <v>0.17</v>
      </c>
      <c r="O61" s="69" t="n">
        <v>0.26</v>
      </c>
      <c r="P61" s="69" t="n">
        <v>0.08</v>
      </c>
      <c r="Q61" s="69" t="n">
        <v>0.07</v>
      </c>
      <c r="R61" s="69" t="n">
        <v>0.07</v>
      </c>
      <c r="S61" s="69" t="n">
        <v>0.22</v>
      </c>
      <c r="T61" s="69" t="n">
        <v>0.16</v>
      </c>
      <c r="U61" s="69" t="n">
        <v>0.32</v>
      </c>
      <c r="V61" s="69" t="n">
        <v>0.27</v>
      </c>
      <c r="W61" s="69" t="n">
        <v>0.22</v>
      </c>
      <c r="X61" s="69" t="n">
        <v>0.12</v>
      </c>
      <c r="Y61" s="69" t="n">
        <v>-0.02</v>
      </c>
      <c r="Z61" s="69" t="n">
        <v>0.45</v>
      </c>
      <c r="AA61" s="69" t="n">
        <v>0.21</v>
      </c>
      <c r="AB61" s="69" t="n">
        <v>-0.02</v>
      </c>
      <c r="AC61" s="69" t="n">
        <v>0.18</v>
      </c>
      <c r="AD61" s="69" t="n">
        <v>0.2</v>
      </c>
      <c r="AE61" s="69" t="n">
        <v>0.32</v>
      </c>
      <c r="AF61" s="69" t="n">
        <v>0.29</v>
      </c>
      <c r="AG61" s="69" t="n">
        <v>-0.03</v>
      </c>
      <c r="AH61" s="69" t="n">
        <v>-0.02</v>
      </c>
      <c r="AI61" s="69" t="n">
        <v>-0.06</v>
      </c>
      <c r="AJ61" s="69" t="n">
        <v>0.23</v>
      </c>
      <c r="AK61" s="69" t="n">
        <v>0.25</v>
      </c>
      <c r="AL61" s="69" t="n">
        <v>0.14</v>
      </c>
      <c r="AM61" s="69" t="n">
        <v>0.23</v>
      </c>
      <c r="AN61" s="69" t="n">
        <v>0.19</v>
      </c>
      <c r="AO61" s="69" t="n">
        <v>0.07</v>
      </c>
      <c r="AP61" s="69" t="n">
        <v>0.12</v>
      </c>
      <c r="AQ61" s="69" t="n">
        <v>0.01</v>
      </c>
      <c r="AR61" s="69" t="n">
        <v>0.12</v>
      </c>
      <c r="AS61" s="69" t="n">
        <v>0.31</v>
      </c>
      <c r="AT61" s="69" t="n">
        <v>0.11</v>
      </c>
      <c r="AU61" s="69" t="n">
        <v>0.02</v>
      </c>
      <c r="AV61" s="69" t="n">
        <v>0.27</v>
      </c>
      <c r="AW61" s="69" t="n">
        <v>0.35</v>
      </c>
      <c r="AX61" s="69" t="n">
        <v>0.12</v>
      </c>
      <c r="AY61" s="69" t="n">
        <v>0.04</v>
      </c>
      <c r="AZ61" s="69" t="n">
        <v>0.26</v>
      </c>
      <c r="BA61" s="69" t="n">
        <v>0.15</v>
      </c>
      <c r="BB61" s="69" t="n">
        <v>0.19</v>
      </c>
      <c r="BC61" s="69" t="n">
        <v>0.19</v>
      </c>
      <c r="BD61" s="69" t="n">
        <v>0.32</v>
      </c>
      <c r="BE61" s="69" t="n">
        <v>0.06</v>
      </c>
      <c r="BF61" s="69" t="n">
        <v>1</v>
      </c>
      <c r="BG61" s="69" t="n">
        <v>0.18</v>
      </c>
      <c r="BH61" s="69" t="n">
        <v>0.25</v>
      </c>
      <c r="BI61" s="69" t="n">
        <v>0.17</v>
      </c>
      <c r="BJ61" s="69" t="n">
        <v>0.01</v>
      </c>
      <c r="BK61" s="69" t="n">
        <v>0.33</v>
      </c>
      <c r="BL61" s="69" t="n">
        <v>0.23</v>
      </c>
      <c r="BM61" s="69" t="n">
        <v>0.01</v>
      </c>
      <c r="BN61" s="69" t="n">
        <v>0.05</v>
      </c>
      <c r="BO61" s="69" t="n">
        <v>0.06</v>
      </c>
      <c r="BP61" s="69" t="n">
        <v>-0.02</v>
      </c>
      <c r="BQ61" s="69" t="n">
        <v>0.25</v>
      </c>
      <c r="BR61" s="69" t="n">
        <v>0.2</v>
      </c>
      <c r="BS61" s="69" t="n">
        <v>0</v>
      </c>
      <c r="BT61" s="69" t="n">
        <v>0.22</v>
      </c>
      <c r="BU61" s="69" t="n">
        <v>0.2</v>
      </c>
      <c r="BV61" s="69" t="n">
        <v>0.01</v>
      </c>
      <c r="BW61" s="69" t="n">
        <v>0.15</v>
      </c>
      <c r="BX61" s="69" t="n">
        <v>0.1</v>
      </c>
      <c r="BY61" s="69" t="n">
        <v>0.1</v>
      </c>
      <c r="BZ61" s="69" t="n">
        <v>0.19</v>
      </c>
      <c r="CA61" s="69" t="n">
        <v>0.24</v>
      </c>
      <c r="CB61" s="69" t="n">
        <v>-0.09</v>
      </c>
      <c r="CC61" s="69" t="n">
        <v>0.09</v>
      </c>
      <c r="CD61" s="69" t="n">
        <v>0.12</v>
      </c>
      <c r="CE61" s="69" t="n">
        <v>0.05</v>
      </c>
      <c r="CF61" s="69" t="n">
        <v>0.02</v>
      </c>
      <c r="CG61" s="69" t="n">
        <v>0.1</v>
      </c>
      <c r="CH61" s="69" t="n">
        <v>0.24</v>
      </c>
      <c r="CI61" s="69" t="n">
        <v>-0.04</v>
      </c>
      <c r="CJ61" s="69" t="n">
        <v>0</v>
      </c>
      <c r="CK61" s="69" t="n">
        <v>0.12</v>
      </c>
      <c r="CL61" s="69" t="n">
        <v>0.03</v>
      </c>
      <c r="CM61" s="69" t="n">
        <v>0.04</v>
      </c>
      <c r="CN61" s="69" t="n">
        <v>0.27</v>
      </c>
      <c r="CO61" s="69" t="n">
        <v>0.2</v>
      </c>
      <c r="CP61" s="69" t="n">
        <v>0.15</v>
      </c>
      <c r="CQ61" s="69" t="n">
        <v>0.19</v>
      </c>
      <c r="CR61" s="69" t="n">
        <v>0.16</v>
      </c>
      <c r="CS61" s="69" t="n">
        <v>0.19</v>
      </c>
      <c r="CT61" s="69" t="n">
        <v>0.24</v>
      </c>
      <c r="CU61" s="69" t="n">
        <v>0.18</v>
      </c>
      <c r="CV61" s="69" t="n">
        <v>0.09</v>
      </c>
      <c r="CW61" s="69" t="n">
        <v>0.12</v>
      </c>
      <c r="CX61" s="69" t="n">
        <v>0.17</v>
      </c>
      <c r="CY61" s="69" t="n">
        <v>0.17</v>
      </c>
      <c r="CZ61" s="69" t="n">
        <v>0.07</v>
      </c>
      <c r="DA61" s="69" t="n">
        <v>0.1</v>
      </c>
      <c r="DB61" s="69" t="n">
        <v>0.23</v>
      </c>
      <c r="DC61" s="69" t="n">
        <v>0.26</v>
      </c>
      <c r="DD61" s="69" t="n">
        <v>0.12</v>
      </c>
      <c r="DE61" s="69" t="n">
        <v>0.2</v>
      </c>
      <c r="DF61" s="69" t="n">
        <v>-0.05</v>
      </c>
      <c r="DG61" s="69" t="n">
        <v>0.22</v>
      </c>
      <c r="DH61" s="69" t="n">
        <v>0.04</v>
      </c>
      <c r="DI61" s="69" t="n">
        <v>0.11</v>
      </c>
      <c r="DJ61" s="69" t="n">
        <v>0.12</v>
      </c>
      <c r="DK61" s="69" t="n">
        <v>0.16</v>
      </c>
      <c r="DL61" s="69" t="n">
        <v>0.23</v>
      </c>
      <c r="DM61" s="69" t="n">
        <v>0.19</v>
      </c>
      <c r="DN61" s="69" t="n">
        <v>0.04</v>
      </c>
      <c r="DO61" s="69" t="n">
        <v>0.16</v>
      </c>
      <c r="DP61" s="69" t="n">
        <v>0.18</v>
      </c>
      <c r="DQ61" s="69" t="n">
        <v>0.11</v>
      </c>
      <c r="DR61" s="69" t="n">
        <v>0.13</v>
      </c>
      <c r="DS61" s="69" t="n">
        <v>0.03</v>
      </c>
      <c r="DT61" s="69" t="n">
        <v>-0.01</v>
      </c>
      <c r="DU61" s="69" t="n">
        <v>0.11</v>
      </c>
      <c r="DV61" s="69" t="n">
        <v>0.05</v>
      </c>
      <c r="DW61" s="69" t="n">
        <v>0.05</v>
      </c>
      <c r="DX61" s="69" t="n">
        <v>0.14</v>
      </c>
      <c r="DY61" s="69" t="n">
        <v>0.11</v>
      </c>
      <c r="DZ61" s="69" t="n">
        <v>0.07</v>
      </c>
      <c r="EA61" s="69" t="n">
        <v>0.1</v>
      </c>
      <c r="EB61" s="69" t="n">
        <v>0.13</v>
      </c>
      <c r="EC61" s="69" t="n">
        <v>0.08</v>
      </c>
      <c r="ED61" s="69" t="n">
        <v>0.21</v>
      </c>
      <c r="EE61" s="69" t="n">
        <v>0.19</v>
      </c>
      <c r="EF61" s="69" t="n">
        <v>0.14</v>
      </c>
      <c r="EG61" s="69" t="n">
        <v>0.13</v>
      </c>
      <c r="EH61" s="69" t="n">
        <v>0.01</v>
      </c>
      <c r="EI61" s="69" t="n">
        <v>0.09</v>
      </c>
      <c r="EJ61" s="69" t="n">
        <v>0.21</v>
      </c>
      <c r="EK61" s="69" t="n">
        <v>0.15</v>
      </c>
      <c r="EL61" s="69" t="n">
        <v>0.17</v>
      </c>
      <c r="EM61" s="69" t="n">
        <v>-0.03</v>
      </c>
      <c r="EN61" s="69" t="n">
        <v>0.04</v>
      </c>
      <c r="EO61" s="69" t="n">
        <v>0.1</v>
      </c>
    </row>
    <row r="62" customFormat="false" ht="15" hidden="false" customHeight="false" outlineLevel="0" collapsed="false">
      <c r="A62" s="68" t="s">
        <v>285</v>
      </c>
      <c r="B62" s="69" t="n">
        <v>0.21</v>
      </c>
      <c r="C62" s="69" t="n">
        <v>0.02</v>
      </c>
      <c r="D62" s="69" t="n">
        <v>0.04</v>
      </c>
      <c r="E62" s="69" t="n">
        <v>-0.01</v>
      </c>
      <c r="F62" s="69" t="n">
        <v>0.1</v>
      </c>
      <c r="G62" s="69" t="n">
        <v>-0.02</v>
      </c>
      <c r="H62" s="69" t="n">
        <v>0.04</v>
      </c>
      <c r="I62" s="69" t="n">
        <v>0.15</v>
      </c>
      <c r="J62" s="69" t="n">
        <v>0.19</v>
      </c>
      <c r="K62" s="69" t="n">
        <v>0.14</v>
      </c>
      <c r="L62" s="69" t="n">
        <v>0.01</v>
      </c>
      <c r="M62" s="69" t="n">
        <v>0.33</v>
      </c>
      <c r="N62" s="69" t="n">
        <v>0.34</v>
      </c>
      <c r="O62" s="69" t="n">
        <v>-0.11</v>
      </c>
      <c r="P62" s="69" t="n">
        <v>0.06</v>
      </c>
      <c r="Q62" s="69" t="n">
        <v>0.03</v>
      </c>
      <c r="R62" s="69" t="n">
        <v>0.13</v>
      </c>
      <c r="S62" s="69" t="n">
        <v>0.08</v>
      </c>
      <c r="T62" s="69" t="n">
        <v>0.3</v>
      </c>
      <c r="U62" s="69" t="n">
        <v>0.06</v>
      </c>
      <c r="V62" s="69" t="n">
        <v>-0.03</v>
      </c>
      <c r="W62" s="69" t="n">
        <v>-0.09</v>
      </c>
      <c r="X62" s="69" t="n">
        <v>0.26</v>
      </c>
      <c r="Y62" s="69" t="n">
        <v>0.31</v>
      </c>
      <c r="Z62" s="69" t="n">
        <v>0.06</v>
      </c>
      <c r="AA62" s="69" t="n">
        <v>-0.01</v>
      </c>
      <c r="AB62" s="69" t="n">
        <v>0.32</v>
      </c>
      <c r="AC62" s="69" t="n">
        <v>0.02</v>
      </c>
      <c r="AD62" s="69" t="n">
        <v>0</v>
      </c>
      <c r="AE62" s="69" t="n">
        <v>0.11</v>
      </c>
      <c r="AF62" s="69" t="n">
        <v>0.01</v>
      </c>
      <c r="AG62" s="69" t="n">
        <v>-0.01</v>
      </c>
      <c r="AH62" s="69" t="n">
        <v>-0.01</v>
      </c>
      <c r="AI62" s="69" t="n">
        <v>0.04</v>
      </c>
      <c r="AJ62" s="69" t="n">
        <v>0.02</v>
      </c>
      <c r="AK62" s="69" t="n">
        <v>0.01</v>
      </c>
      <c r="AL62" s="69" t="n">
        <v>0.14</v>
      </c>
      <c r="AM62" s="69" t="n">
        <v>0.08</v>
      </c>
      <c r="AN62" s="69" t="n">
        <v>0.34</v>
      </c>
      <c r="AO62" s="69" t="n">
        <v>0.28</v>
      </c>
      <c r="AP62" s="69" t="n">
        <v>0.3</v>
      </c>
      <c r="AQ62" s="69" t="n">
        <v>-0.01</v>
      </c>
      <c r="AR62" s="69" t="n">
        <v>0.25</v>
      </c>
      <c r="AS62" s="69" t="n">
        <v>0.09</v>
      </c>
      <c r="AT62" s="69" t="n">
        <v>0.41</v>
      </c>
      <c r="AU62" s="69" t="n">
        <v>0.02</v>
      </c>
      <c r="AV62" s="69" t="n">
        <v>0.11</v>
      </c>
      <c r="AW62" s="69" t="n">
        <v>0.12</v>
      </c>
      <c r="AX62" s="69" t="n">
        <v>0.22</v>
      </c>
      <c r="AY62" s="69" t="n">
        <v>0.22</v>
      </c>
      <c r="AZ62" s="69" t="n">
        <v>0.11</v>
      </c>
      <c r="BA62" s="69" t="n">
        <v>0.22</v>
      </c>
      <c r="BB62" s="69" t="n">
        <v>0.25</v>
      </c>
      <c r="BC62" s="69" t="n">
        <v>0.11</v>
      </c>
      <c r="BD62" s="69" t="n">
        <v>0.08</v>
      </c>
      <c r="BE62" s="69" t="n">
        <v>0.26</v>
      </c>
      <c r="BF62" s="69" t="n">
        <v>0.18</v>
      </c>
      <c r="BG62" s="69" t="n">
        <v>1</v>
      </c>
      <c r="BH62" s="69" t="n">
        <v>0.1</v>
      </c>
      <c r="BI62" s="69" t="n">
        <v>0.17</v>
      </c>
      <c r="BJ62" s="69" t="n">
        <v>0</v>
      </c>
      <c r="BK62" s="69" t="n">
        <v>0.09</v>
      </c>
      <c r="BL62" s="69" t="n">
        <v>0.29</v>
      </c>
      <c r="BM62" s="69" t="n">
        <v>0.19</v>
      </c>
      <c r="BN62" s="69" t="n">
        <v>0.02</v>
      </c>
      <c r="BO62" s="69" t="n">
        <v>0.15</v>
      </c>
      <c r="BP62" s="69" t="n">
        <v>0.2</v>
      </c>
      <c r="BQ62" s="69" t="n">
        <v>0.03</v>
      </c>
      <c r="BR62" s="69" t="n">
        <v>0.34</v>
      </c>
      <c r="BS62" s="69" t="n">
        <v>-0.03</v>
      </c>
      <c r="BT62" s="69" t="n">
        <v>0.22</v>
      </c>
      <c r="BU62" s="69" t="n">
        <v>0.07</v>
      </c>
      <c r="BV62" s="69" t="n">
        <v>0.2</v>
      </c>
      <c r="BW62" s="69" t="n">
        <v>0.37</v>
      </c>
      <c r="BX62" s="69" t="n">
        <v>0.31</v>
      </c>
      <c r="BY62" s="69" t="n">
        <v>0.27</v>
      </c>
      <c r="BZ62" s="69" t="n">
        <v>0.19</v>
      </c>
      <c r="CA62" s="69" t="n">
        <v>0.04</v>
      </c>
      <c r="CB62" s="69" t="n">
        <v>-0.03</v>
      </c>
      <c r="CC62" s="69" t="n">
        <v>0.17</v>
      </c>
      <c r="CD62" s="69" t="n">
        <v>0.26</v>
      </c>
      <c r="CE62" s="69" t="n">
        <v>0.08</v>
      </c>
      <c r="CF62" s="69" t="n">
        <v>-0.03</v>
      </c>
      <c r="CG62" s="69" t="n">
        <v>0.34</v>
      </c>
      <c r="CH62" s="69" t="n">
        <v>0.11</v>
      </c>
      <c r="CI62" s="69" t="n">
        <v>-0.01</v>
      </c>
      <c r="CJ62" s="69" t="n">
        <v>0.14</v>
      </c>
      <c r="CK62" s="69" t="n">
        <v>0.28</v>
      </c>
      <c r="CL62" s="69" t="n">
        <v>0.21</v>
      </c>
      <c r="CM62" s="69" t="n">
        <v>0.15</v>
      </c>
      <c r="CN62" s="69" t="n">
        <v>0.02</v>
      </c>
      <c r="CO62" s="69" t="n">
        <v>0.09</v>
      </c>
      <c r="CP62" s="69" t="n">
        <v>0.22</v>
      </c>
      <c r="CQ62" s="69" t="n">
        <v>0.33</v>
      </c>
      <c r="CR62" s="69" t="n">
        <v>0.15</v>
      </c>
      <c r="CS62" s="69" t="n">
        <v>0.11</v>
      </c>
      <c r="CT62" s="69" t="n">
        <v>0.22</v>
      </c>
      <c r="CU62" s="69" t="n">
        <v>0.08</v>
      </c>
      <c r="CV62" s="69" t="n">
        <v>0.18</v>
      </c>
      <c r="CW62" s="69" t="n">
        <v>0.38</v>
      </c>
      <c r="CX62" s="69" t="n">
        <v>0.25</v>
      </c>
      <c r="CY62" s="69" t="n">
        <v>0.23</v>
      </c>
      <c r="CZ62" s="69" t="n">
        <v>0.16</v>
      </c>
      <c r="DA62" s="69" t="n">
        <v>0.35</v>
      </c>
      <c r="DB62" s="69" t="n">
        <v>0.06</v>
      </c>
      <c r="DC62" s="69" t="n">
        <v>0.13</v>
      </c>
      <c r="DD62" s="69" t="n">
        <v>0.37</v>
      </c>
      <c r="DE62" s="69" t="n">
        <v>0.27</v>
      </c>
      <c r="DF62" s="69" t="n">
        <v>0.21</v>
      </c>
      <c r="DG62" s="69" t="n">
        <v>0.2</v>
      </c>
      <c r="DH62" s="69" t="n">
        <v>0.09</v>
      </c>
      <c r="DI62" s="69" t="n">
        <v>0.23</v>
      </c>
      <c r="DJ62" s="69" t="n">
        <v>0.3</v>
      </c>
      <c r="DK62" s="69" t="n">
        <v>0.31</v>
      </c>
      <c r="DL62" s="69" t="n">
        <v>0.07</v>
      </c>
      <c r="DM62" s="69" t="n">
        <v>0.3</v>
      </c>
      <c r="DN62" s="69" t="n">
        <v>0.27</v>
      </c>
      <c r="DO62" s="69" t="n">
        <v>0.14</v>
      </c>
      <c r="DP62" s="69" t="n">
        <v>0.28</v>
      </c>
      <c r="DQ62" s="69" t="n">
        <v>0.08</v>
      </c>
      <c r="DR62" s="69" t="n">
        <v>0.15</v>
      </c>
      <c r="DS62" s="69" t="n">
        <v>0.2</v>
      </c>
      <c r="DT62" s="69" t="n">
        <v>0.14</v>
      </c>
      <c r="DU62" s="69" t="n">
        <v>0.28</v>
      </c>
      <c r="DV62" s="69" t="n">
        <v>0.19</v>
      </c>
      <c r="DW62" s="69" t="n">
        <v>0.32</v>
      </c>
      <c r="DX62" s="69" t="n">
        <v>0.1</v>
      </c>
      <c r="DY62" s="69" t="n">
        <v>0.37</v>
      </c>
      <c r="DZ62" s="69" t="n">
        <v>0.23</v>
      </c>
      <c r="EA62" s="69" t="n">
        <v>0.22</v>
      </c>
      <c r="EB62" s="69" t="n">
        <v>0.38</v>
      </c>
      <c r="EC62" s="69" t="n">
        <v>-0.05</v>
      </c>
      <c r="ED62" s="69" t="n">
        <v>0.16</v>
      </c>
      <c r="EE62" s="69" t="n">
        <v>0.09</v>
      </c>
      <c r="EF62" s="69" t="n">
        <v>0.19</v>
      </c>
      <c r="EG62" s="69" t="n">
        <v>0.06</v>
      </c>
      <c r="EH62" s="69" t="n">
        <v>0.19</v>
      </c>
      <c r="EI62" s="69" t="n">
        <v>0.05</v>
      </c>
      <c r="EJ62" s="69" t="n">
        <v>0.22</v>
      </c>
      <c r="EK62" s="69" t="n">
        <v>0.19</v>
      </c>
      <c r="EL62" s="69" t="n">
        <v>0.17</v>
      </c>
      <c r="EM62" s="69" t="n">
        <v>0.14</v>
      </c>
      <c r="EN62" s="69" t="n">
        <v>0.21</v>
      </c>
      <c r="EO62" s="69" t="n">
        <v>0.14</v>
      </c>
    </row>
    <row r="63" customFormat="false" ht="15" hidden="false" customHeight="false" outlineLevel="0" collapsed="false">
      <c r="A63" s="68" t="s">
        <v>164</v>
      </c>
      <c r="B63" s="69" t="n">
        <v>0.05</v>
      </c>
      <c r="C63" s="69" t="n">
        <v>0.05</v>
      </c>
      <c r="D63" s="69" t="n">
        <v>0.11</v>
      </c>
      <c r="E63" s="69" t="n">
        <v>0.22</v>
      </c>
      <c r="F63" s="69" t="n">
        <v>0</v>
      </c>
      <c r="G63" s="69" t="n">
        <v>0.03</v>
      </c>
      <c r="H63" s="69" t="n">
        <v>0.3</v>
      </c>
      <c r="I63" s="69" t="n">
        <v>0.03</v>
      </c>
      <c r="J63" s="69" t="n">
        <v>-0.03</v>
      </c>
      <c r="K63" s="69" t="n">
        <v>0.03</v>
      </c>
      <c r="L63" s="69" t="n">
        <v>0.26</v>
      </c>
      <c r="M63" s="69" t="n">
        <v>0.16</v>
      </c>
      <c r="N63" s="69" t="n">
        <v>0.15</v>
      </c>
      <c r="O63" s="69" t="n">
        <v>0.18</v>
      </c>
      <c r="P63" s="69" t="n">
        <v>-0.02</v>
      </c>
      <c r="Q63" s="69" t="n">
        <v>-0.05</v>
      </c>
      <c r="R63" s="69" t="n">
        <v>0.08</v>
      </c>
      <c r="S63" s="69" t="n">
        <v>0.24</v>
      </c>
      <c r="T63" s="69" t="n">
        <v>0.1</v>
      </c>
      <c r="U63" s="69" t="n">
        <v>0.35</v>
      </c>
      <c r="V63" s="69" t="n">
        <v>0.24</v>
      </c>
      <c r="W63" s="69" t="n">
        <v>0.17</v>
      </c>
      <c r="X63" s="69" t="n">
        <v>0.15</v>
      </c>
      <c r="Y63" s="69" t="n">
        <v>0.03</v>
      </c>
      <c r="Z63" s="69" t="n">
        <v>0.33</v>
      </c>
      <c r="AA63" s="69" t="n">
        <v>0.07</v>
      </c>
      <c r="AB63" s="69" t="n">
        <v>0.01</v>
      </c>
      <c r="AC63" s="69" t="n">
        <v>0.26</v>
      </c>
      <c r="AD63" s="69" t="n">
        <v>0.2</v>
      </c>
      <c r="AE63" s="69" t="n">
        <v>0.25</v>
      </c>
      <c r="AF63" s="69" t="n">
        <v>0.24</v>
      </c>
      <c r="AG63" s="69" t="n">
        <v>-0.02</v>
      </c>
      <c r="AH63" s="69" t="n">
        <v>0.02</v>
      </c>
      <c r="AI63" s="69" t="n">
        <v>-0.13</v>
      </c>
      <c r="AJ63" s="69" t="n">
        <v>0.16</v>
      </c>
      <c r="AK63" s="69" t="n">
        <v>0.3</v>
      </c>
      <c r="AL63" s="69" t="n">
        <v>0.06</v>
      </c>
      <c r="AM63" s="69" t="n">
        <v>0.17</v>
      </c>
      <c r="AN63" s="69" t="n">
        <v>0.2</v>
      </c>
      <c r="AO63" s="69" t="n">
        <v>-0.01</v>
      </c>
      <c r="AP63" s="69" t="n">
        <v>0.12</v>
      </c>
      <c r="AQ63" s="69" t="n">
        <v>-0.14</v>
      </c>
      <c r="AR63" s="69" t="n">
        <v>0.09</v>
      </c>
      <c r="AS63" s="69" t="n">
        <v>0.33</v>
      </c>
      <c r="AT63" s="69" t="n">
        <v>0.14</v>
      </c>
      <c r="AU63" s="69" t="n">
        <v>-0.01</v>
      </c>
      <c r="AV63" s="69" t="n">
        <v>0.32</v>
      </c>
      <c r="AW63" s="69" t="n">
        <v>0.36</v>
      </c>
      <c r="AX63" s="69" t="n">
        <v>0.11</v>
      </c>
      <c r="AY63" s="69" t="n">
        <v>0.08</v>
      </c>
      <c r="AZ63" s="69" t="n">
        <v>0.2</v>
      </c>
      <c r="BA63" s="69" t="n">
        <v>0.1</v>
      </c>
      <c r="BB63" s="69" t="n">
        <v>0.14</v>
      </c>
      <c r="BC63" s="69" t="n">
        <v>0.21</v>
      </c>
      <c r="BD63" s="69" t="n">
        <v>0.35</v>
      </c>
      <c r="BE63" s="69" t="n">
        <v>0.08</v>
      </c>
      <c r="BF63" s="69" t="n">
        <v>0.25</v>
      </c>
      <c r="BG63" s="69" t="n">
        <v>0.1</v>
      </c>
      <c r="BH63" s="69" t="n">
        <v>1</v>
      </c>
      <c r="BI63" s="69" t="n">
        <v>0.16</v>
      </c>
      <c r="BJ63" s="69" t="n">
        <v>-0.07</v>
      </c>
      <c r="BK63" s="69" t="n">
        <v>0.16</v>
      </c>
      <c r="BL63" s="69" t="n">
        <v>0.11</v>
      </c>
      <c r="BM63" s="69" t="n">
        <v>0.12</v>
      </c>
      <c r="BN63" s="69" t="n">
        <v>0.02</v>
      </c>
      <c r="BO63" s="69" t="n">
        <v>0.21</v>
      </c>
      <c r="BP63" s="69" t="n">
        <v>0.15</v>
      </c>
      <c r="BQ63" s="69" t="n">
        <v>0.23</v>
      </c>
      <c r="BR63" s="69" t="n">
        <v>0.08</v>
      </c>
      <c r="BS63" s="69" t="n">
        <v>-0.15</v>
      </c>
      <c r="BT63" s="69" t="n">
        <v>0.22</v>
      </c>
      <c r="BU63" s="69" t="n">
        <v>0.28</v>
      </c>
      <c r="BV63" s="69" t="n">
        <v>0.14</v>
      </c>
      <c r="BW63" s="69" t="n">
        <v>0.16</v>
      </c>
      <c r="BX63" s="69" t="n">
        <v>0.02</v>
      </c>
      <c r="BY63" s="69" t="n">
        <v>0.1</v>
      </c>
      <c r="BZ63" s="69" t="n">
        <v>0.16</v>
      </c>
      <c r="CA63" s="69" t="n">
        <v>0.23</v>
      </c>
      <c r="CB63" s="69" t="n">
        <v>0</v>
      </c>
      <c r="CC63" s="69" t="n">
        <v>0.06</v>
      </c>
      <c r="CD63" s="69" t="n">
        <v>0.11</v>
      </c>
      <c r="CE63" s="69" t="n">
        <v>0.1</v>
      </c>
      <c r="CF63" s="69" t="n">
        <v>-0.17</v>
      </c>
      <c r="CG63" s="69" t="n">
        <v>0.16</v>
      </c>
      <c r="CH63" s="69" t="n">
        <v>0.28</v>
      </c>
      <c r="CI63" s="69" t="n">
        <v>-0.15</v>
      </c>
      <c r="CJ63" s="69" t="n">
        <v>0.16</v>
      </c>
      <c r="CK63" s="69" t="n">
        <v>0.11</v>
      </c>
      <c r="CL63" s="69" t="n">
        <v>0.11</v>
      </c>
      <c r="CM63" s="69" t="n">
        <v>0.13</v>
      </c>
      <c r="CN63" s="69" t="n">
        <v>0.18</v>
      </c>
      <c r="CO63" s="69" t="n">
        <v>0.17</v>
      </c>
      <c r="CP63" s="69" t="n">
        <v>0.11</v>
      </c>
      <c r="CQ63" s="69" t="n">
        <v>0.14</v>
      </c>
      <c r="CR63" s="69" t="n">
        <v>0.15</v>
      </c>
      <c r="CS63" s="69" t="n">
        <v>0.12</v>
      </c>
      <c r="CT63" s="69" t="n">
        <v>0.18</v>
      </c>
      <c r="CU63" s="69" t="n">
        <v>0.21</v>
      </c>
      <c r="CV63" s="69" t="n">
        <v>0.17</v>
      </c>
      <c r="CW63" s="69" t="n">
        <v>0.15</v>
      </c>
      <c r="CX63" s="69" t="n">
        <v>0.1</v>
      </c>
      <c r="CY63" s="69" t="n">
        <v>0.09</v>
      </c>
      <c r="CZ63" s="69" t="n">
        <v>0.04</v>
      </c>
      <c r="DA63" s="69" t="n">
        <v>0.12</v>
      </c>
      <c r="DB63" s="69" t="n">
        <v>0.27</v>
      </c>
      <c r="DC63" s="69" t="n">
        <v>0.21</v>
      </c>
      <c r="DD63" s="69" t="n">
        <v>0.19</v>
      </c>
      <c r="DE63" s="69" t="n">
        <v>0.2</v>
      </c>
      <c r="DF63" s="69" t="n">
        <v>0.08</v>
      </c>
      <c r="DG63" s="69" t="n">
        <v>0.18</v>
      </c>
      <c r="DH63" s="69" t="n">
        <v>0.21</v>
      </c>
      <c r="DI63" s="69" t="n">
        <v>0.15</v>
      </c>
      <c r="DJ63" s="69" t="n">
        <v>0.08</v>
      </c>
      <c r="DK63" s="69" t="n">
        <v>0.19</v>
      </c>
      <c r="DL63" s="69" t="n">
        <v>0.22</v>
      </c>
      <c r="DM63" s="69" t="n">
        <v>0.12</v>
      </c>
      <c r="DN63" s="69" t="n">
        <v>0.08</v>
      </c>
      <c r="DO63" s="69" t="n">
        <v>0.08</v>
      </c>
      <c r="DP63" s="69" t="n">
        <v>0.14</v>
      </c>
      <c r="DQ63" s="69" t="n">
        <v>0.02</v>
      </c>
      <c r="DR63" s="69" t="n">
        <v>0.16</v>
      </c>
      <c r="DS63" s="69" t="n">
        <v>0.02</v>
      </c>
      <c r="DT63" s="69" t="n">
        <v>0.15</v>
      </c>
      <c r="DU63" s="69" t="n">
        <v>0.2</v>
      </c>
      <c r="DV63" s="69" t="n">
        <v>0.16</v>
      </c>
      <c r="DW63" s="69" t="n">
        <v>0.23</v>
      </c>
      <c r="DX63" s="69" t="n">
        <v>0.07</v>
      </c>
      <c r="DY63" s="69" t="n">
        <v>0.13</v>
      </c>
      <c r="DZ63" s="69" t="n">
        <v>0.11</v>
      </c>
      <c r="EA63" s="69" t="n">
        <v>0.12</v>
      </c>
      <c r="EB63" s="69" t="n">
        <v>0.14</v>
      </c>
      <c r="EC63" s="69" t="n">
        <v>0.03</v>
      </c>
      <c r="ED63" s="69" t="n">
        <v>0.2</v>
      </c>
      <c r="EE63" s="69" t="n">
        <v>0.14</v>
      </c>
      <c r="EF63" s="69" t="n">
        <v>0.08</v>
      </c>
      <c r="EG63" s="69" t="n">
        <v>0.08</v>
      </c>
      <c r="EH63" s="69" t="n">
        <v>0.02</v>
      </c>
      <c r="EI63" s="69" t="n">
        <v>0.07</v>
      </c>
      <c r="EJ63" s="69" t="n">
        <v>0.14</v>
      </c>
      <c r="EK63" s="69" t="n">
        <v>0.17</v>
      </c>
      <c r="EL63" s="69" t="n">
        <v>0.17</v>
      </c>
      <c r="EM63" s="69" t="n">
        <v>0.1</v>
      </c>
      <c r="EN63" s="69" t="n">
        <v>0.03</v>
      </c>
      <c r="EO63" s="69" t="n">
        <v>0.05</v>
      </c>
    </row>
    <row r="64" customFormat="false" ht="15" hidden="false" customHeight="false" outlineLevel="0" collapsed="false">
      <c r="A64" s="68" t="s">
        <v>286</v>
      </c>
      <c r="B64" s="69" t="n">
        <v>0.1</v>
      </c>
      <c r="C64" s="69" t="n">
        <v>-0.01</v>
      </c>
      <c r="D64" s="69" t="n">
        <v>0.12</v>
      </c>
      <c r="E64" s="69" t="n">
        <v>0.21</v>
      </c>
      <c r="F64" s="69" t="n">
        <v>-0.07</v>
      </c>
      <c r="G64" s="69" t="n">
        <v>0.1</v>
      </c>
      <c r="H64" s="69" t="n">
        <v>0.14</v>
      </c>
      <c r="I64" s="69" t="n">
        <v>0.03</v>
      </c>
      <c r="J64" s="69" t="n">
        <v>-0.01</v>
      </c>
      <c r="K64" s="69" t="n">
        <v>0.04</v>
      </c>
      <c r="L64" s="69" t="n">
        <v>0.18</v>
      </c>
      <c r="M64" s="69" t="n">
        <v>0.13</v>
      </c>
      <c r="N64" s="69" t="n">
        <v>0.05</v>
      </c>
      <c r="O64" s="69" t="n">
        <v>0.25</v>
      </c>
      <c r="P64" s="69" t="n">
        <v>-0.02</v>
      </c>
      <c r="Q64" s="69" t="n">
        <v>0.07</v>
      </c>
      <c r="R64" s="69" t="n">
        <v>0.07</v>
      </c>
      <c r="S64" s="69" t="n">
        <v>0.18</v>
      </c>
      <c r="T64" s="69" t="n">
        <v>0.13</v>
      </c>
      <c r="U64" s="69" t="n">
        <v>0.15</v>
      </c>
      <c r="V64" s="69" t="n">
        <v>0.23</v>
      </c>
      <c r="W64" s="69" t="n">
        <v>0.06</v>
      </c>
      <c r="X64" s="69" t="n">
        <v>0.12</v>
      </c>
      <c r="Y64" s="69" t="n">
        <v>0.03</v>
      </c>
      <c r="Z64" s="69" t="n">
        <v>0.14</v>
      </c>
      <c r="AA64" s="69" t="n">
        <v>0.02</v>
      </c>
      <c r="AB64" s="69" t="n">
        <v>0.08</v>
      </c>
      <c r="AC64" s="69" t="n">
        <v>0.19</v>
      </c>
      <c r="AD64" s="69" t="n">
        <v>0.03</v>
      </c>
      <c r="AE64" s="69" t="n">
        <v>0.14</v>
      </c>
      <c r="AF64" s="69" t="n">
        <v>0.22</v>
      </c>
      <c r="AG64" s="69" t="n">
        <v>-0.06</v>
      </c>
      <c r="AH64" s="69" t="n">
        <v>-0.04</v>
      </c>
      <c r="AI64" s="69" t="n">
        <v>0</v>
      </c>
      <c r="AJ64" s="69" t="n">
        <v>0.03</v>
      </c>
      <c r="AK64" s="69" t="n">
        <v>0.05</v>
      </c>
      <c r="AL64" s="69" t="n">
        <v>0.02</v>
      </c>
      <c r="AM64" s="69" t="n">
        <v>0.11</v>
      </c>
      <c r="AN64" s="69" t="n">
        <v>0.1</v>
      </c>
      <c r="AO64" s="69" t="n">
        <v>-0.05</v>
      </c>
      <c r="AP64" s="69" t="n">
        <v>0.11</v>
      </c>
      <c r="AQ64" s="69" t="n">
        <v>-0.04</v>
      </c>
      <c r="AR64" s="69" t="n">
        <v>0.1</v>
      </c>
      <c r="AS64" s="69" t="n">
        <v>0.04</v>
      </c>
      <c r="AT64" s="69" t="n">
        <v>0.12</v>
      </c>
      <c r="AU64" s="69" t="n">
        <v>-0.03</v>
      </c>
      <c r="AV64" s="69" t="n">
        <v>0.21</v>
      </c>
      <c r="AW64" s="69" t="n">
        <v>0.12</v>
      </c>
      <c r="AX64" s="69" t="n">
        <v>0.05</v>
      </c>
      <c r="AY64" s="69" t="n">
        <v>0.01</v>
      </c>
      <c r="AZ64" s="69" t="n">
        <v>0.18</v>
      </c>
      <c r="BA64" s="69" t="n">
        <v>0.09</v>
      </c>
      <c r="BB64" s="69" t="n">
        <v>0.11</v>
      </c>
      <c r="BC64" s="69" t="n">
        <v>0.09</v>
      </c>
      <c r="BD64" s="69" t="n">
        <v>0.04</v>
      </c>
      <c r="BE64" s="69" t="n">
        <v>0.09</v>
      </c>
      <c r="BF64" s="69" t="n">
        <v>0.17</v>
      </c>
      <c r="BG64" s="69" t="n">
        <v>0.17</v>
      </c>
      <c r="BH64" s="69" t="n">
        <v>0.16</v>
      </c>
      <c r="BI64" s="69" t="n">
        <v>1</v>
      </c>
      <c r="BJ64" s="69" t="n">
        <v>0.08</v>
      </c>
      <c r="BK64" s="69" t="n">
        <v>0.15</v>
      </c>
      <c r="BL64" s="69" t="n">
        <v>0.13</v>
      </c>
      <c r="BM64" s="69" t="n">
        <v>0.09</v>
      </c>
      <c r="BN64" s="69" t="n">
        <v>0.01</v>
      </c>
      <c r="BO64" s="69" t="n">
        <v>0.12</v>
      </c>
      <c r="BP64" s="69" t="n">
        <v>0.05</v>
      </c>
      <c r="BQ64" s="69" t="n">
        <v>0.13</v>
      </c>
      <c r="BR64" s="69" t="n">
        <v>0.18</v>
      </c>
      <c r="BS64" s="69" t="n">
        <v>-0.03</v>
      </c>
      <c r="BT64" s="69" t="n">
        <v>0.12</v>
      </c>
      <c r="BU64" s="69" t="n">
        <v>0.09</v>
      </c>
      <c r="BV64" s="69" t="n">
        <v>0.17</v>
      </c>
      <c r="BW64" s="69" t="n">
        <v>0.24</v>
      </c>
      <c r="BX64" s="69" t="n">
        <v>0.03</v>
      </c>
      <c r="BY64" s="69" t="n">
        <v>-0.01</v>
      </c>
      <c r="BZ64" s="69" t="n">
        <v>0.11</v>
      </c>
      <c r="CA64" s="69" t="n">
        <v>0.18</v>
      </c>
      <c r="CB64" s="69" t="n">
        <v>-0.02</v>
      </c>
      <c r="CC64" s="69" t="n">
        <v>0.07</v>
      </c>
      <c r="CD64" s="69" t="n">
        <v>0.08</v>
      </c>
      <c r="CE64" s="69" t="n">
        <v>0.01</v>
      </c>
      <c r="CF64" s="69" t="n">
        <v>0.02</v>
      </c>
      <c r="CG64" s="69" t="n">
        <v>0.09</v>
      </c>
      <c r="CH64" s="69" t="n">
        <v>0.16</v>
      </c>
      <c r="CI64" s="69" t="n">
        <v>0</v>
      </c>
      <c r="CJ64" s="69" t="n">
        <v>-0.03</v>
      </c>
      <c r="CK64" s="69" t="n">
        <v>0.08</v>
      </c>
      <c r="CL64" s="69" t="n">
        <v>0.02</v>
      </c>
      <c r="CM64" s="69" t="n">
        <v>-0.05</v>
      </c>
      <c r="CN64" s="69" t="n">
        <v>-0.02</v>
      </c>
      <c r="CO64" s="69" t="n">
        <v>0.12</v>
      </c>
      <c r="CP64" s="69" t="n">
        <v>0.14</v>
      </c>
      <c r="CQ64" s="69" t="n">
        <v>0.13</v>
      </c>
      <c r="CR64" s="69" t="n">
        <v>0.03</v>
      </c>
      <c r="CS64" s="69" t="n">
        <v>-0.01</v>
      </c>
      <c r="CT64" s="69" t="n">
        <v>0.12</v>
      </c>
      <c r="CU64" s="69" t="n">
        <v>0.09</v>
      </c>
      <c r="CV64" s="69" t="n">
        <v>0.15</v>
      </c>
      <c r="CW64" s="69" t="n">
        <v>0.08</v>
      </c>
      <c r="CX64" s="69" t="n">
        <v>0.06</v>
      </c>
      <c r="CY64" s="69" t="n">
        <v>0.01</v>
      </c>
      <c r="CZ64" s="69" t="n">
        <v>0.08</v>
      </c>
      <c r="DA64" s="69" t="n">
        <v>0</v>
      </c>
      <c r="DB64" s="69" t="n">
        <v>0.14</v>
      </c>
      <c r="DC64" s="69" t="n">
        <v>0.16</v>
      </c>
      <c r="DD64" s="69" t="n">
        <v>0.16</v>
      </c>
      <c r="DE64" s="69" t="n">
        <v>0.08</v>
      </c>
      <c r="DF64" s="69" t="n">
        <v>0.05</v>
      </c>
      <c r="DG64" s="69" t="n">
        <v>0.13</v>
      </c>
      <c r="DH64" s="69" t="n">
        <v>0.02</v>
      </c>
      <c r="DI64" s="69" t="n">
        <v>0.21</v>
      </c>
      <c r="DJ64" s="69" t="n">
        <v>0.09</v>
      </c>
      <c r="DK64" s="69" t="n">
        <v>0.16</v>
      </c>
      <c r="DL64" s="69" t="n">
        <v>0.1</v>
      </c>
      <c r="DM64" s="69" t="n">
        <v>0.09</v>
      </c>
      <c r="DN64" s="69" t="n">
        <v>0.19</v>
      </c>
      <c r="DO64" s="69" t="n">
        <v>0.12</v>
      </c>
      <c r="DP64" s="69" t="n">
        <v>0.09</v>
      </c>
      <c r="DQ64" s="69" t="n">
        <v>0.14</v>
      </c>
      <c r="DR64" s="69" t="n">
        <v>0.16</v>
      </c>
      <c r="DS64" s="69" t="n">
        <v>0.09</v>
      </c>
      <c r="DT64" s="69" t="n">
        <v>0.11</v>
      </c>
      <c r="DU64" s="69" t="n">
        <v>0.1</v>
      </c>
      <c r="DV64" s="69" t="n">
        <v>0.13</v>
      </c>
      <c r="DW64" s="69" t="n">
        <v>0.07</v>
      </c>
      <c r="DX64" s="69" t="n">
        <v>0.05</v>
      </c>
      <c r="DY64" s="69" t="n">
        <v>0.2</v>
      </c>
      <c r="DZ64" s="69" t="n">
        <v>0.08</v>
      </c>
      <c r="EA64" s="69" t="n">
        <v>-0.02</v>
      </c>
      <c r="EB64" s="69" t="n">
        <v>0.14</v>
      </c>
      <c r="EC64" s="69" t="n">
        <v>0.03</v>
      </c>
      <c r="ED64" s="69" t="n">
        <v>0.13</v>
      </c>
      <c r="EE64" s="69" t="n">
        <v>0</v>
      </c>
      <c r="EF64" s="69" t="n">
        <v>0.06</v>
      </c>
      <c r="EG64" s="69" t="n">
        <v>0.06</v>
      </c>
      <c r="EH64" s="69" t="n">
        <v>-0.05</v>
      </c>
      <c r="EI64" s="69" t="n">
        <v>0.02</v>
      </c>
      <c r="EJ64" s="69" t="n">
        <v>0.11</v>
      </c>
      <c r="EK64" s="69" t="n">
        <v>0.02</v>
      </c>
      <c r="EL64" s="69" t="n">
        <v>0.1</v>
      </c>
      <c r="EM64" s="69" t="n">
        <v>0.08</v>
      </c>
      <c r="EN64" s="69" t="n">
        <v>0.03</v>
      </c>
      <c r="EO64" s="69" t="n">
        <v>-0.07</v>
      </c>
    </row>
    <row r="65" customFormat="false" ht="15" hidden="false" customHeight="false" outlineLevel="0" collapsed="false">
      <c r="A65" s="68" t="s">
        <v>287</v>
      </c>
      <c r="B65" s="69" t="n">
        <v>-0.02</v>
      </c>
      <c r="C65" s="69" t="n">
        <v>0.02</v>
      </c>
      <c r="D65" s="69" t="n">
        <v>0.07</v>
      </c>
      <c r="E65" s="69" t="n">
        <v>0.06</v>
      </c>
      <c r="F65" s="69" t="n">
        <v>-0.08</v>
      </c>
      <c r="G65" s="69" t="n">
        <v>0.05</v>
      </c>
      <c r="H65" s="69" t="n">
        <v>-0.08</v>
      </c>
      <c r="I65" s="69" t="n">
        <v>0.01</v>
      </c>
      <c r="J65" s="69" t="n">
        <v>-0.03</v>
      </c>
      <c r="K65" s="69" t="n">
        <v>-0.05</v>
      </c>
      <c r="L65" s="69" t="n">
        <v>0.01</v>
      </c>
      <c r="M65" s="69" t="n">
        <v>-0.11</v>
      </c>
      <c r="N65" s="69" t="n">
        <v>-0.02</v>
      </c>
      <c r="O65" s="69" t="n">
        <v>-0.01</v>
      </c>
      <c r="P65" s="69" t="n">
        <v>-0.05</v>
      </c>
      <c r="Q65" s="69" t="n">
        <v>-0.01</v>
      </c>
      <c r="R65" s="69" t="n">
        <v>-0.1</v>
      </c>
      <c r="S65" s="69" t="n">
        <v>0.1</v>
      </c>
      <c r="T65" s="69" t="n">
        <v>0.04</v>
      </c>
      <c r="U65" s="69" t="n">
        <v>0.07</v>
      </c>
      <c r="V65" s="69" t="n">
        <v>-0.01</v>
      </c>
      <c r="W65" s="69" t="n">
        <v>0</v>
      </c>
      <c r="X65" s="69" t="n">
        <v>0</v>
      </c>
      <c r="Y65" s="69" t="n">
        <v>0.03</v>
      </c>
      <c r="Z65" s="69" t="n">
        <v>-0.11</v>
      </c>
      <c r="AA65" s="69" t="n">
        <v>-0.02</v>
      </c>
      <c r="AB65" s="69" t="n">
        <v>0.03</v>
      </c>
      <c r="AC65" s="69" t="n">
        <v>0.05</v>
      </c>
      <c r="AD65" s="69" t="n">
        <v>0.03</v>
      </c>
      <c r="AE65" s="69" t="n">
        <v>0.08</v>
      </c>
      <c r="AF65" s="69" t="n">
        <v>0.12</v>
      </c>
      <c r="AG65" s="69" t="n">
        <v>-0.02</v>
      </c>
      <c r="AH65" s="69" t="n">
        <v>-0.1</v>
      </c>
      <c r="AI65" s="69" t="n">
        <v>-0.02</v>
      </c>
      <c r="AJ65" s="69" t="n">
        <v>0.16</v>
      </c>
      <c r="AK65" s="69" t="n">
        <v>0.06</v>
      </c>
      <c r="AL65" s="69" t="n">
        <v>-0.08</v>
      </c>
      <c r="AM65" s="69" t="n">
        <v>0.02</v>
      </c>
      <c r="AN65" s="69" t="n">
        <v>-0.06</v>
      </c>
      <c r="AO65" s="69" t="n">
        <v>-0.06</v>
      </c>
      <c r="AP65" s="69" t="n">
        <v>-0.01</v>
      </c>
      <c r="AQ65" s="69" t="n">
        <v>-0.02</v>
      </c>
      <c r="AR65" s="69" t="n">
        <v>0.08</v>
      </c>
      <c r="AS65" s="69" t="n">
        <v>0.07</v>
      </c>
      <c r="AT65" s="69" t="n">
        <v>-0.02</v>
      </c>
      <c r="AU65" s="69" t="n">
        <v>-0.07</v>
      </c>
      <c r="AV65" s="69" t="n">
        <v>0.12</v>
      </c>
      <c r="AW65" s="69" t="n">
        <v>0.07</v>
      </c>
      <c r="AX65" s="69" t="n">
        <v>0.08</v>
      </c>
      <c r="AY65" s="69" t="n">
        <v>-0.07</v>
      </c>
      <c r="AZ65" s="69" t="n">
        <v>0.11</v>
      </c>
      <c r="BA65" s="69" t="n">
        <v>0.03</v>
      </c>
      <c r="BB65" s="69" t="n">
        <v>0.02</v>
      </c>
      <c r="BC65" s="69" t="n">
        <v>0.05</v>
      </c>
      <c r="BD65" s="69" t="n">
        <v>0.07</v>
      </c>
      <c r="BE65" s="69" t="n">
        <v>0.02</v>
      </c>
      <c r="BF65" s="69" t="n">
        <v>0.01</v>
      </c>
      <c r="BG65" s="69" t="n">
        <v>0</v>
      </c>
      <c r="BH65" s="69" t="n">
        <v>-0.07</v>
      </c>
      <c r="BI65" s="69" t="n">
        <v>0.08</v>
      </c>
      <c r="BJ65" s="69" t="n">
        <v>1</v>
      </c>
      <c r="BK65" s="69" t="n">
        <v>0.1</v>
      </c>
      <c r="BL65" s="69" t="n">
        <v>0.03</v>
      </c>
      <c r="BM65" s="69" t="n">
        <v>-0.1</v>
      </c>
      <c r="BN65" s="69" t="n">
        <v>-0.07</v>
      </c>
      <c r="BO65" s="69" t="n">
        <v>0</v>
      </c>
      <c r="BP65" s="69" t="n">
        <v>-0.02</v>
      </c>
      <c r="BQ65" s="69" t="n">
        <v>0.02</v>
      </c>
      <c r="BR65" s="69" t="n">
        <v>0.06</v>
      </c>
      <c r="BS65" s="69" t="n">
        <v>0.07</v>
      </c>
      <c r="BT65" s="69" t="n">
        <v>0.04</v>
      </c>
      <c r="BU65" s="69" t="n">
        <v>0.01</v>
      </c>
      <c r="BV65" s="69" t="n">
        <v>0.03</v>
      </c>
      <c r="BW65" s="69" t="n">
        <v>0.01</v>
      </c>
      <c r="BX65" s="69" t="n">
        <v>-0.03</v>
      </c>
      <c r="BY65" s="69" t="n">
        <v>-0.12</v>
      </c>
      <c r="BZ65" s="69" t="n">
        <v>-0.06</v>
      </c>
      <c r="CA65" s="69" t="n">
        <v>0.07</v>
      </c>
      <c r="CB65" s="69" t="n">
        <v>0.01</v>
      </c>
      <c r="CC65" s="69" t="n">
        <v>0</v>
      </c>
      <c r="CD65" s="69" t="n">
        <v>-0.05</v>
      </c>
      <c r="CE65" s="69" t="n">
        <v>-0.05</v>
      </c>
      <c r="CF65" s="69" t="n">
        <v>0.03</v>
      </c>
      <c r="CG65" s="69" t="n">
        <v>-0.03</v>
      </c>
      <c r="CH65" s="69" t="n">
        <v>0.13</v>
      </c>
      <c r="CI65" s="69" t="n">
        <v>0.05</v>
      </c>
      <c r="CJ65" s="69" t="n">
        <v>-0.04</v>
      </c>
      <c r="CK65" s="69" t="n">
        <v>-0.05</v>
      </c>
      <c r="CL65" s="69" t="n">
        <v>-0.12</v>
      </c>
      <c r="CM65" s="69" t="n">
        <v>-0.07</v>
      </c>
      <c r="CN65" s="69" t="n">
        <v>0</v>
      </c>
      <c r="CO65" s="69" t="n">
        <v>-0.08</v>
      </c>
      <c r="CP65" s="69" t="n">
        <v>-0.05</v>
      </c>
      <c r="CQ65" s="69" t="n">
        <v>-0.02</v>
      </c>
      <c r="CR65" s="69" t="n">
        <v>0.03</v>
      </c>
      <c r="CS65" s="69" t="n">
        <v>0.05</v>
      </c>
      <c r="CT65" s="69" t="n">
        <v>-0.03</v>
      </c>
      <c r="CU65" s="69" t="n">
        <v>-0.01</v>
      </c>
      <c r="CV65" s="69" t="n">
        <v>-0.05</v>
      </c>
      <c r="CW65" s="69" t="n">
        <v>0.05</v>
      </c>
      <c r="CX65" s="69" t="n">
        <v>0.02</v>
      </c>
      <c r="CY65" s="69" t="n">
        <v>-0.03</v>
      </c>
      <c r="CZ65" s="69" t="n">
        <v>-0.02</v>
      </c>
      <c r="DA65" s="69" t="n">
        <v>-0.1</v>
      </c>
      <c r="DB65" s="69" t="n">
        <v>0.05</v>
      </c>
      <c r="DC65" s="69" t="n">
        <v>0.11</v>
      </c>
      <c r="DD65" s="69" t="n">
        <v>0</v>
      </c>
      <c r="DE65" s="69" t="n">
        <v>0.01</v>
      </c>
      <c r="DF65" s="69" t="n">
        <v>-0.06</v>
      </c>
      <c r="DG65" s="69" t="n">
        <v>0.11</v>
      </c>
      <c r="DH65" s="69" t="n">
        <v>0.06</v>
      </c>
      <c r="DI65" s="69" t="n">
        <v>-0.06</v>
      </c>
      <c r="DJ65" s="69" t="n">
        <v>-0.07</v>
      </c>
      <c r="DK65" s="69" t="n">
        <v>-0.01</v>
      </c>
      <c r="DL65" s="69" t="n">
        <v>0.16</v>
      </c>
      <c r="DM65" s="69" t="n">
        <v>-0.07</v>
      </c>
      <c r="DN65" s="69" t="n">
        <v>-0.11</v>
      </c>
      <c r="DO65" s="69" t="n">
        <v>0.05</v>
      </c>
      <c r="DP65" s="69" t="n">
        <v>-0.06</v>
      </c>
      <c r="DQ65" s="69" t="n">
        <v>0</v>
      </c>
      <c r="DR65" s="69" t="n">
        <v>0</v>
      </c>
      <c r="DS65" s="69" t="n">
        <v>-0.1</v>
      </c>
      <c r="DT65" s="69" t="n">
        <v>-0.04</v>
      </c>
      <c r="DU65" s="69" t="n">
        <v>0.02</v>
      </c>
      <c r="DV65" s="69" t="n">
        <v>-0.08</v>
      </c>
      <c r="DW65" s="69" t="n">
        <v>-0.06</v>
      </c>
      <c r="DX65" s="69" t="n">
        <v>0.08</v>
      </c>
      <c r="DY65" s="69" t="n">
        <v>-0.03</v>
      </c>
      <c r="DZ65" s="69" t="n">
        <v>-0.03</v>
      </c>
      <c r="EA65" s="69" t="n">
        <v>0.05</v>
      </c>
      <c r="EB65" s="69" t="n">
        <v>-0.07</v>
      </c>
      <c r="EC65" s="69" t="n">
        <v>-0.03</v>
      </c>
      <c r="ED65" s="69" t="n">
        <v>-0.02</v>
      </c>
      <c r="EE65" s="69" t="n">
        <v>0.03</v>
      </c>
      <c r="EF65" s="69" t="n">
        <v>0.05</v>
      </c>
      <c r="EG65" s="69" t="n">
        <v>0.06</v>
      </c>
      <c r="EH65" s="69" t="n">
        <v>-0.11</v>
      </c>
      <c r="EI65" s="69" t="n">
        <v>0.08</v>
      </c>
      <c r="EJ65" s="69" t="n">
        <v>-0.02</v>
      </c>
      <c r="EK65" s="69" t="n">
        <v>0.06</v>
      </c>
      <c r="EL65" s="69" t="n">
        <v>0.12</v>
      </c>
      <c r="EM65" s="69" t="n">
        <v>0.03</v>
      </c>
      <c r="EN65" s="69" t="n">
        <v>0.03</v>
      </c>
      <c r="EO65" s="69" t="n">
        <v>-0.03</v>
      </c>
    </row>
    <row r="66" customFormat="false" ht="15" hidden="false" customHeight="false" outlineLevel="0" collapsed="false">
      <c r="A66" s="68" t="s">
        <v>289</v>
      </c>
      <c r="B66" s="69" t="n">
        <v>0.02</v>
      </c>
      <c r="C66" s="69" t="n">
        <v>0.06</v>
      </c>
      <c r="D66" s="69" t="n">
        <v>0.22</v>
      </c>
      <c r="E66" s="69" t="n">
        <v>0.18</v>
      </c>
      <c r="F66" s="69" t="n">
        <v>-0.06</v>
      </c>
      <c r="G66" s="69" t="n">
        <v>0.16</v>
      </c>
      <c r="H66" s="69" t="n">
        <v>0.19</v>
      </c>
      <c r="I66" s="69" t="n">
        <v>0</v>
      </c>
      <c r="J66" s="69" t="n">
        <v>-0.06</v>
      </c>
      <c r="K66" s="69" t="n">
        <v>0.02</v>
      </c>
      <c r="L66" s="69" t="n">
        <v>0.2</v>
      </c>
      <c r="M66" s="69" t="n">
        <v>0.17</v>
      </c>
      <c r="N66" s="69" t="n">
        <v>0.01</v>
      </c>
      <c r="O66" s="69" t="n">
        <v>0.24</v>
      </c>
      <c r="P66" s="69" t="n">
        <v>0.06</v>
      </c>
      <c r="Q66" s="69" t="n">
        <v>0.17</v>
      </c>
      <c r="R66" s="69" t="n">
        <v>0.02</v>
      </c>
      <c r="S66" s="69" t="n">
        <v>0.22</v>
      </c>
      <c r="T66" s="69" t="n">
        <v>0.18</v>
      </c>
      <c r="U66" s="69" t="n">
        <v>0.24</v>
      </c>
      <c r="V66" s="69" t="n">
        <v>0.18</v>
      </c>
      <c r="W66" s="69" t="n">
        <v>0.16</v>
      </c>
      <c r="X66" s="69" t="n">
        <v>0.13</v>
      </c>
      <c r="Y66" s="69" t="n">
        <v>0.09</v>
      </c>
      <c r="Z66" s="69" t="n">
        <v>0.29</v>
      </c>
      <c r="AA66" s="69" t="n">
        <v>0.24</v>
      </c>
      <c r="AB66" s="69" t="n">
        <v>0.06</v>
      </c>
      <c r="AC66" s="69" t="n">
        <v>0.13</v>
      </c>
      <c r="AD66" s="69" t="n">
        <v>0.21</v>
      </c>
      <c r="AE66" s="69" t="n">
        <v>0.66</v>
      </c>
      <c r="AF66" s="69" t="n">
        <v>0.42</v>
      </c>
      <c r="AG66" s="69" t="n">
        <v>-0.03</v>
      </c>
      <c r="AH66" s="69" t="n">
        <v>-0.05</v>
      </c>
      <c r="AI66" s="69" t="n">
        <v>-0.19</v>
      </c>
      <c r="AJ66" s="69" t="n">
        <v>0.19</v>
      </c>
      <c r="AK66" s="69" t="n">
        <v>0.29</v>
      </c>
      <c r="AL66" s="69" t="n">
        <v>0.04</v>
      </c>
      <c r="AM66" s="69" t="n">
        <v>0.29</v>
      </c>
      <c r="AN66" s="69" t="n">
        <v>0.12</v>
      </c>
      <c r="AO66" s="69" t="n">
        <v>-0.02</v>
      </c>
      <c r="AP66" s="69" t="n">
        <v>0.05</v>
      </c>
      <c r="AQ66" s="69" t="n">
        <v>-0.14</v>
      </c>
      <c r="AR66" s="69" t="n">
        <v>0.19</v>
      </c>
      <c r="AS66" s="69" t="n">
        <v>0.19</v>
      </c>
      <c r="AT66" s="69" t="n">
        <v>0.16</v>
      </c>
      <c r="AU66" s="69" t="n">
        <v>-0.01</v>
      </c>
      <c r="AV66" s="69" t="n">
        <v>0.21</v>
      </c>
      <c r="AW66" s="69" t="n">
        <v>0.19</v>
      </c>
      <c r="AX66" s="69" t="n">
        <v>0.05</v>
      </c>
      <c r="AY66" s="69" t="n">
        <v>0.08</v>
      </c>
      <c r="AZ66" s="69" t="n">
        <v>0.68</v>
      </c>
      <c r="BA66" s="69" t="n">
        <v>0.14</v>
      </c>
      <c r="BB66" s="69" t="n">
        <v>0.25</v>
      </c>
      <c r="BC66" s="69" t="n">
        <v>0.24</v>
      </c>
      <c r="BD66" s="69" t="n">
        <v>0.34</v>
      </c>
      <c r="BE66" s="69" t="n">
        <v>0.03</v>
      </c>
      <c r="BF66" s="69" t="n">
        <v>0.33</v>
      </c>
      <c r="BG66" s="69" t="n">
        <v>0.09</v>
      </c>
      <c r="BH66" s="69" t="n">
        <v>0.16</v>
      </c>
      <c r="BI66" s="69" t="n">
        <v>0.15</v>
      </c>
      <c r="BJ66" s="69" t="n">
        <v>0.1</v>
      </c>
      <c r="BK66" s="69" t="n">
        <v>1</v>
      </c>
      <c r="BL66" s="69" t="n">
        <v>0.09</v>
      </c>
      <c r="BM66" s="69" t="n">
        <v>0.04</v>
      </c>
      <c r="BN66" s="69" t="n">
        <v>0.02</v>
      </c>
      <c r="BO66" s="69" t="n">
        <v>0.09</v>
      </c>
      <c r="BP66" s="69" t="n">
        <v>0.04</v>
      </c>
      <c r="BQ66" s="69" t="n">
        <v>0.32</v>
      </c>
      <c r="BR66" s="69" t="n">
        <v>0.16</v>
      </c>
      <c r="BS66" s="69" t="n">
        <v>-0.12</v>
      </c>
      <c r="BT66" s="69" t="n">
        <v>0.16</v>
      </c>
      <c r="BU66" s="69" t="n">
        <v>0.22</v>
      </c>
      <c r="BV66" s="69" t="n">
        <v>0.05</v>
      </c>
      <c r="BW66" s="69" t="n">
        <v>0.06</v>
      </c>
      <c r="BX66" s="69" t="n">
        <v>0</v>
      </c>
      <c r="BY66" s="69" t="n">
        <v>0.05</v>
      </c>
      <c r="BZ66" s="69" t="n">
        <v>0.1</v>
      </c>
      <c r="CA66" s="69" t="n">
        <v>0.22</v>
      </c>
      <c r="CB66" s="69" t="n">
        <v>0</v>
      </c>
      <c r="CC66" s="69" t="n">
        <v>0.08</v>
      </c>
      <c r="CD66" s="69" t="n">
        <v>0.09</v>
      </c>
      <c r="CE66" s="69" t="n">
        <v>0.18</v>
      </c>
      <c r="CF66" s="69" t="n">
        <v>-0.1</v>
      </c>
      <c r="CG66" s="69" t="n">
        <v>0.08</v>
      </c>
      <c r="CH66" s="69" t="n">
        <v>0.24</v>
      </c>
      <c r="CI66" s="69" t="n">
        <v>-0.14</v>
      </c>
      <c r="CJ66" s="69" t="n">
        <v>-0.11</v>
      </c>
      <c r="CK66" s="69" t="n">
        <v>0.03</v>
      </c>
      <c r="CL66" s="69" t="n">
        <v>0.05</v>
      </c>
      <c r="CM66" s="69" t="n">
        <v>0.1</v>
      </c>
      <c r="CN66" s="69" t="n">
        <v>0.19</v>
      </c>
      <c r="CO66" s="69" t="n">
        <v>0.18</v>
      </c>
      <c r="CP66" s="69" t="n">
        <v>0.05</v>
      </c>
      <c r="CQ66" s="69" t="n">
        <v>0.21</v>
      </c>
      <c r="CR66" s="69" t="n">
        <v>0.21</v>
      </c>
      <c r="CS66" s="69" t="n">
        <v>0.25</v>
      </c>
      <c r="CT66" s="69" t="n">
        <v>0.11</v>
      </c>
      <c r="CU66" s="69" t="n">
        <v>0.12</v>
      </c>
      <c r="CV66" s="69" t="n">
        <v>0.18</v>
      </c>
      <c r="CW66" s="69" t="n">
        <v>0.11</v>
      </c>
      <c r="CX66" s="69" t="n">
        <v>0.16</v>
      </c>
      <c r="CY66" s="69" t="n">
        <v>0.2</v>
      </c>
      <c r="CZ66" s="69" t="n">
        <v>0.05</v>
      </c>
      <c r="DA66" s="69" t="n">
        <v>0.01</v>
      </c>
      <c r="DB66" s="69" t="n">
        <v>0.19</v>
      </c>
      <c r="DC66" s="69" t="n">
        <v>0.35</v>
      </c>
      <c r="DD66" s="69" t="n">
        <v>0.14</v>
      </c>
      <c r="DE66" s="69" t="n">
        <v>0.16</v>
      </c>
      <c r="DF66" s="69" t="n">
        <v>-0.13</v>
      </c>
      <c r="DG66" s="69" t="n">
        <v>0.17</v>
      </c>
      <c r="DH66" s="69" t="n">
        <v>0.19</v>
      </c>
      <c r="DI66" s="69" t="n">
        <v>0.23</v>
      </c>
      <c r="DJ66" s="69" t="n">
        <v>0.13</v>
      </c>
      <c r="DK66" s="69" t="n">
        <v>0.23</v>
      </c>
      <c r="DL66" s="69" t="n">
        <v>0.17</v>
      </c>
      <c r="DM66" s="69" t="n">
        <v>0.2</v>
      </c>
      <c r="DN66" s="69" t="n">
        <v>-0.08</v>
      </c>
      <c r="DO66" s="69" t="n">
        <v>0.17</v>
      </c>
      <c r="DP66" s="69" t="n">
        <v>0.13</v>
      </c>
      <c r="DQ66" s="69" t="n">
        <v>0.1</v>
      </c>
      <c r="DR66" s="69" t="n">
        <v>0.07</v>
      </c>
      <c r="DS66" s="69" t="n">
        <v>0</v>
      </c>
      <c r="DT66" s="69" t="n">
        <v>-0.03</v>
      </c>
      <c r="DU66" s="69" t="n">
        <v>0.16</v>
      </c>
      <c r="DV66" s="69" t="n">
        <v>0.05</v>
      </c>
      <c r="DW66" s="69" t="n">
        <v>0.08</v>
      </c>
      <c r="DX66" s="69" t="n">
        <v>0.22</v>
      </c>
      <c r="DY66" s="69" t="n">
        <v>0.14</v>
      </c>
      <c r="DZ66" s="69" t="n">
        <v>0.04</v>
      </c>
      <c r="EA66" s="69" t="n">
        <v>0.19</v>
      </c>
      <c r="EB66" s="69" t="n">
        <v>0.17</v>
      </c>
      <c r="EC66" s="69" t="n">
        <v>0.02</v>
      </c>
      <c r="ED66" s="69" t="n">
        <v>0.17</v>
      </c>
      <c r="EE66" s="69" t="n">
        <v>0.23</v>
      </c>
      <c r="EF66" s="69" t="n">
        <v>0.11</v>
      </c>
      <c r="EG66" s="69" t="n">
        <v>0.16</v>
      </c>
      <c r="EH66" s="69" t="n">
        <v>-0.05</v>
      </c>
      <c r="EI66" s="69" t="n">
        <v>0.16</v>
      </c>
      <c r="EJ66" s="69" t="n">
        <v>0.18</v>
      </c>
      <c r="EK66" s="69" t="n">
        <v>0.15</v>
      </c>
      <c r="EL66" s="69" t="n">
        <v>0.2</v>
      </c>
      <c r="EM66" s="69" t="n">
        <v>-0.05</v>
      </c>
      <c r="EN66" s="69" t="n">
        <v>0.05</v>
      </c>
      <c r="EO66" s="69" t="n">
        <v>-0.12</v>
      </c>
    </row>
    <row r="67" customFormat="false" ht="15" hidden="false" customHeight="false" outlineLevel="0" collapsed="false">
      <c r="A67" s="68" t="s">
        <v>290</v>
      </c>
      <c r="B67" s="69" t="n">
        <v>0.09</v>
      </c>
      <c r="C67" s="69" t="n">
        <v>0</v>
      </c>
      <c r="D67" s="69" t="n">
        <v>-0.05</v>
      </c>
      <c r="E67" s="69" t="n">
        <v>0.11</v>
      </c>
      <c r="F67" s="69" t="n">
        <v>0.11</v>
      </c>
      <c r="G67" s="69" t="n">
        <v>0.08</v>
      </c>
      <c r="H67" s="69" t="n">
        <v>0.13</v>
      </c>
      <c r="I67" s="69" t="n">
        <v>0.12</v>
      </c>
      <c r="J67" s="69" t="n">
        <v>0.17</v>
      </c>
      <c r="K67" s="69" t="n">
        <v>0.2</v>
      </c>
      <c r="L67" s="69" t="n">
        <v>0.09</v>
      </c>
      <c r="M67" s="69" t="n">
        <v>0.37</v>
      </c>
      <c r="N67" s="69" t="n">
        <v>0.2</v>
      </c>
      <c r="O67" s="69" t="n">
        <v>0.16</v>
      </c>
      <c r="P67" s="69" t="n">
        <v>-0.02</v>
      </c>
      <c r="Q67" s="69" t="n">
        <v>0.04</v>
      </c>
      <c r="R67" s="69" t="n">
        <v>0.13</v>
      </c>
      <c r="S67" s="69" t="n">
        <v>0.07</v>
      </c>
      <c r="T67" s="69" t="n">
        <v>0.31</v>
      </c>
      <c r="U67" s="69" t="n">
        <v>0.19</v>
      </c>
      <c r="V67" s="69" t="n">
        <v>0.15</v>
      </c>
      <c r="W67" s="69" t="n">
        <v>0.05</v>
      </c>
      <c r="X67" s="69" t="n">
        <v>0.34</v>
      </c>
      <c r="Y67" s="69" t="n">
        <v>0.03</v>
      </c>
      <c r="Z67" s="69" t="n">
        <v>0.18</v>
      </c>
      <c r="AA67" s="69" t="n">
        <v>0.12</v>
      </c>
      <c r="AB67" s="69" t="n">
        <v>0.01</v>
      </c>
      <c r="AC67" s="69" t="n">
        <v>0</v>
      </c>
      <c r="AD67" s="69" t="n">
        <v>0.17</v>
      </c>
      <c r="AE67" s="69" t="n">
        <v>0.15</v>
      </c>
      <c r="AF67" s="69" t="n">
        <v>0.13</v>
      </c>
      <c r="AG67" s="69" t="n">
        <v>0.05</v>
      </c>
      <c r="AH67" s="69" t="n">
        <v>0.04</v>
      </c>
      <c r="AI67" s="69" t="n">
        <v>-0.04</v>
      </c>
      <c r="AJ67" s="69" t="n">
        <v>0.13</v>
      </c>
      <c r="AK67" s="69" t="n">
        <v>0.21</v>
      </c>
      <c r="AL67" s="69" t="n">
        <v>0.2</v>
      </c>
      <c r="AM67" s="69" t="n">
        <v>0.09</v>
      </c>
      <c r="AN67" s="69" t="n">
        <v>0.3</v>
      </c>
      <c r="AO67" s="69" t="n">
        <v>0.15</v>
      </c>
      <c r="AP67" s="69" t="n">
        <v>0.18</v>
      </c>
      <c r="AQ67" s="69" t="n">
        <v>-0.04</v>
      </c>
      <c r="AR67" s="69" t="n">
        <v>0.32</v>
      </c>
      <c r="AS67" s="69" t="n">
        <v>0.25</v>
      </c>
      <c r="AT67" s="69" t="n">
        <v>0.27</v>
      </c>
      <c r="AU67" s="69" t="n">
        <v>0.07</v>
      </c>
      <c r="AV67" s="69" t="n">
        <v>0.12</v>
      </c>
      <c r="AW67" s="69" t="n">
        <v>0.24</v>
      </c>
      <c r="AX67" s="69" t="n">
        <v>0.12</v>
      </c>
      <c r="AY67" s="69" t="n">
        <v>0.16</v>
      </c>
      <c r="AZ67" s="69" t="n">
        <v>0.15</v>
      </c>
      <c r="BA67" s="69" t="n">
        <v>0.36</v>
      </c>
      <c r="BB67" s="69" t="n">
        <v>0.36</v>
      </c>
      <c r="BC67" s="69" t="n">
        <v>0.06</v>
      </c>
      <c r="BD67" s="69" t="n">
        <v>0.24</v>
      </c>
      <c r="BE67" s="69" t="n">
        <v>0.17</v>
      </c>
      <c r="BF67" s="69" t="n">
        <v>0.23</v>
      </c>
      <c r="BG67" s="69" t="n">
        <v>0.29</v>
      </c>
      <c r="BH67" s="69" t="n">
        <v>0.11</v>
      </c>
      <c r="BI67" s="69" t="n">
        <v>0.13</v>
      </c>
      <c r="BJ67" s="69" t="n">
        <v>0.03</v>
      </c>
      <c r="BK67" s="69" t="n">
        <v>0.09</v>
      </c>
      <c r="BL67" s="69" t="n">
        <v>1</v>
      </c>
      <c r="BM67" s="69" t="n">
        <v>0.2</v>
      </c>
      <c r="BN67" s="69" t="n">
        <v>0.12</v>
      </c>
      <c r="BO67" s="69" t="n">
        <v>0.17</v>
      </c>
      <c r="BP67" s="69" t="n">
        <v>0.03</v>
      </c>
      <c r="BQ67" s="69" t="n">
        <v>0.32</v>
      </c>
      <c r="BR67" s="69" t="n">
        <v>0.24</v>
      </c>
      <c r="BS67" s="69" t="n">
        <v>-0.02</v>
      </c>
      <c r="BT67" s="69" t="n">
        <v>0.35</v>
      </c>
      <c r="BU67" s="69" t="n">
        <v>0.14</v>
      </c>
      <c r="BV67" s="69" t="n">
        <v>0.18</v>
      </c>
      <c r="BW67" s="69" t="n">
        <v>0.21</v>
      </c>
      <c r="BX67" s="69" t="n">
        <v>0.12</v>
      </c>
      <c r="BY67" s="69" t="n">
        <v>0.35</v>
      </c>
      <c r="BZ67" s="69" t="n">
        <v>0.36</v>
      </c>
      <c r="CA67" s="69" t="n">
        <v>0.06</v>
      </c>
      <c r="CB67" s="69" t="n">
        <v>-0.03</v>
      </c>
      <c r="CC67" s="69" t="n">
        <v>0.14</v>
      </c>
      <c r="CD67" s="69" t="n">
        <v>0.2</v>
      </c>
      <c r="CE67" s="69" t="n">
        <v>0.23</v>
      </c>
      <c r="CF67" s="69" t="n">
        <v>-0.02</v>
      </c>
      <c r="CG67" s="69" t="n">
        <v>0.23</v>
      </c>
      <c r="CH67" s="69" t="n">
        <v>0.43</v>
      </c>
      <c r="CI67" s="69" t="n">
        <v>0</v>
      </c>
      <c r="CJ67" s="69" t="n">
        <v>0.02</v>
      </c>
      <c r="CK67" s="69" t="n">
        <v>0.17</v>
      </c>
      <c r="CL67" s="69" t="n">
        <v>0.28</v>
      </c>
      <c r="CM67" s="69" t="n">
        <v>0.32</v>
      </c>
      <c r="CN67" s="69" t="n">
        <v>0.07</v>
      </c>
      <c r="CO67" s="69" t="n">
        <v>0.11</v>
      </c>
      <c r="CP67" s="69" t="n">
        <v>0.17</v>
      </c>
      <c r="CQ67" s="69" t="n">
        <v>0.34</v>
      </c>
      <c r="CR67" s="69" t="n">
        <v>0.39</v>
      </c>
      <c r="CS67" s="69" t="n">
        <v>0.38</v>
      </c>
      <c r="CT67" s="69" t="n">
        <v>0.23</v>
      </c>
      <c r="CU67" s="69" t="n">
        <v>0.26</v>
      </c>
      <c r="CV67" s="69" t="n">
        <v>0.11</v>
      </c>
      <c r="CW67" s="69" t="n">
        <v>0.19</v>
      </c>
      <c r="CX67" s="69" t="n">
        <v>0.32</v>
      </c>
      <c r="CY67" s="69" t="n">
        <v>0.33</v>
      </c>
      <c r="CZ67" s="69" t="n">
        <v>0.09</v>
      </c>
      <c r="DA67" s="69" t="n">
        <v>0.1</v>
      </c>
      <c r="DB67" s="69" t="n">
        <v>0.26</v>
      </c>
      <c r="DC67" s="69" t="n">
        <v>0.23</v>
      </c>
      <c r="DD67" s="69" t="n">
        <v>0.22</v>
      </c>
      <c r="DE67" s="69" t="n">
        <v>0.53</v>
      </c>
      <c r="DF67" s="69" t="n">
        <v>0.02</v>
      </c>
      <c r="DG67" s="69" t="n">
        <v>0.46</v>
      </c>
      <c r="DH67" s="69" t="n">
        <v>0.23</v>
      </c>
      <c r="DI67" s="69" t="n">
        <v>0.28</v>
      </c>
      <c r="DJ67" s="69" t="n">
        <v>0.37</v>
      </c>
      <c r="DK67" s="69" t="n">
        <v>0.37</v>
      </c>
      <c r="DL67" s="69" t="n">
        <v>0.28</v>
      </c>
      <c r="DM67" s="69" t="n">
        <v>0.37</v>
      </c>
      <c r="DN67" s="69" t="n">
        <v>0.22</v>
      </c>
      <c r="DO67" s="69" t="n">
        <v>0.35</v>
      </c>
      <c r="DP67" s="69" t="n">
        <v>0.34</v>
      </c>
      <c r="DQ67" s="69" t="n">
        <v>0.28</v>
      </c>
      <c r="DR67" s="69" t="n">
        <v>0.44</v>
      </c>
      <c r="DS67" s="69" t="n">
        <v>0.02</v>
      </c>
      <c r="DT67" s="69" t="n">
        <v>0.2</v>
      </c>
      <c r="DU67" s="69" t="n">
        <v>0.24</v>
      </c>
      <c r="DV67" s="69" t="n">
        <v>0.08</v>
      </c>
      <c r="DW67" s="69" t="n">
        <v>0.12</v>
      </c>
      <c r="DX67" s="69" t="n">
        <v>0.35</v>
      </c>
      <c r="DY67" s="69" t="n">
        <v>0.2</v>
      </c>
      <c r="DZ67" s="69" t="n">
        <v>0.13</v>
      </c>
      <c r="EA67" s="69" t="n">
        <v>0.31</v>
      </c>
      <c r="EB67" s="69" t="n">
        <v>0.17</v>
      </c>
      <c r="EC67" s="69" t="n">
        <v>0.13</v>
      </c>
      <c r="ED67" s="69" t="n">
        <v>0.15</v>
      </c>
      <c r="EE67" s="69" t="n">
        <v>0.4</v>
      </c>
      <c r="EF67" s="69" t="n">
        <v>0.47</v>
      </c>
      <c r="EG67" s="69" t="n">
        <v>0.34</v>
      </c>
      <c r="EH67" s="69" t="n">
        <v>0.02</v>
      </c>
      <c r="EI67" s="69" t="n">
        <v>0.32</v>
      </c>
      <c r="EJ67" s="69" t="n">
        <v>0.15</v>
      </c>
      <c r="EK67" s="69" t="n">
        <v>0.3</v>
      </c>
      <c r="EL67" s="69" t="n">
        <v>0.35</v>
      </c>
      <c r="EM67" s="69" t="n">
        <v>0.11</v>
      </c>
      <c r="EN67" s="69" t="n">
        <v>0.09</v>
      </c>
      <c r="EO67" s="69" t="n">
        <v>0.11</v>
      </c>
    </row>
    <row r="68" customFormat="false" ht="15" hidden="false" customHeight="false" outlineLevel="0" collapsed="false">
      <c r="A68" s="68" t="s">
        <v>291</v>
      </c>
      <c r="B68" s="69" t="n">
        <v>0.18</v>
      </c>
      <c r="C68" s="69" t="n">
        <v>0.04</v>
      </c>
      <c r="D68" s="69" t="n">
        <v>0.05</v>
      </c>
      <c r="E68" s="69" t="n">
        <v>0.22</v>
      </c>
      <c r="F68" s="69" t="n">
        <v>0.36</v>
      </c>
      <c r="G68" s="69" t="n">
        <v>-0.07</v>
      </c>
      <c r="H68" s="69" t="n">
        <v>0.06</v>
      </c>
      <c r="I68" s="69" t="n">
        <v>0.34</v>
      </c>
      <c r="J68" s="69" t="n">
        <v>0.2</v>
      </c>
      <c r="K68" s="69" t="n">
        <v>0.34</v>
      </c>
      <c r="L68" s="69" t="n">
        <v>0.13</v>
      </c>
      <c r="M68" s="69" t="n">
        <v>0.32</v>
      </c>
      <c r="N68" s="69" t="n">
        <v>0.25</v>
      </c>
      <c r="O68" s="69" t="n">
        <v>0.05</v>
      </c>
      <c r="P68" s="69" t="n">
        <v>0.41</v>
      </c>
      <c r="Q68" s="69" t="n">
        <v>0.01</v>
      </c>
      <c r="R68" s="69" t="n">
        <v>0.43</v>
      </c>
      <c r="S68" s="69" t="n">
        <v>0.11</v>
      </c>
      <c r="T68" s="69" t="n">
        <v>0.22</v>
      </c>
      <c r="U68" s="69" t="n">
        <v>0.17</v>
      </c>
      <c r="V68" s="69" t="n">
        <v>0.12</v>
      </c>
      <c r="W68" s="69" t="n">
        <v>0.09</v>
      </c>
      <c r="X68" s="69" t="n">
        <v>0.2</v>
      </c>
      <c r="Y68" s="69" t="n">
        <v>0.21</v>
      </c>
      <c r="Z68" s="69" t="n">
        <v>0.03</v>
      </c>
      <c r="AA68" s="69" t="n">
        <v>0.17</v>
      </c>
      <c r="AB68" s="69" t="n">
        <v>0.23</v>
      </c>
      <c r="AC68" s="69" t="n">
        <v>-0.02</v>
      </c>
      <c r="AD68" s="69" t="n">
        <v>0.03</v>
      </c>
      <c r="AE68" s="69" t="n">
        <v>0.03</v>
      </c>
      <c r="AF68" s="69" t="n">
        <v>0.02</v>
      </c>
      <c r="AG68" s="69" t="n">
        <v>0.31</v>
      </c>
      <c r="AH68" s="69" t="n">
        <v>0.34</v>
      </c>
      <c r="AI68" s="69" t="n">
        <v>0.11</v>
      </c>
      <c r="AJ68" s="69" t="n">
        <v>-0.08</v>
      </c>
      <c r="AK68" s="69" t="n">
        <v>0.05</v>
      </c>
      <c r="AL68" s="69" t="n">
        <v>0.25</v>
      </c>
      <c r="AM68" s="69" t="n">
        <v>0.07</v>
      </c>
      <c r="AN68" s="69" t="n">
        <v>0.44</v>
      </c>
      <c r="AO68" s="69" t="n">
        <v>0.21</v>
      </c>
      <c r="AP68" s="69" t="n">
        <v>0.28</v>
      </c>
      <c r="AQ68" s="69" t="n">
        <v>0.05</v>
      </c>
      <c r="AR68" s="69" t="n">
        <v>0.22</v>
      </c>
      <c r="AS68" s="69" t="n">
        <v>0.04</v>
      </c>
      <c r="AT68" s="69" t="n">
        <v>0.26</v>
      </c>
      <c r="AU68" s="69" t="n">
        <v>0.35</v>
      </c>
      <c r="AV68" s="69" t="n">
        <v>0.13</v>
      </c>
      <c r="AW68" s="69" t="n">
        <v>0.03</v>
      </c>
      <c r="AX68" s="69" t="n">
        <v>0.28</v>
      </c>
      <c r="AY68" s="69" t="n">
        <v>0.41</v>
      </c>
      <c r="AZ68" s="69" t="n">
        <v>0.09</v>
      </c>
      <c r="BA68" s="69" t="n">
        <v>0.28</v>
      </c>
      <c r="BB68" s="69" t="n">
        <v>0.15</v>
      </c>
      <c r="BC68" s="69" t="n">
        <v>-0.06</v>
      </c>
      <c r="BD68" s="69" t="n">
        <v>0.01</v>
      </c>
      <c r="BE68" s="69" t="n">
        <v>0.29</v>
      </c>
      <c r="BF68" s="69" t="n">
        <v>0.01</v>
      </c>
      <c r="BG68" s="69" t="n">
        <v>0.19</v>
      </c>
      <c r="BH68" s="69" t="n">
        <v>0.12</v>
      </c>
      <c r="BI68" s="69" t="n">
        <v>0.09</v>
      </c>
      <c r="BJ68" s="69" t="n">
        <v>-0.1</v>
      </c>
      <c r="BK68" s="69" t="n">
        <v>0.04</v>
      </c>
      <c r="BL68" s="69" t="n">
        <v>0.2</v>
      </c>
      <c r="BM68" s="69" t="n">
        <v>1</v>
      </c>
      <c r="BN68" s="69" t="n">
        <v>0.17</v>
      </c>
      <c r="BO68" s="69" t="n">
        <v>0.13</v>
      </c>
      <c r="BP68" s="69" t="n">
        <v>0.12</v>
      </c>
      <c r="BQ68" s="69" t="n">
        <v>0.09</v>
      </c>
      <c r="BR68" s="69" t="n">
        <v>0.32</v>
      </c>
      <c r="BS68" s="69" t="n">
        <v>0.05</v>
      </c>
      <c r="BT68" s="69" t="n">
        <v>0.13</v>
      </c>
      <c r="BU68" s="69" t="n">
        <v>0.07</v>
      </c>
      <c r="BV68" s="69" t="n">
        <v>0.19</v>
      </c>
      <c r="BW68" s="69" t="n">
        <v>0.24</v>
      </c>
      <c r="BX68" s="69" t="n">
        <v>0.16</v>
      </c>
      <c r="BY68" s="69" t="n">
        <v>0.31</v>
      </c>
      <c r="BZ68" s="69" t="n">
        <v>0.17</v>
      </c>
      <c r="CA68" s="69" t="n">
        <v>0.03</v>
      </c>
      <c r="CB68" s="69" t="n">
        <v>0</v>
      </c>
      <c r="CC68" s="69" t="n">
        <v>0.16</v>
      </c>
      <c r="CD68" s="69" t="n">
        <v>0.25</v>
      </c>
      <c r="CE68" s="69" t="n">
        <v>0.13</v>
      </c>
      <c r="CF68" s="69" t="n">
        <v>0.05</v>
      </c>
      <c r="CG68" s="69" t="n">
        <v>0.29</v>
      </c>
      <c r="CH68" s="69" t="n">
        <v>0.03</v>
      </c>
      <c r="CI68" s="69" t="n">
        <v>0.07</v>
      </c>
      <c r="CJ68" s="69" t="n">
        <v>0.19</v>
      </c>
      <c r="CK68" s="69" t="n">
        <v>0.4</v>
      </c>
      <c r="CL68" s="69" t="n">
        <v>0.27</v>
      </c>
      <c r="CM68" s="69" t="n">
        <v>0.03</v>
      </c>
      <c r="CN68" s="69" t="n">
        <v>-0.05</v>
      </c>
      <c r="CO68" s="69" t="n">
        <v>0.14</v>
      </c>
      <c r="CP68" s="69" t="n">
        <v>0.15</v>
      </c>
      <c r="CQ68" s="69" t="n">
        <v>0.33</v>
      </c>
      <c r="CR68" s="69" t="n">
        <v>0.06</v>
      </c>
      <c r="CS68" s="69" t="n">
        <v>0.09</v>
      </c>
      <c r="CT68" s="69" t="n">
        <v>0.17</v>
      </c>
      <c r="CU68" s="69" t="n">
        <v>0.1</v>
      </c>
      <c r="CV68" s="69" t="n">
        <v>0.12</v>
      </c>
      <c r="CW68" s="69" t="n">
        <v>0.19</v>
      </c>
      <c r="CX68" s="69" t="n">
        <v>0.13</v>
      </c>
      <c r="CY68" s="69" t="n">
        <v>0.29</v>
      </c>
      <c r="CZ68" s="69" t="n">
        <v>0.15</v>
      </c>
      <c r="DA68" s="69" t="n">
        <v>0.23</v>
      </c>
      <c r="DB68" s="69" t="n">
        <v>0.07</v>
      </c>
      <c r="DC68" s="69" t="n">
        <v>0.11</v>
      </c>
      <c r="DD68" s="69" t="n">
        <v>0.2</v>
      </c>
      <c r="DE68" s="69" t="n">
        <v>0.09</v>
      </c>
      <c r="DF68" s="69" t="n">
        <v>0.14</v>
      </c>
      <c r="DG68" s="69" t="n">
        <v>0.02</v>
      </c>
      <c r="DH68" s="69" t="n">
        <v>0.03</v>
      </c>
      <c r="DI68" s="69" t="n">
        <v>0.28</v>
      </c>
      <c r="DJ68" s="69" t="n">
        <v>0.32</v>
      </c>
      <c r="DK68" s="69" t="n">
        <v>0.3</v>
      </c>
      <c r="DL68" s="69" t="n">
        <v>-0.07</v>
      </c>
      <c r="DM68" s="69" t="n">
        <v>0.3</v>
      </c>
      <c r="DN68" s="69" t="n">
        <v>0.33</v>
      </c>
      <c r="DO68" s="69" t="n">
        <v>0.1</v>
      </c>
      <c r="DP68" s="69" t="n">
        <v>0.28</v>
      </c>
      <c r="DQ68" s="69" t="n">
        <v>0.09</v>
      </c>
      <c r="DR68" s="69" t="n">
        <v>0.07</v>
      </c>
      <c r="DS68" s="69" t="n">
        <v>0.15</v>
      </c>
      <c r="DT68" s="69" t="n">
        <v>-0.01</v>
      </c>
      <c r="DU68" s="69" t="n">
        <v>0.18</v>
      </c>
      <c r="DV68" s="69" t="n">
        <v>0.08</v>
      </c>
      <c r="DW68" s="69" t="n">
        <v>0.16</v>
      </c>
      <c r="DX68" s="69" t="n">
        <v>0</v>
      </c>
      <c r="DY68" s="69" t="n">
        <v>0.26</v>
      </c>
      <c r="DZ68" s="69" t="n">
        <v>0.03</v>
      </c>
      <c r="EA68" s="69" t="n">
        <v>0.06</v>
      </c>
      <c r="EB68" s="69" t="n">
        <v>0.26</v>
      </c>
      <c r="EC68" s="69" t="n">
        <v>-0.15</v>
      </c>
      <c r="ED68" s="69" t="n">
        <v>0.17</v>
      </c>
      <c r="EE68" s="69" t="n">
        <v>0</v>
      </c>
      <c r="EF68" s="69" t="n">
        <v>0.1</v>
      </c>
      <c r="EG68" s="69" t="n">
        <v>0</v>
      </c>
      <c r="EH68" s="69" t="n">
        <v>0.14</v>
      </c>
      <c r="EI68" s="69" t="n">
        <v>-0.07</v>
      </c>
      <c r="EJ68" s="69" t="n">
        <v>0.13</v>
      </c>
      <c r="EK68" s="69" t="n">
        <v>0.12</v>
      </c>
      <c r="EL68" s="69" t="n">
        <v>0.07</v>
      </c>
      <c r="EM68" s="69" t="n">
        <v>0.07</v>
      </c>
      <c r="EN68" s="69" t="n">
        <v>0.14</v>
      </c>
      <c r="EO68" s="69" t="n">
        <v>0.16</v>
      </c>
    </row>
    <row r="69" customFormat="false" ht="15" hidden="false" customHeight="false" outlineLevel="0" collapsed="false">
      <c r="A69" s="68" t="s">
        <v>293</v>
      </c>
      <c r="B69" s="69" t="n">
        <v>0.28</v>
      </c>
      <c r="C69" s="69" t="n">
        <v>0.03</v>
      </c>
      <c r="D69" s="69" t="n">
        <v>-0.11</v>
      </c>
      <c r="E69" s="69" t="n">
        <v>0.08</v>
      </c>
      <c r="F69" s="69" t="n">
        <v>0.21</v>
      </c>
      <c r="G69" s="69" t="n">
        <v>0.02</v>
      </c>
      <c r="H69" s="69" t="n">
        <v>-0.08</v>
      </c>
      <c r="I69" s="69" t="n">
        <v>0.13</v>
      </c>
      <c r="J69" s="69" t="n">
        <v>0.21</v>
      </c>
      <c r="K69" s="69" t="n">
        <v>0.23</v>
      </c>
      <c r="L69" s="69" t="n">
        <v>0.1</v>
      </c>
      <c r="M69" s="69" t="n">
        <v>0.03</v>
      </c>
      <c r="N69" s="69" t="n">
        <v>0.06</v>
      </c>
      <c r="O69" s="69" t="n">
        <v>0.13</v>
      </c>
      <c r="P69" s="69" t="n">
        <v>0.25</v>
      </c>
      <c r="Q69" s="69" t="n">
        <v>0.03</v>
      </c>
      <c r="R69" s="69" t="n">
        <v>0.18</v>
      </c>
      <c r="S69" s="69" t="n">
        <v>0.11</v>
      </c>
      <c r="T69" s="69" t="n">
        <v>0.13</v>
      </c>
      <c r="U69" s="69" t="n">
        <v>0.05</v>
      </c>
      <c r="V69" s="69" t="n">
        <v>0.02</v>
      </c>
      <c r="W69" s="69" t="n">
        <v>0.17</v>
      </c>
      <c r="X69" s="69" t="n">
        <v>0.2</v>
      </c>
      <c r="Y69" s="69" t="n">
        <v>0.22</v>
      </c>
      <c r="Z69" s="69" t="n">
        <v>0.01</v>
      </c>
      <c r="AA69" s="69" t="n">
        <v>0.02</v>
      </c>
      <c r="AB69" s="69" t="n">
        <v>0.2</v>
      </c>
      <c r="AC69" s="69" t="n">
        <v>-0.02</v>
      </c>
      <c r="AD69" s="69" t="n">
        <v>0.11</v>
      </c>
      <c r="AE69" s="69" t="n">
        <v>-0.05</v>
      </c>
      <c r="AF69" s="69" t="n">
        <v>0.02</v>
      </c>
      <c r="AG69" s="69" t="n">
        <v>0.22</v>
      </c>
      <c r="AH69" s="69" t="n">
        <v>0.2</v>
      </c>
      <c r="AI69" s="69" t="n">
        <v>0.13</v>
      </c>
      <c r="AJ69" s="69" t="n">
        <v>0.01</v>
      </c>
      <c r="AK69" s="69" t="n">
        <v>0.07</v>
      </c>
      <c r="AL69" s="69" t="n">
        <v>0.05</v>
      </c>
      <c r="AM69" s="69" t="n">
        <v>0.14</v>
      </c>
      <c r="AN69" s="69" t="n">
        <v>0.13</v>
      </c>
      <c r="AO69" s="69" t="n">
        <v>0.21</v>
      </c>
      <c r="AP69" s="69" t="n">
        <v>0.14</v>
      </c>
      <c r="AQ69" s="69" t="n">
        <v>0.12</v>
      </c>
      <c r="AR69" s="69" t="n">
        <v>0.18</v>
      </c>
      <c r="AS69" s="69" t="n">
        <v>-0.02</v>
      </c>
      <c r="AT69" s="69" t="n">
        <v>0.14</v>
      </c>
      <c r="AU69" s="69" t="n">
        <v>0.21</v>
      </c>
      <c r="AV69" s="69" t="n">
        <v>0.04</v>
      </c>
      <c r="AW69" s="69" t="n">
        <v>0.05</v>
      </c>
      <c r="AX69" s="69" t="n">
        <v>0.14</v>
      </c>
      <c r="AY69" s="69" t="n">
        <v>0.21</v>
      </c>
      <c r="AZ69" s="69" t="n">
        <v>-0.05</v>
      </c>
      <c r="BA69" s="69" t="n">
        <v>0.28</v>
      </c>
      <c r="BB69" s="69" t="n">
        <v>0.13</v>
      </c>
      <c r="BC69" s="69" t="n">
        <v>0.1</v>
      </c>
      <c r="BD69" s="69" t="n">
        <v>0.1</v>
      </c>
      <c r="BE69" s="69" t="n">
        <v>0.19</v>
      </c>
      <c r="BF69" s="69" t="n">
        <v>0.05</v>
      </c>
      <c r="BG69" s="69" t="n">
        <v>0.02</v>
      </c>
      <c r="BH69" s="69" t="n">
        <v>0.02</v>
      </c>
      <c r="BI69" s="69" t="n">
        <v>0.01</v>
      </c>
      <c r="BJ69" s="69" t="n">
        <v>-0.07</v>
      </c>
      <c r="BK69" s="69" t="n">
        <v>0.02</v>
      </c>
      <c r="BL69" s="69" t="n">
        <v>0.12</v>
      </c>
      <c r="BM69" s="69" t="n">
        <v>0.17</v>
      </c>
      <c r="BN69" s="69" t="n">
        <v>1</v>
      </c>
      <c r="BO69" s="69" t="n">
        <v>0.11</v>
      </c>
      <c r="BP69" s="69" t="n">
        <v>-0.03</v>
      </c>
      <c r="BQ69" s="69" t="n">
        <v>0.11</v>
      </c>
      <c r="BR69" s="69" t="n">
        <v>0</v>
      </c>
      <c r="BS69" s="69" t="n">
        <v>0.05</v>
      </c>
      <c r="BT69" s="69" t="n">
        <v>0.12</v>
      </c>
      <c r="BU69" s="69" t="n">
        <v>-0.01</v>
      </c>
      <c r="BV69" s="69" t="n">
        <v>0.05</v>
      </c>
      <c r="BW69" s="69" t="n">
        <v>0.13</v>
      </c>
      <c r="BX69" s="69" t="n">
        <v>0.09</v>
      </c>
      <c r="BY69" s="69" t="n">
        <v>0.05</v>
      </c>
      <c r="BZ69" s="69" t="n">
        <v>0.21</v>
      </c>
      <c r="CA69" s="69" t="n">
        <v>0.01</v>
      </c>
      <c r="CB69" s="69" t="n">
        <v>0.05</v>
      </c>
      <c r="CC69" s="69" t="n">
        <v>0.66</v>
      </c>
      <c r="CD69" s="69" t="n">
        <v>0.12</v>
      </c>
      <c r="CE69" s="69" t="n">
        <v>0.05</v>
      </c>
      <c r="CF69" s="69" t="n">
        <v>0.07</v>
      </c>
      <c r="CG69" s="69" t="n">
        <v>0.1</v>
      </c>
      <c r="CH69" s="69" t="n">
        <v>0.05</v>
      </c>
      <c r="CI69" s="69" t="n">
        <v>0.07</v>
      </c>
      <c r="CJ69" s="69" t="n">
        <v>0.15</v>
      </c>
      <c r="CK69" s="69" t="n">
        <v>0.12</v>
      </c>
      <c r="CL69" s="69" t="n">
        <v>0.11</v>
      </c>
      <c r="CM69" s="69" t="n">
        <v>0.03</v>
      </c>
      <c r="CN69" s="69" t="n">
        <v>0.01</v>
      </c>
      <c r="CO69" s="69" t="n">
        <v>-0.02</v>
      </c>
      <c r="CP69" s="69" t="n">
        <v>0.05</v>
      </c>
      <c r="CQ69" s="69" t="n">
        <v>0.16</v>
      </c>
      <c r="CR69" s="69" t="n">
        <v>0.03</v>
      </c>
      <c r="CS69" s="69" t="n">
        <v>0.14</v>
      </c>
      <c r="CT69" s="69" t="n">
        <v>0.14</v>
      </c>
      <c r="CU69" s="69" t="n">
        <v>0.06</v>
      </c>
      <c r="CV69" s="69" t="n">
        <v>0.09</v>
      </c>
      <c r="CW69" s="69" t="n">
        <v>-0.05</v>
      </c>
      <c r="CX69" s="69" t="n">
        <v>0.1</v>
      </c>
      <c r="CY69" s="69" t="n">
        <v>0.13</v>
      </c>
      <c r="CZ69" s="69" t="n">
        <v>-0.05</v>
      </c>
      <c r="DA69" s="69" t="n">
        <v>0.07</v>
      </c>
      <c r="DB69" s="69" t="n">
        <v>0.05</v>
      </c>
      <c r="DC69" s="69" t="n">
        <v>-0.03</v>
      </c>
      <c r="DD69" s="69" t="n">
        <v>0.09</v>
      </c>
      <c r="DE69" s="69" t="n">
        <v>-0.03</v>
      </c>
      <c r="DF69" s="69" t="n">
        <v>-0.09</v>
      </c>
      <c r="DG69" s="69" t="n">
        <v>0.04</v>
      </c>
      <c r="DH69" s="69" t="n">
        <v>-0.04</v>
      </c>
      <c r="DI69" s="69" t="n">
        <v>0.19</v>
      </c>
      <c r="DJ69" s="69" t="n">
        <v>0.11</v>
      </c>
      <c r="DK69" s="69" t="n">
        <v>0.17</v>
      </c>
      <c r="DL69" s="69" t="n">
        <v>-0.01</v>
      </c>
      <c r="DM69" s="69" t="n">
        <v>0.1</v>
      </c>
      <c r="DN69" s="69" t="n">
        <v>0.18</v>
      </c>
      <c r="DO69" s="69" t="n">
        <v>0.06</v>
      </c>
      <c r="DP69" s="69" t="n">
        <v>0.1</v>
      </c>
      <c r="DQ69" s="69" t="n">
        <v>0.14</v>
      </c>
      <c r="DR69" s="69" t="n">
        <v>0.01</v>
      </c>
      <c r="DS69" s="69" t="n">
        <v>0.05</v>
      </c>
      <c r="DT69" s="69" t="n">
        <v>-0.07</v>
      </c>
      <c r="DU69" s="69" t="n">
        <v>0.02</v>
      </c>
      <c r="DV69" s="69" t="n">
        <v>-0.02</v>
      </c>
      <c r="DW69" s="69" t="n">
        <v>-0.09</v>
      </c>
      <c r="DX69" s="69" t="n">
        <v>0.05</v>
      </c>
      <c r="DY69" s="69" t="n">
        <v>-0.05</v>
      </c>
      <c r="DZ69" s="69" t="n">
        <v>-0.05</v>
      </c>
      <c r="EA69" s="69" t="n">
        <v>0.03</v>
      </c>
      <c r="EB69" s="69" t="n">
        <v>-0.04</v>
      </c>
      <c r="EC69" s="69" t="n">
        <v>-0.01</v>
      </c>
      <c r="ED69" s="69" t="n">
        <v>0.04</v>
      </c>
      <c r="EE69" s="69" t="n">
        <v>0.12</v>
      </c>
      <c r="EF69" s="69" t="n">
        <v>0.1</v>
      </c>
      <c r="EG69" s="69" t="n">
        <v>0.06</v>
      </c>
      <c r="EH69" s="69" t="n">
        <v>-0.04</v>
      </c>
      <c r="EI69" s="69" t="n">
        <v>0.04</v>
      </c>
      <c r="EJ69" s="69" t="n">
        <v>0.03</v>
      </c>
      <c r="EK69" s="69" t="n">
        <v>0.06</v>
      </c>
      <c r="EL69" s="69" t="n">
        <v>-0.02</v>
      </c>
      <c r="EM69" s="69" t="n">
        <v>0</v>
      </c>
      <c r="EN69" s="69" t="n">
        <v>0</v>
      </c>
      <c r="EO69" s="69" t="n">
        <v>0.04</v>
      </c>
    </row>
    <row r="70" customFormat="false" ht="15" hidden="false" customHeight="false" outlineLevel="0" collapsed="false">
      <c r="A70" s="68" t="s">
        <v>168</v>
      </c>
      <c r="B70" s="69" t="n">
        <v>0.15</v>
      </c>
      <c r="C70" s="69" t="n">
        <v>-0.02</v>
      </c>
      <c r="D70" s="69" t="n">
        <v>0.08</v>
      </c>
      <c r="E70" s="69" t="n">
        <v>0.08</v>
      </c>
      <c r="F70" s="69" t="n">
        <v>0.08</v>
      </c>
      <c r="G70" s="69" t="n">
        <v>0.07</v>
      </c>
      <c r="H70" s="69" t="n">
        <v>0.18</v>
      </c>
      <c r="I70" s="69" t="n">
        <v>0.21</v>
      </c>
      <c r="J70" s="69" t="n">
        <v>0.14</v>
      </c>
      <c r="K70" s="69" t="n">
        <v>0.21</v>
      </c>
      <c r="L70" s="69" t="n">
        <v>0.09</v>
      </c>
      <c r="M70" s="69" t="n">
        <v>0.32</v>
      </c>
      <c r="N70" s="69" t="n">
        <v>0.18</v>
      </c>
      <c r="O70" s="69" t="n">
        <v>0.07</v>
      </c>
      <c r="P70" s="69" t="n">
        <v>0.15</v>
      </c>
      <c r="Q70" s="69" t="n">
        <v>0.07</v>
      </c>
      <c r="R70" s="69" t="n">
        <v>0.13</v>
      </c>
      <c r="S70" s="69" t="n">
        <v>0.13</v>
      </c>
      <c r="T70" s="69" t="n">
        <v>0.24</v>
      </c>
      <c r="U70" s="69" t="n">
        <v>0.17</v>
      </c>
      <c r="V70" s="69" t="n">
        <v>-0.04</v>
      </c>
      <c r="W70" s="69" t="n">
        <v>0.14</v>
      </c>
      <c r="X70" s="69" t="n">
        <v>0.26</v>
      </c>
      <c r="Y70" s="69" t="n">
        <v>0.2</v>
      </c>
      <c r="Z70" s="69" t="n">
        <v>0.05</v>
      </c>
      <c r="AA70" s="69" t="n">
        <v>0.06</v>
      </c>
      <c r="AB70" s="69" t="n">
        <v>0.18</v>
      </c>
      <c r="AC70" s="69" t="n">
        <v>0.04</v>
      </c>
      <c r="AD70" s="69" t="n">
        <v>0.08</v>
      </c>
      <c r="AE70" s="69" t="n">
        <v>0.14</v>
      </c>
      <c r="AF70" s="69" t="n">
        <v>0.07</v>
      </c>
      <c r="AG70" s="69" t="n">
        <v>-0.03</v>
      </c>
      <c r="AH70" s="69" t="n">
        <v>0.04</v>
      </c>
      <c r="AI70" s="69" t="n">
        <v>-0.12</v>
      </c>
      <c r="AJ70" s="69" t="n">
        <v>0.02</v>
      </c>
      <c r="AK70" s="69" t="n">
        <v>0.11</v>
      </c>
      <c r="AL70" s="69" t="n">
        <v>0.23</v>
      </c>
      <c r="AM70" s="69" t="n">
        <v>0.15</v>
      </c>
      <c r="AN70" s="69" t="n">
        <v>0.27</v>
      </c>
      <c r="AO70" s="69" t="n">
        <v>0.06</v>
      </c>
      <c r="AP70" s="69" t="n">
        <v>0.27</v>
      </c>
      <c r="AQ70" s="69" t="n">
        <v>-0.17</v>
      </c>
      <c r="AR70" s="69" t="n">
        <v>0.21</v>
      </c>
      <c r="AS70" s="69" t="n">
        <v>0.19</v>
      </c>
      <c r="AT70" s="69" t="n">
        <v>0.35</v>
      </c>
      <c r="AU70" s="69" t="n">
        <v>0.13</v>
      </c>
      <c r="AV70" s="69" t="n">
        <v>0.17</v>
      </c>
      <c r="AW70" s="69" t="n">
        <v>0.09</v>
      </c>
      <c r="AX70" s="69" t="n">
        <v>0.26</v>
      </c>
      <c r="AY70" s="69" t="n">
        <v>0.14</v>
      </c>
      <c r="AZ70" s="69" t="n">
        <v>0.08</v>
      </c>
      <c r="BA70" s="69" t="n">
        <v>0.25</v>
      </c>
      <c r="BB70" s="69" t="n">
        <v>0.27</v>
      </c>
      <c r="BC70" s="69" t="n">
        <v>0.15</v>
      </c>
      <c r="BD70" s="69" t="n">
        <v>0.17</v>
      </c>
      <c r="BE70" s="69" t="n">
        <v>0.09</v>
      </c>
      <c r="BF70" s="69" t="n">
        <v>0.06</v>
      </c>
      <c r="BG70" s="69" t="n">
        <v>0.15</v>
      </c>
      <c r="BH70" s="69" t="n">
        <v>0.21</v>
      </c>
      <c r="BI70" s="69" t="n">
        <v>0.12</v>
      </c>
      <c r="BJ70" s="69" t="n">
        <v>0</v>
      </c>
      <c r="BK70" s="69" t="n">
        <v>0.09</v>
      </c>
      <c r="BL70" s="69" t="n">
        <v>0.17</v>
      </c>
      <c r="BM70" s="69" t="n">
        <v>0.13</v>
      </c>
      <c r="BN70" s="69" t="n">
        <v>0.11</v>
      </c>
      <c r="BO70" s="69" t="n">
        <v>1</v>
      </c>
      <c r="BP70" s="69" t="n">
        <v>0.2</v>
      </c>
      <c r="BQ70" s="69" t="n">
        <v>0.19</v>
      </c>
      <c r="BR70" s="69" t="n">
        <v>0.22</v>
      </c>
      <c r="BS70" s="69" t="n">
        <v>-0.11</v>
      </c>
      <c r="BT70" s="69" t="n">
        <v>0.35</v>
      </c>
      <c r="BU70" s="69" t="n">
        <v>0.14</v>
      </c>
      <c r="BV70" s="69" t="n">
        <v>0.57</v>
      </c>
      <c r="BW70" s="69" t="n">
        <v>0.21</v>
      </c>
      <c r="BX70" s="69" t="n">
        <v>0.25</v>
      </c>
      <c r="BY70" s="69" t="n">
        <v>0.23</v>
      </c>
      <c r="BZ70" s="69" t="n">
        <v>0.29</v>
      </c>
      <c r="CA70" s="69" t="n">
        <v>0.1</v>
      </c>
      <c r="CB70" s="69" t="n">
        <v>-0.02</v>
      </c>
      <c r="CC70" s="69" t="n">
        <v>0.09</v>
      </c>
      <c r="CD70" s="69" t="n">
        <v>0.32</v>
      </c>
      <c r="CE70" s="69" t="n">
        <v>0.17</v>
      </c>
      <c r="CF70" s="69" t="n">
        <v>-0.12</v>
      </c>
      <c r="CG70" s="69" t="n">
        <v>0.32</v>
      </c>
      <c r="CH70" s="69" t="n">
        <v>0.23</v>
      </c>
      <c r="CI70" s="69" t="n">
        <v>-0.14</v>
      </c>
      <c r="CJ70" s="69" t="n">
        <v>0.2</v>
      </c>
      <c r="CK70" s="69" t="n">
        <v>0.18</v>
      </c>
      <c r="CL70" s="69" t="n">
        <v>0.24</v>
      </c>
      <c r="CM70" s="69" t="n">
        <v>0.28</v>
      </c>
      <c r="CN70" s="69" t="n">
        <v>-0.02</v>
      </c>
      <c r="CO70" s="69" t="n">
        <v>0.16</v>
      </c>
      <c r="CP70" s="69" t="n">
        <v>0.19</v>
      </c>
      <c r="CQ70" s="69" t="n">
        <v>0.35</v>
      </c>
      <c r="CR70" s="69" t="n">
        <v>0.34</v>
      </c>
      <c r="CS70" s="69" t="n">
        <v>0.33</v>
      </c>
      <c r="CT70" s="69" t="n">
        <v>0.32</v>
      </c>
      <c r="CU70" s="69" t="n">
        <v>0.38</v>
      </c>
      <c r="CV70" s="69" t="n">
        <v>0.31</v>
      </c>
      <c r="CW70" s="69" t="n">
        <v>0.3</v>
      </c>
      <c r="CX70" s="69" t="n">
        <v>0.33</v>
      </c>
      <c r="CY70" s="69" t="n">
        <v>0.34</v>
      </c>
      <c r="CZ70" s="69" t="n">
        <v>0.21</v>
      </c>
      <c r="DA70" s="69" t="n">
        <v>0.18</v>
      </c>
      <c r="DB70" s="69" t="n">
        <v>0.42</v>
      </c>
      <c r="DC70" s="69" t="n">
        <v>0.19</v>
      </c>
      <c r="DD70" s="69" t="n">
        <v>0.32</v>
      </c>
      <c r="DE70" s="69" t="n">
        <v>0.21</v>
      </c>
      <c r="DF70" s="69" t="n">
        <v>0.11</v>
      </c>
      <c r="DG70" s="69" t="n">
        <v>0.2</v>
      </c>
      <c r="DH70" s="69" t="n">
        <v>0.34</v>
      </c>
      <c r="DI70" s="69" t="n">
        <v>0.37</v>
      </c>
      <c r="DJ70" s="69" t="n">
        <v>0.33</v>
      </c>
      <c r="DK70" s="69" t="n">
        <v>0.34</v>
      </c>
      <c r="DL70" s="69" t="n">
        <v>0.08</v>
      </c>
      <c r="DM70" s="69" t="n">
        <v>0.35</v>
      </c>
      <c r="DN70" s="69" t="n">
        <v>0.21</v>
      </c>
      <c r="DO70" s="69" t="n">
        <v>0.3</v>
      </c>
      <c r="DP70" s="69" t="n">
        <v>0.34</v>
      </c>
      <c r="DQ70" s="69" t="n">
        <v>0.29</v>
      </c>
      <c r="DR70" s="69" t="n">
        <v>0.1</v>
      </c>
      <c r="DS70" s="69" t="n">
        <v>0.25</v>
      </c>
      <c r="DT70" s="69" t="n">
        <v>0.25</v>
      </c>
      <c r="DU70" s="69" t="n">
        <v>0.34</v>
      </c>
      <c r="DV70" s="69" t="n">
        <v>0.28</v>
      </c>
      <c r="DW70" s="69" t="n">
        <v>0.28</v>
      </c>
      <c r="DX70" s="69" t="n">
        <v>0.21</v>
      </c>
      <c r="DY70" s="69" t="n">
        <v>0.31</v>
      </c>
      <c r="DZ70" s="69" t="n">
        <v>0.17</v>
      </c>
      <c r="EA70" s="69" t="n">
        <v>0.19</v>
      </c>
      <c r="EB70" s="69" t="n">
        <v>0.3</v>
      </c>
      <c r="EC70" s="69" t="n">
        <v>-0.02</v>
      </c>
      <c r="ED70" s="69" t="n">
        <v>0.21</v>
      </c>
      <c r="EE70" s="69" t="n">
        <v>0.26</v>
      </c>
      <c r="EF70" s="69" t="n">
        <v>0.07</v>
      </c>
      <c r="EG70" s="69" t="n">
        <v>0.23</v>
      </c>
      <c r="EH70" s="69" t="n">
        <v>0.21</v>
      </c>
      <c r="EI70" s="69" t="n">
        <v>0.16</v>
      </c>
      <c r="EJ70" s="69" t="n">
        <v>0.24</v>
      </c>
      <c r="EK70" s="69" t="n">
        <v>0.21</v>
      </c>
      <c r="EL70" s="69" t="n">
        <v>0.2</v>
      </c>
      <c r="EM70" s="69" t="n">
        <v>0.14</v>
      </c>
      <c r="EN70" s="69" t="n">
        <v>0.1</v>
      </c>
      <c r="EO70" s="69" t="n">
        <v>0.06</v>
      </c>
    </row>
    <row r="71" customFormat="false" ht="15" hidden="false" customHeight="false" outlineLevel="0" collapsed="false">
      <c r="A71" s="68" t="s">
        <v>167</v>
      </c>
      <c r="B71" s="69" t="n">
        <v>0.12</v>
      </c>
      <c r="C71" s="69" t="n">
        <v>-0.06</v>
      </c>
      <c r="D71" s="69" t="n">
        <v>0.08</v>
      </c>
      <c r="E71" s="69" t="n">
        <v>0.08</v>
      </c>
      <c r="F71" s="69" t="n">
        <v>-0.02</v>
      </c>
      <c r="G71" s="69" t="n">
        <v>-0.03</v>
      </c>
      <c r="H71" s="69" t="n">
        <v>0.03</v>
      </c>
      <c r="I71" s="69" t="n">
        <v>0.11</v>
      </c>
      <c r="J71" s="69" t="n">
        <v>-0.15</v>
      </c>
      <c r="K71" s="69" t="n">
        <v>-0.04</v>
      </c>
      <c r="L71" s="69" t="n">
        <v>0.18</v>
      </c>
      <c r="M71" s="69" t="n">
        <v>0.16</v>
      </c>
      <c r="N71" s="69" t="n">
        <v>0.07</v>
      </c>
      <c r="O71" s="69" t="n">
        <v>0.01</v>
      </c>
      <c r="P71" s="69" t="n">
        <v>0.06</v>
      </c>
      <c r="Q71" s="69" t="n">
        <v>-0.02</v>
      </c>
      <c r="R71" s="69" t="n">
        <v>0.01</v>
      </c>
      <c r="S71" s="69" t="n">
        <v>0.09</v>
      </c>
      <c r="T71" s="69" t="n">
        <v>0.15</v>
      </c>
      <c r="U71" s="69" t="n">
        <v>0.12</v>
      </c>
      <c r="V71" s="69" t="n">
        <v>0.02</v>
      </c>
      <c r="W71" s="69" t="n">
        <v>0.06</v>
      </c>
      <c r="X71" s="69" t="n">
        <v>0.13</v>
      </c>
      <c r="Y71" s="69" t="n">
        <v>0.25</v>
      </c>
      <c r="Z71" s="69" t="n">
        <v>0.03</v>
      </c>
      <c r="AA71" s="69" t="n">
        <v>0.08</v>
      </c>
      <c r="AB71" s="69" t="n">
        <v>0.31</v>
      </c>
      <c r="AC71" s="69" t="n">
        <v>0.08</v>
      </c>
      <c r="AD71" s="69" t="n">
        <v>-0.06</v>
      </c>
      <c r="AE71" s="69" t="n">
        <v>0.05</v>
      </c>
      <c r="AF71" s="69" t="n">
        <v>0.04</v>
      </c>
      <c r="AG71" s="69" t="n">
        <v>-0.06</v>
      </c>
      <c r="AH71" s="69" t="n">
        <v>-0.02</v>
      </c>
      <c r="AI71" s="69" t="n">
        <v>-0.01</v>
      </c>
      <c r="AJ71" s="69" t="n">
        <v>0.07</v>
      </c>
      <c r="AK71" s="69" t="n">
        <v>-0.06</v>
      </c>
      <c r="AL71" s="69" t="n">
        <v>0.18</v>
      </c>
      <c r="AM71" s="69" t="n">
        <v>0.05</v>
      </c>
      <c r="AN71" s="69" t="n">
        <v>0.08</v>
      </c>
      <c r="AO71" s="69" t="n">
        <v>-0.05</v>
      </c>
      <c r="AP71" s="69" t="n">
        <v>0.16</v>
      </c>
      <c r="AQ71" s="69" t="n">
        <v>-0.07</v>
      </c>
      <c r="AR71" s="69" t="n">
        <v>0.16</v>
      </c>
      <c r="AS71" s="69" t="n">
        <v>0.04</v>
      </c>
      <c r="AT71" s="69" t="n">
        <v>0.28</v>
      </c>
      <c r="AU71" s="69" t="n">
        <v>-0.05</v>
      </c>
      <c r="AV71" s="69" t="n">
        <v>0.11</v>
      </c>
      <c r="AW71" s="69" t="n">
        <v>-0.02</v>
      </c>
      <c r="AX71" s="69" t="n">
        <v>0.09</v>
      </c>
      <c r="AY71" s="69" t="n">
        <v>0.14</v>
      </c>
      <c r="AZ71" s="69" t="n">
        <v>0.04</v>
      </c>
      <c r="BA71" s="69" t="n">
        <v>0</v>
      </c>
      <c r="BB71" s="69" t="n">
        <v>0.24</v>
      </c>
      <c r="BC71" s="69" t="n">
        <v>0.12</v>
      </c>
      <c r="BD71" s="69" t="n">
        <v>0.1</v>
      </c>
      <c r="BE71" s="69" t="n">
        <v>-0.09</v>
      </c>
      <c r="BF71" s="69" t="n">
        <v>-0.02</v>
      </c>
      <c r="BG71" s="69" t="n">
        <v>0.2</v>
      </c>
      <c r="BH71" s="69" t="n">
        <v>0.15</v>
      </c>
      <c r="BI71" s="69" t="n">
        <v>0.05</v>
      </c>
      <c r="BJ71" s="69" t="n">
        <v>-0.02</v>
      </c>
      <c r="BK71" s="69" t="n">
        <v>0.04</v>
      </c>
      <c r="BL71" s="69" t="n">
        <v>0.03</v>
      </c>
      <c r="BM71" s="69" t="n">
        <v>0.12</v>
      </c>
      <c r="BN71" s="69" t="n">
        <v>-0.03</v>
      </c>
      <c r="BO71" s="69" t="n">
        <v>0.2</v>
      </c>
      <c r="BP71" s="69" t="n">
        <v>1</v>
      </c>
      <c r="BQ71" s="69" t="n">
        <v>0.06</v>
      </c>
      <c r="BR71" s="69" t="n">
        <v>0.21</v>
      </c>
      <c r="BS71" s="69" t="n">
        <v>-0.04</v>
      </c>
      <c r="BT71" s="69" t="n">
        <v>0.07</v>
      </c>
      <c r="BU71" s="69" t="n">
        <v>-0.03</v>
      </c>
      <c r="BV71" s="69" t="n">
        <v>0.41</v>
      </c>
      <c r="BW71" s="69" t="n">
        <v>0.34</v>
      </c>
      <c r="BX71" s="69" t="n">
        <v>-0.03</v>
      </c>
      <c r="BY71" s="69" t="n">
        <v>0.1</v>
      </c>
      <c r="BZ71" s="69" t="n">
        <v>0.28</v>
      </c>
      <c r="CA71" s="69" t="n">
        <v>0</v>
      </c>
      <c r="CB71" s="69" t="n">
        <v>-0.06</v>
      </c>
      <c r="CC71" s="69" t="n">
        <v>0.07</v>
      </c>
      <c r="CD71" s="69" t="n">
        <v>0.29</v>
      </c>
      <c r="CE71" s="69" t="n">
        <v>0.08</v>
      </c>
      <c r="CF71" s="69" t="n">
        <v>-0.05</v>
      </c>
      <c r="CG71" s="69" t="n">
        <v>0.3</v>
      </c>
      <c r="CH71" s="69" t="n">
        <v>0.01</v>
      </c>
      <c r="CI71" s="69" t="n">
        <v>-0.02</v>
      </c>
      <c r="CJ71" s="69" t="n">
        <v>0.27</v>
      </c>
      <c r="CK71" s="69" t="n">
        <v>0.17</v>
      </c>
      <c r="CL71" s="69" t="n">
        <v>0.04</v>
      </c>
      <c r="CM71" s="69" t="n">
        <v>0.28</v>
      </c>
      <c r="CN71" s="69" t="n">
        <v>0.03</v>
      </c>
      <c r="CO71" s="69" t="n">
        <v>0.09</v>
      </c>
      <c r="CP71" s="69" t="n">
        <v>0.17</v>
      </c>
      <c r="CQ71" s="69" t="n">
        <v>0.16</v>
      </c>
      <c r="CR71" s="69" t="n">
        <v>0.2</v>
      </c>
      <c r="CS71" s="69" t="n">
        <v>-0.1</v>
      </c>
      <c r="CT71" s="69" t="n">
        <v>0.25</v>
      </c>
      <c r="CU71" s="69" t="n">
        <v>0.14</v>
      </c>
      <c r="CV71" s="69" t="n">
        <v>0.18</v>
      </c>
      <c r="CW71" s="69" t="n">
        <v>0.32</v>
      </c>
      <c r="CX71" s="69" t="n">
        <v>0.25</v>
      </c>
      <c r="CY71" s="69" t="n">
        <v>0.01</v>
      </c>
      <c r="CZ71" s="69" t="n">
        <v>0.39</v>
      </c>
      <c r="DA71" s="69" t="n">
        <v>0.32</v>
      </c>
      <c r="DB71" s="69" t="n">
        <v>0.25</v>
      </c>
      <c r="DC71" s="69" t="n">
        <v>0.06</v>
      </c>
      <c r="DD71" s="69" t="n">
        <v>0.33</v>
      </c>
      <c r="DE71" s="69" t="n">
        <v>0.09</v>
      </c>
      <c r="DF71" s="69" t="n">
        <v>0.46</v>
      </c>
      <c r="DG71" s="69" t="n">
        <v>0.14</v>
      </c>
      <c r="DH71" s="69" t="n">
        <v>0.24</v>
      </c>
      <c r="DI71" s="69" t="n">
        <v>0.18</v>
      </c>
      <c r="DJ71" s="69" t="n">
        <v>0.03</v>
      </c>
      <c r="DK71" s="69" t="n">
        <v>0.19</v>
      </c>
      <c r="DL71" s="69" t="n">
        <v>0.03</v>
      </c>
      <c r="DM71" s="69" t="n">
        <v>0.1</v>
      </c>
      <c r="DN71" s="69" t="n">
        <v>0.23</v>
      </c>
      <c r="DO71" s="69" t="n">
        <v>0.09</v>
      </c>
      <c r="DP71" s="69" t="n">
        <v>0.01</v>
      </c>
      <c r="DQ71" s="69" t="n">
        <v>0.16</v>
      </c>
      <c r="DR71" s="69" t="n">
        <v>0.1</v>
      </c>
      <c r="DS71" s="69" t="n">
        <v>0.31</v>
      </c>
      <c r="DT71" s="69" t="n">
        <v>0.47</v>
      </c>
      <c r="DU71" s="69" t="n">
        <v>0.43</v>
      </c>
      <c r="DV71" s="69" t="n">
        <v>0.43</v>
      </c>
      <c r="DW71" s="69" t="n">
        <v>0.34</v>
      </c>
      <c r="DX71" s="69" t="n">
        <v>0.03</v>
      </c>
      <c r="DY71" s="69" t="n">
        <v>0.38</v>
      </c>
      <c r="DZ71" s="69" t="n">
        <v>0.32</v>
      </c>
      <c r="EA71" s="69" t="n">
        <v>0.1</v>
      </c>
      <c r="EB71" s="69" t="n">
        <v>0.36</v>
      </c>
      <c r="EC71" s="69" t="n">
        <v>-0.03</v>
      </c>
      <c r="ED71" s="69" t="n">
        <v>0.19</v>
      </c>
      <c r="EE71" s="69" t="n">
        <v>0.18</v>
      </c>
      <c r="EF71" s="69" t="n">
        <v>0.07</v>
      </c>
      <c r="EG71" s="69" t="n">
        <v>0.05</v>
      </c>
      <c r="EH71" s="69" t="n">
        <v>0.27</v>
      </c>
      <c r="EI71" s="69" t="n">
        <v>0.06</v>
      </c>
      <c r="EJ71" s="69" t="n">
        <v>0.18</v>
      </c>
      <c r="EK71" s="69" t="n">
        <v>0.28</v>
      </c>
      <c r="EL71" s="69" t="n">
        <v>0.25</v>
      </c>
      <c r="EM71" s="69" t="n">
        <v>0.3</v>
      </c>
      <c r="EN71" s="69" t="n">
        <v>0.06</v>
      </c>
      <c r="EO71" s="69" t="n">
        <v>0.08</v>
      </c>
    </row>
    <row r="72" customFormat="false" ht="15" hidden="false" customHeight="false" outlineLevel="0" collapsed="false">
      <c r="A72" s="68" t="s">
        <v>163</v>
      </c>
      <c r="B72" s="69" t="n">
        <v>-0.05</v>
      </c>
      <c r="C72" s="69" t="n">
        <v>0.19</v>
      </c>
      <c r="D72" s="69" t="n">
        <v>0.1</v>
      </c>
      <c r="E72" s="69" t="n">
        <v>0.15</v>
      </c>
      <c r="F72" s="69" t="n">
        <v>-0.04</v>
      </c>
      <c r="G72" s="69" t="n">
        <v>0.09</v>
      </c>
      <c r="H72" s="69" t="n">
        <v>0.27</v>
      </c>
      <c r="I72" s="69" t="n">
        <v>0.02</v>
      </c>
      <c r="J72" s="69" t="n">
        <v>-0.03</v>
      </c>
      <c r="K72" s="69" t="n">
        <v>0.1</v>
      </c>
      <c r="L72" s="69" t="n">
        <v>0.23</v>
      </c>
      <c r="M72" s="69" t="n">
        <v>0.32</v>
      </c>
      <c r="N72" s="69" t="n">
        <v>0.04</v>
      </c>
      <c r="O72" s="69" t="n">
        <v>0.35</v>
      </c>
      <c r="P72" s="69" t="n">
        <v>-0.01</v>
      </c>
      <c r="Q72" s="69" t="n">
        <v>0.11</v>
      </c>
      <c r="R72" s="69" t="n">
        <v>0.01</v>
      </c>
      <c r="S72" s="69" t="n">
        <v>0.3</v>
      </c>
      <c r="T72" s="69" t="n">
        <v>0.26</v>
      </c>
      <c r="U72" s="69" t="n">
        <v>0.34</v>
      </c>
      <c r="V72" s="69" t="n">
        <v>0.28</v>
      </c>
      <c r="W72" s="69" t="n">
        <v>0.31</v>
      </c>
      <c r="X72" s="69" t="n">
        <v>0.3</v>
      </c>
      <c r="Y72" s="69" t="n">
        <v>0.04</v>
      </c>
      <c r="Z72" s="69" t="n">
        <v>0.37</v>
      </c>
      <c r="AA72" s="69" t="n">
        <v>0.26</v>
      </c>
      <c r="AB72" s="69" t="n">
        <v>-0.02</v>
      </c>
      <c r="AC72" s="69" t="n">
        <v>0.12</v>
      </c>
      <c r="AD72" s="69" t="n">
        <v>0.33</v>
      </c>
      <c r="AE72" s="69" t="n">
        <v>0.34</v>
      </c>
      <c r="AF72" s="69" t="n">
        <v>0.41</v>
      </c>
      <c r="AG72" s="69" t="n">
        <v>-0.05</v>
      </c>
      <c r="AH72" s="69" t="n">
        <v>-0.03</v>
      </c>
      <c r="AI72" s="69" t="n">
        <v>-0.14</v>
      </c>
      <c r="AJ72" s="69" t="n">
        <v>0.17</v>
      </c>
      <c r="AK72" s="69" t="n">
        <v>0.39</v>
      </c>
      <c r="AL72" s="69" t="n">
        <v>0.09</v>
      </c>
      <c r="AM72" s="69" t="n">
        <v>0.28</v>
      </c>
      <c r="AN72" s="69" t="n">
        <v>0.25</v>
      </c>
      <c r="AO72" s="69" t="n">
        <v>-0.07</v>
      </c>
      <c r="AP72" s="69" t="n">
        <v>0.15</v>
      </c>
      <c r="AQ72" s="69" t="n">
        <v>-0.14</v>
      </c>
      <c r="AR72" s="69" t="n">
        <v>0.24</v>
      </c>
      <c r="AS72" s="69" t="n">
        <v>0.29</v>
      </c>
      <c r="AT72" s="69" t="n">
        <v>0.22</v>
      </c>
      <c r="AU72" s="69" t="n">
        <v>0.03</v>
      </c>
      <c r="AV72" s="69" t="n">
        <v>0.26</v>
      </c>
      <c r="AW72" s="69" t="n">
        <v>0.47</v>
      </c>
      <c r="AX72" s="69" t="n">
        <v>0.06</v>
      </c>
      <c r="AY72" s="69" t="n">
        <v>0.2</v>
      </c>
      <c r="AZ72" s="69" t="n">
        <v>0.33</v>
      </c>
      <c r="BA72" s="69" t="n">
        <v>0.32</v>
      </c>
      <c r="BB72" s="69" t="n">
        <v>0.31</v>
      </c>
      <c r="BC72" s="69" t="n">
        <v>0.22</v>
      </c>
      <c r="BD72" s="69" t="n">
        <v>0.36</v>
      </c>
      <c r="BE72" s="69" t="n">
        <v>0.13</v>
      </c>
      <c r="BF72" s="69" t="n">
        <v>0.25</v>
      </c>
      <c r="BG72" s="69" t="n">
        <v>0.03</v>
      </c>
      <c r="BH72" s="69" t="n">
        <v>0.23</v>
      </c>
      <c r="BI72" s="69" t="n">
        <v>0.13</v>
      </c>
      <c r="BJ72" s="69" t="n">
        <v>0.02</v>
      </c>
      <c r="BK72" s="69" t="n">
        <v>0.32</v>
      </c>
      <c r="BL72" s="69" t="n">
        <v>0.32</v>
      </c>
      <c r="BM72" s="69" t="n">
        <v>0.09</v>
      </c>
      <c r="BN72" s="69" t="n">
        <v>0.11</v>
      </c>
      <c r="BO72" s="69" t="n">
        <v>0.19</v>
      </c>
      <c r="BP72" s="69" t="n">
        <v>0.06</v>
      </c>
      <c r="BQ72" s="69" t="n">
        <v>1</v>
      </c>
      <c r="BR72" s="69" t="n">
        <v>0.24</v>
      </c>
      <c r="BS72" s="69" t="n">
        <v>-0.17</v>
      </c>
      <c r="BT72" s="69" t="n">
        <v>0.31</v>
      </c>
      <c r="BU72" s="69" t="n">
        <v>0.27</v>
      </c>
      <c r="BV72" s="69" t="n">
        <v>0.2</v>
      </c>
      <c r="BW72" s="69" t="n">
        <v>0.11</v>
      </c>
      <c r="BX72" s="69" t="n">
        <v>-0.01</v>
      </c>
      <c r="BY72" s="69" t="n">
        <v>0.2</v>
      </c>
      <c r="BZ72" s="69" t="n">
        <v>0.26</v>
      </c>
      <c r="CA72" s="69" t="n">
        <v>0.26</v>
      </c>
      <c r="CB72" s="69" t="n">
        <v>-0.14</v>
      </c>
      <c r="CC72" s="69" t="n">
        <v>0.11</v>
      </c>
      <c r="CD72" s="69" t="n">
        <v>0.15</v>
      </c>
      <c r="CE72" s="69" t="n">
        <v>0.18</v>
      </c>
      <c r="CF72" s="69" t="n">
        <v>-0.19</v>
      </c>
      <c r="CG72" s="69" t="n">
        <v>0.15</v>
      </c>
      <c r="CH72" s="69" t="n">
        <v>0.47</v>
      </c>
      <c r="CI72" s="69" t="n">
        <v>-0.17</v>
      </c>
      <c r="CJ72" s="69" t="n">
        <v>-0.04</v>
      </c>
      <c r="CK72" s="69" t="n">
        <v>0.12</v>
      </c>
      <c r="CL72" s="69" t="n">
        <v>0.28</v>
      </c>
      <c r="CM72" s="69" t="n">
        <v>0.24</v>
      </c>
      <c r="CN72" s="69" t="n">
        <v>0.23</v>
      </c>
      <c r="CO72" s="69" t="n">
        <v>0.22</v>
      </c>
      <c r="CP72" s="69" t="n">
        <v>0.05</v>
      </c>
      <c r="CQ72" s="69" t="n">
        <v>0.3</v>
      </c>
      <c r="CR72" s="69" t="n">
        <v>0.29</v>
      </c>
      <c r="CS72" s="69" t="n">
        <v>0.39</v>
      </c>
      <c r="CT72" s="69" t="n">
        <v>0.25</v>
      </c>
      <c r="CU72" s="69" t="n">
        <v>0.15</v>
      </c>
      <c r="CV72" s="69" t="n">
        <v>0.16</v>
      </c>
      <c r="CW72" s="69" t="n">
        <v>0.19</v>
      </c>
      <c r="CX72" s="69" t="n">
        <v>0.32</v>
      </c>
      <c r="CY72" s="69" t="n">
        <v>0.21</v>
      </c>
      <c r="CZ72" s="69" t="n">
        <v>0.07</v>
      </c>
      <c r="DA72" s="69" t="n">
        <v>0.1</v>
      </c>
      <c r="DB72" s="69" t="n">
        <v>0.32</v>
      </c>
      <c r="DC72" s="69" t="n">
        <v>0.31</v>
      </c>
      <c r="DD72" s="69" t="n">
        <v>0.2</v>
      </c>
      <c r="DE72" s="69" t="n">
        <v>0.38</v>
      </c>
      <c r="DF72" s="69" t="n">
        <v>-0.12</v>
      </c>
      <c r="DG72" s="69" t="n">
        <v>0.38</v>
      </c>
      <c r="DH72" s="69" t="n">
        <v>0.22</v>
      </c>
      <c r="DI72" s="69" t="n">
        <v>0.25</v>
      </c>
      <c r="DJ72" s="69" t="n">
        <v>0.19</v>
      </c>
      <c r="DK72" s="69" t="n">
        <v>0.34</v>
      </c>
      <c r="DL72" s="69" t="n">
        <v>0.32</v>
      </c>
      <c r="DM72" s="69" t="n">
        <v>0.32</v>
      </c>
      <c r="DN72" s="69" t="n">
        <v>0.06</v>
      </c>
      <c r="DO72" s="69" t="n">
        <v>0.2</v>
      </c>
      <c r="DP72" s="69" t="n">
        <v>0.23</v>
      </c>
      <c r="DQ72" s="69" t="n">
        <v>0.26</v>
      </c>
      <c r="DR72" s="69" t="n">
        <v>0.2</v>
      </c>
      <c r="DS72" s="69" t="n">
        <v>-0.06</v>
      </c>
      <c r="DT72" s="69" t="n">
        <v>0.18</v>
      </c>
      <c r="DU72" s="69" t="n">
        <v>0.28</v>
      </c>
      <c r="DV72" s="69" t="n">
        <v>0.04</v>
      </c>
      <c r="DW72" s="69" t="n">
        <v>0.12</v>
      </c>
      <c r="DX72" s="69" t="n">
        <v>0.32</v>
      </c>
      <c r="DY72" s="69" t="n">
        <v>0.19</v>
      </c>
      <c r="DZ72" s="69" t="n">
        <v>-0.01</v>
      </c>
      <c r="EA72" s="69" t="n">
        <v>0.18</v>
      </c>
      <c r="EB72" s="69" t="n">
        <v>0.14</v>
      </c>
      <c r="EC72" s="69" t="n">
        <v>0.17</v>
      </c>
      <c r="ED72" s="69" t="n">
        <v>0.24</v>
      </c>
      <c r="EE72" s="69" t="n">
        <v>0.29</v>
      </c>
      <c r="EF72" s="69" t="n">
        <v>0.25</v>
      </c>
      <c r="EG72" s="69" t="n">
        <v>0.26</v>
      </c>
      <c r="EH72" s="69" t="n">
        <v>0.02</v>
      </c>
      <c r="EI72" s="69" t="n">
        <v>0.25</v>
      </c>
      <c r="EJ72" s="69" t="n">
        <v>0.18</v>
      </c>
      <c r="EK72" s="69" t="n">
        <v>0.26</v>
      </c>
      <c r="EL72" s="69" t="n">
        <v>0.32</v>
      </c>
      <c r="EM72" s="69" t="n">
        <v>0.13</v>
      </c>
      <c r="EN72" s="69" t="n">
        <v>0.03</v>
      </c>
      <c r="EO72" s="69" t="n">
        <v>-0.04</v>
      </c>
    </row>
    <row r="73" customFormat="false" ht="15" hidden="false" customHeight="false" outlineLevel="0" collapsed="false">
      <c r="A73" s="68" t="s">
        <v>294</v>
      </c>
      <c r="B73" s="69" t="n">
        <v>0.22</v>
      </c>
      <c r="C73" s="69" t="n">
        <v>-0.06</v>
      </c>
      <c r="D73" s="69" t="n">
        <v>0.04</v>
      </c>
      <c r="E73" s="69" t="n">
        <v>0.07</v>
      </c>
      <c r="F73" s="69" t="n">
        <v>0.14</v>
      </c>
      <c r="G73" s="69" t="n">
        <v>0</v>
      </c>
      <c r="H73" s="69" t="n">
        <v>0.12</v>
      </c>
      <c r="I73" s="69" t="n">
        <v>0.24</v>
      </c>
      <c r="J73" s="69" t="n">
        <v>0.09</v>
      </c>
      <c r="K73" s="69" t="n">
        <v>0.14</v>
      </c>
      <c r="L73" s="69" t="n">
        <v>0.1</v>
      </c>
      <c r="M73" s="69" t="n">
        <v>0.35</v>
      </c>
      <c r="N73" s="69" t="n">
        <v>0.27</v>
      </c>
      <c r="O73" s="69" t="n">
        <v>0.05</v>
      </c>
      <c r="P73" s="69" t="n">
        <v>0.15</v>
      </c>
      <c r="Q73" s="69" t="n">
        <v>0.05</v>
      </c>
      <c r="R73" s="69" t="n">
        <v>0.21</v>
      </c>
      <c r="S73" s="69" t="n">
        <v>0.09</v>
      </c>
      <c r="T73" s="69" t="n">
        <v>0.37</v>
      </c>
      <c r="U73" s="69" t="n">
        <v>0.13</v>
      </c>
      <c r="V73" s="69" t="n">
        <v>0.09</v>
      </c>
      <c r="W73" s="69" t="n">
        <v>0.08</v>
      </c>
      <c r="X73" s="69" t="n">
        <v>0.31</v>
      </c>
      <c r="Y73" s="69" t="n">
        <v>0.17</v>
      </c>
      <c r="Z73" s="69" t="n">
        <v>0.04</v>
      </c>
      <c r="AA73" s="69" t="n">
        <v>0.18</v>
      </c>
      <c r="AB73" s="69" t="n">
        <v>0.23</v>
      </c>
      <c r="AC73" s="69" t="n">
        <v>-0.06</v>
      </c>
      <c r="AD73" s="69" t="n">
        <v>0.04</v>
      </c>
      <c r="AE73" s="69" t="n">
        <v>0.16</v>
      </c>
      <c r="AF73" s="69" t="n">
        <v>0.13</v>
      </c>
      <c r="AG73" s="69" t="n">
        <v>0.03</v>
      </c>
      <c r="AH73" s="69" t="n">
        <v>0.06</v>
      </c>
      <c r="AI73" s="69" t="n">
        <v>-0.04</v>
      </c>
      <c r="AJ73" s="69" t="n">
        <v>0.12</v>
      </c>
      <c r="AK73" s="69" t="n">
        <v>0.11</v>
      </c>
      <c r="AL73" s="69" t="n">
        <v>0.3</v>
      </c>
      <c r="AM73" s="69" t="n">
        <v>0.17</v>
      </c>
      <c r="AN73" s="69" t="n">
        <v>0.35</v>
      </c>
      <c r="AO73" s="69" t="n">
        <v>-0.02</v>
      </c>
      <c r="AP73" s="69" t="n">
        <v>0.41</v>
      </c>
      <c r="AQ73" s="69" t="n">
        <v>-0.05</v>
      </c>
      <c r="AR73" s="69" t="n">
        <v>0.32</v>
      </c>
      <c r="AS73" s="69" t="n">
        <v>0.13</v>
      </c>
      <c r="AT73" s="69" t="n">
        <v>0.36</v>
      </c>
      <c r="AU73" s="69" t="n">
        <v>0.13</v>
      </c>
      <c r="AV73" s="69" t="n">
        <v>0.17</v>
      </c>
      <c r="AW73" s="69" t="n">
        <v>0.13</v>
      </c>
      <c r="AX73" s="69" t="n">
        <v>0.21</v>
      </c>
      <c r="AY73" s="69" t="n">
        <v>0.36</v>
      </c>
      <c r="AZ73" s="69" t="n">
        <v>0.17</v>
      </c>
      <c r="BA73" s="69" t="n">
        <v>0.3</v>
      </c>
      <c r="BB73" s="69" t="n">
        <v>0.41</v>
      </c>
      <c r="BC73" s="69" t="n">
        <v>0.18</v>
      </c>
      <c r="BD73" s="69" t="n">
        <v>0.11</v>
      </c>
      <c r="BE73" s="69" t="n">
        <v>0.11</v>
      </c>
      <c r="BF73" s="69" t="n">
        <v>0.2</v>
      </c>
      <c r="BG73" s="69" t="n">
        <v>0.34</v>
      </c>
      <c r="BH73" s="69" t="n">
        <v>0.08</v>
      </c>
      <c r="BI73" s="69" t="n">
        <v>0.18</v>
      </c>
      <c r="BJ73" s="69" t="n">
        <v>0.06</v>
      </c>
      <c r="BK73" s="69" t="n">
        <v>0.16</v>
      </c>
      <c r="BL73" s="69" t="n">
        <v>0.24</v>
      </c>
      <c r="BM73" s="69" t="n">
        <v>0.32</v>
      </c>
      <c r="BN73" s="69" t="n">
        <v>0</v>
      </c>
      <c r="BO73" s="69" t="n">
        <v>0.22</v>
      </c>
      <c r="BP73" s="69" t="n">
        <v>0.21</v>
      </c>
      <c r="BQ73" s="69" t="n">
        <v>0.24</v>
      </c>
      <c r="BR73" s="69" t="n">
        <v>1</v>
      </c>
      <c r="BS73" s="69" t="n">
        <v>0.05</v>
      </c>
      <c r="BT73" s="69" t="n">
        <v>0.32</v>
      </c>
      <c r="BU73" s="69" t="n">
        <v>0.15</v>
      </c>
      <c r="BV73" s="69" t="n">
        <v>0.24</v>
      </c>
      <c r="BW73" s="69" t="n">
        <v>0.64</v>
      </c>
      <c r="BX73" s="69" t="n">
        <v>0.22</v>
      </c>
      <c r="BY73" s="69" t="n">
        <v>0.31</v>
      </c>
      <c r="BZ73" s="69" t="n">
        <v>0.28</v>
      </c>
      <c r="CA73" s="69" t="n">
        <v>0.05</v>
      </c>
      <c r="CB73" s="69" t="n">
        <v>0</v>
      </c>
      <c r="CC73" s="69" t="n">
        <v>0.07</v>
      </c>
      <c r="CD73" s="69" t="n">
        <v>0.28</v>
      </c>
      <c r="CE73" s="69" t="n">
        <v>0.19</v>
      </c>
      <c r="CF73" s="69" t="n">
        <v>0.04</v>
      </c>
      <c r="CG73" s="69" t="n">
        <v>0.41</v>
      </c>
      <c r="CH73" s="69" t="n">
        <v>0.15</v>
      </c>
      <c r="CI73" s="69" t="n">
        <v>0.01</v>
      </c>
      <c r="CJ73" s="69" t="n">
        <v>0.19</v>
      </c>
      <c r="CK73" s="69" t="n">
        <v>0.38</v>
      </c>
      <c r="CL73" s="69" t="n">
        <v>0.24</v>
      </c>
      <c r="CM73" s="69" t="n">
        <v>0.16</v>
      </c>
      <c r="CN73" s="69" t="n">
        <v>-0.04</v>
      </c>
      <c r="CO73" s="69" t="n">
        <v>0.14</v>
      </c>
      <c r="CP73" s="69" t="n">
        <v>0.25</v>
      </c>
      <c r="CQ73" s="69" t="n">
        <v>0.52</v>
      </c>
      <c r="CR73" s="69" t="n">
        <v>0.29</v>
      </c>
      <c r="CS73" s="69" t="n">
        <v>0.25</v>
      </c>
      <c r="CT73" s="69" t="n">
        <v>0.3</v>
      </c>
      <c r="CU73" s="69" t="n">
        <v>0.28</v>
      </c>
      <c r="CV73" s="69" t="n">
        <v>0.13</v>
      </c>
      <c r="CW73" s="69" t="n">
        <v>0.35</v>
      </c>
      <c r="CX73" s="69" t="n">
        <v>0.3</v>
      </c>
      <c r="CY73" s="69" t="n">
        <v>0.33</v>
      </c>
      <c r="CZ73" s="69" t="n">
        <v>0.19</v>
      </c>
      <c r="DA73" s="69" t="n">
        <v>0.16</v>
      </c>
      <c r="DB73" s="69" t="n">
        <v>0.15</v>
      </c>
      <c r="DC73" s="69" t="n">
        <v>0.27</v>
      </c>
      <c r="DD73" s="69" t="n">
        <v>0.27</v>
      </c>
      <c r="DE73" s="69" t="n">
        <v>0.21</v>
      </c>
      <c r="DF73" s="69" t="n">
        <v>0.11</v>
      </c>
      <c r="DG73" s="69" t="n">
        <v>0.21</v>
      </c>
      <c r="DH73" s="69" t="n">
        <v>0.2</v>
      </c>
      <c r="DI73" s="69" t="n">
        <v>0.47</v>
      </c>
      <c r="DJ73" s="69" t="n">
        <v>0.33</v>
      </c>
      <c r="DK73" s="69" t="n">
        <v>0.51</v>
      </c>
      <c r="DL73" s="69" t="n">
        <v>0.04</v>
      </c>
      <c r="DM73" s="69" t="n">
        <v>0.43</v>
      </c>
      <c r="DN73" s="69" t="n">
        <v>0.29</v>
      </c>
      <c r="DO73" s="69" t="n">
        <v>0.19</v>
      </c>
      <c r="DP73" s="69" t="n">
        <v>0.37</v>
      </c>
      <c r="DQ73" s="69" t="n">
        <v>0.24</v>
      </c>
      <c r="DR73" s="69" t="n">
        <v>0.19</v>
      </c>
      <c r="DS73" s="69" t="n">
        <v>0.15</v>
      </c>
      <c r="DT73" s="69" t="n">
        <v>0.11</v>
      </c>
      <c r="DU73" s="69" t="n">
        <v>0.31</v>
      </c>
      <c r="DV73" s="69" t="n">
        <v>0.14</v>
      </c>
      <c r="DW73" s="69" t="n">
        <v>0.29</v>
      </c>
      <c r="DX73" s="69" t="n">
        <v>0.2</v>
      </c>
      <c r="DY73" s="69" t="n">
        <v>0.35</v>
      </c>
      <c r="DZ73" s="69" t="n">
        <v>0.19</v>
      </c>
      <c r="EA73" s="69" t="n">
        <v>0.19</v>
      </c>
      <c r="EB73" s="69" t="n">
        <v>0.34</v>
      </c>
      <c r="EC73" s="69" t="n">
        <v>-0.01</v>
      </c>
      <c r="ED73" s="69" t="n">
        <v>0.32</v>
      </c>
      <c r="EE73" s="69" t="n">
        <v>0.17</v>
      </c>
      <c r="EF73" s="69" t="n">
        <v>0.26</v>
      </c>
      <c r="EG73" s="69" t="n">
        <v>0.18</v>
      </c>
      <c r="EH73" s="69" t="n">
        <v>0.22</v>
      </c>
      <c r="EI73" s="69" t="n">
        <v>0.16</v>
      </c>
      <c r="EJ73" s="69" t="n">
        <v>0.18</v>
      </c>
      <c r="EK73" s="69" t="n">
        <v>0.25</v>
      </c>
      <c r="EL73" s="69" t="n">
        <v>0.28</v>
      </c>
      <c r="EM73" s="69" t="n">
        <v>0.2</v>
      </c>
      <c r="EN73" s="69" t="n">
        <v>0.02</v>
      </c>
      <c r="EO73" s="69" t="n">
        <v>0.11</v>
      </c>
    </row>
    <row r="74" customFormat="false" ht="15" hidden="false" customHeight="false" outlineLevel="0" collapsed="false">
      <c r="A74" s="68" t="s">
        <v>296</v>
      </c>
      <c r="B74" s="69" t="n">
        <v>0.03</v>
      </c>
      <c r="C74" s="69" t="n">
        <v>-0.03</v>
      </c>
      <c r="D74" s="69" t="n">
        <v>-0.06</v>
      </c>
      <c r="E74" s="69" t="n">
        <v>0.03</v>
      </c>
      <c r="F74" s="69" t="n">
        <v>0.15</v>
      </c>
      <c r="G74" s="69" t="n">
        <v>0</v>
      </c>
      <c r="H74" s="69" t="n">
        <v>-0.09</v>
      </c>
      <c r="I74" s="69" t="n">
        <v>0.02</v>
      </c>
      <c r="J74" s="69" t="n">
        <v>0.12</v>
      </c>
      <c r="K74" s="69" t="n">
        <v>-0.05</v>
      </c>
      <c r="L74" s="69" t="n">
        <v>-0.06</v>
      </c>
      <c r="M74" s="69" t="n">
        <v>-0.09</v>
      </c>
      <c r="N74" s="69" t="n">
        <v>0.05</v>
      </c>
      <c r="O74" s="69" t="n">
        <v>-0.06</v>
      </c>
      <c r="P74" s="69" t="n">
        <v>0.17</v>
      </c>
      <c r="Q74" s="69" t="n">
        <v>-0.05</v>
      </c>
      <c r="R74" s="69" t="n">
        <v>0.15</v>
      </c>
      <c r="S74" s="69" t="n">
        <v>-0.12</v>
      </c>
      <c r="T74" s="69" t="n">
        <v>0</v>
      </c>
      <c r="U74" s="69" t="n">
        <v>-0.09</v>
      </c>
      <c r="V74" s="69" t="n">
        <v>-0.09</v>
      </c>
      <c r="W74" s="69" t="n">
        <v>-0.04</v>
      </c>
      <c r="X74" s="69" t="n">
        <v>-0.01</v>
      </c>
      <c r="Y74" s="69" t="n">
        <v>-0.01</v>
      </c>
      <c r="Z74" s="69" t="n">
        <v>-0.11</v>
      </c>
      <c r="AA74" s="69" t="n">
        <v>-0.13</v>
      </c>
      <c r="AB74" s="69" t="n">
        <v>0</v>
      </c>
      <c r="AC74" s="69" t="n">
        <v>0.01</v>
      </c>
      <c r="AD74" s="69" t="n">
        <v>0.07</v>
      </c>
      <c r="AE74" s="69" t="n">
        <v>-0.22</v>
      </c>
      <c r="AF74" s="69" t="n">
        <v>-0.1</v>
      </c>
      <c r="AG74" s="69" t="n">
        <v>0.22</v>
      </c>
      <c r="AH74" s="69" t="n">
        <v>0.21</v>
      </c>
      <c r="AI74" s="69" t="n">
        <v>0.72</v>
      </c>
      <c r="AJ74" s="69" t="n">
        <v>-0.06</v>
      </c>
      <c r="AK74" s="69" t="n">
        <v>-0.15</v>
      </c>
      <c r="AL74" s="69" t="n">
        <v>-0.01</v>
      </c>
      <c r="AM74" s="69" t="n">
        <v>-0.12</v>
      </c>
      <c r="AN74" s="69" t="n">
        <v>-0.18</v>
      </c>
      <c r="AO74" s="69" t="n">
        <v>0.06</v>
      </c>
      <c r="AP74" s="69" t="n">
        <v>-0.07</v>
      </c>
      <c r="AQ74" s="69" t="n">
        <v>0.74</v>
      </c>
      <c r="AR74" s="69" t="n">
        <v>0.03</v>
      </c>
      <c r="AS74" s="69" t="n">
        <v>-0.14</v>
      </c>
      <c r="AT74" s="69" t="n">
        <v>-0.08</v>
      </c>
      <c r="AU74" s="69" t="n">
        <v>0.12</v>
      </c>
      <c r="AV74" s="69" t="n">
        <v>-0.02</v>
      </c>
      <c r="AW74" s="69" t="n">
        <v>-0.06</v>
      </c>
      <c r="AX74" s="69" t="n">
        <v>0.02</v>
      </c>
      <c r="AY74" s="69" t="n">
        <v>0</v>
      </c>
      <c r="AZ74" s="69" t="n">
        <v>-0.2</v>
      </c>
      <c r="BA74" s="69" t="n">
        <v>-0.03</v>
      </c>
      <c r="BB74" s="69" t="n">
        <v>-0.1</v>
      </c>
      <c r="BC74" s="69" t="n">
        <v>-0.05</v>
      </c>
      <c r="BD74" s="69" t="n">
        <v>-0.13</v>
      </c>
      <c r="BE74" s="69" t="n">
        <v>0.05</v>
      </c>
      <c r="BF74" s="69" t="n">
        <v>0</v>
      </c>
      <c r="BG74" s="69" t="n">
        <v>-0.03</v>
      </c>
      <c r="BH74" s="69" t="n">
        <v>-0.15</v>
      </c>
      <c r="BI74" s="69" t="n">
        <v>-0.03</v>
      </c>
      <c r="BJ74" s="69" t="n">
        <v>0.07</v>
      </c>
      <c r="BK74" s="69" t="n">
        <v>-0.12</v>
      </c>
      <c r="BL74" s="69" t="n">
        <v>-0.02</v>
      </c>
      <c r="BM74" s="69" t="n">
        <v>0.05</v>
      </c>
      <c r="BN74" s="69" t="n">
        <v>0.05</v>
      </c>
      <c r="BO74" s="69" t="n">
        <v>-0.11</v>
      </c>
      <c r="BP74" s="69" t="n">
        <v>-0.04</v>
      </c>
      <c r="BQ74" s="69" t="n">
        <v>-0.17</v>
      </c>
      <c r="BR74" s="69" t="n">
        <v>0.05</v>
      </c>
      <c r="BS74" s="69" t="n">
        <v>1</v>
      </c>
      <c r="BT74" s="69" t="n">
        <v>-0.23</v>
      </c>
      <c r="BU74" s="69" t="n">
        <v>-0.09</v>
      </c>
      <c r="BV74" s="69" t="n">
        <v>-0.03</v>
      </c>
      <c r="BW74" s="69" t="n">
        <v>0.04</v>
      </c>
      <c r="BX74" s="69" t="n">
        <v>0.01</v>
      </c>
      <c r="BY74" s="69" t="n">
        <v>-0.03</v>
      </c>
      <c r="BZ74" s="69" t="n">
        <v>-0.14</v>
      </c>
      <c r="CA74" s="69" t="n">
        <v>-0.09</v>
      </c>
      <c r="CB74" s="69" t="n">
        <v>0.13</v>
      </c>
      <c r="CC74" s="69" t="n">
        <v>0</v>
      </c>
      <c r="CD74" s="69" t="n">
        <v>0.01</v>
      </c>
      <c r="CE74" s="69" t="n">
        <v>0.12</v>
      </c>
      <c r="CF74" s="69" t="n">
        <v>0.84</v>
      </c>
      <c r="CG74" s="69" t="n">
        <v>-0.07</v>
      </c>
      <c r="CH74" s="69" t="n">
        <v>-0.14</v>
      </c>
      <c r="CI74" s="69" t="n">
        <v>0.81</v>
      </c>
      <c r="CJ74" s="69" t="n">
        <v>0.12</v>
      </c>
      <c r="CK74" s="69" t="n">
        <v>0.04</v>
      </c>
      <c r="CL74" s="69" t="n">
        <v>-0.04</v>
      </c>
      <c r="CM74" s="69" t="n">
        <v>-0.05</v>
      </c>
      <c r="CN74" s="69" t="n">
        <v>0</v>
      </c>
      <c r="CO74" s="69" t="n">
        <v>-0.11</v>
      </c>
      <c r="CP74" s="69" t="n">
        <v>0.07</v>
      </c>
      <c r="CQ74" s="69" t="n">
        <v>-0.21</v>
      </c>
      <c r="CR74" s="69" t="n">
        <v>-0.08</v>
      </c>
      <c r="CS74" s="69" t="n">
        <v>0.02</v>
      </c>
      <c r="CT74" s="69" t="n">
        <v>-0.07</v>
      </c>
      <c r="CU74" s="69" t="n">
        <v>0.04</v>
      </c>
      <c r="CV74" s="69" t="n">
        <v>-0.12</v>
      </c>
      <c r="CW74" s="69" t="n">
        <v>-0.08</v>
      </c>
      <c r="CX74" s="69" t="n">
        <v>-0.1</v>
      </c>
      <c r="CY74" s="69" t="n">
        <v>-0.25</v>
      </c>
      <c r="CZ74" s="69" t="n">
        <v>0.07</v>
      </c>
      <c r="DA74" s="69" t="n">
        <v>0.01</v>
      </c>
      <c r="DB74" s="69" t="n">
        <v>-0.04</v>
      </c>
      <c r="DC74" s="69" t="n">
        <v>-0.28</v>
      </c>
      <c r="DD74" s="69" t="n">
        <v>-0.06</v>
      </c>
      <c r="DE74" s="69" t="n">
        <v>-0.1</v>
      </c>
      <c r="DF74" s="69" t="n">
        <v>0.06</v>
      </c>
      <c r="DG74" s="69" t="n">
        <v>-0.08</v>
      </c>
      <c r="DH74" s="69" t="n">
        <v>0.01</v>
      </c>
      <c r="DI74" s="69" t="n">
        <v>-0.31</v>
      </c>
      <c r="DJ74" s="69" t="n">
        <v>-0.13</v>
      </c>
      <c r="DK74" s="69" t="n">
        <v>-0.3</v>
      </c>
      <c r="DL74" s="69" t="n">
        <v>-0.2</v>
      </c>
      <c r="DM74" s="69" t="n">
        <v>-0.24</v>
      </c>
      <c r="DN74" s="69" t="n">
        <v>-0.03</v>
      </c>
      <c r="DO74" s="69" t="n">
        <v>0.03</v>
      </c>
      <c r="DP74" s="69" t="n">
        <v>-0.2</v>
      </c>
      <c r="DQ74" s="69" t="n">
        <v>0.05</v>
      </c>
      <c r="DR74" s="69" t="n">
        <v>0.06</v>
      </c>
      <c r="DS74" s="69" t="n">
        <v>0</v>
      </c>
      <c r="DT74" s="69" t="n">
        <v>-0.04</v>
      </c>
      <c r="DU74" s="69" t="n">
        <v>-0.13</v>
      </c>
      <c r="DV74" s="69" t="n">
        <v>-0.03</v>
      </c>
      <c r="DW74" s="69" t="n">
        <v>-0.14</v>
      </c>
      <c r="DX74" s="69" t="n">
        <v>-0.06</v>
      </c>
      <c r="DY74" s="69" t="n">
        <v>-0.16</v>
      </c>
      <c r="DZ74" s="69" t="n">
        <v>0.07</v>
      </c>
      <c r="EA74" s="69" t="n">
        <v>-0.17</v>
      </c>
      <c r="EB74" s="69" t="n">
        <v>-0.09</v>
      </c>
      <c r="EC74" s="69" t="n">
        <v>-0.07</v>
      </c>
      <c r="ED74" s="69" t="n">
        <v>-0.02</v>
      </c>
      <c r="EE74" s="69" t="n">
        <v>-0.06</v>
      </c>
      <c r="EF74" s="69" t="n">
        <v>0.02</v>
      </c>
      <c r="EG74" s="69" t="n">
        <v>-0.06</v>
      </c>
      <c r="EH74" s="69" t="n">
        <v>-0.05</v>
      </c>
      <c r="EI74" s="69" t="n">
        <v>-0.03</v>
      </c>
      <c r="EJ74" s="69" t="n">
        <v>0.02</v>
      </c>
      <c r="EK74" s="69" t="n">
        <v>0.08</v>
      </c>
      <c r="EL74" s="69" t="n">
        <v>-0.09</v>
      </c>
      <c r="EM74" s="69" t="n">
        <v>-0.02</v>
      </c>
      <c r="EN74" s="69" t="n">
        <v>-0.04</v>
      </c>
      <c r="EO74" s="69" t="n">
        <v>0.01</v>
      </c>
    </row>
    <row r="75" customFormat="false" ht="15" hidden="false" customHeight="false" outlineLevel="0" collapsed="false">
      <c r="A75" s="68" t="s">
        <v>298</v>
      </c>
      <c r="B75" s="69" t="n">
        <v>0.19</v>
      </c>
      <c r="C75" s="69" t="n">
        <v>0.04</v>
      </c>
      <c r="D75" s="69" t="n">
        <v>0.05</v>
      </c>
      <c r="E75" s="69" t="n">
        <v>0.06</v>
      </c>
      <c r="F75" s="69" t="n">
        <v>0.08</v>
      </c>
      <c r="G75" s="69" t="n">
        <v>0.01</v>
      </c>
      <c r="H75" s="69" t="n">
        <v>0.18</v>
      </c>
      <c r="I75" s="69" t="n">
        <v>0.18</v>
      </c>
      <c r="J75" s="69" t="n">
        <v>0.2</v>
      </c>
      <c r="K75" s="69" t="n">
        <v>0.18</v>
      </c>
      <c r="L75" s="69" t="n">
        <v>0.14</v>
      </c>
      <c r="M75" s="69" t="n">
        <v>0.35</v>
      </c>
      <c r="N75" s="69" t="n">
        <v>0.2</v>
      </c>
      <c r="O75" s="69" t="n">
        <v>0.19</v>
      </c>
      <c r="P75" s="69" t="n">
        <v>0.03</v>
      </c>
      <c r="Q75" s="69" t="n">
        <v>0.02</v>
      </c>
      <c r="R75" s="69" t="n">
        <v>0.09</v>
      </c>
      <c r="S75" s="69" t="n">
        <v>0.17</v>
      </c>
      <c r="T75" s="69" t="n">
        <v>0.47</v>
      </c>
      <c r="U75" s="69" t="n">
        <v>0.2</v>
      </c>
      <c r="V75" s="69" t="n">
        <v>0.06</v>
      </c>
      <c r="W75" s="69" t="n">
        <v>0.06</v>
      </c>
      <c r="X75" s="69" t="n">
        <v>0.47</v>
      </c>
      <c r="Y75" s="69" t="n">
        <v>0.17</v>
      </c>
      <c r="Z75" s="69" t="n">
        <v>0.12</v>
      </c>
      <c r="AA75" s="69" t="n">
        <v>0.14</v>
      </c>
      <c r="AB75" s="69" t="n">
        <v>0.18</v>
      </c>
      <c r="AC75" s="69" t="n">
        <v>0.11</v>
      </c>
      <c r="AD75" s="69" t="n">
        <v>0.17</v>
      </c>
      <c r="AE75" s="69" t="n">
        <v>0.29</v>
      </c>
      <c r="AF75" s="69" t="n">
        <v>0.19</v>
      </c>
      <c r="AG75" s="69" t="n">
        <v>-0.06</v>
      </c>
      <c r="AH75" s="69" t="n">
        <v>0.01</v>
      </c>
      <c r="AI75" s="69" t="n">
        <v>-0.22</v>
      </c>
      <c r="AJ75" s="69" t="n">
        <v>0.06</v>
      </c>
      <c r="AK75" s="69" t="n">
        <v>0.26</v>
      </c>
      <c r="AL75" s="69" t="n">
        <v>0.23</v>
      </c>
      <c r="AM75" s="69" t="n">
        <v>0.26</v>
      </c>
      <c r="AN75" s="69" t="n">
        <v>0.43</v>
      </c>
      <c r="AO75" s="69" t="n">
        <v>0.12</v>
      </c>
      <c r="AP75" s="69" t="n">
        <v>0.25</v>
      </c>
      <c r="AQ75" s="69" t="n">
        <v>-0.24</v>
      </c>
      <c r="AR75" s="69" t="n">
        <v>0.39</v>
      </c>
      <c r="AS75" s="69" t="n">
        <v>0.15</v>
      </c>
      <c r="AT75" s="69" t="n">
        <v>0.32</v>
      </c>
      <c r="AU75" s="69" t="n">
        <v>0.11</v>
      </c>
      <c r="AV75" s="69" t="n">
        <v>0.1</v>
      </c>
      <c r="AW75" s="69" t="n">
        <v>0.21</v>
      </c>
      <c r="AX75" s="69" t="n">
        <v>0.24</v>
      </c>
      <c r="AY75" s="69" t="n">
        <v>0.21</v>
      </c>
      <c r="AZ75" s="69" t="n">
        <v>0.22</v>
      </c>
      <c r="BA75" s="69" t="n">
        <v>0.34</v>
      </c>
      <c r="BB75" s="69" t="n">
        <v>0.52</v>
      </c>
      <c r="BC75" s="69" t="n">
        <v>0.2</v>
      </c>
      <c r="BD75" s="69" t="n">
        <v>0.15</v>
      </c>
      <c r="BE75" s="69" t="n">
        <v>0.22</v>
      </c>
      <c r="BF75" s="69" t="n">
        <v>0.22</v>
      </c>
      <c r="BG75" s="69" t="n">
        <v>0.22</v>
      </c>
      <c r="BH75" s="69" t="n">
        <v>0.22</v>
      </c>
      <c r="BI75" s="69" t="n">
        <v>0.12</v>
      </c>
      <c r="BJ75" s="69" t="n">
        <v>0.04</v>
      </c>
      <c r="BK75" s="69" t="n">
        <v>0.16</v>
      </c>
      <c r="BL75" s="69" t="n">
        <v>0.35</v>
      </c>
      <c r="BM75" s="69" t="n">
        <v>0.13</v>
      </c>
      <c r="BN75" s="69" t="n">
        <v>0.12</v>
      </c>
      <c r="BO75" s="69" t="n">
        <v>0.35</v>
      </c>
      <c r="BP75" s="69" t="n">
        <v>0.07</v>
      </c>
      <c r="BQ75" s="69" t="n">
        <v>0.31</v>
      </c>
      <c r="BR75" s="69" t="n">
        <v>0.32</v>
      </c>
      <c r="BS75" s="69" t="n">
        <v>-0.23</v>
      </c>
      <c r="BT75" s="69" t="n">
        <v>1</v>
      </c>
      <c r="BU75" s="69" t="n">
        <v>0.22</v>
      </c>
      <c r="BV75" s="69" t="n">
        <v>0.25</v>
      </c>
      <c r="BW75" s="69" t="n">
        <v>0.19</v>
      </c>
      <c r="BX75" s="69" t="n">
        <v>0.19</v>
      </c>
      <c r="BY75" s="69" t="n">
        <v>0.35</v>
      </c>
      <c r="BZ75" s="69" t="n">
        <v>0.49</v>
      </c>
      <c r="CA75" s="69" t="n">
        <v>0.15</v>
      </c>
      <c r="CB75" s="69" t="n">
        <v>-0.05</v>
      </c>
      <c r="CC75" s="69" t="n">
        <v>0.03</v>
      </c>
      <c r="CD75" s="69" t="n">
        <v>0.28</v>
      </c>
      <c r="CE75" s="69" t="n">
        <v>0.14</v>
      </c>
      <c r="CF75" s="69" t="n">
        <v>-0.28</v>
      </c>
      <c r="CG75" s="69" t="n">
        <v>0.24</v>
      </c>
      <c r="CH75" s="69" t="n">
        <v>0.32</v>
      </c>
      <c r="CI75" s="69" t="n">
        <v>-0.26</v>
      </c>
      <c r="CJ75" s="69" t="n">
        <v>0.12</v>
      </c>
      <c r="CK75" s="69" t="n">
        <v>0.16</v>
      </c>
      <c r="CL75" s="69" t="n">
        <v>0.29</v>
      </c>
      <c r="CM75" s="69" t="n">
        <v>0.3</v>
      </c>
      <c r="CN75" s="69" t="n">
        <v>0.08</v>
      </c>
      <c r="CO75" s="69" t="n">
        <v>0.07</v>
      </c>
      <c r="CP75" s="69" t="n">
        <v>0.05</v>
      </c>
      <c r="CQ75" s="69" t="n">
        <v>0.51</v>
      </c>
      <c r="CR75" s="69" t="n">
        <v>0.39</v>
      </c>
      <c r="CS75" s="69" t="n">
        <v>0.49</v>
      </c>
      <c r="CT75" s="69" t="n">
        <v>0.24</v>
      </c>
      <c r="CU75" s="69" t="n">
        <v>0.17</v>
      </c>
      <c r="CV75" s="69" t="n">
        <v>0.18</v>
      </c>
      <c r="CW75" s="69" t="n">
        <v>0.26</v>
      </c>
      <c r="CX75" s="69" t="n">
        <v>0.38</v>
      </c>
      <c r="CY75" s="69" t="n">
        <v>0.49</v>
      </c>
      <c r="CZ75" s="69" t="n">
        <v>0</v>
      </c>
      <c r="DA75" s="69" t="n">
        <v>0.14</v>
      </c>
      <c r="DB75" s="69" t="n">
        <v>0.25</v>
      </c>
      <c r="DC75" s="69" t="n">
        <v>0.31</v>
      </c>
      <c r="DD75" s="69" t="n">
        <v>0.3</v>
      </c>
      <c r="DE75" s="69" t="n">
        <v>0.32</v>
      </c>
      <c r="DF75" s="69" t="n">
        <v>-0.14</v>
      </c>
      <c r="DG75" s="69" t="n">
        <v>0.3</v>
      </c>
      <c r="DH75" s="69" t="n">
        <v>0.24</v>
      </c>
      <c r="DI75" s="69" t="n">
        <v>0.49</v>
      </c>
      <c r="DJ75" s="69" t="n">
        <v>0.43</v>
      </c>
      <c r="DK75" s="69" t="n">
        <v>0.55</v>
      </c>
      <c r="DL75" s="69" t="n">
        <v>0.17</v>
      </c>
      <c r="DM75" s="69" t="n">
        <v>0.53</v>
      </c>
      <c r="DN75" s="69" t="n">
        <v>0.17</v>
      </c>
      <c r="DO75" s="69" t="n">
        <v>0.26</v>
      </c>
      <c r="DP75" s="69" t="n">
        <v>0.51</v>
      </c>
      <c r="DQ75" s="69" t="n">
        <v>0.29</v>
      </c>
      <c r="DR75" s="69" t="n">
        <v>0.2</v>
      </c>
      <c r="DS75" s="69" t="n">
        <v>0.14</v>
      </c>
      <c r="DT75" s="69" t="n">
        <v>0.15</v>
      </c>
      <c r="DU75" s="69" t="n">
        <v>0.37</v>
      </c>
      <c r="DV75" s="69" t="n">
        <v>0.14</v>
      </c>
      <c r="DW75" s="69" t="n">
        <v>0.19</v>
      </c>
      <c r="DX75" s="69" t="n">
        <v>0.37</v>
      </c>
      <c r="DY75" s="69" t="n">
        <v>0.3</v>
      </c>
      <c r="DZ75" s="69" t="n">
        <v>0.01</v>
      </c>
      <c r="EA75" s="69" t="n">
        <v>0.26</v>
      </c>
      <c r="EB75" s="69" t="n">
        <v>0.29</v>
      </c>
      <c r="EC75" s="69" t="n">
        <v>0.06</v>
      </c>
      <c r="ED75" s="69" t="n">
        <v>0.22</v>
      </c>
      <c r="EE75" s="69" t="n">
        <v>0.32</v>
      </c>
      <c r="EF75" s="69" t="n">
        <v>0.3</v>
      </c>
      <c r="EG75" s="69" t="n">
        <v>0.26</v>
      </c>
      <c r="EH75" s="69" t="n">
        <v>0.1</v>
      </c>
      <c r="EI75" s="69" t="n">
        <v>0.27</v>
      </c>
      <c r="EJ75" s="69" t="n">
        <v>0.24</v>
      </c>
      <c r="EK75" s="69" t="n">
        <v>0.27</v>
      </c>
      <c r="EL75" s="69" t="n">
        <v>0.4</v>
      </c>
      <c r="EM75" s="69" t="n">
        <v>0.19</v>
      </c>
      <c r="EN75" s="69" t="n">
        <v>-0.02</v>
      </c>
      <c r="EO75" s="69" t="n">
        <v>0.11</v>
      </c>
    </row>
    <row r="76" customFormat="false" ht="15" hidden="false" customHeight="false" outlineLevel="0" collapsed="false">
      <c r="A76" s="68" t="s">
        <v>299</v>
      </c>
      <c r="B76" s="69" t="n">
        <v>-0.07</v>
      </c>
      <c r="C76" s="69" t="n">
        <v>0.06</v>
      </c>
      <c r="D76" s="69" t="n">
        <v>0.1</v>
      </c>
      <c r="E76" s="69" t="n">
        <v>0.17</v>
      </c>
      <c r="F76" s="69" t="n">
        <v>-0.06</v>
      </c>
      <c r="G76" s="69" t="n">
        <v>-0.01</v>
      </c>
      <c r="H76" s="69" t="n">
        <v>0.19</v>
      </c>
      <c r="I76" s="69" t="n">
        <v>-0.06</v>
      </c>
      <c r="J76" s="69" t="n">
        <v>0.03</v>
      </c>
      <c r="K76" s="69" t="n">
        <v>-0.04</v>
      </c>
      <c r="L76" s="69" t="n">
        <v>0.08</v>
      </c>
      <c r="M76" s="69" t="n">
        <v>0.13</v>
      </c>
      <c r="N76" s="69" t="n">
        <v>0.04</v>
      </c>
      <c r="O76" s="69" t="n">
        <v>0.18</v>
      </c>
      <c r="P76" s="69" t="n">
        <v>0.04</v>
      </c>
      <c r="Q76" s="69" t="n">
        <v>-0.02</v>
      </c>
      <c r="R76" s="69" t="n">
        <v>0.01</v>
      </c>
      <c r="S76" s="69" t="n">
        <v>0.2</v>
      </c>
      <c r="T76" s="69" t="n">
        <v>0.17</v>
      </c>
      <c r="U76" s="69" t="n">
        <v>0.29</v>
      </c>
      <c r="V76" s="69" t="n">
        <v>0.11</v>
      </c>
      <c r="W76" s="69" t="n">
        <v>0.14</v>
      </c>
      <c r="X76" s="69" t="n">
        <v>0.19</v>
      </c>
      <c r="Y76" s="69" t="n">
        <v>-0.01</v>
      </c>
      <c r="Z76" s="69" t="n">
        <v>0.28</v>
      </c>
      <c r="AA76" s="69" t="n">
        <v>0.12</v>
      </c>
      <c r="AB76" s="69" t="n">
        <v>-0.02</v>
      </c>
      <c r="AC76" s="69" t="n">
        <v>0.08</v>
      </c>
      <c r="AD76" s="69" t="n">
        <v>0.2</v>
      </c>
      <c r="AE76" s="69" t="n">
        <v>0.27</v>
      </c>
      <c r="AF76" s="69" t="n">
        <v>0.26</v>
      </c>
      <c r="AG76" s="69" t="n">
        <v>-0.04</v>
      </c>
      <c r="AH76" s="69" t="n">
        <v>-0.09</v>
      </c>
      <c r="AI76" s="69" t="n">
        <v>-0.11</v>
      </c>
      <c r="AJ76" s="69" t="n">
        <v>0.16</v>
      </c>
      <c r="AK76" s="69" t="n">
        <v>0.37</v>
      </c>
      <c r="AL76" s="69" t="n">
        <v>0.08</v>
      </c>
      <c r="AM76" s="69" t="n">
        <v>0.29</v>
      </c>
      <c r="AN76" s="69" t="n">
        <v>0.13</v>
      </c>
      <c r="AO76" s="69" t="n">
        <v>-0.1</v>
      </c>
      <c r="AP76" s="69" t="n">
        <v>0.09</v>
      </c>
      <c r="AQ76" s="69" t="n">
        <v>-0.06</v>
      </c>
      <c r="AR76" s="69" t="n">
        <v>0.21</v>
      </c>
      <c r="AS76" s="69" t="n">
        <v>0.27</v>
      </c>
      <c r="AT76" s="69" t="n">
        <v>0.09</v>
      </c>
      <c r="AU76" s="69" t="n">
        <v>-0.01</v>
      </c>
      <c r="AV76" s="69" t="n">
        <v>0.09</v>
      </c>
      <c r="AW76" s="69" t="n">
        <v>0.29</v>
      </c>
      <c r="AX76" s="69" t="n">
        <v>0.01</v>
      </c>
      <c r="AY76" s="69" t="n">
        <v>0.06</v>
      </c>
      <c r="AZ76" s="69" t="n">
        <v>0.25</v>
      </c>
      <c r="BA76" s="69" t="n">
        <v>0.17</v>
      </c>
      <c r="BB76" s="69" t="n">
        <v>0.19</v>
      </c>
      <c r="BC76" s="69" t="n">
        <v>0.14</v>
      </c>
      <c r="BD76" s="69" t="n">
        <v>0.35</v>
      </c>
      <c r="BE76" s="69" t="n">
        <v>0.05</v>
      </c>
      <c r="BF76" s="69" t="n">
        <v>0.2</v>
      </c>
      <c r="BG76" s="69" t="n">
        <v>0.07</v>
      </c>
      <c r="BH76" s="69" t="n">
        <v>0.28</v>
      </c>
      <c r="BI76" s="69" t="n">
        <v>0.09</v>
      </c>
      <c r="BJ76" s="69" t="n">
        <v>0.01</v>
      </c>
      <c r="BK76" s="69" t="n">
        <v>0.22</v>
      </c>
      <c r="BL76" s="69" t="n">
        <v>0.14</v>
      </c>
      <c r="BM76" s="69" t="n">
        <v>0.07</v>
      </c>
      <c r="BN76" s="69" t="n">
        <v>-0.01</v>
      </c>
      <c r="BO76" s="69" t="n">
        <v>0.14</v>
      </c>
      <c r="BP76" s="69" t="n">
        <v>-0.03</v>
      </c>
      <c r="BQ76" s="69" t="n">
        <v>0.27</v>
      </c>
      <c r="BR76" s="69" t="n">
        <v>0.15</v>
      </c>
      <c r="BS76" s="69" t="n">
        <v>-0.09</v>
      </c>
      <c r="BT76" s="69" t="n">
        <v>0.22</v>
      </c>
      <c r="BU76" s="69" t="n">
        <v>1</v>
      </c>
      <c r="BV76" s="69" t="n">
        <v>0.11</v>
      </c>
      <c r="BW76" s="69" t="n">
        <v>0.08</v>
      </c>
      <c r="BX76" s="69" t="n">
        <v>0.08</v>
      </c>
      <c r="BY76" s="69" t="n">
        <v>0.12</v>
      </c>
      <c r="BZ76" s="69" t="n">
        <v>0.15</v>
      </c>
      <c r="CA76" s="69" t="n">
        <v>0.11</v>
      </c>
      <c r="CB76" s="69" t="n">
        <v>-0.01</v>
      </c>
      <c r="CC76" s="69" t="n">
        <v>-0.02</v>
      </c>
      <c r="CD76" s="69" t="n">
        <v>0.08</v>
      </c>
      <c r="CE76" s="69" t="n">
        <v>0.11</v>
      </c>
      <c r="CF76" s="69" t="n">
        <v>-0.12</v>
      </c>
      <c r="CG76" s="69" t="n">
        <v>0.16</v>
      </c>
      <c r="CH76" s="69" t="n">
        <v>0.25</v>
      </c>
      <c r="CI76" s="69" t="n">
        <v>-0.11</v>
      </c>
      <c r="CJ76" s="69" t="n">
        <v>-0.03</v>
      </c>
      <c r="CK76" s="69" t="n">
        <v>0.11</v>
      </c>
      <c r="CL76" s="69" t="n">
        <v>0.13</v>
      </c>
      <c r="CM76" s="69" t="n">
        <v>0.18</v>
      </c>
      <c r="CN76" s="69" t="n">
        <v>0.2</v>
      </c>
      <c r="CO76" s="69" t="n">
        <v>-0.01</v>
      </c>
      <c r="CP76" s="69" t="n">
        <v>-0.05</v>
      </c>
      <c r="CQ76" s="69" t="n">
        <v>0.14</v>
      </c>
      <c r="CR76" s="69" t="n">
        <v>0.09</v>
      </c>
      <c r="CS76" s="69" t="n">
        <v>0.14</v>
      </c>
      <c r="CT76" s="69" t="n">
        <v>0.06</v>
      </c>
      <c r="CU76" s="69" t="n">
        <v>0.15</v>
      </c>
      <c r="CV76" s="69" t="n">
        <v>0.1</v>
      </c>
      <c r="CW76" s="69" t="n">
        <v>0.13</v>
      </c>
      <c r="CX76" s="69" t="n">
        <v>0.18</v>
      </c>
      <c r="CY76" s="69" t="n">
        <v>0.14</v>
      </c>
      <c r="CZ76" s="69" t="n">
        <v>0.16</v>
      </c>
      <c r="DA76" s="69" t="n">
        <v>-0.02</v>
      </c>
      <c r="DB76" s="69" t="n">
        <v>0.12</v>
      </c>
      <c r="DC76" s="69" t="n">
        <v>0.23</v>
      </c>
      <c r="DD76" s="69" t="n">
        <v>0.14</v>
      </c>
      <c r="DE76" s="69" t="n">
        <v>0.24</v>
      </c>
      <c r="DF76" s="69" t="n">
        <v>0.02</v>
      </c>
      <c r="DG76" s="69" t="n">
        <v>0.19</v>
      </c>
      <c r="DH76" s="69" t="n">
        <v>0.11</v>
      </c>
      <c r="DI76" s="69" t="n">
        <v>0.13</v>
      </c>
      <c r="DJ76" s="69" t="n">
        <v>0.14</v>
      </c>
      <c r="DK76" s="69" t="n">
        <v>0.14</v>
      </c>
      <c r="DL76" s="69" t="n">
        <v>0.27</v>
      </c>
      <c r="DM76" s="69" t="n">
        <v>0.21</v>
      </c>
      <c r="DN76" s="69" t="n">
        <v>0.05</v>
      </c>
      <c r="DO76" s="69" t="n">
        <v>0.01</v>
      </c>
      <c r="DP76" s="69" t="n">
        <v>0.11</v>
      </c>
      <c r="DQ76" s="69" t="n">
        <v>0.2</v>
      </c>
      <c r="DR76" s="69" t="n">
        <v>0.18</v>
      </c>
      <c r="DS76" s="69" t="n">
        <v>-0.01</v>
      </c>
      <c r="DT76" s="69" t="n">
        <v>0.09</v>
      </c>
      <c r="DU76" s="69" t="n">
        <v>0.19</v>
      </c>
      <c r="DV76" s="69" t="n">
        <v>0.12</v>
      </c>
      <c r="DW76" s="69" t="n">
        <v>0.14</v>
      </c>
      <c r="DX76" s="69" t="n">
        <v>0.14</v>
      </c>
      <c r="DY76" s="69" t="n">
        <v>0.1</v>
      </c>
      <c r="DZ76" s="69" t="n">
        <v>0.05</v>
      </c>
      <c r="EA76" s="69" t="n">
        <v>0.09</v>
      </c>
      <c r="EB76" s="69" t="n">
        <v>0.14</v>
      </c>
      <c r="EC76" s="69" t="n">
        <v>0.09</v>
      </c>
      <c r="ED76" s="69" t="n">
        <v>0.14</v>
      </c>
      <c r="EE76" s="69" t="n">
        <v>0.08</v>
      </c>
      <c r="EF76" s="69" t="n">
        <v>0.04</v>
      </c>
      <c r="EG76" s="69" t="n">
        <v>0.04</v>
      </c>
      <c r="EH76" s="69" t="n">
        <v>-0.05</v>
      </c>
      <c r="EI76" s="69" t="n">
        <v>0.06</v>
      </c>
      <c r="EJ76" s="69" t="n">
        <v>0.11</v>
      </c>
      <c r="EK76" s="69" t="n">
        <v>0.01</v>
      </c>
      <c r="EL76" s="69" t="n">
        <v>0.1</v>
      </c>
      <c r="EM76" s="69" t="n">
        <v>0.08</v>
      </c>
      <c r="EN76" s="69" t="n">
        <v>0.08</v>
      </c>
      <c r="EO76" s="69" t="n">
        <v>0.05</v>
      </c>
    </row>
    <row r="77" customFormat="false" ht="15" hidden="false" customHeight="false" outlineLevel="0" collapsed="false">
      <c r="A77" s="68" t="s">
        <v>300</v>
      </c>
      <c r="B77" s="69" t="n">
        <v>0.14</v>
      </c>
      <c r="C77" s="69" t="n">
        <v>-0.02</v>
      </c>
      <c r="D77" s="69" t="n">
        <v>0.03</v>
      </c>
      <c r="E77" s="69" t="n">
        <v>-0.03</v>
      </c>
      <c r="F77" s="69" t="n">
        <v>0.02</v>
      </c>
      <c r="G77" s="69" t="n">
        <v>0.02</v>
      </c>
      <c r="H77" s="69" t="n">
        <v>0.07</v>
      </c>
      <c r="I77" s="69" t="n">
        <v>0.14</v>
      </c>
      <c r="J77" s="69" t="n">
        <v>-0.01</v>
      </c>
      <c r="K77" s="69" t="n">
        <v>0.14</v>
      </c>
      <c r="L77" s="69" t="n">
        <v>0.12</v>
      </c>
      <c r="M77" s="69" t="n">
        <v>0.32</v>
      </c>
      <c r="N77" s="69" t="n">
        <v>0.16</v>
      </c>
      <c r="O77" s="69" t="n">
        <v>0.1</v>
      </c>
      <c r="P77" s="69" t="n">
        <v>0.11</v>
      </c>
      <c r="Q77" s="69" t="n">
        <v>0.02</v>
      </c>
      <c r="R77" s="69" t="n">
        <v>0.04</v>
      </c>
      <c r="S77" s="69" t="n">
        <v>0.07</v>
      </c>
      <c r="T77" s="69" t="n">
        <v>0.25</v>
      </c>
      <c r="U77" s="69" t="n">
        <v>0.16</v>
      </c>
      <c r="V77" s="69" t="n">
        <v>0.05</v>
      </c>
      <c r="W77" s="69" t="n">
        <v>0.02</v>
      </c>
      <c r="X77" s="69" t="n">
        <v>0.23</v>
      </c>
      <c r="Y77" s="69" t="n">
        <v>0.24</v>
      </c>
      <c r="Z77" s="69" t="n">
        <v>0.01</v>
      </c>
      <c r="AA77" s="69" t="n">
        <v>0.02</v>
      </c>
      <c r="AB77" s="69" t="n">
        <v>0.27</v>
      </c>
      <c r="AC77" s="69" t="n">
        <v>0.01</v>
      </c>
      <c r="AD77" s="69" t="n">
        <v>0.11</v>
      </c>
      <c r="AE77" s="69" t="n">
        <v>0.11</v>
      </c>
      <c r="AF77" s="69" t="n">
        <v>0.02</v>
      </c>
      <c r="AG77" s="69" t="n">
        <v>0.02</v>
      </c>
      <c r="AH77" s="69" t="n">
        <v>0.03</v>
      </c>
      <c r="AI77" s="69" t="n">
        <v>-0.04</v>
      </c>
      <c r="AJ77" s="69" t="n">
        <v>0.02</v>
      </c>
      <c r="AK77" s="69" t="n">
        <v>0.04</v>
      </c>
      <c r="AL77" s="69" t="n">
        <v>0.16</v>
      </c>
      <c r="AM77" s="69" t="n">
        <v>0.08</v>
      </c>
      <c r="AN77" s="69" t="n">
        <v>0.3</v>
      </c>
      <c r="AO77" s="69" t="n">
        <v>-0.1</v>
      </c>
      <c r="AP77" s="69" t="n">
        <v>0.23</v>
      </c>
      <c r="AQ77" s="69" t="n">
        <v>-0.17</v>
      </c>
      <c r="AR77" s="69" t="n">
        <v>0.25</v>
      </c>
      <c r="AS77" s="69" t="n">
        <v>0.06</v>
      </c>
      <c r="AT77" s="69" t="n">
        <v>0.33</v>
      </c>
      <c r="AU77" s="69" t="n">
        <v>0.01</v>
      </c>
      <c r="AV77" s="69" t="n">
        <v>0.08</v>
      </c>
      <c r="AW77" s="69" t="n">
        <v>0.07</v>
      </c>
      <c r="AX77" s="69" t="n">
        <v>0.14</v>
      </c>
      <c r="AY77" s="69" t="n">
        <v>0.2</v>
      </c>
      <c r="AZ77" s="69" t="n">
        <v>0.1</v>
      </c>
      <c r="BA77" s="69" t="n">
        <v>0.18</v>
      </c>
      <c r="BB77" s="69" t="n">
        <v>0.26</v>
      </c>
      <c r="BC77" s="69" t="n">
        <v>0</v>
      </c>
      <c r="BD77" s="69" t="n">
        <v>0.12</v>
      </c>
      <c r="BE77" s="69" t="n">
        <v>0.07</v>
      </c>
      <c r="BF77" s="69" t="n">
        <v>0.01</v>
      </c>
      <c r="BG77" s="69" t="n">
        <v>0.2</v>
      </c>
      <c r="BH77" s="69" t="n">
        <v>0.14</v>
      </c>
      <c r="BI77" s="69" t="n">
        <v>0.17</v>
      </c>
      <c r="BJ77" s="69" t="n">
        <v>0.03</v>
      </c>
      <c r="BK77" s="69" t="n">
        <v>0.05</v>
      </c>
      <c r="BL77" s="69" t="n">
        <v>0.18</v>
      </c>
      <c r="BM77" s="69" t="n">
        <v>0.19</v>
      </c>
      <c r="BN77" s="69" t="n">
        <v>0.05</v>
      </c>
      <c r="BO77" s="69" t="n">
        <v>0.57</v>
      </c>
      <c r="BP77" s="69" t="n">
        <v>0.41</v>
      </c>
      <c r="BQ77" s="69" t="n">
        <v>0.2</v>
      </c>
      <c r="BR77" s="69" t="n">
        <v>0.24</v>
      </c>
      <c r="BS77" s="69" t="n">
        <v>-0.03</v>
      </c>
      <c r="BT77" s="69" t="n">
        <v>0.25</v>
      </c>
      <c r="BU77" s="69" t="n">
        <v>0.11</v>
      </c>
      <c r="BV77" s="69" t="n">
        <v>1</v>
      </c>
      <c r="BW77" s="69" t="n">
        <v>0.19</v>
      </c>
      <c r="BX77" s="69" t="n">
        <v>0.09</v>
      </c>
      <c r="BY77" s="69" t="n">
        <v>0.3</v>
      </c>
      <c r="BZ77" s="69" t="n">
        <v>0.27</v>
      </c>
      <c r="CA77" s="69" t="n">
        <v>0.11</v>
      </c>
      <c r="CB77" s="69" t="n">
        <v>-0.04</v>
      </c>
      <c r="CC77" s="69" t="n">
        <v>0.06</v>
      </c>
      <c r="CD77" s="69" t="n">
        <v>0.32</v>
      </c>
      <c r="CE77" s="69" t="n">
        <v>0.2</v>
      </c>
      <c r="CF77" s="69" t="n">
        <v>-0.07</v>
      </c>
      <c r="CG77" s="69" t="n">
        <v>0.37</v>
      </c>
      <c r="CH77" s="69" t="n">
        <v>0.11</v>
      </c>
      <c r="CI77" s="69" t="n">
        <v>-0.08</v>
      </c>
      <c r="CJ77" s="69" t="n">
        <v>0.25</v>
      </c>
      <c r="CK77" s="69" t="n">
        <v>0.22</v>
      </c>
      <c r="CL77" s="69" t="n">
        <v>0.22</v>
      </c>
      <c r="CM77" s="69" t="n">
        <v>0.27</v>
      </c>
      <c r="CN77" s="69" t="n">
        <v>0.01</v>
      </c>
      <c r="CO77" s="69" t="n">
        <v>0.1</v>
      </c>
      <c r="CP77" s="69" t="n">
        <v>0.12</v>
      </c>
      <c r="CQ77" s="69" t="n">
        <v>0.31</v>
      </c>
      <c r="CR77" s="69" t="n">
        <v>0.31</v>
      </c>
      <c r="CS77" s="69" t="n">
        <v>0.16</v>
      </c>
      <c r="CT77" s="69" t="n">
        <v>0.35</v>
      </c>
      <c r="CU77" s="69" t="n">
        <v>0.3</v>
      </c>
      <c r="CV77" s="69" t="n">
        <v>0.4</v>
      </c>
      <c r="CW77" s="69" t="n">
        <v>0.35</v>
      </c>
      <c r="CX77" s="69" t="n">
        <v>0.31</v>
      </c>
      <c r="CY77" s="69" t="n">
        <v>0.27</v>
      </c>
      <c r="CZ77" s="69" t="n">
        <v>0.28</v>
      </c>
      <c r="DA77" s="69" t="n">
        <v>0.27</v>
      </c>
      <c r="DB77" s="69" t="n">
        <v>0.38</v>
      </c>
      <c r="DC77" s="69" t="n">
        <v>0.18</v>
      </c>
      <c r="DD77" s="69" t="n">
        <v>0.38</v>
      </c>
      <c r="DE77" s="69" t="n">
        <v>0.19</v>
      </c>
      <c r="DF77" s="69" t="n">
        <v>0.16</v>
      </c>
      <c r="DG77" s="69" t="n">
        <v>0.16</v>
      </c>
      <c r="DH77" s="69" t="n">
        <v>0.26</v>
      </c>
      <c r="DI77" s="69" t="n">
        <v>0.3</v>
      </c>
      <c r="DJ77" s="69" t="n">
        <v>0.24</v>
      </c>
      <c r="DK77" s="69" t="n">
        <v>0.31</v>
      </c>
      <c r="DL77" s="69" t="n">
        <v>0.07</v>
      </c>
      <c r="DM77" s="69" t="n">
        <v>0.32</v>
      </c>
      <c r="DN77" s="69" t="n">
        <v>0.22</v>
      </c>
      <c r="DO77" s="69" t="n">
        <v>0.24</v>
      </c>
      <c r="DP77" s="69" t="n">
        <v>0.3</v>
      </c>
      <c r="DQ77" s="69" t="n">
        <v>0.34</v>
      </c>
      <c r="DR77" s="69" t="n">
        <v>0.13</v>
      </c>
      <c r="DS77" s="69" t="n">
        <v>0.26</v>
      </c>
      <c r="DT77" s="69" t="n">
        <v>0.27</v>
      </c>
      <c r="DU77" s="69" t="n">
        <v>0.34</v>
      </c>
      <c r="DV77" s="69" t="n">
        <v>0.27</v>
      </c>
      <c r="DW77" s="69" t="n">
        <v>0.26</v>
      </c>
      <c r="DX77" s="69" t="n">
        <v>0.21</v>
      </c>
      <c r="DY77" s="69" t="n">
        <v>0.45</v>
      </c>
      <c r="DZ77" s="69" t="n">
        <v>0.22</v>
      </c>
      <c r="EA77" s="69" t="n">
        <v>0.12</v>
      </c>
      <c r="EB77" s="69" t="n">
        <v>0.37</v>
      </c>
      <c r="EC77" s="69" t="n">
        <v>-0.04</v>
      </c>
      <c r="ED77" s="69" t="n">
        <v>0.15</v>
      </c>
      <c r="EE77" s="69" t="n">
        <v>0.26</v>
      </c>
      <c r="EF77" s="69" t="n">
        <v>0.1</v>
      </c>
      <c r="EG77" s="69" t="n">
        <v>0.21</v>
      </c>
      <c r="EH77" s="69" t="n">
        <v>0.25</v>
      </c>
      <c r="EI77" s="69" t="n">
        <v>0.17</v>
      </c>
      <c r="EJ77" s="69" t="n">
        <v>0.18</v>
      </c>
      <c r="EK77" s="69" t="n">
        <v>0.23</v>
      </c>
      <c r="EL77" s="69" t="n">
        <v>0.2</v>
      </c>
      <c r="EM77" s="69" t="n">
        <v>0.17</v>
      </c>
      <c r="EN77" s="69" t="n">
        <v>0.12</v>
      </c>
      <c r="EO77" s="69" t="n">
        <v>0.15</v>
      </c>
    </row>
    <row r="78" customFormat="false" ht="15" hidden="false" customHeight="false" outlineLevel="0" collapsed="false">
      <c r="A78" s="68" t="s">
        <v>301</v>
      </c>
      <c r="B78" s="69" t="n">
        <v>0.17</v>
      </c>
      <c r="C78" s="69" t="n">
        <v>-0.04</v>
      </c>
      <c r="D78" s="69" t="n">
        <v>0.03</v>
      </c>
      <c r="E78" s="69" t="n">
        <v>0.13</v>
      </c>
      <c r="F78" s="69" t="n">
        <v>0.16</v>
      </c>
      <c r="G78" s="69" t="n">
        <v>0.08</v>
      </c>
      <c r="H78" s="69" t="n">
        <v>0.1</v>
      </c>
      <c r="I78" s="69" t="n">
        <v>0.2</v>
      </c>
      <c r="J78" s="69" t="n">
        <v>0.15</v>
      </c>
      <c r="K78" s="69" t="n">
        <v>0.11</v>
      </c>
      <c r="L78" s="69" t="n">
        <v>0.14</v>
      </c>
      <c r="M78" s="69" t="n">
        <v>0.27</v>
      </c>
      <c r="N78" s="69" t="n">
        <v>0.2</v>
      </c>
      <c r="O78" s="69" t="n">
        <v>0.03</v>
      </c>
      <c r="P78" s="69" t="n">
        <v>0.18</v>
      </c>
      <c r="Q78" s="69" t="n">
        <v>0.04</v>
      </c>
      <c r="R78" s="69" t="n">
        <v>0.23</v>
      </c>
      <c r="S78" s="69" t="n">
        <v>0.1</v>
      </c>
      <c r="T78" s="69" t="n">
        <v>0.23</v>
      </c>
      <c r="U78" s="69" t="n">
        <v>0.13</v>
      </c>
      <c r="V78" s="69" t="n">
        <v>0.04</v>
      </c>
      <c r="W78" s="69" t="n">
        <v>0.12</v>
      </c>
      <c r="X78" s="69" t="n">
        <v>0.17</v>
      </c>
      <c r="Y78" s="69" t="n">
        <v>0.21</v>
      </c>
      <c r="Z78" s="69" t="n">
        <v>0.08</v>
      </c>
      <c r="AA78" s="69" t="n">
        <v>0.14</v>
      </c>
      <c r="AB78" s="69" t="n">
        <v>0.21</v>
      </c>
      <c r="AC78" s="69" t="n">
        <v>0.02</v>
      </c>
      <c r="AD78" s="69" t="n">
        <v>0.06</v>
      </c>
      <c r="AE78" s="69" t="n">
        <v>0.14</v>
      </c>
      <c r="AF78" s="69" t="n">
        <v>0.16</v>
      </c>
      <c r="AG78" s="69" t="n">
        <v>-0.05</v>
      </c>
      <c r="AH78" s="69" t="n">
        <v>0.06</v>
      </c>
      <c r="AI78" s="69" t="n">
        <v>0.03</v>
      </c>
      <c r="AJ78" s="69" t="n">
        <v>0.05</v>
      </c>
      <c r="AK78" s="69" t="n">
        <v>0.08</v>
      </c>
      <c r="AL78" s="69" t="n">
        <v>0.24</v>
      </c>
      <c r="AM78" s="69" t="n">
        <v>0.16</v>
      </c>
      <c r="AN78" s="69" t="n">
        <v>0.22</v>
      </c>
      <c r="AO78" s="69" t="n">
        <v>0.07</v>
      </c>
      <c r="AP78" s="69" t="n">
        <v>0.23</v>
      </c>
      <c r="AQ78" s="69" t="n">
        <v>0.01</v>
      </c>
      <c r="AR78" s="69" t="n">
        <v>0.17</v>
      </c>
      <c r="AS78" s="69" t="n">
        <v>0.26</v>
      </c>
      <c r="AT78" s="69" t="n">
        <v>0.31</v>
      </c>
      <c r="AU78" s="69" t="n">
        <v>0.14</v>
      </c>
      <c r="AV78" s="69" t="n">
        <v>0.16</v>
      </c>
      <c r="AW78" s="69" t="n">
        <v>0.19</v>
      </c>
      <c r="AX78" s="69" t="n">
        <v>0.19</v>
      </c>
      <c r="AY78" s="69" t="n">
        <v>0.27</v>
      </c>
      <c r="AZ78" s="69" t="n">
        <v>0.08</v>
      </c>
      <c r="BA78" s="69" t="n">
        <v>0.25</v>
      </c>
      <c r="BB78" s="69" t="n">
        <v>0.26</v>
      </c>
      <c r="BC78" s="69" t="n">
        <v>0.21</v>
      </c>
      <c r="BD78" s="69" t="n">
        <v>0.17</v>
      </c>
      <c r="BE78" s="69" t="n">
        <v>0.15</v>
      </c>
      <c r="BF78" s="69" t="n">
        <v>0.15</v>
      </c>
      <c r="BG78" s="69" t="n">
        <v>0.37</v>
      </c>
      <c r="BH78" s="69" t="n">
        <v>0.16</v>
      </c>
      <c r="BI78" s="69" t="n">
        <v>0.24</v>
      </c>
      <c r="BJ78" s="69" t="n">
        <v>0.01</v>
      </c>
      <c r="BK78" s="69" t="n">
        <v>0.06</v>
      </c>
      <c r="BL78" s="69" t="n">
        <v>0.21</v>
      </c>
      <c r="BM78" s="69" t="n">
        <v>0.24</v>
      </c>
      <c r="BN78" s="69" t="n">
        <v>0.13</v>
      </c>
      <c r="BO78" s="69" t="n">
        <v>0.21</v>
      </c>
      <c r="BP78" s="69" t="n">
        <v>0.34</v>
      </c>
      <c r="BQ78" s="69" t="n">
        <v>0.11</v>
      </c>
      <c r="BR78" s="69" t="n">
        <v>0.64</v>
      </c>
      <c r="BS78" s="69" t="n">
        <v>0.04</v>
      </c>
      <c r="BT78" s="69" t="n">
        <v>0.19</v>
      </c>
      <c r="BU78" s="69" t="n">
        <v>0.08</v>
      </c>
      <c r="BV78" s="69" t="n">
        <v>0.19</v>
      </c>
      <c r="BW78" s="69" t="n">
        <v>1</v>
      </c>
      <c r="BX78" s="69" t="n">
        <v>0.18</v>
      </c>
      <c r="BY78" s="69" t="n">
        <v>0.24</v>
      </c>
      <c r="BZ78" s="69" t="n">
        <v>0.17</v>
      </c>
      <c r="CA78" s="69" t="n">
        <v>0.07</v>
      </c>
      <c r="CB78" s="69" t="n">
        <v>0.03</v>
      </c>
      <c r="CC78" s="69" t="n">
        <v>0.15</v>
      </c>
      <c r="CD78" s="69" t="n">
        <v>0.29</v>
      </c>
      <c r="CE78" s="69" t="n">
        <v>0.12</v>
      </c>
      <c r="CF78" s="69" t="n">
        <v>0.07</v>
      </c>
      <c r="CG78" s="69" t="n">
        <v>0.27</v>
      </c>
      <c r="CH78" s="69" t="n">
        <v>0.11</v>
      </c>
      <c r="CI78" s="69" t="n">
        <v>0.01</v>
      </c>
      <c r="CJ78" s="69" t="n">
        <v>0.2</v>
      </c>
      <c r="CK78" s="69" t="n">
        <v>0.29</v>
      </c>
      <c r="CL78" s="69" t="n">
        <v>0.18</v>
      </c>
      <c r="CM78" s="69" t="n">
        <v>0.12</v>
      </c>
      <c r="CN78" s="69" t="n">
        <v>-0.07</v>
      </c>
      <c r="CO78" s="69" t="n">
        <v>0.15</v>
      </c>
      <c r="CP78" s="69" t="n">
        <v>0.33</v>
      </c>
      <c r="CQ78" s="69" t="n">
        <v>0.28</v>
      </c>
      <c r="CR78" s="69" t="n">
        <v>0.22</v>
      </c>
      <c r="CS78" s="69" t="n">
        <v>0.11</v>
      </c>
      <c r="CT78" s="69" t="n">
        <v>0.26</v>
      </c>
      <c r="CU78" s="69" t="n">
        <v>0.23</v>
      </c>
      <c r="CV78" s="69" t="n">
        <v>0.01</v>
      </c>
      <c r="CW78" s="69" t="n">
        <v>0.33</v>
      </c>
      <c r="CX78" s="69" t="n">
        <v>0.3</v>
      </c>
      <c r="CY78" s="69" t="n">
        <v>0.03</v>
      </c>
      <c r="CZ78" s="69" t="n">
        <v>0.23</v>
      </c>
      <c r="DA78" s="69" t="n">
        <v>0.13</v>
      </c>
      <c r="DB78" s="69" t="n">
        <v>0.17</v>
      </c>
      <c r="DC78" s="69" t="n">
        <v>0.14</v>
      </c>
      <c r="DD78" s="69" t="n">
        <v>0.26</v>
      </c>
      <c r="DE78" s="69" t="n">
        <v>0.18</v>
      </c>
      <c r="DF78" s="69" t="n">
        <v>0.17</v>
      </c>
      <c r="DG78" s="69" t="n">
        <v>0.18</v>
      </c>
      <c r="DH78" s="69" t="n">
        <v>0.11</v>
      </c>
      <c r="DI78" s="69" t="n">
        <v>0.31</v>
      </c>
      <c r="DJ78" s="69" t="n">
        <v>0.08</v>
      </c>
      <c r="DK78" s="69" t="n">
        <v>0.31</v>
      </c>
      <c r="DL78" s="69" t="n">
        <v>0.06</v>
      </c>
      <c r="DM78" s="69" t="n">
        <v>0.2</v>
      </c>
      <c r="DN78" s="69" t="n">
        <v>0.21</v>
      </c>
      <c r="DO78" s="69" t="n">
        <v>0.12</v>
      </c>
      <c r="DP78" s="69" t="n">
        <v>0.16</v>
      </c>
      <c r="DQ78" s="69" t="n">
        <v>0.23</v>
      </c>
      <c r="DR78" s="69" t="n">
        <v>0.21</v>
      </c>
      <c r="DS78" s="69" t="n">
        <v>0.21</v>
      </c>
      <c r="DT78" s="69" t="n">
        <v>0.15</v>
      </c>
      <c r="DU78" s="69" t="n">
        <v>0.24</v>
      </c>
      <c r="DV78" s="69" t="n">
        <v>0.19</v>
      </c>
      <c r="DW78" s="69" t="n">
        <v>0.19</v>
      </c>
      <c r="DX78" s="69" t="n">
        <v>0.08</v>
      </c>
      <c r="DY78" s="69" t="n">
        <v>0.3</v>
      </c>
      <c r="DZ78" s="69" t="n">
        <v>0.2</v>
      </c>
      <c r="EA78" s="69" t="n">
        <v>0.12</v>
      </c>
      <c r="EB78" s="69" t="n">
        <v>0.25</v>
      </c>
      <c r="EC78" s="69" t="n">
        <v>0.02</v>
      </c>
      <c r="ED78" s="69" t="n">
        <v>0.24</v>
      </c>
      <c r="EE78" s="69" t="n">
        <v>0.14</v>
      </c>
      <c r="EF78" s="69" t="n">
        <v>0.15</v>
      </c>
      <c r="EG78" s="69" t="n">
        <v>0.1</v>
      </c>
      <c r="EH78" s="69" t="n">
        <v>0.18</v>
      </c>
      <c r="EI78" s="69" t="n">
        <v>0.12</v>
      </c>
      <c r="EJ78" s="69" t="n">
        <v>0.16</v>
      </c>
      <c r="EK78" s="69" t="n">
        <v>0.17</v>
      </c>
      <c r="EL78" s="69" t="n">
        <v>0.19</v>
      </c>
      <c r="EM78" s="69" t="n">
        <v>0.17</v>
      </c>
      <c r="EN78" s="69" t="n">
        <v>0.11</v>
      </c>
      <c r="EO78" s="69" t="n">
        <v>0.12</v>
      </c>
    </row>
    <row r="79" customFormat="false" ht="15" hidden="false" customHeight="false" outlineLevel="0" collapsed="false">
      <c r="A79" s="68" t="s">
        <v>302</v>
      </c>
      <c r="B79" s="69" t="n">
        <v>0.27</v>
      </c>
      <c r="C79" s="69" t="n">
        <v>-0.07</v>
      </c>
      <c r="D79" s="69" t="n">
        <v>0.08</v>
      </c>
      <c r="E79" s="69" t="n">
        <v>0.03</v>
      </c>
      <c r="F79" s="69" t="n">
        <v>0.22</v>
      </c>
      <c r="G79" s="69" t="n">
        <v>-0.01</v>
      </c>
      <c r="H79" s="69" t="n">
        <v>0.06</v>
      </c>
      <c r="I79" s="69" t="n">
        <v>0.33</v>
      </c>
      <c r="J79" s="69" t="n">
        <v>0.5</v>
      </c>
      <c r="K79" s="69" t="n">
        <v>0.25</v>
      </c>
      <c r="L79" s="69" t="n">
        <v>-0.04</v>
      </c>
      <c r="M79" s="69" t="n">
        <v>0.14</v>
      </c>
      <c r="N79" s="69" t="n">
        <v>0.45</v>
      </c>
      <c r="O79" s="69" t="n">
        <v>-0.03</v>
      </c>
      <c r="P79" s="69" t="n">
        <v>0.23</v>
      </c>
      <c r="Q79" s="69" t="n">
        <v>0.08</v>
      </c>
      <c r="R79" s="69" t="n">
        <v>0.21</v>
      </c>
      <c r="S79" s="69" t="n">
        <v>0.18</v>
      </c>
      <c r="T79" s="69" t="n">
        <v>0.14</v>
      </c>
      <c r="U79" s="69" t="n">
        <v>0.06</v>
      </c>
      <c r="V79" s="69" t="n">
        <v>-0.09</v>
      </c>
      <c r="W79" s="69" t="n">
        <v>0.04</v>
      </c>
      <c r="X79" s="69" t="n">
        <v>0.16</v>
      </c>
      <c r="Y79" s="69" t="n">
        <v>0.11</v>
      </c>
      <c r="Z79" s="69" t="n">
        <v>-0.01</v>
      </c>
      <c r="AA79" s="69" t="n">
        <v>0.03</v>
      </c>
      <c r="AB79" s="69" t="n">
        <v>0.08</v>
      </c>
      <c r="AC79" s="69" t="n">
        <v>-0.1</v>
      </c>
      <c r="AD79" s="69" t="n">
        <v>0.03</v>
      </c>
      <c r="AE79" s="69" t="n">
        <v>-0.03</v>
      </c>
      <c r="AF79" s="69" t="n">
        <v>-0.05</v>
      </c>
      <c r="AG79" s="69" t="n">
        <v>0.11</v>
      </c>
      <c r="AH79" s="69" t="n">
        <v>0.15</v>
      </c>
      <c r="AI79" s="69" t="n">
        <v>-0.02</v>
      </c>
      <c r="AJ79" s="69" t="n">
        <v>0.04</v>
      </c>
      <c r="AK79" s="69" t="n">
        <v>-0.04</v>
      </c>
      <c r="AL79" s="69" t="n">
        <v>0.24</v>
      </c>
      <c r="AM79" s="69" t="n">
        <v>0.03</v>
      </c>
      <c r="AN79" s="69" t="n">
        <v>0.26</v>
      </c>
      <c r="AO79" s="69" t="n">
        <v>0.42</v>
      </c>
      <c r="AP79" s="69" t="n">
        <v>0.21</v>
      </c>
      <c r="AQ79" s="69" t="n">
        <v>-0.01</v>
      </c>
      <c r="AR79" s="69" t="n">
        <v>0.11</v>
      </c>
      <c r="AS79" s="69" t="n">
        <v>-0.01</v>
      </c>
      <c r="AT79" s="69" t="n">
        <v>0.11</v>
      </c>
      <c r="AU79" s="69" t="n">
        <v>0.27</v>
      </c>
      <c r="AV79" s="69" t="n">
        <v>0.12</v>
      </c>
      <c r="AW79" s="69" t="n">
        <v>0.07</v>
      </c>
      <c r="AX79" s="69" t="n">
        <v>0.44</v>
      </c>
      <c r="AY79" s="69" t="n">
        <v>0.16</v>
      </c>
      <c r="AZ79" s="69" t="n">
        <v>0</v>
      </c>
      <c r="BA79" s="69" t="n">
        <v>0.18</v>
      </c>
      <c r="BB79" s="69" t="n">
        <v>0.06</v>
      </c>
      <c r="BC79" s="69" t="n">
        <v>0.11</v>
      </c>
      <c r="BD79" s="69" t="n">
        <v>0.06</v>
      </c>
      <c r="BE79" s="69" t="n">
        <v>0.44</v>
      </c>
      <c r="BF79" s="69" t="n">
        <v>0.1</v>
      </c>
      <c r="BG79" s="69" t="n">
        <v>0.31</v>
      </c>
      <c r="BH79" s="69" t="n">
        <v>0.02</v>
      </c>
      <c r="BI79" s="69" t="n">
        <v>0.03</v>
      </c>
      <c r="BJ79" s="69" t="n">
        <v>-0.03</v>
      </c>
      <c r="BK79" s="69" t="n">
        <v>0</v>
      </c>
      <c r="BL79" s="69" t="n">
        <v>0.12</v>
      </c>
      <c r="BM79" s="69" t="n">
        <v>0.16</v>
      </c>
      <c r="BN79" s="69" t="n">
        <v>0.09</v>
      </c>
      <c r="BO79" s="69" t="n">
        <v>0.25</v>
      </c>
      <c r="BP79" s="69" t="n">
        <v>-0.03</v>
      </c>
      <c r="BQ79" s="69" t="n">
        <v>-0.01</v>
      </c>
      <c r="BR79" s="69" t="n">
        <v>0.22</v>
      </c>
      <c r="BS79" s="69" t="n">
        <v>0.01</v>
      </c>
      <c r="BT79" s="69" t="n">
        <v>0.19</v>
      </c>
      <c r="BU79" s="69" t="n">
        <v>0.08</v>
      </c>
      <c r="BV79" s="69" t="n">
        <v>0.09</v>
      </c>
      <c r="BW79" s="69" t="n">
        <v>0.18</v>
      </c>
      <c r="BX79" s="69" t="n">
        <v>1</v>
      </c>
      <c r="BY79" s="69" t="n">
        <v>0.14</v>
      </c>
      <c r="BZ79" s="69" t="n">
        <v>0.18</v>
      </c>
      <c r="CA79" s="69" t="n">
        <v>-0.01</v>
      </c>
      <c r="CB79" s="69" t="n">
        <v>0</v>
      </c>
      <c r="CC79" s="69" t="n">
        <v>0.16</v>
      </c>
      <c r="CD79" s="69" t="n">
        <v>0.1</v>
      </c>
      <c r="CE79" s="69" t="n">
        <v>0</v>
      </c>
      <c r="CF79" s="69" t="n">
        <v>0.02</v>
      </c>
      <c r="CG79" s="69" t="n">
        <v>0.18</v>
      </c>
      <c r="CH79" s="69" t="n">
        <v>-0.03</v>
      </c>
      <c r="CI79" s="69" t="n">
        <v>0.04</v>
      </c>
      <c r="CJ79" s="69" t="n">
        <v>0.14</v>
      </c>
      <c r="CK79" s="69" t="n">
        <v>0.19</v>
      </c>
      <c r="CL79" s="69" t="n">
        <v>0.15</v>
      </c>
      <c r="CM79" s="69" t="n">
        <v>-0.04</v>
      </c>
      <c r="CN79" s="69" t="n">
        <v>0.07</v>
      </c>
      <c r="CO79" s="69" t="n">
        <v>0.03</v>
      </c>
      <c r="CP79" s="69" t="n">
        <v>0.16</v>
      </c>
      <c r="CQ79" s="69" t="n">
        <v>0.13</v>
      </c>
      <c r="CR79" s="69" t="n">
        <v>-0.02</v>
      </c>
      <c r="CS79" s="69" t="n">
        <v>0.1</v>
      </c>
      <c r="CT79" s="69" t="n">
        <v>0.11</v>
      </c>
      <c r="CU79" s="69" t="n">
        <v>0</v>
      </c>
      <c r="CV79" s="69" t="n">
        <v>-0.04</v>
      </c>
      <c r="CW79" s="69" t="n">
        <v>0.1</v>
      </c>
      <c r="CX79" s="69" t="n">
        <v>0.06</v>
      </c>
      <c r="CY79" s="69" t="n">
        <v>0.13</v>
      </c>
      <c r="CZ79" s="69" t="n">
        <v>0.14</v>
      </c>
      <c r="DA79" s="69" t="n">
        <v>0.16</v>
      </c>
      <c r="DB79" s="69" t="n">
        <v>0.06</v>
      </c>
      <c r="DC79" s="69" t="n">
        <v>0.08</v>
      </c>
      <c r="DD79" s="69" t="n">
        <v>0.2</v>
      </c>
      <c r="DE79" s="69" t="n">
        <v>0.03</v>
      </c>
      <c r="DF79" s="69" t="n">
        <v>0.08</v>
      </c>
      <c r="DG79" s="69" t="n">
        <v>0.17</v>
      </c>
      <c r="DH79" s="69" t="n">
        <v>-0.04</v>
      </c>
      <c r="DI79" s="69" t="n">
        <v>0.16</v>
      </c>
      <c r="DJ79" s="69" t="n">
        <v>0.25</v>
      </c>
      <c r="DK79" s="69" t="n">
        <v>0.14</v>
      </c>
      <c r="DL79" s="69" t="n">
        <v>0.05</v>
      </c>
      <c r="DM79" s="69" t="n">
        <v>0.23</v>
      </c>
      <c r="DN79" s="69" t="n">
        <v>0.02</v>
      </c>
      <c r="DO79" s="69" t="n">
        <v>0.12</v>
      </c>
      <c r="DP79" s="69" t="n">
        <v>0.22</v>
      </c>
      <c r="DQ79" s="69" t="n">
        <v>0.08</v>
      </c>
      <c r="DR79" s="69" t="n">
        <v>0.06</v>
      </c>
      <c r="DS79" s="69" t="n">
        <v>0.05</v>
      </c>
      <c r="DT79" s="69" t="n">
        <v>-0.05</v>
      </c>
      <c r="DU79" s="69" t="n">
        <v>0.08</v>
      </c>
      <c r="DV79" s="69" t="n">
        <v>0.01</v>
      </c>
      <c r="DW79" s="69" t="n">
        <v>0.1</v>
      </c>
      <c r="DX79" s="69" t="n">
        <v>-0.05</v>
      </c>
      <c r="DY79" s="69" t="n">
        <v>0.09</v>
      </c>
      <c r="DZ79" s="69" t="n">
        <v>0.16</v>
      </c>
      <c r="EA79" s="69" t="n">
        <v>0.1</v>
      </c>
      <c r="EB79" s="69" t="n">
        <v>0.11</v>
      </c>
      <c r="EC79" s="69" t="n">
        <v>-0.04</v>
      </c>
      <c r="ED79" s="69" t="n">
        <v>0.14</v>
      </c>
      <c r="EE79" s="69" t="n">
        <v>-0.08</v>
      </c>
      <c r="EF79" s="69" t="n">
        <v>0.01</v>
      </c>
      <c r="EG79" s="69" t="n">
        <v>-0.02</v>
      </c>
      <c r="EH79" s="69" t="n">
        <v>0.14</v>
      </c>
      <c r="EI79" s="69" t="n">
        <v>-0.03</v>
      </c>
      <c r="EJ79" s="69" t="n">
        <v>0.19</v>
      </c>
      <c r="EK79" s="69" t="n">
        <v>0.07</v>
      </c>
      <c r="EL79" s="69" t="n">
        <v>0.06</v>
      </c>
      <c r="EM79" s="69" t="n">
        <v>0.09</v>
      </c>
      <c r="EN79" s="69" t="n">
        <v>0.21</v>
      </c>
      <c r="EO79" s="69" t="n">
        <v>0.02</v>
      </c>
    </row>
    <row r="80" customFormat="false" ht="15" hidden="false" customHeight="false" outlineLevel="0" collapsed="false">
      <c r="A80" s="68" t="s">
        <v>303</v>
      </c>
      <c r="B80" s="69" t="n">
        <v>0.16</v>
      </c>
      <c r="C80" s="69" t="n">
        <v>-0.02</v>
      </c>
      <c r="D80" s="69" t="n">
        <v>-0.05</v>
      </c>
      <c r="E80" s="69" t="n">
        <v>0.06</v>
      </c>
      <c r="F80" s="69" t="n">
        <v>0.25</v>
      </c>
      <c r="G80" s="69" t="n">
        <v>0.03</v>
      </c>
      <c r="H80" s="69" t="n">
        <v>0.13</v>
      </c>
      <c r="I80" s="69" t="n">
        <v>0.23</v>
      </c>
      <c r="J80" s="69" t="n">
        <v>0.08</v>
      </c>
      <c r="K80" s="69" t="n">
        <v>0.21</v>
      </c>
      <c r="L80" s="69" t="n">
        <v>0.05</v>
      </c>
      <c r="M80" s="69" t="n">
        <v>0.4</v>
      </c>
      <c r="N80" s="69" t="n">
        <v>0.25</v>
      </c>
      <c r="O80" s="69" t="n">
        <v>0.08</v>
      </c>
      <c r="P80" s="69" t="n">
        <v>0.13</v>
      </c>
      <c r="Q80" s="69" t="n">
        <v>-0.07</v>
      </c>
      <c r="R80" s="69" t="n">
        <v>0.23</v>
      </c>
      <c r="S80" s="69" t="n">
        <v>-0.01</v>
      </c>
      <c r="T80" s="69" t="n">
        <v>0.28</v>
      </c>
      <c r="U80" s="69" t="n">
        <v>0.15</v>
      </c>
      <c r="V80" s="69" t="n">
        <v>0.15</v>
      </c>
      <c r="W80" s="69" t="n">
        <v>0.02</v>
      </c>
      <c r="X80" s="69" t="n">
        <v>0.3</v>
      </c>
      <c r="Y80" s="69" t="n">
        <v>0.17</v>
      </c>
      <c r="Z80" s="69" t="n">
        <v>0.14</v>
      </c>
      <c r="AA80" s="69" t="n">
        <v>0.2</v>
      </c>
      <c r="AB80" s="69" t="n">
        <v>0.21</v>
      </c>
      <c r="AC80" s="69" t="n">
        <v>0.1</v>
      </c>
      <c r="AD80" s="69" t="n">
        <v>0.08</v>
      </c>
      <c r="AE80" s="69" t="n">
        <v>0.17</v>
      </c>
      <c r="AF80" s="69" t="n">
        <v>0.03</v>
      </c>
      <c r="AG80" s="69" t="n">
        <v>0.09</v>
      </c>
      <c r="AH80" s="69" t="n">
        <v>0.03</v>
      </c>
      <c r="AI80" s="69" t="n">
        <v>-0.09</v>
      </c>
      <c r="AJ80" s="69" t="n">
        <v>-0.01</v>
      </c>
      <c r="AK80" s="69" t="n">
        <v>0.2</v>
      </c>
      <c r="AL80" s="69" t="n">
        <v>0.27</v>
      </c>
      <c r="AM80" s="69" t="n">
        <v>0.18</v>
      </c>
      <c r="AN80" s="69" t="n">
        <v>0.39</v>
      </c>
      <c r="AO80" s="69" t="n">
        <v>0.13</v>
      </c>
      <c r="AP80" s="69" t="n">
        <v>0.32</v>
      </c>
      <c r="AQ80" s="69" t="n">
        <v>-0.13</v>
      </c>
      <c r="AR80" s="69" t="n">
        <v>0.28</v>
      </c>
      <c r="AS80" s="69" t="n">
        <v>0.18</v>
      </c>
      <c r="AT80" s="69" t="n">
        <v>0.4</v>
      </c>
      <c r="AU80" s="69" t="n">
        <v>0.13</v>
      </c>
      <c r="AV80" s="69" t="n">
        <v>0.08</v>
      </c>
      <c r="AW80" s="69" t="n">
        <v>0.14</v>
      </c>
      <c r="AX80" s="69" t="n">
        <v>0.2</v>
      </c>
      <c r="AY80" s="69" t="n">
        <v>0.25</v>
      </c>
      <c r="AZ80" s="69" t="n">
        <v>0.15</v>
      </c>
      <c r="BA80" s="69" t="n">
        <v>0.42</v>
      </c>
      <c r="BB80" s="69" t="n">
        <v>0.36</v>
      </c>
      <c r="BC80" s="69" t="n">
        <v>0.12</v>
      </c>
      <c r="BD80" s="69" t="n">
        <v>0.18</v>
      </c>
      <c r="BE80" s="69" t="n">
        <v>0.23</v>
      </c>
      <c r="BF80" s="69" t="n">
        <v>0.1</v>
      </c>
      <c r="BG80" s="69" t="n">
        <v>0.27</v>
      </c>
      <c r="BH80" s="69" t="n">
        <v>0.1</v>
      </c>
      <c r="BI80" s="69" t="n">
        <v>-0.01</v>
      </c>
      <c r="BJ80" s="69" t="n">
        <v>-0.12</v>
      </c>
      <c r="BK80" s="69" t="n">
        <v>0.05</v>
      </c>
      <c r="BL80" s="69" t="n">
        <v>0.35</v>
      </c>
      <c r="BM80" s="69" t="n">
        <v>0.31</v>
      </c>
      <c r="BN80" s="69" t="n">
        <v>0.05</v>
      </c>
      <c r="BO80" s="69" t="n">
        <v>0.23</v>
      </c>
      <c r="BP80" s="69" t="n">
        <v>0.1</v>
      </c>
      <c r="BQ80" s="69" t="n">
        <v>0.2</v>
      </c>
      <c r="BR80" s="69" t="n">
        <v>0.31</v>
      </c>
      <c r="BS80" s="69" t="n">
        <v>-0.03</v>
      </c>
      <c r="BT80" s="69" t="n">
        <v>0.35</v>
      </c>
      <c r="BU80" s="69" t="n">
        <v>0.12</v>
      </c>
      <c r="BV80" s="69" t="n">
        <v>0.3</v>
      </c>
      <c r="BW80" s="69" t="n">
        <v>0.24</v>
      </c>
      <c r="BX80" s="69" t="n">
        <v>0.14</v>
      </c>
      <c r="BY80" s="69" t="n">
        <v>1</v>
      </c>
      <c r="BZ80" s="69" t="n">
        <v>0.28</v>
      </c>
      <c r="CA80" s="69" t="n">
        <v>0.02</v>
      </c>
      <c r="CB80" s="69" t="n">
        <v>-0.11</v>
      </c>
      <c r="CC80" s="69" t="n">
        <v>0</v>
      </c>
      <c r="CD80" s="69" t="n">
        <v>0.17</v>
      </c>
      <c r="CE80" s="69" t="n">
        <v>0.19</v>
      </c>
      <c r="CF80" s="69" t="n">
        <v>-0.1</v>
      </c>
      <c r="CG80" s="69" t="n">
        <v>0.33</v>
      </c>
      <c r="CH80" s="69" t="n">
        <v>0.22</v>
      </c>
      <c r="CI80" s="69" t="n">
        <v>-0.09</v>
      </c>
      <c r="CJ80" s="69" t="n">
        <v>0.06</v>
      </c>
      <c r="CK80" s="69" t="n">
        <v>0.32</v>
      </c>
      <c r="CL80" s="69" t="n">
        <v>0.6</v>
      </c>
      <c r="CM80" s="69" t="n">
        <v>0.2</v>
      </c>
      <c r="CN80" s="69" t="n">
        <v>0</v>
      </c>
      <c r="CO80" s="69" t="n">
        <v>0.08</v>
      </c>
      <c r="CP80" s="69" t="n">
        <v>0.07</v>
      </c>
      <c r="CQ80" s="69" t="n">
        <v>0.47</v>
      </c>
      <c r="CR80" s="69" t="n">
        <v>0.28</v>
      </c>
      <c r="CS80" s="69" t="n">
        <v>0.28</v>
      </c>
      <c r="CT80" s="69" t="n">
        <v>0.24</v>
      </c>
      <c r="CU80" s="69" t="n">
        <v>0.14</v>
      </c>
      <c r="CV80" s="69" t="n">
        <v>0.25</v>
      </c>
      <c r="CW80" s="69" t="n">
        <v>0.3</v>
      </c>
      <c r="CX80" s="69" t="n">
        <v>0.35</v>
      </c>
      <c r="CY80" s="69" t="n">
        <v>0.42</v>
      </c>
      <c r="CZ80" s="69" t="n">
        <v>0.16</v>
      </c>
      <c r="DA80" s="69" t="n">
        <v>0.18</v>
      </c>
      <c r="DB80" s="69" t="n">
        <v>0.26</v>
      </c>
      <c r="DC80" s="69" t="n">
        <v>0.25</v>
      </c>
      <c r="DD80" s="69" t="n">
        <v>0.29</v>
      </c>
      <c r="DE80" s="69" t="n">
        <v>0.25</v>
      </c>
      <c r="DF80" s="69" t="n">
        <v>0.13</v>
      </c>
      <c r="DG80" s="69" t="n">
        <v>0.14</v>
      </c>
      <c r="DH80" s="69" t="n">
        <v>0.15</v>
      </c>
      <c r="DI80" s="69" t="n">
        <v>0.43</v>
      </c>
      <c r="DJ80" s="69" t="n">
        <v>0.4</v>
      </c>
      <c r="DK80" s="69" t="n">
        <v>0.44</v>
      </c>
      <c r="DL80" s="69" t="n">
        <v>0.09</v>
      </c>
      <c r="DM80" s="69" t="n">
        <v>0.48</v>
      </c>
      <c r="DN80" s="69" t="n">
        <v>0.2</v>
      </c>
      <c r="DO80" s="69" t="n">
        <v>0.23</v>
      </c>
      <c r="DP80" s="69" t="n">
        <v>0.43</v>
      </c>
      <c r="DQ80" s="69" t="n">
        <v>0.23</v>
      </c>
      <c r="DR80" s="69" t="n">
        <v>0.15</v>
      </c>
      <c r="DS80" s="69" t="n">
        <v>0.1</v>
      </c>
      <c r="DT80" s="69" t="n">
        <v>0.13</v>
      </c>
      <c r="DU80" s="69" t="n">
        <v>0.27</v>
      </c>
      <c r="DV80" s="69" t="n">
        <v>0.14</v>
      </c>
      <c r="DW80" s="69" t="n">
        <v>0.27</v>
      </c>
      <c r="DX80" s="69" t="n">
        <v>0.16</v>
      </c>
      <c r="DY80" s="69" t="n">
        <v>0.32</v>
      </c>
      <c r="DZ80" s="69" t="n">
        <v>0.07</v>
      </c>
      <c r="EA80" s="69" t="n">
        <v>0.19</v>
      </c>
      <c r="EB80" s="69" t="n">
        <v>0.32</v>
      </c>
      <c r="EC80" s="69" t="n">
        <v>0.02</v>
      </c>
      <c r="ED80" s="69" t="n">
        <v>0.3</v>
      </c>
      <c r="EE80" s="69" t="n">
        <v>0.19</v>
      </c>
      <c r="EF80" s="69" t="n">
        <v>0.12</v>
      </c>
      <c r="EG80" s="69" t="n">
        <v>0.14</v>
      </c>
      <c r="EH80" s="69" t="n">
        <v>0.12</v>
      </c>
      <c r="EI80" s="69" t="n">
        <v>0.16</v>
      </c>
      <c r="EJ80" s="69" t="n">
        <v>0.27</v>
      </c>
      <c r="EK80" s="69" t="n">
        <v>0.24</v>
      </c>
      <c r="EL80" s="69" t="n">
        <v>0.21</v>
      </c>
      <c r="EM80" s="69" t="n">
        <v>0.09</v>
      </c>
      <c r="EN80" s="69" t="n">
        <v>0.1</v>
      </c>
      <c r="EO80" s="69" t="n">
        <v>0.32</v>
      </c>
    </row>
    <row r="81" customFormat="false" ht="15" hidden="false" customHeight="false" outlineLevel="0" collapsed="false">
      <c r="A81" s="68" t="s">
        <v>304</v>
      </c>
      <c r="B81" s="69" t="n">
        <v>0.22</v>
      </c>
      <c r="C81" s="69" t="n">
        <v>0.12</v>
      </c>
      <c r="D81" s="69" t="n">
        <v>-0.01</v>
      </c>
      <c r="E81" s="69" t="n">
        <v>0.13</v>
      </c>
      <c r="F81" s="69" t="n">
        <v>0.08</v>
      </c>
      <c r="G81" s="69" t="n">
        <v>-0.09</v>
      </c>
      <c r="H81" s="69" t="n">
        <v>0.12</v>
      </c>
      <c r="I81" s="69" t="n">
        <v>0.2</v>
      </c>
      <c r="J81" s="69" t="n">
        <v>0.1</v>
      </c>
      <c r="K81" s="69" t="n">
        <v>0.17</v>
      </c>
      <c r="L81" s="69" t="n">
        <v>0.15</v>
      </c>
      <c r="M81" s="69" t="n">
        <v>0.41</v>
      </c>
      <c r="N81" s="69" t="n">
        <v>0.22</v>
      </c>
      <c r="O81" s="69" t="n">
        <v>0.17</v>
      </c>
      <c r="P81" s="69" t="n">
        <v>0.19</v>
      </c>
      <c r="Q81" s="69" t="n">
        <v>0.03</v>
      </c>
      <c r="R81" s="69" t="n">
        <v>0.15</v>
      </c>
      <c r="S81" s="69" t="n">
        <v>0.11</v>
      </c>
      <c r="T81" s="69" t="n">
        <v>0.32</v>
      </c>
      <c r="U81" s="69" t="n">
        <v>0.2</v>
      </c>
      <c r="V81" s="69" t="n">
        <v>0.07</v>
      </c>
      <c r="W81" s="69" t="n">
        <v>0.12</v>
      </c>
      <c r="X81" s="69" t="n">
        <v>0.32</v>
      </c>
      <c r="Y81" s="69" t="n">
        <v>0.11</v>
      </c>
      <c r="Z81" s="69" t="n">
        <v>0.11</v>
      </c>
      <c r="AA81" s="69" t="n">
        <v>0.17</v>
      </c>
      <c r="AB81" s="69" t="n">
        <v>0.15</v>
      </c>
      <c r="AC81" s="69" t="n">
        <v>0.04</v>
      </c>
      <c r="AD81" s="69" t="n">
        <v>0.1</v>
      </c>
      <c r="AE81" s="69" t="n">
        <v>0.16</v>
      </c>
      <c r="AF81" s="69" t="n">
        <v>0.11</v>
      </c>
      <c r="AG81" s="69" t="n">
        <v>0.04</v>
      </c>
      <c r="AH81" s="69" t="n">
        <v>0.07</v>
      </c>
      <c r="AI81" s="69" t="n">
        <v>-0.18</v>
      </c>
      <c r="AJ81" s="69" t="n">
        <v>0.11</v>
      </c>
      <c r="AK81" s="69" t="n">
        <v>0.17</v>
      </c>
      <c r="AL81" s="69" t="n">
        <v>0.27</v>
      </c>
      <c r="AM81" s="69" t="n">
        <v>0.24</v>
      </c>
      <c r="AN81" s="69" t="n">
        <v>0.38</v>
      </c>
      <c r="AO81" s="69" t="n">
        <v>0.04</v>
      </c>
      <c r="AP81" s="69" t="n">
        <v>0.21</v>
      </c>
      <c r="AQ81" s="69" t="n">
        <v>-0.2</v>
      </c>
      <c r="AR81" s="69" t="n">
        <v>0.32</v>
      </c>
      <c r="AS81" s="69" t="n">
        <v>0.14</v>
      </c>
      <c r="AT81" s="69" t="n">
        <v>0.33</v>
      </c>
      <c r="AU81" s="69" t="n">
        <v>0.18</v>
      </c>
      <c r="AV81" s="69" t="n">
        <v>0.12</v>
      </c>
      <c r="AW81" s="69" t="n">
        <v>0.18</v>
      </c>
      <c r="AX81" s="69" t="n">
        <v>0.13</v>
      </c>
      <c r="AY81" s="69" t="n">
        <v>0.2</v>
      </c>
      <c r="AZ81" s="69" t="n">
        <v>0.16</v>
      </c>
      <c r="BA81" s="69" t="n">
        <v>0.23</v>
      </c>
      <c r="BB81" s="69" t="n">
        <v>0.36</v>
      </c>
      <c r="BC81" s="69" t="n">
        <v>0.1</v>
      </c>
      <c r="BD81" s="69" t="n">
        <v>0.21</v>
      </c>
      <c r="BE81" s="69" t="n">
        <v>0.14</v>
      </c>
      <c r="BF81" s="69" t="n">
        <v>0.19</v>
      </c>
      <c r="BG81" s="69" t="n">
        <v>0.19</v>
      </c>
      <c r="BH81" s="69" t="n">
        <v>0.16</v>
      </c>
      <c r="BI81" s="69" t="n">
        <v>0.11</v>
      </c>
      <c r="BJ81" s="69" t="n">
        <v>-0.06</v>
      </c>
      <c r="BK81" s="69" t="n">
        <v>0.1</v>
      </c>
      <c r="BL81" s="69" t="n">
        <v>0.36</v>
      </c>
      <c r="BM81" s="69" t="n">
        <v>0.17</v>
      </c>
      <c r="BN81" s="69" t="n">
        <v>0.21</v>
      </c>
      <c r="BO81" s="69" t="n">
        <v>0.29</v>
      </c>
      <c r="BP81" s="69" t="n">
        <v>0.28</v>
      </c>
      <c r="BQ81" s="69" t="n">
        <v>0.26</v>
      </c>
      <c r="BR81" s="69" t="n">
        <v>0.28</v>
      </c>
      <c r="BS81" s="69" t="n">
        <v>-0.14</v>
      </c>
      <c r="BT81" s="69" t="n">
        <v>0.49</v>
      </c>
      <c r="BU81" s="69" t="n">
        <v>0.15</v>
      </c>
      <c r="BV81" s="69" t="n">
        <v>0.27</v>
      </c>
      <c r="BW81" s="69" t="n">
        <v>0.17</v>
      </c>
      <c r="BX81" s="69" t="n">
        <v>0.18</v>
      </c>
      <c r="BY81" s="69" t="n">
        <v>0.28</v>
      </c>
      <c r="BZ81" s="69" t="n">
        <v>1</v>
      </c>
      <c r="CA81" s="69" t="n">
        <v>0.07</v>
      </c>
      <c r="CB81" s="69" t="n">
        <v>0</v>
      </c>
      <c r="CC81" s="69" t="n">
        <v>0.2</v>
      </c>
      <c r="CD81" s="69" t="n">
        <v>0.27</v>
      </c>
      <c r="CE81" s="69" t="n">
        <v>0.11</v>
      </c>
      <c r="CF81" s="69" t="n">
        <v>-0.14</v>
      </c>
      <c r="CG81" s="69" t="n">
        <v>0.28</v>
      </c>
      <c r="CH81" s="69" t="n">
        <v>0.18</v>
      </c>
      <c r="CI81" s="69" t="n">
        <v>-0.19</v>
      </c>
      <c r="CJ81" s="69" t="n">
        <v>0.18</v>
      </c>
      <c r="CK81" s="69" t="n">
        <v>0.18</v>
      </c>
      <c r="CL81" s="69" t="n">
        <v>0.26</v>
      </c>
      <c r="CM81" s="69" t="n">
        <v>0.26</v>
      </c>
      <c r="CN81" s="69" t="n">
        <v>0.09</v>
      </c>
      <c r="CO81" s="69" t="n">
        <v>0.05</v>
      </c>
      <c r="CP81" s="69" t="n">
        <v>0.11</v>
      </c>
      <c r="CQ81" s="69" t="n">
        <v>0.43</v>
      </c>
      <c r="CR81" s="69" t="n">
        <v>0.31</v>
      </c>
      <c r="CS81" s="69" t="n">
        <v>0.28</v>
      </c>
      <c r="CT81" s="69" t="n">
        <v>0.28</v>
      </c>
      <c r="CU81" s="69" t="n">
        <v>0.2</v>
      </c>
      <c r="CV81" s="69" t="n">
        <v>0.23</v>
      </c>
      <c r="CW81" s="69" t="n">
        <v>0.28</v>
      </c>
      <c r="CX81" s="69" t="n">
        <v>0.36</v>
      </c>
      <c r="CY81" s="69" t="n">
        <v>0.34</v>
      </c>
      <c r="CZ81" s="69" t="n">
        <v>0.14</v>
      </c>
      <c r="DA81" s="69" t="n">
        <v>0.22</v>
      </c>
      <c r="DB81" s="69" t="n">
        <v>0.29</v>
      </c>
      <c r="DC81" s="69" t="n">
        <v>0.3</v>
      </c>
      <c r="DD81" s="69" t="n">
        <v>0.31</v>
      </c>
      <c r="DE81" s="69" t="n">
        <v>0.25</v>
      </c>
      <c r="DF81" s="69" t="n">
        <v>0.06</v>
      </c>
      <c r="DG81" s="69" t="n">
        <v>0.28</v>
      </c>
      <c r="DH81" s="69" t="n">
        <v>0.18</v>
      </c>
      <c r="DI81" s="69" t="n">
        <v>0.41</v>
      </c>
      <c r="DJ81" s="69" t="n">
        <v>0.31</v>
      </c>
      <c r="DK81" s="69" t="n">
        <v>0.48</v>
      </c>
      <c r="DL81" s="69" t="n">
        <v>0.11</v>
      </c>
      <c r="DM81" s="69" t="n">
        <v>0.41</v>
      </c>
      <c r="DN81" s="69" t="n">
        <v>0.29</v>
      </c>
      <c r="DO81" s="69" t="n">
        <v>0.28</v>
      </c>
      <c r="DP81" s="69" t="n">
        <v>0.34</v>
      </c>
      <c r="DQ81" s="69" t="n">
        <v>0.35</v>
      </c>
      <c r="DR81" s="69" t="n">
        <v>0.23</v>
      </c>
      <c r="DS81" s="69" t="n">
        <v>0.2</v>
      </c>
      <c r="DT81" s="69" t="n">
        <v>0.25</v>
      </c>
      <c r="DU81" s="69" t="n">
        <v>0.42</v>
      </c>
      <c r="DV81" s="69" t="n">
        <v>0.22</v>
      </c>
      <c r="DW81" s="69" t="n">
        <v>0.2</v>
      </c>
      <c r="DX81" s="69" t="n">
        <v>0.25</v>
      </c>
      <c r="DY81" s="69" t="n">
        <v>0.36</v>
      </c>
      <c r="DZ81" s="69" t="n">
        <v>0.12</v>
      </c>
      <c r="EA81" s="69" t="n">
        <v>0.17</v>
      </c>
      <c r="EB81" s="69" t="n">
        <v>0.36</v>
      </c>
      <c r="EC81" s="69" t="n">
        <v>-0.03</v>
      </c>
      <c r="ED81" s="69" t="n">
        <v>0.25</v>
      </c>
      <c r="EE81" s="69" t="n">
        <v>0.28</v>
      </c>
      <c r="EF81" s="69" t="n">
        <v>0.28</v>
      </c>
      <c r="EG81" s="69" t="n">
        <v>0.27</v>
      </c>
      <c r="EH81" s="69" t="n">
        <v>0.19</v>
      </c>
      <c r="EI81" s="69" t="n">
        <v>0.24</v>
      </c>
      <c r="EJ81" s="69" t="n">
        <v>0.26</v>
      </c>
      <c r="EK81" s="69" t="n">
        <v>0.28</v>
      </c>
      <c r="EL81" s="69" t="n">
        <v>0.3</v>
      </c>
      <c r="EM81" s="69" t="n">
        <v>0.26</v>
      </c>
      <c r="EN81" s="69" t="n">
        <v>0.1</v>
      </c>
      <c r="EO81" s="69" t="n">
        <v>0.12</v>
      </c>
    </row>
    <row r="82" customFormat="false" ht="15" hidden="false" customHeight="false" outlineLevel="0" collapsed="false">
      <c r="A82" s="68" t="s">
        <v>305</v>
      </c>
      <c r="B82" s="69" t="n">
        <v>0.05</v>
      </c>
      <c r="C82" s="69" t="n">
        <v>0.15</v>
      </c>
      <c r="D82" s="69" t="n">
        <v>0.15</v>
      </c>
      <c r="E82" s="69" t="n">
        <v>0.26</v>
      </c>
      <c r="F82" s="69" t="n">
        <v>0.05</v>
      </c>
      <c r="G82" s="69" t="n">
        <v>0.12</v>
      </c>
      <c r="H82" s="69" t="n">
        <v>0.28</v>
      </c>
      <c r="I82" s="69" t="n">
        <v>0.06</v>
      </c>
      <c r="J82" s="69" t="n">
        <v>0.02</v>
      </c>
      <c r="K82" s="69" t="n">
        <v>0.15</v>
      </c>
      <c r="L82" s="69" t="n">
        <v>0.18</v>
      </c>
      <c r="M82" s="69" t="n">
        <v>0.23</v>
      </c>
      <c r="N82" s="69" t="n">
        <v>0.06</v>
      </c>
      <c r="O82" s="69" t="n">
        <v>0.33</v>
      </c>
      <c r="P82" s="69" t="n">
        <v>0.11</v>
      </c>
      <c r="Q82" s="69" t="n">
        <v>-0.06</v>
      </c>
      <c r="R82" s="69" t="n">
        <v>0.03</v>
      </c>
      <c r="S82" s="69" t="n">
        <v>0.24</v>
      </c>
      <c r="T82" s="69" t="n">
        <v>0.06</v>
      </c>
      <c r="U82" s="69" t="n">
        <v>0.45</v>
      </c>
      <c r="V82" s="69" t="n">
        <v>0.44</v>
      </c>
      <c r="W82" s="69" t="n">
        <v>0.18</v>
      </c>
      <c r="X82" s="69" t="n">
        <v>0.06</v>
      </c>
      <c r="Y82" s="69" t="n">
        <v>0.03</v>
      </c>
      <c r="Z82" s="69" t="n">
        <v>0.21</v>
      </c>
      <c r="AA82" s="69" t="n">
        <v>0.22</v>
      </c>
      <c r="AB82" s="69" t="n">
        <v>-0.04</v>
      </c>
      <c r="AC82" s="69" t="n">
        <v>0.3</v>
      </c>
      <c r="AD82" s="69" t="n">
        <v>0.32</v>
      </c>
      <c r="AE82" s="69" t="n">
        <v>0.29</v>
      </c>
      <c r="AF82" s="69" t="n">
        <v>0.39</v>
      </c>
      <c r="AG82" s="69" t="n">
        <v>-0.03</v>
      </c>
      <c r="AH82" s="69" t="n">
        <v>-0.02</v>
      </c>
      <c r="AI82" s="69" t="n">
        <v>-0.09</v>
      </c>
      <c r="AJ82" s="69" t="n">
        <v>0.23</v>
      </c>
      <c r="AK82" s="69" t="n">
        <v>0.33</v>
      </c>
      <c r="AL82" s="69" t="n">
        <v>0.09</v>
      </c>
      <c r="AM82" s="69" t="n">
        <v>0.25</v>
      </c>
      <c r="AN82" s="69" t="n">
        <v>0.15</v>
      </c>
      <c r="AO82" s="69" t="n">
        <v>-0.03</v>
      </c>
      <c r="AP82" s="69" t="n">
        <v>0.07</v>
      </c>
      <c r="AQ82" s="69" t="n">
        <v>-0.1</v>
      </c>
      <c r="AR82" s="69" t="n">
        <v>-0.03</v>
      </c>
      <c r="AS82" s="69" t="n">
        <v>0.34</v>
      </c>
      <c r="AT82" s="69" t="n">
        <v>0.01</v>
      </c>
      <c r="AU82" s="69" t="n">
        <v>0.1</v>
      </c>
      <c r="AV82" s="69" t="n">
        <v>0.34</v>
      </c>
      <c r="AW82" s="69" t="n">
        <v>0.28</v>
      </c>
      <c r="AX82" s="69" t="n">
        <v>0.05</v>
      </c>
      <c r="AY82" s="69" t="n">
        <v>0.01</v>
      </c>
      <c r="AZ82" s="69" t="n">
        <v>0.34</v>
      </c>
      <c r="BA82" s="69" t="n">
        <v>0.05</v>
      </c>
      <c r="BB82" s="69" t="n">
        <v>0.08</v>
      </c>
      <c r="BC82" s="69" t="n">
        <v>0.2</v>
      </c>
      <c r="BD82" s="69" t="n">
        <v>0.26</v>
      </c>
      <c r="BE82" s="69" t="n">
        <v>0.07</v>
      </c>
      <c r="BF82" s="69" t="n">
        <v>0.24</v>
      </c>
      <c r="BG82" s="69" t="n">
        <v>0.04</v>
      </c>
      <c r="BH82" s="69" t="n">
        <v>0.23</v>
      </c>
      <c r="BI82" s="69" t="n">
        <v>0.18</v>
      </c>
      <c r="BJ82" s="69" t="n">
        <v>0.07</v>
      </c>
      <c r="BK82" s="69" t="n">
        <v>0.22</v>
      </c>
      <c r="BL82" s="69" t="n">
        <v>0.06</v>
      </c>
      <c r="BM82" s="69" t="n">
        <v>0.03</v>
      </c>
      <c r="BN82" s="69" t="n">
        <v>0.01</v>
      </c>
      <c r="BO82" s="69" t="n">
        <v>0.1</v>
      </c>
      <c r="BP82" s="69" t="n">
        <v>0</v>
      </c>
      <c r="BQ82" s="69" t="n">
        <v>0.26</v>
      </c>
      <c r="BR82" s="69" t="n">
        <v>0.05</v>
      </c>
      <c r="BS82" s="69" t="n">
        <v>-0.09</v>
      </c>
      <c r="BT82" s="69" t="n">
        <v>0.15</v>
      </c>
      <c r="BU82" s="69" t="n">
        <v>0.11</v>
      </c>
      <c r="BV82" s="69" t="n">
        <v>0.11</v>
      </c>
      <c r="BW82" s="69" t="n">
        <v>0.07</v>
      </c>
      <c r="BX82" s="69" t="n">
        <v>-0.01</v>
      </c>
      <c r="BY82" s="69" t="n">
        <v>0.02</v>
      </c>
      <c r="BZ82" s="69" t="n">
        <v>0.07</v>
      </c>
      <c r="CA82" s="69" t="n">
        <v>1</v>
      </c>
      <c r="CB82" s="69" t="n">
        <v>-0.02</v>
      </c>
      <c r="CC82" s="69" t="n">
        <v>0.01</v>
      </c>
      <c r="CD82" s="69" t="n">
        <v>-0.02</v>
      </c>
      <c r="CE82" s="69" t="n">
        <v>0.07</v>
      </c>
      <c r="CF82" s="69" t="n">
        <v>-0.07</v>
      </c>
      <c r="CG82" s="69" t="n">
        <v>0.05</v>
      </c>
      <c r="CH82" s="69" t="n">
        <v>0.36</v>
      </c>
      <c r="CI82" s="69" t="n">
        <v>-0.1</v>
      </c>
      <c r="CJ82" s="69" t="n">
        <v>0.03</v>
      </c>
      <c r="CK82" s="69" t="n">
        <v>0.05</v>
      </c>
      <c r="CL82" s="69" t="n">
        <v>0.09</v>
      </c>
      <c r="CM82" s="69" t="n">
        <v>0.07</v>
      </c>
      <c r="CN82" s="69" t="n">
        <v>0.19</v>
      </c>
      <c r="CO82" s="69" t="n">
        <v>0.17</v>
      </c>
      <c r="CP82" s="69" t="n">
        <v>-0.02</v>
      </c>
      <c r="CQ82" s="69" t="n">
        <v>0.06</v>
      </c>
      <c r="CR82" s="69" t="n">
        <v>0.13</v>
      </c>
      <c r="CS82" s="69" t="n">
        <v>0.14</v>
      </c>
      <c r="CT82" s="69" t="n">
        <v>0.12</v>
      </c>
      <c r="CU82" s="69" t="n">
        <v>0.05</v>
      </c>
      <c r="CV82" s="69" t="n">
        <v>0.09</v>
      </c>
      <c r="CW82" s="69" t="n">
        <v>0.13</v>
      </c>
      <c r="CX82" s="69" t="n">
        <v>0.04</v>
      </c>
      <c r="CY82" s="69" t="n">
        <v>0.08</v>
      </c>
      <c r="CZ82" s="69" t="n">
        <v>0.03</v>
      </c>
      <c r="DA82" s="69" t="n">
        <v>0.08</v>
      </c>
      <c r="DB82" s="69" t="n">
        <v>0.17</v>
      </c>
      <c r="DC82" s="69" t="n">
        <v>0.24</v>
      </c>
      <c r="DD82" s="69" t="n">
        <v>0.14</v>
      </c>
      <c r="DE82" s="69" t="n">
        <v>0.16</v>
      </c>
      <c r="DF82" s="69" t="n">
        <v>-0.03</v>
      </c>
      <c r="DG82" s="69" t="n">
        <v>0.16</v>
      </c>
      <c r="DH82" s="69" t="n">
        <v>0.16</v>
      </c>
      <c r="DI82" s="69" t="n">
        <v>0.08</v>
      </c>
      <c r="DJ82" s="69" t="n">
        <v>0.05</v>
      </c>
      <c r="DK82" s="69" t="n">
        <v>0.06</v>
      </c>
      <c r="DL82" s="69" t="n">
        <v>0.3</v>
      </c>
      <c r="DM82" s="69" t="n">
        <v>0.12</v>
      </c>
      <c r="DN82" s="69" t="n">
        <v>0.07</v>
      </c>
      <c r="DO82" s="69" t="n">
        <v>0.18</v>
      </c>
      <c r="DP82" s="69" t="n">
        <v>0.11</v>
      </c>
      <c r="DQ82" s="69" t="n">
        <v>0.07</v>
      </c>
      <c r="DR82" s="69" t="n">
        <v>0.03</v>
      </c>
      <c r="DS82" s="69" t="n">
        <v>-0.07</v>
      </c>
      <c r="DT82" s="69" t="n">
        <v>0.04</v>
      </c>
      <c r="DU82" s="69" t="n">
        <v>0.12</v>
      </c>
      <c r="DV82" s="69" t="n">
        <v>0.09</v>
      </c>
      <c r="DW82" s="69" t="n">
        <v>-0.02</v>
      </c>
      <c r="DX82" s="69" t="n">
        <v>0.13</v>
      </c>
      <c r="DY82" s="69" t="n">
        <v>0.04</v>
      </c>
      <c r="DZ82" s="69" t="n">
        <v>-0.04</v>
      </c>
      <c r="EA82" s="69" t="n">
        <v>0.1</v>
      </c>
      <c r="EB82" s="69" t="n">
        <v>0.09</v>
      </c>
      <c r="EC82" s="69" t="n">
        <v>0.04</v>
      </c>
      <c r="ED82" s="69" t="n">
        <v>0.16</v>
      </c>
      <c r="EE82" s="69" t="n">
        <v>0.09</v>
      </c>
      <c r="EF82" s="69" t="n">
        <v>0.08</v>
      </c>
      <c r="EG82" s="69" t="n">
        <v>0.11</v>
      </c>
      <c r="EH82" s="69" t="n">
        <v>-0.11</v>
      </c>
      <c r="EI82" s="69" t="n">
        <v>0.04</v>
      </c>
      <c r="EJ82" s="69" t="n">
        <v>0.14</v>
      </c>
      <c r="EK82" s="69" t="n">
        <v>0.11</v>
      </c>
      <c r="EL82" s="69" t="n">
        <v>0.18</v>
      </c>
      <c r="EM82" s="69" t="n">
        <v>-0.04</v>
      </c>
      <c r="EN82" s="69" t="n">
        <v>0.06</v>
      </c>
      <c r="EO82" s="69" t="n">
        <v>-0.03</v>
      </c>
    </row>
    <row r="83" customFormat="false" ht="15" hidden="false" customHeight="false" outlineLevel="0" collapsed="false">
      <c r="A83" s="68" t="s">
        <v>306</v>
      </c>
      <c r="B83" s="69" t="n">
        <v>0.04</v>
      </c>
      <c r="C83" s="69" t="n">
        <v>0.09</v>
      </c>
      <c r="D83" s="69" t="n">
        <v>-0.06</v>
      </c>
      <c r="E83" s="69" t="n">
        <v>0.02</v>
      </c>
      <c r="F83" s="69" t="n">
        <v>0.07</v>
      </c>
      <c r="G83" s="69" t="n">
        <v>-0.02</v>
      </c>
      <c r="H83" s="69" t="n">
        <v>-0.1</v>
      </c>
      <c r="I83" s="69" t="n">
        <v>0.01</v>
      </c>
      <c r="J83" s="69" t="n">
        <v>0.11</v>
      </c>
      <c r="K83" s="69" t="n">
        <v>-0.02</v>
      </c>
      <c r="L83" s="69" t="n">
        <v>-0.08</v>
      </c>
      <c r="M83" s="69" t="n">
        <v>-0.04</v>
      </c>
      <c r="N83" s="69" t="n">
        <v>0.08</v>
      </c>
      <c r="O83" s="69" t="n">
        <v>-0.01</v>
      </c>
      <c r="P83" s="69" t="n">
        <v>0.07</v>
      </c>
      <c r="Q83" s="69" t="n">
        <v>-0.02</v>
      </c>
      <c r="R83" s="69" t="n">
        <v>0.07</v>
      </c>
      <c r="S83" s="69" t="n">
        <v>-0.09</v>
      </c>
      <c r="T83" s="69" t="n">
        <v>0.02</v>
      </c>
      <c r="U83" s="69" t="n">
        <v>0.01</v>
      </c>
      <c r="V83" s="69" t="n">
        <v>-0.12</v>
      </c>
      <c r="W83" s="69" t="n">
        <v>0.02</v>
      </c>
      <c r="X83" s="69" t="n">
        <v>0</v>
      </c>
      <c r="Y83" s="69" t="n">
        <v>0.1</v>
      </c>
      <c r="Z83" s="69" t="n">
        <v>-0.11</v>
      </c>
      <c r="AA83" s="69" t="n">
        <v>-0.09</v>
      </c>
      <c r="AB83" s="69" t="n">
        <v>0.04</v>
      </c>
      <c r="AC83" s="69" t="n">
        <v>-0.04</v>
      </c>
      <c r="AD83" s="69" t="n">
        <v>-0.08</v>
      </c>
      <c r="AE83" s="69" t="n">
        <v>-0.07</v>
      </c>
      <c r="AF83" s="69" t="n">
        <v>-0.06</v>
      </c>
      <c r="AG83" s="69" t="n">
        <v>0.04</v>
      </c>
      <c r="AH83" s="69" t="n">
        <v>0.05</v>
      </c>
      <c r="AI83" s="69" t="n">
        <v>0.17</v>
      </c>
      <c r="AJ83" s="69" t="n">
        <v>-0.02</v>
      </c>
      <c r="AK83" s="69" t="n">
        <v>0.02</v>
      </c>
      <c r="AL83" s="69" t="n">
        <v>-0.04</v>
      </c>
      <c r="AM83" s="69" t="n">
        <v>-0.06</v>
      </c>
      <c r="AN83" s="69" t="n">
        <v>0.01</v>
      </c>
      <c r="AO83" s="69" t="n">
        <v>-0.01</v>
      </c>
      <c r="AP83" s="69" t="n">
        <v>0</v>
      </c>
      <c r="AQ83" s="69" t="n">
        <v>0.16</v>
      </c>
      <c r="AR83" s="69" t="n">
        <v>0.07</v>
      </c>
      <c r="AS83" s="69" t="n">
        <v>0.1</v>
      </c>
      <c r="AT83" s="69" t="n">
        <v>0.04</v>
      </c>
      <c r="AU83" s="69" t="n">
        <v>0.01</v>
      </c>
      <c r="AV83" s="69" t="n">
        <v>-0.01</v>
      </c>
      <c r="AW83" s="69" t="n">
        <v>-0.02</v>
      </c>
      <c r="AX83" s="69" t="n">
        <v>0</v>
      </c>
      <c r="AY83" s="69" t="n">
        <v>-0.02</v>
      </c>
      <c r="AZ83" s="69" t="n">
        <v>-0.01</v>
      </c>
      <c r="BA83" s="69" t="n">
        <v>0.01</v>
      </c>
      <c r="BB83" s="69" t="n">
        <v>0</v>
      </c>
      <c r="BC83" s="69" t="n">
        <v>-0.04</v>
      </c>
      <c r="BD83" s="69" t="n">
        <v>0.02</v>
      </c>
      <c r="BE83" s="69" t="n">
        <v>0</v>
      </c>
      <c r="BF83" s="69" t="n">
        <v>-0.09</v>
      </c>
      <c r="BG83" s="69" t="n">
        <v>-0.03</v>
      </c>
      <c r="BH83" s="69" t="n">
        <v>0</v>
      </c>
      <c r="BI83" s="69" t="n">
        <v>-0.02</v>
      </c>
      <c r="BJ83" s="69" t="n">
        <v>0.01</v>
      </c>
      <c r="BK83" s="69" t="n">
        <v>0</v>
      </c>
      <c r="BL83" s="69" t="n">
        <v>-0.03</v>
      </c>
      <c r="BM83" s="69" t="n">
        <v>0</v>
      </c>
      <c r="BN83" s="69" t="n">
        <v>0.05</v>
      </c>
      <c r="BO83" s="69" t="n">
        <v>-0.02</v>
      </c>
      <c r="BP83" s="69" t="n">
        <v>-0.06</v>
      </c>
      <c r="BQ83" s="69" t="n">
        <v>-0.14</v>
      </c>
      <c r="BR83" s="69" t="n">
        <v>0</v>
      </c>
      <c r="BS83" s="69" t="n">
        <v>0.13</v>
      </c>
      <c r="BT83" s="69" t="n">
        <v>-0.05</v>
      </c>
      <c r="BU83" s="69" t="n">
        <v>-0.01</v>
      </c>
      <c r="BV83" s="69" t="n">
        <v>-0.04</v>
      </c>
      <c r="BW83" s="69" t="n">
        <v>0.03</v>
      </c>
      <c r="BX83" s="69" t="n">
        <v>0</v>
      </c>
      <c r="BY83" s="69" t="n">
        <v>-0.11</v>
      </c>
      <c r="BZ83" s="69" t="n">
        <v>0</v>
      </c>
      <c r="CA83" s="69" t="n">
        <v>-0.02</v>
      </c>
      <c r="CB83" s="69" t="n">
        <v>1</v>
      </c>
      <c r="CC83" s="69" t="n">
        <v>0.1</v>
      </c>
      <c r="CD83" s="69" t="n">
        <v>0.02</v>
      </c>
      <c r="CE83" s="69" t="n">
        <v>-0.08</v>
      </c>
      <c r="CF83" s="69" t="n">
        <v>0.15</v>
      </c>
      <c r="CG83" s="69" t="n">
        <v>-0.05</v>
      </c>
      <c r="CH83" s="69" t="n">
        <v>-0.07</v>
      </c>
      <c r="CI83" s="69" t="n">
        <v>0.15</v>
      </c>
      <c r="CJ83" s="69" t="n">
        <v>0.08</v>
      </c>
      <c r="CK83" s="69" t="n">
        <v>0.12</v>
      </c>
      <c r="CL83" s="69" t="n">
        <v>-0.07</v>
      </c>
      <c r="CM83" s="69" t="n">
        <v>-0.12</v>
      </c>
      <c r="CN83" s="69" t="n">
        <v>0.12</v>
      </c>
      <c r="CO83" s="69" t="n">
        <v>0.02</v>
      </c>
      <c r="CP83" s="69" t="n">
        <v>0.05</v>
      </c>
      <c r="CQ83" s="69" t="n">
        <v>-0.02</v>
      </c>
      <c r="CR83" s="69" t="n">
        <v>-0.08</v>
      </c>
      <c r="CS83" s="69" t="n">
        <v>-0.06</v>
      </c>
      <c r="CT83" s="69" t="n">
        <v>-0.09</v>
      </c>
      <c r="CU83" s="69" t="n">
        <v>-0.05</v>
      </c>
      <c r="CV83" s="69" t="n">
        <v>-0.04</v>
      </c>
      <c r="CW83" s="69" t="n">
        <v>0.01</v>
      </c>
      <c r="CX83" s="69" t="n">
        <v>-0.03</v>
      </c>
      <c r="CY83" s="69" t="n">
        <v>-0.03</v>
      </c>
      <c r="CZ83" s="69" t="n">
        <v>0.03</v>
      </c>
      <c r="DA83" s="69" t="n">
        <v>-0.01</v>
      </c>
      <c r="DB83" s="69" t="n">
        <v>0</v>
      </c>
      <c r="DC83" s="69" t="n">
        <v>-0.07</v>
      </c>
      <c r="DD83" s="69" t="n">
        <v>-0.03</v>
      </c>
      <c r="DE83" s="69" t="n">
        <v>-0.15</v>
      </c>
      <c r="DF83" s="69" t="n">
        <v>0.04</v>
      </c>
      <c r="DG83" s="69" t="n">
        <v>-0.15</v>
      </c>
      <c r="DH83" s="69" t="n">
        <v>-0.06</v>
      </c>
      <c r="DI83" s="69" t="n">
        <v>-0.05</v>
      </c>
      <c r="DJ83" s="69" t="n">
        <v>-0.07</v>
      </c>
      <c r="DK83" s="69" t="n">
        <v>-0.06</v>
      </c>
      <c r="DL83" s="69" t="n">
        <v>-0.13</v>
      </c>
      <c r="DM83" s="69" t="n">
        <v>-0.17</v>
      </c>
      <c r="DN83" s="69" t="n">
        <v>0.05</v>
      </c>
      <c r="DO83" s="69" t="n">
        <v>-0.04</v>
      </c>
      <c r="DP83" s="69" t="n">
        <v>-0.09</v>
      </c>
      <c r="DQ83" s="69" t="n">
        <v>0.01</v>
      </c>
      <c r="DR83" s="69" t="n">
        <v>-0.02</v>
      </c>
      <c r="DS83" s="69" t="n">
        <v>0.03</v>
      </c>
      <c r="DT83" s="69" t="n">
        <v>-0.09</v>
      </c>
      <c r="DU83" s="69" t="n">
        <v>-0.02</v>
      </c>
      <c r="DV83" s="69" t="n">
        <v>-0.05</v>
      </c>
      <c r="DW83" s="69" t="n">
        <v>-0.08</v>
      </c>
      <c r="DX83" s="69" t="n">
        <v>-0.06</v>
      </c>
      <c r="DY83" s="69" t="n">
        <v>0</v>
      </c>
      <c r="DZ83" s="69" t="n">
        <v>-0.02</v>
      </c>
      <c r="EA83" s="69" t="n">
        <v>-0.08</v>
      </c>
      <c r="EB83" s="69" t="n">
        <v>0</v>
      </c>
      <c r="EC83" s="69" t="n">
        <v>-0.14</v>
      </c>
      <c r="ED83" s="69" t="n">
        <v>-0.06</v>
      </c>
      <c r="EE83" s="69" t="n">
        <v>-0.07</v>
      </c>
      <c r="EF83" s="69" t="n">
        <v>0.03</v>
      </c>
      <c r="EG83" s="69" t="n">
        <v>-0.03</v>
      </c>
      <c r="EH83" s="69" t="n">
        <v>0</v>
      </c>
      <c r="EI83" s="69" t="n">
        <v>-0.02</v>
      </c>
      <c r="EJ83" s="69" t="n">
        <v>0.03</v>
      </c>
      <c r="EK83" s="69" t="n">
        <v>0.02</v>
      </c>
      <c r="EL83" s="69" t="n">
        <v>-0.07</v>
      </c>
      <c r="EM83" s="69" t="n">
        <v>-0.03</v>
      </c>
      <c r="EN83" s="69" t="n">
        <v>-0.06</v>
      </c>
      <c r="EO83" s="69" t="n">
        <v>-0.07</v>
      </c>
    </row>
    <row r="84" customFormat="false" ht="15" hidden="false" customHeight="false" outlineLevel="0" collapsed="false">
      <c r="A84" s="68" t="s">
        <v>307</v>
      </c>
      <c r="B84" s="69" t="n">
        <v>0.22</v>
      </c>
      <c r="C84" s="69" t="n">
        <v>-0.02</v>
      </c>
      <c r="D84" s="69" t="n">
        <v>-0.01</v>
      </c>
      <c r="E84" s="69" t="n">
        <v>0.07</v>
      </c>
      <c r="F84" s="69" t="n">
        <v>0.08</v>
      </c>
      <c r="G84" s="69" t="n">
        <v>0.04</v>
      </c>
      <c r="H84" s="69" t="n">
        <v>-0.06</v>
      </c>
      <c r="I84" s="69" t="n">
        <v>0.12</v>
      </c>
      <c r="J84" s="69" t="n">
        <v>0.11</v>
      </c>
      <c r="K84" s="69" t="n">
        <v>0.15</v>
      </c>
      <c r="L84" s="69" t="n">
        <v>0.01</v>
      </c>
      <c r="M84" s="69" t="n">
        <v>0.08</v>
      </c>
      <c r="N84" s="69" t="n">
        <v>0.06</v>
      </c>
      <c r="O84" s="69" t="n">
        <v>0.05</v>
      </c>
      <c r="P84" s="69" t="n">
        <v>0.21</v>
      </c>
      <c r="Q84" s="69" t="n">
        <v>0.06</v>
      </c>
      <c r="R84" s="69" t="n">
        <v>0.04</v>
      </c>
      <c r="S84" s="69" t="n">
        <v>0.1</v>
      </c>
      <c r="T84" s="69" t="n">
        <v>0.16</v>
      </c>
      <c r="U84" s="69" t="n">
        <v>0.07</v>
      </c>
      <c r="V84" s="69" t="n">
        <v>-0.03</v>
      </c>
      <c r="W84" s="69" t="n">
        <v>0.15</v>
      </c>
      <c r="X84" s="69" t="n">
        <v>0.21</v>
      </c>
      <c r="Y84" s="69" t="n">
        <v>0.25</v>
      </c>
      <c r="Z84" s="69" t="n">
        <v>0.02</v>
      </c>
      <c r="AA84" s="69" t="n">
        <v>0</v>
      </c>
      <c r="AB84" s="69" t="n">
        <v>0.27</v>
      </c>
      <c r="AC84" s="69" t="n">
        <v>-0.08</v>
      </c>
      <c r="AD84" s="69" t="n">
        <v>0.02</v>
      </c>
      <c r="AE84" s="69" t="n">
        <v>-0.04</v>
      </c>
      <c r="AF84" s="69" t="n">
        <v>0.02</v>
      </c>
      <c r="AG84" s="69" t="n">
        <v>0.12</v>
      </c>
      <c r="AH84" s="69" t="n">
        <v>0.06</v>
      </c>
      <c r="AI84" s="69" t="n">
        <v>0.03</v>
      </c>
      <c r="AJ84" s="69" t="n">
        <v>-0.03</v>
      </c>
      <c r="AK84" s="69" t="n">
        <v>0.05</v>
      </c>
      <c r="AL84" s="69" t="n">
        <v>-0.03</v>
      </c>
      <c r="AM84" s="69" t="n">
        <v>0.08</v>
      </c>
      <c r="AN84" s="69" t="n">
        <v>0.13</v>
      </c>
      <c r="AO84" s="69" t="n">
        <v>0.19</v>
      </c>
      <c r="AP84" s="69" t="n">
        <v>0.16</v>
      </c>
      <c r="AQ84" s="69" t="n">
        <v>0.01</v>
      </c>
      <c r="AR84" s="69" t="n">
        <v>0.16</v>
      </c>
      <c r="AS84" s="69" t="n">
        <v>0.01</v>
      </c>
      <c r="AT84" s="69" t="n">
        <v>0.26</v>
      </c>
      <c r="AU84" s="69" t="n">
        <v>0.13</v>
      </c>
      <c r="AV84" s="69" t="n">
        <v>0.07</v>
      </c>
      <c r="AW84" s="69" t="n">
        <v>0.11</v>
      </c>
      <c r="AX84" s="69" t="n">
        <v>0.12</v>
      </c>
      <c r="AY84" s="69" t="n">
        <v>0.27</v>
      </c>
      <c r="AZ84" s="69" t="n">
        <v>-0.03</v>
      </c>
      <c r="BA84" s="69" t="n">
        <v>0.1</v>
      </c>
      <c r="BB84" s="69" t="n">
        <v>0.17</v>
      </c>
      <c r="BC84" s="69" t="n">
        <v>0.07</v>
      </c>
      <c r="BD84" s="69" t="n">
        <v>0.09</v>
      </c>
      <c r="BE84" s="69" t="n">
        <v>0.14</v>
      </c>
      <c r="BF84" s="69" t="n">
        <v>0.09</v>
      </c>
      <c r="BG84" s="69" t="n">
        <v>0.17</v>
      </c>
      <c r="BH84" s="69" t="n">
        <v>0.06</v>
      </c>
      <c r="BI84" s="69" t="n">
        <v>0.07</v>
      </c>
      <c r="BJ84" s="69" t="n">
        <v>0</v>
      </c>
      <c r="BK84" s="69" t="n">
        <v>0.08</v>
      </c>
      <c r="BL84" s="69" t="n">
        <v>0.14</v>
      </c>
      <c r="BM84" s="69" t="n">
        <v>0.16</v>
      </c>
      <c r="BN84" s="69" t="n">
        <v>0.66</v>
      </c>
      <c r="BO84" s="69" t="n">
        <v>0.09</v>
      </c>
      <c r="BP84" s="69" t="n">
        <v>0.07</v>
      </c>
      <c r="BQ84" s="69" t="n">
        <v>0.11</v>
      </c>
      <c r="BR84" s="69" t="n">
        <v>0.07</v>
      </c>
      <c r="BS84" s="69" t="n">
        <v>0</v>
      </c>
      <c r="BT84" s="69" t="n">
        <v>0.03</v>
      </c>
      <c r="BU84" s="69" t="n">
        <v>-0.02</v>
      </c>
      <c r="BV84" s="69" t="n">
        <v>0.06</v>
      </c>
      <c r="BW84" s="69" t="n">
        <v>0.15</v>
      </c>
      <c r="BX84" s="69" t="n">
        <v>0.16</v>
      </c>
      <c r="BY84" s="69" t="n">
        <v>0</v>
      </c>
      <c r="BZ84" s="69" t="n">
        <v>0.2</v>
      </c>
      <c r="CA84" s="69" t="n">
        <v>0.01</v>
      </c>
      <c r="CB84" s="69" t="n">
        <v>0.1</v>
      </c>
      <c r="CC84" s="69" t="n">
        <v>1</v>
      </c>
      <c r="CD84" s="69" t="n">
        <v>0.16</v>
      </c>
      <c r="CE84" s="69" t="n">
        <v>0.06</v>
      </c>
      <c r="CF84" s="69" t="n">
        <v>0.02</v>
      </c>
      <c r="CG84" s="69" t="n">
        <v>0.18</v>
      </c>
      <c r="CH84" s="69" t="n">
        <v>0.09</v>
      </c>
      <c r="CI84" s="69" t="n">
        <v>0.05</v>
      </c>
      <c r="CJ84" s="69" t="n">
        <v>0.11</v>
      </c>
      <c r="CK84" s="69" t="n">
        <v>0.18</v>
      </c>
      <c r="CL84" s="69" t="n">
        <v>0.06</v>
      </c>
      <c r="CM84" s="69" t="n">
        <v>0.03</v>
      </c>
      <c r="CN84" s="69" t="n">
        <v>0.03</v>
      </c>
      <c r="CO84" s="69" t="n">
        <v>0.12</v>
      </c>
      <c r="CP84" s="69" t="n">
        <v>0.05</v>
      </c>
      <c r="CQ84" s="69" t="n">
        <v>0.17</v>
      </c>
      <c r="CR84" s="69" t="n">
        <v>0.07</v>
      </c>
      <c r="CS84" s="69" t="n">
        <v>0.09</v>
      </c>
      <c r="CT84" s="69" t="n">
        <v>0.17</v>
      </c>
      <c r="CU84" s="69" t="n">
        <v>0.01</v>
      </c>
      <c r="CV84" s="69" t="n">
        <v>0.12</v>
      </c>
      <c r="CW84" s="69" t="n">
        <v>0.07</v>
      </c>
      <c r="CX84" s="69" t="n">
        <v>0.14</v>
      </c>
      <c r="CY84" s="69" t="n">
        <v>0.12</v>
      </c>
      <c r="CZ84" s="69" t="n">
        <v>0.11</v>
      </c>
      <c r="DA84" s="69" t="n">
        <v>0.14</v>
      </c>
      <c r="DB84" s="69" t="n">
        <v>0.12</v>
      </c>
      <c r="DC84" s="69" t="n">
        <v>0.02</v>
      </c>
      <c r="DD84" s="69" t="n">
        <v>0.21</v>
      </c>
      <c r="DE84" s="69" t="n">
        <v>0.06</v>
      </c>
      <c r="DF84" s="69" t="n">
        <v>0.06</v>
      </c>
      <c r="DG84" s="69" t="n">
        <v>0.06</v>
      </c>
      <c r="DH84" s="69" t="n">
        <v>-0.02</v>
      </c>
      <c r="DI84" s="69" t="n">
        <v>0.18</v>
      </c>
      <c r="DJ84" s="69" t="n">
        <v>0.13</v>
      </c>
      <c r="DK84" s="69" t="n">
        <v>0.17</v>
      </c>
      <c r="DL84" s="69" t="n">
        <v>0.03</v>
      </c>
      <c r="DM84" s="69" t="n">
        <v>0.1</v>
      </c>
      <c r="DN84" s="69" t="n">
        <v>0.18</v>
      </c>
      <c r="DO84" s="69" t="n">
        <v>0.07</v>
      </c>
      <c r="DP84" s="69" t="n">
        <v>0.11</v>
      </c>
      <c r="DQ84" s="69" t="n">
        <v>0.01</v>
      </c>
      <c r="DR84" s="69" t="n">
        <v>0.12</v>
      </c>
      <c r="DS84" s="69" t="n">
        <v>0.17</v>
      </c>
      <c r="DT84" s="69" t="n">
        <v>0.08</v>
      </c>
      <c r="DU84" s="69" t="n">
        <v>0.16</v>
      </c>
      <c r="DV84" s="69" t="n">
        <v>0.07</v>
      </c>
      <c r="DW84" s="69" t="n">
        <v>0.12</v>
      </c>
      <c r="DX84" s="69" t="n">
        <v>0.03</v>
      </c>
      <c r="DY84" s="69" t="n">
        <v>0.1</v>
      </c>
      <c r="DZ84" s="69" t="n">
        <v>0.08</v>
      </c>
      <c r="EA84" s="69" t="n">
        <v>0.08</v>
      </c>
      <c r="EB84" s="69" t="n">
        <v>0.15</v>
      </c>
      <c r="EC84" s="69" t="n">
        <v>0.06</v>
      </c>
      <c r="ED84" s="69" t="n">
        <v>0.12</v>
      </c>
      <c r="EE84" s="69" t="n">
        <v>0.1</v>
      </c>
      <c r="EF84" s="69" t="n">
        <v>0.08</v>
      </c>
      <c r="EG84" s="69" t="n">
        <v>0.09</v>
      </c>
      <c r="EH84" s="69" t="n">
        <v>0.13</v>
      </c>
      <c r="EI84" s="69" t="n">
        <v>0.03</v>
      </c>
      <c r="EJ84" s="69" t="n">
        <v>0.12</v>
      </c>
      <c r="EK84" s="69" t="n">
        <v>0.16</v>
      </c>
      <c r="EL84" s="69" t="n">
        <v>0.05</v>
      </c>
      <c r="EM84" s="69" t="n">
        <v>0.06</v>
      </c>
      <c r="EN84" s="69" t="n">
        <v>0.05</v>
      </c>
      <c r="EO84" s="69" t="n">
        <v>0.08</v>
      </c>
    </row>
    <row r="85" customFormat="false" ht="15" hidden="false" customHeight="false" outlineLevel="0" collapsed="false">
      <c r="A85" s="68" t="s">
        <v>308</v>
      </c>
      <c r="B85" s="69" t="n">
        <v>0.18</v>
      </c>
      <c r="C85" s="69" t="n">
        <v>-0.04</v>
      </c>
      <c r="D85" s="69" t="n">
        <v>0.04</v>
      </c>
      <c r="E85" s="69" t="n">
        <v>0.05</v>
      </c>
      <c r="F85" s="69" t="n">
        <v>0.17</v>
      </c>
      <c r="G85" s="69" t="n">
        <v>0.02</v>
      </c>
      <c r="H85" s="69" t="n">
        <v>0.05</v>
      </c>
      <c r="I85" s="69" t="n">
        <v>0.23</v>
      </c>
      <c r="J85" s="69" t="n">
        <v>0.09</v>
      </c>
      <c r="K85" s="69" t="n">
        <v>0.12</v>
      </c>
      <c r="L85" s="69" t="n">
        <v>0.15</v>
      </c>
      <c r="M85" s="69" t="n">
        <v>0.28</v>
      </c>
      <c r="N85" s="69" t="n">
        <v>0.24</v>
      </c>
      <c r="O85" s="69" t="n">
        <v>0.03</v>
      </c>
      <c r="P85" s="69" t="n">
        <v>0.19</v>
      </c>
      <c r="Q85" s="69" t="n">
        <v>0.04</v>
      </c>
      <c r="R85" s="69" t="n">
        <v>0.15</v>
      </c>
      <c r="S85" s="69" t="n">
        <v>0.12</v>
      </c>
      <c r="T85" s="69" t="n">
        <v>0.25</v>
      </c>
      <c r="U85" s="69" t="n">
        <v>0.1</v>
      </c>
      <c r="V85" s="69" t="n">
        <v>0</v>
      </c>
      <c r="W85" s="69" t="n">
        <v>0.02</v>
      </c>
      <c r="X85" s="69" t="n">
        <v>0.19</v>
      </c>
      <c r="Y85" s="69" t="n">
        <v>0.31</v>
      </c>
      <c r="Z85" s="69" t="n">
        <v>0.11</v>
      </c>
      <c r="AA85" s="69" t="n">
        <v>0.08</v>
      </c>
      <c r="AB85" s="69" t="n">
        <v>0.34</v>
      </c>
      <c r="AC85" s="69" t="n">
        <v>-0.05</v>
      </c>
      <c r="AD85" s="69" t="n">
        <v>-0.04</v>
      </c>
      <c r="AE85" s="69" t="n">
        <v>0.11</v>
      </c>
      <c r="AF85" s="69" t="n">
        <v>-0.05</v>
      </c>
      <c r="AG85" s="69" t="n">
        <v>0</v>
      </c>
      <c r="AH85" s="69" t="n">
        <v>0.05</v>
      </c>
      <c r="AI85" s="69" t="n">
        <v>-0.08</v>
      </c>
      <c r="AJ85" s="69" t="n">
        <v>-0.07</v>
      </c>
      <c r="AK85" s="69" t="n">
        <v>-0.02</v>
      </c>
      <c r="AL85" s="69" t="n">
        <v>0.19</v>
      </c>
      <c r="AM85" s="69" t="n">
        <v>0.2</v>
      </c>
      <c r="AN85" s="69" t="n">
        <v>0.3</v>
      </c>
      <c r="AO85" s="69" t="n">
        <v>0.17</v>
      </c>
      <c r="AP85" s="69" t="n">
        <v>0.33</v>
      </c>
      <c r="AQ85" s="69" t="n">
        <v>-0.08</v>
      </c>
      <c r="AR85" s="69" t="n">
        <v>0.2</v>
      </c>
      <c r="AS85" s="69" t="n">
        <v>0.09</v>
      </c>
      <c r="AT85" s="69" t="n">
        <v>0.34</v>
      </c>
      <c r="AU85" s="69" t="n">
        <v>0.05</v>
      </c>
      <c r="AV85" s="69" t="n">
        <v>-0.02</v>
      </c>
      <c r="AW85" s="69" t="n">
        <v>0.1</v>
      </c>
      <c r="AX85" s="69" t="n">
        <v>0.2</v>
      </c>
      <c r="AY85" s="69" t="n">
        <v>0.21</v>
      </c>
      <c r="AZ85" s="69" t="n">
        <v>0.07</v>
      </c>
      <c r="BA85" s="69" t="n">
        <v>0.21</v>
      </c>
      <c r="BB85" s="69" t="n">
        <v>0.22</v>
      </c>
      <c r="BC85" s="69" t="n">
        <v>0.01</v>
      </c>
      <c r="BD85" s="69" t="n">
        <v>0.08</v>
      </c>
      <c r="BE85" s="69" t="n">
        <v>0.12</v>
      </c>
      <c r="BF85" s="69" t="n">
        <v>0.12</v>
      </c>
      <c r="BG85" s="69" t="n">
        <v>0.26</v>
      </c>
      <c r="BH85" s="69" t="n">
        <v>0.11</v>
      </c>
      <c r="BI85" s="69" t="n">
        <v>0.08</v>
      </c>
      <c r="BJ85" s="69" t="n">
        <v>-0.05</v>
      </c>
      <c r="BK85" s="69" t="n">
        <v>0.09</v>
      </c>
      <c r="BL85" s="69" t="n">
        <v>0.2</v>
      </c>
      <c r="BM85" s="69" t="n">
        <v>0.25</v>
      </c>
      <c r="BN85" s="69" t="n">
        <v>0.12</v>
      </c>
      <c r="BO85" s="69" t="n">
        <v>0.32</v>
      </c>
      <c r="BP85" s="69" t="n">
        <v>0.29</v>
      </c>
      <c r="BQ85" s="69" t="n">
        <v>0.15</v>
      </c>
      <c r="BR85" s="69" t="n">
        <v>0.28</v>
      </c>
      <c r="BS85" s="69" t="n">
        <v>0.01</v>
      </c>
      <c r="BT85" s="69" t="n">
        <v>0.28</v>
      </c>
      <c r="BU85" s="69" t="n">
        <v>0.08</v>
      </c>
      <c r="BV85" s="69" t="n">
        <v>0.32</v>
      </c>
      <c r="BW85" s="69" t="n">
        <v>0.29</v>
      </c>
      <c r="BX85" s="69" t="n">
        <v>0.1</v>
      </c>
      <c r="BY85" s="69" t="n">
        <v>0.17</v>
      </c>
      <c r="BZ85" s="69" t="n">
        <v>0.27</v>
      </c>
      <c r="CA85" s="69" t="n">
        <v>-0.02</v>
      </c>
      <c r="CB85" s="69" t="n">
        <v>0.02</v>
      </c>
      <c r="CC85" s="69" t="n">
        <v>0.16</v>
      </c>
      <c r="CD85" s="69" t="n">
        <v>1</v>
      </c>
      <c r="CE85" s="69" t="n">
        <v>0.03</v>
      </c>
      <c r="CF85" s="69" t="n">
        <v>-0.02</v>
      </c>
      <c r="CG85" s="69" t="n">
        <v>0.49</v>
      </c>
      <c r="CH85" s="69" t="n">
        <v>0.12</v>
      </c>
      <c r="CI85" s="69" t="n">
        <v>0.01</v>
      </c>
      <c r="CJ85" s="69" t="n">
        <v>0.3</v>
      </c>
      <c r="CK85" s="69" t="n">
        <v>0.24</v>
      </c>
      <c r="CL85" s="69" t="n">
        <v>0.13</v>
      </c>
      <c r="CM85" s="69" t="n">
        <v>0.19</v>
      </c>
      <c r="CN85" s="69" t="n">
        <v>0.02</v>
      </c>
      <c r="CO85" s="69" t="n">
        <v>0.06</v>
      </c>
      <c r="CP85" s="69" t="n">
        <v>0.22</v>
      </c>
      <c r="CQ85" s="69" t="n">
        <v>0.25</v>
      </c>
      <c r="CR85" s="69" t="n">
        <v>0.22</v>
      </c>
      <c r="CS85" s="69" t="n">
        <v>0.04</v>
      </c>
      <c r="CT85" s="69" t="n">
        <v>0.24</v>
      </c>
      <c r="CU85" s="69" t="n">
        <v>0.2</v>
      </c>
      <c r="CV85" s="69" t="n">
        <v>0.26</v>
      </c>
      <c r="CW85" s="69" t="n">
        <v>0.44</v>
      </c>
      <c r="CX85" s="69" t="n">
        <v>0.26</v>
      </c>
      <c r="CY85" s="69" t="n">
        <v>0.22</v>
      </c>
      <c r="CZ85" s="69" t="n">
        <v>0.22</v>
      </c>
      <c r="DA85" s="69" t="n">
        <v>0.32</v>
      </c>
      <c r="DB85" s="69" t="n">
        <v>0.17</v>
      </c>
      <c r="DC85" s="69" t="n">
        <v>0.08</v>
      </c>
      <c r="DD85" s="69" t="n">
        <v>0.33</v>
      </c>
      <c r="DE85" s="69" t="n">
        <v>0.11</v>
      </c>
      <c r="DF85" s="69" t="n">
        <v>0.24</v>
      </c>
      <c r="DG85" s="69" t="n">
        <v>0.14</v>
      </c>
      <c r="DH85" s="69" t="n">
        <v>0.12</v>
      </c>
      <c r="DI85" s="69" t="n">
        <v>0.23</v>
      </c>
      <c r="DJ85" s="69" t="n">
        <v>0.35</v>
      </c>
      <c r="DK85" s="69" t="n">
        <v>0.27</v>
      </c>
      <c r="DL85" s="69" t="n">
        <v>-0.01</v>
      </c>
      <c r="DM85" s="69" t="n">
        <v>0.34</v>
      </c>
      <c r="DN85" s="69" t="n">
        <v>0.34</v>
      </c>
      <c r="DO85" s="69" t="n">
        <v>0.1</v>
      </c>
      <c r="DP85" s="69" t="n">
        <v>0.36</v>
      </c>
      <c r="DQ85" s="69" t="n">
        <v>0.1</v>
      </c>
      <c r="DR85" s="69" t="n">
        <v>0.16</v>
      </c>
      <c r="DS85" s="69" t="n">
        <v>0.45</v>
      </c>
      <c r="DT85" s="69" t="n">
        <v>0.24</v>
      </c>
      <c r="DU85" s="69" t="n">
        <v>0.3</v>
      </c>
      <c r="DV85" s="69" t="n">
        <v>0.32</v>
      </c>
      <c r="DW85" s="69" t="n">
        <v>0.37</v>
      </c>
      <c r="DX85" s="69" t="n">
        <v>0.06</v>
      </c>
      <c r="DY85" s="69" t="n">
        <v>0.37</v>
      </c>
      <c r="DZ85" s="69" t="n">
        <v>0.25</v>
      </c>
      <c r="EA85" s="69" t="n">
        <v>0.27</v>
      </c>
      <c r="EB85" s="69" t="n">
        <v>0.31</v>
      </c>
      <c r="EC85" s="69" t="n">
        <v>-0.02</v>
      </c>
      <c r="ED85" s="69" t="n">
        <v>0.12</v>
      </c>
      <c r="EE85" s="69" t="n">
        <v>0.15</v>
      </c>
      <c r="EF85" s="69" t="n">
        <v>0.07</v>
      </c>
      <c r="EG85" s="69" t="n">
        <v>0.03</v>
      </c>
      <c r="EH85" s="69" t="n">
        <v>0.25</v>
      </c>
      <c r="EI85" s="69" t="n">
        <v>0.1</v>
      </c>
      <c r="EJ85" s="69" t="n">
        <v>0.23</v>
      </c>
      <c r="EK85" s="69" t="n">
        <v>0.14</v>
      </c>
      <c r="EL85" s="69" t="n">
        <v>0.16</v>
      </c>
      <c r="EM85" s="69" t="n">
        <v>0.22</v>
      </c>
      <c r="EN85" s="69" t="n">
        <v>0.22</v>
      </c>
      <c r="EO85" s="69" t="n">
        <v>0.09</v>
      </c>
    </row>
    <row r="86" customFormat="false" ht="15" hidden="false" customHeight="false" outlineLevel="0" collapsed="false">
      <c r="A86" s="68" t="s">
        <v>309</v>
      </c>
      <c r="B86" s="69" t="n">
        <v>0.07</v>
      </c>
      <c r="C86" s="69" t="n">
        <v>-0.03</v>
      </c>
      <c r="D86" s="69" t="n">
        <v>0.04</v>
      </c>
      <c r="E86" s="69" t="n">
        <v>0.01</v>
      </c>
      <c r="F86" s="69" t="n">
        <v>-0.08</v>
      </c>
      <c r="G86" s="69" t="n">
        <v>-0.01</v>
      </c>
      <c r="H86" s="69" t="n">
        <v>0.02</v>
      </c>
      <c r="I86" s="69" t="n">
        <v>-0.01</v>
      </c>
      <c r="J86" s="69" t="n">
        <v>0.01</v>
      </c>
      <c r="K86" s="69" t="n">
        <v>-0.04</v>
      </c>
      <c r="L86" s="69" t="n">
        <v>0.06</v>
      </c>
      <c r="M86" s="69" t="n">
        <v>0.09</v>
      </c>
      <c r="N86" s="69" t="n">
        <v>0.05</v>
      </c>
      <c r="O86" s="69" t="n">
        <v>-0.03</v>
      </c>
      <c r="P86" s="69" t="n">
        <v>0.09</v>
      </c>
      <c r="Q86" s="69" t="n">
        <v>0.03</v>
      </c>
      <c r="R86" s="69" t="n">
        <v>0.01</v>
      </c>
      <c r="S86" s="69" t="n">
        <v>-0.02</v>
      </c>
      <c r="T86" s="69" t="n">
        <v>0.28</v>
      </c>
      <c r="U86" s="69" t="n">
        <v>0.11</v>
      </c>
      <c r="V86" s="69" t="n">
        <v>0.05</v>
      </c>
      <c r="W86" s="69" t="n">
        <v>0.06</v>
      </c>
      <c r="X86" s="69" t="n">
        <v>0.26</v>
      </c>
      <c r="Y86" s="69" t="n">
        <v>0.12</v>
      </c>
      <c r="Z86" s="69" t="n">
        <v>-0.01</v>
      </c>
      <c r="AA86" s="69" t="n">
        <v>0.08</v>
      </c>
      <c r="AB86" s="69" t="n">
        <v>0.07</v>
      </c>
      <c r="AC86" s="69" t="n">
        <v>0.08</v>
      </c>
      <c r="AD86" s="69" t="n">
        <v>0.08</v>
      </c>
      <c r="AE86" s="69" t="n">
        <v>0.14</v>
      </c>
      <c r="AF86" s="69" t="n">
        <v>0.09</v>
      </c>
      <c r="AG86" s="69" t="n">
        <v>-0.02</v>
      </c>
      <c r="AH86" s="69" t="n">
        <v>-0.03</v>
      </c>
      <c r="AI86" s="69" t="n">
        <v>0.1</v>
      </c>
      <c r="AJ86" s="69" t="n">
        <v>0.08</v>
      </c>
      <c r="AK86" s="69" t="n">
        <v>0.05</v>
      </c>
      <c r="AL86" s="69" t="n">
        <v>0.2</v>
      </c>
      <c r="AM86" s="69" t="n">
        <v>0.13</v>
      </c>
      <c r="AN86" s="69" t="n">
        <v>0.09</v>
      </c>
      <c r="AO86" s="69" t="n">
        <v>0.08</v>
      </c>
      <c r="AP86" s="69" t="n">
        <v>0</v>
      </c>
      <c r="AQ86" s="69" t="n">
        <v>0.11</v>
      </c>
      <c r="AR86" s="69" t="n">
        <v>0.28</v>
      </c>
      <c r="AS86" s="69" t="n">
        <v>0.08</v>
      </c>
      <c r="AT86" s="69" t="n">
        <v>0.22</v>
      </c>
      <c r="AU86" s="69" t="n">
        <v>0.03</v>
      </c>
      <c r="AV86" s="69" t="n">
        <v>0.05</v>
      </c>
      <c r="AW86" s="69" t="n">
        <v>0.14</v>
      </c>
      <c r="AX86" s="69" t="n">
        <v>0.11</v>
      </c>
      <c r="AY86" s="69" t="n">
        <v>0.17</v>
      </c>
      <c r="AZ86" s="69" t="n">
        <v>0.15</v>
      </c>
      <c r="BA86" s="69" t="n">
        <v>0.18</v>
      </c>
      <c r="BB86" s="69" t="n">
        <v>0.38</v>
      </c>
      <c r="BC86" s="69" t="n">
        <v>0.06</v>
      </c>
      <c r="BD86" s="69" t="n">
        <v>0.12</v>
      </c>
      <c r="BE86" s="69" t="n">
        <v>0.06</v>
      </c>
      <c r="BF86" s="69" t="n">
        <v>0.05</v>
      </c>
      <c r="BG86" s="69" t="n">
        <v>0.08</v>
      </c>
      <c r="BH86" s="69" t="n">
        <v>0.1</v>
      </c>
      <c r="BI86" s="69" t="n">
        <v>0.01</v>
      </c>
      <c r="BJ86" s="69" t="n">
        <v>-0.05</v>
      </c>
      <c r="BK86" s="69" t="n">
        <v>0.18</v>
      </c>
      <c r="BL86" s="69" t="n">
        <v>0.23</v>
      </c>
      <c r="BM86" s="69" t="n">
        <v>0.13</v>
      </c>
      <c r="BN86" s="69" t="n">
        <v>0.05</v>
      </c>
      <c r="BO86" s="69" t="n">
        <v>0.17</v>
      </c>
      <c r="BP86" s="69" t="n">
        <v>0.08</v>
      </c>
      <c r="BQ86" s="69" t="n">
        <v>0.18</v>
      </c>
      <c r="BR86" s="69" t="n">
        <v>0.19</v>
      </c>
      <c r="BS86" s="69" t="n">
        <v>0.12</v>
      </c>
      <c r="BT86" s="69" t="n">
        <v>0.14</v>
      </c>
      <c r="BU86" s="69" t="n">
        <v>0.11</v>
      </c>
      <c r="BV86" s="69" t="n">
        <v>0.2</v>
      </c>
      <c r="BW86" s="69" t="n">
        <v>0.12</v>
      </c>
      <c r="BX86" s="69" t="n">
        <v>0</v>
      </c>
      <c r="BY86" s="69" t="n">
        <v>0.19</v>
      </c>
      <c r="BZ86" s="69" t="n">
        <v>0.11</v>
      </c>
      <c r="CA86" s="69" t="n">
        <v>0.07</v>
      </c>
      <c r="CB86" s="69" t="n">
        <v>-0.08</v>
      </c>
      <c r="CC86" s="69" t="n">
        <v>0.06</v>
      </c>
      <c r="CD86" s="69" t="n">
        <v>0.03</v>
      </c>
      <c r="CE86" s="69" t="n">
        <v>1</v>
      </c>
      <c r="CF86" s="69" t="n">
        <v>0.14</v>
      </c>
      <c r="CG86" s="69" t="n">
        <v>0.14</v>
      </c>
      <c r="CH86" s="69" t="n">
        <v>0.19</v>
      </c>
      <c r="CI86" s="69" t="n">
        <v>0.14</v>
      </c>
      <c r="CJ86" s="69" t="n">
        <v>0.02</v>
      </c>
      <c r="CK86" s="69" t="n">
        <v>0.05</v>
      </c>
      <c r="CL86" s="69" t="n">
        <v>0.19</v>
      </c>
      <c r="CM86" s="69" t="n">
        <v>0.3</v>
      </c>
      <c r="CN86" s="69" t="n">
        <v>0.05</v>
      </c>
      <c r="CO86" s="69" t="n">
        <v>0.07</v>
      </c>
      <c r="CP86" s="69" t="n">
        <v>0.05</v>
      </c>
      <c r="CQ86" s="69" t="n">
        <v>0.23</v>
      </c>
      <c r="CR86" s="69" t="n">
        <v>0.37</v>
      </c>
      <c r="CS86" s="69" t="n">
        <v>0.39</v>
      </c>
      <c r="CT86" s="69" t="n">
        <v>0.18</v>
      </c>
      <c r="CU86" s="69" t="n">
        <v>0.12</v>
      </c>
      <c r="CV86" s="69" t="n">
        <v>0.12</v>
      </c>
      <c r="CW86" s="69" t="n">
        <v>0.06</v>
      </c>
      <c r="CX86" s="69" t="n">
        <v>0.09</v>
      </c>
      <c r="CY86" s="69" t="n">
        <v>0.16</v>
      </c>
      <c r="CZ86" s="69" t="n">
        <v>0.16</v>
      </c>
      <c r="DA86" s="69" t="n">
        <v>0.02</v>
      </c>
      <c r="DB86" s="69" t="n">
        <v>0.25</v>
      </c>
      <c r="DC86" s="69" t="n">
        <v>0.07</v>
      </c>
      <c r="DD86" s="69" t="n">
        <v>0.22</v>
      </c>
      <c r="DE86" s="69" t="n">
        <v>0.31</v>
      </c>
      <c r="DF86" s="69" t="n">
        <v>0.01</v>
      </c>
      <c r="DG86" s="69" t="n">
        <v>0.15</v>
      </c>
      <c r="DH86" s="69" t="n">
        <v>0.39</v>
      </c>
      <c r="DI86" s="69" t="n">
        <v>0.14</v>
      </c>
      <c r="DJ86" s="69" t="n">
        <v>0.16</v>
      </c>
      <c r="DK86" s="69" t="n">
        <v>0.22</v>
      </c>
      <c r="DL86" s="69" t="n">
        <v>0.06</v>
      </c>
      <c r="DM86" s="69" t="n">
        <v>0.2</v>
      </c>
      <c r="DN86" s="69" t="n">
        <v>0.13</v>
      </c>
      <c r="DO86" s="69" t="n">
        <v>0.29</v>
      </c>
      <c r="DP86" s="69" t="n">
        <v>0.16</v>
      </c>
      <c r="DQ86" s="69" t="n">
        <v>0.24</v>
      </c>
      <c r="DR86" s="69" t="n">
        <v>0.15</v>
      </c>
      <c r="DS86" s="69" t="n">
        <v>0.08</v>
      </c>
      <c r="DT86" s="69" t="n">
        <v>0.25</v>
      </c>
      <c r="DU86" s="69" t="n">
        <v>0.23</v>
      </c>
      <c r="DV86" s="69" t="n">
        <v>0.21</v>
      </c>
      <c r="DW86" s="69" t="n">
        <v>0.13</v>
      </c>
      <c r="DX86" s="69" t="n">
        <v>0.39</v>
      </c>
      <c r="DY86" s="69" t="n">
        <v>0.23</v>
      </c>
      <c r="DZ86" s="69" t="n">
        <v>0.15</v>
      </c>
      <c r="EA86" s="69" t="n">
        <v>0.05</v>
      </c>
      <c r="EB86" s="69" t="n">
        <v>0.27</v>
      </c>
      <c r="EC86" s="69" t="n">
        <v>0.09</v>
      </c>
      <c r="ED86" s="69" t="n">
        <v>0.2</v>
      </c>
      <c r="EE86" s="69" t="n">
        <v>0.34</v>
      </c>
      <c r="EF86" s="69" t="n">
        <v>0.23</v>
      </c>
      <c r="EG86" s="69" t="n">
        <v>0.26</v>
      </c>
      <c r="EH86" s="69" t="n">
        <v>0.01</v>
      </c>
      <c r="EI86" s="69" t="n">
        <v>0.23</v>
      </c>
      <c r="EJ86" s="69" t="n">
        <v>0.09</v>
      </c>
      <c r="EK86" s="69" t="n">
        <v>0.27</v>
      </c>
      <c r="EL86" s="69" t="n">
        <v>0.2</v>
      </c>
      <c r="EM86" s="69" t="n">
        <v>0.09</v>
      </c>
      <c r="EN86" s="69" t="n">
        <v>0.02</v>
      </c>
      <c r="EO86" s="69" t="n">
        <v>0.07</v>
      </c>
    </row>
    <row r="87" customFormat="false" ht="15" hidden="false" customHeight="false" outlineLevel="0" collapsed="false">
      <c r="A87" s="68" t="s">
        <v>310</v>
      </c>
      <c r="B87" s="69" t="n">
        <v>0.08</v>
      </c>
      <c r="C87" s="69" t="n">
        <v>-0.04</v>
      </c>
      <c r="D87" s="69" t="n">
        <v>-0.04</v>
      </c>
      <c r="E87" s="69" t="n">
        <v>0.03</v>
      </c>
      <c r="F87" s="69" t="n">
        <v>0.24</v>
      </c>
      <c r="G87" s="69" t="n">
        <v>0.02</v>
      </c>
      <c r="H87" s="69" t="n">
        <v>-0.12</v>
      </c>
      <c r="I87" s="69" t="n">
        <v>0.07</v>
      </c>
      <c r="J87" s="69" t="n">
        <v>0.17</v>
      </c>
      <c r="K87" s="69" t="n">
        <v>0.02</v>
      </c>
      <c r="L87" s="69" t="n">
        <v>0</v>
      </c>
      <c r="M87" s="69" t="n">
        <v>-0.08</v>
      </c>
      <c r="N87" s="69" t="n">
        <v>0.08</v>
      </c>
      <c r="O87" s="69" t="n">
        <v>-0.01</v>
      </c>
      <c r="P87" s="69" t="n">
        <v>0.21</v>
      </c>
      <c r="Q87" s="69" t="n">
        <v>-0.06</v>
      </c>
      <c r="R87" s="69" t="n">
        <v>0.2</v>
      </c>
      <c r="S87" s="69" t="n">
        <v>-0.09</v>
      </c>
      <c r="T87" s="69" t="n">
        <v>0.01</v>
      </c>
      <c r="U87" s="69" t="n">
        <v>-0.09</v>
      </c>
      <c r="V87" s="69" t="n">
        <v>-0.09</v>
      </c>
      <c r="W87" s="69" t="n">
        <v>-0.01</v>
      </c>
      <c r="X87" s="69" t="n">
        <v>-0.02</v>
      </c>
      <c r="Y87" s="69" t="n">
        <v>0.03</v>
      </c>
      <c r="Z87" s="69" t="n">
        <v>-0.06</v>
      </c>
      <c r="AA87" s="69" t="n">
        <v>-0.06</v>
      </c>
      <c r="AB87" s="69" t="n">
        <v>0.02</v>
      </c>
      <c r="AC87" s="69" t="n">
        <v>-0.04</v>
      </c>
      <c r="AD87" s="69" t="n">
        <v>0.09</v>
      </c>
      <c r="AE87" s="69" t="n">
        <v>-0.21</v>
      </c>
      <c r="AF87" s="69" t="n">
        <v>-0.08</v>
      </c>
      <c r="AG87" s="69" t="n">
        <v>0.26</v>
      </c>
      <c r="AH87" s="69" t="n">
        <v>0.22</v>
      </c>
      <c r="AI87" s="69" t="n">
        <v>0.75</v>
      </c>
      <c r="AJ87" s="69" t="n">
        <v>-0.03</v>
      </c>
      <c r="AK87" s="69" t="n">
        <v>-0.19</v>
      </c>
      <c r="AL87" s="69" t="n">
        <v>0.01</v>
      </c>
      <c r="AM87" s="69" t="n">
        <v>-0.12</v>
      </c>
      <c r="AN87" s="69" t="n">
        <v>-0.17</v>
      </c>
      <c r="AO87" s="69" t="n">
        <v>0.07</v>
      </c>
      <c r="AP87" s="69" t="n">
        <v>-0.09</v>
      </c>
      <c r="AQ87" s="69" t="n">
        <v>0.78</v>
      </c>
      <c r="AR87" s="69" t="n">
        <v>0.05</v>
      </c>
      <c r="AS87" s="69" t="n">
        <v>-0.16</v>
      </c>
      <c r="AT87" s="69" t="n">
        <v>-0.06</v>
      </c>
      <c r="AU87" s="69" t="n">
        <v>0.14</v>
      </c>
      <c r="AV87" s="69" t="n">
        <v>-0.04</v>
      </c>
      <c r="AW87" s="69" t="n">
        <v>-0.07</v>
      </c>
      <c r="AX87" s="69" t="n">
        <v>0.07</v>
      </c>
      <c r="AY87" s="69" t="n">
        <v>0.05</v>
      </c>
      <c r="AZ87" s="69" t="n">
        <v>-0.17</v>
      </c>
      <c r="BA87" s="69" t="n">
        <v>-0.01</v>
      </c>
      <c r="BB87" s="69" t="n">
        <v>-0.13</v>
      </c>
      <c r="BC87" s="69" t="n">
        <v>-0.03</v>
      </c>
      <c r="BD87" s="69" t="n">
        <v>-0.13</v>
      </c>
      <c r="BE87" s="69" t="n">
        <v>0.1</v>
      </c>
      <c r="BF87" s="69" t="n">
        <v>0.02</v>
      </c>
      <c r="BG87" s="69" t="n">
        <v>-0.03</v>
      </c>
      <c r="BH87" s="69" t="n">
        <v>-0.17</v>
      </c>
      <c r="BI87" s="69" t="n">
        <v>0.02</v>
      </c>
      <c r="BJ87" s="69" t="n">
        <v>0.03</v>
      </c>
      <c r="BK87" s="69" t="n">
        <v>-0.1</v>
      </c>
      <c r="BL87" s="69" t="n">
        <v>-0.02</v>
      </c>
      <c r="BM87" s="69" t="n">
        <v>0.05</v>
      </c>
      <c r="BN87" s="69" t="n">
        <v>0.07</v>
      </c>
      <c r="BO87" s="69" t="n">
        <v>-0.12</v>
      </c>
      <c r="BP87" s="69" t="n">
        <v>-0.05</v>
      </c>
      <c r="BQ87" s="69" t="n">
        <v>-0.19</v>
      </c>
      <c r="BR87" s="69" t="n">
        <v>0.04</v>
      </c>
      <c r="BS87" s="69" t="n">
        <v>0.84</v>
      </c>
      <c r="BT87" s="69" t="n">
        <v>-0.28</v>
      </c>
      <c r="BU87" s="69" t="n">
        <v>-0.12</v>
      </c>
      <c r="BV87" s="69" t="n">
        <v>-0.07</v>
      </c>
      <c r="BW87" s="69" t="n">
        <v>0.07</v>
      </c>
      <c r="BX87" s="69" t="n">
        <v>0.02</v>
      </c>
      <c r="BY87" s="69" t="n">
        <v>-0.1</v>
      </c>
      <c r="BZ87" s="69" t="n">
        <v>-0.14</v>
      </c>
      <c r="CA87" s="69" t="n">
        <v>-0.07</v>
      </c>
      <c r="CB87" s="69" t="n">
        <v>0.15</v>
      </c>
      <c r="CC87" s="69" t="n">
        <v>0.02</v>
      </c>
      <c r="CD87" s="69" t="n">
        <v>-0.02</v>
      </c>
      <c r="CE87" s="69" t="n">
        <v>0.14</v>
      </c>
      <c r="CF87" s="69" t="n">
        <v>1</v>
      </c>
      <c r="CG87" s="69" t="n">
        <v>-0.08</v>
      </c>
      <c r="CH87" s="69" t="n">
        <v>-0.19</v>
      </c>
      <c r="CI87" s="69" t="n">
        <v>0.83</v>
      </c>
      <c r="CJ87" s="69" t="n">
        <v>0.06</v>
      </c>
      <c r="CK87" s="69" t="n">
        <v>0.01</v>
      </c>
      <c r="CL87" s="69" t="n">
        <v>-0.1</v>
      </c>
      <c r="CM87" s="69" t="n">
        <v>-0.12</v>
      </c>
      <c r="CN87" s="69" t="n">
        <v>0.01</v>
      </c>
      <c r="CO87" s="69" t="n">
        <v>-0.05</v>
      </c>
      <c r="CP87" s="69" t="n">
        <v>0.09</v>
      </c>
      <c r="CQ87" s="69" t="n">
        <v>-0.25</v>
      </c>
      <c r="CR87" s="69" t="n">
        <v>-0.13</v>
      </c>
      <c r="CS87" s="69" t="n">
        <v>-0.03</v>
      </c>
      <c r="CT87" s="69" t="n">
        <v>-0.05</v>
      </c>
      <c r="CU87" s="69" t="n">
        <v>0</v>
      </c>
      <c r="CV87" s="69" t="n">
        <v>-0.18</v>
      </c>
      <c r="CW87" s="69" t="n">
        <v>-0.13</v>
      </c>
      <c r="CX87" s="69" t="n">
        <v>-0.12</v>
      </c>
      <c r="CY87" s="69" t="n">
        <v>-0.29</v>
      </c>
      <c r="CZ87" s="69" t="n">
        <v>0.1</v>
      </c>
      <c r="DA87" s="69" t="n">
        <v>-0.03</v>
      </c>
      <c r="DB87" s="69" t="n">
        <v>-0.11</v>
      </c>
      <c r="DC87" s="69" t="n">
        <v>-0.31</v>
      </c>
      <c r="DD87" s="69" t="n">
        <v>-0.11</v>
      </c>
      <c r="DE87" s="69" t="n">
        <v>-0.14</v>
      </c>
      <c r="DF87" s="69" t="n">
        <v>0.11</v>
      </c>
      <c r="DG87" s="69" t="n">
        <v>-0.11</v>
      </c>
      <c r="DH87" s="69" t="n">
        <v>-0.07</v>
      </c>
      <c r="DI87" s="69" t="n">
        <v>-0.33</v>
      </c>
      <c r="DJ87" s="69" t="n">
        <v>-0.18</v>
      </c>
      <c r="DK87" s="69" t="n">
        <v>-0.33</v>
      </c>
      <c r="DL87" s="69" t="n">
        <v>-0.24</v>
      </c>
      <c r="DM87" s="69" t="n">
        <v>-0.25</v>
      </c>
      <c r="DN87" s="69" t="n">
        <v>-0.01</v>
      </c>
      <c r="DO87" s="69" t="n">
        <v>-0.01</v>
      </c>
      <c r="DP87" s="69" t="n">
        <v>-0.24</v>
      </c>
      <c r="DQ87" s="69" t="n">
        <v>0.01</v>
      </c>
      <c r="DR87" s="69" t="n">
        <v>0.05</v>
      </c>
      <c r="DS87" s="69" t="n">
        <v>0</v>
      </c>
      <c r="DT87" s="69" t="n">
        <v>-0.06</v>
      </c>
      <c r="DU87" s="69" t="n">
        <v>-0.13</v>
      </c>
      <c r="DV87" s="69" t="n">
        <v>-0.03</v>
      </c>
      <c r="DW87" s="69" t="n">
        <v>-0.18</v>
      </c>
      <c r="DX87" s="69" t="n">
        <v>-0.1</v>
      </c>
      <c r="DY87" s="69" t="n">
        <v>-0.15</v>
      </c>
      <c r="DZ87" s="69" t="n">
        <v>0.1</v>
      </c>
      <c r="EA87" s="69" t="n">
        <v>-0.14</v>
      </c>
      <c r="EB87" s="69" t="n">
        <v>-0.07</v>
      </c>
      <c r="EC87" s="69" t="n">
        <v>-0.08</v>
      </c>
      <c r="ED87" s="69" t="n">
        <v>-0.04</v>
      </c>
      <c r="EE87" s="69" t="n">
        <v>-0.11</v>
      </c>
      <c r="EF87" s="69" t="n">
        <v>0.02</v>
      </c>
      <c r="EG87" s="69" t="n">
        <v>-0.06</v>
      </c>
      <c r="EH87" s="69" t="n">
        <v>-0.05</v>
      </c>
      <c r="EI87" s="69" t="n">
        <v>-0.09</v>
      </c>
      <c r="EJ87" s="69" t="n">
        <v>-0.01</v>
      </c>
      <c r="EK87" s="69" t="n">
        <v>0.04</v>
      </c>
      <c r="EL87" s="69" t="n">
        <v>-0.14</v>
      </c>
      <c r="EM87" s="69" t="n">
        <v>-0.01</v>
      </c>
      <c r="EN87" s="69" t="n">
        <v>-0.02</v>
      </c>
      <c r="EO87" s="69" t="n">
        <v>-0.03</v>
      </c>
    </row>
    <row r="88" customFormat="false" ht="15" hidden="false" customHeight="false" outlineLevel="0" collapsed="false">
      <c r="A88" s="68" t="s">
        <v>311</v>
      </c>
      <c r="B88" s="69" t="n">
        <v>0.24</v>
      </c>
      <c r="C88" s="69" t="n">
        <v>-0.01</v>
      </c>
      <c r="D88" s="69" t="n">
        <v>0.1</v>
      </c>
      <c r="E88" s="69" t="n">
        <v>0.03</v>
      </c>
      <c r="F88" s="69" t="n">
        <v>0.17</v>
      </c>
      <c r="G88" s="69" t="n">
        <v>0.06</v>
      </c>
      <c r="H88" s="69" t="n">
        <v>0.11</v>
      </c>
      <c r="I88" s="69" t="n">
        <v>0.29</v>
      </c>
      <c r="J88" s="69" t="n">
        <v>0.1</v>
      </c>
      <c r="K88" s="69" t="n">
        <v>0.18</v>
      </c>
      <c r="L88" s="69" t="n">
        <v>0.11</v>
      </c>
      <c r="M88" s="69" t="n">
        <v>0.35</v>
      </c>
      <c r="N88" s="69" t="n">
        <v>0.3</v>
      </c>
      <c r="O88" s="69" t="n">
        <v>0.03</v>
      </c>
      <c r="P88" s="69" t="n">
        <v>0.17</v>
      </c>
      <c r="Q88" s="69" t="n">
        <v>0.01</v>
      </c>
      <c r="R88" s="69" t="n">
        <v>0.15</v>
      </c>
      <c r="S88" s="69" t="n">
        <v>0.14</v>
      </c>
      <c r="T88" s="69" t="n">
        <v>0.37</v>
      </c>
      <c r="U88" s="69" t="n">
        <v>0.13</v>
      </c>
      <c r="V88" s="69" t="n">
        <v>0.01</v>
      </c>
      <c r="W88" s="69" t="n">
        <v>-0.03</v>
      </c>
      <c r="X88" s="69" t="n">
        <v>0.31</v>
      </c>
      <c r="Y88" s="69" t="n">
        <v>0.33</v>
      </c>
      <c r="Z88" s="69" t="n">
        <v>0.09</v>
      </c>
      <c r="AA88" s="69" t="n">
        <v>0.07</v>
      </c>
      <c r="AB88" s="69" t="n">
        <v>0.35</v>
      </c>
      <c r="AC88" s="69" t="n">
        <v>-0.08</v>
      </c>
      <c r="AD88" s="69" t="n">
        <v>-0.06</v>
      </c>
      <c r="AE88" s="69" t="n">
        <v>0.12</v>
      </c>
      <c r="AF88" s="69" t="n">
        <v>-0.02</v>
      </c>
      <c r="AG88" s="69" t="n">
        <v>0.05</v>
      </c>
      <c r="AH88" s="69" t="n">
        <v>0.05</v>
      </c>
      <c r="AI88" s="69" t="n">
        <v>-0.09</v>
      </c>
      <c r="AJ88" s="69" t="n">
        <v>0.07</v>
      </c>
      <c r="AK88" s="69" t="n">
        <v>-0.01</v>
      </c>
      <c r="AL88" s="69" t="n">
        <v>0.33</v>
      </c>
      <c r="AM88" s="69" t="n">
        <v>0.11</v>
      </c>
      <c r="AN88" s="69" t="n">
        <v>0.42</v>
      </c>
      <c r="AO88" s="69" t="n">
        <v>0.11</v>
      </c>
      <c r="AP88" s="69" t="n">
        <v>0.37</v>
      </c>
      <c r="AQ88" s="69" t="n">
        <v>-0.15</v>
      </c>
      <c r="AR88" s="69" t="n">
        <v>0.32</v>
      </c>
      <c r="AS88" s="69" t="n">
        <v>0.07</v>
      </c>
      <c r="AT88" s="69" t="n">
        <v>0.43</v>
      </c>
      <c r="AU88" s="69" t="n">
        <v>0.08</v>
      </c>
      <c r="AV88" s="69" t="n">
        <v>0.08</v>
      </c>
      <c r="AW88" s="69" t="n">
        <v>0.12</v>
      </c>
      <c r="AX88" s="69" t="n">
        <v>0.21</v>
      </c>
      <c r="AY88" s="69" t="n">
        <v>0.3</v>
      </c>
      <c r="AZ88" s="69" t="n">
        <v>0.16</v>
      </c>
      <c r="BA88" s="69" t="n">
        <v>0.26</v>
      </c>
      <c r="BB88" s="69" t="n">
        <v>0.38</v>
      </c>
      <c r="BC88" s="69" t="n">
        <v>0.12</v>
      </c>
      <c r="BD88" s="69" t="n">
        <v>0.1</v>
      </c>
      <c r="BE88" s="69" t="n">
        <v>0.12</v>
      </c>
      <c r="BF88" s="69" t="n">
        <v>0.1</v>
      </c>
      <c r="BG88" s="69" t="n">
        <v>0.34</v>
      </c>
      <c r="BH88" s="69" t="n">
        <v>0.16</v>
      </c>
      <c r="BI88" s="69" t="n">
        <v>0.09</v>
      </c>
      <c r="BJ88" s="69" t="n">
        <v>-0.03</v>
      </c>
      <c r="BK88" s="69" t="n">
        <v>0.08</v>
      </c>
      <c r="BL88" s="69" t="n">
        <v>0.23</v>
      </c>
      <c r="BM88" s="69" t="n">
        <v>0.29</v>
      </c>
      <c r="BN88" s="69" t="n">
        <v>0.1</v>
      </c>
      <c r="BO88" s="69" t="n">
        <v>0.32</v>
      </c>
      <c r="BP88" s="69" t="n">
        <v>0.3</v>
      </c>
      <c r="BQ88" s="69" t="n">
        <v>0.15</v>
      </c>
      <c r="BR88" s="69" t="n">
        <v>0.41</v>
      </c>
      <c r="BS88" s="69" t="n">
        <v>-0.07</v>
      </c>
      <c r="BT88" s="69" t="n">
        <v>0.24</v>
      </c>
      <c r="BU88" s="69" t="n">
        <v>0.16</v>
      </c>
      <c r="BV88" s="69" t="n">
        <v>0.37</v>
      </c>
      <c r="BW88" s="69" t="n">
        <v>0.27</v>
      </c>
      <c r="BX88" s="69" t="n">
        <v>0.18</v>
      </c>
      <c r="BY88" s="69" t="n">
        <v>0.33</v>
      </c>
      <c r="BZ88" s="69" t="n">
        <v>0.28</v>
      </c>
      <c r="CA88" s="69" t="n">
        <v>0.05</v>
      </c>
      <c r="CB88" s="69" t="n">
        <v>-0.05</v>
      </c>
      <c r="CC88" s="69" t="n">
        <v>0.18</v>
      </c>
      <c r="CD88" s="69" t="n">
        <v>0.49</v>
      </c>
      <c r="CE88" s="69" t="n">
        <v>0.14</v>
      </c>
      <c r="CF88" s="69" t="n">
        <v>-0.08</v>
      </c>
      <c r="CG88" s="69" t="n">
        <v>1</v>
      </c>
      <c r="CH88" s="69" t="n">
        <v>0.13</v>
      </c>
      <c r="CI88" s="69" t="n">
        <v>-0.08</v>
      </c>
      <c r="CJ88" s="69" t="n">
        <v>0.28</v>
      </c>
      <c r="CK88" s="69" t="n">
        <v>0.39</v>
      </c>
      <c r="CL88" s="69" t="n">
        <v>0.24</v>
      </c>
      <c r="CM88" s="69" t="n">
        <v>0.15</v>
      </c>
      <c r="CN88" s="69" t="n">
        <v>-0.02</v>
      </c>
      <c r="CO88" s="69" t="n">
        <v>0.1</v>
      </c>
      <c r="CP88" s="69" t="n">
        <v>0.23</v>
      </c>
      <c r="CQ88" s="69" t="n">
        <v>0.38</v>
      </c>
      <c r="CR88" s="69" t="n">
        <v>0.15</v>
      </c>
      <c r="CS88" s="69" t="n">
        <v>0.05</v>
      </c>
      <c r="CT88" s="69" t="n">
        <v>0.41</v>
      </c>
      <c r="CU88" s="69" t="n">
        <v>0.14</v>
      </c>
      <c r="CV88" s="69" t="n">
        <v>0.27</v>
      </c>
      <c r="CW88" s="69" t="n">
        <v>0.32</v>
      </c>
      <c r="CX88" s="69" t="n">
        <v>0.24</v>
      </c>
      <c r="CY88" s="69" t="n">
        <v>0.34</v>
      </c>
      <c r="CZ88" s="69" t="n">
        <v>0.31</v>
      </c>
      <c r="DA88" s="69" t="n">
        <v>0.35</v>
      </c>
      <c r="DB88" s="69" t="n">
        <v>0.23</v>
      </c>
      <c r="DC88" s="69" t="n">
        <v>0.23</v>
      </c>
      <c r="DD88" s="69" t="n">
        <v>0.45</v>
      </c>
      <c r="DE88" s="69" t="n">
        <v>0.15</v>
      </c>
      <c r="DF88" s="69" t="n">
        <v>0.36</v>
      </c>
      <c r="DG88" s="69" t="n">
        <v>0.21</v>
      </c>
      <c r="DH88" s="69" t="n">
        <v>0.16</v>
      </c>
      <c r="DI88" s="69" t="n">
        <v>0.38</v>
      </c>
      <c r="DJ88" s="69" t="n">
        <v>0.38</v>
      </c>
      <c r="DK88" s="69" t="n">
        <v>0.38</v>
      </c>
      <c r="DL88" s="69" t="n">
        <v>0.07</v>
      </c>
      <c r="DM88" s="69" t="n">
        <v>0.45</v>
      </c>
      <c r="DN88" s="69" t="n">
        <v>0.41</v>
      </c>
      <c r="DO88" s="69" t="n">
        <v>0.21</v>
      </c>
      <c r="DP88" s="69" t="n">
        <v>0.42</v>
      </c>
      <c r="DQ88" s="69" t="n">
        <v>0.08</v>
      </c>
      <c r="DR88" s="69" t="n">
        <v>0.07</v>
      </c>
      <c r="DS88" s="69" t="n">
        <v>0.35</v>
      </c>
      <c r="DT88" s="69" t="n">
        <v>0.22</v>
      </c>
      <c r="DU88" s="69" t="n">
        <v>0.29</v>
      </c>
      <c r="DV88" s="69" t="n">
        <v>0.3</v>
      </c>
      <c r="DW88" s="69" t="n">
        <v>0.49</v>
      </c>
      <c r="DX88" s="69" t="n">
        <v>0.08</v>
      </c>
      <c r="DY88" s="69" t="n">
        <v>0.44</v>
      </c>
      <c r="DZ88" s="69" t="n">
        <v>0.42</v>
      </c>
      <c r="EA88" s="69" t="n">
        <v>0.3</v>
      </c>
      <c r="EB88" s="69" t="n">
        <v>0.43</v>
      </c>
      <c r="EC88" s="69" t="n">
        <v>0</v>
      </c>
      <c r="ED88" s="69" t="n">
        <v>0.3</v>
      </c>
      <c r="EE88" s="69" t="n">
        <v>0.07</v>
      </c>
      <c r="EF88" s="69" t="n">
        <v>0.08</v>
      </c>
      <c r="EG88" s="69" t="n">
        <v>0.08</v>
      </c>
      <c r="EH88" s="69" t="n">
        <v>0.3</v>
      </c>
      <c r="EI88" s="69" t="n">
        <v>0.04</v>
      </c>
      <c r="EJ88" s="69" t="n">
        <v>0.2</v>
      </c>
      <c r="EK88" s="69" t="n">
        <v>0.09</v>
      </c>
      <c r="EL88" s="69" t="n">
        <v>0.07</v>
      </c>
      <c r="EM88" s="69" t="n">
        <v>0.12</v>
      </c>
      <c r="EN88" s="69" t="n">
        <v>0.18</v>
      </c>
      <c r="EO88" s="69" t="n">
        <v>0.13</v>
      </c>
    </row>
    <row r="89" customFormat="false" ht="15" hidden="false" customHeight="false" outlineLevel="0" collapsed="false">
      <c r="A89" s="68" t="s">
        <v>166</v>
      </c>
      <c r="B89" s="69" t="n">
        <v>-0.07</v>
      </c>
      <c r="C89" s="69" t="n">
        <v>0.12</v>
      </c>
      <c r="D89" s="69" t="n">
        <v>0.04</v>
      </c>
      <c r="E89" s="69" t="n">
        <v>0.19</v>
      </c>
      <c r="F89" s="69" t="n">
        <v>-0.07</v>
      </c>
      <c r="G89" s="69" t="n">
        <v>0.17</v>
      </c>
      <c r="H89" s="69" t="n">
        <v>0.27</v>
      </c>
      <c r="I89" s="69" t="n">
        <v>0.02</v>
      </c>
      <c r="J89" s="69" t="n">
        <v>0</v>
      </c>
      <c r="K89" s="69" t="n">
        <v>0.02</v>
      </c>
      <c r="L89" s="69" t="n">
        <v>0.17</v>
      </c>
      <c r="M89" s="69" t="n">
        <v>0.34</v>
      </c>
      <c r="N89" s="69" t="n">
        <v>0.1</v>
      </c>
      <c r="O89" s="69" t="n">
        <v>0.36</v>
      </c>
      <c r="P89" s="69" t="n">
        <v>-0.02</v>
      </c>
      <c r="Q89" s="69" t="n">
        <v>0.11</v>
      </c>
      <c r="R89" s="69" t="n">
        <v>0.03</v>
      </c>
      <c r="S89" s="69" t="n">
        <v>0.15</v>
      </c>
      <c r="T89" s="69" t="n">
        <v>0.19</v>
      </c>
      <c r="U89" s="69" t="n">
        <v>0.41</v>
      </c>
      <c r="V89" s="69" t="n">
        <v>0.39</v>
      </c>
      <c r="W89" s="69" t="n">
        <v>0.25</v>
      </c>
      <c r="X89" s="69" t="n">
        <v>0.24</v>
      </c>
      <c r="Y89" s="69" t="n">
        <v>0.06</v>
      </c>
      <c r="Z89" s="69" t="n">
        <v>0.34</v>
      </c>
      <c r="AA89" s="69" t="n">
        <v>0.19</v>
      </c>
      <c r="AB89" s="69" t="n">
        <v>0.01</v>
      </c>
      <c r="AC89" s="69" t="n">
        <v>0.23</v>
      </c>
      <c r="AD89" s="69" t="n">
        <v>0.25</v>
      </c>
      <c r="AE89" s="69" t="n">
        <v>0.37</v>
      </c>
      <c r="AF89" s="69" t="n">
        <v>0.51</v>
      </c>
      <c r="AG89" s="69" t="n">
        <v>-0.12</v>
      </c>
      <c r="AH89" s="69" t="n">
        <v>-0.13</v>
      </c>
      <c r="AI89" s="69" t="n">
        <v>-0.2</v>
      </c>
      <c r="AJ89" s="69" t="n">
        <v>0.2</v>
      </c>
      <c r="AK89" s="69" t="n">
        <v>0.5</v>
      </c>
      <c r="AL89" s="69" t="n">
        <v>0.12</v>
      </c>
      <c r="AM89" s="69" t="n">
        <v>0.2</v>
      </c>
      <c r="AN89" s="69" t="n">
        <v>0.19</v>
      </c>
      <c r="AO89" s="69" t="n">
        <v>0</v>
      </c>
      <c r="AP89" s="69" t="n">
        <v>0.18</v>
      </c>
      <c r="AQ89" s="69" t="n">
        <v>-0.12</v>
      </c>
      <c r="AR89" s="69" t="n">
        <v>0.14</v>
      </c>
      <c r="AS89" s="69" t="n">
        <v>0.42</v>
      </c>
      <c r="AT89" s="69" t="n">
        <v>0.16</v>
      </c>
      <c r="AU89" s="69" t="n">
        <v>0.01</v>
      </c>
      <c r="AV89" s="69" t="n">
        <v>0.3</v>
      </c>
      <c r="AW89" s="69" t="n">
        <v>0.42</v>
      </c>
      <c r="AX89" s="69" t="n">
        <v>0.06</v>
      </c>
      <c r="AY89" s="69" t="n">
        <v>0.16</v>
      </c>
      <c r="AZ89" s="69" t="n">
        <v>0.36</v>
      </c>
      <c r="BA89" s="69" t="n">
        <v>0.27</v>
      </c>
      <c r="BB89" s="69" t="n">
        <v>0.28</v>
      </c>
      <c r="BC89" s="69" t="n">
        <v>0.13</v>
      </c>
      <c r="BD89" s="69" t="n">
        <v>0.35</v>
      </c>
      <c r="BE89" s="69" t="n">
        <v>0.14</v>
      </c>
      <c r="BF89" s="69" t="n">
        <v>0.24</v>
      </c>
      <c r="BG89" s="69" t="n">
        <v>0.11</v>
      </c>
      <c r="BH89" s="69" t="n">
        <v>0.28</v>
      </c>
      <c r="BI89" s="69" t="n">
        <v>0.16</v>
      </c>
      <c r="BJ89" s="69" t="n">
        <v>0.13</v>
      </c>
      <c r="BK89" s="69" t="n">
        <v>0.24</v>
      </c>
      <c r="BL89" s="69" t="n">
        <v>0.43</v>
      </c>
      <c r="BM89" s="69" t="n">
        <v>0.03</v>
      </c>
      <c r="BN89" s="69" t="n">
        <v>0.05</v>
      </c>
      <c r="BO89" s="69" t="n">
        <v>0.23</v>
      </c>
      <c r="BP89" s="69" t="n">
        <v>0.01</v>
      </c>
      <c r="BQ89" s="69" t="n">
        <v>0.47</v>
      </c>
      <c r="BR89" s="69" t="n">
        <v>0.15</v>
      </c>
      <c r="BS89" s="69" t="n">
        <v>-0.14</v>
      </c>
      <c r="BT89" s="69" t="n">
        <v>0.32</v>
      </c>
      <c r="BU89" s="69" t="n">
        <v>0.25</v>
      </c>
      <c r="BV89" s="69" t="n">
        <v>0.11</v>
      </c>
      <c r="BW89" s="69" t="n">
        <v>0.11</v>
      </c>
      <c r="BX89" s="69" t="n">
        <v>-0.03</v>
      </c>
      <c r="BY89" s="69" t="n">
        <v>0.22</v>
      </c>
      <c r="BZ89" s="69" t="n">
        <v>0.18</v>
      </c>
      <c r="CA89" s="69" t="n">
        <v>0.36</v>
      </c>
      <c r="CB89" s="69" t="n">
        <v>-0.07</v>
      </c>
      <c r="CC89" s="69" t="n">
        <v>0.09</v>
      </c>
      <c r="CD89" s="69" t="n">
        <v>0.12</v>
      </c>
      <c r="CE89" s="69" t="n">
        <v>0.19</v>
      </c>
      <c r="CF89" s="69" t="n">
        <v>-0.19</v>
      </c>
      <c r="CG89" s="69" t="n">
        <v>0.13</v>
      </c>
      <c r="CH89" s="69" t="n">
        <v>1</v>
      </c>
      <c r="CI89" s="69" t="n">
        <v>-0.14</v>
      </c>
      <c r="CJ89" s="69" t="n">
        <v>-0.01</v>
      </c>
      <c r="CK89" s="69" t="n">
        <v>0.1</v>
      </c>
      <c r="CL89" s="69" t="n">
        <v>0.24</v>
      </c>
      <c r="CM89" s="69" t="n">
        <v>0.28</v>
      </c>
      <c r="CN89" s="69" t="n">
        <v>0.3</v>
      </c>
      <c r="CO89" s="69" t="n">
        <v>0.2</v>
      </c>
      <c r="CP89" s="69" t="n">
        <v>-0.01</v>
      </c>
      <c r="CQ89" s="69" t="n">
        <v>0.26</v>
      </c>
      <c r="CR89" s="69" t="n">
        <v>0.4</v>
      </c>
      <c r="CS89" s="69" t="n">
        <v>0.44</v>
      </c>
      <c r="CT89" s="69" t="n">
        <v>0.26</v>
      </c>
      <c r="CU89" s="69" t="n">
        <v>0.26</v>
      </c>
      <c r="CV89" s="69" t="n">
        <v>0.2</v>
      </c>
      <c r="CW89" s="69" t="n">
        <v>0.19</v>
      </c>
      <c r="CX89" s="69" t="n">
        <v>0.29</v>
      </c>
      <c r="CY89" s="69" t="n">
        <v>0.31</v>
      </c>
      <c r="CZ89" s="69" t="n">
        <v>0.05</v>
      </c>
      <c r="DA89" s="69" t="n">
        <v>-0.03</v>
      </c>
      <c r="DB89" s="69" t="n">
        <v>0.36</v>
      </c>
      <c r="DC89" s="69" t="n">
        <v>0.31</v>
      </c>
      <c r="DD89" s="69" t="n">
        <v>0.16</v>
      </c>
      <c r="DE89" s="69" t="n">
        <v>0.71</v>
      </c>
      <c r="DF89" s="69" t="n">
        <v>-0.11</v>
      </c>
      <c r="DG89" s="69" t="n">
        <v>0.58</v>
      </c>
      <c r="DH89" s="69" t="n">
        <v>0.28</v>
      </c>
      <c r="DI89" s="69" t="n">
        <v>0.24</v>
      </c>
      <c r="DJ89" s="69" t="n">
        <v>0.25</v>
      </c>
      <c r="DK89" s="69" t="n">
        <v>0.28</v>
      </c>
      <c r="DL89" s="69" t="n">
        <v>0.59</v>
      </c>
      <c r="DM89" s="69" t="n">
        <v>0.31</v>
      </c>
      <c r="DN89" s="69" t="n">
        <v>0.06</v>
      </c>
      <c r="DO89" s="69" t="n">
        <v>0.27</v>
      </c>
      <c r="DP89" s="69" t="n">
        <v>0.24</v>
      </c>
      <c r="DQ89" s="69" t="n">
        <v>0.17</v>
      </c>
      <c r="DR89" s="69" t="n">
        <v>0.4</v>
      </c>
      <c r="DS89" s="69" t="n">
        <v>-0.1</v>
      </c>
      <c r="DT89" s="69" t="n">
        <v>0.21</v>
      </c>
      <c r="DU89" s="69" t="n">
        <v>0.26</v>
      </c>
      <c r="DV89" s="69" t="n">
        <v>0.2</v>
      </c>
      <c r="DW89" s="69" t="n">
        <v>0.13</v>
      </c>
      <c r="DX89" s="69" t="n">
        <v>0.42</v>
      </c>
      <c r="DY89" s="69" t="n">
        <v>0.15</v>
      </c>
      <c r="DZ89" s="69" t="n">
        <v>-0.01</v>
      </c>
      <c r="EA89" s="69" t="n">
        <v>0.3</v>
      </c>
      <c r="EB89" s="69" t="n">
        <v>0.14</v>
      </c>
      <c r="EC89" s="69" t="n">
        <v>0.28</v>
      </c>
      <c r="ED89" s="69" t="n">
        <v>0.29</v>
      </c>
      <c r="EE89" s="69" t="n">
        <v>0.36</v>
      </c>
      <c r="EF89" s="69" t="n">
        <v>0.32</v>
      </c>
      <c r="EG89" s="69" t="n">
        <v>0.33</v>
      </c>
      <c r="EH89" s="69" t="n">
        <v>-0.07</v>
      </c>
      <c r="EI89" s="69" t="n">
        <v>0.37</v>
      </c>
      <c r="EJ89" s="69" t="n">
        <v>0.2</v>
      </c>
      <c r="EK89" s="69" t="n">
        <v>0.34</v>
      </c>
      <c r="EL89" s="69" t="n">
        <v>0.45</v>
      </c>
      <c r="EM89" s="69" t="n">
        <v>0.18</v>
      </c>
      <c r="EN89" s="69" t="n">
        <v>0.11</v>
      </c>
      <c r="EO89" s="69" t="n">
        <v>0.08</v>
      </c>
    </row>
    <row r="90" customFormat="false" ht="15" hidden="false" customHeight="false" outlineLevel="0" collapsed="false">
      <c r="A90" s="68" t="s">
        <v>312</v>
      </c>
      <c r="B90" s="69" t="n">
        <v>0.1</v>
      </c>
      <c r="C90" s="69" t="n">
        <v>-0.05</v>
      </c>
      <c r="D90" s="69" t="n">
        <v>-0.07</v>
      </c>
      <c r="E90" s="69" t="n">
        <v>-0.05</v>
      </c>
      <c r="F90" s="69" t="n">
        <v>0.19</v>
      </c>
      <c r="G90" s="69" t="n">
        <v>-0.02</v>
      </c>
      <c r="H90" s="69" t="n">
        <v>-0.12</v>
      </c>
      <c r="I90" s="69" t="n">
        <v>0.12</v>
      </c>
      <c r="J90" s="69" t="n">
        <v>0.15</v>
      </c>
      <c r="K90" s="69" t="n">
        <v>0.01</v>
      </c>
      <c r="L90" s="69" t="n">
        <v>-0.02</v>
      </c>
      <c r="M90" s="69" t="n">
        <v>-0.11</v>
      </c>
      <c r="N90" s="69" t="n">
        <v>0.08</v>
      </c>
      <c r="O90" s="69" t="n">
        <v>-0.04</v>
      </c>
      <c r="P90" s="69" t="n">
        <v>0.22</v>
      </c>
      <c r="Q90" s="69" t="n">
        <v>-0.05</v>
      </c>
      <c r="R90" s="69" t="n">
        <v>0.18</v>
      </c>
      <c r="S90" s="69" t="n">
        <v>-0.15</v>
      </c>
      <c r="T90" s="69" t="n">
        <v>-0.03</v>
      </c>
      <c r="U90" s="69" t="n">
        <v>-0.08</v>
      </c>
      <c r="V90" s="69" t="n">
        <v>-0.13</v>
      </c>
      <c r="W90" s="69" t="n">
        <v>-0.03</v>
      </c>
      <c r="X90" s="69" t="n">
        <v>0</v>
      </c>
      <c r="Y90" s="69" t="n">
        <v>0.05</v>
      </c>
      <c r="Z90" s="69" t="n">
        <v>-0.1</v>
      </c>
      <c r="AA90" s="69" t="n">
        <v>-0.14</v>
      </c>
      <c r="AB90" s="69" t="n">
        <v>0.04</v>
      </c>
      <c r="AC90" s="69" t="n">
        <v>0</v>
      </c>
      <c r="AD90" s="69" t="n">
        <v>0.01</v>
      </c>
      <c r="AE90" s="69" t="n">
        <v>-0.24</v>
      </c>
      <c r="AF90" s="69" t="n">
        <v>-0.1</v>
      </c>
      <c r="AG90" s="69" t="n">
        <v>0.26</v>
      </c>
      <c r="AH90" s="69" t="n">
        <v>0.25</v>
      </c>
      <c r="AI90" s="69" t="n">
        <v>0.76</v>
      </c>
      <c r="AJ90" s="69" t="n">
        <v>0</v>
      </c>
      <c r="AK90" s="69" t="n">
        <v>-0.18</v>
      </c>
      <c r="AL90" s="69" t="n">
        <v>-0.05</v>
      </c>
      <c r="AM90" s="69" t="n">
        <v>-0.13</v>
      </c>
      <c r="AN90" s="69" t="n">
        <v>-0.17</v>
      </c>
      <c r="AO90" s="69" t="n">
        <v>0.1</v>
      </c>
      <c r="AP90" s="69" t="n">
        <v>-0.06</v>
      </c>
      <c r="AQ90" s="69" t="n">
        <v>0.78</v>
      </c>
      <c r="AR90" s="69" t="n">
        <v>0.04</v>
      </c>
      <c r="AS90" s="69" t="n">
        <v>-0.2</v>
      </c>
      <c r="AT90" s="69" t="n">
        <v>-0.05</v>
      </c>
      <c r="AU90" s="69" t="n">
        <v>0.11</v>
      </c>
      <c r="AV90" s="69" t="n">
        <v>-0.03</v>
      </c>
      <c r="AW90" s="69" t="n">
        <v>-0.06</v>
      </c>
      <c r="AX90" s="69" t="n">
        <v>0.08</v>
      </c>
      <c r="AY90" s="69" t="n">
        <v>0.07</v>
      </c>
      <c r="AZ90" s="69" t="n">
        <v>-0.21</v>
      </c>
      <c r="BA90" s="69" t="n">
        <v>-0.01</v>
      </c>
      <c r="BB90" s="69" t="n">
        <v>-0.13</v>
      </c>
      <c r="BC90" s="69" t="n">
        <v>-0.04</v>
      </c>
      <c r="BD90" s="69" t="n">
        <v>-0.18</v>
      </c>
      <c r="BE90" s="69" t="n">
        <v>0.07</v>
      </c>
      <c r="BF90" s="69" t="n">
        <v>-0.04</v>
      </c>
      <c r="BG90" s="69" t="n">
        <v>-0.01</v>
      </c>
      <c r="BH90" s="69" t="n">
        <v>-0.15</v>
      </c>
      <c r="BI90" s="69" t="n">
        <v>0</v>
      </c>
      <c r="BJ90" s="69" t="n">
        <v>0.05</v>
      </c>
      <c r="BK90" s="69" t="n">
        <v>-0.14</v>
      </c>
      <c r="BL90" s="69" t="n">
        <v>0</v>
      </c>
      <c r="BM90" s="69" t="n">
        <v>0.07</v>
      </c>
      <c r="BN90" s="69" t="n">
        <v>0.07</v>
      </c>
      <c r="BO90" s="69" t="n">
        <v>-0.14</v>
      </c>
      <c r="BP90" s="69" t="n">
        <v>-0.02</v>
      </c>
      <c r="BQ90" s="69" t="n">
        <v>-0.17</v>
      </c>
      <c r="BR90" s="69" t="n">
        <v>0.01</v>
      </c>
      <c r="BS90" s="69" t="n">
        <v>0.81</v>
      </c>
      <c r="BT90" s="69" t="n">
        <v>-0.26</v>
      </c>
      <c r="BU90" s="69" t="n">
        <v>-0.11</v>
      </c>
      <c r="BV90" s="69" t="n">
        <v>-0.08</v>
      </c>
      <c r="BW90" s="69" t="n">
        <v>0.01</v>
      </c>
      <c r="BX90" s="69" t="n">
        <v>0.04</v>
      </c>
      <c r="BY90" s="69" t="n">
        <v>-0.09</v>
      </c>
      <c r="BZ90" s="69" t="n">
        <v>-0.19</v>
      </c>
      <c r="CA90" s="69" t="n">
        <v>-0.1</v>
      </c>
      <c r="CB90" s="69" t="n">
        <v>0.15</v>
      </c>
      <c r="CC90" s="69" t="n">
        <v>0.05</v>
      </c>
      <c r="CD90" s="69" t="n">
        <v>0.01</v>
      </c>
      <c r="CE90" s="69" t="n">
        <v>0.14</v>
      </c>
      <c r="CF90" s="69" t="n">
        <v>0.83</v>
      </c>
      <c r="CG90" s="69" t="n">
        <v>-0.08</v>
      </c>
      <c r="CH90" s="69" t="n">
        <v>-0.14</v>
      </c>
      <c r="CI90" s="69" t="n">
        <v>1</v>
      </c>
      <c r="CJ90" s="69" t="n">
        <v>0.08</v>
      </c>
      <c r="CK90" s="69" t="n">
        <v>0.04</v>
      </c>
      <c r="CL90" s="69" t="n">
        <v>-0.09</v>
      </c>
      <c r="CM90" s="69" t="n">
        <v>-0.09</v>
      </c>
      <c r="CN90" s="69" t="n">
        <v>0.03</v>
      </c>
      <c r="CO90" s="69" t="n">
        <v>-0.08</v>
      </c>
      <c r="CP90" s="69" t="n">
        <v>0.03</v>
      </c>
      <c r="CQ90" s="69" t="n">
        <v>-0.27</v>
      </c>
      <c r="CR90" s="69" t="n">
        <v>-0.16</v>
      </c>
      <c r="CS90" s="69" t="n">
        <v>-0.04</v>
      </c>
      <c r="CT90" s="69" t="n">
        <v>-0.07</v>
      </c>
      <c r="CU90" s="69" t="n">
        <v>-0.02</v>
      </c>
      <c r="CV90" s="69" t="n">
        <v>-0.16</v>
      </c>
      <c r="CW90" s="69" t="n">
        <v>-0.12</v>
      </c>
      <c r="CX90" s="69" t="n">
        <v>-0.12</v>
      </c>
      <c r="CY90" s="69" t="n">
        <v>-0.3</v>
      </c>
      <c r="CZ90" s="69" t="n">
        <v>0.08</v>
      </c>
      <c r="DA90" s="69" t="n">
        <v>0</v>
      </c>
      <c r="DB90" s="69" t="n">
        <v>-0.13</v>
      </c>
      <c r="DC90" s="69" t="n">
        <v>-0.33</v>
      </c>
      <c r="DD90" s="69" t="n">
        <v>-0.11</v>
      </c>
      <c r="DE90" s="69" t="n">
        <v>-0.1</v>
      </c>
      <c r="DF90" s="69" t="n">
        <v>0.13</v>
      </c>
      <c r="DG90" s="69" t="n">
        <v>-0.07</v>
      </c>
      <c r="DH90" s="69" t="n">
        <v>-0.06</v>
      </c>
      <c r="DI90" s="69" t="n">
        <v>-0.33</v>
      </c>
      <c r="DJ90" s="69" t="n">
        <v>-0.17</v>
      </c>
      <c r="DK90" s="69" t="n">
        <v>-0.33</v>
      </c>
      <c r="DL90" s="69" t="n">
        <v>-0.18</v>
      </c>
      <c r="DM90" s="69" t="n">
        <v>-0.29</v>
      </c>
      <c r="DN90" s="69" t="n">
        <v>0.05</v>
      </c>
      <c r="DO90" s="69" t="n">
        <v>0</v>
      </c>
      <c r="DP90" s="69" t="n">
        <v>-0.23</v>
      </c>
      <c r="DQ90" s="69" t="n">
        <v>-0.01</v>
      </c>
      <c r="DR90" s="69" t="n">
        <v>0.11</v>
      </c>
      <c r="DS90" s="69" t="n">
        <v>0.02</v>
      </c>
      <c r="DT90" s="69" t="n">
        <v>-0.03</v>
      </c>
      <c r="DU90" s="69" t="n">
        <v>-0.15</v>
      </c>
      <c r="DV90" s="69" t="n">
        <v>0.03</v>
      </c>
      <c r="DW90" s="69" t="n">
        <v>-0.12</v>
      </c>
      <c r="DX90" s="69" t="n">
        <v>-0.12</v>
      </c>
      <c r="DY90" s="69" t="n">
        <v>-0.15</v>
      </c>
      <c r="DZ90" s="69" t="n">
        <v>0.06</v>
      </c>
      <c r="EA90" s="69" t="n">
        <v>-0.12</v>
      </c>
      <c r="EB90" s="69" t="n">
        <v>-0.11</v>
      </c>
      <c r="EC90" s="69" t="n">
        <v>-0.04</v>
      </c>
      <c r="ED90" s="69" t="n">
        <v>-0.06</v>
      </c>
      <c r="EE90" s="69" t="n">
        <v>-0.11</v>
      </c>
      <c r="EF90" s="69" t="n">
        <v>0.01</v>
      </c>
      <c r="EG90" s="69" t="n">
        <v>-0.13</v>
      </c>
      <c r="EH90" s="69" t="n">
        <v>-0.11</v>
      </c>
      <c r="EI90" s="69" t="n">
        <v>-0.12</v>
      </c>
      <c r="EJ90" s="69" t="n">
        <v>-0.01</v>
      </c>
      <c r="EK90" s="69" t="n">
        <v>0.08</v>
      </c>
      <c r="EL90" s="69" t="n">
        <v>-0.13</v>
      </c>
      <c r="EM90" s="69" t="n">
        <v>-0.02</v>
      </c>
      <c r="EN90" s="69" t="n">
        <v>-0.01</v>
      </c>
      <c r="EO90" s="69" t="n">
        <v>-0.02</v>
      </c>
    </row>
    <row r="91" customFormat="false" ht="15" hidden="false" customHeight="false" outlineLevel="0" collapsed="false">
      <c r="A91" s="68" t="s">
        <v>314</v>
      </c>
      <c r="B91" s="69" t="n">
        <v>0.27</v>
      </c>
      <c r="C91" s="69" t="n">
        <v>-0.01</v>
      </c>
      <c r="D91" s="69" t="n">
        <v>0.05</v>
      </c>
      <c r="E91" s="69" t="n">
        <v>0.06</v>
      </c>
      <c r="F91" s="69" t="n">
        <v>0.3</v>
      </c>
      <c r="G91" s="69" t="n">
        <v>0.08</v>
      </c>
      <c r="H91" s="69" t="n">
        <v>-0.01</v>
      </c>
      <c r="I91" s="69" t="n">
        <v>0.25</v>
      </c>
      <c r="J91" s="69" t="n">
        <v>0.21</v>
      </c>
      <c r="K91" s="69" t="n">
        <v>0.18</v>
      </c>
      <c r="L91" s="69" t="n">
        <v>-0.02</v>
      </c>
      <c r="M91" s="69" t="n">
        <v>0.09</v>
      </c>
      <c r="N91" s="69" t="n">
        <v>0.26</v>
      </c>
      <c r="O91" s="69" t="n">
        <v>-0.03</v>
      </c>
      <c r="P91" s="69" t="n">
        <v>0.24</v>
      </c>
      <c r="Q91" s="69" t="n">
        <v>0.03</v>
      </c>
      <c r="R91" s="69" t="n">
        <v>0.31</v>
      </c>
      <c r="S91" s="69" t="n">
        <v>0.08</v>
      </c>
      <c r="T91" s="69" t="n">
        <v>0.09</v>
      </c>
      <c r="U91" s="69" t="n">
        <v>0.13</v>
      </c>
      <c r="V91" s="69" t="n">
        <v>-0.05</v>
      </c>
      <c r="W91" s="69" t="n">
        <v>0.02</v>
      </c>
      <c r="X91" s="69" t="n">
        <v>0.1</v>
      </c>
      <c r="Y91" s="69" t="n">
        <v>0.32</v>
      </c>
      <c r="Z91" s="69" t="n">
        <v>0.03</v>
      </c>
      <c r="AA91" s="69" t="n">
        <v>0.02</v>
      </c>
      <c r="AB91" s="69" t="n">
        <v>0.31</v>
      </c>
      <c r="AC91" s="69" t="n">
        <v>0.08</v>
      </c>
      <c r="AD91" s="69" t="n">
        <v>0.06</v>
      </c>
      <c r="AE91" s="69" t="n">
        <v>-0.01</v>
      </c>
      <c r="AF91" s="69" t="n">
        <v>-0.09</v>
      </c>
      <c r="AG91" s="69" t="n">
        <v>0.22</v>
      </c>
      <c r="AH91" s="69" t="n">
        <v>0.23</v>
      </c>
      <c r="AI91" s="69" t="n">
        <v>0.11</v>
      </c>
      <c r="AJ91" s="69" t="n">
        <v>-0.05</v>
      </c>
      <c r="AK91" s="69" t="n">
        <v>-0.02</v>
      </c>
      <c r="AL91" s="69" t="n">
        <v>0.22</v>
      </c>
      <c r="AM91" s="69" t="n">
        <v>0.09</v>
      </c>
      <c r="AN91" s="69" t="n">
        <v>0.13</v>
      </c>
      <c r="AO91" s="69" t="n">
        <v>0.18</v>
      </c>
      <c r="AP91" s="69" t="n">
        <v>0.34</v>
      </c>
      <c r="AQ91" s="69" t="n">
        <v>0.08</v>
      </c>
      <c r="AR91" s="69" t="n">
        <v>0.08</v>
      </c>
      <c r="AS91" s="69" t="n">
        <v>0.07</v>
      </c>
      <c r="AT91" s="69" t="n">
        <v>0.11</v>
      </c>
      <c r="AU91" s="69" t="n">
        <v>0.1</v>
      </c>
      <c r="AV91" s="69" t="n">
        <v>0.06</v>
      </c>
      <c r="AW91" s="69" t="n">
        <v>-0.03</v>
      </c>
      <c r="AX91" s="69" t="n">
        <v>0.22</v>
      </c>
      <c r="AY91" s="69" t="n">
        <v>0.12</v>
      </c>
      <c r="AZ91" s="69" t="n">
        <v>-0.07</v>
      </c>
      <c r="BA91" s="69" t="n">
        <v>0.05</v>
      </c>
      <c r="BB91" s="69" t="n">
        <v>0.07</v>
      </c>
      <c r="BC91" s="69" t="n">
        <v>-0.06</v>
      </c>
      <c r="BD91" s="69" t="n">
        <v>0.07</v>
      </c>
      <c r="BE91" s="69" t="n">
        <v>0.2</v>
      </c>
      <c r="BF91" s="69" t="n">
        <v>0</v>
      </c>
      <c r="BG91" s="69" t="n">
        <v>0.14</v>
      </c>
      <c r="BH91" s="69" t="n">
        <v>0.16</v>
      </c>
      <c r="BI91" s="69" t="n">
        <v>-0.03</v>
      </c>
      <c r="BJ91" s="69" t="n">
        <v>-0.04</v>
      </c>
      <c r="BK91" s="69" t="n">
        <v>-0.11</v>
      </c>
      <c r="BL91" s="69" t="n">
        <v>0.02</v>
      </c>
      <c r="BM91" s="69" t="n">
        <v>0.19</v>
      </c>
      <c r="BN91" s="69" t="n">
        <v>0.15</v>
      </c>
      <c r="BO91" s="69" t="n">
        <v>0.2</v>
      </c>
      <c r="BP91" s="69" t="n">
        <v>0.27</v>
      </c>
      <c r="BQ91" s="69" t="n">
        <v>-0.04</v>
      </c>
      <c r="BR91" s="69" t="n">
        <v>0.19</v>
      </c>
      <c r="BS91" s="69" t="n">
        <v>0.12</v>
      </c>
      <c r="BT91" s="69" t="n">
        <v>0.12</v>
      </c>
      <c r="BU91" s="69" t="n">
        <v>-0.03</v>
      </c>
      <c r="BV91" s="69" t="n">
        <v>0.25</v>
      </c>
      <c r="BW91" s="69" t="n">
        <v>0.2</v>
      </c>
      <c r="BX91" s="69" t="n">
        <v>0.14</v>
      </c>
      <c r="BY91" s="69" t="n">
        <v>0.06</v>
      </c>
      <c r="BZ91" s="69" t="n">
        <v>0.18</v>
      </c>
      <c r="CA91" s="69" t="n">
        <v>0.03</v>
      </c>
      <c r="CB91" s="69" t="n">
        <v>0.08</v>
      </c>
      <c r="CC91" s="69" t="n">
        <v>0.11</v>
      </c>
      <c r="CD91" s="69" t="n">
        <v>0.3</v>
      </c>
      <c r="CE91" s="69" t="n">
        <v>0.02</v>
      </c>
      <c r="CF91" s="69" t="n">
        <v>0.06</v>
      </c>
      <c r="CG91" s="69" t="n">
        <v>0.28</v>
      </c>
      <c r="CH91" s="69" t="n">
        <v>-0.01</v>
      </c>
      <c r="CI91" s="69" t="n">
        <v>0.08</v>
      </c>
      <c r="CJ91" s="69" t="n">
        <v>1</v>
      </c>
      <c r="CK91" s="69" t="n">
        <v>0.22</v>
      </c>
      <c r="CL91" s="69" t="n">
        <v>0.05</v>
      </c>
      <c r="CM91" s="69" t="n">
        <v>-0.01</v>
      </c>
      <c r="CN91" s="69" t="n">
        <v>-0.02</v>
      </c>
      <c r="CO91" s="69" t="n">
        <v>-0.09</v>
      </c>
      <c r="CP91" s="69" t="n">
        <v>0.18</v>
      </c>
      <c r="CQ91" s="69" t="n">
        <v>0.1</v>
      </c>
      <c r="CR91" s="69" t="n">
        <v>-0.03</v>
      </c>
      <c r="CS91" s="69" t="n">
        <v>-0.14</v>
      </c>
      <c r="CT91" s="69" t="n">
        <v>0.26</v>
      </c>
      <c r="CU91" s="69" t="n">
        <v>0.09</v>
      </c>
      <c r="CV91" s="69" t="n">
        <v>0.15</v>
      </c>
      <c r="CW91" s="69" t="n">
        <v>0.25</v>
      </c>
      <c r="CX91" s="69" t="n">
        <v>0.18</v>
      </c>
      <c r="CY91" s="69" t="n">
        <v>0</v>
      </c>
      <c r="CZ91" s="69" t="n">
        <v>0.13</v>
      </c>
      <c r="DA91" s="69" t="n">
        <v>0.28</v>
      </c>
      <c r="DB91" s="69" t="n">
        <v>0.08</v>
      </c>
      <c r="DC91" s="69" t="n">
        <v>-0.13</v>
      </c>
      <c r="DD91" s="69" t="n">
        <v>0.4</v>
      </c>
      <c r="DE91" s="69" t="n">
        <v>-0.01</v>
      </c>
      <c r="DF91" s="69" t="n">
        <v>0.22</v>
      </c>
      <c r="DG91" s="69" t="n">
        <v>0.12</v>
      </c>
      <c r="DH91" s="69" t="n">
        <v>0.02</v>
      </c>
      <c r="DI91" s="69" t="n">
        <v>0.09</v>
      </c>
      <c r="DJ91" s="69" t="n">
        <v>0.04</v>
      </c>
      <c r="DK91" s="69" t="n">
        <v>0.06</v>
      </c>
      <c r="DL91" s="69" t="n">
        <v>0.01</v>
      </c>
      <c r="DM91" s="69" t="n">
        <v>0.09</v>
      </c>
      <c r="DN91" s="69" t="n">
        <v>0.16</v>
      </c>
      <c r="DO91" s="69" t="n">
        <v>0.01</v>
      </c>
      <c r="DP91" s="69" t="n">
        <v>0.11</v>
      </c>
      <c r="DQ91" s="69" t="n">
        <v>-0.01</v>
      </c>
      <c r="DR91" s="69" t="n">
        <v>0.1</v>
      </c>
      <c r="DS91" s="69" t="n">
        <v>0.21</v>
      </c>
      <c r="DT91" s="69" t="n">
        <v>0.04</v>
      </c>
      <c r="DU91" s="69" t="n">
        <v>0.19</v>
      </c>
      <c r="DV91" s="69" t="n">
        <v>0.23</v>
      </c>
      <c r="DW91" s="69" t="n">
        <v>0.25</v>
      </c>
      <c r="DX91" s="69" t="n">
        <v>-0.13</v>
      </c>
      <c r="DY91" s="69" t="n">
        <v>0.21</v>
      </c>
      <c r="DZ91" s="69" t="n">
        <v>0.14</v>
      </c>
      <c r="EA91" s="69" t="n">
        <v>0.02</v>
      </c>
      <c r="EB91" s="69" t="n">
        <v>0.18</v>
      </c>
      <c r="EC91" s="69" t="n">
        <v>-0.03</v>
      </c>
      <c r="ED91" s="69" t="n">
        <v>0.17</v>
      </c>
      <c r="EE91" s="69" t="n">
        <v>-0.01</v>
      </c>
      <c r="EF91" s="69" t="n">
        <v>0.09</v>
      </c>
      <c r="EG91" s="69" t="n">
        <v>-0.05</v>
      </c>
      <c r="EH91" s="69" t="n">
        <v>0.31</v>
      </c>
      <c r="EI91" s="69" t="n">
        <v>-0.11</v>
      </c>
      <c r="EJ91" s="69" t="n">
        <v>0.09</v>
      </c>
      <c r="EK91" s="69" t="n">
        <v>0.14</v>
      </c>
      <c r="EL91" s="69" t="n">
        <v>-0.03</v>
      </c>
      <c r="EM91" s="69" t="n">
        <v>0.08</v>
      </c>
      <c r="EN91" s="69" t="n">
        <v>0.14</v>
      </c>
      <c r="EO91" s="69" t="n">
        <v>0.14</v>
      </c>
    </row>
    <row r="92" customFormat="false" ht="15" hidden="false" customHeight="false" outlineLevel="0" collapsed="false">
      <c r="A92" s="68" t="s">
        <v>315</v>
      </c>
      <c r="B92" s="69" t="n">
        <v>0.33</v>
      </c>
      <c r="C92" s="69" t="n">
        <v>-0.06</v>
      </c>
      <c r="D92" s="69" t="n">
        <v>0.02</v>
      </c>
      <c r="E92" s="69" t="n">
        <v>0.12</v>
      </c>
      <c r="F92" s="69" t="n">
        <v>0.26</v>
      </c>
      <c r="G92" s="69" t="n">
        <v>-0.1</v>
      </c>
      <c r="H92" s="69" t="n">
        <v>0.02</v>
      </c>
      <c r="I92" s="69" t="n">
        <v>0.33</v>
      </c>
      <c r="J92" s="69" t="n">
        <v>0.22</v>
      </c>
      <c r="K92" s="69" t="n">
        <v>0.35</v>
      </c>
      <c r="L92" s="69" t="n">
        <v>0.04</v>
      </c>
      <c r="M92" s="69" t="n">
        <v>0.31</v>
      </c>
      <c r="N92" s="69" t="n">
        <v>0.31</v>
      </c>
      <c r="O92" s="69" t="n">
        <v>-0.04</v>
      </c>
      <c r="P92" s="69" t="n">
        <v>0.26</v>
      </c>
      <c r="Q92" s="69" t="n">
        <v>0</v>
      </c>
      <c r="R92" s="69" t="n">
        <v>0.34</v>
      </c>
      <c r="S92" s="69" t="n">
        <v>0.09</v>
      </c>
      <c r="T92" s="69" t="n">
        <v>0.23</v>
      </c>
      <c r="U92" s="69" t="n">
        <v>0.13</v>
      </c>
      <c r="V92" s="69" t="n">
        <v>0.1</v>
      </c>
      <c r="W92" s="69" t="n">
        <v>0.03</v>
      </c>
      <c r="X92" s="69" t="n">
        <v>0.2</v>
      </c>
      <c r="Y92" s="69" t="n">
        <v>0.32</v>
      </c>
      <c r="Z92" s="69" t="n">
        <v>0.06</v>
      </c>
      <c r="AA92" s="69" t="n">
        <v>0</v>
      </c>
      <c r="AB92" s="69" t="n">
        <v>0.38</v>
      </c>
      <c r="AC92" s="69" t="n">
        <v>-0.03</v>
      </c>
      <c r="AD92" s="69" t="n">
        <v>0.04</v>
      </c>
      <c r="AE92" s="69" t="n">
        <v>0.05</v>
      </c>
      <c r="AF92" s="69" t="n">
        <v>-0.04</v>
      </c>
      <c r="AG92" s="69" t="n">
        <v>0.14</v>
      </c>
      <c r="AH92" s="69" t="n">
        <v>0.18</v>
      </c>
      <c r="AI92" s="69" t="n">
        <v>0.11</v>
      </c>
      <c r="AJ92" s="69" t="n">
        <v>0.04</v>
      </c>
      <c r="AK92" s="69" t="n">
        <v>0.07</v>
      </c>
      <c r="AL92" s="69" t="n">
        <v>0.28</v>
      </c>
      <c r="AM92" s="69" t="n">
        <v>-0.04</v>
      </c>
      <c r="AN92" s="69" t="n">
        <v>0.46</v>
      </c>
      <c r="AO92" s="69" t="n">
        <v>0.12</v>
      </c>
      <c r="AP92" s="69" t="n">
        <v>0.42</v>
      </c>
      <c r="AQ92" s="69" t="n">
        <v>0.08</v>
      </c>
      <c r="AR92" s="69" t="n">
        <v>0.19</v>
      </c>
      <c r="AS92" s="69" t="n">
        <v>0.04</v>
      </c>
      <c r="AT92" s="69" t="n">
        <v>0.38</v>
      </c>
      <c r="AU92" s="69" t="n">
        <v>0.2</v>
      </c>
      <c r="AV92" s="69" t="n">
        <v>0.13</v>
      </c>
      <c r="AW92" s="69" t="n">
        <v>0.19</v>
      </c>
      <c r="AX92" s="69" t="n">
        <v>0.18</v>
      </c>
      <c r="AY92" s="69" t="n">
        <v>0.31</v>
      </c>
      <c r="AZ92" s="69" t="n">
        <v>0.09</v>
      </c>
      <c r="BA92" s="69" t="n">
        <v>0.31</v>
      </c>
      <c r="BB92" s="69" t="n">
        <v>0.2</v>
      </c>
      <c r="BC92" s="69" t="n">
        <v>0.04</v>
      </c>
      <c r="BD92" s="69" t="n">
        <v>0.04</v>
      </c>
      <c r="BE92" s="69" t="n">
        <v>0.19</v>
      </c>
      <c r="BF92" s="69" t="n">
        <v>0.12</v>
      </c>
      <c r="BG92" s="69" t="n">
        <v>0.28</v>
      </c>
      <c r="BH92" s="69" t="n">
        <v>0.11</v>
      </c>
      <c r="BI92" s="69" t="n">
        <v>0.08</v>
      </c>
      <c r="BJ92" s="69" t="n">
        <v>-0.05</v>
      </c>
      <c r="BK92" s="69" t="n">
        <v>0.03</v>
      </c>
      <c r="BL92" s="69" t="n">
        <v>0.17</v>
      </c>
      <c r="BM92" s="69" t="n">
        <v>0.4</v>
      </c>
      <c r="BN92" s="69" t="n">
        <v>0.12</v>
      </c>
      <c r="BO92" s="69" t="n">
        <v>0.18</v>
      </c>
      <c r="BP92" s="69" t="n">
        <v>0.17</v>
      </c>
      <c r="BQ92" s="69" t="n">
        <v>0.12</v>
      </c>
      <c r="BR92" s="69" t="n">
        <v>0.38</v>
      </c>
      <c r="BS92" s="69" t="n">
        <v>0.04</v>
      </c>
      <c r="BT92" s="69" t="n">
        <v>0.16</v>
      </c>
      <c r="BU92" s="69" t="n">
        <v>0.11</v>
      </c>
      <c r="BV92" s="69" t="n">
        <v>0.22</v>
      </c>
      <c r="BW92" s="69" t="n">
        <v>0.29</v>
      </c>
      <c r="BX92" s="69" t="n">
        <v>0.19</v>
      </c>
      <c r="BY92" s="69" t="n">
        <v>0.32</v>
      </c>
      <c r="BZ92" s="69" t="n">
        <v>0.18</v>
      </c>
      <c r="CA92" s="69" t="n">
        <v>0.05</v>
      </c>
      <c r="CB92" s="69" t="n">
        <v>0.12</v>
      </c>
      <c r="CC92" s="69" t="n">
        <v>0.18</v>
      </c>
      <c r="CD92" s="69" t="n">
        <v>0.24</v>
      </c>
      <c r="CE92" s="69" t="n">
        <v>0.05</v>
      </c>
      <c r="CF92" s="69" t="n">
        <v>0.01</v>
      </c>
      <c r="CG92" s="69" t="n">
        <v>0.39</v>
      </c>
      <c r="CH92" s="69" t="n">
        <v>0.1</v>
      </c>
      <c r="CI92" s="69" t="n">
        <v>0.04</v>
      </c>
      <c r="CJ92" s="69" t="n">
        <v>0.22</v>
      </c>
      <c r="CK92" s="69" t="n">
        <v>1</v>
      </c>
      <c r="CL92" s="69" t="n">
        <v>0.27</v>
      </c>
      <c r="CM92" s="69" t="n">
        <v>0.03</v>
      </c>
      <c r="CN92" s="69" t="n">
        <v>0.05</v>
      </c>
      <c r="CO92" s="69" t="n">
        <v>0.21</v>
      </c>
      <c r="CP92" s="69" t="n">
        <v>0.18</v>
      </c>
      <c r="CQ92" s="69" t="n">
        <v>0.36</v>
      </c>
      <c r="CR92" s="69" t="n">
        <v>0.06</v>
      </c>
      <c r="CS92" s="69" t="n">
        <v>0.02</v>
      </c>
      <c r="CT92" s="69" t="n">
        <v>0.21</v>
      </c>
      <c r="CU92" s="69" t="n">
        <v>0.15</v>
      </c>
      <c r="CV92" s="69" t="n">
        <v>0.23</v>
      </c>
      <c r="CW92" s="69" t="n">
        <v>0.27</v>
      </c>
      <c r="CX92" s="69" t="n">
        <v>0.21</v>
      </c>
      <c r="CY92" s="69" t="n">
        <v>0.31</v>
      </c>
      <c r="CZ92" s="69" t="n">
        <v>0.2</v>
      </c>
      <c r="DA92" s="69" t="n">
        <v>0.24</v>
      </c>
      <c r="DB92" s="69" t="n">
        <v>0.16</v>
      </c>
      <c r="DC92" s="69" t="n">
        <v>0.1</v>
      </c>
      <c r="DD92" s="69" t="n">
        <v>0.29</v>
      </c>
      <c r="DE92" s="69" t="n">
        <v>0.05</v>
      </c>
      <c r="DF92" s="69" t="n">
        <v>0.21</v>
      </c>
      <c r="DG92" s="69" t="n">
        <v>0.09</v>
      </c>
      <c r="DH92" s="69" t="n">
        <v>-0.01</v>
      </c>
      <c r="DI92" s="69" t="n">
        <v>0.3</v>
      </c>
      <c r="DJ92" s="69" t="n">
        <v>0.29</v>
      </c>
      <c r="DK92" s="69" t="n">
        <v>0.3</v>
      </c>
      <c r="DL92" s="69" t="n">
        <v>-0.06</v>
      </c>
      <c r="DM92" s="69" t="n">
        <v>0.29</v>
      </c>
      <c r="DN92" s="69" t="n">
        <v>0.26</v>
      </c>
      <c r="DO92" s="69" t="n">
        <v>0.17</v>
      </c>
      <c r="DP92" s="69" t="n">
        <v>0.28</v>
      </c>
      <c r="DQ92" s="69" t="n">
        <v>0.11</v>
      </c>
      <c r="DR92" s="69" t="n">
        <v>-0.06</v>
      </c>
      <c r="DS92" s="69" t="n">
        <v>0.17</v>
      </c>
      <c r="DT92" s="69" t="n">
        <v>0.05</v>
      </c>
      <c r="DU92" s="69" t="n">
        <v>0.19</v>
      </c>
      <c r="DV92" s="69" t="n">
        <v>0.08</v>
      </c>
      <c r="DW92" s="69" t="n">
        <v>0.29</v>
      </c>
      <c r="DX92" s="69" t="n">
        <v>-0.01</v>
      </c>
      <c r="DY92" s="69" t="n">
        <v>0.29</v>
      </c>
      <c r="DZ92" s="69" t="n">
        <v>0.08</v>
      </c>
      <c r="EA92" s="69" t="n">
        <v>0.23</v>
      </c>
      <c r="EB92" s="69" t="n">
        <v>0.3</v>
      </c>
      <c r="EC92" s="69" t="n">
        <v>-0.04</v>
      </c>
      <c r="ED92" s="69" t="n">
        <v>0.19</v>
      </c>
      <c r="EE92" s="69" t="n">
        <v>-0.02</v>
      </c>
      <c r="EF92" s="69" t="n">
        <v>0.13</v>
      </c>
      <c r="EG92" s="69" t="n">
        <v>-0.01</v>
      </c>
      <c r="EH92" s="69" t="n">
        <v>0.18</v>
      </c>
      <c r="EI92" s="69" t="n">
        <v>-0.09</v>
      </c>
      <c r="EJ92" s="69" t="n">
        <v>0.19</v>
      </c>
      <c r="EK92" s="69" t="n">
        <v>0.02</v>
      </c>
      <c r="EL92" s="69" t="n">
        <v>-0.03</v>
      </c>
      <c r="EM92" s="69" t="n">
        <v>0.13</v>
      </c>
      <c r="EN92" s="69" t="n">
        <v>0.13</v>
      </c>
      <c r="EO92" s="69" t="n">
        <v>0.12</v>
      </c>
    </row>
    <row r="93" customFormat="false" ht="15" hidden="false" customHeight="false" outlineLevel="0" collapsed="false">
      <c r="A93" s="68" t="s">
        <v>317</v>
      </c>
      <c r="B93" s="69" t="n">
        <v>0.11</v>
      </c>
      <c r="C93" s="69" t="n">
        <v>0.01</v>
      </c>
      <c r="D93" s="69" t="n">
        <v>0</v>
      </c>
      <c r="E93" s="69" t="n">
        <v>0</v>
      </c>
      <c r="F93" s="69" t="n">
        <v>0.14</v>
      </c>
      <c r="G93" s="69" t="n">
        <v>0.07</v>
      </c>
      <c r="H93" s="69" t="n">
        <v>0.22</v>
      </c>
      <c r="I93" s="69" t="n">
        <v>0.1</v>
      </c>
      <c r="J93" s="69" t="n">
        <v>0.11</v>
      </c>
      <c r="K93" s="69" t="n">
        <v>0.16</v>
      </c>
      <c r="L93" s="69" t="n">
        <v>0.05</v>
      </c>
      <c r="M93" s="69" t="n">
        <v>0.33</v>
      </c>
      <c r="N93" s="69" t="n">
        <v>0.26</v>
      </c>
      <c r="O93" s="69" t="n">
        <v>0.04</v>
      </c>
      <c r="P93" s="69" t="n">
        <v>0.05</v>
      </c>
      <c r="Q93" s="69" t="n">
        <v>-0.01</v>
      </c>
      <c r="R93" s="69" t="n">
        <v>0.11</v>
      </c>
      <c r="S93" s="69" t="n">
        <v>-0.04</v>
      </c>
      <c r="T93" s="69" t="n">
        <v>0.21</v>
      </c>
      <c r="U93" s="69" t="n">
        <v>0.14</v>
      </c>
      <c r="V93" s="69" t="n">
        <v>0.1</v>
      </c>
      <c r="W93" s="69" t="n">
        <v>-0.07</v>
      </c>
      <c r="X93" s="69" t="n">
        <v>0.2</v>
      </c>
      <c r="Y93" s="69" t="n">
        <v>0.07</v>
      </c>
      <c r="Z93" s="69" t="n">
        <v>0.11</v>
      </c>
      <c r="AA93" s="69" t="n">
        <v>0.21</v>
      </c>
      <c r="AB93" s="69" t="n">
        <v>0.07</v>
      </c>
      <c r="AC93" s="69" t="n">
        <v>0.04</v>
      </c>
      <c r="AD93" s="69" t="n">
        <v>0.1</v>
      </c>
      <c r="AE93" s="69" t="n">
        <v>0.1</v>
      </c>
      <c r="AF93" s="69" t="n">
        <v>0.02</v>
      </c>
      <c r="AG93" s="69" t="n">
        <v>0.07</v>
      </c>
      <c r="AH93" s="69" t="n">
        <v>0.08</v>
      </c>
      <c r="AI93" s="69" t="n">
        <v>-0.11</v>
      </c>
      <c r="AJ93" s="69" t="n">
        <v>0.05</v>
      </c>
      <c r="AK93" s="69" t="n">
        <v>0.09</v>
      </c>
      <c r="AL93" s="69" t="n">
        <v>0.25</v>
      </c>
      <c r="AM93" s="69" t="n">
        <v>0.15</v>
      </c>
      <c r="AN93" s="69" t="n">
        <v>0.3</v>
      </c>
      <c r="AO93" s="69" t="n">
        <v>0.14</v>
      </c>
      <c r="AP93" s="69" t="n">
        <v>0.22</v>
      </c>
      <c r="AQ93" s="69" t="n">
        <v>-0.17</v>
      </c>
      <c r="AR93" s="69" t="n">
        <v>0.19</v>
      </c>
      <c r="AS93" s="69" t="n">
        <v>0.12</v>
      </c>
      <c r="AT93" s="69" t="n">
        <v>0.29</v>
      </c>
      <c r="AU93" s="69" t="n">
        <v>0.09</v>
      </c>
      <c r="AV93" s="69" t="n">
        <v>0.06</v>
      </c>
      <c r="AW93" s="69" t="n">
        <v>0.12</v>
      </c>
      <c r="AX93" s="69" t="n">
        <v>0.18</v>
      </c>
      <c r="AY93" s="69" t="n">
        <v>0.2</v>
      </c>
      <c r="AZ93" s="69" t="n">
        <v>0.12</v>
      </c>
      <c r="BA93" s="69" t="n">
        <v>0.34</v>
      </c>
      <c r="BB93" s="69" t="n">
        <v>0.21</v>
      </c>
      <c r="BC93" s="69" t="n">
        <v>0.07</v>
      </c>
      <c r="BD93" s="69" t="n">
        <v>0.04</v>
      </c>
      <c r="BE93" s="69" t="n">
        <v>0.31</v>
      </c>
      <c r="BF93" s="69" t="n">
        <v>0.03</v>
      </c>
      <c r="BG93" s="69" t="n">
        <v>0.21</v>
      </c>
      <c r="BH93" s="69" t="n">
        <v>0.11</v>
      </c>
      <c r="BI93" s="69" t="n">
        <v>0.02</v>
      </c>
      <c r="BJ93" s="69" t="n">
        <v>-0.12</v>
      </c>
      <c r="BK93" s="69" t="n">
        <v>0.05</v>
      </c>
      <c r="BL93" s="69" t="n">
        <v>0.28</v>
      </c>
      <c r="BM93" s="69" t="n">
        <v>0.27</v>
      </c>
      <c r="BN93" s="69" t="n">
        <v>0.11</v>
      </c>
      <c r="BO93" s="69" t="n">
        <v>0.24</v>
      </c>
      <c r="BP93" s="69" t="n">
        <v>0.04</v>
      </c>
      <c r="BQ93" s="69" t="n">
        <v>0.28</v>
      </c>
      <c r="BR93" s="69" t="n">
        <v>0.24</v>
      </c>
      <c r="BS93" s="69" t="n">
        <v>-0.04</v>
      </c>
      <c r="BT93" s="69" t="n">
        <v>0.29</v>
      </c>
      <c r="BU93" s="69" t="n">
        <v>0.13</v>
      </c>
      <c r="BV93" s="69" t="n">
        <v>0.22</v>
      </c>
      <c r="BW93" s="69" t="n">
        <v>0.18</v>
      </c>
      <c r="BX93" s="69" t="n">
        <v>0.15</v>
      </c>
      <c r="BY93" s="69" t="n">
        <v>0.6</v>
      </c>
      <c r="BZ93" s="69" t="n">
        <v>0.26</v>
      </c>
      <c r="CA93" s="69" t="n">
        <v>0.09</v>
      </c>
      <c r="CB93" s="69" t="n">
        <v>-0.07</v>
      </c>
      <c r="CC93" s="69" t="n">
        <v>0.06</v>
      </c>
      <c r="CD93" s="69" t="n">
        <v>0.13</v>
      </c>
      <c r="CE93" s="69" t="n">
        <v>0.19</v>
      </c>
      <c r="CF93" s="69" t="n">
        <v>-0.1</v>
      </c>
      <c r="CG93" s="69" t="n">
        <v>0.24</v>
      </c>
      <c r="CH93" s="69" t="n">
        <v>0.24</v>
      </c>
      <c r="CI93" s="69" t="n">
        <v>-0.09</v>
      </c>
      <c r="CJ93" s="69" t="n">
        <v>0.05</v>
      </c>
      <c r="CK93" s="69" t="n">
        <v>0.27</v>
      </c>
      <c r="CL93" s="69" t="n">
        <v>1</v>
      </c>
      <c r="CM93" s="69" t="n">
        <v>0.2</v>
      </c>
      <c r="CN93" s="69" t="n">
        <v>0.05</v>
      </c>
      <c r="CO93" s="69" t="n">
        <v>0.07</v>
      </c>
      <c r="CP93" s="69" t="n">
        <v>0.03</v>
      </c>
      <c r="CQ93" s="69" t="n">
        <v>0.42</v>
      </c>
      <c r="CR93" s="69" t="n">
        <v>0.26</v>
      </c>
      <c r="CS93" s="69" t="n">
        <v>0.26</v>
      </c>
      <c r="CT93" s="69" t="n">
        <v>0.16</v>
      </c>
      <c r="CU93" s="69" t="n">
        <v>0.2</v>
      </c>
      <c r="CV93" s="69" t="n">
        <v>0.22</v>
      </c>
      <c r="CW93" s="69" t="n">
        <v>0.24</v>
      </c>
      <c r="CX93" s="69" t="n">
        <v>0.26</v>
      </c>
      <c r="CY93" s="69" t="n">
        <v>0.34</v>
      </c>
      <c r="CZ93" s="69" t="n">
        <v>0.13</v>
      </c>
      <c r="DA93" s="69" t="n">
        <v>0.18</v>
      </c>
      <c r="DB93" s="69" t="n">
        <v>0.27</v>
      </c>
      <c r="DC93" s="69" t="n">
        <v>0.19</v>
      </c>
      <c r="DD93" s="69" t="n">
        <v>0.21</v>
      </c>
      <c r="DE93" s="69" t="n">
        <v>0.25</v>
      </c>
      <c r="DF93" s="69" t="n">
        <v>0.09</v>
      </c>
      <c r="DG93" s="69" t="n">
        <v>0.21</v>
      </c>
      <c r="DH93" s="69" t="n">
        <v>0.17</v>
      </c>
      <c r="DI93" s="69" t="n">
        <v>0.41</v>
      </c>
      <c r="DJ93" s="69" t="n">
        <v>0.34</v>
      </c>
      <c r="DK93" s="69" t="n">
        <v>0.42</v>
      </c>
      <c r="DL93" s="69" t="n">
        <v>0.14</v>
      </c>
      <c r="DM93" s="69" t="n">
        <v>0.4</v>
      </c>
      <c r="DN93" s="69" t="n">
        <v>0.2</v>
      </c>
      <c r="DO93" s="69" t="n">
        <v>0.28</v>
      </c>
      <c r="DP93" s="69" t="n">
        <v>0.39</v>
      </c>
      <c r="DQ93" s="69" t="n">
        <v>0.28</v>
      </c>
      <c r="DR93" s="69" t="n">
        <v>0.21</v>
      </c>
      <c r="DS93" s="69" t="n">
        <v>-0.01</v>
      </c>
      <c r="DT93" s="69" t="n">
        <v>0.15</v>
      </c>
      <c r="DU93" s="69" t="n">
        <v>0.25</v>
      </c>
      <c r="DV93" s="69" t="n">
        <v>0.07</v>
      </c>
      <c r="DW93" s="69" t="n">
        <v>0.15</v>
      </c>
      <c r="DX93" s="69" t="n">
        <v>0.16</v>
      </c>
      <c r="DY93" s="69" t="n">
        <v>0.24</v>
      </c>
      <c r="DZ93" s="69" t="n">
        <v>0.02</v>
      </c>
      <c r="EA93" s="69" t="n">
        <v>0.22</v>
      </c>
      <c r="EB93" s="69" t="n">
        <v>0.28</v>
      </c>
      <c r="EC93" s="69" t="n">
        <v>0.05</v>
      </c>
      <c r="ED93" s="69" t="n">
        <v>0.28</v>
      </c>
      <c r="EE93" s="69" t="n">
        <v>0.25</v>
      </c>
      <c r="EF93" s="69" t="n">
        <v>0.19</v>
      </c>
      <c r="EG93" s="69" t="n">
        <v>0.12</v>
      </c>
      <c r="EH93" s="69" t="n">
        <v>0.13</v>
      </c>
      <c r="EI93" s="69" t="n">
        <v>0.24</v>
      </c>
      <c r="EJ93" s="69" t="n">
        <v>0.32</v>
      </c>
      <c r="EK93" s="69" t="n">
        <v>0.21</v>
      </c>
      <c r="EL93" s="69" t="n">
        <v>0.2</v>
      </c>
      <c r="EM93" s="69" t="n">
        <v>0.23</v>
      </c>
      <c r="EN93" s="69" t="n">
        <v>0.16</v>
      </c>
      <c r="EO93" s="69" t="n">
        <v>0.14</v>
      </c>
    </row>
    <row r="94" customFormat="false" ht="15" hidden="false" customHeight="false" outlineLevel="0" collapsed="false">
      <c r="A94" s="68" t="s">
        <v>165</v>
      </c>
      <c r="B94" s="69" t="n">
        <v>-0.14</v>
      </c>
      <c r="C94" s="69" t="n">
        <v>-0.07</v>
      </c>
      <c r="D94" s="69" t="n">
        <v>0.06</v>
      </c>
      <c r="E94" s="69" t="n">
        <v>-0.03</v>
      </c>
      <c r="F94" s="69" t="n">
        <v>-0.19</v>
      </c>
      <c r="G94" s="69" t="n">
        <v>-0.01</v>
      </c>
      <c r="H94" s="69" t="n">
        <v>0.04</v>
      </c>
      <c r="I94" s="69" t="n">
        <v>-0.15</v>
      </c>
      <c r="J94" s="69" t="n">
        <v>-0.13</v>
      </c>
      <c r="K94" s="69" t="n">
        <v>-0.14</v>
      </c>
      <c r="L94" s="69" t="n">
        <v>0.05</v>
      </c>
      <c r="M94" s="69" t="n">
        <v>0.22</v>
      </c>
      <c r="N94" s="69" t="n">
        <v>-0.01</v>
      </c>
      <c r="O94" s="69" t="n">
        <v>-0.04</v>
      </c>
      <c r="P94" s="69" t="n">
        <v>-0.14</v>
      </c>
      <c r="Q94" s="69" t="n">
        <v>0.07</v>
      </c>
      <c r="R94" s="69" t="n">
        <v>-0.18</v>
      </c>
      <c r="S94" s="69" t="n">
        <v>-0.01</v>
      </c>
      <c r="T94" s="69" t="n">
        <v>0.17</v>
      </c>
      <c r="U94" s="69" t="n">
        <v>0.14</v>
      </c>
      <c r="V94" s="69" t="n">
        <v>-0.02</v>
      </c>
      <c r="W94" s="69" t="n">
        <v>-0.12</v>
      </c>
      <c r="X94" s="69" t="n">
        <v>0.19</v>
      </c>
      <c r="Y94" s="69" t="n">
        <v>-0.04</v>
      </c>
      <c r="Z94" s="69" t="n">
        <v>0.07</v>
      </c>
      <c r="AA94" s="69" t="n">
        <v>-0.07</v>
      </c>
      <c r="AB94" s="69" t="n">
        <v>-0.04</v>
      </c>
      <c r="AC94" s="69" t="n">
        <v>-0.01</v>
      </c>
      <c r="AD94" s="69" t="n">
        <v>0.01</v>
      </c>
      <c r="AE94" s="69" t="n">
        <v>0.11</v>
      </c>
      <c r="AF94" s="69" t="n">
        <v>0.14</v>
      </c>
      <c r="AG94" s="69" t="n">
        <v>-0.19</v>
      </c>
      <c r="AH94" s="69" t="n">
        <v>-0.19</v>
      </c>
      <c r="AI94" s="69" t="n">
        <v>-0.13</v>
      </c>
      <c r="AJ94" s="69" t="n">
        <v>0.02</v>
      </c>
      <c r="AK94" s="69" t="n">
        <v>0.13</v>
      </c>
      <c r="AL94" s="69" t="n">
        <v>0.13</v>
      </c>
      <c r="AM94" s="69" t="n">
        <v>0.08</v>
      </c>
      <c r="AN94" s="69" t="n">
        <v>0.06</v>
      </c>
      <c r="AO94" s="69" t="n">
        <v>-0.1</v>
      </c>
      <c r="AP94" s="69" t="n">
        <v>0.13</v>
      </c>
      <c r="AQ94" s="69" t="n">
        <v>-0.14</v>
      </c>
      <c r="AR94" s="69" t="n">
        <v>0.14</v>
      </c>
      <c r="AS94" s="69" t="n">
        <v>0.15</v>
      </c>
      <c r="AT94" s="69" t="n">
        <v>0.19</v>
      </c>
      <c r="AU94" s="69" t="n">
        <v>-0.08</v>
      </c>
      <c r="AV94" s="69" t="n">
        <v>0.05</v>
      </c>
      <c r="AW94" s="69" t="n">
        <v>0.13</v>
      </c>
      <c r="AX94" s="69" t="n">
        <v>-0.08</v>
      </c>
      <c r="AY94" s="69" t="n">
        <v>0.03</v>
      </c>
      <c r="AZ94" s="69" t="n">
        <v>0.16</v>
      </c>
      <c r="BA94" s="69" t="n">
        <v>0.12</v>
      </c>
      <c r="BB94" s="69" t="n">
        <v>0.36</v>
      </c>
      <c r="BC94" s="69" t="n">
        <v>0.1</v>
      </c>
      <c r="BD94" s="69" t="n">
        <v>0.12</v>
      </c>
      <c r="BE94" s="69" t="n">
        <v>-0.11</v>
      </c>
      <c r="BF94" s="69" t="n">
        <v>0.04</v>
      </c>
      <c r="BG94" s="69" t="n">
        <v>0.15</v>
      </c>
      <c r="BH94" s="69" t="n">
        <v>0.13</v>
      </c>
      <c r="BI94" s="69" t="n">
        <v>-0.05</v>
      </c>
      <c r="BJ94" s="69" t="n">
        <v>-0.07</v>
      </c>
      <c r="BK94" s="69" t="n">
        <v>0.1</v>
      </c>
      <c r="BL94" s="69" t="n">
        <v>0.32</v>
      </c>
      <c r="BM94" s="69" t="n">
        <v>0.03</v>
      </c>
      <c r="BN94" s="69" t="n">
        <v>0.03</v>
      </c>
      <c r="BO94" s="69" t="n">
        <v>0.28</v>
      </c>
      <c r="BP94" s="69" t="n">
        <v>0.28</v>
      </c>
      <c r="BQ94" s="69" t="n">
        <v>0.24</v>
      </c>
      <c r="BR94" s="69" t="n">
        <v>0.16</v>
      </c>
      <c r="BS94" s="69" t="n">
        <v>-0.05</v>
      </c>
      <c r="BT94" s="69" t="n">
        <v>0.3</v>
      </c>
      <c r="BU94" s="69" t="n">
        <v>0.18</v>
      </c>
      <c r="BV94" s="69" t="n">
        <v>0.27</v>
      </c>
      <c r="BW94" s="69" t="n">
        <v>0.12</v>
      </c>
      <c r="BX94" s="69" t="n">
        <v>-0.04</v>
      </c>
      <c r="BY94" s="69" t="n">
        <v>0.2</v>
      </c>
      <c r="BZ94" s="69" t="n">
        <v>0.26</v>
      </c>
      <c r="CA94" s="69" t="n">
        <v>0.07</v>
      </c>
      <c r="CB94" s="69" t="n">
        <v>-0.12</v>
      </c>
      <c r="CC94" s="69" t="n">
        <v>0.03</v>
      </c>
      <c r="CD94" s="69" t="n">
        <v>0.19</v>
      </c>
      <c r="CE94" s="69" t="n">
        <v>0.3</v>
      </c>
      <c r="CF94" s="69" t="n">
        <v>-0.12</v>
      </c>
      <c r="CG94" s="69" t="n">
        <v>0.15</v>
      </c>
      <c r="CH94" s="69" t="n">
        <v>0.28</v>
      </c>
      <c r="CI94" s="69" t="n">
        <v>-0.09</v>
      </c>
      <c r="CJ94" s="69" t="n">
        <v>-0.01</v>
      </c>
      <c r="CK94" s="69" t="n">
        <v>0.03</v>
      </c>
      <c r="CL94" s="69" t="n">
        <v>0.2</v>
      </c>
      <c r="CM94" s="69" t="n">
        <v>1</v>
      </c>
      <c r="CN94" s="69" t="n">
        <v>0.08</v>
      </c>
      <c r="CO94" s="69" t="n">
        <v>0.07</v>
      </c>
      <c r="CP94" s="69" t="n">
        <v>0.13</v>
      </c>
      <c r="CQ94" s="69" t="n">
        <v>0.28</v>
      </c>
      <c r="CR94" s="69" t="n">
        <v>0.66</v>
      </c>
      <c r="CS94" s="69" t="n">
        <v>0.41</v>
      </c>
      <c r="CT94" s="69" t="n">
        <v>0.19</v>
      </c>
      <c r="CU94" s="69" t="n">
        <v>0.33</v>
      </c>
      <c r="CV94" s="69" t="n">
        <v>0.29</v>
      </c>
      <c r="CW94" s="69" t="n">
        <v>0.21</v>
      </c>
      <c r="CX94" s="69" t="n">
        <v>0.3</v>
      </c>
      <c r="CY94" s="69" t="n">
        <v>0.2</v>
      </c>
      <c r="CZ94" s="69" t="n">
        <v>0.18</v>
      </c>
      <c r="DA94" s="69" t="n">
        <v>0.23</v>
      </c>
      <c r="DB94" s="69" t="n">
        <v>0.45</v>
      </c>
      <c r="DC94" s="69" t="n">
        <v>0.08</v>
      </c>
      <c r="DD94" s="69" t="n">
        <v>0.25</v>
      </c>
      <c r="DE94" s="69" t="n">
        <v>0.41</v>
      </c>
      <c r="DF94" s="69" t="n">
        <v>0.12</v>
      </c>
      <c r="DG94" s="69" t="n">
        <v>0.34</v>
      </c>
      <c r="DH94" s="69" t="n">
        <v>0.55</v>
      </c>
      <c r="DI94" s="69" t="n">
        <v>0.23</v>
      </c>
      <c r="DJ94" s="69" t="n">
        <v>0.21</v>
      </c>
      <c r="DK94" s="69" t="n">
        <v>0.31</v>
      </c>
      <c r="DL94" s="69" t="n">
        <v>0.18</v>
      </c>
      <c r="DM94" s="69" t="n">
        <v>0.26</v>
      </c>
      <c r="DN94" s="69" t="n">
        <v>0.17</v>
      </c>
      <c r="DO94" s="69" t="n">
        <v>0.22</v>
      </c>
      <c r="DP94" s="69" t="n">
        <v>0.22</v>
      </c>
      <c r="DQ94" s="69" t="n">
        <v>0.24</v>
      </c>
      <c r="DR94" s="69" t="n">
        <v>0.3</v>
      </c>
      <c r="DS94" s="69" t="n">
        <v>0.11</v>
      </c>
      <c r="DT94" s="69" t="n">
        <v>0.44</v>
      </c>
      <c r="DU94" s="69" t="n">
        <v>0.48</v>
      </c>
      <c r="DV94" s="69" t="n">
        <v>0.32</v>
      </c>
      <c r="DW94" s="69" t="n">
        <v>0.29</v>
      </c>
      <c r="DX94" s="69" t="n">
        <v>0.47</v>
      </c>
      <c r="DY94" s="69" t="n">
        <v>0.28</v>
      </c>
      <c r="DZ94" s="69" t="n">
        <v>0.21</v>
      </c>
      <c r="EA94" s="69" t="n">
        <v>0.14</v>
      </c>
      <c r="EB94" s="69" t="n">
        <v>0.34</v>
      </c>
      <c r="EC94" s="69" t="n">
        <v>0.11</v>
      </c>
      <c r="ED94" s="69" t="n">
        <v>0.17</v>
      </c>
      <c r="EE94" s="69" t="n">
        <v>0.53</v>
      </c>
      <c r="EF94" s="69" t="n">
        <v>0.28</v>
      </c>
      <c r="EG94" s="69" t="n">
        <v>0.4</v>
      </c>
      <c r="EH94" s="69" t="n">
        <v>0.12</v>
      </c>
      <c r="EI94" s="69" t="n">
        <v>0.44</v>
      </c>
      <c r="EJ94" s="69" t="n">
        <v>0.15</v>
      </c>
      <c r="EK94" s="69" t="n">
        <v>0.39</v>
      </c>
      <c r="EL94" s="69" t="n">
        <v>0.43</v>
      </c>
      <c r="EM94" s="69" t="n">
        <v>0.22</v>
      </c>
      <c r="EN94" s="69" t="n">
        <v>0.02</v>
      </c>
      <c r="EO94" s="69" t="n">
        <v>0.07</v>
      </c>
    </row>
    <row r="95" customFormat="false" ht="15" hidden="false" customHeight="false" outlineLevel="0" collapsed="false">
      <c r="A95" s="68" t="s">
        <v>318</v>
      </c>
      <c r="B95" s="69" t="n">
        <v>-0.03</v>
      </c>
      <c r="C95" s="69" t="n">
        <v>0.17</v>
      </c>
      <c r="D95" s="69" t="n">
        <v>0.2</v>
      </c>
      <c r="E95" s="69" t="n">
        <v>0.16</v>
      </c>
      <c r="F95" s="69" t="n">
        <v>-0.09</v>
      </c>
      <c r="G95" s="69" t="n">
        <v>0.11</v>
      </c>
      <c r="H95" s="69" t="n">
        <v>0.23</v>
      </c>
      <c r="I95" s="69" t="n">
        <v>-0.05</v>
      </c>
      <c r="J95" s="69" t="n">
        <v>0.04</v>
      </c>
      <c r="K95" s="69" t="n">
        <v>-0.02</v>
      </c>
      <c r="L95" s="69" t="n">
        <v>0.16</v>
      </c>
      <c r="M95" s="69" t="n">
        <v>0.04</v>
      </c>
      <c r="N95" s="69" t="n">
        <v>0.15</v>
      </c>
      <c r="O95" s="69" t="n">
        <v>0.21</v>
      </c>
      <c r="P95" s="69" t="n">
        <v>0.06</v>
      </c>
      <c r="Q95" s="69" t="n">
        <v>0.09</v>
      </c>
      <c r="R95" s="69" t="n">
        <v>-0.1</v>
      </c>
      <c r="S95" s="69" t="n">
        <v>0.07</v>
      </c>
      <c r="T95" s="69" t="n">
        <v>0.09</v>
      </c>
      <c r="U95" s="69" t="n">
        <v>0.33</v>
      </c>
      <c r="V95" s="69" t="n">
        <v>0.18</v>
      </c>
      <c r="W95" s="69" t="n">
        <v>0.14</v>
      </c>
      <c r="X95" s="69" t="n">
        <v>0.09</v>
      </c>
      <c r="Y95" s="69" t="n">
        <v>0.02</v>
      </c>
      <c r="Z95" s="69" t="n">
        <v>0.25</v>
      </c>
      <c r="AA95" s="69" t="n">
        <v>0.14</v>
      </c>
      <c r="AB95" s="69" t="n">
        <v>0.03</v>
      </c>
      <c r="AC95" s="69" t="n">
        <v>0.21</v>
      </c>
      <c r="AD95" s="69" t="n">
        <v>0.18</v>
      </c>
      <c r="AE95" s="69" t="n">
        <v>0.16</v>
      </c>
      <c r="AF95" s="69" t="n">
        <v>0.34</v>
      </c>
      <c r="AG95" s="69" t="n">
        <v>-0.01</v>
      </c>
      <c r="AH95" s="69" t="n">
        <v>0.03</v>
      </c>
      <c r="AI95" s="69" t="n">
        <v>0.01</v>
      </c>
      <c r="AJ95" s="69" t="n">
        <v>0.24</v>
      </c>
      <c r="AK95" s="69" t="n">
        <v>0.29</v>
      </c>
      <c r="AL95" s="69" t="n">
        <v>-0.01</v>
      </c>
      <c r="AM95" s="69" t="n">
        <v>0.11</v>
      </c>
      <c r="AN95" s="69" t="n">
        <v>0.04</v>
      </c>
      <c r="AO95" s="69" t="n">
        <v>-0.01</v>
      </c>
      <c r="AP95" s="69" t="n">
        <v>0.05</v>
      </c>
      <c r="AQ95" s="69" t="n">
        <v>0.06</v>
      </c>
      <c r="AR95" s="69" t="n">
        <v>0.03</v>
      </c>
      <c r="AS95" s="69" t="n">
        <v>0.23</v>
      </c>
      <c r="AT95" s="69" t="n">
        <v>0.08</v>
      </c>
      <c r="AU95" s="69" t="n">
        <v>0.01</v>
      </c>
      <c r="AV95" s="69" t="n">
        <v>0.2</v>
      </c>
      <c r="AW95" s="69" t="n">
        <v>0.29</v>
      </c>
      <c r="AX95" s="69" t="n">
        <v>0.04</v>
      </c>
      <c r="AY95" s="69" t="n">
        <v>0.07</v>
      </c>
      <c r="AZ95" s="69" t="n">
        <v>0.16</v>
      </c>
      <c r="BA95" s="69" t="n">
        <v>0.03</v>
      </c>
      <c r="BB95" s="69" t="n">
        <v>0.08</v>
      </c>
      <c r="BC95" s="69" t="n">
        <v>0.02</v>
      </c>
      <c r="BD95" s="69" t="n">
        <v>0.27</v>
      </c>
      <c r="BE95" s="69" t="n">
        <v>0.05</v>
      </c>
      <c r="BF95" s="69" t="n">
        <v>0.27</v>
      </c>
      <c r="BG95" s="69" t="n">
        <v>0.02</v>
      </c>
      <c r="BH95" s="69" t="n">
        <v>0.18</v>
      </c>
      <c r="BI95" s="69" t="n">
        <v>-0.02</v>
      </c>
      <c r="BJ95" s="69" t="n">
        <v>0</v>
      </c>
      <c r="BK95" s="69" t="n">
        <v>0.19</v>
      </c>
      <c r="BL95" s="69" t="n">
        <v>0.07</v>
      </c>
      <c r="BM95" s="69" t="n">
        <v>-0.05</v>
      </c>
      <c r="BN95" s="69" t="n">
        <v>0.01</v>
      </c>
      <c r="BO95" s="69" t="n">
        <v>-0.02</v>
      </c>
      <c r="BP95" s="69" t="n">
        <v>0.03</v>
      </c>
      <c r="BQ95" s="69" t="n">
        <v>0.23</v>
      </c>
      <c r="BR95" s="69" t="n">
        <v>-0.04</v>
      </c>
      <c r="BS95" s="69" t="n">
        <v>0</v>
      </c>
      <c r="BT95" s="69" t="n">
        <v>0.08</v>
      </c>
      <c r="BU95" s="69" t="n">
        <v>0.2</v>
      </c>
      <c r="BV95" s="69" t="n">
        <v>0.01</v>
      </c>
      <c r="BW95" s="69" t="n">
        <v>-0.07</v>
      </c>
      <c r="BX95" s="69" t="n">
        <v>0.07</v>
      </c>
      <c r="BY95" s="69" t="n">
        <v>0</v>
      </c>
      <c r="BZ95" s="69" t="n">
        <v>0.09</v>
      </c>
      <c r="CA95" s="69" t="n">
        <v>0.19</v>
      </c>
      <c r="CB95" s="69" t="n">
        <v>0.12</v>
      </c>
      <c r="CC95" s="69" t="n">
        <v>0.03</v>
      </c>
      <c r="CD95" s="69" t="n">
        <v>0.02</v>
      </c>
      <c r="CE95" s="69" t="n">
        <v>0.05</v>
      </c>
      <c r="CF95" s="69" t="n">
        <v>0.01</v>
      </c>
      <c r="CG95" s="69" t="n">
        <v>-0.02</v>
      </c>
      <c r="CH95" s="69" t="n">
        <v>0.3</v>
      </c>
      <c r="CI95" s="69" t="n">
        <v>0.03</v>
      </c>
      <c r="CJ95" s="69" t="n">
        <v>-0.02</v>
      </c>
      <c r="CK95" s="69" t="n">
        <v>0.05</v>
      </c>
      <c r="CL95" s="69" t="n">
        <v>0.05</v>
      </c>
      <c r="CM95" s="69" t="n">
        <v>0.08</v>
      </c>
      <c r="CN95" s="69" t="n">
        <v>1</v>
      </c>
      <c r="CO95" s="69" t="n">
        <v>0.11</v>
      </c>
      <c r="CP95" s="69" t="n">
        <v>-0.03</v>
      </c>
      <c r="CQ95" s="69" t="n">
        <v>0.08</v>
      </c>
      <c r="CR95" s="69" t="n">
        <v>0.07</v>
      </c>
      <c r="CS95" s="69" t="n">
        <v>0.19</v>
      </c>
      <c r="CT95" s="69" t="n">
        <v>0.06</v>
      </c>
      <c r="CU95" s="69" t="n">
        <v>0.11</v>
      </c>
      <c r="CV95" s="69" t="n">
        <v>0.04</v>
      </c>
      <c r="CW95" s="69" t="n">
        <v>0.07</v>
      </c>
      <c r="CX95" s="69" t="n">
        <v>0.1</v>
      </c>
      <c r="CY95" s="69" t="n">
        <v>0.08</v>
      </c>
      <c r="CZ95" s="69" t="n">
        <v>0.15</v>
      </c>
      <c r="DA95" s="69" t="n">
        <v>-0.01</v>
      </c>
      <c r="DB95" s="69" t="n">
        <v>0.13</v>
      </c>
      <c r="DC95" s="69" t="n">
        <v>0.22</v>
      </c>
      <c r="DD95" s="69" t="n">
        <v>0.08</v>
      </c>
      <c r="DE95" s="69" t="n">
        <v>0.18</v>
      </c>
      <c r="DF95" s="69" t="n">
        <v>0.02</v>
      </c>
      <c r="DG95" s="69" t="n">
        <v>0.13</v>
      </c>
      <c r="DH95" s="69" t="n">
        <v>0.12</v>
      </c>
      <c r="DI95" s="69" t="n">
        <v>0.02</v>
      </c>
      <c r="DJ95" s="69" t="n">
        <v>0.13</v>
      </c>
      <c r="DK95" s="69" t="n">
        <v>0.06</v>
      </c>
      <c r="DL95" s="69" t="n">
        <v>0.23</v>
      </c>
      <c r="DM95" s="69" t="n">
        <v>0.13</v>
      </c>
      <c r="DN95" s="69" t="n">
        <v>-0.01</v>
      </c>
      <c r="DO95" s="69" t="n">
        <v>0.02</v>
      </c>
      <c r="DP95" s="69" t="n">
        <v>0.1</v>
      </c>
      <c r="DQ95" s="69" t="n">
        <v>0</v>
      </c>
      <c r="DR95" s="69" t="n">
        <v>0.1</v>
      </c>
      <c r="DS95" s="69" t="n">
        <v>0.02</v>
      </c>
      <c r="DT95" s="69" t="n">
        <v>0.11</v>
      </c>
      <c r="DU95" s="69" t="n">
        <v>0.09</v>
      </c>
      <c r="DV95" s="69" t="n">
        <v>0.03</v>
      </c>
      <c r="DW95" s="69" t="n">
        <v>-0.04</v>
      </c>
      <c r="DX95" s="69" t="n">
        <v>0.12</v>
      </c>
      <c r="DY95" s="69" t="n">
        <v>0.03</v>
      </c>
      <c r="DZ95" s="69" t="n">
        <v>-0.03</v>
      </c>
      <c r="EA95" s="69" t="n">
        <v>0.04</v>
      </c>
      <c r="EB95" s="69" t="n">
        <v>0.06</v>
      </c>
      <c r="EC95" s="69" t="n">
        <v>-0.01</v>
      </c>
      <c r="ED95" s="69" t="n">
        <v>0.08</v>
      </c>
      <c r="EE95" s="69" t="n">
        <v>0.1</v>
      </c>
      <c r="EF95" s="69" t="n">
        <v>0.07</v>
      </c>
      <c r="EG95" s="69" t="n">
        <v>0.09</v>
      </c>
      <c r="EH95" s="69" t="n">
        <v>-0.09</v>
      </c>
      <c r="EI95" s="69" t="n">
        <v>0.05</v>
      </c>
      <c r="EJ95" s="69" t="n">
        <v>0.12</v>
      </c>
      <c r="EK95" s="69" t="n">
        <v>0.12</v>
      </c>
      <c r="EL95" s="69" t="n">
        <v>0.17</v>
      </c>
      <c r="EM95" s="69" t="n">
        <v>0.1</v>
      </c>
      <c r="EN95" s="69" t="n">
        <v>-0.01</v>
      </c>
      <c r="EO95" s="69" t="n">
        <v>0.03</v>
      </c>
    </row>
    <row r="96" customFormat="false" ht="15" hidden="false" customHeight="false" outlineLevel="0" collapsed="false">
      <c r="A96" s="68" t="s">
        <v>319</v>
      </c>
      <c r="B96" s="69" t="n">
        <v>0.02</v>
      </c>
      <c r="C96" s="69" t="n">
        <v>0.07</v>
      </c>
      <c r="D96" s="69" t="n">
        <v>0</v>
      </c>
      <c r="E96" s="69" t="n">
        <v>0.14</v>
      </c>
      <c r="F96" s="69" t="n">
        <v>-0.01</v>
      </c>
      <c r="G96" s="69" t="n">
        <v>-0.05</v>
      </c>
      <c r="H96" s="69" t="n">
        <v>0.13</v>
      </c>
      <c r="I96" s="69" t="n">
        <v>0.11</v>
      </c>
      <c r="J96" s="69" t="n">
        <v>-0.06</v>
      </c>
      <c r="K96" s="69" t="n">
        <v>0.06</v>
      </c>
      <c r="L96" s="69" t="n">
        <v>0.08</v>
      </c>
      <c r="M96" s="69" t="n">
        <v>0.1</v>
      </c>
      <c r="N96" s="69" t="n">
        <v>0.06</v>
      </c>
      <c r="O96" s="69" t="n">
        <v>0.04</v>
      </c>
      <c r="P96" s="69" t="n">
        <v>0.03</v>
      </c>
      <c r="Q96" s="69" t="n">
        <v>-0.05</v>
      </c>
      <c r="R96" s="69" t="n">
        <v>0.05</v>
      </c>
      <c r="S96" s="69" t="n">
        <v>0.14</v>
      </c>
      <c r="T96" s="69" t="n">
        <v>0.09</v>
      </c>
      <c r="U96" s="69" t="n">
        <v>0.2</v>
      </c>
      <c r="V96" s="69" t="n">
        <v>0.17</v>
      </c>
      <c r="W96" s="69" t="n">
        <v>0.13</v>
      </c>
      <c r="X96" s="69" t="n">
        <v>0.09</v>
      </c>
      <c r="Y96" s="69" t="n">
        <v>0.05</v>
      </c>
      <c r="Z96" s="69" t="n">
        <v>0.11</v>
      </c>
      <c r="AA96" s="69" t="n">
        <v>0.03</v>
      </c>
      <c r="AB96" s="69" t="n">
        <v>0.07</v>
      </c>
      <c r="AC96" s="69" t="n">
        <v>-0.05</v>
      </c>
      <c r="AD96" s="69" t="n">
        <v>0.13</v>
      </c>
      <c r="AE96" s="69" t="n">
        <v>0.12</v>
      </c>
      <c r="AF96" s="69" t="n">
        <v>0.21</v>
      </c>
      <c r="AG96" s="69" t="n">
        <v>0.01</v>
      </c>
      <c r="AH96" s="69" t="n">
        <v>0</v>
      </c>
      <c r="AI96" s="69" t="n">
        <v>-0.09</v>
      </c>
      <c r="AJ96" s="69" t="n">
        <v>0.05</v>
      </c>
      <c r="AK96" s="69" t="n">
        <v>0.14</v>
      </c>
      <c r="AL96" s="69" t="n">
        <v>0.06</v>
      </c>
      <c r="AM96" s="69" t="n">
        <v>0.06</v>
      </c>
      <c r="AN96" s="69" t="n">
        <v>0.13</v>
      </c>
      <c r="AO96" s="69" t="n">
        <v>-0.09</v>
      </c>
      <c r="AP96" s="69" t="n">
        <v>0.16</v>
      </c>
      <c r="AQ96" s="69" t="n">
        <v>-0.07</v>
      </c>
      <c r="AR96" s="69" t="n">
        <v>0.03</v>
      </c>
      <c r="AS96" s="69" t="n">
        <v>0.2</v>
      </c>
      <c r="AT96" s="69" t="n">
        <v>0.23</v>
      </c>
      <c r="AU96" s="69" t="n">
        <v>-0.05</v>
      </c>
      <c r="AV96" s="69" t="n">
        <v>0.16</v>
      </c>
      <c r="AW96" s="69" t="n">
        <v>0.2</v>
      </c>
      <c r="AX96" s="69" t="n">
        <v>-0.03</v>
      </c>
      <c r="AY96" s="69" t="n">
        <v>0.14</v>
      </c>
      <c r="AZ96" s="69" t="n">
        <v>0.17</v>
      </c>
      <c r="BA96" s="69" t="n">
        <v>0.1</v>
      </c>
      <c r="BB96" s="69" t="n">
        <v>0.14</v>
      </c>
      <c r="BC96" s="69" t="n">
        <v>0.15</v>
      </c>
      <c r="BD96" s="69" t="n">
        <v>0.2</v>
      </c>
      <c r="BE96" s="69" t="n">
        <v>0.04</v>
      </c>
      <c r="BF96" s="69" t="n">
        <v>0.2</v>
      </c>
      <c r="BG96" s="69" t="n">
        <v>0.09</v>
      </c>
      <c r="BH96" s="69" t="n">
        <v>0.17</v>
      </c>
      <c r="BI96" s="69" t="n">
        <v>0.12</v>
      </c>
      <c r="BJ96" s="69" t="n">
        <v>-0.08</v>
      </c>
      <c r="BK96" s="69" t="n">
        <v>0.18</v>
      </c>
      <c r="BL96" s="69" t="n">
        <v>0.11</v>
      </c>
      <c r="BM96" s="69" t="n">
        <v>0.14</v>
      </c>
      <c r="BN96" s="69" t="n">
        <v>-0.02</v>
      </c>
      <c r="BO96" s="69" t="n">
        <v>0.16</v>
      </c>
      <c r="BP96" s="69" t="n">
        <v>0.09</v>
      </c>
      <c r="BQ96" s="69" t="n">
        <v>0.22</v>
      </c>
      <c r="BR96" s="69" t="n">
        <v>0.14</v>
      </c>
      <c r="BS96" s="69" t="n">
        <v>-0.11</v>
      </c>
      <c r="BT96" s="69" t="n">
        <v>0.07</v>
      </c>
      <c r="BU96" s="69" t="n">
        <v>-0.01</v>
      </c>
      <c r="BV96" s="69" t="n">
        <v>0.1</v>
      </c>
      <c r="BW96" s="69" t="n">
        <v>0.15</v>
      </c>
      <c r="BX96" s="69" t="n">
        <v>0.03</v>
      </c>
      <c r="BY96" s="69" t="n">
        <v>0.08</v>
      </c>
      <c r="BZ96" s="69" t="n">
        <v>0.05</v>
      </c>
      <c r="CA96" s="69" t="n">
        <v>0.17</v>
      </c>
      <c r="CB96" s="69" t="n">
        <v>0.02</v>
      </c>
      <c r="CC96" s="69" t="n">
        <v>0.12</v>
      </c>
      <c r="CD96" s="69" t="n">
        <v>0.06</v>
      </c>
      <c r="CE96" s="69" t="n">
        <v>0.07</v>
      </c>
      <c r="CF96" s="69" t="n">
        <v>-0.05</v>
      </c>
      <c r="CG96" s="69" t="n">
        <v>0.1</v>
      </c>
      <c r="CH96" s="69" t="n">
        <v>0.2</v>
      </c>
      <c r="CI96" s="69" t="n">
        <v>-0.08</v>
      </c>
      <c r="CJ96" s="69" t="n">
        <v>-0.09</v>
      </c>
      <c r="CK96" s="69" t="n">
        <v>0.21</v>
      </c>
      <c r="CL96" s="69" t="n">
        <v>0.07</v>
      </c>
      <c r="CM96" s="69" t="n">
        <v>0.07</v>
      </c>
      <c r="CN96" s="69" t="n">
        <v>0.11</v>
      </c>
      <c r="CO96" s="69" t="n">
        <v>1</v>
      </c>
      <c r="CP96" s="69" t="n">
        <v>0.07</v>
      </c>
      <c r="CQ96" s="69" t="n">
        <v>0.15</v>
      </c>
      <c r="CR96" s="69" t="n">
        <v>0.15</v>
      </c>
      <c r="CS96" s="69" t="n">
        <v>0.13</v>
      </c>
      <c r="CT96" s="69" t="n">
        <v>0.16</v>
      </c>
      <c r="CU96" s="69" t="n">
        <v>0.14</v>
      </c>
      <c r="CV96" s="69" t="n">
        <v>0.11</v>
      </c>
      <c r="CW96" s="69" t="n">
        <v>0.1</v>
      </c>
      <c r="CX96" s="69" t="n">
        <v>0.13</v>
      </c>
      <c r="CY96" s="69" t="n">
        <v>0.14</v>
      </c>
      <c r="CZ96" s="69" t="n">
        <v>0.07</v>
      </c>
      <c r="DA96" s="69" t="n">
        <v>0.17</v>
      </c>
      <c r="DB96" s="69" t="n">
        <v>0.21</v>
      </c>
      <c r="DC96" s="69" t="n">
        <v>0.1</v>
      </c>
      <c r="DD96" s="69" t="n">
        <v>0.07</v>
      </c>
      <c r="DE96" s="69" t="n">
        <v>0.17</v>
      </c>
      <c r="DF96" s="69" t="n">
        <v>-0.04</v>
      </c>
      <c r="DG96" s="69" t="n">
        <v>0.07</v>
      </c>
      <c r="DH96" s="69" t="n">
        <v>0.13</v>
      </c>
      <c r="DI96" s="69" t="n">
        <v>0.13</v>
      </c>
      <c r="DJ96" s="69" t="n">
        <v>0.07</v>
      </c>
      <c r="DK96" s="69" t="n">
        <v>0.17</v>
      </c>
      <c r="DL96" s="69" t="n">
        <v>0.02</v>
      </c>
      <c r="DM96" s="69" t="n">
        <v>0.09</v>
      </c>
      <c r="DN96" s="69" t="n">
        <v>0.1</v>
      </c>
      <c r="DO96" s="69" t="n">
        <v>0.14</v>
      </c>
      <c r="DP96" s="69" t="n">
        <v>0.06</v>
      </c>
      <c r="DQ96" s="69" t="n">
        <v>0.14</v>
      </c>
      <c r="DR96" s="69" t="n">
        <v>0.04</v>
      </c>
      <c r="DS96" s="69" t="n">
        <v>0.08</v>
      </c>
      <c r="DT96" s="69" t="n">
        <v>0.09</v>
      </c>
      <c r="DU96" s="69" t="n">
        <v>0.17</v>
      </c>
      <c r="DV96" s="69" t="n">
        <v>0.02</v>
      </c>
      <c r="DW96" s="69" t="n">
        <v>0.15</v>
      </c>
      <c r="DX96" s="69" t="n">
        <v>0.13</v>
      </c>
      <c r="DY96" s="69" t="n">
        <v>0.22</v>
      </c>
      <c r="DZ96" s="69" t="n">
        <v>0.04</v>
      </c>
      <c r="EA96" s="69" t="n">
        <v>0.17</v>
      </c>
      <c r="EB96" s="69" t="n">
        <v>0.12</v>
      </c>
      <c r="EC96" s="69" t="n">
        <v>0.05</v>
      </c>
      <c r="ED96" s="69" t="n">
        <v>0.14</v>
      </c>
      <c r="EE96" s="69" t="n">
        <v>0.16</v>
      </c>
      <c r="EF96" s="69" t="n">
        <v>0.06</v>
      </c>
      <c r="EG96" s="69" t="n">
        <v>0.16</v>
      </c>
      <c r="EH96" s="69" t="n">
        <v>0.07</v>
      </c>
      <c r="EI96" s="69" t="n">
        <v>0.09</v>
      </c>
      <c r="EJ96" s="69" t="n">
        <v>0.16</v>
      </c>
      <c r="EK96" s="69" t="n">
        <v>0.05</v>
      </c>
      <c r="EL96" s="69" t="n">
        <v>0.08</v>
      </c>
      <c r="EM96" s="69" t="n">
        <v>0.04</v>
      </c>
      <c r="EN96" s="69" t="n">
        <v>0.04</v>
      </c>
      <c r="EO96" s="69" t="n">
        <v>0.02</v>
      </c>
    </row>
    <row r="97" customFormat="false" ht="15" hidden="false" customHeight="false" outlineLevel="0" collapsed="false">
      <c r="A97" s="68" t="s">
        <v>320</v>
      </c>
      <c r="B97" s="69" t="n">
        <v>0.18</v>
      </c>
      <c r="C97" s="69" t="n">
        <v>0.01</v>
      </c>
      <c r="D97" s="69" t="n">
        <v>0.04</v>
      </c>
      <c r="E97" s="69" t="n">
        <v>0.03</v>
      </c>
      <c r="F97" s="69" t="n">
        <v>0.12</v>
      </c>
      <c r="G97" s="69" t="n">
        <v>0.05</v>
      </c>
      <c r="H97" s="69" t="n">
        <v>0.05</v>
      </c>
      <c r="I97" s="69" t="n">
        <v>0.19</v>
      </c>
      <c r="J97" s="69" t="n">
        <v>0.12</v>
      </c>
      <c r="K97" s="69" t="n">
        <v>0.18</v>
      </c>
      <c r="L97" s="69" t="n">
        <v>0.04</v>
      </c>
      <c r="M97" s="69" t="n">
        <v>0.15</v>
      </c>
      <c r="N97" s="69" t="n">
        <v>0.2</v>
      </c>
      <c r="O97" s="69" t="n">
        <v>0.03</v>
      </c>
      <c r="P97" s="69" t="n">
        <v>0.09</v>
      </c>
      <c r="Q97" s="69" t="n">
        <v>0.1</v>
      </c>
      <c r="R97" s="69" t="n">
        <v>0.17</v>
      </c>
      <c r="S97" s="69" t="n">
        <v>-0.01</v>
      </c>
      <c r="T97" s="69" t="n">
        <v>0.15</v>
      </c>
      <c r="U97" s="69" t="n">
        <v>0.08</v>
      </c>
      <c r="V97" s="69" t="n">
        <v>-0.1</v>
      </c>
      <c r="W97" s="69" t="n">
        <v>0.11</v>
      </c>
      <c r="X97" s="69" t="n">
        <v>0.14</v>
      </c>
      <c r="Y97" s="69" t="n">
        <v>0.14</v>
      </c>
      <c r="Z97" s="69" t="n">
        <v>0.08</v>
      </c>
      <c r="AA97" s="69" t="n">
        <v>0.04</v>
      </c>
      <c r="AB97" s="69" t="n">
        <v>0.13</v>
      </c>
      <c r="AC97" s="69" t="n">
        <v>-0.02</v>
      </c>
      <c r="AD97" s="69" t="n">
        <v>-0.04</v>
      </c>
      <c r="AE97" s="69" t="n">
        <v>-0.01</v>
      </c>
      <c r="AF97" s="69" t="n">
        <v>0.02</v>
      </c>
      <c r="AG97" s="69" t="n">
        <v>-0.06</v>
      </c>
      <c r="AH97" s="69" t="n">
        <v>0.06</v>
      </c>
      <c r="AI97" s="69" t="n">
        <v>0.11</v>
      </c>
      <c r="AJ97" s="69" t="n">
        <v>0.04</v>
      </c>
      <c r="AK97" s="69" t="n">
        <v>-0.04</v>
      </c>
      <c r="AL97" s="69" t="n">
        <v>0.32</v>
      </c>
      <c r="AM97" s="69" t="n">
        <v>0.04</v>
      </c>
      <c r="AN97" s="69" t="n">
        <v>0.18</v>
      </c>
      <c r="AO97" s="69" t="n">
        <v>0.13</v>
      </c>
      <c r="AP97" s="69" t="n">
        <v>0.16</v>
      </c>
      <c r="AQ97" s="69" t="n">
        <v>0.08</v>
      </c>
      <c r="AR97" s="69" t="n">
        <v>0.13</v>
      </c>
      <c r="AS97" s="69" t="n">
        <v>0.1</v>
      </c>
      <c r="AT97" s="69" t="n">
        <v>0.13</v>
      </c>
      <c r="AU97" s="69" t="n">
        <v>0.15</v>
      </c>
      <c r="AV97" s="69" t="n">
        <v>0.1</v>
      </c>
      <c r="AW97" s="69" t="n">
        <v>0.02</v>
      </c>
      <c r="AX97" s="69" t="n">
        <v>0.11</v>
      </c>
      <c r="AY97" s="69" t="n">
        <v>0.13</v>
      </c>
      <c r="AZ97" s="69" t="n">
        <v>0.04</v>
      </c>
      <c r="BA97" s="69" t="n">
        <v>0.1</v>
      </c>
      <c r="BB97" s="69" t="n">
        <v>0.13</v>
      </c>
      <c r="BC97" s="69" t="n">
        <v>0.05</v>
      </c>
      <c r="BD97" s="69" t="n">
        <v>0.04</v>
      </c>
      <c r="BE97" s="69" t="n">
        <v>0.09</v>
      </c>
      <c r="BF97" s="69" t="n">
        <v>0.15</v>
      </c>
      <c r="BG97" s="69" t="n">
        <v>0.22</v>
      </c>
      <c r="BH97" s="69" t="n">
        <v>0.11</v>
      </c>
      <c r="BI97" s="69" t="n">
        <v>0.14</v>
      </c>
      <c r="BJ97" s="69" t="n">
        <v>-0.05</v>
      </c>
      <c r="BK97" s="69" t="n">
        <v>0.05</v>
      </c>
      <c r="BL97" s="69" t="n">
        <v>0.17</v>
      </c>
      <c r="BM97" s="69" t="n">
        <v>0.15</v>
      </c>
      <c r="BN97" s="69" t="n">
        <v>0.05</v>
      </c>
      <c r="BO97" s="69" t="n">
        <v>0.19</v>
      </c>
      <c r="BP97" s="69" t="n">
        <v>0.17</v>
      </c>
      <c r="BQ97" s="69" t="n">
        <v>0.05</v>
      </c>
      <c r="BR97" s="69" t="n">
        <v>0.25</v>
      </c>
      <c r="BS97" s="69" t="n">
        <v>0.07</v>
      </c>
      <c r="BT97" s="69" t="n">
        <v>0.05</v>
      </c>
      <c r="BU97" s="69" t="n">
        <v>-0.05</v>
      </c>
      <c r="BV97" s="69" t="n">
        <v>0.12</v>
      </c>
      <c r="BW97" s="69" t="n">
        <v>0.33</v>
      </c>
      <c r="BX97" s="69" t="n">
        <v>0.16</v>
      </c>
      <c r="BY97" s="69" t="n">
        <v>0.07</v>
      </c>
      <c r="BZ97" s="69" t="n">
        <v>0.11</v>
      </c>
      <c r="CA97" s="69" t="n">
        <v>-0.02</v>
      </c>
      <c r="CB97" s="69" t="n">
        <v>0.05</v>
      </c>
      <c r="CC97" s="69" t="n">
        <v>0.05</v>
      </c>
      <c r="CD97" s="69" t="n">
        <v>0.22</v>
      </c>
      <c r="CE97" s="69" t="n">
        <v>0.05</v>
      </c>
      <c r="CF97" s="69" t="n">
        <v>0.09</v>
      </c>
      <c r="CG97" s="69" t="n">
        <v>0.23</v>
      </c>
      <c r="CH97" s="69" t="n">
        <v>-0.01</v>
      </c>
      <c r="CI97" s="69" t="n">
        <v>0.03</v>
      </c>
      <c r="CJ97" s="69" t="n">
        <v>0.18</v>
      </c>
      <c r="CK97" s="69" t="n">
        <v>0.18</v>
      </c>
      <c r="CL97" s="69" t="n">
        <v>0.03</v>
      </c>
      <c r="CM97" s="69" t="n">
        <v>0.13</v>
      </c>
      <c r="CN97" s="69" t="n">
        <v>-0.03</v>
      </c>
      <c r="CO97" s="69" t="n">
        <v>0.07</v>
      </c>
      <c r="CP97" s="69" t="n">
        <v>1</v>
      </c>
      <c r="CQ97" s="69" t="n">
        <v>0.17</v>
      </c>
      <c r="CR97" s="69" t="n">
        <v>0.17</v>
      </c>
      <c r="CS97" s="69" t="n">
        <v>0.08</v>
      </c>
      <c r="CT97" s="69" t="n">
        <v>0.21</v>
      </c>
      <c r="CU97" s="69" t="n">
        <v>0.09</v>
      </c>
      <c r="CV97" s="69" t="n">
        <v>0.17</v>
      </c>
      <c r="CW97" s="69" t="n">
        <v>0.24</v>
      </c>
      <c r="CX97" s="69" t="n">
        <v>0.21</v>
      </c>
      <c r="CY97" s="69" t="n">
        <v>0.04</v>
      </c>
      <c r="CZ97" s="69" t="n">
        <v>0.19</v>
      </c>
      <c r="DA97" s="69" t="n">
        <v>0.19</v>
      </c>
      <c r="DB97" s="69" t="n">
        <v>0.21</v>
      </c>
      <c r="DC97" s="69" t="n">
        <v>0.07</v>
      </c>
      <c r="DD97" s="69" t="n">
        <v>0.22</v>
      </c>
      <c r="DE97" s="69" t="n">
        <v>0.07</v>
      </c>
      <c r="DF97" s="69" t="n">
        <v>0.18</v>
      </c>
      <c r="DG97" s="69" t="n">
        <v>0.11</v>
      </c>
      <c r="DH97" s="69" t="n">
        <v>0.18</v>
      </c>
      <c r="DI97" s="69" t="n">
        <v>0.15</v>
      </c>
      <c r="DJ97" s="69" t="n">
        <v>0.09</v>
      </c>
      <c r="DK97" s="69" t="n">
        <v>0.13</v>
      </c>
      <c r="DL97" s="69" t="n">
        <v>-0.07</v>
      </c>
      <c r="DM97" s="69" t="n">
        <v>0.12</v>
      </c>
      <c r="DN97" s="69" t="n">
        <v>0.2</v>
      </c>
      <c r="DO97" s="69" t="n">
        <v>0.14</v>
      </c>
      <c r="DP97" s="69" t="n">
        <v>0.16</v>
      </c>
      <c r="DQ97" s="69" t="n">
        <v>0.01</v>
      </c>
      <c r="DR97" s="69" t="n">
        <v>0.11</v>
      </c>
      <c r="DS97" s="69" t="n">
        <v>0.15</v>
      </c>
      <c r="DT97" s="69" t="n">
        <v>0.08</v>
      </c>
      <c r="DU97" s="69" t="n">
        <v>0.17</v>
      </c>
      <c r="DV97" s="69" t="n">
        <v>0.18</v>
      </c>
      <c r="DW97" s="69" t="n">
        <v>0.21</v>
      </c>
      <c r="DX97" s="69" t="n">
        <v>0.06</v>
      </c>
      <c r="DY97" s="69" t="n">
        <v>0.19</v>
      </c>
      <c r="DZ97" s="69" t="n">
        <v>0.29</v>
      </c>
      <c r="EA97" s="69" t="n">
        <v>0.17</v>
      </c>
      <c r="EB97" s="69" t="n">
        <v>0.21</v>
      </c>
      <c r="EC97" s="69" t="n">
        <v>-0.04</v>
      </c>
      <c r="ED97" s="69" t="n">
        <v>0.16</v>
      </c>
      <c r="EE97" s="69" t="n">
        <v>0.22</v>
      </c>
      <c r="EF97" s="69" t="n">
        <v>0.16</v>
      </c>
      <c r="EG97" s="69" t="n">
        <v>0.21</v>
      </c>
      <c r="EH97" s="69" t="n">
        <v>0.16</v>
      </c>
      <c r="EI97" s="69" t="n">
        <v>0.07</v>
      </c>
      <c r="EJ97" s="69" t="n">
        <v>0.09</v>
      </c>
      <c r="EK97" s="69" t="n">
        <v>0.17</v>
      </c>
      <c r="EL97" s="69" t="n">
        <v>0.13</v>
      </c>
      <c r="EM97" s="69" t="n">
        <v>0.13</v>
      </c>
      <c r="EN97" s="69" t="n">
        <v>0.1</v>
      </c>
      <c r="EO97" s="69" t="n">
        <v>0.06</v>
      </c>
    </row>
    <row r="98" customFormat="false" ht="15" hidden="false" customHeight="false" outlineLevel="0" collapsed="false">
      <c r="A98" s="68" t="s">
        <v>322</v>
      </c>
      <c r="B98" s="69" t="n">
        <v>0.27</v>
      </c>
      <c r="C98" s="69" t="n">
        <v>-0.02</v>
      </c>
      <c r="D98" s="69" t="n">
        <v>0.04</v>
      </c>
      <c r="E98" s="69" t="n">
        <v>0.17</v>
      </c>
      <c r="F98" s="69" t="n">
        <v>0.1</v>
      </c>
      <c r="G98" s="69" t="n">
        <v>-0.05</v>
      </c>
      <c r="H98" s="69" t="n">
        <v>0.09</v>
      </c>
      <c r="I98" s="69" t="n">
        <v>0.22</v>
      </c>
      <c r="J98" s="69" t="n">
        <v>0.09</v>
      </c>
      <c r="K98" s="69" t="n">
        <v>0.19</v>
      </c>
      <c r="L98" s="69" t="n">
        <v>0.13</v>
      </c>
      <c r="M98" s="69" t="n">
        <v>0.43</v>
      </c>
      <c r="N98" s="69" t="n">
        <v>0.29</v>
      </c>
      <c r="O98" s="69" t="n">
        <v>0.1</v>
      </c>
      <c r="P98" s="69" t="n">
        <v>0.09</v>
      </c>
      <c r="Q98" s="69" t="n">
        <v>0.02</v>
      </c>
      <c r="R98" s="69" t="n">
        <v>0.12</v>
      </c>
      <c r="S98" s="69" t="n">
        <v>0.08</v>
      </c>
      <c r="T98" s="69" t="n">
        <v>0.47</v>
      </c>
      <c r="U98" s="69" t="n">
        <v>0.17</v>
      </c>
      <c r="V98" s="69" t="n">
        <v>0.09</v>
      </c>
      <c r="W98" s="69" t="n">
        <v>0.07</v>
      </c>
      <c r="X98" s="69" t="n">
        <v>0.5</v>
      </c>
      <c r="Y98" s="69" t="n">
        <v>0.28</v>
      </c>
      <c r="Z98" s="69" t="n">
        <v>0.11</v>
      </c>
      <c r="AA98" s="69" t="n">
        <v>0.16</v>
      </c>
      <c r="AB98" s="69" t="n">
        <v>0.3</v>
      </c>
      <c r="AC98" s="69" t="n">
        <v>0.05</v>
      </c>
      <c r="AD98" s="69" t="n">
        <v>0.07</v>
      </c>
      <c r="AE98" s="69" t="n">
        <v>0.22</v>
      </c>
      <c r="AF98" s="69" t="n">
        <v>0.12</v>
      </c>
      <c r="AG98" s="69" t="n">
        <v>0.05</v>
      </c>
      <c r="AH98" s="69" t="n">
        <v>0.05</v>
      </c>
      <c r="AI98" s="69" t="n">
        <v>-0.22</v>
      </c>
      <c r="AJ98" s="69" t="n">
        <v>0.11</v>
      </c>
      <c r="AK98" s="69" t="n">
        <v>0.18</v>
      </c>
      <c r="AL98" s="69" t="n">
        <v>0.32</v>
      </c>
      <c r="AM98" s="69" t="n">
        <v>0.18</v>
      </c>
      <c r="AN98" s="69" t="n">
        <v>0.43</v>
      </c>
      <c r="AO98" s="69" t="n">
        <v>0.12</v>
      </c>
      <c r="AP98" s="69" t="n">
        <v>0.33</v>
      </c>
      <c r="AQ98" s="69" t="n">
        <v>-0.26</v>
      </c>
      <c r="AR98" s="69" t="n">
        <v>0.43</v>
      </c>
      <c r="AS98" s="69" t="n">
        <v>0.13</v>
      </c>
      <c r="AT98" s="69" t="n">
        <v>0.53</v>
      </c>
      <c r="AU98" s="69" t="n">
        <v>0.1</v>
      </c>
      <c r="AV98" s="69" t="n">
        <v>0.11</v>
      </c>
      <c r="AW98" s="69" t="n">
        <v>0.1</v>
      </c>
      <c r="AX98" s="69" t="n">
        <v>0.28</v>
      </c>
      <c r="AY98" s="69" t="n">
        <v>0.37</v>
      </c>
      <c r="AZ98" s="69" t="n">
        <v>0.29</v>
      </c>
      <c r="BA98" s="69" t="n">
        <v>0.42</v>
      </c>
      <c r="BB98" s="69" t="n">
        <v>0.62</v>
      </c>
      <c r="BC98" s="69" t="n">
        <v>0.14</v>
      </c>
      <c r="BD98" s="69" t="n">
        <v>0.13</v>
      </c>
      <c r="BE98" s="69" t="n">
        <v>0.22</v>
      </c>
      <c r="BF98" s="69" t="n">
        <v>0.19</v>
      </c>
      <c r="BG98" s="69" t="n">
        <v>0.33</v>
      </c>
      <c r="BH98" s="69" t="n">
        <v>0.14</v>
      </c>
      <c r="BI98" s="69" t="n">
        <v>0.13</v>
      </c>
      <c r="BJ98" s="69" t="n">
        <v>-0.02</v>
      </c>
      <c r="BK98" s="69" t="n">
        <v>0.21</v>
      </c>
      <c r="BL98" s="69" t="n">
        <v>0.34</v>
      </c>
      <c r="BM98" s="69" t="n">
        <v>0.33</v>
      </c>
      <c r="BN98" s="69" t="n">
        <v>0.16</v>
      </c>
      <c r="BO98" s="69" t="n">
        <v>0.35</v>
      </c>
      <c r="BP98" s="69" t="n">
        <v>0.16</v>
      </c>
      <c r="BQ98" s="69" t="n">
        <v>0.3</v>
      </c>
      <c r="BR98" s="69" t="n">
        <v>0.52</v>
      </c>
      <c r="BS98" s="69" t="n">
        <v>-0.21</v>
      </c>
      <c r="BT98" s="69" t="n">
        <v>0.51</v>
      </c>
      <c r="BU98" s="69" t="n">
        <v>0.14</v>
      </c>
      <c r="BV98" s="69" t="n">
        <v>0.31</v>
      </c>
      <c r="BW98" s="69" t="n">
        <v>0.28</v>
      </c>
      <c r="BX98" s="69" t="n">
        <v>0.13</v>
      </c>
      <c r="BY98" s="69" t="n">
        <v>0.47</v>
      </c>
      <c r="BZ98" s="69" t="n">
        <v>0.43</v>
      </c>
      <c r="CA98" s="69" t="n">
        <v>0.06</v>
      </c>
      <c r="CB98" s="69" t="n">
        <v>-0.02</v>
      </c>
      <c r="CC98" s="69" t="n">
        <v>0.17</v>
      </c>
      <c r="CD98" s="69" t="n">
        <v>0.25</v>
      </c>
      <c r="CE98" s="69" t="n">
        <v>0.23</v>
      </c>
      <c r="CF98" s="69" t="n">
        <v>-0.25</v>
      </c>
      <c r="CG98" s="69" t="n">
        <v>0.38</v>
      </c>
      <c r="CH98" s="69" t="n">
        <v>0.26</v>
      </c>
      <c r="CI98" s="69" t="n">
        <v>-0.27</v>
      </c>
      <c r="CJ98" s="69" t="n">
        <v>0.1</v>
      </c>
      <c r="CK98" s="69" t="n">
        <v>0.36</v>
      </c>
      <c r="CL98" s="69" t="n">
        <v>0.42</v>
      </c>
      <c r="CM98" s="69" t="n">
        <v>0.28</v>
      </c>
      <c r="CN98" s="69" t="n">
        <v>0.08</v>
      </c>
      <c r="CO98" s="69" t="n">
        <v>0.15</v>
      </c>
      <c r="CP98" s="69" t="n">
        <v>0.17</v>
      </c>
      <c r="CQ98" s="69" t="n">
        <v>1</v>
      </c>
      <c r="CR98" s="69" t="n">
        <v>0.44</v>
      </c>
      <c r="CS98" s="69" t="n">
        <v>0.46</v>
      </c>
      <c r="CT98" s="69" t="n">
        <v>0.27</v>
      </c>
      <c r="CU98" s="69" t="n">
        <v>0.17</v>
      </c>
      <c r="CV98" s="69" t="n">
        <v>0.26</v>
      </c>
      <c r="CW98" s="69" t="n">
        <v>0.26</v>
      </c>
      <c r="CX98" s="69" t="n">
        <v>0.38</v>
      </c>
      <c r="CY98" s="69" t="n">
        <v>0.76</v>
      </c>
      <c r="CZ98" s="69" t="n">
        <v>0.17</v>
      </c>
      <c r="DA98" s="69" t="n">
        <v>0.19</v>
      </c>
      <c r="DB98" s="69" t="n">
        <v>0.34</v>
      </c>
      <c r="DC98" s="69" t="n">
        <v>0.41</v>
      </c>
      <c r="DD98" s="69" t="n">
        <v>0.33</v>
      </c>
      <c r="DE98" s="69" t="n">
        <v>0.35</v>
      </c>
      <c r="DF98" s="69" t="n">
        <v>0.07</v>
      </c>
      <c r="DG98" s="69" t="n">
        <v>0.27</v>
      </c>
      <c r="DH98" s="69" t="n">
        <v>0.28</v>
      </c>
      <c r="DI98" s="69" t="n">
        <v>0.84</v>
      </c>
      <c r="DJ98" s="69" t="n">
        <v>0.58</v>
      </c>
      <c r="DK98" s="69" t="n">
        <v>0.9</v>
      </c>
      <c r="DL98" s="69" t="n">
        <v>0.06</v>
      </c>
      <c r="DM98" s="69" t="n">
        <v>0.7</v>
      </c>
      <c r="DN98" s="69" t="n">
        <v>0.29</v>
      </c>
      <c r="DO98" s="69" t="n">
        <v>0.33</v>
      </c>
      <c r="DP98" s="69" t="n">
        <v>0.65</v>
      </c>
      <c r="DQ98" s="69" t="n">
        <v>0.35</v>
      </c>
      <c r="DR98" s="69" t="n">
        <v>0.24</v>
      </c>
      <c r="DS98" s="69" t="n">
        <v>0.19</v>
      </c>
      <c r="DT98" s="69" t="n">
        <v>0.18</v>
      </c>
      <c r="DU98" s="69" t="n">
        <v>0.43</v>
      </c>
      <c r="DV98" s="69" t="n">
        <v>0.19</v>
      </c>
      <c r="DW98" s="69" t="n">
        <v>0.34</v>
      </c>
      <c r="DX98" s="69" t="n">
        <v>0.39</v>
      </c>
      <c r="DY98" s="69" t="n">
        <v>0.45</v>
      </c>
      <c r="DZ98" s="69" t="n">
        <v>0.14</v>
      </c>
      <c r="EA98" s="69" t="n">
        <v>0.25</v>
      </c>
      <c r="EB98" s="69" t="n">
        <v>0.5</v>
      </c>
      <c r="EC98" s="69" t="n">
        <v>0</v>
      </c>
      <c r="ED98" s="69" t="n">
        <v>0.3</v>
      </c>
      <c r="EE98" s="69" t="n">
        <v>0.38</v>
      </c>
      <c r="EF98" s="69" t="n">
        <v>0.32</v>
      </c>
      <c r="EG98" s="69" t="n">
        <v>0.29</v>
      </c>
      <c r="EH98" s="69" t="n">
        <v>0.16</v>
      </c>
      <c r="EI98" s="69" t="n">
        <v>0.3</v>
      </c>
      <c r="EJ98" s="69" t="n">
        <v>0.38</v>
      </c>
      <c r="EK98" s="69" t="n">
        <v>0.31</v>
      </c>
      <c r="EL98" s="69" t="n">
        <v>0.37</v>
      </c>
      <c r="EM98" s="69" t="n">
        <v>0.2</v>
      </c>
      <c r="EN98" s="69" t="n">
        <v>0.04</v>
      </c>
      <c r="EO98" s="69" t="n">
        <v>0.13</v>
      </c>
    </row>
    <row r="99" customFormat="false" ht="15" hidden="false" customHeight="false" outlineLevel="0" collapsed="false">
      <c r="A99" s="68" t="s">
        <v>324</v>
      </c>
      <c r="B99" s="69" t="n">
        <v>-0.05</v>
      </c>
      <c r="C99" s="69" t="n">
        <v>-0.06</v>
      </c>
      <c r="D99" s="69" t="n">
        <v>-0.01</v>
      </c>
      <c r="E99" s="69" t="n">
        <v>0.08</v>
      </c>
      <c r="F99" s="69" t="n">
        <v>-0.13</v>
      </c>
      <c r="G99" s="69" t="n">
        <v>-0.01</v>
      </c>
      <c r="H99" s="69" t="n">
        <v>0.1</v>
      </c>
      <c r="I99" s="69" t="n">
        <v>-0.06</v>
      </c>
      <c r="J99" s="69" t="n">
        <v>-0.11</v>
      </c>
      <c r="K99" s="69" t="n">
        <v>-0.04</v>
      </c>
      <c r="L99" s="69" t="n">
        <v>0.13</v>
      </c>
      <c r="M99" s="69" t="n">
        <v>0.31</v>
      </c>
      <c r="N99" s="69" t="n">
        <v>0.03</v>
      </c>
      <c r="O99" s="69" t="n">
        <v>0.05</v>
      </c>
      <c r="P99" s="69" t="n">
        <v>-0.05</v>
      </c>
      <c r="Q99" s="69" t="n">
        <v>0.08</v>
      </c>
      <c r="R99" s="69" t="n">
        <v>-0.11</v>
      </c>
      <c r="S99" s="69" t="n">
        <v>0.01</v>
      </c>
      <c r="T99" s="69" t="n">
        <v>0.2</v>
      </c>
      <c r="U99" s="69" t="n">
        <v>0.17</v>
      </c>
      <c r="V99" s="69" t="n">
        <v>0.06</v>
      </c>
      <c r="W99" s="69" t="n">
        <v>0.02</v>
      </c>
      <c r="X99" s="69" t="n">
        <v>0.21</v>
      </c>
      <c r="Y99" s="69" t="n">
        <v>0</v>
      </c>
      <c r="Z99" s="69" t="n">
        <v>0.1</v>
      </c>
      <c r="AA99" s="69" t="n">
        <v>0.1</v>
      </c>
      <c r="AB99" s="69" t="n">
        <v>-0.02</v>
      </c>
      <c r="AC99" s="69" t="n">
        <v>0.06</v>
      </c>
      <c r="AD99" s="69" t="n">
        <v>0.17</v>
      </c>
      <c r="AE99" s="69" t="n">
        <v>0.22</v>
      </c>
      <c r="AF99" s="69" t="n">
        <v>0.13</v>
      </c>
      <c r="AG99" s="69" t="n">
        <v>-0.22</v>
      </c>
      <c r="AH99" s="69" t="n">
        <v>-0.24</v>
      </c>
      <c r="AI99" s="69" t="n">
        <v>-0.2</v>
      </c>
      <c r="AJ99" s="69" t="n">
        <v>0.07</v>
      </c>
      <c r="AK99" s="69" t="n">
        <v>0.19</v>
      </c>
      <c r="AL99" s="69" t="n">
        <v>0.18</v>
      </c>
      <c r="AM99" s="69" t="n">
        <v>0.14</v>
      </c>
      <c r="AN99" s="69" t="n">
        <v>0.19</v>
      </c>
      <c r="AO99" s="69" t="n">
        <v>-0.08</v>
      </c>
      <c r="AP99" s="69" t="n">
        <v>0.1</v>
      </c>
      <c r="AQ99" s="69" t="n">
        <v>-0.18</v>
      </c>
      <c r="AR99" s="69" t="n">
        <v>0.16</v>
      </c>
      <c r="AS99" s="69" t="n">
        <v>0.18</v>
      </c>
      <c r="AT99" s="69" t="n">
        <v>0.24</v>
      </c>
      <c r="AU99" s="69" t="n">
        <v>-0.03</v>
      </c>
      <c r="AV99" s="69" t="n">
        <v>0.13</v>
      </c>
      <c r="AW99" s="69" t="n">
        <v>0.14</v>
      </c>
      <c r="AX99" s="69" t="n">
        <v>0.01</v>
      </c>
      <c r="AY99" s="69" t="n">
        <v>0.16</v>
      </c>
      <c r="AZ99" s="69" t="n">
        <v>0.25</v>
      </c>
      <c r="BA99" s="69" t="n">
        <v>0.23</v>
      </c>
      <c r="BB99" s="69" t="n">
        <v>0.41</v>
      </c>
      <c r="BC99" s="69" t="n">
        <v>0.15</v>
      </c>
      <c r="BD99" s="69" t="n">
        <v>0.15</v>
      </c>
      <c r="BE99" s="69" t="n">
        <v>0.05</v>
      </c>
      <c r="BF99" s="69" t="n">
        <v>0.16</v>
      </c>
      <c r="BG99" s="69" t="n">
        <v>0.15</v>
      </c>
      <c r="BH99" s="69" t="n">
        <v>0.15</v>
      </c>
      <c r="BI99" s="69" t="n">
        <v>0.03</v>
      </c>
      <c r="BJ99" s="69" t="n">
        <v>0.03</v>
      </c>
      <c r="BK99" s="69" t="n">
        <v>0.21</v>
      </c>
      <c r="BL99" s="69" t="n">
        <v>0.39</v>
      </c>
      <c r="BM99" s="69" t="n">
        <v>0.06</v>
      </c>
      <c r="BN99" s="69" t="n">
        <v>0.03</v>
      </c>
      <c r="BO99" s="69" t="n">
        <v>0.34</v>
      </c>
      <c r="BP99" s="69" t="n">
        <v>0.2</v>
      </c>
      <c r="BQ99" s="69" t="n">
        <v>0.29</v>
      </c>
      <c r="BR99" s="69" t="n">
        <v>0.29</v>
      </c>
      <c r="BS99" s="69" t="n">
        <v>-0.08</v>
      </c>
      <c r="BT99" s="69" t="n">
        <v>0.39</v>
      </c>
      <c r="BU99" s="69" t="n">
        <v>0.09</v>
      </c>
      <c r="BV99" s="69" t="n">
        <v>0.31</v>
      </c>
      <c r="BW99" s="69" t="n">
        <v>0.22</v>
      </c>
      <c r="BX99" s="69" t="n">
        <v>-0.02</v>
      </c>
      <c r="BY99" s="69" t="n">
        <v>0.28</v>
      </c>
      <c r="BZ99" s="69" t="n">
        <v>0.31</v>
      </c>
      <c r="CA99" s="69" t="n">
        <v>0.13</v>
      </c>
      <c r="CB99" s="69" t="n">
        <v>-0.08</v>
      </c>
      <c r="CC99" s="69" t="n">
        <v>0.07</v>
      </c>
      <c r="CD99" s="69" t="n">
        <v>0.22</v>
      </c>
      <c r="CE99" s="69" t="n">
        <v>0.37</v>
      </c>
      <c r="CF99" s="69" t="n">
        <v>-0.13</v>
      </c>
      <c r="CG99" s="69" t="n">
        <v>0.15</v>
      </c>
      <c r="CH99" s="69" t="n">
        <v>0.4</v>
      </c>
      <c r="CI99" s="69" t="n">
        <v>-0.16</v>
      </c>
      <c r="CJ99" s="69" t="n">
        <v>-0.03</v>
      </c>
      <c r="CK99" s="69" t="n">
        <v>0.06</v>
      </c>
      <c r="CL99" s="69" t="n">
        <v>0.26</v>
      </c>
      <c r="CM99" s="69" t="n">
        <v>0.66</v>
      </c>
      <c r="CN99" s="69" t="n">
        <v>0.07</v>
      </c>
      <c r="CO99" s="69" t="n">
        <v>0.15</v>
      </c>
      <c r="CP99" s="69" t="n">
        <v>0.17</v>
      </c>
      <c r="CQ99" s="69" t="n">
        <v>0.44</v>
      </c>
      <c r="CR99" s="69" t="n">
        <v>1</v>
      </c>
      <c r="CS99" s="69" t="n">
        <v>0.64</v>
      </c>
      <c r="CT99" s="69" t="n">
        <v>0.27</v>
      </c>
      <c r="CU99" s="69" t="n">
        <v>0.33</v>
      </c>
      <c r="CV99" s="69" t="n">
        <v>0.22</v>
      </c>
      <c r="CW99" s="69" t="n">
        <v>0.26</v>
      </c>
      <c r="CX99" s="69" t="n">
        <v>0.34</v>
      </c>
      <c r="CY99" s="69" t="n">
        <v>0.33</v>
      </c>
      <c r="CZ99" s="69" t="n">
        <v>0.09</v>
      </c>
      <c r="DA99" s="69" t="n">
        <v>0.14</v>
      </c>
      <c r="DB99" s="69" t="n">
        <v>0.48</v>
      </c>
      <c r="DC99" s="69" t="n">
        <v>0.27</v>
      </c>
      <c r="DD99" s="69" t="n">
        <v>0.28</v>
      </c>
      <c r="DE99" s="69" t="n">
        <v>0.54</v>
      </c>
      <c r="DF99" s="69" t="n">
        <v>-0.08</v>
      </c>
      <c r="DG99" s="69" t="n">
        <v>0.37</v>
      </c>
      <c r="DH99" s="69" t="n">
        <v>0.62</v>
      </c>
      <c r="DI99" s="69" t="n">
        <v>0.35</v>
      </c>
      <c r="DJ99" s="69" t="n">
        <v>0.34</v>
      </c>
      <c r="DK99" s="69" t="n">
        <v>0.45</v>
      </c>
      <c r="DL99" s="69" t="n">
        <v>0.19</v>
      </c>
      <c r="DM99" s="69" t="n">
        <v>0.41</v>
      </c>
      <c r="DN99" s="69" t="n">
        <v>0.13</v>
      </c>
      <c r="DO99" s="69" t="n">
        <v>0.31</v>
      </c>
      <c r="DP99" s="69" t="n">
        <v>0.32</v>
      </c>
      <c r="DQ99" s="69" t="n">
        <v>0.35</v>
      </c>
      <c r="DR99" s="69" t="n">
        <v>0.35</v>
      </c>
      <c r="DS99" s="69" t="n">
        <v>0.09</v>
      </c>
      <c r="DT99" s="69" t="n">
        <v>0.43</v>
      </c>
      <c r="DU99" s="69" t="n">
        <v>0.4</v>
      </c>
      <c r="DV99" s="69" t="n">
        <v>0.22</v>
      </c>
      <c r="DW99" s="69" t="n">
        <v>0.25</v>
      </c>
      <c r="DX99" s="69" t="n">
        <v>0.72</v>
      </c>
      <c r="DY99" s="69" t="n">
        <v>0.32</v>
      </c>
      <c r="DZ99" s="69" t="n">
        <v>0.14</v>
      </c>
      <c r="EA99" s="69" t="n">
        <v>0.24</v>
      </c>
      <c r="EB99" s="69" t="n">
        <v>0.35</v>
      </c>
      <c r="EC99" s="69" t="n">
        <v>0.14</v>
      </c>
      <c r="ED99" s="69" t="n">
        <v>0.29</v>
      </c>
      <c r="EE99" s="69" t="n">
        <v>0.67</v>
      </c>
      <c r="EF99" s="69" t="n">
        <v>0.29</v>
      </c>
      <c r="EG99" s="69" t="n">
        <v>0.54</v>
      </c>
      <c r="EH99" s="69" t="n">
        <v>0.09</v>
      </c>
      <c r="EI99" s="69" t="n">
        <v>0.62</v>
      </c>
      <c r="EJ99" s="69" t="n">
        <v>0.3</v>
      </c>
      <c r="EK99" s="69" t="n">
        <v>0.48</v>
      </c>
      <c r="EL99" s="69" t="n">
        <v>0.58</v>
      </c>
      <c r="EM99" s="69" t="n">
        <v>0.21</v>
      </c>
      <c r="EN99" s="69" t="n">
        <v>0.07</v>
      </c>
      <c r="EO99" s="69" t="n">
        <v>0.1</v>
      </c>
    </row>
    <row r="100" customFormat="false" ht="15" hidden="false" customHeight="false" outlineLevel="0" collapsed="false">
      <c r="A100" s="68" t="s">
        <v>326</v>
      </c>
      <c r="B100" s="69" t="n">
        <v>0.01</v>
      </c>
      <c r="C100" s="69" t="n">
        <v>0.05</v>
      </c>
      <c r="D100" s="69" t="n">
        <v>0.03</v>
      </c>
      <c r="E100" s="69" t="n">
        <v>0.08</v>
      </c>
      <c r="F100" s="69" t="n">
        <v>-0.13</v>
      </c>
      <c r="G100" s="69" t="n">
        <v>0</v>
      </c>
      <c r="H100" s="69" t="n">
        <v>0.11</v>
      </c>
      <c r="I100" s="69" t="n">
        <v>-0.03</v>
      </c>
      <c r="J100" s="69" t="n">
        <v>0.04</v>
      </c>
      <c r="K100" s="69" t="n">
        <v>0.05</v>
      </c>
      <c r="L100" s="69" t="n">
        <v>0.08</v>
      </c>
      <c r="M100" s="69" t="n">
        <v>0.28</v>
      </c>
      <c r="N100" s="69" t="n">
        <v>0.1</v>
      </c>
      <c r="O100" s="69" t="n">
        <v>0.11</v>
      </c>
      <c r="P100" s="69" t="n">
        <v>0.04</v>
      </c>
      <c r="Q100" s="69" t="n">
        <v>0.09</v>
      </c>
      <c r="R100" s="69" t="n">
        <v>-0.04</v>
      </c>
      <c r="S100" s="69" t="n">
        <v>0.04</v>
      </c>
      <c r="T100" s="69" t="n">
        <v>0.34</v>
      </c>
      <c r="U100" s="69" t="n">
        <v>0.18</v>
      </c>
      <c r="V100" s="69" t="n">
        <v>0.02</v>
      </c>
      <c r="W100" s="69" t="n">
        <v>0.16</v>
      </c>
      <c r="X100" s="69" t="n">
        <v>0.43</v>
      </c>
      <c r="Y100" s="69" t="n">
        <v>0.01</v>
      </c>
      <c r="Z100" s="69" t="n">
        <v>0.12</v>
      </c>
      <c r="AA100" s="69" t="n">
        <v>0.1</v>
      </c>
      <c r="AB100" s="69" t="n">
        <v>-0.07</v>
      </c>
      <c r="AC100" s="69" t="n">
        <v>0.11</v>
      </c>
      <c r="AD100" s="69" t="n">
        <v>0.2</v>
      </c>
      <c r="AE100" s="69" t="n">
        <v>0.25</v>
      </c>
      <c r="AF100" s="69" t="n">
        <v>0.23</v>
      </c>
      <c r="AG100" s="69" t="n">
        <v>-0.07</v>
      </c>
      <c r="AH100" s="69" t="n">
        <v>-0.01</v>
      </c>
      <c r="AI100" s="69" t="n">
        <v>-0.04</v>
      </c>
      <c r="AJ100" s="69" t="n">
        <v>0.08</v>
      </c>
      <c r="AK100" s="69" t="n">
        <v>0.24</v>
      </c>
      <c r="AL100" s="69" t="n">
        <v>0.13</v>
      </c>
      <c r="AM100" s="69" t="n">
        <v>0.15</v>
      </c>
      <c r="AN100" s="69" t="n">
        <v>0.24</v>
      </c>
      <c r="AO100" s="69" t="n">
        <v>0.04</v>
      </c>
      <c r="AP100" s="69" t="n">
        <v>0.06</v>
      </c>
      <c r="AQ100" s="69" t="n">
        <v>-0.03</v>
      </c>
      <c r="AR100" s="69" t="n">
        <v>0.33</v>
      </c>
      <c r="AS100" s="69" t="n">
        <v>0.14</v>
      </c>
      <c r="AT100" s="69" t="n">
        <v>0.26</v>
      </c>
      <c r="AU100" s="69" t="n">
        <v>0.14</v>
      </c>
      <c r="AV100" s="69" t="n">
        <v>0.17</v>
      </c>
      <c r="AW100" s="69" t="n">
        <v>0.23</v>
      </c>
      <c r="AX100" s="69" t="n">
        <v>0.15</v>
      </c>
      <c r="AY100" s="69" t="n">
        <v>0.2</v>
      </c>
      <c r="AZ100" s="69" t="n">
        <v>0.27</v>
      </c>
      <c r="BA100" s="69" t="n">
        <v>0.41</v>
      </c>
      <c r="BB100" s="69" t="n">
        <v>0.44</v>
      </c>
      <c r="BC100" s="69" t="n">
        <v>0.16</v>
      </c>
      <c r="BD100" s="69" t="n">
        <v>0.2</v>
      </c>
      <c r="BE100" s="69" t="n">
        <v>0.15</v>
      </c>
      <c r="BF100" s="69" t="n">
        <v>0.19</v>
      </c>
      <c r="BG100" s="69" t="n">
        <v>0.11</v>
      </c>
      <c r="BH100" s="69" t="n">
        <v>0.12</v>
      </c>
      <c r="BI100" s="69" t="n">
        <v>-0.01</v>
      </c>
      <c r="BJ100" s="69" t="n">
        <v>0.05</v>
      </c>
      <c r="BK100" s="69" t="n">
        <v>0.25</v>
      </c>
      <c r="BL100" s="69" t="n">
        <v>0.38</v>
      </c>
      <c r="BM100" s="69" t="n">
        <v>0.09</v>
      </c>
      <c r="BN100" s="69" t="n">
        <v>0.14</v>
      </c>
      <c r="BO100" s="69" t="n">
        <v>0.33</v>
      </c>
      <c r="BP100" s="69" t="n">
        <v>-0.1</v>
      </c>
      <c r="BQ100" s="69" t="n">
        <v>0.39</v>
      </c>
      <c r="BR100" s="69" t="n">
        <v>0.25</v>
      </c>
      <c r="BS100" s="69" t="n">
        <v>0.02</v>
      </c>
      <c r="BT100" s="69" t="n">
        <v>0.49</v>
      </c>
      <c r="BU100" s="69" t="n">
        <v>0.14</v>
      </c>
      <c r="BV100" s="69" t="n">
        <v>0.16</v>
      </c>
      <c r="BW100" s="69" t="n">
        <v>0.11</v>
      </c>
      <c r="BX100" s="69" t="n">
        <v>0.1</v>
      </c>
      <c r="BY100" s="69" t="n">
        <v>0.28</v>
      </c>
      <c r="BZ100" s="69" t="n">
        <v>0.28</v>
      </c>
      <c r="CA100" s="69" t="n">
        <v>0.14</v>
      </c>
      <c r="CB100" s="69" t="n">
        <v>-0.06</v>
      </c>
      <c r="CC100" s="69" t="n">
        <v>0.09</v>
      </c>
      <c r="CD100" s="69" t="n">
        <v>0.04</v>
      </c>
      <c r="CE100" s="69" t="n">
        <v>0.39</v>
      </c>
      <c r="CF100" s="69" t="n">
        <v>-0.03</v>
      </c>
      <c r="CG100" s="69" t="n">
        <v>0.05</v>
      </c>
      <c r="CH100" s="69" t="n">
        <v>0.44</v>
      </c>
      <c r="CI100" s="69" t="n">
        <v>-0.04</v>
      </c>
      <c r="CJ100" s="69" t="n">
        <v>-0.14</v>
      </c>
      <c r="CK100" s="69" t="n">
        <v>0.02</v>
      </c>
      <c r="CL100" s="69" t="n">
        <v>0.26</v>
      </c>
      <c r="CM100" s="69" t="n">
        <v>0.41</v>
      </c>
      <c r="CN100" s="69" t="n">
        <v>0.19</v>
      </c>
      <c r="CO100" s="69" t="n">
        <v>0.13</v>
      </c>
      <c r="CP100" s="69" t="n">
        <v>0.08</v>
      </c>
      <c r="CQ100" s="69" t="n">
        <v>0.46</v>
      </c>
      <c r="CR100" s="69" t="n">
        <v>0.64</v>
      </c>
      <c r="CS100" s="69" t="n">
        <v>1</v>
      </c>
      <c r="CT100" s="69" t="n">
        <v>0.21</v>
      </c>
      <c r="CU100" s="69" t="n">
        <v>0.24</v>
      </c>
      <c r="CV100" s="69" t="n">
        <v>0.12</v>
      </c>
      <c r="CW100" s="69" t="n">
        <v>0.1</v>
      </c>
      <c r="CX100" s="69" t="n">
        <v>0.31</v>
      </c>
      <c r="CY100" s="69" t="n">
        <v>0.39</v>
      </c>
      <c r="CZ100" s="69" t="n">
        <v>0.01</v>
      </c>
      <c r="DA100" s="69" t="n">
        <v>0</v>
      </c>
      <c r="DB100" s="69" t="n">
        <v>0.38</v>
      </c>
      <c r="DC100" s="69" t="n">
        <v>0.27</v>
      </c>
      <c r="DD100" s="69" t="n">
        <v>0.14</v>
      </c>
      <c r="DE100" s="69" t="n">
        <v>0.52</v>
      </c>
      <c r="DF100" s="69" t="n">
        <v>-0.22</v>
      </c>
      <c r="DG100" s="69" t="n">
        <v>0.38</v>
      </c>
      <c r="DH100" s="69" t="n">
        <v>0.51</v>
      </c>
      <c r="DI100" s="69" t="n">
        <v>0.39</v>
      </c>
      <c r="DJ100" s="69" t="n">
        <v>0.33</v>
      </c>
      <c r="DK100" s="69" t="n">
        <v>0.48</v>
      </c>
      <c r="DL100" s="69" t="n">
        <v>0.22</v>
      </c>
      <c r="DM100" s="69" t="n">
        <v>0.42</v>
      </c>
      <c r="DN100" s="69" t="n">
        <v>-0.02</v>
      </c>
      <c r="DO100" s="69" t="n">
        <v>0.44</v>
      </c>
      <c r="DP100" s="69" t="n">
        <v>0.33</v>
      </c>
      <c r="DQ100" s="69" t="n">
        <v>0.39</v>
      </c>
      <c r="DR100" s="69" t="n">
        <v>0.35</v>
      </c>
      <c r="DS100" s="69" t="n">
        <v>-0.1</v>
      </c>
      <c r="DT100" s="69" t="n">
        <v>0.21</v>
      </c>
      <c r="DU100" s="69" t="n">
        <v>0.32</v>
      </c>
      <c r="DV100" s="69" t="n">
        <v>0.13</v>
      </c>
      <c r="DW100" s="69" t="n">
        <v>0.04</v>
      </c>
      <c r="DX100" s="69" t="n">
        <v>0.71</v>
      </c>
      <c r="DY100" s="69" t="n">
        <v>0.18</v>
      </c>
      <c r="DZ100" s="69" t="n">
        <v>0.01</v>
      </c>
      <c r="EA100" s="69" t="n">
        <v>0.2</v>
      </c>
      <c r="EB100" s="69" t="n">
        <v>0.24</v>
      </c>
      <c r="EC100" s="69" t="n">
        <v>0.14</v>
      </c>
      <c r="ED100" s="69" t="n">
        <v>0.25</v>
      </c>
      <c r="EE100" s="69" t="n">
        <v>0.56</v>
      </c>
      <c r="EF100" s="69" t="n">
        <v>0.32</v>
      </c>
      <c r="EG100" s="69" t="n">
        <v>0.48</v>
      </c>
      <c r="EH100" s="69" t="n">
        <v>-0.06</v>
      </c>
      <c r="EI100" s="69" t="n">
        <v>0.54</v>
      </c>
      <c r="EJ100" s="69" t="n">
        <v>0.23</v>
      </c>
      <c r="EK100" s="69" t="n">
        <v>0.47</v>
      </c>
      <c r="EL100" s="69" t="n">
        <v>0.51</v>
      </c>
      <c r="EM100" s="69" t="n">
        <v>0.08</v>
      </c>
      <c r="EN100" s="69" t="n">
        <v>0</v>
      </c>
      <c r="EO100" s="69" t="n">
        <v>0.07</v>
      </c>
    </row>
    <row r="101" customFormat="false" ht="15" hidden="false" customHeight="false" outlineLevel="0" collapsed="false">
      <c r="A101" s="68" t="s">
        <v>328</v>
      </c>
      <c r="B101" s="69" t="n">
        <v>0.1</v>
      </c>
      <c r="C101" s="69" t="n">
        <v>0.03</v>
      </c>
      <c r="D101" s="69" t="n">
        <v>0.07</v>
      </c>
      <c r="E101" s="69" t="n">
        <v>0.15</v>
      </c>
      <c r="F101" s="69" t="n">
        <v>-0.01</v>
      </c>
      <c r="G101" s="69" t="n">
        <v>0.14</v>
      </c>
      <c r="H101" s="69" t="n">
        <v>0.14</v>
      </c>
      <c r="I101" s="69" t="n">
        <v>0.06</v>
      </c>
      <c r="J101" s="69" t="n">
        <v>0</v>
      </c>
      <c r="K101" s="69" t="n">
        <v>0.09</v>
      </c>
      <c r="L101" s="69" t="n">
        <v>0.1</v>
      </c>
      <c r="M101" s="69" t="n">
        <v>0.26</v>
      </c>
      <c r="N101" s="69" t="n">
        <v>0.2</v>
      </c>
      <c r="O101" s="69" t="n">
        <v>0.13</v>
      </c>
      <c r="P101" s="69" t="n">
        <v>0.09</v>
      </c>
      <c r="Q101" s="69" t="n">
        <v>0.09</v>
      </c>
      <c r="R101" s="69" t="n">
        <v>0.02</v>
      </c>
      <c r="S101" s="69" t="n">
        <v>0.06</v>
      </c>
      <c r="T101" s="69" t="n">
        <v>0.26</v>
      </c>
      <c r="U101" s="69" t="n">
        <v>0.27</v>
      </c>
      <c r="V101" s="69" t="n">
        <v>0.18</v>
      </c>
      <c r="W101" s="69" t="n">
        <v>0.14</v>
      </c>
      <c r="X101" s="69" t="n">
        <v>0.27</v>
      </c>
      <c r="Y101" s="69" t="n">
        <v>0.25</v>
      </c>
      <c r="Z101" s="69" t="n">
        <v>0.14</v>
      </c>
      <c r="AA101" s="69" t="n">
        <v>0.12</v>
      </c>
      <c r="AB101" s="69" t="n">
        <v>0.24</v>
      </c>
      <c r="AC101" s="69" t="n">
        <v>0.13</v>
      </c>
      <c r="AD101" s="69" t="n">
        <v>0.1</v>
      </c>
      <c r="AE101" s="69" t="n">
        <v>0.11</v>
      </c>
      <c r="AF101" s="69" t="n">
        <v>0.15</v>
      </c>
      <c r="AG101" s="69" t="n">
        <v>0</v>
      </c>
      <c r="AH101" s="69" t="n">
        <v>0</v>
      </c>
      <c r="AI101" s="69" t="n">
        <v>-0.04</v>
      </c>
      <c r="AJ101" s="69" t="n">
        <v>0.12</v>
      </c>
      <c r="AK101" s="69" t="n">
        <v>0.2</v>
      </c>
      <c r="AL101" s="69" t="n">
        <v>0.21</v>
      </c>
      <c r="AM101" s="69" t="n">
        <v>0.19</v>
      </c>
      <c r="AN101" s="69" t="n">
        <v>0.24</v>
      </c>
      <c r="AO101" s="69" t="n">
        <v>0.01</v>
      </c>
      <c r="AP101" s="69" t="n">
        <v>0.36</v>
      </c>
      <c r="AQ101" s="69" t="n">
        <v>-0.08</v>
      </c>
      <c r="AR101" s="69" t="n">
        <v>0.21</v>
      </c>
      <c r="AS101" s="69" t="n">
        <v>0.25</v>
      </c>
      <c r="AT101" s="69" t="n">
        <v>0.32</v>
      </c>
      <c r="AU101" s="69" t="n">
        <v>0.02</v>
      </c>
      <c r="AV101" s="69" t="n">
        <v>0.12</v>
      </c>
      <c r="AW101" s="69" t="n">
        <v>0.15</v>
      </c>
      <c r="AX101" s="69" t="n">
        <v>0.09</v>
      </c>
      <c r="AY101" s="69" t="n">
        <v>0.19</v>
      </c>
      <c r="AZ101" s="69" t="n">
        <v>0.1</v>
      </c>
      <c r="BA101" s="69" t="n">
        <v>0.17</v>
      </c>
      <c r="BB101" s="69" t="n">
        <v>0.3</v>
      </c>
      <c r="BC101" s="69" t="n">
        <v>0.16</v>
      </c>
      <c r="BD101" s="69" t="n">
        <v>0.16</v>
      </c>
      <c r="BE101" s="69" t="n">
        <v>0.05</v>
      </c>
      <c r="BF101" s="69" t="n">
        <v>0.24</v>
      </c>
      <c r="BG101" s="69" t="n">
        <v>0.22</v>
      </c>
      <c r="BH101" s="69" t="n">
        <v>0.18</v>
      </c>
      <c r="BI101" s="69" t="n">
        <v>0.12</v>
      </c>
      <c r="BJ101" s="69" t="n">
        <v>-0.03</v>
      </c>
      <c r="BK101" s="69" t="n">
        <v>0.11</v>
      </c>
      <c r="BL101" s="69" t="n">
        <v>0.23</v>
      </c>
      <c r="BM101" s="69" t="n">
        <v>0.17</v>
      </c>
      <c r="BN101" s="69" t="n">
        <v>0.14</v>
      </c>
      <c r="BO101" s="69" t="n">
        <v>0.32</v>
      </c>
      <c r="BP101" s="69" t="n">
        <v>0.25</v>
      </c>
      <c r="BQ101" s="69" t="n">
        <v>0.25</v>
      </c>
      <c r="BR101" s="69" t="n">
        <v>0.3</v>
      </c>
      <c r="BS101" s="69" t="n">
        <v>-0.07</v>
      </c>
      <c r="BT101" s="69" t="n">
        <v>0.24</v>
      </c>
      <c r="BU101" s="69" t="n">
        <v>0.06</v>
      </c>
      <c r="BV101" s="69" t="n">
        <v>0.35</v>
      </c>
      <c r="BW101" s="69" t="n">
        <v>0.26</v>
      </c>
      <c r="BX101" s="69" t="n">
        <v>0.11</v>
      </c>
      <c r="BY101" s="69" t="n">
        <v>0.24</v>
      </c>
      <c r="BZ101" s="69" t="n">
        <v>0.28</v>
      </c>
      <c r="CA101" s="69" t="n">
        <v>0.12</v>
      </c>
      <c r="CB101" s="69" t="n">
        <v>-0.09</v>
      </c>
      <c r="CC101" s="69" t="n">
        <v>0.17</v>
      </c>
      <c r="CD101" s="69" t="n">
        <v>0.24</v>
      </c>
      <c r="CE101" s="69" t="n">
        <v>0.18</v>
      </c>
      <c r="CF101" s="69" t="n">
        <v>-0.05</v>
      </c>
      <c r="CG101" s="69" t="n">
        <v>0.41</v>
      </c>
      <c r="CH101" s="69" t="n">
        <v>0.26</v>
      </c>
      <c r="CI101" s="69" t="n">
        <v>-0.07</v>
      </c>
      <c r="CJ101" s="69" t="n">
        <v>0.26</v>
      </c>
      <c r="CK101" s="69" t="n">
        <v>0.21</v>
      </c>
      <c r="CL101" s="69" t="n">
        <v>0.16</v>
      </c>
      <c r="CM101" s="69" t="n">
        <v>0.19</v>
      </c>
      <c r="CN101" s="69" t="n">
        <v>0.06</v>
      </c>
      <c r="CO101" s="69" t="n">
        <v>0.16</v>
      </c>
      <c r="CP101" s="69" t="n">
        <v>0.21</v>
      </c>
      <c r="CQ101" s="69" t="n">
        <v>0.27</v>
      </c>
      <c r="CR101" s="69" t="n">
        <v>0.27</v>
      </c>
      <c r="CS101" s="69" t="n">
        <v>0.21</v>
      </c>
      <c r="CT101" s="69" t="n">
        <v>1</v>
      </c>
      <c r="CU101" s="69" t="n">
        <v>0.17</v>
      </c>
      <c r="CV101" s="69" t="n">
        <v>0.23</v>
      </c>
      <c r="CW101" s="69" t="n">
        <v>0.28</v>
      </c>
      <c r="CX101" s="69" t="n">
        <v>0.32</v>
      </c>
      <c r="CY101" s="69" t="n">
        <v>0.27</v>
      </c>
      <c r="CZ101" s="69" t="n">
        <v>0.25</v>
      </c>
      <c r="DA101" s="69" t="n">
        <v>0.32</v>
      </c>
      <c r="DB101" s="69" t="n">
        <v>0.36</v>
      </c>
      <c r="DC101" s="69" t="n">
        <v>0.18</v>
      </c>
      <c r="DD101" s="69" t="n">
        <v>0.47</v>
      </c>
      <c r="DE101" s="69" t="n">
        <v>0.28</v>
      </c>
      <c r="DF101" s="69" t="n">
        <v>0.23</v>
      </c>
      <c r="DG101" s="69" t="n">
        <v>0.34</v>
      </c>
      <c r="DH101" s="69" t="n">
        <v>0.19</v>
      </c>
      <c r="DI101" s="69" t="n">
        <v>0.29</v>
      </c>
      <c r="DJ101" s="69" t="n">
        <v>0.25</v>
      </c>
      <c r="DK101" s="69" t="n">
        <v>0.3</v>
      </c>
      <c r="DL101" s="69" t="n">
        <v>0.16</v>
      </c>
      <c r="DM101" s="69" t="n">
        <v>0.34</v>
      </c>
      <c r="DN101" s="69" t="n">
        <v>0.26</v>
      </c>
      <c r="DO101" s="69" t="n">
        <v>0.27</v>
      </c>
      <c r="DP101" s="69" t="n">
        <v>0.26</v>
      </c>
      <c r="DQ101" s="69" t="n">
        <v>0.19</v>
      </c>
      <c r="DR101" s="69" t="n">
        <v>0.17</v>
      </c>
      <c r="DS101" s="69" t="n">
        <v>0.14</v>
      </c>
      <c r="DT101" s="69" t="n">
        <v>0.27</v>
      </c>
      <c r="DU101" s="69" t="n">
        <v>0.36</v>
      </c>
      <c r="DV101" s="69" t="n">
        <v>0.32</v>
      </c>
      <c r="DW101" s="69" t="n">
        <v>0.36</v>
      </c>
      <c r="DX101" s="69" t="n">
        <v>0.21</v>
      </c>
      <c r="DY101" s="69" t="n">
        <v>0.4</v>
      </c>
      <c r="DZ101" s="69" t="n">
        <v>0.31</v>
      </c>
      <c r="EA101" s="69" t="n">
        <v>0.21</v>
      </c>
      <c r="EB101" s="69" t="n">
        <v>0.36</v>
      </c>
      <c r="EC101" s="69" t="n">
        <v>0.12</v>
      </c>
      <c r="ED101" s="69" t="n">
        <v>0.38</v>
      </c>
      <c r="EE101" s="69" t="n">
        <v>0.28</v>
      </c>
      <c r="EF101" s="69" t="n">
        <v>0.14</v>
      </c>
      <c r="EG101" s="69" t="n">
        <v>0.2</v>
      </c>
      <c r="EH101" s="69" t="n">
        <v>0.19</v>
      </c>
      <c r="EI101" s="69" t="n">
        <v>0.13</v>
      </c>
      <c r="EJ101" s="69" t="n">
        <v>0.24</v>
      </c>
      <c r="EK101" s="69" t="n">
        <v>0.27</v>
      </c>
      <c r="EL101" s="69" t="n">
        <v>0.24</v>
      </c>
      <c r="EM101" s="69" t="n">
        <v>0.02</v>
      </c>
      <c r="EN101" s="69" t="n">
        <v>0.09</v>
      </c>
      <c r="EO101" s="69" t="n">
        <v>0.16</v>
      </c>
    </row>
    <row r="102" customFormat="false" ht="15" hidden="false" customHeight="false" outlineLevel="0" collapsed="false">
      <c r="A102" s="68" t="s">
        <v>161</v>
      </c>
      <c r="B102" s="69" t="n">
        <v>0</v>
      </c>
      <c r="C102" s="69" t="n">
        <v>0.01</v>
      </c>
      <c r="D102" s="69" t="n">
        <v>0.08</v>
      </c>
      <c r="E102" s="69" t="n">
        <v>0.01</v>
      </c>
      <c r="F102" s="69" t="n">
        <v>0</v>
      </c>
      <c r="G102" s="69" t="n">
        <v>-0.03</v>
      </c>
      <c r="H102" s="69" t="n">
        <v>0.04</v>
      </c>
      <c r="I102" s="69" t="n">
        <v>0.07</v>
      </c>
      <c r="J102" s="69" t="n">
        <v>0.01</v>
      </c>
      <c r="K102" s="69" t="n">
        <v>0.05</v>
      </c>
      <c r="L102" s="69" t="n">
        <v>0.11</v>
      </c>
      <c r="M102" s="69" t="n">
        <v>0.15</v>
      </c>
      <c r="N102" s="69" t="n">
        <v>0.12</v>
      </c>
      <c r="O102" s="69" t="n">
        <v>0.01</v>
      </c>
      <c r="P102" s="69" t="n">
        <v>0.05</v>
      </c>
      <c r="Q102" s="69" t="n">
        <v>0.1</v>
      </c>
      <c r="R102" s="69" t="n">
        <v>0.05</v>
      </c>
      <c r="S102" s="69" t="n">
        <v>0.05</v>
      </c>
      <c r="T102" s="69" t="n">
        <v>0.13</v>
      </c>
      <c r="U102" s="69" t="n">
        <v>0.12</v>
      </c>
      <c r="V102" s="69" t="n">
        <v>0.07</v>
      </c>
      <c r="W102" s="69" t="n">
        <v>0.01</v>
      </c>
      <c r="X102" s="69" t="n">
        <v>0.13</v>
      </c>
      <c r="Y102" s="69" t="n">
        <v>0.01</v>
      </c>
      <c r="Z102" s="69" t="n">
        <v>0.15</v>
      </c>
      <c r="AA102" s="69" t="n">
        <v>0.04</v>
      </c>
      <c r="AB102" s="69" t="n">
        <v>0</v>
      </c>
      <c r="AC102" s="69" t="n">
        <v>0.03</v>
      </c>
      <c r="AD102" s="69" t="n">
        <v>0.06</v>
      </c>
      <c r="AE102" s="69" t="n">
        <v>0.13</v>
      </c>
      <c r="AF102" s="69" t="n">
        <v>0.09</v>
      </c>
      <c r="AG102" s="69" t="n">
        <v>-0.01</v>
      </c>
      <c r="AH102" s="69" t="n">
        <v>-0.03</v>
      </c>
      <c r="AI102" s="69" t="n">
        <v>0</v>
      </c>
      <c r="AJ102" s="69" t="n">
        <v>0.08</v>
      </c>
      <c r="AK102" s="69" t="n">
        <v>0.1</v>
      </c>
      <c r="AL102" s="69" t="n">
        <v>0.21</v>
      </c>
      <c r="AM102" s="69" t="n">
        <v>0.16</v>
      </c>
      <c r="AN102" s="69" t="n">
        <v>0.09</v>
      </c>
      <c r="AO102" s="69" t="n">
        <v>-0.08</v>
      </c>
      <c r="AP102" s="69" t="n">
        <v>0.13</v>
      </c>
      <c r="AQ102" s="69" t="n">
        <v>-0.02</v>
      </c>
      <c r="AR102" s="69" t="n">
        <v>0.15</v>
      </c>
      <c r="AS102" s="69" t="n">
        <v>0.18</v>
      </c>
      <c r="AT102" s="69" t="n">
        <v>0.12</v>
      </c>
      <c r="AU102" s="69" t="n">
        <v>0.03</v>
      </c>
      <c r="AV102" s="69" t="n">
        <v>0.16</v>
      </c>
      <c r="AW102" s="69" t="n">
        <v>0.08</v>
      </c>
      <c r="AX102" s="69" t="n">
        <v>0.02</v>
      </c>
      <c r="AY102" s="69" t="n">
        <v>0.03</v>
      </c>
      <c r="AZ102" s="69" t="n">
        <v>0.07</v>
      </c>
      <c r="BA102" s="69" t="n">
        <v>0.03</v>
      </c>
      <c r="BB102" s="69" t="n">
        <v>0.13</v>
      </c>
      <c r="BC102" s="69" t="n">
        <v>0.1</v>
      </c>
      <c r="BD102" s="69" t="n">
        <v>0.13</v>
      </c>
      <c r="BE102" s="69" t="n">
        <v>-0.01</v>
      </c>
      <c r="BF102" s="69" t="n">
        <v>0.18</v>
      </c>
      <c r="BG102" s="69" t="n">
        <v>0.08</v>
      </c>
      <c r="BH102" s="69" t="n">
        <v>0.21</v>
      </c>
      <c r="BI102" s="69" t="n">
        <v>0.09</v>
      </c>
      <c r="BJ102" s="69" t="n">
        <v>-0.01</v>
      </c>
      <c r="BK102" s="69" t="n">
        <v>0.12</v>
      </c>
      <c r="BL102" s="69" t="n">
        <v>0.26</v>
      </c>
      <c r="BM102" s="69" t="n">
        <v>0.1</v>
      </c>
      <c r="BN102" s="69" t="n">
        <v>0.06</v>
      </c>
      <c r="BO102" s="69" t="n">
        <v>0.38</v>
      </c>
      <c r="BP102" s="69" t="n">
        <v>0.14</v>
      </c>
      <c r="BQ102" s="69" t="n">
        <v>0.15</v>
      </c>
      <c r="BR102" s="69" t="n">
        <v>0.28</v>
      </c>
      <c r="BS102" s="69" t="n">
        <v>0.04</v>
      </c>
      <c r="BT102" s="69" t="n">
        <v>0.17</v>
      </c>
      <c r="BU102" s="69" t="n">
        <v>0.15</v>
      </c>
      <c r="BV102" s="69" t="n">
        <v>0.3</v>
      </c>
      <c r="BW102" s="69" t="n">
        <v>0.23</v>
      </c>
      <c r="BX102" s="69" t="n">
        <v>0</v>
      </c>
      <c r="BY102" s="69" t="n">
        <v>0.14</v>
      </c>
      <c r="BZ102" s="69" t="n">
        <v>0.2</v>
      </c>
      <c r="CA102" s="69" t="n">
        <v>0.05</v>
      </c>
      <c r="CB102" s="69" t="n">
        <v>-0.05</v>
      </c>
      <c r="CC102" s="69" t="n">
        <v>0.01</v>
      </c>
      <c r="CD102" s="69" t="n">
        <v>0.2</v>
      </c>
      <c r="CE102" s="69" t="n">
        <v>0.12</v>
      </c>
      <c r="CF102" s="69" t="n">
        <v>0</v>
      </c>
      <c r="CG102" s="69" t="n">
        <v>0.14</v>
      </c>
      <c r="CH102" s="69" t="n">
        <v>0.26</v>
      </c>
      <c r="CI102" s="69" t="n">
        <v>-0.02</v>
      </c>
      <c r="CJ102" s="69" t="n">
        <v>0.09</v>
      </c>
      <c r="CK102" s="69" t="n">
        <v>0.15</v>
      </c>
      <c r="CL102" s="69" t="n">
        <v>0.2</v>
      </c>
      <c r="CM102" s="69" t="n">
        <v>0.33</v>
      </c>
      <c r="CN102" s="69" t="n">
        <v>0.11</v>
      </c>
      <c r="CO102" s="69" t="n">
        <v>0.14</v>
      </c>
      <c r="CP102" s="69" t="n">
        <v>0.09</v>
      </c>
      <c r="CQ102" s="69" t="n">
        <v>0.17</v>
      </c>
      <c r="CR102" s="69" t="n">
        <v>0.33</v>
      </c>
      <c r="CS102" s="69" t="n">
        <v>0.24</v>
      </c>
      <c r="CT102" s="69" t="n">
        <v>0.17</v>
      </c>
      <c r="CU102" s="69" t="n">
        <v>1</v>
      </c>
      <c r="CV102" s="69" t="n">
        <v>0.25</v>
      </c>
      <c r="CW102" s="69" t="n">
        <v>0.21</v>
      </c>
      <c r="CX102" s="69" t="n">
        <v>0.21</v>
      </c>
      <c r="CY102" s="69" t="n">
        <v>0.15</v>
      </c>
      <c r="CZ102" s="69" t="n">
        <v>0.15</v>
      </c>
      <c r="DA102" s="69" t="n">
        <v>0.19</v>
      </c>
      <c r="DB102" s="69" t="n">
        <v>0.25</v>
      </c>
      <c r="DC102" s="69" t="n">
        <v>0.15</v>
      </c>
      <c r="DD102" s="69" t="n">
        <v>0.13</v>
      </c>
      <c r="DE102" s="69" t="n">
        <v>0.24</v>
      </c>
      <c r="DF102" s="69" t="n">
        <v>-0.01</v>
      </c>
      <c r="DG102" s="69" t="n">
        <v>0.23</v>
      </c>
      <c r="DH102" s="69" t="n">
        <v>0.27</v>
      </c>
      <c r="DI102" s="69" t="n">
        <v>0.16</v>
      </c>
      <c r="DJ102" s="69" t="n">
        <v>0.15</v>
      </c>
      <c r="DK102" s="69" t="n">
        <v>0.19</v>
      </c>
      <c r="DL102" s="69" t="n">
        <v>0.24</v>
      </c>
      <c r="DM102" s="69" t="n">
        <v>0.16</v>
      </c>
      <c r="DN102" s="69" t="n">
        <v>0.08</v>
      </c>
      <c r="DO102" s="69" t="n">
        <v>0.16</v>
      </c>
      <c r="DP102" s="69" t="n">
        <v>0.15</v>
      </c>
      <c r="DQ102" s="69" t="n">
        <v>0.17</v>
      </c>
      <c r="DR102" s="69" t="n">
        <v>0.25</v>
      </c>
      <c r="DS102" s="69" t="n">
        <v>0.12</v>
      </c>
      <c r="DT102" s="69" t="n">
        <v>0.21</v>
      </c>
      <c r="DU102" s="69" t="n">
        <v>0.2</v>
      </c>
      <c r="DV102" s="69" t="n">
        <v>0.11</v>
      </c>
      <c r="DW102" s="69" t="n">
        <v>0.16</v>
      </c>
      <c r="DX102" s="69" t="n">
        <v>0.19</v>
      </c>
      <c r="DY102" s="69" t="n">
        <v>0.12</v>
      </c>
      <c r="DZ102" s="69" t="n">
        <v>0.1</v>
      </c>
      <c r="EA102" s="69" t="n">
        <v>0.21</v>
      </c>
      <c r="EB102" s="69" t="n">
        <v>0.15</v>
      </c>
      <c r="EC102" s="69" t="n">
        <v>0.13</v>
      </c>
      <c r="ED102" s="69" t="n">
        <v>0.11</v>
      </c>
      <c r="EE102" s="69" t="n">
        <v>0.3</v>
      </c>
      <c r="EF102" s="69" t="n">
        <v>0.22</v>
      </c>
      <c r="EG102" s="69" t="n">
        <v>0.17</v>
      </c>
      <c r="EH102" s="69" t="n">
        <v>0.13</v>
      </c>
      <c r="EI102" s="69" t="n">
        <v>0.16</v>
      </c>
      <c r="EJ102" s="69" t="n">
        <v>0.19</v>
      </c>
      <c r="EK102" s="69" t="n">
        <v>0.29</v>
      </c>
      <c r="EL102" s="69" t="n">
        <v>0.29</v>
      </c>
      <c r="EM102" s="69" t="n">
        <v>0.1</v>
      </c>
      <c r="EN102" s="69" t="n">
        <v>0.03</v>
      </c>
      <c r="EO102" s="69" t="n">
        <v>0.09</v>
      </c>
    </row>
    <row r="103" customFormat="false" ht="15" hidden="false" customHeight="false" outlineLevel="0" collapsed="false">
      <c r="A103" s="68" t="s">
        <v>330</v>
      </c>
      <c r="B103" s="69" t="n">
        <v>0.07</v>
      </c>
      <c r="C103" s="69" t="n">
        <v>-0.06</v>
      </c>
      <c r="D103" s="69" t="n">
        <v>0.02</v>
      </c>
      <c r="E103" s="69" t="n">
        <v>0</v>
      </c>
      <c r="F103" s="69" t="n">
        <v>-0.06</v>
      </c>
      <c r="G103" s="69" t="n">
        <v>0.01</v>
      </c>
      <c r="H103" s="69" t="n">
        <v>0.02</v>
      </c>
      <c r="I103" s="69" t="n">
        <v>0.06</v>
      </c>
      <c r="J103" s="69" t="n">
        <v>-0.08</v>
      </c>
      <c r="K103" s="69" t="n">
        <v>0.09</v>
      </c>
      <c r="L103" s="69" t="n">
        <v>0</v>
      </c>
      <c r="M103" s="69" t="n">
        <v>0.27</v>
      </c>
      <c r="N103" s="69" t="n">
        <v>0.07</v>
      </c>
      <c r="O103" s="69" t="n">
        <v>0.02</v>
      </c>
      <c r="P103" s="69" t="n">
        <v>-0.04</v>
      </c>
      <c r="Q103" s="69" t="n">
        <v>-0.1</v>
      </c>
      <c r="R103" s="69" t="n">
        <v>0.03</v>
      </c>
      <c r="S103" s="69" t="n">
        <v>0.05</v>
      </c>
      <c r="T103" s="69" t="n">
        <v>0.23</v>
      </c>
      <c r="U103" s="69" t="n">
        <v>0.13</v>
      </c>
      <c r="V103" s="69" t="n">
        <v>0.13</v>
      </c>
      <c r="W103" s="69" t="n">
        <v>-0.03</v>
      </c>
      <c r="X103" s="69" t="n">
        <v>0.21</v>
      </c>
      <c r="Y103" s="69" t="n">
        <v>0.23</v>
      </c>
      <c r="Z103" s="69" t="n">
        <v>0.1</v>
      </c>
      <c r="AA103" s="69" t="n">
        <v>-0.03</v>
      </c>
      <c r="AB103" s="69" t="n">
        <v>0.25</v>
      </c>
      <c r="AC103" s="69" t="n">
        <v>0.11</v>
      </c>
      <c r="AD103" s="69" t="n">
        <v>0.05</v>
      </c>
      <c r="AE103" s="69" t="n">
        <v>0.14</v>
      </c>
      <c r="AF103" s="69" t="n">
        <v>0.17</v>
      </c>
      <c r="AG103" s="69" t="n">
        <v>0.01</v>
      </c>
      <c r="AH103" s="69" t="n">
        <v>-0.04</v>
      </c>
      <c r="AI103" s="69" t="n">
        <v>-0.15</v>
      </c>
      <c r="AJ103" s="69" t="n">
        <v>-0.07</v>
      </c>
      <c r="AK103" s="69" t="n">
        <v>0.12</v>
      </c>
      <c r="AL103" s="69" t="n">
        <v>0.16</v>
      </c>
      <c r="AM103" s="69" t="n">
        <v>0.09</v>
      </c>
      <c r="AN103" s="69" t="n">
        <v>0.17</v>
      </c>
      <c r="AO103" s="69" t="n">
        <v>-0.04</v>
      </c>
      <c r="AP103" s="69" t="n">
        <v>0.17</v>
      </c>
      <c r="AQ103" s="69" t="n">
        <v>-0.18</v>
      </c>
      <c r="AR103" s="69" t="n">
        <v>0.28</v>
      </c>
      <c r="AS103" s="69" t="n">
        <v>0.07</v>
      </c>
      <c r="AT103" s="69" t="n">
        <v>0.28</v>
      </c>
      <c r="AU103" s="69" t="n">
        <v>-0.02</v>
      </c>
      <c r="AV103" s="69" t="n">
        <v>0.03</v>
      </c>
      <c r="AW103" s="69" t="n">
        <v>0.02</v>
      </c>
      <c r="AX103" s="69" t="n">
        <v>-0.11</v>
      </c>
      <c r="AY103" s="69" t="n">
        <v>0.13</v>
      </c>
      <c r="AZ103" s="69" t="n">
        <v>0.17</v>
      </c>
      <c r="BA103" s="69" t="n">
        <v>0.06</v>
      </c>
      <c r="BB103" s="69" t="n">
        <v>0.27</v>
      </c>
      <c r="BC103" s="69" t="n">
        <v>0</v>
      </c>
      <c r="BD103" s="69" t="n">
        <v>0.05</v>
      </c>
      <c r="BE103" s="69" t="n">
        <v>0.04</v>
      </c>
      <c r="BF103" s="69" t="n">
        <v>0.09</v>
      </c>
      <c r="BG103" s="69" t="n">
        <v>0.18</v>
      </c>
      <c r="BH103" s="69" t="n">
        <v>0.17</v>
      </c>
      <c r="BI103" s="69" t="n">
        <v>0.15</v>
      </c>
      <c r="BJ103" s="69" t="n">
        <v>-0.05</v>
      </c>
      <c r="BK103" s="69" t="n">
        <v>0.18</v>
      </c>
      <c r="BL103" s="69" t="n">
        <v>0.11</v>
      </c>
      <c r="BM103" s="69" t="n">
        <v>0.12</v>
      </c>
      <c r="BN103" s="69" t="n">
        <v>0.09</v>
      </c>
      <c r="BO103" s="69" t="n">
        <v>0.31</v>
      </c>
      <c r="BP103" s="69" t="n">
        <v>0.18</v>
      </c>
      <c r="BQ103" s="69" t="n">
        <v>0.16</v>
      </c>
      <c r="BR103" s="69" t="n">
        <v>0.13</v>
      </c>
      <c r="BS103" s="69" t="n">
        <v>-0.12</v>
      </c>
      <c r="BT103" s="69" t="n">
        <v>0.18</v>
      </c>
      <c r="BU103" s="69" t="n">
        <v>0.1</v>
      </c>
      <c r="BV103" s="69" t="n">
        <v>0.4</v>
      </c>
      <c r="BW103" s="69" t="n">
        <v>0.01</v>
      </c>
      <c r="BX103" s="69" t="n">
        <v>-0.04</v>
      </c>
      <c r="BY103" s="69" t="n">
        <v>0.25</v>
      </c>
      <c r="BZ103" s="69" t="n">
        <v>0.23</v>
      </c>
      <c r="CA103" s="69" t="n">
        <v>0.09</v>
      </c>
      <c r="CB103" s="69" t="n">
        <v>-0.04</v>
      </c>
      <c r="CC103" s="69" t="n">
        <v>0.12</v>
      </c>
      <c r="CD103" s="69" t="n">
        <v>0.26</v>
      </c>
      <c r="CE103" s="69" t="n">
        <v>0.12</v>
      </c>
      <c r="CF103" s="69" t="n">
        <v>-0.18</v>
      </c>
      <c r="CG103" s="69" t="n">
        <v>0.27</v>
      </c>
      <c r="CH103" s="69" t="n">
        <v>0.2</v>
      </c>
      <c r="CI103" s="69" t="n">
        <v>-0.16</v>
      </c>
      <c r="CJ103" s="69" t="n">
        <v>0.15</v>
      </c>
      <c r="CK103" s="69" t="n">
        <v>0.23</v>
      </c>
      <c r="CL103" s="69" t="n">
        <v>0.22</v>
      </c>
      <c r="CM103" s="69" t="n">
        <v>0.29</v>
      </c>
      <c r="CN103" s="69" t="n">
        <v>0.04</v>
      </c>
      <c r="CO103" s="69" t="n">
        <v>0.11</v>
      </c>
      <c r="CP103" s="69" t="n">
        <v>0.17</v>
      </c>
      <c r="CQ103" s="69" t="n">
        <v>0.26</v>
      </c>
      <c r="CR103" s="69" t="n">
        <v>0.22</v>
      </c>
      <c r="CS103" s="69" t="n">
        <v>0.12</v>
      </c>
      <c r="CT103" s="69" t="n">
        <v>0.23</v>
      </c>
      <c r="CU103" s="69" t="n">
        <v>0.25</v>
      </c>
      <c r="CV103" s="69" t="n">
        <v>1</v>
      </c>
      <c r="CW103" s="69" t="n">
        <v>0.28</v>
      </c>
      <c r="CX103" s="69" t="n">
        <v>0.28</v>
      </c>
      <c r="CY103" s="69" t="n">
        <v>0.33</v>
      </c>
      <c r="CZ103" s="69" t="n">
        <v>0.17</v>
      </c>
      <c r="DA103" s="69" t="n">
        <v>0.22</v>
      </c>
      <c r="DB103" s="69" t="n">
        <v>0.36</v>
      </c>
      <c r="DC103" s="69" t="n">
        <v>0.2</v>
      </c>
      <c r="DD103" s="69" t="n">
        <v>0.27</v>
      </c>
      <c r="DE103" s="69" t="n">
        <v>0.18</v>
      </c>
      <c r="DF103" s="69" t="n">
        <v>0.1</v>
      </c>
      <c r="DG103" s="69" t="n">
        <v>0.09</v>
      </c>
      <c r="DH103" s="69" t="n">
        <v>0.2</v>
      </c>
      <c r="DI103" s="69" t="n">
        <v>0.26</v>
      </c>
      <c r="DJ103" s="69" t="n">
        <v>0.32</v>
      </c>
      <c r="DK103" s="69" t="n">
        <v>0.28</v>
      </c>
      <c r="DL103" s="69" t="n">
        <v>0.09</v>
      </c>
      <c r="DM103" s="69" t="n">
        <v>0.32</v>
      </c>
      <c r="DN103" s="69" t="n">
        <v>0.17</v>
      </c>
      <c r="DO103" s="69" t="n">
        <v>0.2</v>
      </c>
      <c r="DP103" s="69" t="n">
        <v>0.35</v>
      </c>
      <c r="DQ103" s="69" t="n">
        <v>0.09</v>
      </c>
      <c r="DR103" s="69" t="n">
        <v>0.09</v>
      </c>
      <c r="DS103" s="69" t="n">
        <v>0.19</v>
      </c>
      <c r="DT103" s="69" t="n">
        <v>0.22</v>
      </c>
      <c r="DU103" s="69" t="n">
        <v>0.28</v>
      </c>
      <c r="DV103" s="69" t="n">
        <v>0.23</v>
      </c>
      <c r="DW103" s="69" t="n">
        <v>0.36</v>
      </c>
      <c r="DX103" s="69" t="n">
        <v>0.11</v>
      </c>
      <c r="DY103" s="69" t="n">
        <v>0.33</v>
      </c>
      <c r="DZ103" s="69" t="n">
        <v>0.08</v>
      </c>
      <c r="EA103" s="69" t="n">
        <v>0.2</v>
      </c>
      <c r="EB103" s="69" t="n">
        <v>0.31</v>
      </c>
      <c r="EC103" s="69" t="n">
        <v>0.06</v>
      </c>
      <c r="ED103" s="69" t="n">
        <v>0.16</v>
      </c>
      <c r="EE103" s="69" t="n">
        <v>0.22</v>
      </c>
      <c r="EF103" s="69" t="n">
        <v>0.15</v>
      </c>
      <c r="EG103" s="69" t="n">
        <v>0.18</v>
      </c>
      <c r="EH103" s="69" t="n">
        <v>0.17</v>
      </c>
      <c r="EI103" s="69" t="n">
        <v>0.09</v>
      </c>
      <c r="EJ103" s="69" t="n">
        <v>0.17</v>
      </c>
      <c r="EK103" s="69" t="n">
        <v>0.09</v>
      </c>
      <c r="EL103" s="69" t="n">
        <v>0.11</v>
      </c>
      <c r="EM103" s="69" t="n">
        <v>0.1</v>
      </c>
      <c r="EN103" s="69" t="n">
        <v>0.07</v>
      </c>
      <c r="EO103" s="69" t="n">
        <v>0.06</v>
      </c>
    </row>
    <row r="104" customFormat="false" ht="15" hidden="false" customHeight="false" outlineLevel="0" collapsed="false">
      <c r="A104" s="68" t="s">
        <v>331</v>
      </c>
      <c r="B104" s="69" t="n">
        <v>0.11</v>
      </c>
      <c r="C104" s="69" t="n">
        <v>0.02</v>
      </c>
      <c r="D104" s="69" t="n">
        <v>-0.01</v>
      </c>
      <c r="E104" s="69" t="n">
        <v>0.1</v>
      </c>
      <c r="F104" s="69" t="n">
        <v>0.1</v>
      </c>
      <c r="G104" s="69" t="n">
        <v>-0.03</v>
      </c>
      <c r="H104" s="69" t="n">
        <v>0.07</v>
      </c>
      <c r="I104" s="69" t="n">
        <v>0.24</v>
      </c>
      <c r="J104" s="69" t="n">
        <v>0.07</v>
      </c>
      <c r="K104" s="69" t="n">
        <v>0.13</v>
      </c>
      <c r="L104" s="69" t="n">
        <v>0.15</v>
      </c>
      <c r="M104" s="69" t="n">
        <v>0.31</v>
      </c>
      <c r="N104" s="69" t="n">
        <v>0.19</v>
      </c>
      <c r="O104" s="69" t="n">
        <v>0.07</v>
      </c>
      <c r="P104" s="69" t="n">
        <v>0.16</v>
      </c>
      <c r="Q104" s="69" t="n">
        <v>0.19</v>
      </c>
      <c r="R104" s="69" t="n">
        <v>0.13</v>
      </c>
      <c r="S104" s="69" t="n">
        <v>0.15</v>
      </c>
      <c r="T104" s="69" t="n">
        <v>0.25</v>
      </c>
      <c r="U104" s="69" t="n">
        <v>0.2</v>
      </c>
      <c r="V104" s="69" t="n">
        <v>0.06</v>
      </c>
      <c r="W104" s="69" t="n">
        <v>0.08</v>
      </c>
      <c r="X104" s="69" t="n">
        <v>0.23</v>
      </c>
      <c r="Y104" s="69" t="n">
        <v>0.34</v>
      </c>
      <c r="Z104" s="69" t="n">
        <v>0.11</v>
      </c>
      <c r="AA104" s="69" t="n">
        <v>0.22</v>
      </c>
      <c r="AB104" s="69" t="n">
        <v>0.33</v>
      </c>
      <c r="AC104" s="69" t="n">
        <v>0.11</v>
      </c>
      <c r="AD104" s="69" t="n">
        <v>0.12</v>
      </c>
      <c r="AE104" s="69" t="n">
        <v>0.15</v>
      </c>
      <c r="AF104" s="69" t="n">
        <v>0.13</v>
      </c>
      <c r="AG104" s="69" t="n">
        <v>0.02</v>
      </c>
      <c r="AH104" s="69" t="n">
        <v>0.01</v>
      </c>
      <c r="AI104" s="69" t="n">
        <v>-0.05</v>
      </c>
      <c r="AJ104" s="69" t="n">
        <v>0.05</v>
      </c>
      <c r="AK104" s="69" t="n">
        <v>0.07</v>
      </c>
      <c r="AL104" s="69" t="n">
        <v>0.23</v>
      </c>
      <c r="AM104" s="69" t="n">
        <v>0.13</v>
      </c>
      <c r="AN104" s="69" t="n">
        <v>0.34</v>
      </c>
      <c r="AO104" s="69" t="n">
        <v>0.13</v>
      </c>
      <c r="AP104" s="69" t="n">
        <v>0.34</v>
      </c>
      <c r="AQ104" s="69" t="n">
        <v>-0.1</v>
      </c>
      <c r="AR104" s="69" t="n">
        <v>0.27</v>
      </c>
      <c r="AS104" s="69" t="n">
        <v>0.17</v>
      </c>
      <c r="AT104" s="69" t="n">
        <v>0.33</v>
      </c>
      <c r="AU104" s="69" t="n">
        <v>-0.03</v>
      </c>
      <c r="AV104" s="69" t="n">
        <v>0.15</v>
      </c>
      <c r="AW104" s="69" t="n">
        <v>0.11</v>
      </c>
      <c r="AX104" s="69" t="n">
        <v>0.08</v>
      </c>
      <c r="AY104" s="69" t="n">
        <v>0.2</v>
      </c>
      <c r="AZ104" s="69" t="n">
        <v>0.13</v>
      </c>
      <c r="BA104" s="69" t="n">
        <v>0.16</v>
      </c>
      <c r="BB104" s="69" t="n">
        <v>0.27</v>
      </c>
      <c r="BC104" s="69" t="n">
        <v>0.14</v>
      </c>
      <c r="BD104" s="69" t="n">
        <v>0.18</v>
      </c>
      <c r="BE104" s="69" t="n">
        <v>0.16</v>
      </c>
      <c r="BF104" s="69" t="n">
        <v>0.12</v>
      </c>
      <c r="BG104" s="69" t="n">
        <v>0.38</v>
      </c>
      <c r="BH104" s="69" t="n">
        <v>0.15</v>
      </c>
      <c r="BI104" s="69" t="n">
        <v>0.08</v>
      </c>
      <c r="BJ104" s="69" t="n">
        <v>0.05</v>
      </c>
      <c r="BK104" s="69" t="n">
        <v>0.11</v>
      </c>
      <c r="BL104" s="69" t="n">
        <v>0.19</v>
      </c>
      <c r="BM104" s="69" t="n">
        <v>0.19</v>
      </c>
      <c r="BN104" s="69" t="n">
        <v>-0.05</v>
      </c>
      <c r="BO104" s="69" t="n">
        <v>0.3</v>
      </c>
      <c r="BP104" s="69" t="n">
        <v>0.32</v>
      </c>
      <c r="BQ104" s="69" t="n">
        <v>0.19</v>
      </c>
      <c r="BR104" s="69" t="n">
        <v>0.35</v>
      </c>
      <c r="BS104" s="69" t="n">
        <v>-0.08</v>
      </c>
      <c r="BT104" s="69" t="n">
        <v>0.26</v>
      </c>
      <c r="BU104" s="69" t="n">
        <v>0.13</v>
      </c>
      <c r="BV104" s="69" t="n">
        <v>0.35</v>
      </c>
      <c r="BW104" s="69" t="n">
        <v>0.33</v>
      </c>
      <c r="BX104" s="69" t="n">
        <v>0.1</v>
      </c>
      <c r="BY104" s="69" t="n">
        <v>0.3</v>
      </c>
      <c r="BZ104" s="69" t="n">
        <v>0.28</v>
      </c>
      <c r="CA104" s="69" t="n">
        <v>0.13</v>
      </c>
      <c r="CB104" s="69" t="n">
        <v>0.01</v>
      </c>
      <c r="CC104" s="69" t="n">
        <v>0.07</v>
      </c>
      <c r="CD104" s="69" t="n">
        <v>0.44</v>
      </c>
      <c r="CE104" s="69" t="n">
        <v>0.06</v>
      </c>
      <c r="CF104" s="69" t="n">
        <v>-0.13</v>
      </c>
      <c r="CG104" s="69" t="n">
        <v>0.32</v>
      </c>
      <c r="CH104" s="69" t="n">
        <v>0.19</v>
      </c>
      <c r="CI104" s="69" t="n">
        <v>-0.12</v>
      </c>
      <c r="CJ104" s="69" t="n">
        <v>0.25</v>
      </c>
      <c r="CK104" s="69" t="n">
        <v>0.27</v>
      </c>
      <c r="CL104" s="69" t="n">
        <v>0.24</v>
      </c>
      <c r="CM104" s="69" t="n">
        <v>0.21</v>
      </c>
      <c r="CN104" s="69" t="n">
        <v>0.07</v>
      </c>
      <c r="CO104" s="69" t="n">
        <v>0.1</v>
      </c>
      <c r="CP104" s="69" t="n">
        <v>0.24</v>
      </c>
      <c r="CQ104" s="69" t="n">
        <v>0.26</v>
      </c>
      <c r="CR104" s="69" t="n">
        <v>0.26</v>
      </c>
      <c r="CS104" s="69" t="n">
        <v>0.1</v>
      </c>
      <c r="CT104" s="69" t="n">
        <v>0.28</v>
      </c>
      <c r="CU104" s="69" t="n">
        <v>0.21</v>
      </c>
      <c r="CV104" s="69" t="n">
        <v>0.28</v>
      </c>
      <c r="CW104" s="69" t="n">
        <v>1</v>
      </c>
      <c r="CX104" s="69" t="n">
        <v>0.54</v>
      </c>
      <c r="CY104" s="69" t="n">
        <v>0.2</v>
      </c>
      <c r="CZ104" s="69" t="n">
        <v>0.33</v>
      </c>
      <c r="DA104" s="69" t="n">
        <v>0.29</v>
      </c>
      <c r="DB104" s="69" t="n">
        <v>0.22</v>
      </c>
      <c r="DC104" s="69" t="n">
        <v>0.2</v>
      </c>
      <c r="DD104" s="69" t="n">
        <v>0.35</v>
      </c>
      <c r="DE104" s="69" t="n">
        <v>0.18</v>
      </c>
      <c r="DF104" s="69" t="n">
        <v>0.29</v>
      </c>
      <c r="DG104" s="69" t="n">
        <v>0.17</v>
      </c>
      <c r="DH104" s="69" t="n">
        <v>0.15</v>
      </c>
      <c r="DI104" s="69" t="n">
        <v>0.24</v>
      </c>
      <c r="DJ104" s="69" t="n">
        <v>0.26</v>
      </c>
      <c r="DK104" s="69" t="n">
        <v>0.29</v>
      </c>
      <c r="DL104" s="69" t="n">
        <v>0.09</v>
      </c>
      <c r="DM104" s="69" t="n">
        <v>0.31</v>
      </c>
      <c r="DN104" s="69" t="n">
        <v>0.25</v>
      </c>
      <c r="DO104" s="69" t="n">
        <v>0.08</v>
      </c>
      <c r="DP104" s="69" t="n">
        <v>0.25</v>
      </c>
      <c r="DQ104" s="69" t="n">
        <v>0.17</v>
      </c>
      <c r="DR104" s="69" t="n">
        <v>0.19</v>
      </c>
      <c r="DS104" s="69" t="n">
        <v>0.25</v>
      </c>
      <c r="DT104" s="69" t="n">
        <v>0.16</v>
      </c>
      <c r="DU104" s="69" t="n">
        <v>0.39</v>
      </c>
      <c r="DV104" s="69" t="n">
        <v>0.25</v>
      </c>
      <c r="DW104" s="69" t="n">
        <v>0.4</v>
      </c>
      <c r="DX104" s="69" t="n">
        <v>0.05</v>
      </c>
      <c r="DY104" s="69" t="n">
        <v>0.49</v>
      </c>
      <c r="DZ104" s="69" t="n">
        <v>0.17</v>
      </c>
      <c r="EA104" s="69" t="n">
        <v>0.2</v>
      </c>
      <c r="EB104" s="69" t="n">
        <v>0.39</v>
      </c>
      <c r="EC104" s="69" t="n">
        <v>0.04</v>
      </c>
      <c r="ED104" s="69" t="n">
        <v>0.16</v>
      </c>
      <c r="EE104" s="69" t="n">
        <v>0.11</v>
      </c>
      <c r="EF104" s="69" t="n">
        <v>0.1</v>
      </c>
      <c r="EG104" s="69" t="n">
        <v>0.03</v>
      </c>
      <c r="EH104" s="69" t="n">
        <v>0.32</v>
      </c>
      <c r="EI104" s="69" t="n">
        <v>0.03</v>
      </c>
      <c r="EJ104" s="69" t="n">
        <v>0.16</v>
      </c>
      <c r="EK104" s="69" t="n">
        <v>0.19</v>
      </c>
      <c r="EL104" s="69" t="n">
        <v>0.22</v>
      </c>
      <c r="EM104" s="69" t="n">
        <v>0.14</v>
      </c>
      <c r="EN104" s="69" t="n">
        <v>0.23</v>
      </c>
      <c r="EO104" s="69" t="n">
        <v>0.15</v>
      </c>
    </row>
    <row r="105" customFormat="false" ht="15" hidden="false" customHeight="false" outlineLevel="0" collapsed="false">
      <c r="A105" s="68" t="s">
        <v>332</v>
      </c>
      <c r="B105" s="69" t="n">
        <v>0.07</v>
      </c>
      <c r="C105" s="69" t="n">
        <v>0.02</v>
      </c>
      <c r="D105" s="69" t="n">
        <v>0</v>
      </c>
      <c r="E105" s="69" t="n">
        <v>0.07</v>
      </c>
      <c r="F105" s="69" t="n">
        <v>0.05</v>
      </c>
      <c r="G105" s="69" t="n">
        <v>0.08</v>
      </c>
      <c r="H105" s="69" t="n">
        <v>0.06</v>
      </c>
      <c r="I105" s="69" t="n">
        <v>0.17</v>
      </c>
      <c r="J105" s="69" t="n">
        <v>0.06</v>
      </c>
      <c r="K105" s="69" t="n">
        <v>0.12</v>
      </c>
      <c r="L105" s="69" t="n">
        <v>0.07</v>
      </c>
      <c r="M105" s="69" t="n">
        <v>0.35</v>
      </c>
      <c r="N105" s="69" t="n">
        <v>0.16</v>
      </c>
      <c r="O105" s="69" t="n">
        <v>0.06</v>
      </c>
      <c r="P105" s="69" t="n">
        <v>0.06</v>
      </c>
      <c r="Q105" s="69" t="n">
        <v>0.11</v>
      </c>
      <c r="R105" s="69" t="n">
        <v>0.06</v>
      </c>
      <c r="S105" s="69" t="n">
        <v>0.12</v>
      </c>
      <c r="T105" s="69" t="n">
        <v>0.36</v>
      </c>
      <c r="U105" s="69" t="n">
        <v>0.21</v>
      </c>
      <c r="V105" s="69" t="n">
        <v>0.03</v>
      </c>
      <c r="W105" s="69" t="n">
        <v>0.2</v>
      </c>
      <c r="X105" s="69" t="n">
        <v>0.38</v>
      </c>
      <c r="Y105" s="69" t="n">
        <v>0.3</v>
      </c>
      <c r="Z105" s="69" t="n">
        <v>0.14</v>
      </c>
      <c r="AA105" s="69" t="n">
        <v>0.18</v>
      </c>
      <c r="AB105" s="69" t="n">
        <v>0.31</v>
      </c>
      <c r="AC105" s="69" t="n">
        <v>0.05</v>
      </c>
      <c r="AD105" s="69" t="n">
        <v>0.14</v>
      </c>
      <c r="AE105" s="69" t="n">
        <v>0.2</v>
      </c>
      <c r="AF105" s="69" t="n">
        <v>0.18</v>
      </c>
      <c r="AG105" s="69" t="n">
        <v>0.04</v>
      </c>
      <c r="AH105" s="69" t="n">
        <v>0</v>
      </c>
      <c r="AI105" s="69" t="n">
        <v>-0.09</v>
      </c>
      <c r="AJ105" s="69" t="n">
        <v>0.01</v>
      </c>
      <c r="AK105" s="69" t="n">
        <v>0.21</v>
      </c>
      <c r="AL105" s="69" t="n">
        <v>0.18</v>
      </c>
      <c r="AM105" s="69" t="n">
        <v>0.15</v>
      </c>
      <c r="AN105" s="69" t="n">
        <v>0.27</v>
      </c>
      <c r="AO105" s="69" t="n">
        <v>0.12</v>
      </c>
      <c r="AP105" s="69" t="n">
        <v>0.26</v>
      </c>
      <c r="AQ105" s="69" t="n">
        <v>-0.13</v>
      </c>
      <c r="AR105" s="69" t="n">
        <v>0.37</v>
      </c>
      <c r="AS105" s="69" t="n">
        <v>0.18</v>
      </c>
      <c r="AT105" s="69" t="n">
        <v>0.4</v>
      </c>
      <c r="AU105" s="69" t="n">
        <v>0.04</v>
      </c>
      <c r="AV105" s="69" t="n">
        <v>0.1</v>
      </c>
      <c r="AW105" s="69" t="n">
        <v>0.13</v>
      </c>
      <c r="AX105" s="69" t="n">
        <v>0.1</v>
      </c>
      <c r="AY105" s="69" t="n">
        <v>0.2</v>
      </c>
      <c r="AZ105" s="69" t="n">
        <v>0.18</v>
      </c>
      <c r="BA105" s="69" t="n">
        <v>0.22</v>
      </c>
      <c r="BB105" s="69" t="n">
        <v>0.4</v>
      </c>
      <c r="BC105" s="69" t="n">
        <v>0.08</v>
      </c>
      <c r="BD105" s="69" t="n">
        <v>0.22</v>
      </c>
      <c r="BE105" s="69" t="n">
        <v>0.14</v>
      </c>
      <c r="BF105" s="69" t="n">
        <v>0.17</v>
      </c>
      <c r="BG105" s="69" t="n">
        <v>0.25</v>
      </c>
      <c r="BH105" s="69" t="n">
        <v>0.1</v>
      </c>
      <c r="BI105" s="69" t="n">
        <v>0.06</v>
      </c>
      <c r="BJ105" s="69" t="n">
        <v>0.02</v>
      </c>
      <c r="BK105" s="69" t="n">
        <v>0.16</v>
      </c>
      <c r="BL105" s="69" t="n">
        <v>0.32</v>
      </c>
      <c r="BM105" s="69" t="n">
        <v>0.13</v>
      </c>
      <c r="BN105" s="69" t="n">
        <v>0.1</v>
      </c>
      <c r="BO105" s="69" t="n">
        <v>0.33</v>
      </c>
      <c r="BP105" s="69" t="n">
        <v>0.25</v>
      </c>
      <c r="BQ105" s="69" t="n">
        <v>0.32</v>
      </c>
      <c r="BR105" s="69" t="n">
        <v>0.3</v>
      </c>
      <c r="BS105" s="69" t="n">
        <v>-0.1</v>
      </c>
      <c r="BT105" s="69" t="n">
        <v>0.38</v>
      </c>
      <c r="BU105" s="69" t="n">
        <v>0.18</v>
      </c>
      <c r="BV105" s="69" t="n">
        <v>0.31</v>
      </c>
      <c r="BW105" s="69" t="n">
        <v>0.3</v>
      </c>
      <c r="BX105" s="69" t="n">
        <v>0.06</v>
      </c>
      <c r="BY105" s="69" t="n">
        <v>0.35</v>
      </c>
      <c r="BZ105" s="69" t="n">
        <v>0.36</v>
      </c>
      <c r="CA105" s="69" t="n">
        <v>0.04</v>
      </c>
      <c r="CB105" s="69" t="n">
        <v>-0.03</v>
      </c>
      <c r="CC105" s="69" t="n">
        <v>0.14</v>
      </c>
      <c r="CD105" s="69" t="n">
        <v>0.26</v>
      </c>
      <c r="CE105" s="69" t="n">
        <v>0.09</v>
      </c>
      <c r="CF105" s="69" t="n">
        <v>-0.12</v>
      </c>
      <c r="CG105" s="69" t="n">
        <v>0.24</v>
      </c>
      <c r="CH105" s="69" t="n">
        <v>0.29</v>
      </c>
      <c r="CI105" s="69" t="n">
        <v>-0.12</v>
      </c>
      <c r="CJ105" s="69" t="n">
        <v>0.18</v>
      </c>
      <c r="CK105" s="69" t="n">
        <v>0.21</v>
      </c>
      <c r="CL105" s="69" t="n">
        <v>0.26</v>
      </c>
      <c r="CM105" s="69" t="n">
        <v>0.3</v>
      </c>
      <c r="CN105" s="69" t="n">
        <v>0.1</v>
      </c>
      <c r="CO105" s="69" t="n">
        <v>0.13</v>
      </c>
      <c r="CP105" s="69" t="n">
        <v>0.21</v>
      </c>
      <c r="CQ105" s="69" t="n">
        <v>0.38</v>
      </c>
      <c r="CR105" s="69" t="n">
        <v>0.34</v>
      </c>
      <c r="CS105" s="69" t="n">
        <v>0.31</v>
      </c>
      <c r="CT105" s="69" t="n">
        <v>0.32</v>
      </c>
      <c r="CU105" s="69" t="n">
        <v>0.21</v>
      </c>
      <c r="CV105" s="69" t="n">
        <v>0.28</v>
      </c>
      <c r="CW105" s="69" t="n">
        <v>0.54</v>
      </c>
      <c r="CX105" s="69" t="n">
        <v>1</v>
      </c>
      <c r="CY105" s="69" t="n">
        <v>0.3</v>
      </c>
      <c r="CZ105" s="69" t="n">
        <v>0.19</v>
      </c>
      <c r="DA105" s="69" t="n">
        <v>0.27</v>
      </c>
      <c r="DB105" s="69" t="n">
        <v>0.35</v>
      </c>
      <c r="DC105" s="69" t="n">
        <v>0.29</v>
      </c>
      <c r="DD105" s="69" t="n">
        <v>0.39</v>
      </c>
      <c r="DE105" s="69" t="n">
        <v>0.33</v>
      </c>
      <c r="DF105" s="69" t="n">
        <v>0.06</v>
      </c>
      <c r="DG105" s="69" t="n">
        <v>0.34</v>
      </c>
      <c r="DH105" s="69" t="n">
        <v>0.17</v>
      </c>
      <c r="DI105" s="69" t="n">
        <v>0.33</v>
      </c>
      <c r="DJ105" s="69" t="n">
        <v>0.31</v>
      </c>
      <c r="DK105" s="69" t="n">
        <v>0.39</v>
      </c>
      <c r="DL105" s="69" t="n">
        <v>0.15</v>
      </c>
      <c r="DM105" s="69" t="n">
        <v>0.4</v>
      </c>
      <c r="DN105" s="69" t="n">
        <v>0.15</v>
      </c>
      <c r="DO105" s="69" t="n">
        <v>0.18</v>
      </c>
      <c r="DP105" s="69" t="n">
        <v>0.3</v>
      </c>
      <c r="DQ105" s="69" t="n">
        <v>0.22</v>
      </c>
      <c r="DR105" s="69" t="n">
        <v>0.26</v>
      </c>
      <c r="DS105" s="69" t="n">
        <v>0.21</v>
      </c>
      <c r="DT105" s="69" t="n">
        <v>0.2</v>
      </c>
      <c r="DU105" s="69" t="n">
        <v>0.49</v>
      </c>
      <c r="DV105" s="69" t="n">
        <v>0.22</v>
      </c>
      <c r="DW105" s="69" t="n">
        <v>0.33</v>
      </c>
      <c r="DX105" s="69" t="n">
        <v>0.24</v>
      </c>
      <c r="DY105" s="69" t="n">
        <v>0.41</v>
      </c>
      <c r="DZ105" s="69" t="n">
        <v>0.07</v>
      </c>
      <c r="EA105" s="69" t="n">
        <v>0.22</v>
      </c>
      <c r="EB105" s="69" t="n">
        <v>0.42</v>
      </c>
      <c r="EC105" s="69" t="n">
        <v>0.16</v>
      </c>
      <c r="ED105" s="69" t="n">
        <v>0.27</v>
      </c>
      <c r="EE105" s="69" t="n">
        <v>0.32</v>
      </c>
      <c r="EF105" s="69" t="n">
        <v>0.23</v>
      </c>
      <c r="EG105" s="69" t="n">
        <v>0.21</v>
      </c>
      <c r="EH105" s="69" t="n">
        <v>0.22</v>
      </c>
      <c r="EI105" s="69" t="n">
        <v>0.23</v>
      </c>
      <c r="EJ105" s="69" t="n">
        <v>0.26</v>
      </c>
      <c r="EK105" s="69" t="n">
        <v>0.32</v>
      </c>
      <c r="EL105" s="69" t="n">
        <v>0.33</v>
      </c>
      <c r="EM105" s="69" t="n">
        <v>0.28</v>
      </c>
      <c r="EN105" s="69" t="n">
        <v>0.14</v>
      </c>
      <c r="EO105" s="69" t="n">
        <v>0.1</v>
      </c>
    </row>
    <row r="106" customFormat="false" ht="15" hidden="false" customHeight="false" outlineLevel="0" collapsed="false">
      <c r="A106" s="68" t="s">
        <v>333</v>
      </c>
      <c r="B106" s="69" t="n">
        <v>0.22</v>
      </c>
      <c r="C106" s="69" t="n">
        <v>0</v>
      </c>
      <c r="D106" s="69" t="n">
        <v>0.02</v>
      </c>
      <c r="E106" s="69" t="n">
        <v>0.19</v>
      </c>
      <c r="F106" s="69" t="n">
        <v>0.13</v>
      </c>
      <c r="G106" s="69" t="n">
        <v>0</v>
      </c>
      <c r="H106" s="69" t="n">
        <v>0.03</v>
      </c>
      <c r="I106" s="69" t="n">
        <v>0.24</v>
      </c>
      <c r="J106" s="69" t="n">
        <v>0.07</v>
      </c>
      <c r="K106" s="69" t="n">
        <v>0.28</v>
      </c>
      <c r="L106" s="69" t="n">
        <v>0.08</v>
      </c>
      <c r="M106" s="69" t="n">
        <v>0.41</v>
      </c>
      <c r="N106" s="69" t="n">
        <v>0.25</v>
      </c>
      <c r="O106" s="69" t="n">
        <v>0.12</v>
      </c>
      <c r="P106" s="69" t="n">
        <v>0.05</v>
      </c>
      <c r="Q106" s="69" t="n">
        <v>0.01</v>
      </c>
      <c r="R106" s="69" t="n">
        <v>0.12</v>
      </c>
      <c r="S106" s="69" t="n">
        <v>0.04</v>
      </c>
      <c r="T106" s="69" t="n">
        <v>0.43</v>
      </c>
      <c r="U106" s="69" t="n">
        <v>0.1</v>
      </c>
      <c r="V106" s="69" t="n">
        <v>0.11</v>
      </c>
      <c r="W106" s="69" t="n">
        <v>0.04</v>
      </c>
      <c r="X106" s="69" t="n">
        <v>0.44</v>
      </c>
      <c r="Y106" s="69" t="n">
        <v>0.28</v>
      </c>
      <c r="Z106" s="69" t="n">
        <v>0.12</v>
      </c>
      <c r="AA106" s="69" t="n">
        <v>0.11</v>
      </c>
      <c r="AB106" s="69" t="n">
        <v>0.34</v>
      </c>
      <c r="AC106" s="69" t="n">
        <v>0.08</v>
      </c>
      <c r="AD106" s="69" t="n">
        <v>0.09</v>
      </c>
      <c r="AE106" s="69" t="n">
        <v>0.26</v>
      </c>
      <c r="AF106" s="69" t="n">
        <v>0.07</v>
      </c>
      <c r="AG106" s="69" t="n">
        <v>0.09</v>
      </c>
      <c r="AH106" s="69" t="n">
        <v>0.05</v>
      </c>
      <c r="AI106" s="69" t="n">
        <v>-0.26</v>
      </c>
      <c r="AJ106" s="69" t="n">
        <v>0.05</v>
      </c>
      <c r="AK106" s="69" t="n">
        <v>0.23</v>
      </c>
      <c r="AL106" s="69" t="n">
        <v>0.28</v>
      </c>
      <c r="AM106" s="69" t="n">
        <v>0.12</v>
      </c>
      <c r="AN106" s="69" t="n">
        <v>0.44</v>
      </c>
      <c r="AO106" s="69" t="n">
        <v>0.12</v>
      </c>
      <c r="AP106" s="69" t="n">
        <v>0.32</v>
      </c>
      <c r="AQ106" s="69" t="n">
        <v>-0.26</v>
      </c>
      <c r="AR106" s="69" t="n">
        <v>0.4</v>
      </c>
      <c r="AS106" s="69" t="n">
        <v>0.09</v>
      </c>
      <c r="AT106" s="69" t="n">
        <v>0.46</v>
      </c>
      <c r="AU106" s="69" t="n">
        <v>0.08</v>
      </c>
      <c r="AV106" s="69" t="n">
        <v>0.13</v>
      </c>
      <c r="AW106" s="69" t="n">
        <v>0.09</v>
      </c>
      <c r="AX106" s="69" t="n">
        <v>0.23</v>
      </c>
      <c r="AY106" s="69" t="n">
        <v>0.29</v>
      </c>
      <c r="AZ106" s="69" t="n">
        <v>0.29</v>
      </c>
      <c r="BA106" s="69" t="n">
        <v>0.4</v>
      </c>
      <c r="BB106" s="69" t="n">
        <v>0.53</v>
      </c>
      <c r="BC106" s="69" t="n">
        <v>0.09</v>
      </c>
      <c r="BD106" s="69" t="n">
        <v>0.15</v>
      </c>
      <c r="BE106" s="69" t="n">
        <v>0.2</v>
      </c>
      <c r="BF106" s="69" t="n">
        <v>0.17</v>
      </c>
      <c r="BG106" s="69" t="n">
        <v>0.23</v>
      </c>
      <c r="BH106" s="69" t="n">
        <v>0.09</v>
      </c>
      <c r="BI106" s="69" t="n">
        <v>0.01</v>
      </c>
      <c r="BJ106" s="69" t="n">
        <v>-0.03</v>
      </c>
      <c r="BK106" s="69" t="n">
        <v>0.2</v>
      </c>
      <c r="BL106" s="69" t="n">
        <v>0.33</v>
      </c>
      <c r="BM106" s="69" t="n">
        <v>0.29</v>
      </c>
      <c r="BN106" s="69" t="n">
        <v>0.13</v>
      </c>
      <c r="BO106" s="69" t="n">
        <v>0.34</v>
      </c>
      <c r="BP106" s="69" t="n">
        <v>0.01</v>
      </c>
      <c r="BQ106" s="69" t="n">
        <v>0.21</v>
      </c>
      <c r="BR106" s="69" t="n">
        <v>0.33</v>
      </c>
      <c r="BS106" s="69" t="n">
        <v>-0.25</v>
      </c>
      <c r="BT106" s="69" t="n">
        <v>0.49</v>
      </c>
      <c r="BU106" s="69" t="n">
        <v>0.14</v>
      </c>
      <c r="BV106" s="69" t="n">
        <v>0.27</v>
      </c>
      <c r="BW106" s="69" t="n">
        <v>0.03</v>
      </c>
      <c r="BX106" s="69" t="n">
        <v>0.13</v>
      </c>
      <c r="BY106" s="69" t="n">
        <v>0.42</v>
      </c>
      <c r="BZ106" s="69" t="n">
        <v>0.34</v>
      </c>
      <c r="CA106" s="69" t="n">
        <v>0.08</v>
      </c>
      <c r="CB106" s="69" t="n">
        <v>-0.03</v>
      </c>
      <c r="CC106" s="69" t="n">
        <v>0.12</v>
      </c>
      <c r="CD106" s="69" t="n">
        <v>0.22</v>
      </c>
      <c r="CE106" s="69" t="n">
        <v>0.16</v>
      </c>
      <c r="CF106" s="69" t="n">
        <v>-0.29</v>
      </c>
      <c r="CG106" s="69" t="n">
        <v>0.34</v>
      </c>
      <c r="CH106" s="69" t="n">
        <v>0.31</v>
      </c>
      <c r="CI106" s="69" t="n">
        <v>-0.3</v>
      </c>
      <c r="CJ106" s="69" t="n">
        <v>0</v>
      </c>
      <c r="CK106" s="69" t="n">
        <v>0.31</v>
      </c>
      <c r="CL106" s="69" t="n">
        <v>0.34</v>
      </c>
      <c r="CM106" s="69" t="n">
        <v>0.2</v>
      </c>
      <c r="CN106" s="69" t="n">
        <v>0.08</v>
      </c>
      <c r="CO106" s="69" t="n">
        <v>0.14</v>
      </c>
      <c r="CP106" s="69" t="n">
        <v>0.04</v>
      </c>
      <c r="CQ106" s="69" t="n">
        <v>0.76</v>
      </c>
      <c r="CR106" s="69" t="n">
        <v>0.33</v>
      </c>
      <c r="CS106" s="69" t="n">
        <v>0.39</v>
      </c>
      <c r="CT106" s="69" t="n">
        <v>0.27</v>
      </c>
      <c r="CU106" s="69" t="n">
        <v>0.15</v>
      </c>
      <c r="CV106" s="69" t="n">
        <v>0.33</v>
      </c>
      <c r="CW106" s="69" t="n">
        <v>0.2</v>
      </c>
      <c r="CX106" s="69" t="n">
        <v>0.3</v>
      </c>
      <c r="CY106" s="69" t="n">
        <v>1</v>
      </c>
      <c r="CZ106" s="69" t="n">
        <v>0.09</v>
      </c>
      <c r="DA106" s="69" t="n">
        <v>0.15</v>
      </c>
      <c r="DB106" s="69" t="n">
        <v>0.24</v>
      </c>
      <c r="DC106" s="69" t="n">
        <v>0.44</v>
      </c>
      <c r="DD106" s="69" t="n">
        <v>0.27</v>
      </c>
      <c r="DE106" s="69" t="n">
        <v>0.34</v>
      </c>
      <c r="DF106" s="69" t="n">
        <v>0</v>
      </c>
      <c r="DG106" s="69" t="n">
        <v>0.23</v>
      </c>
      <c r="DH106" s="69" t="n">
        <v>0.2</v>
      </c>
      <c r="DI106" s="69" t="n">
        <v>0.72</v>
      </c>
      <c r="DJ106" s="69" t="n">
        <v>0.68</v>
      </c>
      <c r="DK106" s="69" t="n">
        <v>0.73</v>
      </c>
      <c r="DL106" s="69" t="n">
        <v>0.09</v>
      </c>
      <c r="DM106" s="69" t="n">
        <v>0.69</v>
      </c>
      <c r="DN106" s="69" t="n">
        <v>0.22</v>
      </c>
      <c r="DO106" s="69" t="n">
        <v>0.28</v>
      </c>
      <c r="DP106" s="69" t="n">
        <v>0.65</v>
      </c>
      <c r="DQ106" s="69" t="n">
        <v>0.19</v>
      </c>
      <c r="DR106" s="69" t="n">
        <v>0.12</v>
      </c>
      <c r="DS106" s="69" t="n">
        <v>0.09</v>
      </c>
      <c r="DT106" s="69" t="n">
        <v>0.11</v>
      </c>
      <c r="DU106" s="69" t="n">
        <v>0.32</v>
      </c>
      <c r="DV106" s="69" t="n">
        <v>0.11</v>
      </c>
      <c r="DW106" s="69" t="n">
        <v>0.27</v>
      </c>
      <c r="DX106" s="69" t="n">
        <v>0.33</v>
      </c>
      <c r="DY106" s="69" t="n">
        <v>0.37</v>
      </c>
      <c r="DZ106" s="69" t="n">
        <v>0.03</v>
      </c>
      <c r="EA106" s="69" t="n">
        <v>0.23</v>
      </c>
      <c r="EB106" s="69" t="n">
        <v>0.37</v>
      </c>
      <c r="EC106" s="69" t="n">
        <v>0.06</v>
      </c>
      <c r="ED106" s="69" t="n">
        <v>0.22</v>
      </c>
      <c r="EE106" s="69" t="n">
        <v>0.27</v>
      </c>
      <c r="EF106" s="69" t="n">
        <v>0.25</v>
      </c>
      <c r="EG106" s="69" t="n">
        <v>0.27</v>
      </c>
      <c r="EH106" s="69" t="n">
        <v>0.15</v>
      </c>
      <c r="EI106" s="69" t="n">
        <v>0.24</v>
      </c>
      <c r="EJ106" s="69" t="n">
        <v>0.33</v>
      </c>
      <c r="EK106" s="69" t="n">
        <v>0.2</v>
      </c>
      <c r="EL106" s="69" t="n">
        <v>0.28</v>
      </c>
      <c r="EM106" s="69" t="n">
        <v>0.12</v>
      </c>
      <c r="EN106" s="69" t="n">
        <v>0.06</v>
      </c>
      <c r="EO106" s="69" t="n">
        <v>0.1</v>
      </c>
    </row>
    <row r="107" customFormat="false" ht="15" hidden="false" customHeight="false" outlineLevel="0" collapsed="false">
      <c r="A107" s="68" t="s">
        <v>334</v>
      </c>
      <c r="B107" s="69" t="n">
        <v>0.1</v>
      </c>
      <c r="C107" s="69" t="n">
        <v>-0.13</v>
      </c>
      <c r="D107" s="69" t="n">
        <v>0.11</v>
      </c>
      <c r="E107" s="69" t="n">
        <v>0.06</v>
      </c>
      <c r="F107" s="69" t="n">
        <v>0.02</v>
      </c>
      <c r="G107" s="69" t="n">
        <v>-0.11</v>
      </c>
      <c r="H107" s="69" t="n">
        <v>0.11</v>
      </c>
      <c r="I107" s="69" t="n">
        <v>0.09</v>
      </c>
      <c r="J107" s="69" t="n">
        <v>0.04</v>
      </c>
      <c r="K107" s="69" t="n">
        <v>0.01</v>
      </c>
      <c r="L107" s="69" t="n">
        <v>0.14</v>
      </c>
      <c r="M107" s="69" t="n">
        <v>0.1</v>
      </c>
      <c r="N107" s="69" t="n">
        <v>0.19</v>
      </c>
      <c r="O107" s="69" t="n">
        <v>-0.01</v>
      </c>
      <c r="P107" s="69" t="n">
        <v>0.13</v>
      </c>
      <c r="Q107" s="69" t="n">
        <v>0.01</v>
      </c>
      <c r="R107" s="69" t="n">
        <v>0.1</v>
      </c>
      <c r="S107" s="69" t="n">
        <v>0.1</v>
      </c>
      <c r="T107" s="69" t="n">
        <v>0.16</v>
      </c>
      <c r="U107" s="69" t="n">
        <v>0.17</v>
      </c>
      <c r="V107" s="69" t="n">
        <v>-0.03</v>
      </c>
      <c r="W107" s="69" t="n">
        <v>-0.04</v>
      </c>
      <c r="X107" s="69" t="n">
        <v>0.13</v>
      </c>
      <c r="Y107" s="69" t="n">
        <v>0.24</v>
      </c>
      <c r="Z107" s="69" t="n">
        <v>0.04</v>
      </c>
      <c r="AA107" s="69" t="n">
        <v>0.08</v>
      </c>
      <c r="AB107" s="69" t="n">
        <v>0.22</v>
      </c>
      <c r="AC107" s="69" t="n">
        <v>-0.04</v>
      </c>
      <c r="AD107" s="69" t="n">
        <v>-0.04</v>
      </c>
      <c r="AE107" s="69" t="n">
        <v>0.03</v>
      </c>
      <c r="AF107" s="69" t="n">
        <v>0.1</v>
      </c>
      <c r="AG107" s="69" t="n">
        <v>0.06</v>
      </c>
      <c r="AH107" s="69" t="n">
        <v>0.08</v>
      </c>
      <c r="AI107" s="69" t="n">
        <v>0.1</v>
      </c>
      <c r="AJ107" s="69" t="n">
        <v>0.04</v>
      </c>
      <c r="AK107" s="69" t="n">
        <v>0.02</v>
      </c>
      <c r="AL107" s="69" t="n">
        <v>0.22</v>
      </c>
      <c r="AM107" s="69" t="n">
        <v>0.16</v>
      </c>
      <c r="AN107" s="69" t="n">
        <v>0.14</v>
      </c>
      <c r="AO107" s="69" t="n">
        <v>0.02</v>
      </c>
      <c r="AP107" s="69" t="n">
        <v>0.14</v>
      </c>
      <c r="AQ107" s="69" t="n">
        <v>0.02</v>
      </c>
      <c r="AR107" s="69" t="n">
        <v>0.19</v>
      </c>
      <c r="AS107" s="69" t="n">
        <v>0.07</v>
      </c>
      <c r="AT107" s="69" t="n">
        <v>0.2</v>
      </c>
      <c r="AU107" s="69" t="n">
        <v>0.06</v>
      </c>
      <c r="AV107" s="69" t="n">
        <v>0.03</v>
      </c>
      <c r="AW107" s="69" t="n">
        <v>0.13</v>
      </c>
      <c r="AX107" s="69" t="n">
        <v>0.11</v>
      </c>
      <c r="AY107" s="69" t="n">
        <v>0.15</v>
      </c>
      <c r="AZ107" s="69" t="n">
        <v>0.12</v>
      </c>
      <c r="BA107" s="69" t="n">
        <v>0.05</v>
      </c>
      <c r="BB107" s="69" t="n">
        <v>0.18</v>
      </c>
      <c r="BC107" s="69" t="n">
        <v>0.12</v>
      </c>
      <c r="BD107" s="69" t="n">
        <v>0.15</v>
      </c>
      <c r="BE107" s="69" t="n">
        <v>0.12</v>
      </c>
      <c r="BF107" s="69" t="n">
        <v>0.07</v>
      </c>
      <c r="BG107" s="69" t="n">
        <v>0.16</v>
      </c>
      <c r="BH107" s="69" t="n">
        <v>0.04</v>
      </c>
      <c r="BI107" s="69" t="n">
        <v>0.08</v>
      </c>
      <c r="BJ107" s="69" t="n">
        <v>-0.02</v>
      </c>
      <c r="BK107" s="69" t="n">
        <v>0.05</v>
      </c>
      <c r="BL107" s="69" t="n">
        <v>0.09</v>
      </c>
      <c r="BM107" s="69" t="n">
        <v>0.15</v>
      </c>
      <c r="BN107" s="69" t="n">
        <v>-0.05</v>
      </c>
      <c r="BO107" s="69" t="n">
        <v>0.21</v>
      </c>
      <c r="BP107" s="69" t="n">
        <v>0.39</v>
      </c>
      <c r="BQ107" s="69" t="n">
        <v>0.07</v>
      </c>
      <c r="BR107" s="69" t="n">
        <v>0.19</v>
      </c>
      <c r="BS107" s="69" t="n">
        <v>0.07</v>
      </c>
      <c r="BT107" s="69" t="n">
        <v>0</v>
      </c>
      <c r="BU107" s="69" t="n">
        <v>0.16</v>
      </c>
      <c r="BV107" s="69" t="n">
        <v>0.28</v>
      </c>
      <c r="BW107" s="69" t="n">
        <v>0.23</v>
      </c>
      <c r="BX107" s="69" t="n">
        <v>0.14</v>
      </c>
      <c r="BY107" s="69" t="n">
        <v>0.16</v>
      </c>
      <c r="BZ107" s="69" t="n">
        <v>0.14</v>
      </c>
      <c r="CA107" s="69" t="n">
        <v>0.03</v>
      </c>
      <c r="CB107" s="69" t="n">
        <v>0.03</v>
      </c>
      <c r="CC107" s="69" t="n">
        <v>0.11</v>
      </c>
      <c r="CD107" s="69" t="n">
        <v>0.22</v>
      </c>
      <c r="CE107" s="69" t="n">
        <v>0.16</v>
      </c>
      <c r="CF107" s="69" t="n">
        <v>0.1</v>
      </c>
      <c r="CG107" s="69" t="n">
        <v>0.31</v>
      </c>
      <c r="CH107" s="69" t="n">
        <v>0.05</v>
      </c>
      <c r="CI107" s="69" t="n">
        <v>0.08</v>
      </c>
      <c r="CJ107" s="69" t="n">
        <v>0.13</v>
      </c>
      <c r="CK107" s="69" t="n">
        <v>0.2</v>
      </c>
      <c r="CL107" s="69" t="n">
        <v>0.13</v>
      </c>
      <c r="CM107" s="69" t="n">
        <v>0.18</v>
      </c>
      <c r="CN107" s="69" t="n">
        <v>0.15</v>
      </c>
      <c r="CO107" s="69" t="n">
        <v>0.07</v>
      </c>
      <c r="CP107" s="69" t="n">
        <v>0.19</v>
      </c>
      <c r="CQ107" s="69" t="n">
        <v>0.17</v>
      </c>
      <c r="CR107" s="69" t="n">
        <v>0.09</v>
      </c>
      <c r="CS107" s="69" t="n">
        <v>0.01</v>
      </c>
      <c r="CT107" s="69" t="n">
        <v>0.25</v>
      </c>
      <c r="CU107" s="69" t="n">
        <v>0.15</v>
      </c>
      <c r="CV107" s="69" t="n">
        <v>0.17</v>
      </c>
      <c r="CW107" s="69" t="n">
        <v>0.33</v>
      </c>
      <c r="CX107" s="69" t="n">
        <v>0.19</v>
      </c>
      <c r="CY107" s="69" t="n">
        <v>0.09</v>
      </c>
      <c r="CZ107" s="69" t="n">
        <v>1</v>
      </c>
      <c r="DA107" s="69" t="n">
        <v>0.32</v>
      </c>
      <c r="DB107" s="69" t="n">
        <v>0.22</v>
      </c>
      <c r="DC107" s="69" t="n">
        <v>0.1</v>
      </c>
      <c r="DD107" s="69" t="n">
        <v>0.31</v>
      </c>
      <c r="DE107" s="69" t="n">
        <v>0.04</v>
      </c>
      <c r="DF107" s="69" t="n">
        <v>0.56</v>
      </c>
      <c r="DG107" s="69" t="n">
        <v>0.06</v>
      </c>
      <c r="DH107" s="69" t="n">
        <v>0.18</v>
      </c>
      <c r="DI107" s="69" t="n">
        <v>0.15</v>
      </c>
      <c r="DJ107" s="69" t="n">
        <v>0.17</v>
      </c>
      <c r="DK107" s="69" t="n">
        <v>0.13</v>
      </c>
      <c r="DL107" s="69" t="n">
        <v>0.05</v>
      </c>
      <c r="DM107" s="69" t="n">
        <v>0.17</v>
      </c>
      <c r="DN107" s="69" t="n">
        <v>0.25</v>
      </c>
      <c r="DO107" s="69" t="n">
        <v>0.19</v>
      </c>
      <c r="DP107" s="69" t="n">
        <v>0.14</v>
      </c>
      <c r="DQ107" s="69" t="n">
        <v>0.16</v>
      </c>
      <c r="DR107" s="69" t="n">
        <v>0.11</v>
      </c>
      <c r="DS107" s="69" t="n">
        <v>0.34</v>
      </c>
      <c r="DT107" s="69" t="n">
        <v>0.32</v>
      </c>
      <c r="DU107" s="69" t="n">
        <v>0.25</v>
      </c>
      <c r="DV107" s="69" t="n">
        <v>0.34</v>
      </c>
      <c r="DW107" s="69" t="n">
        <v>0.34</v>
      </c>
      <c r="DX107" s="69" t="n">
        <v>0.03</v>
      </c>
      <c r="DY107" s="69" t="n">
        <v>0.25</v>
      </c>
      <c r="DZ107" s="69" t="n">
        <v>0.51</v>
      </c>
      <c r="EA107" s="69" t="n">
        <v>0</v>
      </c>
      <c r="EB107" s="69" t="n">
        <v>0.3</v>
      </c>
      <c r="EC107" s="69" t="n">
        <v>-0.01</v>
      </c>
      <c r="ED107" s="69" t="n">
        <v>0.14</v>
      </c>
      <c r="EE107" s="69" t="n">
        <v>0.05</v>
      </c>
      <c r="EF107" s="69" t="n">
        <v>0.05</v>
      </c>
      <c r="EG107" s="69" t="n">
        <v>0.07</v>
      </c>
      <c r="EH107" s="69" t="n">
        <v>0.29</v>
      </c>
      <c r="EI107" s="69" t="n">
        <v>0</v>
      </c>
      <c r="EJ107" s="69" t="n">
        <v>0.2</v>
      </c>
      <c r="EK107" s="69" t="n">
        <v>0.13</v>
      </c>
      <c r="EL107" s="69" t="n">
        <v>0.07</v>
      </c>
      <c r="EM107" s="69" t="n">
        <v>0.17</v>
      </c>
      <c r="EN107" s="69" t="n">
        <v>0.09</v>
      </c>
      <c r="EO107" s="69" t="n">
        <v>0.08</v>
      </c>
    </row>
    <row r="108" customFormat="false" ht="15" hidden="false" customHeight="false" outlineLevel="0" collapsed="false">
      <c r="A108" s="68" t="s">
        <v>335</v>
      </c>
      <c r="B108" s="69" t="n">
        <v>0.12</v>
      </c>
      <c r="C108" s="69" t="n">
        <v>-0.01</v>
      </c>
      <c r="D108" s="69" t="n">
        <v>0.16</v>
      </c>
      <c r="E108" s="69" t="n">
        <v>-0.01</v>
      </c>
      <c r="F108" s="69" t="n">
        <v>0.07</v>
      </c>
      <c r="G108" s="69" t="n">
        <v>-0.09</v>
      </c>
      <c r="H108" s="69" t="n">
        <v>0.06</v>
      </c>
      <c r="I108" s="69" t="n">
        <v>0.12</v>
      </c>
      <c r="J108" s="69" t="n">
        <v>0</v>
      </c>
      <c r="K108" s="69" t="n">
        <v>0.14</v>
      </c>
      <c r="L108" s="69" t="n">
        <v>0.12</v>
      </c>
      <c r="M108" s="69" t="n">
        <v>0.17</v>
      </c>
      <c r="N108" s="69" t="n">
        <v>0.36</v>
      </c>
      <c r="O108" s="69" t="n">
        <v>-0.12</v>
      </c>
      <c r="P108" s="69" t="n">
        <v>0.11</v>
      </c>
      <c r="Q108" s="69" t="n">
        <v>0</v>
      </c>
      <c r="R108" s="69" t="n">
        <v>0.04</v>
      </c>
      <c r="S108" s="69" t="n">
        <v>0.1</v>
      </c>
      <c r="T108" s="69" t="n">
        <v>0.15</v>
      </c>
      <c r="U108" s="69" t="n">
        <v>0.04</v>
      </c>
      <c r="V108" s="69" t="n">
        <v>0.01</v>
      </c>
      <c r="W108" s="69" t="n">
        <v>-0.11</v>
      </c>
      <c r="X108" s="69" t="n">
        <v>0.15</v>
      </c>
      <c r="Y108" s="69" t="n">
        <v>0.33</v>
      </c>
      <c r="Z108" s="69" t="n">
        <v>0.02</v>
      </c>
      <c r="AA108" s="69" t="n">
        <v>-0.04</v>
      </c>
      <c r="AB108" s="69" t="n">
        <v>0.31</v>
      </c>
      <c r="AC108" s="69" t="n">
        <v>-0.09</v>
      </c>
      <c r="AD108" s="69" t="n">
        <v>-0.01</v>
      </c>
      <c r="AE108" s="69" t="n">
        <v>0.02</v>
      </c>
      <c r="AF108" s="69" t="n">
        <v>-0.11</v>
      </c>
      <c r="AG108" s="69" t="n">
        <v>0.09</v>
      </c>
      <c r="AH108" s="69" t="n">
        <v>0.05</v>
      </c>
      <c r="AI108" s="69" t="n">
        <v>0.02</v>
      </c>
      <c r="AJ108" s="69" t="n">
        <v>0.01</v>
      </c>
      <c r="AK108" s="69" t="n">
        <v>-0.08</v>
      </c>
      <c r="AL108" s="69" t="n">
        <v>0.28</v>
      </c>
      <c r="AM108" s="69" t="n">
        <v>0.1</v>
      </c>
      <c r="AN108" s="69" t="n">
        <v>0.22</v>
      </c>
      <c r="AO108" s="69" t="n">
        <v>0.18</v>
      </c>
      <c r="AP108" s="69" t="n">
        <v>0.3</v>
      </c>
      <c r="AQ108" s="69" t="n">
        <v>-0.06</v>
      </c>
      <c r="AR108" s="69" t="n">
        <v>0.17</v>
      </c>
      <c r="AS108" s="69" t="n">
        <v>0.08</v>
      </c>
      <c r="AT108" s="69" t="n">
        <v>0.3</v>
      </c>
      <c r="AU108" s="69" t="n">
        <v>-0.01</v>
      </c>
      <c r="AV108" s="69" t="n">
        <v>0.04</v>
      </c>
      <c r="AW108" s="69" t="n">
        <v>0.04</v>
      </c>
      <c r="AX108" s="69" t="n">
        <v>0.2</v>
      </c>
      <c r="AY108" s="69" t="n">
        <v>0.17</v>
      </c>
      <c r="AZ108" s="69" t="n">
        <v>0.08</v>
      </c>
      <c r="BA108" s="69" t="n">
        <v>0.07</v>
      </c>
      <c r="BB108" s="69" t="n">
        <v>0.17</v>
      </c>
      <c r="BC108" s="69" t="n">
        <v>0.04</v>
      </c>
      <c r="BD108" s="69" t="n">
        <v>0.09</v>
      </c>
      <c r="BE108" s="69" t="n">
        <v>0.14</v>
      </c>
      <c r="BF108" s="69" t="n">
        <v>0.1</v>
      </c>
      <c r="BG108" s="69" t="n">
        <v>0.35</v>
      </c>
      <c r="BH108" s="69" t="n">
        <v>0.12</v>
      </c>
      <c r="BI108" s="69" t="n">
        <v>0</v>
      </c>
      <c r="BJ108" s="69" t="n">
        <v>-0.1</v>
      </c>
      <c r="BK108" s="69" t="n">
        <v>0.01</v>
      </c>
      <c r="BL108" s="69" t="n">
        <v>0.1</v>
      </c>
      <c r="BM108" s="69" t="n">
        <v>0.23</v>
      </c>
      <c r="BN108" s="69" t="n">
        <v>0.07</v>
      </c>
      <c r="BO108" s="69" t="n">
        <v>0.18</v>
      </c>
      <c r="BP108" s="69" t="n">
        <v>0.32</v>
      </c>
      <c r="BQ108" s="69" t="n">
        <v>0.1</v>
      </c>
      <c r="BR108" s="69" t="n">
        <v>0.16</v>
      </c>
      <c r="BS108" s="69" t="n">
        <v>0.01</v>
      </c>
      <c r="BT108" s="69" t="n">
        <v>0.14</v>
      </c>
      <c r="BU108" s="69" t="n">
        <v>-0.02</v>
      </c>
      <c r="BV108" s="69" t="n">
        <v>0.27</v>
      </c>
      <c r="BW108" s="69" t="n">
        <v>0.13</v>
      </c>
      <c r="BX108" s="69" t="n">
        <v>0.16</v>
      </c>
      <c r="BY108" s="69" t="n">
        <v>0.18</v>
      </c>
      <c r="BZ108" s="69" t="n">
        <v>0.22</v>
      </c>
      <c r="CA108" s="69" t="n">
        <v>0.08</v>
      </c>
      <c r="CB108" s="69" t="n">
        <v>-0.01</v>
      </c>
      <c r="CC108" s="69" t="n">
        <v>0.14</v>
      </c>
      <c r="CD108" s="69" t="n">
        <v>0.32</v>
      </c>
      <c r="CE108" s="69" t="n">
        <v>0.02</v>
      </c>
      <c r="CF108" s="69" t="n">
        <v>-0.03</v>
      </c>
      <c r="CG108" s="69" t="n">
        <v>0.35</v>
      </c>
      <c r="CH108" s="69" t="n">
        <v>-0.03</v>
      </c>
      <c r="CI108" s="69" t="n">
        <v>0</v>
      </c>
      <c r="CJ108" s="69" t="n">
        <v>0.28</v>
      </c>
      <c r="CK108" s="69" t="n">
        <v>0.24</v>
      </c>
      <c r="CL108" s="69" t="n">
        <v>0.18</v>
      </c>
      <c r="CM108" s="69" t="n">
        <v>0.23</v>
      </c>
      <c r="CN108" s="69" t="n">
        <v>-0.01</v>
      </c>
      <c r="CO108" s="69" t="n">
        <v>0.17</v>
      </c>
      <c r="CP108" s="69" t="n">
        <v>0.19</v>
      </c>
      <c r="CQ108" s="69" t="n">
        <v>0.19</v>
      </c>
      <c r="CR108" s="69" t="n">
        <v>0.14</v>
      </c>
      <c r="CS108" s="69" t="n">
        <v>0</v>
      </c>
      <c r="CT108" s="69" t="n">
        <v>0.32</v>
      </c>
      <c r="CU108" s="69" t="n">
        <v>0.19</v>
      </c>
      <c r="CV108" s="69" t="n">
        <v>0.22</v>
      </c>
      <c r="CW108" s="69" t="n">
        <v>0.29</v>
      </c>
      <c r="CX108" s="69" t="n">
        <v>0.27</v>
      </c>
      <c r="CY108" s="69" t="n">
        <v>0.15</v>
      </c>
      <c r="CZ108" s="69" t="n">
        <v>0.32</v>
      </c>
      <c r="DA108" s="69" t="n">
        <v>1</v>
      </c>
      <c r="DB108" s="69" t="n">
        <v>0.18</v>
      </c>
      <c r="DC108" s="69" t="n">
        <v>0.07</v>
      </c>
      <c r="DD108" s="69" t="n">
        <v>0.44</v>
      </c>
      <c r="DE108" s="69" t="n">
        <v>0.04</v>
      </c>
      <c r="DF108" s="69" t="n">
        <v>0.3</v>
      </c>
      <c r="DG108" s="69" t="n">
        <v>0.13</v>
      </c>
      <c r="DH108" s="69" t="n">
        <v>0.11</v>
      </c>
      <c r="DI108" s="69" t="n">
        <v>0.14</v>
      </c>
      <c r="DJ108" s="69" t="n">
        <v>0.23</v>
      </c>
      <c r="DK108" s="69" t="n">
        <v>0.17</v>
      </c>
      <c r="DL108" s="69" t="n">
        <v>0.02</v>
      </c>
      <c r="DM108" s="69" t="n">
        <v>0.23</v>
      </c>
      <c r="DN108" s="69" t="n">
        <v>0.36</v>
      </c>
      <c r="DO108" s="69" t="n">
        <v>0.14</v>
      </c>
      <c r="DP108" s="69" t="n">
        <v>0.24</v>
      </c>
      <c r="DQ108" s="69" t="n">
        <v>0.09</v>
      </c>
      <c r="DR108" s="69" t="n">
        <v>0.06</v>
      </c>
      <c r="DS108" s="69" t="n">
        <v>0.22</v>
      </c>
      <c r="DT108" s="69" t="n">
        <v>0.21</v>
      </c>
      <c r="DU108" s="69" t="n">
        <v>0.31</v>
      </c>
      <c r="DV108" s="69" t="n">
        <v>0.18</v>
      </c>
      <c r="DW108" s="69" t="n">
        <v>0.4</v>
      </c>
      <c r="DX108" s="69" t="n">
        <v>0.03</v>
      </c>
      <c r="DY108" s="69" t="n">
        <v>0.34</v>
      </c>
      <c r="DZ108" s="69" t="n">
        <v>0.21</v>
      </c>
      <c r="EA108" s="69" t="n">
        <v>0.13</v>
      </c>
      <c r="EB108" s="69" t="n">
        <v>0.32</v>
      </c>
      <c r="EC108" s="69" t="n">
        <v>-0.02</v>
      </c>
      <c r="ED108" s="69" t="n">
        <v>0.22</v>
      </c>
      <c r="EE108" s="69" t="n">
        <v>0.09</v>
      </c>
      <c r="EF108" s="69" t="n">
        <v>0.1</v>
      </c>
      <c r="EG108" s="69" t="n">
        <v>0</v>
      </c>
      <c r="EH108" s="69" t="n">
        <v>0.37</v>
      </c>
      <c r="EI108" s="69" t="n">
        <v>-0.02</v>
      </c>
      <c r="EJ108" s="69" t="n">
        <v>0.35</v>
      </c>
      <c r="EK108" s="69" t="n">
        <v>0.24</v>
      </c>
      <c r="EL108" s="69" t="n">
        <v>0.14</v>
      </c>
      <c r="EM108" s="69" t="n">
        <v>0.12</v>
      </c>
      <c r="EN108" s="69" t="n">
        <v>0.1</v>
      </c>
      <c r="EO108" s="69" t="n">
        <v>0.11</v>
      </c>
    </row>
    <row r="109" customFormat="false" ht="15" hidden="false" customHeight="false" outlineLevel="0" collapsed="false">
      <c r="A109" s="68" t="s">
        <v>336</v>
      </c>
      <c r="B109" s="69" t="n">
        <v>0</v>
      </c>
      <c r="C109" s="69" t="n">
        <v>0.05</v>
      </c>
      <c r="D109" s="69" t="n">
        <v>0.09</v>
      </c>
      <c r="E109" s="69" t="n">
        <v>0.19</v>
      </c>
      <c r="F109" s="69" t="n">
        <v>-0.08</v>
      </c>
      <c r="G109" s="69" t="n">
        <v>0.08</v>
      </c>
      <c r="H109" s="69" t="n">
        <v>0.12</v>
      </c>
      <c r="I109" s="69" t="n">
        <v>-0.03</v>
      </c>
      <c r="J109" s="69" t="n">
        <v>-0.09</v>
      </c>
      <c r="K109" s="69" t="n">
        <v>-0.02</v>
      </c>
      <c r="L109" s="69" t="n">
        <v>0.12</v>
      </c>
      <c r="M109" s="69" t="n">
        <v>0.3</v>
      </c>
      <c r="N109" s="69" t="n">
        <v>0.14</v>
      </c>
      <c r="O109" s="69" t="n">
        <v>0.12</v>
      </c>
      <c r="P109" s="69" t="n">
        <v>-0.07</v>
      </c>
      <c r="Q109" s="69" t="n">
        <v>0.07</v>
      </c>
      <c r="R109" s="69" t="n">
        <v>-0.04</v>
      </c>
      <c r="S109" s="69" t="n">
        <v>0.03</v>
      </c>
      <c r="T109" s="69" t="n">
        <v>0.19</v>
      </c>
      <c r="U109" s="69" t="n">
        <v>0.27</v>
      </c>
      <c r="V109" s="69" t="n">
        <v>0.13</v>
      </c>
      <c r="W109" s="69" t="n">
        <v>0.16</v>
      </c>
      <c r="X109" s="69" t="n">
        <v>0.19</v>
      </c>
      <c r="Y109" s="69" t="n">
        <v>0.03</v>
      </c>
      <c r="Z109" s="69" t="n">
        <v>0.15</v>
      </c>
      <c r="AA109" s="69" t="n">
        <v>0.05</v>
      </c>
      <c r="AB109" s="69" t="n">
        <v>0.01</v>
      </c>
      <c r="AC109" s="69" t="n">
        <v>0.15</v>
      </c>
      <c r="AD109" s="69" t="n">
        <v>0.13</v>
      </c>
      <c r="AE109" s="69" t="n">
        <v>0.13</v>
      </c>
      <c r="AF109" s="69" t="n">
        <v>0.26</v>
      </c>
      <c r="AG109" s="69" t="n">
        <v>-0.08</v>
      </c>
      <c r="AH109" s="69" t="n">
        <v>-0.02</v>
      </c>
      <c r="AI109" s="69" t="n">
        <v>-0.08</v>
      </c>
      <c r="AJ109" s="69" t="n">
        <v>0.1</v>
      </c>
      <c r="AK109" s="69" t="n">
        <v>0.18</v>
      </c>
      <c r="AL109" s="69" t="n">
        <v>0.21</v>
      </c>
      <c r="AM109" s="69" t="n">
        <v>0.17</v>
      </c>
      <c r="AN109" s="69" t="n">
        <v>0.17</v>
      </c>
      <c r="AO109" s="69" t="n">
        <v>-0.05</v>
      </c>
      <c r="AP109" s="69" t="n">
        <v>0.19</v>
      </c>
      <c r="AQ109" s="69" t="n">
        <v>-0.12</v>
      </c>
      <c r="AR109" s="69" t="n">
        <v>0.14</v>
      </c>
      <c r="AS109" s="69" t="n">
        <v>0.2</v>
      </c>
      <c r="AT109" s="69" t="n">
        <v>0.3</v>
      </c>
      <c r="AU109" s="69" t="n">
        <v>-0.02</v>
      </c>
      <c r="AV109" s="69" t="n">
        <v>0.23</v>
      </c>
      <c r="AW109" s="69" t="n">
        <v>0.25</v>
      </c>
      <c r="AX109" s="69" t="n">
        <v>0.09</v>
      </c>
      <c r="AY109" s="69" t="n">
        <v>0.1</v>
      </c>
      <c r="AZ109" s="69" t="n">
        <v>0.17</v>
      </c>
      <c r="BA109" s="69" t="n">
        <v>0.17</v>
      </c>
      <c r="BB109" s="69" t="n">
        <v>0.37</v>
      </c>
      <c r="BC109" s="69" t="n">
        <v>0.17</v>
      </c>
      <c r="BD109" s="69" t="n">
        <v>0.17</v>
      </c>
      <c r="BE109" s="69" t="n">
        <v>0.04</v>
      </c>
      <c r="BF109" s="69" t="n">
        <v>0.23</v>
      </c>
      <c r="BG109" s="69" t="n">
        <v>0.06</v>
      </c>
      <c r="BH109" s="69" t="n">
        <v>0.27</v>
      </c>
      <c r="BI109" s="69" t="n">
        <v>0.14</v>
      </c>
      <c r="BJ109" s="69" t="n">
        <v>0.05</v>
      </c>
      <c r="BK109" s="69" t="n">
        <v>0.19</v>
      </c>
      <c r="BL109" s="69" t="n">
        <v>0.26</v>
      </c>
      <c r="BM109" s="69" t="n">
        <v>0.07</v>
      </c>
      <c r="BN109" s="69" t="n">
        <v>0.05</v>
      </c>
      <c r="BO109" s="69" t="n">
        <v>0.42</v>
      </c>
      <c r="BP109" s="69" t="n">
        <v>0.25</v>
      </c>
      <c r="BQ109" s="69" t="n">
        <v>0.32</v>
      </c>
      <c r="BR109" s="69" t="n">
        <v>0.15</v>
      </c>
      <c r="BS109" s="69" t="n">
        <v>-0.04</v>
      </c>
      <c r="BT109" s="69" t="n">
        <v>0.25</v>
      </c>
      <c r="BU109" s="69" t="n">
        <v>0.12</v>
      </c>
      <c r="BV109" s="69" t="n">
        <v>0.38</v>
      </c>
      <c r="BW109" s="69" t="n">
        <v>0.17</v>
      </c>
      <c r="BX109" s="69" t="n">
        <v>0.06</v>
      </c>
      <c r="BY109" s="69" t="n">
        <v>0.26</v>
      </c>
      <c r="BZ109" s="69" t="n">
        <v>0.29</v>
      </c>
      <c r="CA109" s="69" t="n">
        <v>0.17</v>
      </c>
      <c r="CB109" s="69" t="n">
        <v>0</v>
      </c>
      <c r="CC109" s="69" t="n">
        <v>0.12</v>
      </c>
      <c r="CD109" s="69" t="n">
        <v>0.17</v>
      </c>
      <c r="CE109" s="69" t="n">
        <v>0.25</v>
      </c>
      <c r="CF109" s="69" t="n">
        <v>-0.11</v>
      </c>
      <c r="CG109" s="69" t="n">
        <v>0.23</v>
      </c>
      <c r="CH109" s="69" t="n">
        <v>0.36</v>
      </c>
      <c r="CI109" s="69" t="n">
        <v>-0.13</v>
      </c>
      <c r="CJ109" s="69" t="n">
        <v>0.08</v>
      </c>
      <c r="CK109" s="69" t="n">
        <v>0.16</v>
      </c>
      <c r="CL109" s="69" t="n">
        <v>0.27</v>
      </c>
      <c r="CM109" s="69" t="n">
        <v>0.45</v>
      </c>
      <c r="CN109" s="69" t="n">
        <v>0.13</v>
      </c>
      <c r="CO109" s="69" t="n">
        <v>0.21</v>
      </c>
      <c r="CP109" s="69" t="n">
        <v>0.21</v>
      </c>
      <c r="CQ109" s="69" t="n">
        <v>0.34</v>
      </c>
      <c r="CR109" s="69" t="n">
        <v>0.48</v>
      </c>
      <c r="CS109" s="69" t="n">
        <v>0.38</v>
      </c>
      <c r="CT109" s="69" t="n">
        <v>0.36</v>
      </c>
      <c r="CU109" s="69" t="n">
        <v>0.25</v>
      </c>
      <c r="CV109" s="69" t="n">
        <v>0.36</v>
      </c>
      <c r="CW109" s="69" t="n">
        <v>0.22</v>
      </c>
      <c r="CX109" s="69" t="n">
        <v>0.35</v>
      </c>
      <c r="CY109" s="69" t="n">
        <v>0.24</v>
      </c>
      <c r="CZ109" s="69" t="n">
        <v>0.22</v>
      </c>
      <c r="DA109" s="69" t="n">
        <v>0.18</v>
      </c>
      <c r="DB109" s="69" t="n">
        <v>1</v>
      </c>
      <c r="DC109" s="69" t="n">
        <v>0.28</v>
      </c>
      <c r="DD109" s="69" t="n">
        <v>0.35</v>
      </c>
      <c r="DE109" s="69" t="n">
        <v>0.41</v>
      </c>
      <c r="DF109" s="69" t="n">
        <v>0.12</v>
      </c>
      <c r="DG109" s="69" t="n">
        <v>0.33</v>
      </c>
      <c r="DH109" s="69" t="n">
        <v>0.39</v>
      </c>
      <c r="DI109" s="69" t="n">
        <v>0.37</v>
      </c>
      <c r="DJ109" s="69" t="n">
        <v>0.17</v>
      </c>
      <c r="DK109" s="69" t="n">
        <v>0.34</v>
      </c>
      <c r="DL109" s="69" t="n">
        <v>0.23</v>
      </c>
      <c r="DM109" s="69" t="n">
        <v>0.27</v>
      </c>
      <c r="DN109" s="69" t="n">
        <v>0.1</v>
      </c>
      <c r="DO109" s="69" t="n">
        <v>0.45</v>
      </c>
      <c r="DP109" s="69" t="n">
        <v>0.25</v>
      </c>
      <c r="DQ109" s="69" t="n">
        <v>0.37</v>
      </c>
      <c r="DR109" s="69" t="n">
        <v>0.34</v>
      </c>
      <c r="DS109" s="69" t="n">
        <v>0.12</v>
      </c>
      <c r="DT109" s="69" t="n">
        <v>0.39</v>
      </c>
      <c r="DU109" s="69" t="n">
        <v>0.49</v>
      </c>
      <c r="DV109" s="69" t="n">
        <v>0.37</v>
      </c>
      <c r="DW109" s="69" t="n">
        <v>0.29</v>
      </c>
      <c r="DX109" s="69" t="n">
        <v>0.41</v>
      </c>
      <c r="DY109" s="69" t="n">
        <v>0.42</v>
      </c>
      <c r="DZ109" s="69" t="n">
        <v>0.22</v>
      </c>
      <c r="EA109" s="69" t="n">
        <v>0.23</v>
      </c>
      <c r="EB109" s="69" t="n">
        <v>0.42</v>
      </c>
      <c r="EC109" s="69" t="n">
        <v>0.06</v>
      </c>
      <c r="ED109" s="69" t="n">
        <v>0.42</v>
      </c>
      <c r="EE109" s="69" t="n">
        <v>0.47</v>
      </c>
      <c r="EF109" s="69" t="n">
        <v>0.15</v>
      </c>
      <c r="EG109" s="69" t="n">
        <v>0.38</v>
      </c>
      <c r="EH109" s="69" t="n">
        <v>0.13</v>
      </c>
      <c r="EI109" s="69" t="n">
        <v>0.34</v>
      </c>
      <c r="EJ109" s="69" t="n">
        <v>0.32</v>
      </c>
      <c r="EK109" s="69" t="n">
        <v>0.39</v>
      </c>
      <c r="EL109" s="69" t="n">
        <v>0.35</v>
      </c>
      <c r="EM109" s="69" t="n">
        <v>0.16</v>
      </c>
      <c r="EN109" s="69" t="n">
        <v>0.17</v>
      </c>
      <c r="EO109" s="69" t="n">
        <v>0.12</v>
      </c>
    </row>
    <row r="110" customFormat="false" ht="15" hidden="false" customHeight="false" outlineLevel="0" collapsed="false">
      <c r="A110" s="68" t="s">
        <v>337</v>
      </c>
      <c r="B110" s="69" t="n">
        <v>-0.02</v>
      </c>
      <c r="C110" s="69" t="n">
        <v>0.04</v>
      </c>
      <c r="D110" s="69" t="n">
        <v>0.18</v>
      </c>
      <c r="E110" s="69" t="n">
        <v>0.17</v>
      </c>
      <c r="F110" s="69" t="n">
        <v>-0.09</v>
      </c>
      <c r="G110" s="69" t="n">
        <v>0.1</v>
      </c>
      <c r="H110" s="69" t="n">
        <v>0.16</v>
      </c>
      <c r="I110" s="69" t="n">
        <v>0.03</v>
      </c>
      <c r="J110" s="69" t="n">
        <v>-0.06</v>
      </c>
      <c r="K110" s="69" t="n">
        <v>0.13</v>
      </c>
      <c r="L110" s="69" t="n">
        <v>0.15</v>
      </c>
      <c r="M110" s="69" t="n">
        <v>0.32</v>
      </c>
      <c r="N110" s="69" t="n">
        <v>0.11</v>
      </c>
      <c r="O110" s="69" t="n">
        <v>0.21</v>
      </c>
      <c r="P110" s="69" t="n">
        <v>-0.09</v>
      </c>
      <c r="Q110" s="69" t="n">
        <v>0.09</v>
      </c>
      <c r="R110" s="69" t="n">
        <v>-0.03</v>
      </c>
      <c r="S110" s="69" t="n">
        <v>0.09</v>
      </c>
      <c r="T110" s="69" t="n">
        <v>0.31</v>
      </c>
      <c r="U110" s="69" t="n">
        <v>0.2</v>
      </c>
      <c r="V110" s="69" t="n">
        <v>0.21</v>
      </c>
      <c r="W110" s="69" t="n">
        <v>0.14</v>
      </c>
      <c r="X110" s="69" t="n">
        <v>0.25</v>
      </c>
      <c r="Y110" s="69" t="n">
        <v>0.05</v>
      </c>
      <c r="Z110" s="69" t="n">
        <v>0.23</v>
      </c>
      <c r="AA110" s="69" t="n">
        <v>0.29</v>
      </c>
      <c r="AB110" s="69" t="n">
        <v>0.06</v>
      </c>
      <c r="AC110" s="69" t="n">
        <v>0.12</v>
      </c>
      <c r="AD110" s="69" t="n">
        <v>0.05</v>
      </c>
      <c r="AE110" s="69" t="n">
        <v>0.42</v>
      </c>
      <c r="AF110" s="69" t="n">
        <v>0.27</v>
      </c>
      <c r="AG110" s="69" t="n">
        <v>-0.12</v>
      </c>
      <c r="AH110" s="69" t="n">
        <v>-0.1</v>
      </c>
      <c r="AI110" s="69" t="n">
        <v>-0.35</v>
      </c>
      <c r="AJ110" s="69" t="n">
        <v>0.28</v>
      </c>
      <c r="AK110" s="69" t="n">
        <v>0.33</v>
      </c>
      <c r="AL110" s="69" t="n">
        <v>0.09</v>
      </c>
      <c r="AM110" s="69" t="n">
        <v>0.34</v>
      </c>
      <c r="AN110" s="69" t="n">
        <v>0.29</v>
      </c>
      <c r="AO110" s="69" t="n">
        <v>0</v>
      </c>
      <c r="AP110" s="69" t="n">
        <v>0.17</v>
      </c>
      <c r="AQ110" s="69" t="n">
        <v>-0.35</v>
      </c>
      <c r="AR110" s="69" t="n">
        <v>0.23</v>
      </c>
      <c r="AS110" s="69" t="n">
        <v>0.27</v>
      </c>
      <c r="AT110" s="69" t="n">
        <v>0.29</v>
      </c>
      <c r="AU110" s="69" t="n">
        <v>-0.01</v>
      </c>
      <c r="AV110" s="69" t="n">
        <v>0.21</v>
      </c>
      <c r="AW110" s="69" t="n">
        <v>0.19</v>
      </c>
      <c r="AX110" s="69" t="n">
        <v>0.11</v>
      </c>
      <c r="AY110" s="69" t="n">
        <v>0.12</v>
      </c>
      <c r="AZ110" s="69" t="n">
        <v>0.41</v>
      </c>
      <c r="BA110" s="69" t="n">
        <v>0.22</v>
      </c>
      <c r="BB110" s="69" t="n">
        <v>0.39</v>
      </c>
      <c r="BC110" s="69" t="n">
        <v>0.12</v>
      </c>
      <c r="BD110" s="69" t="n">
        <v>0.37</v>
      </c>
      <c r="BE110" s="69" t="n">
        <v>0.08</v>
      </c>
      <c r="BF110" s="69" t="n">
        <v>0.26</v>
      </c>
      <c r="BG110" s="69" t="n">
        <v>0.13</v>
      </c>
      <c r="BH110" s="69" t="n">
        <v>0.21</v>
      </c>
      <c r="BI110" s="69" t="n">
        <v>0.16</v>
      </c>
      <c r="BJ110" s="69" t="n">
        <v>0.11</v>
      </c>
      <c r="BK110" s="69" t="n">
        <v>0.35</v>
      </c>
      <c r="BL110" s="69" t="n">
        <v>0.23</v>
      </c>
      <c r="BM110" s="69" t="n">
        <v>0.11</v>
      </c>
      <c r="BN110" s="69" t="n">
        <v>-0.03</v>
      </c>
      <c r="BO110" s="69" t="n">
        <v>0.19</v>
      </c>
      <c r="BP110" s="69" t="n">
        <v>0.06</v>
      </c>
      <c r="BQ110" s="69" t="n">
        <v>0.31</v>
      </c>
      <c r="BR110" s="69" t="n">
        <v>0.27</v>
      </c>
      <c r="BS110" s="69" t="n">
        <v>-0.28</v>
      </c>
      <c r="BT110" s="69" t="n">
        <v>0.31</v>
      </c>
      <c r="BU110" s="69" t="n">
        <v>0.23</v>
      </c>
      <c r="BV110" s="69" t="n">
        <v>0.18</v>
      </c>
      <c r="BW110" s="69" t="n">
        <v>0.14</v>
      </c>
      <c r="BX110" s="69" t="n">
        <v>0.08</v>
      </c>
      <c r="BY110" s="69" t="n">
        <v>0.25</v>
      </c>
      <c r="BZ110" s="69" t="n">
        <v>0.3</v>
      </c>
      <c r="CA110" s="69" t="n">
        <v>0.24</v>
      </c>
      <c r="CB110" s="69" t="n">
        <v>-0.07</v>
      </c>
      <c r="CC110" s="69" t="n">
        <v>0.02</v>
      </c>
      <c r="CD110" s="69" t="n">
        <v>0.08</v>
      </c>
      <c r="CE110" s="69" t="n">
        <v>0.07</v>
      </c>
      <c r="CF110" s="69" t="n">
        <v>-0.31</v>
      </c>
      <c r="CG110" s="69" t="n">
        <v>0.23</v>
      </c>
      <c r="CH110" s="69" t="n">
        <v>0.31</v>
      </c>
      <c r="CI110" s="69" t="n">
        <v>-0.33</v>
      </c>
      <c r="CJ110" s="69" t="n">
        <v>-0.13</v>
      </c>
      <c r="CK110" s="69" t="n">
        <v>0.1</v>
      </c>
      <c r="CL110" s="69" t="n">
        <v>0.19</v>
      </c>
      <c r="CM110" s="69" t="n">
        <v>0.08</v>
      </c>
      <c r="CN110" s="69" t="n">
        <v>0.22</v>
      </c>
      <c r="CO110" s="69" t="n">
        <v>0.1</v>
      </c>
      <c r="CP110" s="69" t="n">
        <v>0.07</v>
      </c>
      <c r="CQ110" s="69" t="n">
        <v>0.41</v>
      </c>
      <c r="CR110" s="69" t="n">
        <v>0.27</v>
      </c>
      <c r="CS110" s="69" t="n">
        <v>0.27</v>
      </c>
      <c r="CT110" s="69" t="n">
        <v>0.18</v>
      </c>
      <c r="CU110" s="69" t="n">
        <v>0.15</v>
      </c>
      <c r="CV110" s="69" t="n">
        <v>0.2</v>
      </c>
      <c r="CW110" s="69" t="n">
        <v>0.2</v>
      </c>
      <c r="CX110" s="69" t="n">
        <v>0.29</v>
      </c>
      <c r="CY110" s="69" t="n">
        <v>0.44</v>
      </c>
      <c r="CZ110" s="69" t="n">
        <v>0.1</v>
      </c>
      <c r="DA110" s="69" t="n">
        <v>0.07</v>
      </c>
      <c r="DB110" s="69" t="n">
        <v>0.28</v>
      </c>
      <c r="DC110" s="69" t="n">
        <v>1</v>
      </c>
      <c r="DD110" s="69" t="n">
        <v>0.22</v>
      </c>
      <c r="DE110" s="69" t="n">
        <v>0.33</v>
      </c>
      <c r="DF110" s="69" t="n">
        <v>-0.1</v>
      </c>
      <c r="DG110" s="69" t="n">
        <v>0.22</v>
      </c>
      <c r="DH110" s="69" t="n">
        <v>0.15</v>
      </c>
      <c r="DI110" s="69" t="n">
        <v>0.41</v>
      </c>
      <c r="DJ110" s="69" t="n">
        <v>0.4</v>
      </c>
      <c r="DK110" s="69" t="n">
        <v>0.46</v>
      </c>
      <c r="DL110" s="69" t="n">
        <v>0.31</v>
      </c>
      <c r="DM110" s="69" t="n">
        <v>0.49</v>
      </c>
      <c r="DN110" s="69" t="n">
        <v>0.14</v>
      </c>
      <c r="DO110" s="69" t="n">
        <v>0.28</v>
      </c>
      <c r="DP110" s="69" t="n">
        <v>0.41</v>
      </c>
      <c r="DQ110" s="69" t="n">
        <v>0.27</v>
      </c>
      <c r="DR110" s="69" t="n">
        <v>0.14</v>
      </c>
      <c r="DS110" s="69" t="n">
        <v>0.03</v>
      </c>
      <c r="DT110" s="69" t="n">
        <v>0.18</v>
      </c>
      <c r="DU110" s="69" t="n">
        <v>0.25</v>
      </c>
      <c r="DV110" s="69" t="n">
        <v>0.02</v>
      </c>
      <c r="DW110" s="69" t="n">
        <v>0.18</v>
      </c>
      <c r="DX110" s="69" t="n">
        <v>0.28</v>
      </c>
      <c r="DY110" s="69" t="n">
        <v>0.28</v>
      </c>
      <c r="DZ110" s="69" t="n">
        <v>0.03</v>
      </c>
      <c r="EA110" s="69" t="n">
        <v>0.19</v>
      </c>
      <c r="EB110" s="69" t="n">
        <v>0.25</v>
      </c>
      <c r="EC110" s="69" t="n">
        <v>0.02</v>
      </c>
      <c r="ED110" s="69" t="n">
        <v>0.31</v>
      </c>
      <c r="EE110" s="69" t="n">
        <v>0.25</v>
      </c>
      <c r="EF110" s="69" t="n">
        <v>0.14</v>
      </c>
      <c r="EG110" s="69" t="n">
        <v>0.26</v>
      </c>
      <c r="EH110" s="69" t="n">
        <v>0</v>
      </c>
      <c r="EI110" s="69" t="n">
        <v>0.26</v>
      </c>
      <c r="EJ110" s="69" t="n">
        <v>0.25</v>
      </c>
      <c r="EK110" s="69" t="n">
        <v>0.17</v>
      </c>
      <c r="EL110" s="69" t="n">
        <v>0.3</v>
      </c>
      <c r="EM110" s="69" t="n">
        <v>0.09</v>
      </c>
      <c r="EN110" s="69" t="n">
        <v>0.03</v>
      </c>
      <c r="EO110" s="69" t="n">
        <v>0.06</v>
      </c>
    </row>
    <row r="111" customFormat="false" ht="15" hidden="false" customHeight="false" outlineLevel="0" collapsed="false">
      <c r="A111" s="68" t="s">
        <v>338</v>
      </c>
      <c r="B111" s="69" t="n">
        <v>0.14</v>
      </c>
      <c r="C111" s="69" t="n">
        <v>-0.04</v>
      </c>
      <c r="D111" s="69" t="n">
        <v>0.18</v>
      </c>
      <c r="E111" s="69" t="n">
        <v>0.13</v>
      </c>
      <c r="F111" s="69" t="n">
        <v>0.03</v>
      </c>
      <c r="G111" s="69" t="n">
        <v>0.05</v>
      </c>
      <c r="H111" s="69" t="n">
        <v>0.06</v>
      </c>
      <c r="I111" s="69" t="n">
        <v>0.17</v>
      </c>
      <c r="J111" s="69" t="n">
        <v>0.01</v>
      </c>
      <c r="K111" s="69" t="n">
        <v>0.12</v>
      </c>
      <c r="L111" s="69" t="n">
        <v>0.06</v>
      </c>
      <c r="M111" s="69" t="n">
        <v>0.31</v>
      </c>
      <c r="N111" s="69" t="n">
        <v>0.25</v>
      </c>
      <c r="O111" s="69" t="n">
        <v>0.02</v>
      </c>
      <c r="P111" s="69" t="n">
        <v>0.09</v>
      </c>
      <c r="Q111" s="69" t="n">
        <v>0.06</v>
      </c>
      <c r="R111" s="69" t="n">
        <v>0.06</v>
      </c>
      <c r="S111" s="69" t="n">
        <v>0.13</v>
      </c>
      <c r="T111" s="69" t="n">
        <v>0.25</v>
      </c>
      <c r="U111" s="69" t="n">
        <v>0.16</v>
      </c>
      <c r="V111" s="69" t="n">
        <v>0.15</v>
      </c>
      <c r="W111" s="69" t="n">
        <v>-0.04</v>
      </c>
      <c r="X111" s="69" t="n">
        <v>0.32</v>
      </c>
      <c r="Y111" s="69" t="n">
        <v>0.39</v>
      </c>
      <c r="Z111" s="69" t="n">
        <v>0.08</v>
      </c>
      <c r="AA111" s="69" t="n">
        <v>0.05</v>
      </c>
      <c r="AB111" s="69" t="n">
        <v>0.37</v>
      </c>
      <c r="AC111" s="69" t="n">
        <v>0.08</v>
      </c>
      <c r="AD111" s="69" t="n">
        <v>0.04</v>
      </c>
      <c r="AE111" s="69" t="n">
        <v>0.18</v>
      </c>
      <c r="AF111" s="69" t="n">
        <v>0.07</v>
      </c>
      <c r="AG111" s="69" t="n">
        <v>0</v>
      </c>
      <c r="AH111" s="69" t="n">
        <v>0.01</v>
      </c>
      <c r="AI111" s="69" t="n">
        <v>-0.1</v>
      </c>
      <c r="AJ111" s="69" t="n">
        <v>0.04</v>
      </c>
      <c r="AK111" s="69" t="n">
        <v>0.04</v>
      </c>
      <c r="AL111" s="69" t="n">
        <v>0.25</v>
      </c>
      <c r="AM111" s="69" t="n">
        <v>0.27</v>
      </c>
      <c r="AN111" s="69" t="n">
        <v>0.33</v>
      </c>
      <c r="AO111" s="69" t="n">
        <v>0.1</v>
      </c>
      <c r="AP111" s="69" t="n">
        <v>0.36</v>
      </c>
      <c r="AQ111" s="69" t="n">
        <v>-0.16</v>
      </c>
      <c r="AR111" s="69" t="n">
        <v>0.21</v>
      </c>
      <c r="AS111" s="69" t="n">
        <v>0.15</v>
      </c>
      <c r="AT111" s="69" t="n">
        <v>0.38</v>
      </c>
      <c r="AU111" s="69" t="n">
        <v>0.05</v>
      </c>
      <c r="AV111" s="69" t="n">
        <v>0.08</v>
      </c>
      <c r="AW111" s="69" t="n">
        <v>0.17</v>
      </c>
      <c r="AX111" s="69" t="n">
        <v>0.16</v>
      </c>
      <c r="AY111" s="69" t="n">
        <v>0.28</v>
      </c>
      <c r="AZ111" s="69" t="n">
        <v>0.22</v>
      </c>
      <c r="BA111" s="69" t="n">
        <v>0.19</v>
      </c>
      <c r="BB111" s="69" t="n">
        <v>0.37</v>
      </c>
      <c r="BC111" s="69" t="n">
        <v>0.14</v>
      </c>
      <c r="BD111" s="69" t="n">
        <v>0.14</v>
      </c>
      <c r="BE111" s="69" t="n">
        <v>0.1</v>
      </c>
      <c r="BF111" s="69" t="n">
        <v>0.12</v>
      </c>
      <c r="BG111" s="69" t="n">
        <v>0.37</v>
      </c>
      <c r="BH111" s="69" t="n">
        <v>0.19</v>
      </c>
      <c r="BI111" s="69" t="n">
        <v>0.16</v>
      </c>
      <c r="BJ111" s="69" t="n">
        <v>0</v>
      </c>
      <c r="BK111" s="69" t="n">
        <v>0.14</v>
      </c>
      <c r="BL111" s="69" t="n">
        <v>0.22</v>
      </c>
      <c r="BM111" s="69" t="n">
        <v>0.2</v>
      </c>
      <c r="BN111" s="69" t="n">
        <v>0.09</v>
      </c>
      <c r="BO111" s="69" t="n">
        <v>0.32</v>
      </c>
      <c r="BP111" s="69" t="n">
        <v>0.33</v>
      </c>
      <c r="BQ111" s="69" t="n">
        <v>0.2</v>
      </c>
      <c r="BR111" s="69" t="n">
        <v>0.27</v>
      </c>
      <c r="BS111" s="69" t="n">
        <v>-0.06</v>
      </c>
      <c r="BT111" s="69" t="n">
        <v>0.3</v>
      </c>
      <c r="BU111" s="69" t="n">
        <v>0.14</v>
      </c>
      <c r="BV111" s="69" t="n">
        <v>0.38</v>
      </c>
      <c r="BW111" s="69" t="n">
        <v>0.26</v>
      </c>
      <c r="BX111" s="69" t="n">
        <v>0.2</v>
      </c>
      <c r="BY111" s="69" t="n">
        <v>0.29</v>
      </c>
      <c r="BZ111" s="69" t="n">
        <v>0.31</v>
      </c>
      <c r="CA111" s="69" t="n">
        <v>0.14</v>
      </c>
      <c r="CB111" s="69" t="n">
        <v>-0.03</v>
      </c>
      <c r="CC111" s="69" t="n">
        <v>0.21</v>
      </c>
      <c r="CD111" s="69" t="n">
        <v>0.33</v>
      </c>
      <c r="CE111" s="69" t="n">
        <v>0.22</v>
      </c>
      <c r="CF111" s="69" t="n">
        <v>-0.11</v>
      </c>
      <c r="CG111" s="69" t="n">
        <v>0.45</v>
      </c>
      <c r="CH111" s="69" t="n">
        <v>0.16</v>
      </c>
      <c r="CI111" s="69" t="n">
        <v>-0.11</v>
      </c>
      <c r="CJ111" s="69" t="n">
        <v>0.4</v>
      </c>
      <c r="CK111" s="69" t="n">
        <v>0.29</v>
      </c>
      <c r="CL111" s="69" t="n">
        <v>0.21</v>
      </c>
      <c r="CM111" s="69" t="n">
        <v>0.25</v>
      </c>
      <c r="CN111" s="69" t="n">
        <v>0.08</v>
      </c>
      <c r="CO111" s="69" t="n">
        <v>0.07</v>
      </c>
      <c r="CP111" s="69" t="n">
        <v>0.22</v>
      </c>
      <c r="CQ111" s="69" t="n">
        <v>0.33</v>
      </c>
      <c r="CR111" s="69" t="n">
        <v>0.28</v>
      </c>
      <c r="CS111" s="69" t="n">
        <v>0.14</v>
      </c>
      <c r="CT111" s="69" t="n">
        <v>0.47</v>
      </c>
      <c r="CU111" s="69" t="n">
        <v>0.13</v>
      </c>
      <c r="CV111" s="69" t="n">
        <v>0.27</v>
      </c>
      <c r="CW111" s="69" t="n">
        <v>0.35</v>
      </c>
      <c r="CX111" s="69" t="n">
        <v>0.39</v>
      </c>
      <c r="CY111" s="69" t="n">
        <v>0.27</v>
      </c>
      <c r="CZ111" s="69" t="n">
        <v>0.31</v>
      </c>
      <c r="DA111" s="69" t="n">
        <v>0.44</v>
      </c>
      <c r="DB111" s="69" t="n">
        <v>0.35</v>
      </c>
      <c r="DC111" s="69" t="n">
        <v>0.22</v>
      </c>
      <c r="DD111" s="69" t="n">
        <v>1</v>
      </c>
      <c r="DE111" s="69" t="n">
        <v>0.23</v>
      </c>
      <c r="DF111" s="69" t="n">
        <v>0.34</v>
      </c>
      <c r="DG111" s="69" t="n">
        <v>0.27</v>
      </c>
      <c r="DH111" s="69" t="n">
        <v>0.29</v>
      </c>
      <c r="DI111" s="69" t="n">
        <v>0.34</v>
      </c>
      <c r="DJ111" s="69" t="n">
        <v>0.33</v>
      </c>
      <c r="DK111" s="69" t="n">
        <v>0.35</v>
      </c>
      <c r="DL111" s="69" t="n">
        <v>0.15</v>
      </c>
      <c r="DM111" s="69" t="n">
        <v>0.39</v>
      </c>
      <c r="DN111" s="69" t="n">
        <v>0.36</v>
      </c>
      <c r="DO111" s="69" t="n">
        <v>0.25</v>
      </c>
      <c r="DP111" s="69" t="n">
        <v>0.37</v>
      </c>
      <c r="DQ111" s="69" t="n">
        <v>0.18</v>
      </c>
      <c r="DR111" s="69" t="n">
        <v>0.13</v>
      </c>
      <c r="DS111" s="69" t="n">
        <v>0.3</v>
      </c>
      <c r="DT111" s="69" t="n">
        <v>0.35</v>
      </c>
      <c r="DU111" s="69" t="n">
        <v>0.46</v>
      </c>
      <c r="DV111" s="69" t="n">
        <v>0.38</v>
      </c>
      <c r="DW111" s="69" t="n">
        <v>0.52</v>
      </c>
      <c r="DX111" s="69" t="n">
        <v>0.19</v>
      </c>
      <c r="DY111" s="69" t="n">
        <v>0.56</v>
      </c>
      <c r="DZ111" s="69" t="n">
        <v>0.3</v>
      </c>
      <c r="EA111" s="69" t="n">
        <v>0.23</v>
      </c>
      <c r="EB111" s="69" t="n">
        <v>0.54</v>
      </c>
      <c r="EC111" s="69" t="n">
        <v>0.06</v>
      </c>
      <c r="ED111" s="69" t="n">
        <v>0.33</v>
      </c>
      <c r="EE111" s="69" t="n">
        <v>0.22</v>
      </c>
      <c r="EF111" s="69" t="n">
        <v>0.22</v>
      </c>
      <c r="EG111" s="69" t="n">
        <v>0.18</v>
      </c>
      <c r="EH111" s="69" t="n">
        <v>0.34</v>
      </c>
      <c r="EI111" s="69" t="n">
        <v>0.17</v>
      </c>
      <c r="EJ111" s="69" t="n">
        <v>0.3</v>
      </c>
      <c r="EK111" s="69" t="n">
        <v>0.35</v>
      </c>
      <c r="EL111" s="69" t="n">
        <v>0.27</v>
      </c>
      <c r="EM111" s="69" t="n">
        <v>0.22</v>
      </c>
      <c r="EN111" s="69" t="n">
        <v>0.15</v>
      </c>
      <c r="EO111" s="69" t="n">
        <v>0.17</v>
      </c>
    </row>
    <row r="112" customFormat="false" ht="15" hidden="false" customHeight="false" outlineLevel="0" collapsed="false">
      <c r="A112" s="68" t="s">
        <v>339</v>
      </c>
      <c r="B112" s="69" t="n">
        <v>-0.08</v>
      </c>
      <c r="C112" s="69" t="n">
        <v>0.07</v>
      </c>
      <c r="D112" s="69" t="n">
        <v>0.04</v>
      </c>
      <c r="E112" s="69" t="n">
        <v>0.15</v>
      </c>
      <c r="F112" s="69" t="n">
        <v>-0.11</v>
      </c>
      <c r="G112" s="69" t="n">
        <v>0.02</v>
      </c>
      <c r="H112" s="69" t="n">
        <v>0.11</v>
      </c>
      <c r="I112" s="69" t="n">
        <v>-0.01</v>
      </c>
      <c r="J112" s="69" t="n">
        <v>-0.04</v>
      </c>
      <c r="K112" s="69" t="n">
        <v>-0.01</v>
      </c>
      <c r="L112" s="69" t="n">
        <v>0.09</v>
      </c>
      <c r="M112" s="69" t="n">
        <v>0.35</v>
      </c>
      <c r="N112" s="69" t="n">
        <v>0.1</v>
      </c>
      <c r="O112" s="69" t="n">
        <v>0.11</v>
      </c>
      <c r="P112" s="69" t="n">
        <v>-0.09</v>
      </c>
      <c r="Q112" s="69" t="n">
        <v>0.05</v>
      </c>
      <c r="R112" s="69" t="n">
        <v>-0.05</v>
      </c>
      <c r="S112" s="69" t="n">
        <v>-0.03</v>
      </c>
      <c r="T112" s="69" t="n">
        <v>0.24</v>
      </c>
      <c r="U112" s="69" t="n">
        <v>0.22</v>
      </c>
      <c r="V112" s="69" t="n">
        <v>0.15</v>
      </c>
      <c r="W112" s="69" t="n">
        <v>0.14</v>
      </c>
      <c r="X112" s="69" t="n">
        <v>0.29</v>
      </c>
      <c r="Y112" s="69" t="n">
        <v>0</v>
      </c>
      <c r="Z112" s="69" t="n">
        <v>0.19</v>
      </c>
      <c r="AA112" s="69" t="n">
        <v>0.1</v>
      </c>
      <c r="AB112" s="69" t="n">
        <v>-0.02</v>
      </c>
      <c r="AC112" s="69" t="n">
        <v>0.08</v>
      </c>
      <c r="AD112" s="69" t="n">
        <v>0.18</v>
      </c>
      <c r="AE112" s="69" t="n">
        <v>0.29</v>
      </c>
      <c r="AF112" s="69" t="n">
        <v>0.31</v>
      </c>
      <c r="AG112" s="69" t="n">
        <v>-0.14</v>
      </c>
      <c r="AH112" s="69" t="n">
        <v>-0.14</v>
      </c>
      <c r="AI112" s="69" t="n">
        <v>-0.14</v>
      </c>
      <c r="AJ112" s="69" t="n">
        <v>0.12</v>
      </c>
      <c r="AK112" s="69" t="n">
        <v>0.33</v>
      </c>
      <c r="AL112" s="69" t="n">
        <v>0.16</v>
      </c>
      <c r="AM112" s="69" t="n">
        <v>0.13</v>
      </c>
      <c r="AN112" s="69" t="n">
        <v>0.22</v>
      </c>
      <c r="AO112" s="69" t="n">
        <v>-0.01</v>
      </c>
      <c r="AP112" s="69" t="n">
        <v>0.14</v>
      </c>
      <c r="AQ112" s="69" t="n">
        <v>-0.09</v>
      </c>
      <c r="AR112" s="69" t="n">
        <v>0.2</v>
      </c>
      <c r="AS112" s="69" t="n">
        <v>0.25</v>
      </c>
      <c r="AT112" s="69" t="n">
        <v>0.24</v>
      </c>
      <c r="AU112" s="69" t="n">
        <v>-0.05</v>
      </c>
      <c r="AV112" s="69" t="n">
        <v>0.18</v>
      </c>
      <c r="AW112" s="69" t="n">
        <v>0.29</v>
      </c>
      <c r="AX112" s="69" t="n">
        <v>0.05</v>
      </c>
      <c r="AY112" s="69" t="n">
        <v>0.15</v>
      </c>
      <c r="AZ112" s="69" t="n">
        <v>0.3</v>
      </c>
      <c r="BA112" s="69" t="n">
        <v>0.23</v>
      </c>
      <c r="BB112" s="69" t="n">
        <v>0.36</v>
      </c>
      <c r="BC112" s="69" t="n">
        <v>0.02</v>
      </c>
      <c r="BD112" s="69" t="n">
        <v>0.23</v>
      </c>
      <c r="BE112" s="69" t="n">
        <v>0.13</v>
      </c>
      <c r="BF112" s="69" t="n">
        <v>0.2</v>
      </c>
      <c r="BG112" s="69" t="n">
        <v>0.27</v>
      </c>
      <c r="BH112" s="69" t="n">
        <v>0.2</v>
      </c>
      <c r="BI112" s="69" t="n">
        <v>0.08</v>
      </c>
      <c r="BJ112" s="69" t="n">
        <v>0.01</v>
      </c>
      <c r="BK112" s="69" t="n">
        <v>0.16</v>
      </c>
      <c r="BL112" s="69" t="n">
        <v>0.53</v>
      </c>
      <c r="BM112" s="69" t="n">
        <v>0.09</v>
      </c>
      <c r="BN112" s="69" t="n">
        <v>-0.03</v>
      </c>
      <c r="BO112" s="69" t="n">
        <v>0.21</v>
      </c>
      <c r="BP112" s="69" t="n">
        <v>0.09</v>
      </c>
      <c r="BQ112" s="69" t="n">
        <v>0.38</v>
      </c>
      <c r="BR112" s="69" t="n">
        <v>0.21</v>
      </c>
      <c r="BS112" s="69" t="n">
        <v>-0.1</v>
      </c>
      <c r="BT112" s="69" t="n">
        <v>0.32</v>
      </c>
      <c r="BU112" s="69" t="n">
        <v>0.24</v>
      </c>
      <c r="BV112" s="69" t="n">
        <v>0.19</v>
      </c>
      <c r="BW112" s="69" t="n">
        <v>0.18</v>
      </c>
      <c r="BX112" s="69" t="n">
        <v>0.03</v>
      </c>
      <c r="BY112" s="69" t="n">
        <v>0.25</v>
      </c>
      <c r="BZ112" s="69" t="n">
        <v>0.25</v>
      </c>
      <c r="CA112" s="69" t="n">
        <v>0.16</v>
      </c>
      <c r="CB112" s="69" t="n">
        <v>-0.15</v>
      </c>
      <c r="CC112" s="69" t="n">
        <v>0.06</v>
      </c>
      <c r="CD112" s="69" t="n">
        <v>0.11</v>
      </c>
      <c r="CE112" s="69" t="n">
        <v>0.31</v>
      </c>
      <c r="CF112" s="69" t="n">
        <v>-0.14</v>
      </c>
      <c r="CG112" s="69" t="n">
        <v>0.15</v>
      </c>
      <c r="CH112" s="69" t="n">
        <v>0.71</v>
      </c>
      <c r="CI112" s="69" t="n">
        <v>-0.1</v>
      </c>
      <c r="CJ112" s="69" t="n">
        <v>-0.01</v>
      </c>
      <c r="CK112" s="69" t="n">
        <v>0.05</v>
      </c>
      <c r="CL112" s="69" t="n">
        <v>0.25</v>
      </c>
      <c r="CM112" s="69" t="n">
        <v>0.41</v>
      </c>
      <c r="CN112" s="69" t="n">
        <v>0.18</v>
      </c>
      <c r="CO112" s="69" t="n">
        <v>0.17</v>
      </c>
      <c r="CP112" s="69" t="n">
        <v>0.07</v>
      </c>
      <c r="CQ112" s="69" t="n">
        <v>0.35</v>
      </c>
      <c r="CR112" s="69" t="n">
        <v>0.54</v>
      </c>
      <c r="CS112" s="69" t="n">
        <v>0.52</v>
      </c>
      <c r="CT112" s="69" t="n">
        <v>0.28</v>
      </c>
      <c r="CU112" s="69" t="n">
        <v>0.24</v>
      </c>
      <c r="CV112" s="69" t="n">
        <v>0.18</v>
      </c>
      <c r="CW112" s="69" t="n">
        <v>0.18</v>
      </c>
      <c r="CX112" s="69" t="n">
        <v>0.33</v>
      </c>
      <c r="CY112" s="69" t="n">
        <v>0.34</v>
      </c>
      <c r="CZ112" s="69" t="n">
        <v>0.04</v>
      </c>
      <c r="DA112" s="69" t="n">
        <v>0.04</v>
      </c>
      <c r="DB112" s="69" t="n">
        <v>0.41</v>
      </c>
      <c r="DC112" s="69" t="n">
        <v>0.33</v>
      </c>
      <c r="DD112" s="69" t="n">
        <v>0.23</v>
      </c>
      <c r="DE112" s="69" t="n">
        <v>1</v>
      </c>
      <c r="DF112" s="69" t="n">
        <v>-0.09</v>
      </c>
      <c r="DG112" s="69" t="n">
        <v>0.69</v>
      </c>
      <c r="DH112" s="69" t="n">
        <v>0.42</v>
      </c>
      <c r="DI112" s="69" t="n">
        <v>0.29</v>
      </c>
      <c r="DJ112" s="69" t="n">
        <v>0.31</v>
      </c>
      <c r="DK112" s="69" t="n">
        <v>0.39</v>
      </c>
      <c r="DL112" s="69" t="n">
        <v>0.49</v>
      </c>
      <c r="DM112" s="69" t="n">
        <v>0.39</v>
      </c>
      <c r="DN112" s="69" t="n">
        <v>0.09</v>
      </c>
      <c r="DO112" s="69" t="n">
        <v>0.34</v>
      </c>
      <c r="DP112" s="69" t="n">
        <v>0.31</v>
      </c>
      <c r="DQ112" s="69" t="n">
        <v>0.34</v>
      </c>
      <c r="DR112" s="69" t="n">
        <v>0.57</v>
      </c>
      <c r="DS112" s="69" t="n">
        <v>-0.01</v>
      </c>
      <c r="DT112" s="69" t="n">
        <v>0.33</v>
      </c>
      <c r="DU112" s="69" t="n">
        <v>0.38</v>
      </c>
      <c r="DV112" s="69" t="n">
        <v>0.26</v>
      </c>
      <c r="DW112" s="69" t="n">
        <v>0.19</v>
      </c>
      <c r="DX112" s="69" t="n">
        <v>0.56</v>
      </c>
      <c r="DY112" s="69" t="n">
        <v>0.3</v>
      </c>
      <c r="DZ112" s="69" t="n">
        <v>0.04</v>
      </c>
      <c r="EA112" s="69" t="n">
        <v>0.27</v>
      </c>
      <c r="EB112" s="69" t="n">
        <v>0.31</v>
      </c>
      <c r="EC112" s="69" t="n">
        <v>0.26</v>
      </c>
      <c r="ED112" s="69" t="n">
        <v>0.34</v>
      </c>
      <c r="EE112" s="69" t="n">
        <v>0.51</v>
      </c>
      <c r="EF112" s="69" t="n">
        <v>0.41</v>
      </c>
      <c r="EG112" s="69" t="n">
        <v>0.39</v>
      </c>
      <c r="EH112" s="69" t="n">
        <v>0.02</v>
      </c>
      <c r="EI112" s="69" t="n">
        <v>0.48</v>
      </c>
      <c r="EJ112" s="69" t="n">
        <v>0.18</v>
      </c>
      <c r="EK112" s="69" t="n">
        <v>0.45</v>
      </c>
      <c r="EL112" s="69" t="n">
        <v>0.51</v>
      </c>
      <c r="EM112" s="69" t="n">
        <v>0.18</v>
      </c>
      <c r="EN112" s="69" t="n">
        <v>0.18</v>
      </c>
      <c r="EO112" s="69" t="n">
        <v>0.12</v>
      </c>
    </row>
    <row r="113" customFormat="false" ht="15" hidden="false" customHeight="false" outlineLevel="0" collapsed="false">
      <c r="A113" s="68" t="s">
        <v>340</v>
      </c>
      <c r="B113" s="69" t="n">
        <v>0.17</v>
      </c>
      <c r="C113" s="69" t="n">
        <v>-0.08</v>
      </c>
      <c r="D113" s="69" t="n">
        <v>0.07</v>
      </c>
      <c r="E113" s="69" t="n">
        <v>0.04</v>
      </c>
      <c r="F113" s="69" t="n">
        <v>0.08</v>
      </c>
      <c r="G113" s="69" t="n">
        <v>0.01</v>
      </c>
      <c r="H113" s="69" t="n">
        <v>0.03</v>
      </c>
      <c r="I113" s="69" t="n">
        <v>0.12</v>
      </c>
      <c r="J113" s="69" t="n">
        <v>-0.01</v>
      </c>
      <c r="K113" s="69" t="n">
        <v>-0.03</v>
      </c>
      <c r="L113" s="69" t="n">
        <v>0.06</v>
      </c>
      <c r="M113" s="69" t="n">
        <v>0.11</v>
      </c>
      <c r="N113" s="69" t="n">
        <v>0.18</v>
      </c>
      <c r="O113" s="69" t="n">
        <v>-0.05</v>
      </c>
      <c r="P113" s="69" t="n">
        <v>0.09</v>
      </c>
      <c r="Q113" s="69" t="n">
        <v>-0.06</v>
      </c>
      <c r="R113" s="69" t="n">
        <v>0.06</v>
      </c>
      <c r="S113" s="69" t="n">
        <v>-0.03</v>
      </c>
      <c r="T113" s="69" t="n">
        <v>0.07</v>
      </c>
      <c r="U113" s="69" t="n">
        <v>0.06</v>
      </c>
      <c r="V113" s="69" t="n">
        <v>-0.05</v>
      </c>
      <c r="W113" s="69" t="n">
        <v>-0.12</v>
      </c>
      <c r="X113" s="69" t="n">
        <v>0.09</v>
      </c>
      <c r="Y113" s="69" t="n">
        <v>0.29</v>
      </c>
      <c r="Z113" s="69" t="n">
        <v>0</v>
      </c>
      <c r="AA113" s="69" t="n">
        <v>0.02</v>
      </c>
      <c r="AB113" s="69" t="n">
        <v>0.31</v>
      </c>
      <c r="AC113" s="69" t="n">
        <v>-0.02</v>
      </c>
      <c r="AD113" s="69" t="n">
        <v>-0.19</v>
      </c>
      <c r="AE113" s="69" t="n">
        <v>-0.13</v>
      </c>
      <c r="AF113" s="69" t="n">
        <v>-0.07</v>
      </c>
      <c r="AG113" s="69" t="n">
        <v>0.07</v>
      </c>
      <c r="AH113" s="69" t="n">
        <v>0.11</v>
      </c>
      <c r="AI113" s="69" t="n">
        <v>0.13</v>
      </c>
      <c r="AJ113" s="69" t="n">
        <v>0.01</v>
      </c>
      <c r="AK113" s="69" t="n">
        <v>-0.17</v>
      </c>
      <c r="AL113" s="69" t="n">
        <v>0.18</v>
      </c>
      <c r="AM113" s="69" t="n">
        <v>0.05</v>
      </c>
      <c r="AN113" s="69" t="n">
        <v>0.06</v>
      </c>
      <c r="AO113" s="69" t="n">
        <v>0.05</v>
      </c>
      <c r="AP113" s="69" t="n">
        <v>0.18</v>
      </c>
      <c r="AQ113" s="69" t="n">
        <v>0.03</v>
      </c>
      <c r="AR113" s="69" t="n">
        <v>0.14</v>
      </c>
      <c r="AS113" s="69" t="n">
        <v>-0.01</v>
      </c>
      <c r="AT113" s="69" t="n">
        <v>0.23</v>
      </c>
      <c r="AU113" s="69" t="n">
        <v>-0.01</v>
      </c>
      <c r="AV113" s="69" t="n">
        <v>0.01</v>
      </c>
      <c r="AW113" s="69" t="n">
        <v>-0.04</v>
      </c>
      <c r="AX113" s="69" t="n">
        <v>0.11</v>
      </c>
      <c r="AY113" s="69" t="n">
        <v>0.07</v>
      </c>
      <c r="AZ113" s="69" t="n">
        <v>-0.08</v>
      </c>
      <c r="BA113" s="69" t="n">
        <v>0.01</v>
      </c>
      <c r="BB113" s="69" t="n">
        <v>0.1</v>
      </c>
      <c r="BC113" s="69" t="n">
        <v>0.06</v>
      </c>
      <c r="BD113" s="69" t="n">
        <v>-0.01</v>
      </c>
      <c r="BE113" s="69" t="n">
        <v>-0.02</v>
      </c>
      <c r="BF113" s="69" t="n">
        <v>-0.05</v>
      </c>
      <c r="BG113" s="69" t="n">
        <v>0.21</v>
      </c>
      <c r="BH113" s="69" t="n">
        <v>0.08</v>
      </c>
      <c r="BI113" s="69" t="n">
        <v>0.05</v>
      </c>
      <c r="BJ113" s="69" t="n">
        <v>-0.06</v>
      </c>
      <c r="BK113" s="69" t="n">
        <v>-0.13</v>
      </c>
      <c r="BL113" s="69" t="n">
        <v>0.02</v>
      </c>
      <c r="BM113" s="69" t="n">
        <v>0.14</v>
      </c>
      <c r="BN113" s="69" t="n">
        <v>-0.09</v>
      </c>
      <c r="BO113" s="69" t="n">
        <v>0.11</v>
      </c>
      <c r="BP113" s="69" t="n">
        <v>0.46</v>
      </c>
      <c r="BQ113" s="69" t="n">
        <v>-0.12</v>
      </c>
      <c r="BR113" s="69" t="n">
        <v>0.11</v>
      </c>
      <c r="BS113" s="69" t="n">
        <v>0.06</v>
      </c>
      <c r="BT113" s="69" t="n">
        <v>-0.14</v>
      </c>
      <c r="BU113" s="69" t="n">
        <v>0.02</v>
      </c>
      <c r="BV113" s="69" t="n">
        <v>0.16</v>
      </c>
      <c r="BW113" s="69" t="n">
        <v>0.17</v>
      </c>
      <c r="BX113" s="69" t="n">
        <v>0.08</v>
      </c>
      <c r="BY113" s="69" t="n">
        <v>0.13</v>
      </c>
      <c r="BZ113" s="69" t="n">
        <v>0.06</v>
      </c>
      <c r="CA113" s="69" t="n">
        <v>-0.03</v>
      </c>
      <c r="CB113" s="69" t="n">
        <v>0.04</v>
      </c>
      <c r="CC113" s="69" t="n">
        <v>0.06</v>
      </c>
      <c r="CD113" s="69" t="n">
        <v>0.24</v>
      </c>
      <c r="CE113" s="69" t="n">
        <v>0.01</v>
      </c>
      <c r="CF113" s="69" t="n">
        <v>0.11</v>
      </c>
      <c r="CG113" s="69" t="n">
        <v>0.36</v>
      </c>
      <c r="CH113" s="69" t="n">
        <v>-0.11</v>
      </c>
      <c r="CI113" s="69" t="n">
        <v>0.13</v>
      </c>
      <c r="CJ113" s="69" t="n">
        <v>0.22</v>
      </c>
      <c r="CK113" s="69" t="n">
        <v>0.21</v>
      </c>
      <c r="CL113" s="69" t="n">
        <v>0.09</v>
      </c>
      <c r="CM113" s="69" t="n">
        <v>0.12</v>
      </c>
      <c r="CN113" s="69" t="n">
        <v>0.02</v>
      </c>
      <c r="CO113" s="69" t="n">
        <v>-0.04</v>
      </c>
      <c r="CP113" s="69" t="n">
        <v>0.18</v>
      </c>
      <c r="CQ113" s="69" t="n">
        <v>0.07</v>
      </c>
      <c r="CR113" s="69" t="n">
        <v>-0.08</v>
      </c>
      <c r="CS113" s="69" t="n">
        <v>-0.22</v>
      </c>
      <c r="CT113" s="69" t="n">
        <v>0.23</v>
      </c>
      <c r="CU113" s="69" t="n">
        <v>-0.01</v>
      </c>
      <c r="CV113" s="69" t="n">
        <v>0.1</v>
      </c>
      <c r="CW113" s="69" t="n">
        <v>0.29</v>
      </c>
      <c r="CX113" s="69" t="n">
        <v>0.06</v>
      </c>
      <c r="CY113" s="69" t="n">
        <v>0</v>
      </c>
      <c r="CZ113" s="69" t="n">
        <v>0.56</v>
      </c>
      <c r="DA113" s="69" t="n">
        <v>0.3</v>
      </c>
      <c r="DB113" s="69" t="n">
        <v>0.12</v>
      </c>
      <c r="DC113" s="69" t="n">
        <v>-0.1</v>
      </c>
      <c r="DD113" s="69" t="n">
        <v>0.34</v>
      </c>
      <c r="DE113" s="69" t="n">
        <v>-0.09</v>
      </c>
      <c r="DF113" s="69" t="n">
        <v>1</v>
      </c>
      <c r="DG113" s="69" t="n">
        <v>0</v>
      </c>
      <c r="DH113" s="69" t="n">
        <v>0.04</v>
      </c>
      <c r="DI113" s="69" t="n">
        <v>0.1</v>
      </c>
      <c r="DJ113" s="69" t="n">
        <v>0.09</v>
      </c>
      <c r="DK113" s="69" t="n">
        <v>0.05</v>
      </c>
      <c r="DL113" s="69" t="n">
        <v>-0.05</v>
      </c>
      <c r="DM113" s="69" t="n">
        <v>0.08</v>
      </c>
      <c r="DN113" s="69" t="n">
        <v>0.32</v>
      </c>
      <c r="DO113" s="69" t="n">
        <v>0.08</v>
      </c>
      <c r="DP113" s="69" t="n">
        <v>0.12</v>
      </c>
      <c r="DQ113" s="69" t="n">
        <v>-0.05</v>
      </c>
      <c r="DR113" s="69" t="n">
        <v>0.07</v>
      </c>
      <c r="DS113" s="69" t="n">
        <v>0.29</v>
      </c>
      <c r="DT113" s="69" t="n">
        <v>0.28</v>
      </c>
      <c r="DU113" s="69" t="n">
        <v>0.23</v>
      </c>
      <c r="DV113" s="69" t="n">
        <v>0.43</v>
      </c>
      <c r="DW113" s="69" t="n">
        <v>0.42</v>
      </c>
      <c r="DX113" s="69" t="n">
        <v>-0.21</v>
      </c>
      <c r="DY113" s="69" t="n">
        <v>0.29</v>
      </c>
      <c r="DZ113" s="69" t="n">
        <v>0.49</v>
      </c>
      <c r="EA113" s="69" t="n">
        <v>0.05</v>
      </c>
      <c r="EB113" s="69" t="n">
        <v>0.29</v>
      </c>
      <c r="EC113" s="69" t="n">
        <v>-0.1</v>
      </c>
      <c r="ED113" s="69" t="n">
        <v>0.15</v>
      </c>
      <c r="EE113" s="69" t="n">
        <v>-0.15</v>
      </c>
      <c r="EF113" s="69" t="n">
        <v>0.03</v>
      </c>
      <c r="EG113" s="69" t="n">
        <v>-0.1</v>
      </c>
      <c r="EH113" s="69" t="n">
        <v>0.3</v>
      </c>
      <c r="EI113" s="69" t="n">
        <v>-0.15</v>
      </c>
      <c r="EJ113" s="69" t="n">
        <v>0.15</v>
      </c>
      <c r="EK113" s="69" t="n">
        <v>0.05</v>
      </c>
      <c r="EL113" s="69" t="n">
        <v>-0.06</v>
      </c>
      <c r="EM113" s="69" t="n">
        <v>0.19</v>
      </c>
      <c r="EN113" s="69" t="n">
        <v>0.1</v>
      </c>
      <c r="EO113" s="69" t="n">
        <v>0.15</v>
      </c>
    </row>
    <row r="114" customFormat="false" ht="15" hidden="false" customHeight="false" outlineLevel="0" collapsed="false">
      <c r="A114" s="68" t="s">
        <v>342</v>
      </c>
      <c r="B114" s="69" t="n">
        <v>0.02</v>
      </c>
      <c r="C114" s="69" t="n">
        <v>0.05</v>
      </c>
      <c r="D114" s="69" t="n">
        <v>0.08</v>
      </c>
      <c r="E114" s="69" t="n">
        <v>0.09</v>
      </c>
      <c r="F114" s="69" t="n">
        <v>-0.06</v>
      </c>
      <c r="G114" s="69" t="n">
        <v>0.02</v>
      </c>
      <c r="H114" s="69" t="n">
        <v>0.11</v>
      </c>
      <c r="I114" s="69" t="n">
        <v>0.08</v>
      </c>
      <c r="J114" s="69" t="n">
        <v>0.1</v>
      </c>
      <c r="K114" s="69" t="n">
        <v>0.05</v>
      </c>
      <c r="L114" s="69" t="n">
        <v>0.12</v>
      </c>
      <c r="M114" s="69" t="n">
        <v>0.37</v>
      </c>
      <c r="N114" s="69" t="n">
        <v>0.22</v>
      </c>
      <c r="O114" s="69" t="n">
        <v>0.19</v>
      </c>
      <c r="P114" s="69" t="n">
        <v>-0.05</v>
      </c>
      <c r="Q114" s="69" t="n">
        <v>0.07</v>
      </c>
      <c r="R114" s="69" t="n">
        <v>0.03</v>
      </c>
      <c r="S114" s="69" t="n">
        <v>0.14</v>
      </c>
      <c r="T114" s="69" t="n">
        <v>0.19</v>
      </c>
      <c r="U114" s="69" t="n">
        <v>0.19</v>
      </c>
      <c r="V114" s="69" t="n">
        <v>0.22</v>
      </c>
      <c r="W114" s="69" t="n">
        <v>0.14</v>
      </c>
      <c r="X114" s="69" t="n">
        <v>0.23</v>
      </c>
      <c r="Y114" s="69" t="n">
        <v>0.06</v>
      </c>
      <c r="Z114" s="69" t="n">
        <v>0.21</v>
      </c>
      <c r="AA114" s="69" t="n">
        <v>0.07</v>
      </c>
      <c r="AB114" s="69" t="n">
        <v>0</v>
      </c>
      <c r="AC114" s="69" t="n">
        <v>0.13</v>
      </c>
      <c r="AD114" s="69" t="n">
        <v>0.11</v>
      </c>
      <c r="AE114" s="69" t="n">
        <v>0.22</v>
      </c>
      <c r="AF114" s="69" t="n">
        <v>0.24</v>
      </c>
      <c r="AG114" s="69" t="n">
        <v>-0.11</v>
      </c>
      <c r="AH114" s="69" t="n">
        <v>-0.15</v>
      </c>
      <c r="AI114" s="69" t="n">
        <v>-0.14</v>
      </c>
      <c r="AJ114" s="69" t="n">
        <v>0.21</v>
      </c>
      <c r="AK114" s="69" t="n">
        <v>0.21</v>
      </c>
      <c r="AL114" s="69" t="n">
        <v>0.18</v>
      </c>
      <c r="AM114" s="69" t="n">
        <v>0.1</v>
      </c>
      <c r="AN114" s="69" t="n">
        <v>0.2</v>
      </c>
      <c r="AO114" s="69" t="n">
        <v>0.04</v>
      </c>
      <c r="AP114" s="69" t="n">
        <v>0.2</v>
      </c>
      <c r="AQ114" s="69" t="n">
        <v>-0.09</v>
      </c>
      <c r="AR114" s="69" t="n">
        <v>0.16</v>
      </c>
      <c r="AS114" s="69" t="n">
        <v>0.2</v>
      </c>
      <c r="AT114" s="69" t="n">
        <v>0.15</v>
      </c>
      <c r="AU114" s="69" t="n">
        <v>-0.03</v>
      </c>
      <c r="AV114" s="69" t="n">
        <v>0.13</v>
      </c>
      <c r="AW114" s="69" t="n">
        <v>0.24</v>
      </c>
      <c r="AX114" s="69" t="n">
        <v>0.14</v>
      </c>
      <c r="AY114" s="69" t="n">
        <v>0.1</v>
      </c>
      <c r="AZ114" s="69" t="n">
        <v>0.25</v>
      </c>
      <c r="BA114" s="69" t="n">
        <v>0.19</v>
      </c>
      <c r="BB114" s="69" t="n">
        <v>0.26</v>
      </c>
      <c r="BC114" s="69" t="n">
        <v>0.1</v>
      </c>
      <c r="BD114" s="69" t="n">
        <v>0.23</v>
      </c>
      <c r="BE114" s="69" t="n">
        <v>0.18</v>
      </c>
      <c r="BF114" s="69" t="n">
        <v>0.22</v>
      </c>
      <c r="BG114" s="69" t="n">
        <v>0.2</v>
      </c>
      <c r="BH114" s="69" t="n">
        <v>0.18</v>
      </c>
      <c r="BI114" s="69" t="n">
        <v>0.13</v>
      </c>
      <c r="BJ114" s="69" t="n">
        <v>0.11</v>
      </c>
      <c r="BK114" s="69" t="n">
        <v>0.17</v>
      </c>
      <c r="BL114" s="69" t="n">
        <v>0.46</v>
      </c>
      <c r="BM114" s="69" t="n">
        <v>0.02</v>
      </c>
      <c r="BN114" s="69" t="n">
        <v>0.04</v>
      </c>
      <c r="BO114" s="69" t="n">
        <v>0.2</v>
      </c>
      <c r="BP114" s="69" t="n">
        <v>0.14</v>
      </c>
      <c r="BQ114" s="69" t="n">
        <v>0.38</v>
      </c>
      <c r="BR114" s="69" t="n">
        <v>0.21</v>
      </c>
      <c r="BS114" s="69" t="n">
        <v>-0.08</v>
      </c>
      <c r="BT114" s="69" t="n">
        <v>0.3</v>
      </c>
      <c r="BU114" s="69" t="n">
        <v>0.19</v>
      </c>
      <c r="BV114" s="69" t="n">
        <v>0.16</v>
      </c>
      <c r="BW114" s="69" t="n">
        <v>0.18</v>
      </c>
      <c r="BX114" s="69" t="n">
        <v>0.17</v>
      </c>
      <c r="BY114" s="69" t="n">
        <v>0.14</v>
      </c>
      <c r="BZ114" s="69" t="n">
        <v>0.28</v>
      </c>
      <c r="CA114" s="69" t="n">
        <v>0.16</v>
      </c>
      <c r="CB114" s="69" t="n">
        <v>-0.15</v>
      </c>
      <c r="CC114" s="69" t="n">
        <v>0.06</v>
      </c>
      <c r="CD114" s="69" t="n">
        <v>0.14</v>
      </c>
      <c r="CE114" s="69" t="n">
        <v>0.15</v>
      </c>
      <c r="CF114" s="69" t="n">
        <v>-0.11</v>
      </c>
      <c r="CG114" s="69" t="n">
        <v>0.21</v>
      </c>
      <c r="CH114" s="69" t="n">
        <v>0.58</v>
      </c>
      <c r="CI114" s="69" t="n">
        <v>-0.07</v>
      </c>
      <c r="CJ114" s="69" t="n">
        <v>0.12</v>
      </c>
      <c r="CK114" s="69" t="n">
        <v>0.09</v>
      </c>
      <c r="CL114" s="69" t="n">
        <v>0.21</v>
      </c>
      <c r="CM114" s="69" t="n">
        <v>0.34</v>
      </c>
      <c r="CN114" s="69" t="n">
        <v>0.13</v>
      </c>
      <c r="CO114" s="69" t="n">
        <v>0.07</v>
      </c>
      <c r="CP114" s="69" t="n">
        <v>0.11</v>
      </c>
      <c r="CQ114" s="69" t="n">
        <v>0.27</v>
      </c>
      <c r="CR114" s="69" t="n">
        <v>0.37</v>
      </c>
      <c r="CS114" s="69" t="n">
        <v>0.38</v>
      </c>
      <c r="CT114" s="69" t="n">
        <v>0.34</v>
      </c>
      <c r="CU114" s="69" t="n">
        <v>0.23</v>
      </c>
      <c r="CV114" s="69" t="n">
        <v>0.09</v>
      </c>
      <c r="CW114" s="69" t="n">
        <v>0.17</v>
      </c>
      <c r="CX114" s="69" t="n">
        <v>0.34</v>
      </c>
      <c r="CY114" s="69" t="n">
        <v>0.23</v>
      </c>
      <c r="CZ114" s="69" t="n">
        <v>0.06</v>
      </c>
      <c r="DA114" s="69" t="n">
        <v>0.13</v>
      </c>
      <c r="DB114" s="69" t="n">
        <v>0.33</v>
      </c>
      <c r="DC114" s="69" t="n">
        <v>0.22</v>
      </c>
      <c r="DD114" s="69" t="n">
        <v>0.27</v>
      </c>
      <c r="DE114" s="69" t="n">
        <v>0.69</v>
      </c>
      <c r="DF114" s="69" t="n">
        <v>0</v>
      </c>
      <c r="DG114" s="69" t="n">
        <v>1</v>
      </c>
      <c r="DH114" s="69" t="n">
        <v>0.25</v>
      </c>
      <c r="DI114" s="69" t="n">
        <v>0.25</v>
      </c>
      <c r="DJ114" s="69" t="n">
        <v>0.22</v>
      </c>
      <c r="DK114" s="69" t="n">
        <v>0.32</v>
      </c>
      <c r="DL114" s="69" t="n">
        <v>0.56</v>
      </c>
      <c r="DM114" s="69" t="n">
        <v>0.31</v>
      </c>
      <c r="DN114" s="69" t="n">
        <v>0.1</v>
      </c>
      <c r="DO114" s="69" t="n">
        <v>0.35</v>
      </c>
      <c r="DP114" s="69" t="n">
        <v>0.24</v>
      </c>
      <c r="DQ114" s="69" t="n">
        <v>0.33</v>
      </c>
      <c r="DR114" s="69" t="n">
        <v>0.47</v>
      </c>
      <c r="DS114" s="69" t="n">
        <v>-0.11</v>
      </c>
      <c r="DT114" s="69" t="n">
        <v>0.23</v>
      </c>
      <c r="DU114" s="69" t="n">
        <v>0.38</v>
      </c>
      <c r="DV114" s="69" t="n">
        <v>0.25</v>
      </c>
      <c r="DW114" s="69" t="n">
        <v>0.24</v>
      </c>
      <c r="DX114" s="69" t="n">
        <v>0.36</v>
      </c>
      <c r="DY114" s="69" t="n">
        <v>0.26</v>
      </c>
      <c r="DZ114" s="69" t="n">
        <v>0.07</v>
      </c>
      <c r="EA114" s="69" t="n">
        <v>0.26</v>
      </c>
      <c r="EB114" s="69" t="n">
        <v>0.24</v>
      </c>
      <c r="EC114" s="69" t="n">
        <v>0.28</v>
      </c>
      <c r="ED114" s="69" t="n">
        <v>0.33</v>
      </c>
      <c r="EE114" s="69" t="n">
        <v>0.39</v>
      </c>
      <c r="EF114" s="69" t="n">
        <v>0.37</v>
      </c>
      <c r="EG114" s="69" t="n">
        <v>0.26</v>
      </c>
      <c r="EH114" s="69" t="n">
        <v>0.01</v>
      </c>
      <c r="EI114" s="69" t="n">
        <v>0.38</v>
      </c>
      <c r="EJ114" s="69" t="n">
        <v>0.12</v>
      </c>
      <c r="EK114" s="69" t="n">
        <v>0.4</v>
      </c>
      <c r="EL114" s="69" t="n">
        <v>0.47</v>
      </c>
      <c r="EM114" s="69" t="n">
        <v>0.15</v>
      </c>
      <c r="EN114" s="69" t="n">
        <v>0.25</v>
      </c>
      <c r="EO114" s="69" t="n">
        <v>0.02</v>
      </c>
    </row>
    <row r="115" customFormat="false" ht="15" hidden="false" customHeight="false" outlineLevel="0" collapsed="false">
      <c r="A115" s="68" t="s">
        <v>343</v>
      </c>
      <c r="B115" s="69" t="n">
        <v>-0.04</v>
      </c>
      <c r="C115" s="69" t="n">
        <v>0.06</v>
      </c>
      <c r="D115" s="69" t="n">
        <v>0.04</v>
      </c>
      <c r="E115" s="69" t="n">
        <v>0.1</v>
      </c>
      <c r="F115" s="69" t="n">
        <v>-0.16</v>
      </c>
      <c r="G115" s="69" t="n">
        <v>-0.03</v>
      </c>
      <c r="H115" s="69" t="n">
        <v>0.09</v>
      </c>
      <c r="I115" s="69" t="n">
        <v>-0.06</v>
      </c>
      <c r="J115" s="69" t="n">
        <v>-0.15</v>
      </c>
      <c r="K115" s="69" t="n">
        <v>-0.15</v>
      </c>
      <c r="L115" s="69" t="n">
        <v>0.08</v>
      </c>
      <c r="M115" s="69" t="n">
        <v>0.18</v>
      </c>
      <c r="N115" s="69" t="n">
        <v>-0.02</v>
      </c>
      <c r="O115" s="69" t="n">
        <v>0.02</v>
      </c>
      <c r="P115" s="69" t="n">
        <v>-0.11</v>
      </c>
      <c r="Q115" s="69" t="n">
        <v>0.11</v>
      </c>
      <c r="R115" s="69" t="n">
        <v>-0.14</v>
      </c>
      <c r="S115" s="69" t="n">
        <v>0</v>
      </c>
      <c r="T115" s="69" t="n">
        <v>0.18</v>
      </c>
      <c r="U115" s="69" t="n">
        <v>0.11</v>
      </c>
      <c r="V115" s="69" t="n">
        <v>-0.01</v>
      </c>
      <c r="W115" s="69" t="n">
        <v>-0.02</v>
      </c>
      <c r="X115" s="69" t="n">
        <v>0.2</v>
      </c>
      <c r="Y115" s="69" t="n">
        <v>-0.02</v>
      </c>
      <c r="Z115" s="69" t="n">
        <v>0.09</v>
      </c>
      <c r="AA115" s="69" t="n">
        <v>0.01</v>
      </c>
      <c r="AB115" s="69" t="n">
        <v>-0.08</v>
      </c>
      <c r="AC115" s="69" t="n">
        <v>0.1</v>
      </c>
      <c r="AD115" s="69" t="n">
        <v>0.12</v>
      </c>
      <c r="AE115" s="69" t="n">
        <v>0.16</v>
      </c>
      <c r="AF115" s="69" t="n">
        <v>0.12</v>
      </c>
      <c r="AG115" s="69" t="n">
        <v>-0.14</v>
      </c>
      <c r="AH115" s="69" t="n">
        <v>-0.14</v>
      </c>
      <c r="AI115" s="69" t="n">
        <v>-0.08</v>
      </c>
      <c r="AJ115" s="69" t="n">
        <v>0.05</v>
      </c>
      <c r="AK115" s="69" t="n">
        <v>0.08</v>
      </c>
      <c r="AL115" s="69" t="n">
        <v>0.21</v>
      </c>
      <c r="AM115" s="69" t="n">
        <v>0.13</v>
      </c>
      <c r="AN115" s="69" t="n">
        <v>0.06</v>
      </c>
      <c r="AO115" s="69" t="n">
        <v>-0.13</v>
      </c>
      <c r="AP115" s="69" t="n">
        <v>0.04</v>
      </c>
      <c r="AQ115" s="69" t="n">
        <v>-0.11</v>
      </c>
      <c r="AR115" s="69" t="n">
        <v>0.13</v>
      </c>
      <c r="AS115" s="69" t="n">
        <v>0.06</v>
      </c>
      <c r="AT115" s="69" t="n">
        <v>0.17</v>
      </c>
      <c r="AU115" s="69" t="n">
        <v>-0.07</v>
      </c>
      <c r="AV115" s="69" t="n">
        <v>0.18</v>
      </c>
      <c r="AW115" s="69" t="n">
        <v>0.11</v>
      </c>
      <c r="AX115" s="69" t="n">
        <v>-0.06</v>
      </c>
      <c r="AY115" s="69" t="n">
        <v>0.14</v>
      </c>
      <c r="AZ115" s="69" t="n">
        <v>0.24</v>
      </c>
      <c r="BA115" s="69" t="n">
        <v>0.13</v>
      </c>
      <c r="BB115" s="69" t="n">
        <v>0.33</v>
      </c>
      <c r="BC115" s="69" t="n">
        <v>0.21</v>
      </c>
      <c r="BD115" s="69" t="n">
        <v>0.08</v>
      </c>
      <c r="BE115" s="69" t="n">
        <v>-0.11</v>
      </c>
      <c r="BF115" s="69" t="n">
        <v>0.04</v>
      </c>
      <c r="BG115" s="69" t="n">
        <v>0.09</v>
      </c>
      <c r="BH115" s="69" t="n">
        <v>0.21</v>
      </c>
      <c r="BI115" s="69" t="n">
        <v>0.02</v>
      </c>
      <c r="BJ115" s="69" t="n">
        <v>0.06</v>
      </c>
      <c r="BK115" s="69" t="n">
        <v>0.19</v>
      </c>
      <c r="BL115" s="69" t="n">
        <v>0.23</v>
      </c>
      <c r="BM115" s="69" t="n">
        <v>0.03</v>
      </c>
      <c r="BN115" s="69" t="n">
        <v>-0.04</v>
      </c>
      <c r="BO115" s="69" t="n">
        <v>0.34</v>
      </c>
      <c r="BP115" s="69" t="n">
        <v>0.24</v>
      </c>
      <c r="BQ115" s="69" t="n">
        <v>0.22</v>
      </c>
      <c r="BR115" s="69" t="n">
        <v>0.2</v>
      </c>
      <c r="BS115" s="69" t="n">
        <v>0.01</v>
      </c>
      <c r="BT115" s="69" t="n">
        <v>0.24</v>
      </c>
      <c r="BU115" s="69" t="n">
        <v>0.11</v>
      </c>
      <c r="BV115" s="69" t="n">
        <v>0.26</v>
      </c>
      <c r="BW115" s="69" t="n">
        <v>0.11</v>
      </c>
      <c r="BX115" s="69" t="n">
        <v>-0.04</v>
      </c>
      <c r="BY115" s="69" t="n">
        <v>0.15</v>
      </c>
      <c r="BZ115" s="69" t="n">
        <v>0.18</v>
      </c>
      <c r="CA115" s="69" t="n">
        <v>0.16</v>
      </c>
      <c r="CB115" s="69" t="n">
        <v>-0.06</v>
      </c>
      <c r="CC115" s="69" t="n">
        <v>-0.02</v>
      </c>
      <c r="CD115" s="69" t="n">
        <v>0.12</v>
      </c>
      <c r="CE115" s="69" t="n">
        <v>0.39</v>
      </c>
      <c r="CF115" s="69" t="n">
        <v>-0.07</v>
      </c>
      <c r="CG115" s="69" t="n">
        <v>0.16</v>
      </c>
      <c r="CH115" s="69" t="n">
        <v>0.28</v>
      </c>
      <c r="CI115" s="69" t="n">
        <v>-0.06</v>
      </c>
      <c r="CJ115" s="69" t="n">
        <v>0.02</v>
      </c>
      <c r="CK115" s="69" t="n">
        <v>-0.01</v>
      </c>
      <c r="CL115" s="69" t="n">
        <v>0.17</v>
      </c>
      <c r="CM115" s="69" t="n">
        <v>0.55</v>
      </c>
      <c r="CN115" s="69" t="n">
        <v>0.12</v>
      </c>
      <c r="CO115" s="69" t="n">
        <v>0.13</v>
      </c>
      <c r="CP115" s="69" t="n">
        <v>0.18</v>
      </c>
      <c r="CQ115" s="69" t="n">
        <v>0.28</v>
      </c>
      <c r="CR115" s="69" t="n">
        <v>0.62</v>
      </c>
      <c r="CS115" s="69" t="n">
        <v>0.51</v>
      </c>
      <c r="CT115" s="69" t="n">
        <v>0.19</v>
      </c>
      <c r="CU115" s="69" t="n">
        <v>0.27</v>
      </c>
      <c r="CV115" s="69" t="n">
        <v>0.2</v>
      </c>
      <c r="CW115" s="69" t="n">
        <v>0.15</v>
      </c>
      <c r="CX115" s="69" t="n">
        <v>0.17</v>
      </c>
      <c r="CY115" s="69" t="n">
        <v>0.2</v>
      </c>
      <c r="CZ115" s="69" t="n">
        <v>0.18</v>
      </c>
      <c r="DA115" s="69" t="n">
        <v>0.11</v>
      </c>
      <c r="DB115" s="69" t="n">
        <v>0.39</v>
      </c>
      <c r="DC115" s="69" t="n">
        <v>0.15</v>
      </c>
      <c r="DD115" s="69" t="n">
        <v>0.29</v>
      </c>
      <c r="DE115" s="69" t="n">
        <v>0.42</v>
      </c>
      <c r="DF115" s="69" t="n">
        <v>0.04</v>
      </c>
      <c r="DG115" s="69" t="n">
        <v>0.25</v>
      </c>
      <c r="DH115" s="69" t="n">
        <v>1</v>
      </c>
      <c r="DI115" s="69" t="n">
        <v>0.26</v>
      </c>
      <c r="DJ115" s="69" t="n">
        <v>0.19</v>
      </c>
      <c r="DK115" s="69" t="n">
        <v>0.32</v>
      </c>
      <c r="DL115" s="69" t="n">
        <v>0.17</v>
      </c>
      <c r="DM115" s="69" t="n">
        <v>0.22</v>
      </c>
      <c r="DN115" s="69" t="n">
        <v>0.15</v>
      </c>
      <c r="DO115" s="69" t="n">
        <v>0.35</v>
      </c>
      <c r="DP115" s="69" t="n">
        <v>0.2</v>
      </c>
      <c r="DQ115" s="69" t="n">
        <v>0.33</v>
      </c>
      <c r="DR115" s="69" t="n">
        <v>0.32</v>
      </c>
      <c r="DS115" s="69" t="n">
        <v>0.09</v>
      </c>
      <c r="DT115" s="69" t="n">
        <v>0.45</v>
      </c>
      <c r="DU115" s="69" t="n">
        <v>0.38</v>
      </c>
      <c r="DV115" s="69" t="n">
        <v>0.33</v>
      </c>
      <c r="DW115" s="69" t="n">
        <v>0.26</v>
      </c>
      <c r="DX115" s="69" t="n">
        <v>0.55</v>
      </c>
      <c r="DY115" s="69" t="n">
        <v>0.27</v>
      </c>
      <c r="DZ115" s="69" t="n">
        <v>0.17</v>
      </c>
      <c r="EA115" s="69" t="n">
        <v>0.18</v>
      </c>
      <c r="EB115" s="69" t="n">
        <v>0.31</v>
      </c>
      <c r="EC115" s="69" t="n">
        <v>0.04</v>
      </c>
      <c r="ED115" s="69" t="n">
        <v>0.27</v>
      </c>
      <c r="EE115" s="69" t="n">
        <v>0.53</v>
      </c>
      <c r="EF115" s="69" t="n">
        <v>0.28</v>
      </c>
      <c r="EG115" s="69" t="n">
        <v>0.44</v>
      </c>
      <c r="EH115" s="69" t="n">
        <v>0.11</v>
      </c>
      <c r="EI115" s="69" t="n">
        <v>0.49</v>
      </c>
      <c r="EJ115" s="69" t="n">
        <v>0.21</v>
      </c>
      <c r="EK115" s="69" t="n">
        <v>0.42</v>
      </c>
      <c r="EL115" s="69" t="n">
        <v>0.43</v>
      </c>
      <c r="EM115" s="69" t="n">
        <v>0.2</v>
      </c>
      <c r="EN115" s="69" t="n">
        <v>-0.02</v>
      </c>
      <c r="EO115" s="69" t="n">
        <v>0.04</v>
      </c>
    </row>
    <row r="116" customFormat="false" ht="15" hidden="false" customHeight="false" outlineLevel="0" collapsed="false">
      <c r="A116" s="68" t="s">
        <v>345</v>
      </c>
      <c r="B116" s="69" t="n">
        <v>0.27</v>
      </c>
      <c r="C116" s="69" t="n">
        <v>-0.03</v>
      </c>
      <c r="D116" s="69" t="n">
        <v>0.03</v>
      </c>
      <c r="E116" s="69" t="n">
        <v>0.2</v>
      </c>
      <c r="F116" s="69" t="n">
        <v>0.11</v>
      </c>
      <c r="G116" s="69" t="n">
        <v>0</v>
      </c>
      <c r="H116" s="69" t="n">
        <v>0.11</v>
      </c>
      <c r="I116" s="69" t="n">
        <v>0.23</v>
      </c>
      <c r="J116" s="69" t="n">
        <v>0.04</v>
      </c>
      <c r="K116" s="69" t="n">
        <v>0.23</v>
      </c>
      <c r="L116" s="69" t="n">
        <v>0.14</v>
      </c>
      <c r="M116" s="69" t="n">
        <v>0.41</v>
      </c>
      <c r="N116" s="69" t="n">
        <v>0.22</v>
      </c>
      <c r="O116" s="69" t="n">
        <v>0.19</v>
      </c>
      <c r="P116" s="69" t="n">
        <v>0.05</v>
      </c>
      <c r="Q116" s="69" t="n">
        <v>0.07</v>
      </c>
      <c r="R116" s="69" t="n">
        <v>0.12</v>
      </c>
      <c r="S116" s="69" t="n">
        <v>0.11</v>
      </c>
      <c r="T116" s="69" t="n">
        <v>0.4</v>
      </c>
      <c r="U116" s="69" t="n">
        <v>0.15</v>
      </c>
      <c r="V116" s="69" t="n">
        <v>0.1</v>
      </c>
      <c r="W116" s="69" t="n">
        <v>0.11</v>
      </c>
      <c r="X116" s="69" t="n">
        <v>0.41</v>
      </c>
      <c r="Y116" s="69" t="n">
        <v>0.24</v>
      </c>
      <c r="Z116" s="69" t="n">
        <v>0.09</v>
      </c>
      <c r="AA116" s="69" t="n">
        <v>0.18</v>
      </c>
      <c r="AB116" s="69" t="n">
        <v>0.27</v>
      </c>
      <c r="AC116" s="69" t="n">
        <v>0.12</v>
      </c>
      <c r="AD116" s="69" t="n">
        <v>0.07</v>
      </c>
      <c r="AE116" s="69" t="n">
        <v>0.24</v>
      </c>
      <c r="AF116" s="69" t="n">
        <v>0.11</v>
      </c>
      <c r="AG116" s="69" t="n">
        <v>0.03</v>
      </c>
      <c r="AH116" s="69" t="n">
        <v>0.05</v>
      </c>
      <c r="AI116" s="69" t="n">
        <v>-0.3</v>
      </c>
      <c r="AJ116" s="69" t="n">
        <v>0.04</v>
      </c>
      <c r="AK116" s="69" t="n">
        <v>0.18</v>
      </c>
      <c r="AL116" s="69" t="n">
        <v>0.3</v>
      </c>
      <c r="AM116" s="69" t="n">
        <v>0.16</v>
      </c>
      <c r="AN116" s="69" t="n">
        <v>0.46</v>
      </c>
      <c r="AO116" s="69" t="n">
        <v>0.06</v>
      </c>
      <c r="AP116" s="69" t="n">
        <v>0.34</v>
      </c>
      <c r="AQ116" s="69" t="n">
        <v>-0.35</v>
      </c>
      <c r="AR116" s="69" t="n">
        <v>0.35</v>
      </c>
      <c r="AS116" s="69" t="n">
        <v>0.07</v>
      </c>
      <c r="AT116" s="69" t="n">
        <v>0.47</v>
      </c>
      <c r="AU116" s="69" t="n">
        <v>0.06</v>
      </c>
      <c r="AV116" s="69" t="n">
        <v>0.14</v>
      </c>
      <c r="AW116" s="69" t="n">
        <v>0.12</v>
      </c>
      <c r="AX116" s="69" t="n">
        <v>0.25</v>
      </c>
      <c r="AY116" s="69" t="n">
        <v>0.34</v>
      </c>
      <c r="AZ116" s="69" t="n">
        <v>0.27</v>
      </c>
      <c r="BA116" s="69" t="n">
        <v>0.35</v>
      </c>
      <c r="BB116" s="69" t="n">
        <v>0.54</v>
      </c>
      <c r="BC116" s="69" t="n">
        <v>0.19</v>
      </c>
      <c r="BD116" s="69" t="n">
        <v>0.16</v>
      </c>
      <c r="BE116" s="69" t="n">
        <v>0.15</v>
      </c>
      <c r="BF116" s="69" t="n">
        <v>0.11</v>
      </c>
      <c r="BG116" s="69" t="n">
        <v>0.23</v>
      </c>
      <c r="BH116" s="69" t="n">
        <v>0.15</v>
      </c>
      <c r="BI116" s="69" t="n">
        <v>0.21</v>
      </c>
      <c r="BJ116" s="69" t="n">
        <v>-0.06</v>
      </c>
      <c r="BK116" s="69" t="n">
        <v>0.23</v>
      </c>
      <c r="BL116" s="69" t="n">
        <v>0.28</v>
      </c>
      <c r="BM116" s="69" t="n">
        <v>0.28</v>
      </c>
      <c r="BN116" s="69" t="n">
        <v>0.19</v>
      </c>
      <c r="BO116" s="69" t="n">
        <v>0.37</v>
      </c>
      <c r="BP116" s="69" t="n">
        <v>0.18</v>
      </c>
      <c r="BQ116" s="69" t="n">
        <v>0.25</v>
      </c>
      <c r="BR116" s="69" t="n">
        <v>0.47</v>
      </c>
      <c r="BS116" s="69" t="n">
        <v>-0.31</v>
      </c>
      <c r="BT116" s="69" t="n">
        <v>0.49</v>
      </c>
      <c r="BU116" s="69" t="n">
        <v>0.13</v>
      </c>
      <c r="BV116" s="69" t="n">
        <v>0.3</v>
      </c>
      <c r="BW116" s="69" t="n">
        <v>0.31</v>
      </c>
      <c r="BX116" s="69" t="n">
        <v>0.16</v>
      </c>
      <c r="BY116" s="69" t="n">
        <v>0.43</v>
      </c>
      <c r="BZ116" s="69" t="n">
        <v>0.41</v>
      </c>
      <c r="CA116" s="69" t="n">
        <v>0.08</v>
      </c>
      <c r="CB116" s="69" t="n">
        <v>-0.05</v>
      </c>
      <c r="CC116" s="69" t="n">
        <v>0.18</v>
      </c>
      <c r="CD116" s="69" t="n">
        <v>0.23</v>
      </c>
      <c r="CE116" s="69" t="n">
        <v>0.14</v>
      </c>
      <c r="CF116" s="69" t="n">
        <v>-0.33</v>
      </c>
      <c r="CG116" s="69" t="n">
        <v>0.38</v>
      </c>
      <c r="CH116" s="69" t="n">
        <v>0.24</v>
      </c>
      <c r="CI116" s="69" t="n">
        <v>-0.33</v>
      </c>
      <c r="CJ116" s="69" t="n">
        <v>0.09</v>
      </c>
      <c r="CK116" s="69" t="n">
        <v>0.3</v>
      </c>
      <c r="CL116" s="69" t="n">
        <v>0.41</v>
      </c>
      <c r="CM116" s="69" t="n">
        <v>0.23</v>
      </c>
      <c r="CN116" s="69" t="n">
        <v>0.02</v>
      </c>
      <c r="CO116" s="69" t="n">
        <v>0.13</v>
      </c>
      <c r="CP116" s="69" t="n">
        <v>0.15</v>
      </c>
      <c r="CQ116" s="69" t="n">
        <v>0.84</v>
      </c>
      <c r="CR116" s="69" t="n">
        <v>0.35</v>
      </c>
      <c r="CS116" s="69" t="n">
        <v>0.39</v>
      </c>
      <c r="CT116" s="69" t="n">
        <v>0.29</v>
      </c>
      <c r="CU116" s="69" t="n">
        <v>0.16</v>
      </c>
      <c r="CV116" s="69" t="n">
        <v>0.26</v>
      </c>
      <c r="CW116" s="69" t="n">
        <v>0.24</v>
      </c>
      <c r="CX116" s="69" t="n">
        <v>0.33</v>
      </c>
      <c r="CY116" s="69" t="n">
        <v>0.72</v>
      </c>
      <c r="CZ116" s="69" t="n">
        <v>0.15</v>
      </c>
      <c r="DA116" s="69" t="n">
        <v>0.14</v>
      </c>
      <c r="DB116" s="69" t="n">
        <v>0.37</v>
      </c>
      <c r="DC116" s="69" t="n">
        <v>0.41</v>
      </c>
      <c r="DD116" s="69" t="n">
        <v>0.34</v>
      </c>
      <c r="DE116" s="69" t="n">
        <v>0.29</v>
      </c>
      <c r="DF116" s="69" t="n">
        <v>0.1</v>
      </c>
      <c r="DG116" s="69" t="n">
        <v>0.25</v>
      </c>
      <c r="DH116" s="69" t="n">
        <v>0.26</v>
      </c>
      <c r="DI116" s="69" t="n">
        <v>1</v>
      </c>
      <c r="DJ116" s="69" t="n">
        <v>0.52</v>
      </c>
      <c r="DK116" s="69" t="n">
        <v>0.84</v>
      </c>
      <c r="DL116" s="69" t="n">
        <v>0.09</v>
      </c>
      <c r="DM116" s="69" t="n">
        <v>0.64</v>
      </c>
      <c r="DN116" s="69" t="n">
        <v>0.27</v>
      </c>
      <c r="DO116" s="69" t="n">
        <v>0.33</v>
      </c>
      <c r="DP116" s="69" t="n">
        <v>0.6</v>
      </c>
      <c r="DQ116" s="69" t="n">
        <v>0.31</v>
      </c>
      <c r="DR116" s="69" t="n">
        <v>0.2</v>
      </c>
      <c r="DS116" s="69" t="n">
        <v>0.18</v>
      </c>
      <c r="DT116" s="69" t="n">
        <v>0.18</v>
      </c>
      <c r="DU116" s="69" t="n">
        <v>0.4</v>
      </c>
      <c r="DV116" s="69" t="n">
        <v>0.19</v>
      </c>
      <c r="DW116" s="69" t="n">
        <v>0.31</v>
      </c>
      <c r="DX116" s="69" t="n">
        <v>0.32</v>
      </c>
      <c r="DY116" s="69" t="n">
        <v>0.47</v>
      </c>
      <c r="DZ116" s="69" t="n">
        <v>0.13</v>
      </c>
      <c r="EA116" s="69" t="n">
        <v>0.27</v>
      </c>
      <c r="EB116" s="69" t="n">
        <v>0.45</v>
      </c>
      <c r="EC116" s="69" t="n">
        <v>-0.01</v>
      </c>
      <c r="ED116" s="69" t="n">
        <v>0.27</v>
      </c>
      <c r="EE116" s="69" t="n">
        <v>0.36</v>
      </c>
      <c r="EF116" s="69" t="n">
        <v>0.21</v>
      </c>
      <c r="EG116" s="69" t="n">
        <v>0.31</v>
      </c>
      <c r="EH116" s="69" t="n">
        <v>0.16</v>
      </c>
      <c r="EI116" s="69" t="n">
        <v>0.27</v>
      </c>
      <c r="EJ116" s="69" t="n">
        <v>0.32</v>
      </c>
      <c r="EK116" s="69" t="n">
        <v>0.3</v>
      </c>
      <c r="EL116" s="69" t="n">
        <v>0.33</v>
      </c>
      <c r="EM116" s="69" t="n">
        <v>0.17</v>
      </c>
      <c r="EN116" s="69" t="n">
        <v>0.07</v>
      </c>
      <c r="EO116" s="69" t="n">
        <v>0.1</v>
      </c>
    </row>
    <row r="117" customFormat="false" ht="15" hidden="false" customHeight="false" outlineLevel="0" collapsed="false">
      <c r="A117" s="68" t="s">
        <v>346</v>
      </c>
      <c r="B117" s="69" t="n">
        <v>0.22</v>
      </c>
      <c r="C117" s="69" t="n">
        <v>-0.05</v>
      </c>
      <c r="D117" s="69" t="n">
        <v>0</v>
      </c>
      <c r="E117" s="69" t="n">
        <v>0.08</v>
      </c>
      <c r="F117" s="69" t="n">
        <v>0.15</v>
      </c>
      <c r="G117" s="69" t="n">
        <v>-0.04</v>
      </c>
      <c r="H117" s="69" t="n">
        <v>0.06</v>
      </c>
      <c r="I117" s="69" t="n">
        <v>0.26</v>
      </c>
      <c r="J117" s="69" t="n">
        <v>0.13</v>
      </c>
      <c r="K117" s="69" t="n">
        <v>0.27</v>
      </c>
      <c r="L117" s="69" t="n">
        <v>0.08</v>
      </c>
      <c r="M117" s="69" t="n">
        <v>0.36</v>
      </c>
      <c r="N117" s="69" t="n">
        <v>0.29</v>
      </c>
      <c r="O117" s="69" t="n">
        <v>0.06</v>
      </c>
      <c r="P117" s="69" t="n">
        <v>0.08</v>
      </c>
      <c r="Q117" s="69" t="n">
        <v>0</v>
      </c>
      <c r="R117" s="69" t="n">
        <v>0.15</v>
      </c>
      <c r="S117" s="69" t="n">
        <v>0.06</v>
      </c>
      <c r="T117" s="69" t="n">
        <v>0.4</v>
      </c>
      <c r="U117" s="69" t="n">
        <v>0.07</v>
      </c>
      <c r="V117" s="69" t="n">
        <v>0.1</v>
      </c>
      <c r="W117" s="69" t="n">
        <v>-0.03</v>
      </c>
      <c r="X117" s="69" t="n">
        <v>0.39</v>
      </c>
      <c r="Y117" s="69" t="n">
        <v>0.33</v>
      </c>
      <c r="Z117" s="69" t="n">
        <v>0.11</v>
      </c>
      <c r="AA117" s="69" t="n">
        <v>0.09</v>
      </c>
      <c r="AB117" s="69" t="n">
        <v>0.36</v>
      </c>
      <c r="AC117" s="69" t="n">
        <v>0</v>
      </c>
      <c r="AD117" s="69" t="n">
        <v>0.06</v>
      </c>
      <c r="AE117" s="69" t="n">
        <v>0.17</v>
      </c>
      <c r="AF117" s="69" t="n">
        <v>0</v>
      </c>
      <c r="AG117" s="69" t="n">
        <v>0.04</v>
      </c>
      <c r="AH117" s="69" t="n">
        <v>0</v>
      </c>
      <c r="AI117" s="69" t="n">
        <v>-0.2</v>
      </c>
      <c r="AJ117" s="69" t="n">
        <v>0.02</v>
      </c>
      <c r="AK117" s="69" t="n">
        <v>0.19</v>
      </c>
      <c r="AL117" s="69" t="n">
        <v>0.27</v>
      </c>
      <c r="AM117" s="69" t="n">
        <v>0.12</v>
      </c>
      <c r="AN117" s="69" t="n">
        <v>0.43</v>
      </c>
      <c r="AO117" s="69" t="n">
        <v>0.15</v>
      </c>
      <c r="AP117" s="69" t="n">
        <v>0.39</v>
      </c>
      <c r="AQ117" s="69" t="n">
        <v>-0.2</v>
      </c>
      <c r="AR117" s="69" t="n">
        <v>0.35</v>
      </c>
      <c r="AS117" s="69" t="n">
        <v>0.09</v>
      </c>
      <c r="AT117" s="69" t="n">
        <v>0.45</v>
      </c>
      <c r="AU117" s="69" t="n">
        <v>0.12</v>
      </c>
      <c r="AV117" s="69" t="n">
        <v>0.03</v>
      </c>
      <c r="AW117" s="69" t="n">
        <v>0.05</v>
      </c>
      <c r="AX117" s="69" t="n">
        <v>0.26</v>
      </c>
      <c r="AY117" s="69" t="n">
        <v>0.33</v>
      </c>
      <c r="AZ117" s="69" t="n">
        <v>0.17</v>
      </c>
      <c r="BA117" s="69" t="n">
        <v>0.32</v>
      </c>
      <c r="BB117" s="69" t="n">
        <v>0.41</v>
      </c>
      <c r="BC117" s="69" t="n">
        <v>-0.01</v>
      </c>
      <c r="BD117" s="69" t="n">
        <v>0.09</v>
      </c>
      <c r="BE117" s="69" t="n">
        <v>0.22</v>
      </c>
      <c r="BF117" s="69" t="n">
        <v>0.12</v>
      </c>
      <c r="BG117" s="69" t="n">
        <v>0.3</v>
      </c>
      <c r="BH117" s="69" t="n">
        <v>0.08</v>
      </c>
      <c r="BI117" s="69" t="n">
        <v>0.09</v>
      </c>
      <c r="BJ117" s="69" t="n">
        <v>-0.07</v>
      </c>
      <c r="BK117" s="69" t="n">
        <v>0.13</v>
      </c>
      <c r="BL117" s="69" t="n">
        <v>0.37</v>
      </c>
      <c r="BM117" s="69" t="n">
        <v>0.32</v>
      </c>
      <c r="BN117" s="69" t="n">
        <v>0.11</v>
      </c>
      <c r="BO117" s="69" t="n">
        <v>0.33</v>
      </c>
      <c r="BP117" s="69" t="n">
        <v>0.03</v>
      </c>
      <c r="BQ117" s="69" t="n">
        <v>0.19</v>
      </c>
      <c r="BR117" s="69" t="n">
        <v>0.33</v>
      </c>
      <c r="BS117" s="69" t="n">
        <v>-0.13</v>
      </c>
      <c r="BT117" s="69" t="n">
        <v>0.43</v>
      </c>
      <c r="BU117" s="69" t="n">
        <v>0.14</v>
      </c>
      <c r="BV117" s="69" t="n">
        <v>0.24</v>
      </c>
      <c r="BW117" s="69" t="n">
        <v>0.08</v>
      </c>
      <c r="BX117" s="69" t="n">
        <v>0.25</v>
      </c>
      <c r="BY117" s="69" t="n">
        <v>0.4</v>
      </c>
      <c r="BZ117" s="69" t="n">
        <v>0.31</v>
      </c>
      <c r="CA117" s="69" t="n">
        <v>0.05</v>
      </c>
      <c r="CB117" s="69" t="n">
        <v>-0.07</v>
      </c>
      <c r="CC117" s="69" t="n">
        <v>0.13</v>
      </c>
      <c r="CD117" s="69" t="n">
        <v>0.35</v>
      </c>
      <c r="CE117" s="69" t="n">
        <v>0.16</v>
      </c>
      <c r="CF117" s="69" t="n">
        <v>-0.18</v>
      </c>
      <c r="CG117" s="69" t="n">
        <v>0.38</v>
      </c>
      <c r="CH117" s="69" t="n">
        <v>0.25</v>
      </c>
      <c r="CI117" s="69" t="n">
        <v>-0.17</v>
      </c>
      <c r="CJ117" s="69" t="n">
        <v>0.04</v>
      </c>
      <c r="CK117" s="69" t="n">
        <v>0.29</v>
      </c>
      <c r="CL117" s="69" t="n">
        <v>0.34</v>
      </c>
      <c r="CM117" s="69" t="n">
        <v>0.21</v>
      </c>
      <c r="CN117" s="69" t="n">
        <v>0.13</v>
      </c>
      <c r="CO117" s="69" t="n">
        <v>0.07</v>
      </c>
      <c r="CP117" s="69" t="n">
        <v>0.09</v>
      </c>
      <c r="CQ117" s="69" t="n">
        <v>0.58</v>
      </c>
      <c r="CR117" s="69" t="n">
        <v>0.34</v>
      </c>
      <c r="CS117" s="69" t="n">
        <v>0.33</v>
      </c>
      <c r="CT117" s="69" t="n">
        <v>0.25</v>
      </c>
      <c r="CU117" s="69" t="n">
        <v>0.15</v>
      </c>
      <c r="CV117" s="69" t="n">
        <v>0.32</v>
      </c>
      <c r="CW117" s="69" t="n">
        <v>0.26</v>
      </c>
      <c r="CX117" s="69" t="n">
        <v>0.31</v>
      </c>
      <c r="CY117" s="69" t="n">
        <v>0.68</v>
      </c>
      <c r="CZ117" s="69" t="n">
        <v>0.17</v>
      </c>
      <c r="DA117" s="69" t="n">
        <v>0.23</v>
      </c>
      <c r="DB117" s="69" t="n">
        <v>0.17</v>
      </c>
      <c r="DC117" s="69" t="n">
        <v>0.4</v>
      </c>
      <c r="DD117" s="69" t="n">
        <v>0.33</v>
      </c>
      <c r="DE117" s="69" t="n">
        <v>0.31</v>
      </c>
      <c r="DF117" s="69" t="n">
        <v>0.09</v>
      </c>
      <c r="DG117" s="69" t="n">
        <v>0.22</v>
      </c>
      <c r="DH117" s="69" t="n">
        <v>0.19</v>
      </c>
      <c r="DI117" s="69" t="n">
        <v>0.52</v>
      </c>
      <c r="DJ117" s="69" t="n">
        <v>1</v>
      </c>
      <c r="DK117" s="69" t="n">
        <v>0.57</v>
      </c>
      <c r="DL117" s="69" t="n">
        <v>0.11</v>
      </c>
      <c r="DM117" s="69" t="n">
        <v>0.8</v>
      </c>
      <c r="DN117" s="69" t="n">
        <v>0.29</v>
      </c>
      <c r="DO117" s="69" t="n">
        <v>0.26</v>
      </c>
      <c r="DP117" s="69" t="n">
        <v>0.76</v>
      </c>
      <c r="DQ117" s="69" t="n">
        <v>0.15</v>
      </c>
      <c r="DR117" s="69" t="n">
        <v>0.16</v>
      </c>
      <c r="DS117" s="69" t="n">
        <v>0.25</v>
      </c>
      <c r="DT117" s="69" t="n">
        <v>0.16</v>
      </c>
      <c r="DU117" s="69" t="n">
        <v>0.25</v>
      </c>
      <c r="DV117" s="69" t="n">
        <v>0.1</v>
      </c>
      <c r="DW117" s="69" t="n">
        <v>0.3</v>
      </c>
      <c r="DX117" s="69" t="n">
        <v>0.27</v>
      </c>
      <c r="DY117" s="69" t="n">
        <v>0.33</v>
      </c>
      <c r="DZ117" s="69" t="n">
        <v>0.12</v>
      </c>
      <c r="EA117" s="69" t="n">
        <v>0.23</v>
      </c>
      <c r="EB117" s="69" t="n">
        <v>0.36</v>
      </c>
      <c r="EC117" s="69" t="n">
        <v>0.07</v>
      </c>
      <c r="ED117" s="69" t="n">
        <v>0.2</v>
      </c>
      <c r="EE117" s="69" t="n">
        <v>0.22</v>
      </c>
      <c r="EF117" s="69" t="n">
        <v>0.19</v>
      </c>
      <c r="EG117" s="69" t="n">
        <v>0.18</v>
      </c>
      <c r="EH117" s="69" t="n">
        <v>0.1</v>
      </c>
      <c r="EI117" s="69" t="n">
        <v>0.17</v>
      </c>
      <c r="EJ117" s="69" t="n">
        <v>0.36</v>
      </c>
      <c r="EK117" s="69" t="n">
        <v>0.13</v>
      </c>
      <c r="EL117" s="69" t="n">
        <v>0.21</v>
      </c>
      <c r="EM117" s="69" t="n">
        <v>0.13</v>
      </c>
      <c r="EN117" s="69" t="n">
        <v>0.1</v>
      </c>
      <c r="EO117" s="69" t="n">
        <v>0.15</v>
      </c>
    </row>
    <row r="118" customFormat="false" ht="15" hidden="false" customHeight="false" outlineLevel="0" collapsed="false">
      <c r="A118" s="68" t="s">
        <v>347</v>
      </c>
      <c r="B118" s="69" t="n">
        <v>0.23</v>
      </c>
      <c r="C118" s="69" t="n">
        <v>0.01</v>
      </c>
      <c r="D118" s="69" t="n">
        <v>0.02</v>
      </c>
      <c r="E118" s="69" t="n">
        <v>0.13</v>
      </c>
      <c r="F118" s="69" t="n">
        <v>0.07</v>
      </c>
      <c r="G118" s="69" t="n">
        <v>-0.05</v>
      </c>
      <c r="H118" s="69" t="n">
        <v>0.09</v>
      </c>
      <c r="I118" s="69" t="n">
        <v>0.18</v>
      </c>
      <c r="J118" s="69" t="n">
        <v>0.06</v>
      </c>
      <c r="K118" s="69" t="n">
        <v>0.2</v>
      </c>
      <c r="L118" s="69" t="n">
        <v>0.15</v>
      </c>
      <c r="M118" s="69" t="n">
        <v>0.43</v>
      </c>
      <c r="N118" s="69" t="n">
        <v>0.23</v>
      </c>
      <c r="O118" s="69" t="n">
        <v>0.14</v>
      </c>
      <c r="P118" s="69" t="n">
        <v>0.05</v>
      </c>
      <c r="Q118" s="69" t="n">
        <v>0.04</v>
      </c>
      <c r="R118" s="69" t="n">
        <v>0.1</v>
      </c>
      <c r="S118" s="69" t="n">
        <v>0.11</v>
      </c>
      <c r="T118" s="69" t="n">
        <v>0.43</v>
      </c>
      <c r="U118" s="69" t="n">
        <v>0.15</v>
      </c>
      <c r="V118" s="69" t="n">
        <v>0.11</v>
      </c>
      <c r="W118" s="69" t="n">
        <v>0.08</v>
      </c>
      <c r="X118" s="69" t="n">
        <v>0.47</v>
      </c>
      <c r="Y118" s="69" t="n">
        <v>0.22</v>
      </c>
      <c r="Z118" s="69" t="n">
        <v>0.09</v>
      </c>
      <c r="AA118" s="69" t="n">
        <v>0.17</v>
      </c>
      <c r="AB118" s="69" t="n">
        <v>0.24</v>
      </c>
      <c r="AC118" s="69" t="n">
        <v>0.04</v>
      </c>
      <c r="AD118" s="69" t="n">
        <v>0.1</v>
      </c>
      <c r="AE118" s="69" t="n">
        <v>0.27</v>
      </c>
      <c r="AF118" s="69" t="n">
        <v>0.13</v>
      </c>
      <c r="AG118" s="69" t="n">
        <v>0</v>
      </c>
      <c r="AH118" s="69" t="n">
        <v>0.02</v>
      </c>
      <c r="AI118" s="69" t="n">
        <v>-0.31</v>
      </c>
      <c r="AJ118" s="69" t="n">
        <v>0.08</v>
      </c>
      <c r="AK118" s="69" t="n">
        <v>0.19</v>
      </c>
      <c r="AL118" s="69" t="n">
        <v>0.3</v>
      </c>
      <c r="AM118" s="69" t="n">
        <v>0.18</v>
      </c>
      <c r="AN118" s="69" t="n">
        <v>0.47</v>
      </c>
      <c r="AO118" s="69" t="n">
        <v>0.08</v>
      </c>
      <c r="AP118" s="69" t="n">
        <v>0.33</v>
      </c>
      <c r="AQ118" s="69" t="n">
        <v>-0.35</v>
      </c>
      <c r="AR118" s="69" t="n">
        <v>0.43</v>
      </c>
      <c r="AS118" s="69" t="n">
        <v>0.14</v>
      </c>
      <c r="AT118" s="69" t="n">
        <v>0.51</v>
      </c>
      <c r="AU118" s="69" t="n">
        <v>0.08</v>
      </c>
      <c r="AV118" s="69" t="n">
        <v>0.13</v>
      </c>
      <c r="AW118" s="69" t="n">
        <v>0.16</v>
      </c>
      <c r="AX118" s="69" t="n">
        <v>0.23</v>
      </c>
      <c r="AY118" s="69" t="n">
        <v>0.37</v>
      </c>
      <c r="AZ118" s="69" t="n">
        <v>0.32</v>
      </c>
      <c r="BA118" s="69" t="n">
        <v>0.44</v>
      </c>
      <c r="BB118" s="69" t="n">
        <v>0.59</v>
      </c>
      <c r="BC118" s="69" t="n">
        <v>0.18</v>
      </c>
      <c r="BD118" s="69" t="n">
        <v>0.17</v>
      </c>
      <c r="BE118" s="69" t="n">
        <v>0.19</v>
      </c>
      <c r="BF118" s="69" t="n">
        <v>0.16</v>
      </c>
      <c r="BG118" s="69" t="n">
        <v>0.31</v>
      </c>
      <c r="BH118" s="69" t="n">
        <v>0.19</v>
      </c>
      <c r="BI118" s="69" t="n">
        <v>0.16</v>
      </c>
      <c r="BJ118" s="69" t="n">
        <v>-0.01</v>
      </c>
      <c r="BK118" s="69" t="n">
        <v>0.23</v>
      </c>
      <c r="BL118" s="69" t="n">
        <v>0.37</v>
      </c>
      <c r="BM118" s="69" t="n">
        <v>0.3</v>
      </c>
      <c r="BN118" s="69" t="n">
        <v>0.17</v>
      </c>
      <c r="BO118" s="69" t="n">
        <v>0.34</v>
      </c>
      <c r="BP118" s="69" t="n">
        <v>0.19</v>
      </c>
      <c r="BQ118" s="69" t="n">
        <v>0.34</v>
      </c>
      <c r="BR118" s="69" t="n">
        <v>0.51</v>
      </c>
      <c r="BS118" s="69" t="n">
        <v>-0.3</v>
      </c>
      <c r="BT118" s="69" t="n">
        <v>0.55</v>
      </c>
      <c r="BU118" s="69" t="n">
        <v>0.14</v>
      </c>
      <c r="BV118" s="69" t="n">
        <v>0.31</v>
      </c>
      <c r="BW118" s="69" t="n">
        <v>0.31</v>
      </c>
      <c r="BX118" s="69" t="n">
        <v>0.14</v>
      </c>
      <c r="BY118" s="69" t="n">
        <v>0.44</v>
      </c>
      <c r="BZ118" s="69" t="n">
        <v>0.48</v>
      </c>
      <c r="CA118" s="69" t="n">
        <v>0.06</v>
      </c>
      <c r="CB118" s="69" t="n">
        <v>-0.06</v>
      </c>
      <c r="CC118" s="69" t="n">
        <v>0.17</v>
      </c>
      <c r="CD118" s="69" t="n">
        <v>0.27</v>
      </c>
      <c r="CE118" s="69" t="n">
        <v>0.22</v>
      </c>
      <c r="CF118" s="69" t="n">
        <v>-0.33</v>
      </c>
      <c r="CG118" s="69" t="n">
        <v>0.38</v>
      </c>
      <c r="CH118" s="69" t="n">
        <v>0.28</v>
      </c>
      <c r="CI118" s="69" t="n">
        <v>-0.33</v>
      </c>
      <c r="CJ118" s="69" t="n">
        <v>0.06</v>
      </c>
      <c r="CK118" s="69" t="n">
        <v>0.3</v>
      </c>
      <c r="CL118" s="69" t="n">
        <v>0.42</v>
      </c>
      <c r="CM118" s="69" t="n">
        <v>0.31</v>
      </c>
      <c r="CN118" s="69" t="n">
        <v>0.06</v>
      </c>
      <c r="CO118" s="69" t="n">
        <v>0.17</v>
      </c>
      <c r="CP118" s="69" t="n">
        <v>0.13</v>
      </c>
      <c r="CQ118" s="69" t="n">
        <v>0.9</v>
      </c>
      <c r="CR118" s="69" t="n">
        <v>0.45</v>
      </c>
      <c r="CS118" s="69" t="n">
        <v>0.48</v>
      </c>
      <c r="CT118" s="69" t="n">
        <v>0.3</v>
      </c>
      <c r="CU118" s="69" t="n">
        <v>0.19</v>
      </c>
      <c r="CV118" s="69" t="n">
        <v>0.28</v>
      </c>
      <c r="CW118" s="69" t="n">
        <v>0.29</v>
      </c>
      <c r="CX118" s="69" t="n">
        <v>0.39</v>
      </c>
      <c r="CY118" s="69" t="n">
        <v>0.73</v>
      </c>
      <c r="CZ118" s="69" t="n">
        <v>0.13</v>
      </c>
      <c r="DA118" s="69" t="n">
        <v>0.17</v>
      </c>
      <c r="DB118" s="69" t="n">
        <v>0.34</v>
      </c>
      <c r="DC118" s="69" t="n">
        <v>0.46</v>
      </c>
      <c r="DD118" s="69" t="n">
        <v>0.35</v>
      </c>
      <c r="DE118" s="69" t="n">
        <v>0.39</v>
      </c>
      <c r="DF118" s="69" t="n">
        <v>0.05</v>
      </c>
      <c r="DG118" s="69" t="n">
        <v>0.32</v>
      </c>
      <c r="DH118" s="69" t="n">
        <v>0.32</v>
      </c>
      <c r="DI118" s="69" t="n">
        <v>0.84</v>
      </c>
      <c r="DJ118" s="69" t="n">
        <v>0.57</v>
      </c>
      <c r="DK118" s="69" t="n">
        <v>1</v>
      </c>
      <c r="DL118" s="69" t="n">
        <v>0.13</v>
      </c>
      <c r="DM118" s="69" t="n">
        <v>0.69</v>
      </c>
      <c r="DN118" s="69" t="n">
        <v>0.31</v>
      </c>
      <c r="DO118" s="69" t="n">
        <v>0.33</v>
      </c>
      <c r="DP118" s="69" t="n">
        <v>0.64</v>
      </c>
      <c r="DQ118" s="69" t="n">
        <v>0.37</v>
      </c>
      <c r="DR118" s="69" t="n">
        <v>0.25</v>
      </c>
      <c r="DS118" s="69" t="n">
        <v>0.17</v>
      </c>
      <c r="DT118" s="69" t="n">
        <v>0.21</v>
      </c>
      <c r="DU118" s="69" t="n">
        <v>0.44</v>
      </c>
      <c r="DV118" s="69" t="n">
        <v>0.2</v>
      </c>
      <c r="DW118" s="69" t="n">
        <v>0.34</v>
      </c>
      <c r="DX118" s="69" t="n">
        <v>0.4</v>
      </c>
      <c r="DY118" s="69" t="n">
        <v>0.48</v>
      </c>
      <c r="DZ118" s="69" t="n">
        <v>0.12</v>
      </c>
      <c r="EA118" s="69" t="n">
        <v>0.28</v>
      </c>
      <c r="EB118" s="69" t="n">
        <v>0.47</v>
      </c>
      <c r="EC118" s="69" t="n">
        <v>0.05</v>
      </c>
      <c r="ED118" s="69" t="n">
        <v>0.3</v>
      </c>
      <c r="EE118" s="69" t="n">
        <v>0.42</v>
      </c>
      <c r="EF118" s="69" t="n">
        <v>0.32</v>
      </c>
      <c r="EG118" s="69" t="n">
        <v>0.36</v>
      </c>
      <c r="EH118" s="69" t="n">
        <v>0.15</v>
      </c>
      <c r="EI118" s="69" t="n">
        <v>0.33</v>
      </c>
      <c r="EJ118" s="69" t="n">
        <v>0.36</v>
      </c>
      <c r="EK118" s="69" t="n">
        <v>0.35</v>
      </c>
      <c r="EL118" s="69" t="n">
        <v>0.42</v>
      </c>
      <c r="EM118" s="69" t="n">
        <v>0.22</v>
      </c>
      <c r="EN118" s="69" t="n">
        <v>0.06</v>
      </c>
      <c r="EO118" s="69" t="n">
        <v>0.08</v>
      </c>
    </row>
    <row r="119" customFormat="false" ht="15" hidden="false" customHeight="false" outlineLevel="0" collapsed="false">
      <c r="A119" s="68" t="s">
        <v>348</v>
      </c>
      <c r="B119" s="69" t="n">
        <v>-0.11</v>
      </c>
      <c r="C119" s="69" t="n">
        <v>0.17</v>
      </c>
      <c r="D119" s="69" t="n">
        <v>0.2</v>
      </c>
      <c r="E119" s="69" t="n">
        <v>0.11</v>
      </c>
      <c r="F119" s="69" t="n">
        <v>-0.11</v>
      </c>
      <c r="G119" s="69" t="n">
        <v>0.16</v>
      </c>
      <c r="H119" s="69" t="n">
        <v>0.22</v>
      </c>
      <c r="I119" s="69" t="n">
        <v>-0.03</v>
      </c>
      <c r="J119" s="69" t="n">
        <v>0</v>
      </c>
      <c r="K119" s="69" t="n">
        <v>0.02</v>
      </c>
      <c r="L119" s="69" t="n">
        <v>0.15</v>
      </c>
      <c r="M119" s="69" t="n">
        <v>0.19</v>
      </c>
      <c r="N119" s="69" t="n">
        <v>0.05</v>
      </c>
      <c r="O119" s="69" t="n">
        <v>0.26</v>
      </c>
      <c r="P119" s="69" t="n">
        <v>-0.03</v>
      </c>
      <c r="Q119" s="69" t="n">
        <v>0.04</v>
      </c>
      <c r="R119" s="69" t="n">
        <v>-0.04</v>
      </c>
      <c r="S119" s="69" t="n">
        <v>0.17</v>
      </c>
      <c r="T119" s="69" t="n">
        <v>0.04</v>
      </c>
      <c r="U119" s="69" t="n">
        <v>0.3</v>
      </c>
      <c r="V119" s="69" t="n">
        <v>0.32</v>
      </c>
      <c r="W119" s="69" t="n">
        <v>0.08</v>
      </c>
      <c r="X119" s="69" t="n">
        <v>0.07</v>
      </c>
      <c r="Y119" s="69" t="n">
        <v>-0.06</v>
      </c>
      <c r="Z119" s="69" t="n">
        <v>0.32</v>
      </c>
      <c r="AA119" s="69" t="n">
        <v>0.13</v>
      </c>
      <c r="AB119" s="69" t="n">
        <v>-0.12</v>
      </c>
      <c r="AC119" s="69" t="n">
        <v>0.23</v>
      </c>
      <c r="AD119" s="69" t="n">
        <v>0.12</v>
      </c>
      <c r="AE119" s="69" t="n">
        <v>0.3</v>
      </c>
      <c r="AF119" s="69" t="n">
        <v>0.35</v>
      </c>
      <c r="AG119" s="69" t="n">
        <v>-0.15</v>
      </c>
      <c r="AH119" s="69" t="n">
        <v>-0.21</v>
      </c>
      <c r="AI119" s="69" t="n">
        <v>-0.24</v>
      </c>
      <c r="AJ119" s="69" t="n">
        <v>0.29</v>
      </c>
      <c r="AK119" s="69" t="n">
        <v>0.33</v>
      </c>
      <c r="AL119" s="69" t="n">
        <v>0</v>
      </c>
      <c r="AM119" s="69" t="n">
        <v>0.12</v>
      </c>
      <c r="AN119" s="69" t="n">
        <v>0.08</v>
      </c>
      <c r="AO119" s="69" t="n">
        <v>-0.07</v>
      </c>
      <c r="AP119" s="69" t="n">
        <v>0.1</v>
      </c>
      <c r="AQ119" s="69" t="n">
        <v>-0.21</v>
      </c>
      <c r="AR119" s="69" t="n">
        <v>-0.01</v>
      </c>
      <c r="AS119" s="69" t="n">
        <v>0.3</v>
      </c>
      <c r="AT119" s="69" t="n">
        <v>-0.02</v>
      </c>
      <c r="AU119" s="69" t="n">
        <v>-0.03</v>
      </c>
      <c r="AV119" s="69" t="n">
        <v>0.17</v>
      </c>
      <c r="AW119" s="69" t="n">
        <v>0.33</v>
      </c>
      <c r="AX119" s="69" t="n">
        <v>0.04</v>
      </c>
      <c r="AY119" s="69" t="n">
        <v>-0.01</v>
      </c>
      <c r="AZ119" s="69" t="n">
        <v>0.24</v>
      </c>
      <c r="BA119" s="69" t="n">
        <v>0.12</v>
      </c>
      <c r="BB119" s="69" t="n">
        <v>0.09</v>
      </c>
      <c r="BC119" s="69" t="n">
        <v>0.17</v>
      </c>
      <c r="BD119" s="69" t="n">
        <v>0.32</v>
      </c>
      <c r="BE119" s="69" t="n">
        <v>0.06</v>
      </c>
      <c r="BF119" s="69" t="n">
        <v>0.23</v>
      </c>
      <c r="BG119" s="69" t="n">
        <v>0.07</v>
      </c>
      <c r="BH119" s="69" t="n">
        <v>0.22</v>
      </c>
      <c r="BI119" s="69" t="n">
        <v>0.1</v>
      </c>
      <c r="BJ119" s="69" t="n">
        <v>0.16</v>
      </c>
      <c r="BK119" s="69" t="n">
        <v>0.17</v>
      </c>
      <c r="BL119" s="69" t="n">
        <v>0.28</v>
      </c>
      <c r="BM119" s="69" t="n">
        <v>-0.07</v>
      </c>
      <c r="BN119" s="69" t="n">
        <v>-0.01</v>
      </c>
      <c r="BO119" s="69" t="n">
        <v>0.08</v>
      </c>
      <c r="BP119" s="69" t="n">
        <v>0.03</v>
      </c>
      <c r="BQ119" s="69" t="n">
        <v>0.32</v>
      </c>
      <c r="BR119" s="69" t="n">
        <v>0.04</v>
      </c>
      <c r="BS119" s="69" t="n">
        <v>-0.2</v>
      </c>
      <c r="BT119" s="69" t="n">
        <v>0.17</v>
      </c>
      <c r="BU119" s="69" t="n">
        <v>0.27</v>
      </c>
      <c r="BV119" s="69" t="n">
        <v>0.07</v>
      </c>
      <c r="BW119" s="69" t="n">
        <v>0.06</v>
      </c>
      <c r="BX119" s="69" t="n">
        <v>0.05</v>
      </c>
      <c r="BY119" s="69" t="n">
        <v>0.09</v>
      </c>
      <c r="BZ119" s="69" t="n">
        <v>0.11</v>
      </c>
      <c r="CA119" s="69" t="n">
        <v>0.3</v>
      </c>
      <c r="CB119" s="69" t="n">
        <v>-0.13</v>
      </c>
      <c r="CC119" s="69" t="n">
        <v>0.03</v>
      </c>
      <c r="CD119" s="69" t="n">
        <v>-0.01</v>
      </c>
      <c r="CE119" s="69" t="n">
        <v>0.06</v>
      </c>
      <c r="CF119" s="69" t="n">
        <v>-0.24</v>
      </c>
      <c r="CG119" s="69" t="n">
        <v>0.07</v>
      </c>
      <c r="CH119" s="69" t="n">
        <v>0.59</v>
      </c>
      <c r="CI119" s="69" t="n">
        <v>-0.18</v>
      </c>
      <c r="CJ119" s="69" t="n">
        <v>0.01</v>
      </c>
      <c r="CK119" s="69" t="n">
        <v>-0.06</v>
      </c>
      <c r="CL119" s="69" t="n">
        <v>0.14</v>
      </c>
      <c r="CM119" s="69" t="n">
        <v>0.18</v>
      </c>
      <c r="CN119" s="69" t="n">
        <v>0.23</v>
      </c>
      <c r="CO119" s="69" t="n">
        <v>0.02</v>
      </c>
      <c r="CP119" s="69" t="n">
        <v>-0.07</v>
      </c>
      <c r="CQ119" s="69" t="n">
        <v>0.06</v>
      </c>
      <c r="CR119" s="69" t="n">
        <v>0.19</v>
      </c>
      <c r="CS119" s="69" t="n">
        <v>0.22</v>
      </c>
      <c r="CT119" s="69" t="n">
        <v>0.16</v>
      </c>
      <c r="CU119" s="69" t="n">
        <v>0.24</v>
      </c>
      <c r="CV119" s="69" t="n">
        <v>0.09</v>
      </c>
      <c r="CW119" s="69" t="n">
        <v>0.09</v>
      </c>
      <c r="CX119" s="69" t="n">
        <v>0.15</v>
      </c>
      <c r="CY119" s="69" t="n">
        <v>0.09</v>
      </c>
      <c r="CZ119" s="69" t="n">
        <v>0.05</v>
      </c>
      <c r="DA119" s="69" t="n">
        <v>0.02</v>
      </c>
      <c r="DB119" s="69" t="n">
        <v>0.23</v>
      </c>
      <c r="DC119" s="69" t="n">
        <v>0.31</v>
      </c>
      <c r="DD119" s="69" t="n">
        <v>0.15</v>
      </c>
      <c r="DE119" s="69" t="n">
        <v>0.49</v>
      </c>
      <c r="DF119" s="69" t="n">
        <v>-0.05</v>
      </c>
      <c r="DG119" s="69" t="n">
        <v>0.56</v>
      </c>
      <c r="DH119" s="69" t="n">
        <v>0.17</v>
      </c>
      <c r="DI119" s="69" t="n">
        <v>0.09</v>
      </c>
      <c r="DJ119" s="69" t="n">
        <v>0.11</v>
      </c>
      <c r="DK119" s="69" t="n">
        <v>0.13</v>
      </c>
      <c r="DL119" s="69" t="n">
        <v>1</v>
      </c>
      <c r="DM119" s="69" t="n">
        <v>0.19</v>
      </c>
      <c r="DN119" s="69" t="n">
        <v>-0.01</v>
      </c>
      <c r="DO119" s="69" t="n">
        <v>0.14</v>
      </c>
      <c r="DP119" s="69" t="n">
        <v>0.13</v>
      </c>
      <c r="DQ119" s="69" t="n">
        <v>0.12</v>
      </c>
      <c r="DR119" s="69" t="n">
        <v>0.33</v>
      </c>
      <c r="DS119" s="69" t="n">
        <v>-0.16</v>
      </c>
      <c r="DT119" s="69" t="n">
        <v>0.13</v>
      </c>
      <c r="DU119" s="69" t="n">
        <v>0.15</v>
      </c>
      <c r="DV119" s="69" t="n">
        <v>0.04</v>
      </c>
      <c r="DW119" s="69" t="n">
        <v>0.06</v>
      </c>
      <c r="DX119" s="69" t="n">
        <v>0.25</v>
      </c>
      <c r="DY119" s="69" t="n">
        <v>0.05</v>
      </c>
      <c r="DZ119" s="69" t="n">
        <v>0.04</v>
      </c>
      <c r="EA119" s="69" t="n">
        <v>0.21</v>
      </c>
      <c r="EB119" s="69" t="n">
        <v>0.02</v>
      </c>
      <c r="EC119" s="69" t="n">
        <v>0.32</v>
      </c>
      <c r="ED119" s="69" t="n">
        <v>0.21</v>
      </c>
      <c r="EE119" s="69" t="n">
        <v>0.22</v>
      </c>
      <c r="EF119" s="69" t="n">
        <v>0.21</v>
      </c>
      <c r="EG119" s="69" t="n">
        <v>0.18</v>
      </c>
      <c r="EH119" s="69" t="n">
        <v>-0.1</v>
      </c>
      <c r="EI119" s="69" t="n">
        <v>0.27</v>
      </c>
      <c r="EJ119" s="69" t="n">
        <v>0.05</v>
      </c>
      <c r="EK119" s="69" t="n">
        <v>0.26</v>
      </c>
      <c r="EL119" s="69" t="n">
        <v>0.36</v>
      </c>
      <c r="EM119" s="69" t="n">
        <v>0</v>
      </c>
      <c r="EN119" s="69" t="n">
        <v>0.09</v>
      </c>
      <c r="EO119" s="69" t="n">
        <v>0.01</v>
      </c>
    </row>
    <row r="120" customFormat="false" ht="15" hidden="false" customHeight="false" outlineLevel="0" collapsed="false">
      <c r="A120" s="68" t="s">
        <v>349</v>
      </c>
      <c r="B120" s="69" t="n">
        <v>0.27</v>
      </c>
      <c r="C120" s="69" t="n">
        <v>-0.01</v>
      </c>
      <c r="D120" s="69" t="n">
        <v>0.02</v>
      </c>
      <c r="E120" s="69" t="n">
        <v>0.12</v>
      </c>
      <c r="F120" s="69" t="n">
        <v>0.16</v>
      </c>
      <c r="G120" s="69" t="n">
        <v>0.04</v>
      </c>
      <c r="H120" s="69" t="n">
        <v>0.14</v>
      </c>
      <c r="I120" s="69" t="n">
        <v>0.28</v>
      </c>
      <c r="J120" s="69" t="n">
        <v>0.12</v>
      </c>
      <c r="K120" s="69" t="n">
        <v>0.33</v>
      </c>
      <c r="L120" s="69" t="n">
        <v>0.15</v>
      </c>
      <c r="M120" s="69" t="n">
        <v>0.45</v>
      </c>
      <c r="N120" s="69" t="n">
        <v>0.35</v>
      </c>
      <c r="O120" s="69" t="n">
        <v>0.17</v>
      </c>
      <c r="P120" s="69" t="n">
        <v>0.1</v>
      </c>
      <c r="Q120" s="69" t="n">
        <v>-0.01</v>
      </c>
      <c r="R120" s="69" t="n">
        <v>0.19</v>
      </c>
      <c r="S120" s="69" t="n">
        <v>0.09</v>
      </c>
      <c r="T120" s="69" t="n">
        <v>0.45</v>
      </c>
      <c r="U120" s="69" t="n">
        <v>0.16</v>
      </c>
      <c r="V120" s="69" t="n">
        <v>0.19</v>
      </c>
      <c r="W120" s="69" t="n">
        <v>0.08</v>
      </c>
      <c r="X120" s="69" t="n">
        <v>0.47</v>
      </c>
      <c r="Y120" s="69" t="n">
        <v>0.35</v>
      </c>
      <c r="Z120" s="69" t="n">
        <v>0.19</v>
      </c>
      <c r="AA120" s="69" t="n">
        <v>0.24</v>
      </c>
      <c r="AB120" s="69" t="n">
        <v>0.35</v>
      </c>
      <c r="AC120" s="69" t="n">
        <v>0.11</v>
      </c>
      <c r="AD120" s="69" t="n">
        <v>0.13</v>
      </c>
      <c r="AE120" s="69" t="n">
        <v>0.3</v>
      </c>
      <c r="AF120" s="69" t="n">
        <v>0.09</v>
      </c>
      <c r="AG120" s="69" t="n">
        <v>0.02</v>
      </c>
      <c r="AH120" s="69" t="n">
        <v>0.02</v>
      </c>
      <c r="AI120" s="69" t="n">
        <v>-0.26</v>
      </c>
      <c r="AJ120" s="69" t="n">
        <v>0.12</v>
      </c>
      <c r="AK120" s="69" t="n">
        <v>0.26</v>
      </c>
      <c r="AL120" s="69" t="n">
        <v>0.31</v>
      </c>
      <c r="AM120" s="69" t="n">
        <v>0.23</v>
      </c>
      <c r="AN120" s="69" t="n">
        <v>0.5</v>
      </c>
      <c r="AO120" s="69" t="n">
        <v>0.15</v>
      </c>
      <c r="AP120" s="69" t="n">
        <v>0.41</v>
      </c>
      <c r="AQ120" s="69" t="n">
        <v>-0.28</v>
      </c>
      <c r="AR120" s="69" t="n">
        <v>0.38</v>
      </c>
      <c r="AS120" s="69" t="n">
        <v>0.13</v>
      </c>
      <c r="AT120" s="69" t="n">
        <v>0.47</v>
      </c>
      <c r="AU120" s="69" t="n">
        <v>0.15</v>
      </c>
      <c r="AV120" s="69" t="n">
        <v>0.09</v>
      </c>
      <c r="AW120" s="69" t="n">
        <v>0.11</v>
      </c>
      <c r="AX120" s="69" t="n">
        <v>0.28</v>
      </c>
      <c r="AY120" s="69" t="n">
        <v>0.36</v>
      </c>
      <c r="AZ120" s="69" t="n">
        <v>0.26</v>
      </c>
      <c r="BA120" s="69" t="n">
        <v>0.43</v>
      </c>
      <c r="BB120" s="69" t="n">
        <v>0.5</v>
      </c>
      <c r="BC120" s="69" t="n">
        <v>0.1</v>
      </c>
      <c r="BD120" s="69" t="n">
        <v>0.2</v>
      </c>
      <c r="BE120" s="69" t="n">
        <v>0.22</v>
      </c>
      <c r="BF120" s="69" t="n">
        <v>0.19</v>
      </c>
      <c r="BG120" s="69" t="n">
        <v>0.3</v>
      </c>
      <c r="BH120" s="69" t="n">
        <v>0.12</v>
      </c>
      <c r="BI120" s="69" t="n">
        <v>0.09</v>
      </c>
      <c r="BJ120" s="69" t="n">
        <v>-0.07</v>
      </c>
      <c r="BK120" s="69" t="n">
        <v>0.2</v>
      </c>
      <c r="BL120" s="69" t="n">
        <v>0.37</v>
      </c>
      <c r="BM120" s="69" t="n">
        <v>0.3</v>
      </c>
      <c r="BN120" s="69" t="n">
        <v>0.1</v>
      </c>
      <c r="BO120" s="69" t="n">
        <v>0.35</v>
      </c>
      <c r="BP120" s="69" t="n">
        <v>0.1</v>
      </c>
      <c r="BQ120" s="69" t="n">
        <v>0.32</v>
      </c>
      <c r="BR120" s="69" t="n">
        <v>0.43</v>
      </c>
      <c r="BS120" s="69" t="n">
        <v>-0.24</v>
      </c>
      <c r="BT120" s="69" t="n">
        <v>0.53</v>
      </c>
      <c r="BU120" s="69" t="n">
        <v>0.21</v>
      </c>
      <c r="BV120" s="69" t="n">
        <v>0.32</v>
      </c>
      <c r="BW120" s="69" t="n">
        <v>0.2</v>
      </c>
      <c r="BX120" s="69" t="n">
        <v>0.23</v>
      </c>
      <c r="BY120" s="69" t="n">
        <v>0.48</v>
      </c>
      <c r="BZ120" s="69" t="n">
        <v>0.41</v>
      </c>
      <c r="CA120" s="69" t="n">
        <v>0.12</v>
      </c>
      <c r="CB120" s="69" t="n">
        <v>-0.17</v>
      </c>
      <c r="CC120" s="69" t="n">
        <v>0.1</v>
      </c>
      <c r="CD120" s="69" t="n">
        <v>0.34</v>
      </c>
      <c r="CE120" s="69" t="n">
        <v>0.2</v>
      </c>
      <c r="CF120" s="69" t="n">
        <v>-0.25</v>
      </c>
      <c r="CG120" s="69" t="n">
        <v>0.45</v>
      </c>
      <c r="CH120" s="69" t="n">
        <v>0.31</v>
      </c>
      <c r="CI120" s="69" t="n">
        <v>-0.29</v>
      </c>
      <c r="CJ120" s="69" t="n">
        <v>0.09</v>
      </c>
      <c r="CK120" s="69" t="n">
        <v>0.29</v>
      </c>
      <c r="CL120" s="69" t="n">
        <v>0.4</v>
      </c>
      <c r="CM120" s="69" t="n">
        <v>0.26</v>
      </c>
      <c r="CN120" s="69" t="n">
        <v>0.13</v>
      </c>
      <c r="CO120" s="69" t="n">
        <v>0.09</v>
      </c>
      <c r="CP120" s="69" t="n">
        <v>0.12</v>
      </c>
      <c r="CQ120" s="69" t="n">
        <v>0.7</v>
      </c>
      <c r="CR120" s="69" t="n">
        <v>0.41</v>
      </c>
      <c r="CS120" s="69" t="n">
        <v>0.42</v>
      </c>
      <c r="CT120" s="69" t="n">
        <v>0.34</v>
      </c>
      <c r="CU120" s="69" t="n">
        <v>0.16</v>
      </c>
      <c r="CV120" s="69" t="n">
        <v>0.32</v>
      </c>
      <c r="CW120" s="69" t="n">
        <v>0.31</v>
      </c>
      <c r="CX120" s="69" t="n">
        <v>0.4</v>
      </c>
      <c r="CY120" s="69" t="n">
        <v>0.69</v>
      </c>
      <c r="CZ120" s="69" t="n">
        <v>0.17</v>
      </c>
      <c r="DA120" s="69" t="n">
        <v>0.23</v>
      </c>
      <c r="DB120" s="69" t="n">
        <v>0.27</v>
      </c>
      <c r="DC120" s="69" t="n">
        <v>0.49</v>
      </c>
      <c r="DD120" s="69" t="n">
        <v>0.39</v>
      </c>
      <c r="DE120" s="69" t="n">
        <v>0.39</v>
      </c>
      <c r="DF120" s="69" t="n">
        <v>0.08</v>
      </c>
      <c r="DG120" s="69" t="n">
        <v>0.31</v>
      </c>
      <c r="DH120" s="69" t="n">
        <v>0.22</v>
      </c>
      <c r="DI120" s="69" t="n">
        <v>0.64</v>
      </c>
      <c r="DJ120" s="69" t="n">
        <v>0.8</v>
      </c>
      <c r="DK120" s="69" t="n">
        <v>0.69</v>
      </c>
      <c r="DL120" s="69" t="n">
        <v>0.19</v>
      </c>
      <c r="DM120" s="69" t="n">
        <v>1</v>
      </c>
      <c r="DN120" s="69" t="n">
        <v>0.28</v>
      </c>
      <c r="DO120" s="69" t="n">
        <v>0.3</v>
      </c>
      <c r="DP120" s="69" t="n">
        <v>0.83</v>
      </c>
      <c r="DQ120" s="69" t="n">
        <v>0.26</v>
      </c>
      <c r="DR120" s="69" t="n">
        <v>0.17</v>
      </c>
      <c r="DS120" s="69" t="n">
        <v>0.19</v>
      </c>
      <c r="DT120" s="69" t="n">
        <v>0.18</v>
      </c>
      <c r="DU120" s="69" t="n">
        <v>0.34</v>
      </c>
      <c r="DV120" s="69" t="n">
        <v>0.16</v>
      </c>
      <c r="DW120" s="69" t="n">
        <v>0.35</v>
      </c>
      <c r="DX120" s="69" t="n">
        <v>0.33</v>
      </c>
      <c r="DY120" s="69" t="n">
        <v>0.4</v>
      </c>
      <c r="DZ120" s="69" t="n">
        <v>0.1</v>
      </c>
      <c r="EA120" s="69" t="n">
        <v>0.25</v>
      </c>
      <c r="EB120" s="69" t="n">
        <v>0.4</v>
      </c>
      <c r="EC120" s="69" t="n">
        <v>0.06</v>
      </c>
      <c r="ED120" s="69" t="n">
        <v>0.28</v>
      </c>
      <c r="EE120" s="69" t="n">
        <v>0.28</v>
      </c>
      <c r="EF120" s="69" t="n">
        <v>0.27</v>
      </c>
      <c r="EG120" s="69" t="n">
        <v>0.23</v>
      </c>
      <c r="EH120" s="69" t="n">
        <v>0.15</v>
      </c>
      <c r="EI120" s="69" t="n">
        <v>0.22</v>
      </c>
      <c r="EJ120" s="69" t="n">
        <v>0.31</v>
      </c>
      <c r="EK120" s="69" t="n">
        <v>0.2</v>
      </c>
      <c r="EL120" s="69" t="n">
        <v>0.28</v>
      </c>
      <c r="EM120" s="69" t="n">
        <v>0.14</v>
      </c>
      <c r="EN120" s="69" t="n">
        <v>0.08</v>
      </c>
      <c r="EO120" s="69" t="n">
        <v>0.16</v>
      </c>
    </row>
    <row r="121" customFormat="false" ht="15" hidden="false" customHeight="false" outlineLevel="0" collapsed="false">
      <c r="A121" s="68" t="s">
        <v>351</v>
      </c>
      <c r="B121" s="69" t="n">
        <v>0.2</v>
      </c>
      <c r="C121" s="69" t="n">
        <v>0.1</v>
      </c>
      <c r="D121" s="69" t="n">
        <v>-0.06</v>
      </c>
      <c r="E121" s="69" t="n">
        <v>-0.02</v>
      </c>
      <c r="F121" s="69" t="n">
        <v>0.17</v>
      </c>
      <c r="G121" s="69" t="n">
        <v>0.02</v>
      </c>
      <c r="H121" s="69" t="n">
        <v>0.09</v>
      </c>
      <c r="I121" s="69" t="n">
        <v>0.27</v>
      </c>
      <c r="J121" s="69" t="n">
        <v>0.08</v>
      </c>
      <c r="K121" s="69" t="n">
        <v>0.19</v>
      </c>
      <c r="L121" s="69" t="n">
        <v>0.21</v>
      </c>
      <c r="M121" s="69" t="n">
        <v>0.33</v>
      </c>
      <c r="N121" s="69" t="n">
        <v>0.19</v>
      </c>
      <c r="O121" s="69" t="n">
        <v>0.05</v>
      </c>
      <c r="P121" s="69" t="n">
        <v>0.17</v>
      </c>
      <c r="Q121" s="69" t="n">
        <v>-0.11</v>
      </c>
      <c r="R121" s="69" t="n">
        <v>0.17</v>
      </c>
      <c r="S121" s="69" t="n">
        <v>0</v>
      </c>
      <c r="T121" s="69" t="n">
        <v>0.22</v>
      </c>
      <c r="U121" s="69" t="n">
        <v>0.06</v>
      </c>
      <c r="V121" s="69" t="n">
        <v>0.15</v>
      </c>
      <c r="W121" s="69" t="n">
        <v>0.04</v>
      </c>
      <c r="X121" s="69" t="n">
        <v>0.25</v>
      </c>
      <c r="Y121" s="69" t="n">
        <v>0.31</v>
      </c>
      <c r="Z121" s="69" t="n">
        <v>0.08</v>
      </c>
      <c r="AA121" s="69" t="n">
        <v>0.09</v>
      </c>
      <c r="AB121" s="69" t="n">
        <v>0.32</v>
      </c>
      <c r="AC121" s="69" t="n">
        <v>-0.01</v>
      </c>
      <c r="AD121" s="69" t="n">
        <v>-0.1</v>
      </c>
      <c r="AE121" s="69" t="n">
        <v>-0.06</v>
      </c>
      <c r="AF121" s="69" t="n">
        <v>-0.01</v>
      </c>
      <c r="AG121" s="69" t="n">
        <v>0.06</v>
      </c>
      <c r="AH121" s="69" t="n">
        <v>0.03</v>
      </c>
      <c r="AI121" s="69" t="n">
        <v>-0.02</v>
      </c>
      <c r="AJ121" s="69" t="n">
        <v>0.03</v>
      </c>
      <c r="AK121" s="69" t="n">
        <v>0.03</v>
      </c>
      <c r="AL121" s="69" t="n">
        <v>0.24</v>
      </c>
      <c r="AM121" s="69" t="n">
        <v>0.09</v>
      </c>
      <c r="AN121" s="69" t="n">
        <v>0.31</v>
      </c>
      <c r="AO121" s="69" t="n">
        <v>0.12</v>
      </c>
      <c r="AP121" s="69" t="n">
        <v>0.36</v>
      </c>
      <c r="AQ121" s="69" t="n">
        <v>-0.05</v>
      </c>
      <c r="AR121" s="69" t="n">
        <v>0.21</v>
      </c>
      <c r="AS121" s="69" t="n">
        <v>0.08</v>
      </c>
      <c r="AT121" s="69" t="n">
        <v>0.34</v>
      </c>
      <c r="AU121" s="69" t="n">
        <v>0.14</v>
      </c>
      <c r="AV121" s="69" t="n">
        <v>0.02</v>
      </c>
      <c r="AW121" s="69" t="n">
        <v>0.07</v>
      </c>
      <c r="AX121" s="69" t="n">
        <v>0.17</v>
      </c>
      <c r="AY121" s="69" t="n">
        <v>0.35</v>
      </c>
      <c r="AZ121" s="69" t="n">
        <v>0.08</v>
      </c>
      <c r="BA121" s="69" t="n">
        <v>0.24</v>
      </c>
      <c r="BB121" s="69" t="n">
        <v>0.26</v>
      </c>
      <c r="BC121" s="69" t="n">
        <v>0.06</v>
      </c>
      <c r="BD121" s="69" t="n">
        <v>0.04</v>
      </c>
      <c r="BE121" s="69" t="n">
        <v>0.13</v>
      </c>
      <c r="BF121" s="69" t="n">
        <v>0.04</v>
      </c>
      <c r="BG121" s="69" t="n">
        <v>0.27</v>
      </c>
      <c r="BH121" s="69" t="n">
        <v>0.08</v>
      </c>
      <c r="BI121" s="69" t="n">
        <v>0.19</v>
      </c>
      <c r="BJ121" s="69" t="n">
        <v>-0.11</v>
      </c>
      <c r="BK121" s="69" t="n">
        <v>-0.08</v>
      </c>
      <c r="BL121" s="69" t="n">
        <v>0.22</v>
      </c>
      <c r="BM121" s="69" t="n">
        <v>0.33</v>
      </c>
      <c r="BN121" s="69" t="n">
        <v>0.18</v>
      </c>
      <c r="BO121" s="69" t="n">
        <v>0.21</v>
      </c>
      <c r="BP121" s="69" t="n">
        <v>0.23</v>
      </c>
      <c r="BQ121" s="69" t="n">
        <v>0.06</v>
      </c>
      <c r="BR121" s="69" t="n">
        <v>0.29</v>
      </c>
      <c r="BS121" s="69" t="n">
        <v>-0.03</v>
      </c>
      <c r="BT121" s="69" t="n">
        <v>0.17</v>
      </c>
      <c r="BU121" s="69" t="n">
        <v>0.05</v>
      </c>
      <c r="BV121" s="69" t="n">
        <v>0.22</v>
      </c>
      <c r="BW121" s="69" t="n">
        <v>0.21</v>
      </c>
      <c r="BX121" s="69" t="n">
        <v>0.02</v>
      </c>
      <c r="BY121" s="69" t="n">
        <v>0.2</v>
      </c>
      <c r="BZ121" s="69" t="n">
        <v>0.29</v>
      </c>
      <c r="CA121" s="69" t="n">
        <v>0.07</v>
      </c>
      <c r="CB121" s="69" t="n">
        <v>0.05</v>
      </c>
      <c r="CC121" s="69" t="n">
        <v>0.18</v>
      </c>
      <c r="CD121" s="69" t="n">
        <v>0.34</v>
      </c>
      <c r="CE121" s="69" t="n">
        <v>0.13</v>
      </c>
      <c r="CF121" s="69" t="n">
        <v>-0.01</v>
      </c>
      <c r="CG121" s="69" t="n">
        <v>0.41</v>
      </c>
      <c r="CH121" s="69" t="n">
        <v>0.06</v>
      </c>
      <c r="CI121" s="69" t="n">
        <v>0.05</v>
      </c>
      <c r="CJ121" s="69" t="n">
        <v>0.16</v>
      </c>
      <c r="CK121" s="69" t="n">
        <v>0.26</v>
      </c>
      <c r="CL121" s="69" t="n">
        <v>0.2</v>
      </c>
      <c r="CM121" s="69" t="n">
        <v>0.17</v>
      </c>
      <c r="CN121" s="69" t="n">
        <v>-0.01</v>
      </c>
      <c r="CO121" s="69" t="n">
        <v>0.1</v>
      </c>
      <c r="CP121" s="69" t="n">
        <v>0.2</v>
      </c>
      <c r="CQ121" s="69" t="n">
        <v>0.29</v>
      </c>
      <c r="CR121" s="69" t="n">
        <v>0.13</v>
      </c>
      <c r="CS121" s="69" t="n">
        <v>-0.02</v>
      </c>
      <c r="CT121" s="69" t="n">
        <v>0.26</v>
      </c>
      <c r="CU121" s="69" t="n">
        <v>0.08</v>
      </c>
      <c r="CV121" s="69" t="n">
        <v>0.17</v>
      </c>
      <c r="CW121" s="69" t="n">
        <v>0.25</v>
      </c>
      <c r="CX121" s="69" t="n">
        <v>0.15</v>
      </c>
      <c r="CY121" s="69" t="n">
        <v>0.22</v>
      </c>
      <c r="CZ121" s="69" t="n">
        <v>0.25</v>
      </c>
      <c r="DA121" s="69" t="n">
        <v>0.36</v>
      </c>
      <c r="DB121" s="69" t="n">
        <v>0.1</v>
      </c>
      <c r="DC121" s="69" t="n">
        <v>0.14</v>
      </c>
      <c r="DD121" s="69" t="n">
        <v>0.36</v>
      </c>
      <c r="DE121" s="69" t="n">
        <v>0.09</v>
      </c>
      <c r="DF121" s="69" t="n">
        <v>0.32</v>
      </c>
      <c r="DG121" s="69" t="n">
        <v>0.1</v>
      </c>
      <c r="DH121" s="69" t="n">
        <v>0.15</v>
      </c>
      <c r="DI121" s="69" t="n">
        <v>0.27</v>
      </c>
      <c r="DJ121" s="69" t="n">
        <v>0.29</v>
      </c>
      <c r="DK121" s="69" t="n">
        <v>0.31</v>
      </c>
      <c r="DL121" s="69" t="n">
        <v>-0.01</v>
      </c>
      <c r="DM121" s="69" t="n">
        <v>0.28</v>
      </c>
      <c r="DN121" s="69" t="n">
        <v>1</v>
      </c>
      <c r="DO121" s="69" t="n">
        <v>0.13</v>
      </c>
      <c r="DP121" s="69" t="n">
        <v>0.32</v>
      </c>
      <c r="DQ121" s="69" t="n">
        <v>0.1</v>
      </c>
      <c r="DR121" s="69" t="n">
        <v>0.09</v>
      </c>
      <c r="DS121" s="69" t="n">
        <v>0.3</v>
      </c>
      <c r="DT121" s="69" t="n">
        <v>0.2</v>
      </c>
      <c r="DU121" s="69" t="n">
        <v>0.25</v>
      </c>
      <c r="DV121" s="69" t="n">
        <v>0.28</v>
      </c>
      <c r="DW121" s="69" t="n">
        <v>0.34</v>
      </c>
      <c r="DX121" s="69" t="n">
        <v>0.06</v>
      </c>
      <c r="DY121" s="69" t="n">
        <v>0.39</v>
      </c>
      <c r="DZ121" s="69" t="n">
        <v>0.23</v>
      </c>
      <c r="EA121" s="69" t="n">
        <v>0.19</v>
      </c>
      <c r="EB121" s="69" t="n">
        <v>0.36</v>
      </c>
      <c r="EC121" s="69" t="n">
        <v>-0.06</v>
      </c>
      <c r="ED121" s="69" t="n">
        <v>0.21</v>
      </c>
      <c r="EE121" s="69" t="n">
        <v>0.11</v>
      </c>
      <c r="EF121" s="69" t="n">
        <v>0.18</v>
      </c>
      <c r="EG121" s="69" t="n">
        <v>0.12</v>
      </c>
      <c r="EH121" s="69" t="n">
        <v>0.25</v>
      </c>
      <c r="EI121" s="69" t="n">
        <v>0.08</v>
      </c>
      <c r="EJ121" s="69" t="n">
        <v>0.13</v>
      </c>
      <c r="EK121" s="69" t="n">
        <v>0.18</v>
      </c>
      <c r="EL121" s="69" t="n">
        <v>0.08</v>
      </c>
      <c r="EM121" s="69" t="n">
        <v>0.15</v>
      </c>
      <c r="EN121" s="69" t="n">
        <v>0.09</v>
      </c>
      <c r="EO121" s="69" t="n">
        <v>0.14</v>
      </c>
    </row>
    <row r="122" customFormat="false" ht="15" hidden="false" customHeight="false" outlineLevel="0" collapsed="false">
      <c r="A122" s="68" t="s">
        <v>352</v>
      </c>
      <c r="B122" s="69" t="n">
        <v>0.07</v>
      </c>
      <c r="C122" s="69" t="n">
        <v>0.15</v>
      </c>
      <c r="D122" s="69" t="n">
        <v>0.07</v>
      </c>
      <c r="E122" s="69" t="n">
        <v>0.14</v>
      </c>
      <c r="F122" s="69" t="n">
        <v>-0.11</v>
      </c>
      <c r="G122" s="69" t="n">
        <v>-0.03</v>
      </c>
      <c r="H122" s="69" t="n">
        <v>0.13</v>
      </c>
      <c r="I122" s="69" t="n">
        <v>0.04</v>
      </c>
      <c r="J122" s="69" t="n">
        <v>-0.07</v>
      </c>
      <c r="K122" s="69" t="n">
        <v>0.02</v>
      </c>
      <c r="L122" s="69" t="n">
        <v>0.15</v>
      </c>
      <c r="M122" s="69" t="n">
        <v>0.26</v>
      </c>
      <c r="N122" s="69" t="n">
        <v>0.2</v>
      </c>
      <c r="O122" s="69" t="n">
        <v>0.12</v>
      </c>
      <c r="P122" s="69" t="n">
        <v>-0.03</v>
      </c>
      <c r="Q122" s="69" t="n">
        <v>0.09</v>
      </c>
      <c r="R122" s="69" t="n">
        <v>0.03</v>
      </c>
      <c r="S122" s="69" t="n">
        <v>0.09</v>
      </c>
      <c r="T122" s="69" t="n">
        <v>0.24</v>
      </c>
      <c r="U122" s="69" t="n">
        <v>0.1</v>
      </c>
      <c r="V122" s="69" t="n">
        <v>0.07</v>
      </c>
      <c r="W122" s="69" t="n">
        <v>0.09</v>
      </c>
      <c r="X122" s="69" t="n">
        <v>0.26</v>
      </c>
      <c r="Y122" s="69" t="n">
        <v>0.06</v>
      </c>
      <c r="Z122" s="69" t="n">
        <v>-0.03</v>
      </c>
      <c r="AA122" s="69" t="n">
        <v>0.12</v>
      </c>
      <c r="AB122" s="69" t="n">
        <v>-0.02</v>
      </c>
      <c r="AC122" s="69" t="n">
        <v>0.14</v>
      </c>
      <c r="AD122" s="69" t="n">
        <v>0.11</v>
      </c>
      <c r="AE122" s="69" t="n">
        <v>0.14</v>
      </c>
      <c r="AF122" s="69" t="n">
        <v>0.16</v>
      </c>
      <c r="AG122" s="69" t="n">
        <v>-0.01</v>
      </c>
      <c r="AH122" s="69" t="n">
        <v>0.02</v>
      </c>
      <c r="AI122" s="69" t="n">
        <v>-0.02</v>
      </c>
      <c r="AJ122" s="69" t="n">
        <v>0.13</v>
      </c>
      <c r="AK122" s="69" t="n">
        <v>0.13</v>
      </c>
      <c r="AL122" s="69" t="n">
        <v>0.26</v>
      </c>
      <c r="AM122" s="69" t="n">
        <v>0.16</v>
      </c>
      <c r="AN122" s="69" t="n">
        <v>0.14</v>
      </c>
      <c r="AO122" s="69" t="n">
        <v>-0.01</v>
      </c>
      <c r="AP122" s="69" t="n">
        <v>0.16</v>
      </c>
      <c r="AQ122" s="69" t="n">
        <v>-0.06</v>
      </c>
      <c r="AR122" s="69" t="n">
        <v>0.2</v>
      </c>
      <c r="AS122" s="69" t="n">
        <v>0.09</v>
      </c>
      <c r="AT122" s="69" t="n">
        <v>0.27</v>
      </c>
      <c r="AU122" s="69" t="n">
        <v>-0.05</v>
      </c>
      <c r="AV122" s="69" t="n">
        <v>0.16</v>
      </c>
      <c r="AW122" s="69" t="n">
        <v>0.18</v>
      </c>
      <c r="AX122" s="69" t="n">
        <v>0.09</v>
      </c>
      <c r="AY122" s="69" t="n">
        <v>0.12</v>
      </c>
      <c r="AZ122" s="69" t="n">
        <v>0.23</v>
      </c>
      <c r="BA122" s="69" t="n">
        <v>0.27</v>
      </c>
      <c r="BB122" s="69" t="n">
        <v>0.33</v>
      </c>
      <c r="BC122" s="69" t="n">
        <v>0.07</v>
      </c>
      <c r="BD122" s="69" t="n">
        <v>0.1</v>
      </c>
      <c r="BE122" s="69" t="n">
        <v>0.05</v>
      </c>
      <c r="BF122" s="69" t="n">
        <v>0.16</v>
      </c>
      <c r="BG122" s="69" t="n">
        <v>0.14</v>
      </c>
      <c r="BH122" s="69" t="n">
        <v>0.08</v>
      </c>
      <c r="BI122" s="69" t="n">
        <v>0.12</v>
      </c>
      <c r="BJ122" s="69" t="n">
        <v>0.05</v>
      </c>
      <c r="BK122" s="69" t="n">
        <v>0.17</v>
      </c>
      <c r="BL122" s="69" t="n">
        <v>0.35</v>
      </c>
      <c r="BM122" s="69" t="n">
        <v>0.1</v>
      </c>
      <c r="BN122" s="69" t="n">
        <v>0.06</v>
      </c>
      <c r="BO122" s="69" t="n">
        <v>0.3</v>
      </c>
      <c r="BP122" s="69" t="n">
        <v>0.09</v>
      </c>
      <c r="BQ122" s="69" t="n">
        <v>0.2</v>
      </c>
      <c r="BR122" s="69" t="n">
        <v>0.19</v>
      </c>
      <c r="BS122" s="69" t="n">
        <v>0.03</v>
      </c>
      <c r="BT122" s="69" t="n">
        <v>0.26</v>
      </c>
      <c r="BU122" s="69" t="n">
        <v>0.01</v>
      </c>
      <c r="BV122" s="69" t="n">
        <v>0.24</v>
      </c>
      <c r="BW122" s="69" t="n">
        <v>0.12</v>
      </c>
      <c r="BX122" s="69" t="n">
        <v>0.12</v>
      </c>
      <c r="BY122" s="69" t="n">
        <v>0.23</v>
      </c>
      <c r="BZ122" s="69" t="n">
        <v>0.28</v>
      </c>
      <c r="CA122" s="69" t="n">
        <v>0.18</v>
      </c>
      <c r="CB122" s="69" t="n">
        <v>-0.04</v>
      </c>
      <c r="CC122" s="69" t="n">
        <v>0.07</v>
      </c>
      <c r="CD122" s="69" t="n">
        <v>0.1</v>
      </c>
      <c r="CE122" s="69" t="n">
        <v>0.29</v>
      </c>
      <c r="CF122" s="69" t="n">
        <v>-0.01</v>
      </c>
      <c r="CG122" s="69" t="n">
        <v>0.21</v>
      </c>
      <c r="CH122" s="69" t="n">
        <v>0.27</v>
      </c>
      <c r="CI122" s="69" t="n">
        <v>0</v>
      </c>
      <c r="CJ122" s="69" t="n">
        <v>0.01</v>
      </c>
      <c r="CK122" s="69" t="n">
        <v>0.17</v>
      </c>
      <c r="CL122" s="69" t="n">
        <v>0.28</v>
      </c>
      <c r="CM122" s="69" t="n">
        <v>0.22</v>
      </c>
      <c r="CN122" s="69" t="n">
        <v>0.02</v>
      </c>
      <c r="CO122" s="69" t="n">
        <v>0.14</v>
      </c>
      <c r="CP122" s="69" t="n">
        <v>0.14</v>
      </c>
      <c r="CQ122" s="69" t="n">
        <v>0.33</v>
      </c>
      <c r="CR122" s="69" t="n">
        <v>0.31</v>
      </c>
      <c r="CS122" s="69" t="n">
        <v>0.44</v>
      </c>
      <c r="CT122" s="69" t="n">
        <v>0.27</v>
      </c>
      <c r="CU122" s="69" t="n">
        <v>0.16</v>
      </c>
      <c r="CV122" s="69" t="n">
        <v>0.2</v>
      </c>
      <c r="CW122" s="69" t="n">
        <v>0.08</v>
      </c>
      <c r="CX122" s="69" t="n">
        <v>0.18</v>
      </c>
      <c r="CY122" s="69" t="n">
        <v>0.28</v>
      </c>
      <c r="CZ122" s="69" t="n">
        <v>0.19</v>
      </c>
      <c r="DA122" s="69" t="n">
        <v>0.14</v>
      </c>
      <c r="DB122" s="69" t="n">
        <v>0.45</v>
      </c>
      <c r="DC122" s="69" t="n">
        <v>0.28</v>
      </c>
      <c r="DD122" s="69" t="n">
        <v>0.25</v>
      </c>
      <c r="DE122" s="69" t="n">
        <v>0.34</v>
      </c>
      <c r="DF122" s="69" t="n">
        <v>0.08</v>
      </c>
      <c r="DG122" s="69" t="n">
        <v>0.35</v>
      </c>
      <c r="DH122" s="69" t="n">
        <v>0.35</v>
      </c>
      <c r="DI122" s="69" t="n">
        <v>0.33</v>
      </c>
      <c r="DJ122" s="69" t="n">
        <v>0.26</v>
      </c>
      <c r="DK122" s="69" t="n">
        <v>0.33</v>
      </c>
      <c r="DL122" s="69" t="n">
        <v>0.14</v>
      </c>
      <c r="DM122" s="69" t="n">
        <v>0.3</v>
      </c>
      <c r="DN122" s="69" t="n">
        <v>0.13</v>
      </c>
      <c r="DO122" s="69" t="n">
        <v>1</v>
      </c>
      <c r="DP122" s="69" t="n">
        <v>0.28</v>
      </c>
      <c r="DQ122" s="69" t="n">
        <v>0.46</v>
      </c>
      <c r="DR122" s="69" t="n">
        <v>0.3</v>
      </c>
      <c r="DS122" s="69" t="n">
        <v>0.09</v>
      </c>
      <c r="DT122" s="69" t="n">
        <v>0.25</v>
      </c>
      <c r="DU122" s="69" t="n">
        <v>0.27</v>
      </c>
      <c r="DV122" s="69" t="n">
        <v>0.2</v>
      </c>
      <c r="DW122" s="69" t="n">
        <v>0.11</v>
      </c>
      <c r="DX122" s="69" t="n">
        <v>0.38</v>
      </c>
      <c r="DY122" s="69" t="n">
        <v>0.25</v>
      </c>
      <c r="DZ122" s="69" t="n">
        <v>0.17</v>
      </c>
      <c r="EA122" s="69" t="n">
        <v>0.16</v>
      </c>
      <c r="EB122" s="69" t="n">
        <v>0.26</v>
      </c>
      <c r="EC122" s="69" t="n">
        <v>0.03</v>
      </c>
      <c r="ED122" s="69" t="n">
        <v>0.32</v>
      </c>
      <c r="EE122" s="69" t="n">
        <v>0.52</v>
      </c>
      <c r="EF122" s="69" t="n">
        <v>0.28</v>
      </c>
      <c r="EG122" s="69" t="n">
        <v>0.49</v>
      </c>
      <c r="EH122" s="69" t="n">
        <v>-0.01</v>
      </c>
      <c r="EI122" s="69" t="n">
        <v>0.39</v>
      </c>
      <c r="EJ122" s="69" t="n">
        <v>0.22</v>
      </c>
      <c r="EK122" s="69" t="n">
        <v>0.31</v>
      </c>
      <c r="EL122" s="69" t="n">
        <v>0.31</v>
      </c>
      <c r="EM122" s="69" t="n">
        <v>0.13</v>
      </c>
      <c r="EN122" s="69" t="n">
        <v>0.09</v>
      </c>
      <c r="EO122" s="69" t="n">
        <v>0.09</v>
      </c>
    </row>
    <row r="123" customFormat="false" ht="15" hidden="false" customHeight="false" outlineLevel="0" collapsed="false">
      <c r="A123" s="68" t="s">
        <v>353</v>
      </c>
      <c r="B123" s="69" t="n">
        <v>0.26</v>
      </c>
      <c r="C123" s="69" t="n">
        <v>-0.02</v>
      </c>
      <c r="D123" s="69" t="n">
        <v>0.02</v>
      </c>
      <c r="E123" s="69" t="n">
        <v>0.06</v>
      </c>
      <c r="F123" s="69" t="n">
        <v>0.14</v>
      </c>
      <c r="G123" s="69" t="n">
        <v>0.01</v>
      </c>
      <c r="H123" s="69" t="n">
        <v>0.11</v>
      </c>
      <c r="I123" s="69" t="n">
        <v>0.25</v>
      </c>
      <c r="J123" s="69" t="n">
        <v>0.15</v>
      </c>
      <c r="K123" s="69" t="n">
        <v>0.29</v>
      </c>
      <c r="L123" s="69" t="n">
        <v>0.1</v>
      </c>
      <c r="M123" s="69" t="n">
        <v>0.4</v>
      </c>
      <c r="N123" s="69" t="n">
        <v>0.3</v>
      </c>
      <c r="O123" s="69" t="n">
        <v>0.1</v>
      </c>
      <c r="P123" s="69" t="n">
        <v>0.04</v>
      </c>
      <c r="Q123" s="69" t="n">
        <v>-0.01</v>
      </c>
      <c r="R123" s="69" t="n">
        <v>0.12</v>
      </c>
      <c r="S123" s="69" t="n">
        <v>0.06</v>
      </c>
      <c r="T123" s="69" t="n">
        <v>0.38</v>
      </c>
      <c r="U123" s="69" t="n">
        <v>0.13</v>
      </c>
      <c r="V123" s="69" t="n">
        <v>0.09</v>
      </c>
      <c r="W123" s="69" t="n">
        <v>-0.03</v>
      </c>
      <c r="X123" s="69" t="n">
        <v>0.38</v>
      </c>
      <c r="Y123" s="69" t="n">
        <v>0.35</v>
      </c>
      <c r="Z123" s="69" t="n">
        <v>0.14</v>
      </c>
      <c r="AA123" s="69" t="n">
        <v>0.1</v>
      </c>
      <c r="AB123" s="69" t="n">
        <v>0.3</v>
      </c>
      <c r="AC123" s="69" t="n">
        <v>0.05</v>
      </c>
      <c r="AD123" s="69" t="n">
        <v>0.05</v>
      </c>
      <c r="AE123" s="69" t="n">
        <v>0.22</v>
      </c>
      <c r="AF123" s="69" t="n">
        <v>0.01</v>
      </c>
      <c r="AG123" s="69" t="n">
        <v>0.03</v>
      </c>
      <c r="AH123" s="69" t="n">
        <v>0.02</v>
      </c>
      <c r="AI123" s="69" t="n">
        <v>-0.25</v>
      </c>
      <c r="AJ123" s="69" t="n">
        <v>0.08</v>
      </c>
      <c r="AK123" s="69" t="n">
        <v>0.16</v>
      </c>
      <c r="AL123" s="69" t="n">
        <v>0.29</v>
      </c>
      <c r="AM123" s="69" t="n">
        <v>0.17</v>
      </c>
      <c r="AN123" s="69" t="n">
        <v>0.45</v>
      </c>
      <c r="AO123" s="69" t="n">
        <v>0.14</v>
      </c>
      <c r="AP123" s="69" t="n">
        <v>0.34</v>
      </c>
      <c r="AQ123" s="69" t="n">
        <v>-0.28</v>
      </c>
      <c r="AR123" s="69" t="n">
        <v>0.31</v>
      </c>
      <c r="AS123" s="69" t="n">
        <v>0.15</v>
      </c>
      <c r="AT123" s="69" t="n">
        <v>0.43</v>
      </c>
      <c r="AU123" s="69" t="n">
        <v>0.12</v>
      </c>
      <c r="AV123" s="69" t="n">
        <v>0.04</v>
      </c>
      <c r="AW123" s="69" t="n">
        <v>0.1</v>
      </c>
      <c r="AX123" s="69" t="n">
        <v>0.26</v>
      </c>
      <c r="AY123" s="69" t="n">
        <v>0.33</v>
      </c>
      <c r="AZ123" s="69" t="n">
        <v>0.2</v>
      </c>
      <c r="BA123" s="69" t="n">
        <v>0.38</v>
      </c>
      <c r="BB123" s="69" t="n">
        <v>0.42</v>
      </c>
      <c r="BC123" s="69" t="n">
        <v>0.07</v>
      </c>
      <c r="BD123" s="69" t="n">
        <v>0.15</v>
      </c>
      <c r="BE123" s="69" t="n">
        <v>0.21</v>
      </c>
      <c r="BF123" s="69" t="n">
        <v>0.18</v>
      </c>
      <c r="BG123" s="69" t="n">
        <v>0.28</v>
      </c>
      <c r="BH123" s="69" t="n">
        <v>0.14</v>
      </c>
      <c r="BI123" s="69" t="n">
        <v>0.09</v>
      </c>
      <c r="BJ123" s="69" t="n">
        <v>-0.06</v>
      </c>
      <c r="BK123" s="69" t="n">
        <v>0.13</v>
      </c>
      <c r="BL123" s="69" t="n">
        <v>0.34</v>
      </c>
      <c r="BM123" s="69" t="n">
        <v>0.28</v>
      </c>
      <c r="BN123" s="69" t="n">
        <v>0.1</v>
      </c>
      <c r="BO123" s="69" t="n">
        <v>0.34</v>
      </c>
      <c r="BP123" s="69" t="n">
        <v>0.01</v>
      </c>
      <c r="BQ123" s="69" t="n">
        <v>0.23</v>
      </c>
      <c r="BR123" s="69" t="n">
        <v>0.37</v>
      </c>
      <c r="BS123" s="69" t="n">
        <v>-0.2</v>
      </c>
      <c r="BT123" s="69" t="n">
        <v>0.51</v>
      </c>
      <c r="BU123" s="69" t="n">
        <v>0.11</v>
      </c>
      <c r="BV123" s="69" t="n">
        <v>0.3</v>
      </c>
      <c r="BW123" s="69" t="n">
        <v>0.16</v>
      </c>
      <c r="BX123" s="69" t="n">
        <v>0.22</v>
      </c>
      <c r="BY123" s="69" t="n">
        <v>0.43</v>
      </c>
      <c r="BZ123" s="69" t="n">
        <v>0.34</v>
      </c>
      <c r="CA123" s="69" t="n">
        <v>0.11</v>
      </c>
      <c r="CB123" s="69" t="n">
        <v>-0.09</v>
      </c>
      <c r="CC123" s="69" t="n">
        <v>0.11</v>
      </c>
      <c r="CD123" s="69" t="n">
        <v>0.36</v>
      </c>
      <c r="CE123" s="69" t="n">
        <v>0.16</v>
      </c>
      <c r="CF123" s="69" t="n">
        <v>-0.24</v>
      </c>
      <c r="CG123" s="69" t="n">
        <v>0.42</v>
      </c>
      <c r="CH123" s="69" t="n">
        <v>0.24</v>
      </c>
      <c r="CI123" s="69" t="n">
        <v>-0.23</v>
      </c>
      <c r="CJ123" s="69" t="n">
        <v>0.11</v>
      </c>
      <c r="CK123" s="69" t="n">
        <v>0.28</v>
      </c>
      <c r="CL123" s="69" t="n">
        <v>0.39</v>
      </c>
      <c r="CM123" s="69" t="n">
        <v>0.22</v>
      </c>
      <c r="CN123" s="69" t="n">
        <v>0.1</v>
      </c>
      <c r="CO123" s="69" t="n">
        <v>0.06</v>
      </c>
      <c r="CP123" s="69" t="n">
        <v>0.16</v>
      </c>
      <c r="CQ123" s="69" t="n">
        <v>0.65</v>
      </c>
      <c r="CR123" s="69" t="n">
        <v>0.32</v>
      </c>
      <c r="CS123" s="69" t="n">
        <v>0.33</v>
      </c>
      <c r="CT123" s="69" t="n">
        <v>0.26</v>
      </c>
      <c r="CU123" s="69" t="n">
        <v>0.15</v>
      </c>
      <c r="CV123" s="69" t="n">
        <v>0.35</v>
      </c>
      <c r="CW123" s="69" t="n">
        <v>0.25</v>
      </c>
      <c r="CX123" s="69" t="n">
        <v>0.3</v>
      </c>
      <c r="CY123" s="69" t="n">
        <v>0.65</v>
      </c>
      <c r="CZ123" s="69" t="n">
        <v>0.14</v>
      </c>
      <c r="DA123" s="69" t="n">
        <v>0.24</v>
      </c>
      <c r="DB123" s="69" t="n">
        <v>0.25</v>
      </c>
      <c r="DC123" s="69" t="n">
        <v>0.41</v>
      </c>
      <c r="DD123" s="69" t="n">
        <v>0.37</v>
      </c>
      <c r="DE123" s="69" t="n">
        <v>0.31</v>
      </c>
      <c r="DF123" s="69" t="n">
        <v>0.12</v>
      </c>
      <c r="DG123" s="69" t="n">
        <v>0.24</v>
      </c>
      <c r="DH123" s="69" t="n">
        <v>0.2</v>
      </c>
      <c r="DI123" s="69" t="n">
        <v>0.6</v>
      </c>
      <c r="DJ123" s="69" t="n">
        <v>0.76</v>
      </c>
      <c r="DK123" s="69" t="n">
        <v>0.64</v>
      </c>
      <c r="DL123" s="69" t="n">
        <v>0.13</v>
      </c>
      <c r="DM123" s="69" t="n">
        <v>0.83</v>
      </c>
      <c r="DN123" s="69" t="n">
        <v>0.32</v>
      </c>
      <c r="DO123" s="69" t="n">
        <v>0.28</v>
      </c>
      <c r="DP123" s="69" t="n">
        <v>1</v>
      </c>
      <c r="DQ123" s="69" t="n">
        <v>0.18</v>
      </c>
      <c r="DR123" s="69" t="n">
        <v>0.13</v>
      </c>
      <c r="DS123" s="69" t="n">
        <v>0.25</v>
      </c>
      <c r="DT123" s="69" t="n">
        <v>0.15</v>
      </c>
      <c r="DU123" s="69" t="n">
        <v>0.27</v>
      </c>
      <c r="DV123" s="69" t="n">
        <v>0.16</v>
      </c>
      <c r="DW123" s="69" t="n">
        <v>0.39</v>
      </c>
      <c r="DX123" s="69" t="n">
        <v>0.21</v>
      </c>
      <c r="DY123" s="69" t="n">
        <v>0.38</v>
      </c>
      <c r="DZ123" s="69" t="n">
        <v>0.1</v>
      </c>
      <c r="EA123" s="69" t="n">
        <v>0.24</v>
      </c>
      <c r="EB123" s="69" t="n">
        <v>0.4</v>
      </c>
      <c r="EC123" s="69" t="n">
        <v>0.02</v>
      </c>
      <c r="ED123" s="69" t="n">
        <v>0.18</v>
      </c>
      <c r="EE123" s="69" t="n">
        <v>0.21</v>
      </c>
      <c r="EF123" s="69" t="n">
        <v>0.23</v>
      </c>
      <c r="EG123" s="69" t="n">
        <v>0.18</v>
      </c>
      <c r="EH123" s="69" t="n">
        <v>0.18</v>
      </c>
      <c r="EI123" s="69" t="n">
        <v>0.17</v>
      </c>
      <c r="EJ123" s="69" t="n">
        <v>0.29</v>
      </c>
      <c r="EK123" s="69" t="n">
        <v>0.15</v>
      </c>
      <c r="EL123" s="69" t="n">
        <v>0.23</v>
      </c>
      <c r="EM123" s="69" t="n">
        <v>0.16</v>
      </c>
      <c r="EN123" s="69" t="n">
        <v>0.08</v>
      </c>
      <c r="EO123" s="69" t="n">
        <v>0.14</v>
      </c>
    </row>
    <row r="124" customFormat="false" ht="15" hidden="false" customHeight="false" outlineLevel="0" collapsed="false">
      <c r="A124" s="68" t="s">
        <v>354</v>
      </c>
      <c r="B124" s="69" t="n">
        <v>0.01</v>
      </c>
      <c r="C124" s="69" t="n">
        <v>0.02</v>
      </c>
      <c r="D124" s="69" t="n">
        <v>-0.01</v>
      </c>
      <c r="E124" s="69" t="n">
        <v>0.08</v>
      </c>
      <c r="F124" s="69" t="n">
        <v>-0.1</v>
      </c>
      <c r="G124" s="69" t="n">
        <v>-0.17</v>
      </c>
      <c r="H124" s="69" t="n">
        <v>0.13</v>
      </c>
      <c r="I124" s="69" t="n">
        <v>-0.03</v>
      </c>
      <c r="J124" s="69" t="n">
        <v>-0.02</v>
      </c>
      <c r="K124" s="69" t="n">
        <v>-0.01</v>
      </c>
      <c r="L124" s="69" t="n">
        <v>0.1</v>
      </c>
      <c r="M124" s="69" t="n">
        <v>0.26</v>
      </c>
      <c r="N124" s="69" t="n">
        <v>0.06</v>
      </c>
      <c r="O124" s="69" t="n">
        <v>0.08</v>
      </c>
      <c r="P124" s="69" t="n">
        <v>-0.04</v>
      </c>
      <c r="Q124" s="69" t="n">
        <v>0.05</v>
      </c>
      <c r="R124" s="69" t="n">
        <v>0.03</v>
      </c>
      <c r="S124" s="69" t="n">
        <v>0.08</v>
      </c>
      <c r="T124" s="69" t="n">
        <v>0.15</v>
      </c>
      <c r="U124" s="69" t="n">
        <v>0.11</v>
      </c>
      <c r="V124" s="69" t="n">
        <v>0.05</v>
      </c>
      <c r="W124" s="69" t="n">
        <v>0.03</v>
      </c>
      <c r="X124" s="69" t="n">
        <v>0.19</v>
      </c>
      <c r="Y124" s="69" t="n">
        <v>-0.09</v>
      </c>
      <c r="Z124" s="69" t="n">
        <v>0.04</v>
      </c>
      <c r="AA124" s="69" t="n">
        <v>0.06</v>
      </c>
      <c r="AB124" s="69" t="n">
        <v>-0.12</v>
      </c>
      <c r="AC124" s="69" t="n">
        <v>0.08</v>
      </c>
      <c r="AD124" s="69" t="n">
        <v>0.13</v>
      </c>
      <c r="AE124" s="69" t="n">
        <v>0.12</v>
      </c>
      <c r="AF124" s="69" t="n">
        <v>0.08</v>
      </c>
      <c r="AG124" s="69" t="n">
        <v>0.01</v>
      </c>
      <c r="AH124" s="69" t="n">
        <v>0.04</v>
      </c>
      <c r="AI124" s="69" t="n">
        <v>-0.03</v>
      </c>
      <c r="AJ124" s="69" t="n">
        <v>0.14</v>
      </c>
      <c r="AK124" s="69" t="n">
        <v>0.13</v>
      </c>
      <c r="AL124" s="69" t="n">
        <v>0.19</v>
      </c>
      <c r="AM124" s="69" t="n">
        <v>0.24</v>
      </c>
      <c r="AN124" s="69" t="n">
        <v>0.2</v>
      </c>
      <c r="AO124" s="69" t="n">
        <v>-0.14</v>
      </c>
      <c r="AP124" s="69" t="n">
        <v>0.06</v>
      </c>
      <c r="AQ124" s="69" t="n">
        <v>-0.07</v>
      </c>
      <c r="AR124" s="69" t="n">
        <v>0.15</v>
      </c>
      <c r="AS124" s="69" t="n">
        <v>0.07</v>
      </c>
      <c r="AT124" s="69" t="n">
        <v>0.18</v>
      </c>
      <c r="AU124" s="69" t="n">
        <v>-0.01</v>
      </c>
      <c r="AV124" s="69" t="n">
        <v>-0.01</v>
      </c>
      <c r="AW124" s="69" t="n">
        <v>0.14</v>
      </c>
      <c r="AX124" s="69" t="n">
        <v>-0.01</v>
      </c>
      <c r="AY124" s="69" t="n">
        <v>0.04</v>
      </c>
      <c r="AZ124" s="69" t="n">
        <v>0.17</v>
      </c>
      <c r="BA124" s="69" t="n">
        <v>0.27</v>
      </c>
      <c r="BB124" s="69" t="n">
        <v>0.25</v>
      </c>
      <c r="BC124" s="69" t="n">
        <v>0.1</v>
      </c>
      <c r="BD124" s="69" t="n">
        <v>0.11</v>
      </c>
      <c r="BE124" s="69" t="n">
        <v>0.09</v>
      </c>
      <c r="BF124" s="69" t="n">
        <v>0.11</v>
      </c>
      <c r="BG124" s="69" t="n">
        <v>0.08</v>
      </c>
      <c r="BH124" s="69" t="n">
        <v>0.02</v>
      </c>
      <c r="BI124" s="69" t="n">
        <v>0.14</v>
      </c>
      <c r="BJ124" s="69" t="n">
        <v>0</v>
      </c>
      <c r="BK124" s="69" t="n">
        <v>0.1</v>
      </c>
      <c r="BL124" s="69" t="n">
        <v>0.28</v>
      </c>
      <c r="BM124" s="69" t="n">
        <v>0.09</v>
      </c>
      <c r="BN124" s="69" t="n">
        <v>0.14</v>
      </c>
      <c r="BO124" s="69" t="n">
        <v>0.29</v>
      </c>
      <c r="BP124" s="69" t="n">
        <v>0.16</v>
      </c>
      <c r="BQ124" s="69" t="n">
        <v>0.26</v>
      </c>
      <c r="BR124" s="69" t="n">
        <v>0.24</v>
      </c>
      <c r="BS124" s="69" t="n">
        <v>0.05</v>
      </c>
      <c r="BT124" s="69" t="n">
        <v>0.29</v>
      </c>
      <c r="BU124" s="69" t="n">
        <v>0.2</v>
      </c>
      <c r="BV124" s="69" t="n">
        <v>0.34</v>
      </c>
      <c r="BW124" s="69" t="n">
        <v>0.23</v>
      </c>
      <c r="BX124" s="69" t="n">
        <v>0.08</v>
      </c>
      <c r="BY124" s="69" t="n">
        <v>0.23</v>
      </c>
      <c r="BZ124" s="69" t="n">
        <v>0.35</v>
      </c>
      <c r="CA124" s="69" t="n">
        <v>0.07</v>
      </c>
      <c r="CB124" s="69" t="n">
        <v>0.01</v>
      </c>
      <c r="CC124" s="69" t="n">
        <v>0.01</v>
      </c>
      <c r="CD124" s="69" t="n">
        <v>0.1</v>
      </c>
      <c r="CE124" s="69" t="n">
        <v>0.24</v>
      </c>
      <c r="CF124" s="69" t="n">
        <v>0.01</v>
      </c>
      <c r="CG124" s="69" t="n">
        <v>0.08</v>
      </c>
      <c r="CH124" s="69" t="n">
        <v>0.17</v>
      </c>
      <c r="CI124" s="69" t="n">
        <v>-0.01</v>
      </c>
      <c r="CJ124" s="69" t="n">
        <v>-0.01</v>
      </c>
      <c r="CK124" s="69" t="n">
        <v>0.11</v>
      </c>
      <c r="CL124" s="69" t="n">
        <v>0.28</v>
      </c>
      <c r="CM124" s="69" t="n">
        <v>0.24</v>
      </c>
      <c r="CN124" s="69" t="n">
        <v>0</v>
      </c>
      <c r="CO124" s="69" t="n">
        <v>0.14</v>
      </c>
      <c r="CP124" s="69" t="n">
        <v>0.01</v>
      </c>
      <c r="CQ124" s="69" t="n">
        <v>0.35</v>
      </c>
      <c r="CR124" s="69" t="n">
        <v>0.35</v>
      </c>
      <c r="CS124" s="69" t="n">
        <v>0.39</v>
      </c>
      <c r="CT124" s="69" t="n">
        <v>0.19</v>
      </c>
      <c r="CU124" s="69" t="n">
        <v>0.17</v>
      </c>
      <c r="CV124" s="69" t="n">
        <v>0.09</v>
      </c>
      <c r="CW124" s="69" t="n">
        <v>0.17</v>
      </c>
      <c r="CX124" s="69" t="n">
        <v>0.22</v>
      </c>
      <c r="CY124" s="69" t="n">
        <v>0.19</v>
      </c>
      <c r="CZ124" s="69" t="n">
        <v>0.16</v>
      </c>
      <c r="DA124" s="69" t="n">
        <v>0.09</v>
      </c>
      <c r="DB124" s="69" t="n">
        <v>0.37</v>
      </c>
      <c r="DC124" s="69" t="n">
        <v>0.27</v>
      </c>
      <c r="DD124" s="69" t="n">
        <v>0.18</v>
      </c>
      <c r="DE124" s="69" t="n">
        <v>0.34</v>
      </c>
      <c r="DF124" s="69" t="n">
        <v>-0.05</v>
      </c>
      <c r="DG124" s="69" t="n">
        <v>0.33</v>
      </c>
      <c r="DH124" s="69" t="n">
        <v>0.33</v>
      </c>
      <c r="DI124" s="69" t="n">
        <v>0.31</v>
      </c>
      <c r="DJ124" s="69" t="n">
        <v>0.15</v>
      </c>
      <c r="DK124" s="69" t="n">
        <v>0.37</v>
      </c>
      <c r="DL124" s="69" t="n">
        <v>0.12</v>
      </c>
      <c r="DM124" s="69" t="n">
        <v>0.26</v>
      </c>
      <c r="DN124" s="69" t="n">
        <v>0.1</v>
      </c>
      <c r="DO124" s="69" t="n">
        <v>0.46</v>
      </c>
      <c r="DP124" s="69" t="n">
        <v>0.18</v>
      </c>
      <c r="DQ124" s="69" t="n">
        <v>1</v>
      </c>
      <c r="DR124" s="69" t="n">
        <v>0.31</v>
      </c>
      <c r="DS124" s="69" t="n">
        <v>0.05</v>
      </c>
      <c r="DT124" s="69" t="n">
        <v>0.28</v>
      </c>
      <c r="DU124" s="69" t="n">
        <v>0.31</v>
      </c>
      <c r="DV124" s="69" t="n">
        <v>0.18</v>
      </c>
      <c r="DW124" s="69" t="n">
        <v>0.12</v>
      </c>
      <c r="DX124" s="69" t="n">
        <v>0.33</v>
      </c>
      <c r="DY124" s="69" t="n">
        <v>0.28</v>
      </c>
      <c r="DZ124" s="69" t="n">
        <v>0.18</v>
      </c>
      <c r="EA124" s="69" t="n">
        <v>0.07</v>
      </c>
      <c r="EB124" s="69" t="n">
        <v>0.26</v>
      </c>
      <c r="EC124" s="69" t="n">
        <v>0.07</v>
      </c>
      <c r="ED124" s="69" t="n">
        <v>0.24</v>
      </c>
      <c r="EE124" s="69" t="n">
        <v>0.38</v>
      </c>
      <c r="EF124" s="69" t="n">
        <v>0.26</v>
      </c>
      <c r="EG124" s="69" t="n">
        <v>0.25</v>
      </c>
      <c r="EH124" s="69" t="n">
        <v>0.09</v>
      </c>
      <c r="EI124" s="69" t="n">
        <v>0.36</v>
      </c>
      <c r="EJ124" s="69" t="n">
        <v>0.21</v>
      </c>
      <c r="EK124" s="69" t="n">
        <v>0.24</v>
      </c>
      <c r="EL124" s="69" t="n">
        <v>0.27</v>
      </c>
      <c r="EM124" s="69" t="n">
        <v>0.24</v>
      </c>
      <c r="EN124" s="69" t="n">
        <v>0.07</v>
      </c>
      <c r="EO124" s="69" t="n">
        <v>0.02</v>
      </c>
    </row>
    <row r="125" customFormat="false" ht="15" hidden="false" customHeight="false" outlineLevel="0" collapsed="false">
      <c r="A125" s="68" t="s">
        <v>355</v>
      </c>
      <c r="B125" s="69" t="n">
        <v>-0.05</v>
      </c>
      <c r="C125" s="69" t="n">
        <v>0.05</v>
      </c>
      <c r="D125" s="69" t="n">
        <v>-0.02</v>
      </c>
      <c r="E125" s="69" t="n">
        <v>0.12</v>
      </c>
      <c r="F125" s="69" t="n">
        <v>-0.08</v>
      </c>
      <c r="G125" s="69" t="n">
        <v>0.07</v>
      </c>
      <c r="H125" s="69" t="n">
        <v>0.04</v>
      </c>
      <c r="I125" s="69" t="n">
        <v>-0.04</v>
      </c>
      <c r="J125" s="69" t="n">
        <v>0.01</v>
      </c>
      <c r="K125" s="69" t="n">
        <v>-0.11</v>
      </c>
      <c r="L125" s="69" t="n">
        <v>0.04</v>
      </c>
      <c r="M125" s="69" t="n">
        <v>0.23</v>
      </c>
      <c r="N125" s="69" t="n">
        <v>0.15</v>
      </c>
      <c r="O125" s="69" t="n">
        <v>0.09</v>
      </c>
      <c r="P125" s="69" t="n">
        <v>-0.03</v>
      </c>
      <c r="Q125" s="69" t="n">
        <v>0.15</v>
      </c>
      <c r="R125" s="69" t="n">
        <v>-0.05</v>
      </c>
      <c r="S125" s="69" t="n">
        <v>-0.07</v>
      </c>
      <c r="T125" s="69" t="n">
        <v>0.24</v>
      </c>
      <c r="U125" s="69" t="n">
        <v>0.14</v>
      </c>
      <c r="V125" s="69" t="n">
        <v>0.05</v>
      </c>
      <c r="W125" s="69" t="n">
        <v>0.09</v>
      </c>
      <c r="X125" s="69" t="n">
        <v>0.26</v>
      </c>
      <c r="Y125" s="69" t="n">
        <v>-0.01</v>
      </c>
      <c r="Z125" s="69" t="n">
        <v>0.14</v>
      </c>
      <c r="AA125" s="69" t="n">
        <v>0.06</v>
      </c>
      <c r="AB125" s="69" t="n">
        <v>-0.01</v>
      </c>
      <c r="AC125" s="69" t="n">
        <v>0.07</v>
      </c>
      <c r="AD125" s="69" t="n">
        <v>0.08</v>
      </c>
      <c r="AE125" s="69" t="n">
        <v>0.05</v>
      </c>
      <c r="AF125" s="69" t="n">
        <v>0.19</v>
      </c>
      <c r="AG125" s="69" t="n">
        <v>-0.09</v>
      </c>
      <c r="AH125" s="69" t="n">
        <v>-0.06</v>
      </c>
      <c r="AI125" s="69" t="n">
        <v>0.08</v>
      </c>
      <c r="AJ125" s="69" t="n">
        <v>0.08</v>
      </c>
      <c r="AK125" s="69" t="n">
        <v>0.12</v>
      </c>
      <c r="AL125" s="69" t="n">
        <v>0.07</v>
      </c>
      <c r="AM125" s="69" t="n">
        <v>0.18</v>
      </c>
      <c r="AN125" s="69" t="n">
        <v>0.04</v>
      </c>
      <c r="AO125" s="69" t="n">
        <v>0.04</v>
      </c>
      <c r="AP125" s="69" t="n">
        <v>0.07</v>
      </c>
      <c r="AQ125" s="69" t="n">
        <v>0.07</v>
      </c>
      <c r="AR125" s="69" t="n">
        <v>0.22</v>
      </c>
      <c r="AS125" s="69" t="n">
        <v>0.09</v>
      </c>
      <c r="AT125" s="69" t="n">
        <v>0.16</v>
      </c>
      <c r="AU125" s="69" t="n">
        <v>-0.01</v>
      </c>
      <c r="AV125" s="69" t="n">
        <v>0.11</v>
      </c>
      <c r="AW125" s="69" t="n">
        <v>0.17</v>
      </c>
      <c r="AX125" s="69" t="n">
        <v>0.08</v>
      </c>
      <c r="AY125" s="69" t="n">
        <v>0.09</v>
      </c>
      <c r="AZ125" s="69" t="n">
        <v>0.06</v>
      </c>
      <c r="BA125" s="69" t="n">
        <v>0.14</v>
      </c>
      <c r="BB125" s="69" t="n">
        <v>0.29</v>
      </c>
      <c r="BC125" s="69" t="n">
        <v>-0.02</v>
      </c>
      <c r="BD125" s="69" t="n">
        <v>0.07</v>
      </c>
      <c r="BE125" s="69" t="n">
        <v>0.13</v>
      </c>
      <c r="BF125" s="69" t="n">
        <v>0.13</v>
      </c>
      <c r="BG125" s="69" t="n">
        <v>0.15</v>
      </c>
      <c r="BH125" s="69" t="n">
        <v>0.16</v>
      </c>
      <c r="BI125" s="69" t="n">
        <v>0.16</v>
      </c>
      <c r="BJ125" s="69" t="n">
        <v>0</v>
      </c>
      <c r="BK125" s="69" t="n">
        <v>0.07</v>
      </c>
      <c r="BL125" s="69" t="n">
        <v>0.44</v>
      </c>
      <c r="BM125" s="69" t="n">
        <v>0.07</v>
      </c>
      <c r="BN125" s="69" t="n">
        <v>0.01</v>
      </c>
      <c r="BO125" s="69" t="n">
        <v>0.1</v>
      </c>
      <c r="BP125" s="69" t="n">
        <v>0.1</v>
      </c>
      <c r="BQ125" s="69" t="n">
        <v>0.2</v>
      </c>
      <c r="BR125" s="69" t="n">
        <v>0.19</v>
      </c>
      <c r="BS125" s="69" t="n">
        <v>0.06</v>
      </c>
      <c r="BT125" s="69" t="n">
        <v>0.2</v>
      </c>
      <c r="BU125" s="69" t="n">
        <v>0.18</v>
      </c>
      <c r="BV125" s="69" t="n">
        <v>0.13</v>
      </c>
      <c r="BW125" s="69" t="n">
        <v>0.21</v>
      </c>
      <c r="BX125" s="69" t="n">
        <v>0.06</v>
      </c>
      <c r="BY125" s="69" t="n">
        <v>0.15</v>
      </c>
      <c r="BZ125" s="69" t="n">
        <v>0.23</v>
      </c>
      <c r="CA125" s="69" t="n">
        <v>0.03</v>
      </c>
      <c r="CB125" s="69" t="n">
        <v>-0.02</v>
      </c>
      <c r="CC125" s="69" t="n">
        <v>0.12</v>
      </c>
      <c r="CD125" s="69" t="n">
        <v>0.16</v>
      </c>
      <c r="CE125" s="69" t="n">
        <v>0.15</v>
      </c>
      <c r="CF125" s="69" t="n">
        <v>0.05</v>
      </c>
      <c r="CG125" s="69" t="n">
        <v>0.07</v>
      </c>
      <c r="CH125" s="69" t="n">
        <v>0.4</v>
      </c>
      <c r="CI125" s="69" t="n">
        <v>0.11</v>
      </c>
      <c r="CJ125" s="69" t="n">
        <v>0.1</v>
      </c>
      <c r="CK125" s="69" t="n">
        <v>-0.06</v>
      </c>
      <c r="CL125" s="69" t="n">
        <v>0.21</v>
      </c>
      <c r="CM125" s="69" t="n">
        <v>0.3</v>
      </c>
      <c r="CN125" s="69" t="n">
        <v>0.1</v>
      </c>
      <c r="CO125" s="69" t="n">
        <v>0.04</v>
      </c>
      <c r="CP125" s="69" t="n">
        <v>0.11</v>
      </c>
      <c r="CQ125" s="69" t="n">
        <v>0.24</v>
      </c>
      <c r="CR125" s="69" t="n">
        <v>0.35</v>
      </c>
      <c r="CS125" s="69" t="n">
        <v>0.35</v>
      </c>
      <c r="CT125" s="69" t="n">
        <v>0.17</v>
      </c>
      <c r="CU125" s="69" t="n">
        <v>0.25</v>
      </c>
      <c r="CV125" s="69" t="n">
        <v>0.09</v>
      </c>
      <c r="CW125" s="69" t="n">
        <v>0.19</v>
      </c>
      <c r="CX125" s="69" t="n">
        <v>0.26</v>
      </c>
      <c r="CY125" s="69" t="n">
        <v>0.12</v>
      </c>
      <c r="CZ125" s="69" t="n">
        <v>0.11</v>
      </c>
      <c r="DA125" s="69" t="n">
        <v>0.06</v>
      </c>
      <c r="DB125" s="69" t="n">
        <v>0.34</v>
      </c>
      <c r="DC125" s="69" t="n">
        <v>0.14</v>
      </c>
      <c r="DD125" s="69" t="n">
        <v>0.13</v>
      </c>
      <c r="DE125" s="69" t="n">
        <v>0.57</v>
      </c>
      <c r="DF125" s="69" t="n">
        <v>0.07</v>
      </c>
      <c r="DG125" s="69" t="n">
        <v>0.47</v>
      </c>
      <c r="DH125" s="69" t="n">
        <v>0.32</v>
      </c>
      <c r="DI125" s="69" t="n">
        <v>0.2</v>
      </c>
      <c r="DJ125" s="69" t="n">
        <v>0.16</v>
      </c>
      <c r="DK125" s="69" t="n">
        <v>0.25</v>
      </c>
      <c r="DL125" s="69" t="n">
        <v>0.33</v>
      </c>
      <c r="DM125" s="69" t="n">
        <v>0.17</v>
      </c>
      <c r="DN125" s="69" t="n">
        <v>0.09</v>
      </c>
      <c r="DO125" s="69" t="n">
        <v>0.3</v>
      </c>
      <c r="DP125" s="69" t="n">
        <v>0.13</v>
      </c>
      <c r="DQ125" s="69" t="n">
        <v>0.31</v>
      </c>
      <c r="DR125" s="69" t="n">
        <v>1</v>
      </c>
      <c r="DS125" s="69" t="n">
        <v>0.08</v>
      </c>
      <c r="DT125" s="69" t="n">
        <v>0.24</v>
      </c>
      <c r="DU125" s="69" t="n">
        <v>0.33</v>
      </c>
      <c r="DV125" s="69" t="n">
        <v>0.25</v>
      </c>
      <c r="DW125" s="69" t="n">
        <v>0.13</v>
      </c>
      <c r="DX125" s="69" t="n">
        <v>0.35</v>
      </c>
      <c r="DY125" s="69" t="n">
        <v>0.22</v>
      </c>
      <c r="DZ125" s="69" t="n">
        <v>0.11</v>
      </c>
      <c r="EA125" s="69" t="n">
        <v>0.19</v>
      </c>
      <c r="EB125" s="69" t="n">
        <v>0.22</v>
      </c>
      <c r="EC125" s="69" t="n">
        <v>0.17</v>
      </c>
      <c r="ED125" s="69" t="n">
        <v>0.24</v>
      </c>
      <c r="EE125" s="69" t="n">
        <v>0.36</v>
      </c>
      <c r="EF125" s="69" t="n">
        <v>0.4</v>
      </c>
      <c r="EG125" s="69" t="n">
        <v>0.3</v>
      </c>
      <c r="EH125" s="69" t="n">
        <v>0.03</v>
      </c>
      <c r="EI125" s="69" t="n">
        <v>0.35</v>
      </c>
      <c r="EJ125" s="69" t="n">
        <v>0.24</v>
      </c>
      <c r="EK125" s="69" t="n">
        <v>0.32</v>
      </c>
      <c r="EL125" s="69" t="n">
        <v>0.36</v>
      </c>
      <c r="EM125" s="69" t="n">
        <v>0.24</v>
      </c>
      <c r="EN125" s="69" t="n">
        <v>0.13</v>
      </c>
      <c r="EO125" s="69" t="n">
        <v>0.06</v>
      </c>
    </row>
    <row r="126" customFormat="false" ht="15" hidden="false" customHeight="false" outlineLevel="0" collapsed="false">
      <c r="A126" s="68" t="s">
        <v>356</v>
      </c>
      <c r="B126" s="69" t="n">
        <v>0.11</v>
      </c>
      <c r="C126" s="69" t="n">
        <v>-0.07</v>
      </c>
      <c r="D126" s="69" t="n">
        <v>0.04</v>
      </c>
      <c r="E126" s="69" t="n">
        <v>-0.01</v>
      </c>
      <c r="F126" s="69" t="n">
        <v>0.04</v>
      </c>
      <c r="G126" s="69" t="n">
        <v>-0.02</v>
      </c>
      <c r="H126" s="69" t="n">
        <v>0.02</v>
      </c>
      <c r="I126" s="69" t="n">
        <v>0.07</v>
      </c>
      <c r="J126" s="69" t="n">
        <v>0.01</v>
      </c>
      <c r="K126" s="69" t="n">
        <v>0.07</v>
      </c>
      <c r="L126" s="69" t="n">
        <v>0.04</v>
      </c>
      <c r="M126" s="69" t="n">
        <v>0.13</v>
      </c>
      <c r="N126" s="69" t="n">
        <v>0.07</v>
      </c>
      <c r="O126" s="69" t="n">
        <v>-0.08</v>
      </c>
      <c r="P126" s="69" t="n">
        <v>0.07</v>
      </c>
      <c r="Q126" s="69" t="n">
        <v>0.01</v>
      </c>
      <c r="R126" s="69" t="n">
        <v>0.06</v>
      </c>
      <c r="S126" s="69" t="n">
        <v>0.03</v>
      </c>
      <c r="T126" s="69" t="n">
        <v>0.26</v>
      </c>
      <c r="U126" s="69" t="n">
        <v>0.02</v>
      </c>
      <c r="V126" s="69" t="n">
        <v>-0.06</v>
      </c>
      <c r="W126" s="69" t="n">
        <v>0.03</v>
      </c>
      <c r="X126" s="69" t="n">
        <v>0.14</v>
      </c>
      <c r="Y126" s="69" t="n">
        <v>0.25</v>
      </c>
      <c r="Z126" s="69" t="n">
        <v>0.01</v>
      </c>
      <c r="AA126" s="69" t="n">
        <v>0.05</v>
      </c>
      <c r="AB126" s="69" t="n">
        <v>0.31</v>
      </c>
      <c r="AC126" s="69" t="n">
        <v>-0.07</v>
      </c>
      <c r="AD126" s="69" t="n">
        <v>-0.07</v>
      </c>
      <c r="AE126" s="69" t="n">
        <v>-0.02</v>
      </c>
      <c r="AF126" s="69" t="n">
        <v>-0.04</v>
      </c>
      <c r="AG126" s="69" t="n">
        <v>0</v>
      </c>
      <c r="AH126" s="69" t="n">
        <v>0</v>
      </c>
      <c r="AI126" s="69" t="n">
        <v>-0.03</v>
      </c>
      <c r="AJ126" s="69" t="n">
        <v>-0.12</v>
      </c>
      <c r="AK126" s="69" t="n">
        <v>-0.04</v>
      </c>
      <c r="AL126" s="69" t="n">
        <v>0.25</v>
      </c>
      <c r="AM126" s="69" t="n">
        <v>0.12</v>
      </c>
      <c r="AN126" s="69" t="n">
        <v>0.16</v>
      </c>
      <c r="AO126" s="69" t="n">
        <v>-0.01</v>
      </c>
      <c r="AP126" s="69" t="n">
        <v>0.16</v>
      </c>
      <c r="AQ126" s="69" t="n">
        <v>-0.04</v>
      </c>
      <c r="AR126" s="69" t="n">
        <v>0.17</v>
      </c>
      <c r="AS126" s="69" t="n">
        <v>0.02</v>
      </c>
      <c r="AT126" s="69" t="n">
        <v>0.3</v>
      </c>
      <c r="AU126" s="69" t="n">
        <v>-0.02</v>
      </c>
      <c r="AV126" s="69" t="n">
        <v>-0.06</v>
      </c>
      <c r="AW126" s="69" t="n">
        <v>-0.06</v>
      </c>
      <c r="AX126" s="69" t="n">
        <v>0.03</v>
      </c>
      <c r="AY126" s="69" t="n">
        <v>0.08</v>
      </c>
      <c r="AZ126" s="69" t="n">
        <v>-0.09</v>
      </c>
      <c r="BA126" s="69" t="n">
        <v>0.01</v>
      </c>
      <c r="BB126" s="69" t="n">
        <v>0.24</v>
      </c>
      <c r="BC126" s="69" t="n">
        <v>-0.08</v>
      </c>
      <c r="BD126" s="69" t="n">
        <v>-0.09</v>
      </c>
      <c r="BE126" s="69" t="n">
        <v>-0.02</v>
      </c>
      <c r="BF126" s="69" t="n">
        <v>0.03</v>
      </c>
      <c r="BG126" s="69" t="n">
        <v>0.2</v>
      </c>
      <c r="BH126" s="69" t="n">
        <v>0.02</v>
      </c>
      <c r="BI126" s="69" t="n">
        <v>0.09</v>
      </c>
      <c r="BJ126" s="69" t="n">
        <v>-0.1</v>
      </c>
      <c r="BK126" s="69" t="n">
        <v>0</v>
      </c>
      <c r="BL126" s="69" t="n">
        <v>0.02</v>
      </c>
      <c r="BM126" s="69" t="n">
        <v>0.15</v>
      </c>
      <c r="BN126" s="69" t="n">
        <v>0.05</v>
      </c>
      <c r="BO126" s="69" t="n">
        <v>0.25</v>
      </c>
      <c r="BP126" s="69" t="n">
        <v>0.31</v>
      </c>
      <c r="BQ126" s="69" t="n">
        <v>-0.06</v>
      </c>
      <c r="BR126" s="69" t="n">
        <v>0.15</v>
      </c>
      <c r="BS126" s="69" t="n">
        <v>0</v>
      </c>
      <c r="BT126" s="69" t="n">
        <v>0.14</v>
      </c>
      <c r="BU126" s="69" t="n">
        <v>-0.01</v>
      </c>
      <c r="BV126" s="69" t="n">
        <v>0.26</v>
      </c>
      <c r="BW126" s="69" t="n">
        <v>0.21</v>
      </c>
      <c r="BX126" s="69" t="n">
        <v>0.05</v>
      </c>
      <c r="BY126" s="69" t="n">
        <v>0.1</v>
      </c>
      <c r="BZ126" s="69" t="n">
        <v>0.2</v>
      </c>
      <c r="CA126" s="69" t="n">
        <v>-0.07</v>
      </c>
      <c r="CB126" s="69" t="n">
        <v>0.03</v>
      </c>
      <c r="CC126" s="69" t="n">
        <v>0.17</v>
      </c>
      <c r="CD126" s="69" t="n">
        <v>0.45</v>
      </c>
      <c r="CE126" s="69" t="n">
        <v>0.08</v>
      </c>
      <c r="CF126" s="69" t="n">
        <v>0</v>
      </c>
      <c r="CG126" s="69" t="n">
        <v>0.35</v>
      </c>
      <c r="CH126" s="69" t="n">
        <v>-0.1</v>
      </c>
      <c r="CI126" s="69" t="n">
        <v>0.02</v>
      </c>
      <c r="CJ126" s="69" t="n">
        <v>0.21</v>
      </c>
      <c r="CK126" s="69" t="n">
        <v>0.17</v>
      </c>
      <c r="CL126" s="69" t="n">
        <v>-0.01</v>
      </c>
      <c r="CM126" s="69" t="n">
        <v>0.11</v>
      </c>
      <c r="CN126" s="69" t="n">
        <v>0.02</v>
      </c>
      <c r="CO126" s="69" t="n">
        <v>0.08</v>
      </c>
      <c r="CP126" s="69" t="n">
        <v>0.15</v>
      </c>
      <c r="CQ126" s="69" t="n">
        <v>0.19</v>
      </c>
      <c r="CR126" s="69" t="n">
        <v>0.09</v>
      </c>
      <c r="CS126" s="69" t="n">
        <v>-0.1</v>
      </c>
      <c r="CT126" s="69" t="n">
        <v>0.14</v>
      </c>
      <c r="CU126" s="69" t="n">
        <v>0.12</v>
      </c>
      <c r="CV126" s="69" t="n">
        <v>0.19</v>
      </c>
      <c r="CW126" s="69" t="n">
        <v>0.25</v>
      </c>
      <c r="CX126" s="69" t="n">
        <v>0.21</v>
      </c>
      <c r="CY126" s="69" t="n">
        <v>0.09</v>
      </c>
      <c r="CZ126" s="69" t="n">
        <v>0.34</v>
      </c>
      <c r="DA126" s="69" t="n">
        <v>0.22</v>
      </c>
      <c r="DB126" s="69" t="n">
        <v>0.12</v>
      </c>
      <c r="DC126" s="69" t="n">
        <v>0.03</v>
      </c>
      <c r="DD126" s="69" t="n">
        <v>0.3</v>
      </c>
      <c r="DE126" s="69" t="n">
        <v>-0.01</v>
      </c>
      <c r="DF126" s="69" t="n">
        <v>0.29</v>
      </c>
      <c r="DG126" s="69" t="n">
        <v>-0.11</v>
      </c>
      <c r="DH126" s="69" t="n">
        <v>0.09</v>
      </c>
      <c r="DI126" s="69" t="n">
        <v>0.18</v>
      </c>
      <c r="DJ126" s="69" t="n">
        <v>0.25</v>
      </c>
      <c r="DK126" s="69" t="n">
        <v>0.17</v>
      </c>
      <c r="DL126" s="69" t="n">
        <v>-0.16</v>
      </c>
      <c r="DM126" s="69" t="n">
        <v>0.19</v>
      </c>
      <c r="DN126" s="69" t="n">
        <v>0.3</v>
      </c>
      <c r="DO126" s="69" t="n">
        <v>0.09</v>
      </c>
      <c r="DP126" s="69" t="n">
        <v>0.25</v>
      </c>
      <c r="DQ126" s="69" t="n">
        <v>0.05</v>
      </c>
      <c r="DR126" s="69" t="n">
        <v>0.08</v>
      </c>
      <c r="DS126" s="69" t="n">
        <v>1</v>
      </c>
      <c r="DT126" s="69" t="n">
        <v>0.24</v>
      </c>
      <c r="DU126" s="69" t="n">
        <v>0.27</v>
      </c>
      <c r="DV126" s="69" t="n">
        <v>0.33</v>
      </c>
      <c r="DW126" s="69" t="n">
        <v>0.31</v>
      </c>
      <c r="DX126" s="69" t="n">
        <v>-0.07</v>
      </c>
      <c r="DY126" s="69" t="n">
        <v>0.39</v>
      </c>
      <c r="DZ126" s="69" t="n">
        <v>0.26</v>
      </c>
      <c r="EA126" s="69" t="n">
        <v>0.09</v>
      </c>
      <c r="EB126" s="69" t="n">
        <v>0.42</v>
      </c>
      <c r="EC126" s="69" t="n">
        <v>-0.09</v>
      </c>
      <c r="ED126" s="69" t="n">
        <v>-0.1</v>
      </c>
      <c r="EE126" s="69" t="n">
        <v>0.04</v>
      </c>
      <c r="EF126" s="69" t="n">
        <v>0.07</v>
      </c>
      <c r="EG126" s="69" t="n">
        <v>-0.01</v>
      </c>
      <c r="EH126" s="69" t="n">
        <v>0.23</v>
      </c>
      <c r="EI126" s="69" t="n">
        <v>-0.04</v>
      </c>
      <c r="EJ126" s="69" t="n">
        <v>0.17</v>
      </c>
      <c r="EK126" s="69" t="n">
        <v>0</v>
      </c>
      <c r="EL126" s="69" t="n">
        <v>0.02</v>
      </c>
      <c r="EM126" s="69" t="n">
        <v>0.17</v>
      </c>
      <c r="EN126" s="69" t="n">
        <v>0.1</v>
      </c>
      <c r="EO126" s="69" t="n">
        <v>0.13</v>
      </c>
    </row>
    <row r="127" customFormat="false" ht="15" hidden="false" customHeight="false" outlineLevel="0" collapsed="false">
      <c r="A127" s="68" t="s">
        <v>357</v>
      </c>
      <c r="B127" s="69" t="n">
        <v>-0.12</v>
      </c>
      <c r="C127" s="69" t="n">
        <v>-0.04</v>
      </c>
      <c r="D127" s="69" t="n">
        <v>0.04</v>
      </c>
      <c r="E127" s="69" t="n">
        <v>0.05</v>
      </c>
      <c r="F127" s="69" t="n">
        <v>-0.26</v>
      </c>
      <c r="G127" s="69" t="n">
        <v>-0.05</v>
      </c>
      <c r="H127" s="69" t="n">
        <v>0.01</v>
      </c>
      <c r="I127" s="69" t="n">
        <v>-0.12</v>
      </c>
      <c r="J127" s="69" t="n">
        <v>-0.23</v>
      </c>
      <c r="K127" s="69" t="n">
        <v>-0.22</v>
      </c>
      <c r="L127" s="69" t="n">
        <v>0.03</v>
      </c>
      <c r="M127" s="69" t="n">
        <v>0.14</v>
      </c>
      <c r="N127" s="69" t="n">
        <v>0.01</v>
      </c>
      <c r="O127" s="69" t="n">
        <v>-0.02</v>
      </c>
      <c r="P127" s="69" t="n">
        <v>-0.17</v>
      </c>
      <c r="Q127" s="69" t="n">
        <v>-0.09</v>
      </c>
      <c r="R127" s="69" t="n">
        <v>-0.14</v>
      </c>
      <c r="S127" s="69" t="n">
        <v>-0.02</v>
      </c>
      <c r="T127" s="69" t="n">
        <v>0.17</v>
      </c>
      <c r="U127" s="69" t="n">
        <v>0.11</v>
      </c>
      <c r="V127" s="69" t="n">
        <v>0</v>
      </c>
      <c r="W127" s="69" t="n">
        <v>-0.07</v>
      </c>
      <c r="X127" s="69" t="n">
        <v>0.14</v>
      </c>
      <c r="Y127" s="69" t="n">
        <v>-0.08</v>
      </c>
      <c r="Z127" s="69" t="n">
        <v>0.06</v>
      </c>
      <c r="AA127" s="69" t="n">
        <v>-0.01</v>
      </c>
      <c r="AB127" s="69" t="n">
        <v>-0.04</v>
      </c>
      <c r="AC127" s="69" t="n">
        <v>0.12</v>
      </c>
      <c r="AD127" s="69" t="n">
        <v>-0.11</v>
      </c>
      <c r="AE127" s="69" t="n">
        <v>0.05</v>
      </c>
      <c r="AF127" s="69" t="n">
        <v>0.03</v>
      </c>
      <c r="AG127" s="69" t="n">
        <v>-0.19</v>
      </c>
      <c r="AH127" s="69" t="n">
        <v>-0.14</v>
      </c>
      <c r="AI127" s="69" t="n">
        <v>-0.03</v>
      </c>
      <c r="AJ127" s="69" t="n">
        <v>0.04</v>
      </c>
      <c r="AK127" s="69" t="n">
        <v>0.01</v>
      </c>
      <c r="AL127" s="69" t="n">
        <v>0.04</v>
      </c>
      <c r="AM127" s="69" t="n">
        <v>0.09</v>
      </c>
      <c r="AN127" s="69" t="n">
        <v>-0.01</v>
      </c>
      <c r="AO127" s="69" t="n">
        <v>-0.16</v>
      </c>
      <c r="AP127" s="69" t="n">
        <v>0.07</v>
      </c>
      <c r="AQ127" s="69" t="n">
        <v>-0.1</v>
      </c>
      <c r="AR127" s="69" t="n">
        <v>0.15</v>
      </c>
      <c r="AS127" s="69" t="n">
        <v>0.02</v>
      </c>
      <c r="AT127" s="69" t="n">
        <v>0.23</v>
      </c>
      <c r="AU127" s="69" t="n">
        <v>-0.13</v>
      </c>
      <c r="AV127" s="69" t="n">
        <v>0.07</v>
      </c>
      <c r="AW127" s="69" t="n">
        <v>0.06</v>
      </c>
      <c r="AX127" s="69" t="n">
        <v>-0.09</v>
      </c>
      <c r="AY127" s="69" t="n">
        <v>-0.02</v>
      </c>
      <c r="AZ127" s="69" t="n">
        <v>0.01</v>
      </c>
      <c r="BA127" s="69" t="n">
        <v>0.04</v>
      </c>
      <c r="BB127" s="69" t="n">
        <v>0.31</v>
      </c>
      <c r="BC127" s="69" t="n">
        <v>0.06</v>
      </c>
      <c r="BD127" s="69" t="n">
        <v>0.03</v>
      </c>
      <c r="BE127" s="69" t="n">
        <v>-0.13</v>
      </c>
      <c r="BF127" s="69" t="n">
        <v>-0.01</v>
      </c>
      <c r="BG127" s="69" t="n">
        <v>0.14</v>
      </c>
      <c r="BH127" s="69" t="n">
        <v>0.15</v>
      </c>
      <c r="BI127" s="69" t="n">
        <v>0.11</v>
      </c>
      <c r="BJ127" s="69" t="n">
        <v>-0.04</v>
      </c>
      <c r="BK127" s="69" t="n">
        <v>-0.03</v>
      </c>
      <c r="BL127" s="69" t="n">
        <v>0.2</v>
      </c>
      <c r="BM127" s="69" t="n">
        <v>-0.01</v>
      </c>
      <c r="BN127" s="69" t="n">
        <v>-0.07</v>
      </c>
      <c r="BO127" s="69" t="n">
        <v>0.25</v>
      </c>
      <c r="BP127" s="69" t="n">
        <v>0.47</v>
      </c>
      <c r="BQ127" s="69" t="n">
        <v>0.18</v>
      </c>
      <c r="BR127" s="69" t="n">
        <v>0.11</v>
      </c>
      <c r="BS127" s="69" t="n">
        <v>-0.04</v>
      </c>
      <c r="BT127" s="69" t="n">
        <v>0.15</v>
      </c>
      <c r="BU127" s="69" t="n">
        <v>0.09</v>
      </c>
      <c r="BV127" s="69" t="n">
        <v>0.27</v>
      </c>
      <c r="BW127" s="69" t="n">
        <v>0.15</v>
      </c>
      <c r="BX127" s="69" t="n">
        <v>-0.05</v>
      </c>
      <c r="BY127" s="69" t="n">
        <v>0.13</v>
      </c>
      <c r="BZ127" s="69" t="n">
        <v>0.25</v>
      </c>
      <c r="CA127" s="69" t="n">
        <v>0.04</v>
      </c>
      <c r="CB127" s="69" t="n">
        <v>-0.09</v>
      </c>
      <c r="CC127" s="69" t="n">
        <v>0.08</v>
      </c>
      <c r="CD127" s="69" t="n">
        <v>0.24</v>
      </c>
      <c r="CE127" s="69" t="n">
        <v>0.25</v>
      </c>
      <c r="CF127" s="69" t="n">
        <v>-0.06</v>
      </c>
      <c r="CG127" s="69" t="n">
        <v>0.22</v>
      </c>
      <c r="CH127" s="69" t="n">
        <v>0.21</v>
      </c>
      <c r="CI127" s="69" t="n">
        <v>-0.03</v>
      </c>
      <c r="CJ127" s="69" t="n">
        <v>0.04</v>
      </c>
      <c r="CK127" s="69" t="n">
        <v>0.05</v>
      </c>
      <c r="CL127" s="69" t="n">
        <v>0.15</v>
      </c>
      <c r="CM127" s="69" t="n">
        <v>0.44</v>
      </c>
      <c r="CN127" s="69" t="n">
        <v>0.11</v>
      </c>
      <c r="CO127" s="69" t="n">
        <v>0.09</v>
      </c>
      <c r="CP127" s="69" t="n">
        <v>0.08</v>
      </c>
      <c r="CQ127" s="69" t="n">
        <v>0.18</v>
      </c>
      <c r="CR127" s="69" t="n">
        <v>0.43</v>
      </c>
      <c r="CS127" s="69" t="n">
        <v>0.21</v>
      </c>
      <c r="CT127" s="69" t="n">
        <v>0.27</v>
      </c>
      <c r="CU127" s="69" t="n">
        <v>0.21</v>
      </c>
      <c r="CV127" s="69" t="n">
        <v>0.22</v>
      </c>
      <c r="CW127" s="69" t="n">
        <v>0.16</v>
      </c>
      <c r="CX127" s="69" t="n">
        <v>0.2</v>
      </c>
      <c r="CY127" s="69" t="n">
        <v>0.11</v>
      </c>
      <c r="CZ127" s="69" t="n">
        <v>0.32</v>
      </c>
      <c r="DA127" s="69" t="n">
        <v>0.21</v>
      </c>
      <c r="DB127" s="69" t="n">
        <v>0.39</v>
      </c>
      <c r="DC127" s="69" t="n">
        <v>0.18</v>
      </c>
      <c r="DD127" s="69" t="n">
        <v>0.35</v>
      </c>
      <c r="DE127" s="69" t="n">
        <v>0.33</v>
      </c>
      <c r="DF127" s="69" t="n">
        <v>0.28</v>
      </c>
      <c r="DG127" s="69" t="n">
        <v>0.23</v>
      </c>
      <c r="DH127" s="69" t="n">
        <v>0.45</v>
      </c>
      <c r="DI127" s="69" t="n">
        <v>0.18</v>
      </c>
      <c r="DJ127" s="69" t="n">
        <v>0.16</v>
      </c>
      <c r="DK127" s="69" t="n">
        <v>0.21</v>
      </c>
      <c r="DL127" s="69" t="n">
        <v>0.13</v>
      </c>
      <c r="DM127" s="69" t="n">
        <v>0.18</v>
      </c>
      <c r="DN127" s="69" t="n">
        <v>0.2</v>
      </c>
      <c r="DO127" s="69" t="n">
        <v>0.25</v>
      </c>
      <c r="DP127" s="69" t="n">
        <v>0.15</v>
      </c>
      <c r="DQ127" s="69" t="n">
        <v>0.28</v>
      </c>
      <c r="DR127" s="69" t="n">
        <v>0.24</v>
      </c>
      <c r="DS127" s="69" t="n">
        <v>0.24</v>
      </c>
      <c r="DT127" s="69" t="n">
        <v>1</v>
      </c>
      <c r="DU127" s="69" t="n">
        <v>0.47</v>
      </c>
      <c r="DV127" s="69" t="n">
        <v>0.42</v>
      </c>
      <c r="DW127" s="69" t="n">
        <v>0.35</v>
      </c>
      <c r="DX127" s="69" t="n">
        <v>0.28</v>
      </c>
      <c r="DY127" s="69" t="n">
        <v>0.35</v>
      </c>
      <c r="DZ127" s="69" t="n">
        <v>0.35</v>
      </c>
      <c r="EA127" s="69" t="n">
        <v>0.19</v>
      </c>
      <c r="EB127" s="69" t="n">
        <v>0.38</v>
      </c>
      <c r="EC127" s="69" t="n">
        <v>0.09</v>
      </c>
      <c r="ED127" s="69" t="n">
        <v>0.33</v>
      </c>
      <c r="EE127" s="69" t="n">
        <v>0.36</v>
      </c>
      <c r="EF127" s="69" t="n">
        <v>0.09</v>
      </c>
      <c r="EG127" s="69" t="n">
        <v>0.22</v>
      </c>
      <c r="EH127" s="69" t="n">
        <v>0.18</v>
      </c>
      <c r="EI127" s="69" t="n">
        <v>0.32</v>
      </c>
      <c r="EJ127" s="69" t="n">
        <v>0.29</v>
      </c>
      <c r="EK127" s="69" t="n">
        <v>0.38</v>
      </c>
      <c r="EL127" s="69" t="n">
        <v>0.38</v>
      </c>
      <c r="EM127" s="69" t="n">
        <v>0.38</v>
      </c>
      <c r="EN127" s="69" t="n">
        <v>0.08</v>
      </c>
      <c r="EO127" s="69" t="n">
        <v>0.11</v>
      </c>
    </row>
    <row r="128" customFormat="false" ht="15" hidden="false" customHeight="false" outlineLevel="0" collapsed="false">
      <c r="A128" s="68" t="s">
        <v>358</v>
      </c>
      <c r="B128" s="69" t="n">
        <v>-0.01</v>
      </c>
      <c r="C128" s="69" t="n">
        <v>-0.05</v>
      </c>
      <c r="D128" s="69" t="n">
        <v>0.11</v>
      </c>
      <c r="E128" s="69" t="n">
        <v>0.14</v>
      </c>
      <c r="F128" s="69" t="n">
        <v>-0.12</v>
      </c>
      <c r="G128" s="69" t="n">
        <v>0.03</v>
      </c>
      <c r="H128" s="69" t="n">
        <v>0.05</v>
      </c>
      <c r="I128" s="69" t="n">
        <v>0</v>
      </c>
      <c r="J128" s="69" t="n">
        <v>-0.12</v>
      </c>
      <c r="K128" s="69" t="n">
        <v>-0.06</v>
      </c>
      <c r="L128" s="69" t="n">
        <v>-0.01</v>
      </c>
      <c r="M128" s="69" t="n">
        <v>0.3</v>
      </c>
      <c r="N128" s="69" t="n">
        <v>0.12</v>
      </c>
      <c r="O128" s="69" t="n">
        <v>0.08</v>
      </c>
      <c r="P128" s="69" t="n">
        <v>-0.09</v>
      </c>
      <c r="Q128" s="69" t="n">
        <v>0.01</v>
      </c>
      <c r="R128" s="69" t="n">
        <v>-0.07</v>
      </c>
      <c r="S128" s="69" t="n">
        <v>0.06</v>
      </c>
      <c r="T128" s="69" t="n">
        <v>0.33</v>
      </c>
      <c r="U128" s="69" t="n">
        <v>0.21</v>
      </c>
      <c r="V128" s="69" t="n">
        <v>0.04</v>
      </c>
      <c r="W128" s="69" t="n">
        <v>0.14</v>
      </c>
      <c r="X128" s="69" t="n">
        <v>0.37</v>
      </c>
      <c r="Y128" s="69" t="n">
        <v>0.09</v>
      </c>
      <c r="Z128" s="69" t="n">
        <v>0.14</v>
      </c>
      <c r="AA128" s="69" t="n">
        <v>0.03</v>
      </c>
      <c r="AB128" s="69" t="n">
        <v>0.14</v>
      </c>
      <c r="AC128" s="69" t="n">
        <v>0.12</v>
      </c>
      <c r="AD128" s="69" t="n">
        <v>0.09</v>
      </c>
      <c r="AE128" s="69" t="n">
        <v>0.16</v>
      </c>
      <c r="AF128" s="69" t="n">
        <v>0.16</v>
      </c>
      <c r="AG128" s="69" t="n">
        <v>-0.04</v>
      </c>
      <c r="AH128" s="69" t="n">
        <v>-0.06</v>
      </c>
      <c r="AI128" s="69" t="n">
        <v>-0.11</v>
      </c>
      <c r="AJ128" s="69" t="n">
        <v>0.08</v>
      </c>
      <c r="AK128" s="69" t="n">
        <v>0.15</v>
      </c>
      <c r="AL128" s="69" t="n">
        <v>0.21</v>
      </c>
      <c r="AM128" s="69" t="n">
        <v>0.2</v>
      </c>
      <c r="AN128" s="69" t="n">
        <v>0.21</v>
      </c>
      <c r="AO128" s="69" t="n">
        <v>-0.09</v>
      </c>
      <c r="AP128" s="69" t="n">
        <v>0.29</v>
      </c>
      <c r="AQ128" s="69" t="n">
        <v>-0.15</v>
      </c>
      <c r="AR128" s="69" t="n">
        <v>0.32</v>
      </c>
      <c r="AS128" s="69" t="n">
        <v>0.13</v>
      </c>
      <c r="AT128" s="69" t="n">
        <v>0.47</v>
      </c>
      <c r="AU128" s="69" t="n">
        <v>-0.11</v>
      </c>
      <c r="AV128" s="69" t="n">
        <v>0.17</v>
      </c>
      <c r="AW128" s="69" t="n">
        <v>0.11</v>
      </c>
      <c r="AX128" s="69" t="n">
        <v>0.07</v>
      </c>
      <c r="AY128" s="69" t="n">
        <v>0.11</v>
      </c>
      <c r="AZ128" s="69" t="n">
        <v>0.15</v>
      </c>
      <c r="BA128" s="69" t="n">
        <v>0.18</v>
      </c>
      <c r="BB128" s="69" t="n">
        <v>0.48</v>
      </c>
      <c r="BC128" s="69" t="n">
        <v>0.2</v>
      </c>
      <c r="BD128" s="69" t="n">
        <v>0.2</v>
      </c>
      <c r="BE128" s="69" t="n">
        <v>0.04</v>
      </c>
      <c r="BF128" s="69" t="n">
        <v>0.11</v>
      </c>
      <c r="BG128" s="69" t="n">
        <v>0.28</v>
      </c>
      <c r="BH128" s="69" t="n">
        <v>0.2</v>
      </c>
      <c r="BI128" s="69" t="n">
        <v>0.1</v>
      </c>
      <c r="BJ128" s="69" t="n">
        <v>0.02</v>
      </c>
      <c r="BK128" s="69" t="n">
        <v>0.16</v>
      </c>
      <c r="BL128" s="69" t="n">
        <v>0.24</v>
      </c>
      <c r="BM128" s="69" t="n">
        <v>0.18</v>
      </c>
      <c r="BN128" s="69" t="n">
        <v>0.02</v>
      </c>
      <c r="BO128" s="69" t="n">
        <v>0.34</v>
      </c>
      <c r="BP128" s="69" t="n">
        <v>0.43</v>
      </c>
      <c r="BQ128" s="69" t="n">
        <v>0.28</v>
      </c>
      <c r="BR128" s="69" t="n">
        <v>0.31</v>
      </c>
      <c r="BS128" s="69" t="n">
        <v>-0.13</v>
      </c>
      <c r="BT128" s="69" t="n">
        <v>0.37</v>
      </c>
      <c r="BU128" s="69" t="n">
        <v>0.19</v>
      </c>
      <c r="BV128" s="69" t="n">
        <v>0.34</v>
      </c>
      <c r="BW128" s="69" t="n">
        <v>0.24</v>
      </c>
      <c r="BX128" s="69" t="n">
        <v>0.08</v>
      </c>
      <c r="BY128" s="69" t="n">
        <v>0.27</v>
      </c>
      <c r="BZ128" s="69" t="n">
        <v>0.42</v>
      </c>
      <c r="CA128" s="69" t="n">
        <v>0.12</v>
      </c>
      <c r="CB128" s="69" t="n">
        <v>-0.02</v>
      </c>
      <c r="CC128" s="69" t="n">
        <v>0.16</v>
      </c>
      <c r="CD128" s="69" t="n">
        <v>0.3</v>
      </c>
      <c r="CE128" s="69" t="n">
        <v>0.23</v>
      </c>
      <c r="CF128" s="69" t="n">
        <v>-0.13</v>
      </c>
      <c r="CG128" s="69" t="n">
        <v>0.29</v>
      </c>
      <c r="CH128" s="69" t="n">
        <v>0.26</v>
      </c>
      <c r="CI128" s="69" t="n">
        <v>-0.15</v>
      </c>
      <c r="CJ128" s="69" t="n">
        <v>0.19</v>
      </c>
      <c r="CK128" s="69" t="n">
        <v>0.19</v>
      </c>
      <c r="CL128" s="69" t="n">
        <v>0.25</v>
      </c>
      <c r="CM128" s="69" t="n">
        <v>0.48</v>
      </c>
      <c r="CN128" s="69" t="n">
        <v>0.09</v>
      </c>
      <c r="CO128" s="69" t="n">
        <v>0.17</v>
      </c>
      <c r="CP128" s="69" t="n">
        <v>0.17</v>
      </c>
      <c r="CQ128" s="69" t="n">
        <v>0.43</v>
      </c>
      <c r="CR128" s="69" t="n">
        <v>0.4</v>
      </c>
      <c r="CS128" s="69" t="n">
        <v>0.32</v>
      </c>
      <c r="CT128" s="69" t="n">
        <v>0.36</v>
      </c>
      <c r="CU128" s="69" t="n">
        <v>0.2</v>
      </c>
      <c r="CV128" s="69" t="n">
        <v>0.28</v>
      </c>
      <c r="CW128" s="69" t="n">
        <v>0.39</v>
      </c>
      <c r="CX128" s="69" t="n">
        <v>0.49</v>
      </c>
      <c r="CY128" s="69" t="n">
        <v>0.32</v>
      </c>
      <c r="CZ128" s="69" t="n">
        <v>0.25</v>
      </c>
      <c r="DA128" s="69" t="n">
        <v>0.31</v>
      </c>
      <c r="DB128" s="69" t="n">
        <v>0.49</v>
      </c>
      <c r="DC128" s="69" t="n">
        <v>0.25</v>
      </c>
      <c r="DD128" s="69" t="n">
        <v>0.46</v>
      </c>
      <c r="DE128" s="69" t="n">
        <v>0.38</v>
      </c>
      <c r="DF128" s="69" t="n">
        <v>0.23</v>
      </c>
      <c r="DG128" s="69" t="n">
        <v>0.38</v>
      </c>
      <c r="DH128" s="69" t="n">
        <v>0.38</v>
      </c>
      <c r="DI128" s="69" t="n">
        <v>0.4</v>
      </c>
      <c r="DJ128" s="69" t="n">
        <v>0.25</v>
      </c>
      <c r="DK128" s="69" t="n">
        <v>0.44</v>
      </c>
      <c r="DL128" s="69" t="n">
        <v>0.15</v>
      </c>
      <c r="DM128" s="69" t="n">
        <v>0.34</v>
      </c>
      <c r="DN128" s="69" t="n">
        <v>0.25</v>
      </c>
      <c r="DO128" s="69" t="n">
        <v>0.27</v>
      </c>
      <c r="DP128" s="69" t="n">
        <v>0.27</v>
      </c>
      <c r="DQ128" s="69" t="n">
        <v>0.31</v>
      </c>
      <c r="DR128" s="69" t="n">
        <v>0.33</v>
      </c>
      <c r="DS128" s="69" t="n">
        <v>0.27</v>
      </c>
      <c r="DT128" s="69" t="n">
        <v>0.47</v>
      </c>
      <c r="DU128" s="69" t="n">
        <v>1</v>
      </c>
      <c r="DV128" s="69" t="n">
        <v>0.48</v>
      </c>
      <c r="DW128" s="69" t="n">
        <v>0.46</v>
      </c>
      <c r="DX128" s="69" t="n">
        <v>0.34</v>
      </c>
      <c r="DY128" s="69" t="n">
        <v>0.66</v>
      </c>
      <c r="DZ128" s="69" t="n">
        <v>0.27</v>
      </c>
      <c r="EA128" s="69" t="n">
        <v>0.27</v>
      </c>
      <c r="EB128" s="69" t="n">
        <v>0.7</v>
      </c>
      <c r="EC128" s="69" t="n">
        <v>0.04</v>
      </c>
      <c r="ED128" s="69" t="n">
        <v>0.42</v>
      </c>
      <c r="EE128" s="69" t="n">
        <v>0.41</v>
      </c>
      <c r="EF128" s="69" t="n">
        <v>0.32</v>
      </c>
      <c r="EG128" s="69" t="n">
        <v>0.25</v>
      </c>
      <c r="EH128" s="69" t="n">
        <v>0.3</v>
      </c>
      <c r="EI128" s="69" t="n">
        <v>0.3</v>
      </c>
      <c r="EJ128" s="69" t="n">
        <v>0.33</v>
      </c>
      <c r="EK128" s="69" t="n">
        <v>0.53</v>
      </c>
      <c r="EL128" s="69" t="n">
        <v>0.5</v>
      </c>
      <c r="EM128" s="69" t="n">
        <v>0.36</v>
      </c>
      <c r="EN128" s="69" t="n">
        <v>0.18</v>
      </c>
      <c r="EO128" s="69" t="n">
        <v>0.21</v>
      </c>
    </row>
    <row r="129" customFormat="false" ht="15" hidden="false" customHeight="false" outlineLevel="0" collapsed="false">
      <c r="A129" s="68" t="s">
        <v>359</v>
      </c>
      <c r="B129" s="69" t="n">
        <v>0</v>
      </c>
      <c r="C129" s="69" t="n">
        <v>-0.05</v>
      </c>
      <c r="D129" s="69" t="n">
        <v>0.06</v>
      </c>
      <c r="E129" s="69" t="n">
        <v>0.09</v>
      </c>
      <c r="F129" s="69" t="n">
        <v>-0.08</v>
      </c>
      <c r="G129" s="69" t="n">
        <v>0.04</v>
      </c>
      <c r="H129" s="69" t="n">
        <v>0.02</v>
      </c>
      <c r="I129" s="69" t="n">
        <v>0.08</v>
      </c>
      <c r="J129" s="69" t="n">
        <v>-0.04</v>
      </c>
      <c r="K129" s="69" t="n">
        <v>-0.03</v>
      </c>
      <c r="L129" s="69" t="n">
        <v>0.07</v>
      </c>
      <c r="M129" s="69" t="n">
        <v>0.16</v>
      </c>
      <c r="N129" s="69" t="n">
        <v>0.1</v>
      </c>
      <c r="O129" s="69" t="n">
        <v>0.02</v>
      </c>
      <c r="P129" s="69" t="n">
        <v>0.04</v>
      </c>
      <c r="Q129" s="69" t="n">
        <v>-0.02</v>
      </c>
      <c r="R129" s="69" t="n">
        <v>0.02</v>
      </c>
      <c r="S129" s="69" t="n">
        <v>0.02</v>
      </c>
      <c r="T129" s="69" t="n">
        <v>0.12</v>
      </c>
      <c r="U129" s="69" t="n">
        <v>0.12</v>
      </c>
      <c r="V129" s="69" t="n">
        <v>0.01</v>
      </c>
      <c r="W129" s="69" t="n">
        <v>0.08</v>
      </c>
      <c r="X129" s="69" t="n">
        <v>0.19</v>
      </c>
      <c r="Y129" s="69" t="n">
        <v>0.19</v>
      </c>
      <c r="Z129" s="69" t="n">
        <v>0.05</v>
      </c>
      <c r="AA129" s="69" t="n">
        <v>-0.01</v>
      </c>
      <c r="AB129" s="69" t="n">
        <v>0.18</v>
      </c>
      <c r="AC129" s="69" t="n">
        <v>0.05</v>
      </c>
      <c r="AD129" s="69" t="n">
        <v>-0.05</v>
      </c>
      <c r="AE129" s="69" t="n">
        <v>0</v>
      </c>
      <c r="AF129" s="69" t="n">
        <v>0.15</v>
      </c>
      <c r="AG129" s="69" t="n">
        <v>-0.02</v>
      </c>
      <c r="AH129" s="69" t="n">
        <v>-0.02</v>
      </c>
      <c r="AI129" s="69" t="n">
        <v>0.02</v>
      </c>
      <c r="AJ129" s="69" t="n">
        <v>-0.05</v>
      </c>
      <c r="AK129" s="69" t="n">
        <v>-0.01</v>
      </c>
      <c r="AL129" s="69" t="n">
        <v>0.22</v>
      </c>
      <c r="AM129" s="69" t="n">
        <v>0.13</v>
      </c>
      <c r="AN129" s="69" t="n">
        <v>0.09</v>
      </c>
      <c r="AO129" s="69" t="n">
        <v>-0.02</v>
      </c>
      <c r="AP129" s="69" t="n">
        <v>0.14</v>
      </c>
      <c r="AQ129" s="69" t="n">
        <v>-0.02</v>
      </c>
      <c r="AR129" s="69" t="n">
        <v>0.14</v>
      </c>
      <c r="AS129" s="69" t="n">
        <v>0.04</v>
      </c>
      <c r="AT129" s="69" t="n">
        <v>0.24</v>
      </c>
      <c r="AU129" s="69" t="n">
        <v>0.01</v>
      </c>
      <c r="AV129" s="69" t="n">
        <v>0.14</v>
      </c>
      <c r="AW129" s="69" t="n">
        <v>0.04</v>
      </c>
      <c r="AX129" s="69" t="n">
        <v>0.07</v>
      </c>
      <c r="AY129" s="69" t="n">
        <v>0.14</v>
      </c>
      <c r="AZ129" s="69" t="n">
        <v>0.05</v>
      </c>
      <c r="BA129" s="69" t="n">
        <v>0.07</v>
      </c>
      <c r="BB129" s="69" t="n">
        <v>0.25</v>
      </c>
      <c r="BC129" s="69" t="n">
        <v>0.13</v>
      </c>
      <c r="BD129" s="69" t="n">
        <v>-0.04</v>
      </c>
      <c r="BE129" s="69" t="n">
        <v>-0.03</v>
      </c>
      <c r="BF129" s="69" t="n">
        <v>0.05</v>
      </c>
      <c r="BG129" s="69" t="n">
        <v>0.19</v>
      </c>
      <c r="BH129" s="69" t="n">
        <v>0.16</v>
      </c>
      <c r="BI129" s="69" t="n">
        <v>0.13</v>
      </c>
      <c r="BJ129" s="69" t="n">
        <v>-0.08</v>
      </c>
      <c r="BK129" s="69" t="n">
        <v>0.05</v>
      </c>
      <c r="BL129" s="69" t="n">
        <v>0.08</v>
      </c>
      <c r="BM129" s="69" t="n">
        <v>0.08</v>
      </c>
      <c r="BN129" s="69" t="n">
        <v>-0.02</v>
      </c>
      <c r="BO129" s="69" t="n">
        <v>0.28</v>
      </c>
      <c r="BP129" s="69" t="n">
        <v>0.43</v>
      </c>
      <c r="BQ129" s="69" t="n">
        <v>0.04</v>
      </c>
      <c r="BR129" s="69" t="n">
        <v>0.14</v>
      </c>
      <c r="BS129" s="69" t="n">
        <v>-0.03</v>
      </c>
      <c r="BT129" s="69" t="n">
        <v>0.14</v>
      </c>
      <c r="BU129" s="69" t="n">
        <v>0.12</v>
      </c>
      <c r="BV129" s="69" t="n">
        <v>0.27</v>
      </c>
      <c r="BW129" s="69" t="n">
        <v>0.19</v>
      </c>
      <c r="BX129" s="69" t="n">
        <v>0.01</v>
      </c>
      <c r="BY129" s="69" t="n">
        <v>0.14</v>
      </c>
      <c r="BZ129" s="69" t="n">
        <v>0.22</v>
      </c>
      <c r="CA129" s="69" t="n">
        <v>0.09</v>
      </c>
      <c r="CB129" s="69" t="n">
        <v>-0.05</v>
      </c>
      <c r="CC129" s="69" t="n">
        <v>0.07</v>
      </c>
      <c r="CD129" s="69" t="n">
        <v>0.32</v>
      </c>
      <c r="CE129" s="69" t="n">
        <v>0.21</v>
      </c>
      <c r="CF129" s="69" t="n">
        <v>-0.03</v>
      </c>
      <c r="CG129" s="69" t="n">
        <v>0.3</v>
      </c>
      <c r="CH129" s="69" t="n">
        <v>0.2</v>
      </c>
      <c r="CI129" s="69" t="n">
        <v>0.03</v>
      </c>
      <c r="CJ129" s="69" t="n">
        <v>0.23</v>
      </c>
      <c r="CK129" s="69" t="n">
        <v>0.08</v>
      </c>
      <c r="CL129" s="69" t="n">
        <v>0.07</v>
      </c>
      <c r="CM129" s="69" t="n">
        <v>0.32</v>
      </c>
      <c r="CN129" s="69" t="n">
        <v>0.03</v>
      </c>
      <c r="CO129" s="69" t="n">
        <v>0.02</v>
      </c>
      <c r="CP129" s="69" t="n">
        <v>0.18</v>
      </c>
      <c r="CQ129" s="69" t="n">
        <v>0.19</v>
      </c>
      <c r="CR129" s="69" t="n">
        <v>0.22</v>
      </c>
      <c r="CS129" s="69" t="n">
        <v>0.13</v>
      </c>
      <c r="CT129" s="69" t="n">
        <v>0.32</v>
      </c>
      <c r="CU129" s="69" t="n">
        <v>0.11</v>
      </c>
      <c r="CV129" s="69" t="n">
        <v>0.23</v>
      </c>
      <c r="CW129" s="69" t="n">
        <v>0.25</v>
      </c>
      <c r="CX129" s="69" t="n">
        <v>0.22</v>
      </c>
      <c r="CY129" s="69" t="n">
        <v>0.11</v>
      </c>
      <c r="CZ129" s="69" t="n">
        <v>0.34</v>
      </c>
      <c r="DA129" s="69" t="n">
        <v>0.18</v>
      </c>
      <c r="DB129" s="69" t="n">
        <v>0.37</v>
      </c>
      <c r="DC129" s="69" t="n">
        <v>0.02</v>
      </c>
      <c r="DD129" s="69" t="n">
        <v>0.38</v>
      </c>
      <c r="DE129" s="69" t="n">
        <v>0.26</v>
      </c>
      <c r="DF129" s="69" t="n">
        <v>0.43</v>
      </c>
      <c r="DG129" s="69" t="n">
        <v>0.25</v>
      </c>
      <c r="DH129" s="69" t="n">
        <v>0.33</v>
      </c>
      <c r="DI129" s="69" t="n">
        <v>0.19</v>
      </c>
      <c r="DJ129" s="69" t="n">
        <v>0.1</v>
      </c>
      <c r="DK129" s="69" t="n">
        <v>0.2</v>
      </c>
      <c r="DL129" s="69" t="n">
        <v>0.04</v>
      </c>
      <c r="DM129" s="69" t="n">
        <v>0.16</v>
      </c>
      <c r="DN129" s="69" t="n">
        <v>0.28</v>
      </c>
      <c r="DO129" s="69" t="n">
        <v>0.2</v>
      </c>
      <c r="DP129" s="69" t="n">
        <v>0.16</v>
      </c>
      <c r="DQ129" s="69" t="n">
        <v>0.18</v>
      </c>
      <c r="DR129" s="69" t="n">
        <v>0.25</v>
      </c>
      <c r="DS129" s="69" t="n">
        <v>0.33</v>
      </c>
      <c r="DT129" s="69" t="n">
        <v>0.42</v>
      </c>
      <c r="DU129" s="69" t="n">
        <v>0.48</v>
      </c>
      <c r="DV129" s="69" t="n">
        <v>1</v>
      </c>
      <c r="DW129" s="69" t="n">
        <v>0.5</v>
      </c>
      <c r="DX129" s="69" t="n">
        <v>0.12</v>
      </c>
      <c r="DY129" s="69" t="n">
        <v>0.4</v>
      </c>
      <c r="DZ129" s="69" t="n">
        <v>0.38</v>
      </c>
      <c r="EA129" s="69" t="n">
        <v>0.14</v>
      </c>
      <c r="EB129" s="69" t="n">
        <v>0.44</v>
      </c>
      <c r="EC129" s="69" t="n">
        <v>-0.05</v>
      </c>
      <c r="ED129" s="69" t="n">
        <v>0.27</v>
      </c>
      <c r="EE129" s="69" t="n">
        <v>0.23</v>
      </c>
      <c r="EF129" s="69" t="n">
        <v>0.2</v>
      </c>
      <c r="EG129" s="69" t="n">
        <v>0.11</v>
      </c>
      <c r="EH129" s="69" t="n">
        <v>0.23</v>
      </c>
      <c r="EI129" s="69" t="n">
        <v>0.13</v>
      </c>
      <c r="EJ129" s="69" t="n">
        <v>0.18</v>
      </c>
      <c r="EK129" s="69" t="n">
        <v>0.24</v>
      </c>
      <c r="EL129" s="69" t="n">
        <v>0.19</v>
      </c>
      <c r="EM129" s="69" t="n">
        <v>0.31</v>
      </c>
      <c r="EN129" s="69" t="n">
        <v>0.12</v>
      </c>
      <c r="EO129" s="69" t="n">
        <v>0.11</v>
      </c>
    </row>
    <row r="130" customFormat="false" ht="15" hidden="false" customHeight="false" outlineLevel="0" collapsed="false">
      <c r="A130" s="68" t="s">
        <v>360</v>
      </c>
      <c r="B130" s="69" t="n">
        <v>0.11</v>
      </c>
      <c r="C130" s="69" t="n">
        <v>-0.11</v>
      </c>
      <c r="D130" s="69" t="n">
        <v>0.07</v>
      </c>
      <c r="E130" s="69" t="n">
        <v>0.02</v>
      </c>
      <c r="F130" s="69" t="n">
        <v>-0.04</v>
      </c>
      <c r="G130" s="69" t="n">
        <v>-0.08</v>
      </c>
      <c r="H130" s="69" t="n">
        <v>0.03</v>
      </c>
      <c r="I130" s="69" t="n">
        <v>0.18</v>
      </c>
      <c r="J130" s="69" t="n">
        <v>-0.01</v>
      </c>
      <c r="K130" s="69" t="n">
        <v>0.01</v>
      </c>
      <c r="L130" s="69" t="n">
        <v>-0.01</v>
      </c>
      <c r="M130" s="69" t="n">
        <v>0.23</v>
      </c>
      <c r="N130" s="69" t="n">
        <v>0.14</v>
      </c>
      <c r="O130" s="69" t="n">
        <v>-0.04</v>
      </c>
      <c r="P130" s="69" t="n">
        <v>0.03</v>
      </c>
      <c r="Q130" s="69" t="n">
        <v>-0.04</v>
      </c>
      <c r="R130" s="69" t="n">
        <v>0.02</v>
      </c>
      <c r="S130" s="69" t="n">
        <v>0.06</v>
      </c>
      <c r="T130" s="69" t="n">
        <v>0.23</v>
      </c>
      <c r="U130" s="69" t="n">
        <v>0.11</v>
      </c>
      <c r="V130" s="69" t="n">
        <v>-0.03</v>
      </c>
      <c r="W130" s="69" t="n">
        <v>0.03</v>
      </c>
      <c r="X130" s="69" t="n">
        <v>0.21</v>
      </c>
      <c r="Y130" s="69" t="n">
        <v>0.33</v>
      </c>
      <c r="Z130" s="69" t="n">
        <v>0.04</v>
      </c>
      <c r="AA130" s="69" t="n">
        <v>-0.01</v>
      </c>
      <c r="AB130" s="69" t="n">
        <v>0.35</v>
      </c>
      <c r="AC130" s="69" t="n">
        <v>-0.04</v>
      </c>
      <c r="AD130" s="69" t="n">
        <v>-0.1</v>
      </c>
      <c r="AE130" s="69" t="n">
        <v>0.06</v>
      </c>
      <c r="AF130" s="69" t="n">
        <v>-0.01</v>
      </c>
      <c r="AG130" s="69" t="n">
        <v>-0.04</v>
      </c>
      <c r="AH130" s="69" t="n">
        <v>-0.11</v>
      </c>
      <c r="AI130" s="69" t="n">
        <v>-0.16</v>
      </c>
      <c r="AJ130" s="69" t="n">
        <v>0.02</v>
      </c>
      <c r="AK130" s="69" t="n">
        <v>0.07</v>
      </c>
      <c r="AL130" s="69" t="n">
        <v>0.25</v>
      </c>
      <c r="AM130" s="69" t="n">
        <v>0.15</v>
      </c>
      <c r="AN130" s="69" t="n">
        <v>0.23</v>
      </c>
      <c r="AO130" s="69" t="n">
        <v>0.03</v>
      </c>
      <c r="AP130" s="69" t="n">
        <v>0.3</v>
      </c>
      <c r="AQ130" s="69" t="n">
        <v>-0.19</v>
      </c>
      <c r="AR130" s="69" t="n">
        <v>0.24</v>
      </c>
      <c r="AS130" s="69" t="n">
        <v>0.07</v>
      </c>
      <c r="AT130" s="69" t="n">
        <v>0.42</v>
      </c>
      <c r="AU130" s="69" t="n">
        <v>-0.02</v>
      </c>
      <c r="AV130" s="69" t="n">
        <v>0.12</v>
      </c>
      <c r="AW130" s="69" t="n">
        <v>0.04</v>
      </c>
      <c r="AX130" s="69" t="n">
        <v>0</v>
      </c>
      <c r="AY130" s="69" t="n">
        <v>0.2</v>
      </c>
      <c r="AZ130" s="69" t="n">
        <v>0.11</v>
      </c>
      <c r="BA130" s="69" t="n">
        <v>0.1</v>
      </c>
      <c r="BB130" s="69" t="n">
        <v>0.3</v>
      </c>
      <c r="BC130" s="69" t="n">
        <v>0.1</v>
      </c>
      <c r="BD130" s="69" t="n">
        <v>0.08</v>
      </c>
      <c r="BE130" s="69" t="n">
        <v>0</v>
      </c>
      <c r="BF130" s="69" t="n">
        <v>0.05</v>
      </c>
      <c r="BG130" s="69" t="n">
        <v>0.32</v>
      </c>
      <c r="BH130" s="69" t="n">
        <v>0.23</v>
      </c>
      <c r="BI130" s="69" t="n">
        <v>0.07</v>
      </c>
      <c r="BJ130" s="69" t="n">
        <v>-0.06</v>
      </c>
      <c r="BK130" s="69" t="n">
        <v>0.08</v>
      </c>
      <c r="BL130" s="69" t="n">
        <v>0.12</v>
      </c>
      <c r="BM130" s="69" t="n">
        <v>0.16</v>
      </c>
      <c r="BN130" s="69" t="n">
        <v>-0.09</v>
      </c>
      <c r="BO130" s="69" t="n">
        <v>0.28</v>
      </c>
      <c r="BP130" s="69" t="n">
        <v>0.34</v>
      </c>
      <c r="BQ130" s="69" t="n">
        <v>0.12</v>
      </c>
      <c r="BR130" s="69" t="n">
        <v>0.29</v>
      </c>
      <c r="BS130" s="69" t="n">
        <v>-0.14</v>
      </c>
      <c r="BT130" s="69" t="n">
        <v>0.19</v>
      </c>
      <c r="BU130" s="69" t="n">
        <v>0.14</v>
      </c>
      <c r="BV130" s="69" t="n">
        <v>0.26</v>
      </c>
      <c r="BW130" s="69" t="n">
        <v>0.19</v>
      </c>
      <c r="BX130" s="69" t="n">
        <v>0.1</v>
      </c>
      <c r="BY130" s="69" t="n">
        <v>0.27</v>
      </c>
      <c r="BZ130" s="69" t="n">
        <v>0.2</v>
      </c>
      <c r="CA130" s="69" t="n">
        <v>-0.02</v>
      </c>
      <c r="CB130" s="69" t="n">
        <v>-0.08</v>
      </c>
      <c r="CC130" s="69" t="n">
        <v>0.12</v>
      </c>
      <c r="CD130" s="69" t="n">
        <v>0.37</v>
      </c>
      <c r="CE130" s="69" t="n">
        <v>0.13</v>
      </c>
      <c r="CF130" s="69" t="n">
        <v>-0.18</v>
      </c>
      <c r="CG130" s="69" t="n">
        <v>0.49</v>
      </c>
      <c r="CH130" s="69" t="n">
        <v>0.13</v>
      </c>
      <c r="CI130" s="69" t="n">
        <v>-0.12</v>
      </c>
      <c r="CJ130" s="69" t="n">
        <v>0.25</v>
      </c>
      <c r="CK130" s="69" t="n">
        <v>0.29</v>
      </c>
      <c r="CL130" s="69" t="n">
        <v>0.15</v>
      </c>
      <c r="CM130" s="69" t="n">
        <v>0.29</v>
      </c>
      <c r="CN130" s="69" t="n">
        <v>-0.04</v>
      </c>
      <c r="CO130" s="69" t="n">
        <v>0.15</v>
      </c>
      <c r="CP130" s="69" t="n">
        <v>0.21</v>
      </c>
      <c r="CQ130" s="69" t="n">
        <v>0.34</v>
      </c>
      <c r="CR130" s="69" t="n">
        <v>0.25</v>
      </c>
      <c r="CS130" s="69" t="n">
        <v>0.04</v>
      </c>
      <c r="CT130" s="69" t="n">
        <v>0.36</v>
      </c>
      <c r="CU130" s="69" t="n">
        <v>0.16</v>
      </c>
      <c r="CV130" s="69" t="n">
        <v>0.36</v>
      </c>
      <c r="CW130" s="69" t="n">
        <v>0.4</v>
      </c>
      <c r="CX130" s="69" t="n">
        <v>0.33</v>
      </c>
      <c r="CY130" s="69" t="n">
        <v>0.27</v>
      </c>
      <c r="CZ130" s="69" t="n">
        <v>0.34</v>
      </c>
      <c r="DA130" s="69" t="n">
        <v>0.4</v>
      </c>
      <c r="DB130" s="69" t="n">
        <v>0.29</v>
      </c>
      <c r="DC130" s="69" t="n">
        <v>0.18</v>
      </c>
      <c r="DD130" s="69" t="n">
        <v>0.52</v>
      </c>
      <c r="DE130" s="69" t="n">
        <v>0.19</v>
      </c>
      <c r="DF130" s="69" t="n">
        <v>0.42</v>
      </c>
      <c r="DG130" s="69" t="n">
        <v>0.24</v>
      </c>
      <c r="DH130" s="69" t="n">
        <v>0.26</v>
      </c>
      <c r="DI130" s="69" t="n">
        <v>0.31</v>
      </c>
      <c r="DJ130" s="69" t="n">
        <v>0.3</v>
      </c>
      <c r="DK130" s="69" t="n">
        <v>0.34</v>
      </c>
      <c r="DL130" s="69" t="n">
        <v>0.06</v>
      </c>
      <c r="DM130" s="69" t="n">
        <v>0.35</v>
      </c>
      <c r="DN130" s="69" t="n">
        <v>0.34</v>
      </c>
      <c r="DO130" s="69" t="n">
        <v>0.11</v>
      </c>
      <c r="DP130" s="69" t="n">
        <v>0.39</v>
      </c>
      <c r="DQ130" s="69" t="n">
        <v>0.12</v>
      </c>
      <c r="DR130" s="69" t="n">
        <v>0.13</v>
      </c>
      <c r="DS130" s="69" t="n">
        <v>0.31</v>
      </c>
      <c r="DT130" s="69" t="n">
        <v>0.35</v>
      </c>
      <c r="DU130" s="69" t="n">
        <v>0.46</v>
      </c>
      <c r="DV130" s="69" t="n">
        <v>0.5</v>
      </c>
      <c r="DW130" s="69" t="n">
        <v>1</v>
      </c>
      <c r="DX130" s="69" t="n">
        <v>0.06</v>
      </c>
      <c r="DY130" s="69" t="n">
        <v>0.54</v>
      </c>
      <c r="DZ130" s="69" t="n">
        <v>0.36</v>
      </c>
      <c r="EA130" s="69" t="n">
        <v>0.23</v>
      </c>
      <c r="EB130" s="69" t="n">
        <v>0.52</v>
      </c>
      <c r="EC130" s="69" t="n">
        <v>0.05</v>
      </c>
      <c r="ED130" s="69" t="n">
        <v>0.24</v>
      </c>
      <c r="EE130" s="69" t="n">
        <v>0.09</v>
      </c>
      <c r="EF130" s="69" t="n">
        <v>0.14</v>
      </c>
      <c r="EG130" s="69" t="n">
        <v>0.02</v>
      </c>
      <c r="EH130" s="69" t="n">
        <v>0.42</v>
      </c>
      <c r="EI130" s="69" t="n">
        <v>0.04</v>
      </c>
      <c r="EJ130" s="69" t="n">
        <v>0.22</v>
      </c>
      <c r="EK130" s="69" t="n">
        <v>0.16</v>
      </c>
      <c r="EL130" s="69" t="n">
        <v>0.17</v>
      </c>
      <c r="EM130" s="69" t="n">
        <v>0.23</v>
      </c>
      <c r="EN130" s="69" t="n">
        <v>0.09</v>
      </c>
      <c r="EO130" s="69" t="n">
        <v>0.08</v>
      </c>
    </row>
    <row r="131" customFormat="false" ht="15" hidden="false" customHeight="false" outlineLevel="0" collapsed="false">
      <c r="A131" s="68" t="s">
        <v>361</v>
      </c>
      <c r="B131" s="69" t="n">
        <v>-0.15</v>
      </c>
      <c r="C131" s="69" t="n">
        <v>0.04</v>
      </c>
      <c r="D131" s="69" t="n">
        <v>0.06</v>
      </c>
      <c r="E131" s="69" t="n">
        <v>0.05</v>
      </c>
      <c r="F131" s="69" t="n">
        <v>-0.19</v>
      </c>
      <c r="G131" s="69" t="n">
        <v>0.01</v>
      </c>
      <c r="H131" s="69" t="n">
        <v>0.1</v>
      </c>
      <c r="I131" s="69" t="n">
        <v>-0.16</v>
      </c>
      <c r="J131" s="69" t="n">
        <v>-0.13</v>
      </c>
      <c r="K131" s="69" t="n">
        <v>-0.17</v>
      </c>
      <c r="L131" s="69" t="n">
        <v>0.12</v>
      </c>
      <c r="M131" s="69" t="n">
        <v>0.25</v>
      </c>
      <c r="N131" s="69" t="n">
        <v>0</v>
      </c>
      <c r="O131" s="69" t="n">
        <v>0.04</v>
      </c>
      <c r="P131" s="69" t="n">
        <v>-0.09</v>
      </c>
      <c r="Q131" s="69" t="n">
        <v>0.04</v>
      </c>
      <c r="R131" s="69" t="n">
        <v>-0.23</v>
      </c>
      <c r="S131" s="69" t="n">
        <v>-0.07</v>
      </c>
      <c r="T131" s="69" t="n">
        <v>0.22</v>
      </c>
      <c r="U131" s="69" t="n">
        <v>0.13</v>
      </c>
      <c r="V131" s="69" t="n">
        <v>0.03</v>
      </c>
      <c r="W131" s="69" t="n">
        <v>0.1</v>
      </c>
      <c r="X131" s="69" t="n">
        <v>0.27</v>
      </c>
      <c r="Y131" s="69" t="n">
        <v>-0.08</v>
      </c>
      <c r="Z131" s="69" t="n">
        <v>0.05</v>
      </c>
      <c r="AA131" s="69" t="n">
        <v>0.07</v>
      </c>
      <c r="AB131" s="69" t="n">
        <v>-0.11</v>
      </c>
      <c r="AC131" s="69" t="n">
        <v>0.04</v>
      </c>
      <c r="AD131" s="69" t="n">
        <v>0.17</v>
      </c>
      <c r="AE131" s="69" t="n">
        <v>0.23</v>
      </c>
      <c r="AF131" s="69" t="n">
        <v>0.22</v>
      </c>
      <c r="AG131" s="69" t="n">
        <v>-0.27</v>
      </c>
      <c r="AH131" s="69" t="n">
        <v>-0.25</v>
      </c>
      <c r="AI131" s="69" t="n">
        <v>-0.15</v>
      </c>
      <c r="AJ131" s="69" t="n">
        <v>0.13</v>
      </c>
      <c r="AK131" s="69" t="n">
        <v>0.21</v>
      </c>
      <c r="AL131" s="69" t="n">
        <v>-0.03</v>
      </c>
      <c r="AM131" s="69" t="n">
        <v>0.08</v>
      </c>
      <c r="AN131" s="69" t="n">
        <v>0.13</v>
      </c>
      <c r="AO131" s="69" t="n">
        <v>-0.05</v>
      </c>
      <c r="AP131" s="69" t="n">
        <v>-0.04</v>
      </c>
      <c r="AQ131" s="69" t="n">
        <v>-0.13</v>
      </c>
      <c r="AR131" s="69" t="n">
        <v>0.19</v>
      </c>
      <c r="AS131" s="69" t="n">
        <v>0.11</v>
      </c>
      <c r="AT131" s="69" t="n">
        <v>0.18</v>
      </c>
      <c r="AU131" s="69" t="n">
        <v>-0.06</v>
      </c>
      <c r="AV131" s="69" t="n">
        <v>0.1</v>
      </c>
      <c r="AW131" s="69" t="n">
        <v>0.2</v>
      </c>
      <c r="AX131" s="69" t="n">
        <v>0.02</v>
      </c>
      <c r="AY131" s="69" t="n">
        <v>0.16</v>
      </c>
      <c r="AZ131" s="69" t="n">
        <v>0.33</v>
      </c>
      <c r="BA131" s="69" t="n">
        <v>0.28</v>
      </c>
      <c r="BB131" s="69" t="n">
        <v>0.42</v>
      </c>
      <c r="BC131" s="69" t="n">
        <v>0.12</v>
      </c>
      <c r="BD131" s="69" t="n">
        <v>0.13</v>
      </c>
      <c r="BE131" s="69" t="n">
        <v>0.02</v>
      </c>
      <c r="BF131" s="69" t="n">
        <v>0.14</v>
      </c>
      <c r="BG131" s="69" t="n">
        <v>0.1</v>
      </c>
      <c r="BH131" s="69" t="n">
        <v>0.07</v>
      </c>
      <c r="BI131" s="69" t="n">
        <v>0.05</v>
      </c>
      <c r="BJ131" s="69" t="n">
        <v>0.08</v>
      </c>
      <c r="BK131" s="69" t="n">
        <v>0.22</v>
      </c>
      <c r="BL131" s="69" t="n">
        <v>0.35</v>
      </c>
      <c r="BM131" s="69" t="n">
        <v>0</v>
      </c>
      <c r="BN131" s="69" t="n">
        <v>0.05</v>
      </c>
      <c r="BO131" s="69" t="n">
        <v>0.21</v>
      </c>
      <c r="BP131" s="69" t="n">
        <v>0.03</v>
      </c>
      <c r="BQ131" s="69" t="n">
        <v>0.32</v>
      </c>
      <c r="BR131" s="69" t="n">
        <v>0.2</v>
      </c>
      <c r="BS131" s="69" t="n">
        <v>-0.06</v>
      </c>
      <c r="BT131" s="69" t="n">
        <v>0.37</v>
      </c>
      <c r="BU131" s="69" t="n">
        <v>0.14</v>
      </c>
      <c r="BV131" s="69" t="n">
        <v>0.21</v>
      </c>
      <c r="BW131" s="69" t="n">
        <v>0.08</v>
      </c>
      <c r="BX131" s="69" t="n">
        <v>-0.05</v>
      </c>
      <c r="BY131" s="69" t="n">
        <v>0.16</v>
      </c>
      <c r="BZ131" s="69" t="n">
        <v>0.25</v>
      </c>
      <c r="CA131" s="69" t="n">
        <v>0.13</v>
      </c>
      <c r="CB131" s="69" t="n">
        <v>-0.06</v>
      </c>
      <c r="CC131" s="69" t="n">
        <v>0.03</v>
      </c>
      <c r="CD131" s="69" t="n">
        <v>0.06</v>
      </c>
      <c r="CE131" s="69" t="n">
        <v>0.39</v>
      </c>
      <c r="CF131" s="69" t="n">
        <v>-0.1</v>
      </c>
      <c r="CG131" s="69" t="n">
        <v>0.08</v>
      </c>
      <c r="CH131" s="69" t="n">
        <v>0.42</v>
      </c>
      <c r="CI131" s="69" t="n">
        <v>-0.12</v>
      </c>
      <c r="CJ131" s="69" t="n">
        <v>-0.13</v>
      </c>
      <c r="CK131" s="69" t="n">
        <v>-0.01</v>
      </c>
      <c r="CL131" s="69" t="n">
        <v>0.16</v>
      </c>
      <c r="CM131" s="69" t="n">
        <v>0.47</v>
      </c>
      <c r="CN131" s="69" t="n">
        <v>0.12</v>
      </c>
      <c r="CO131" s="69" t="n">
        <v>0.13</v>
      </c>
      <c r="CP131" s="69" t="n">
        <v>0.06</v>
      </c>
      <c r="CQ131" s="69" t="n">
        <v>0.39</v>
      </c>
      <c r="CR131" s="69" t="n">
        <v>0.72</v>
      </c>
      <c r="CS131" s="69" t="n">
        <v>0.71</v>
      </c>
      <c r="CT131" s="69" t="n">
        <v>0.21</v>
      </c>
      <c r="CU131" s="69" t="n">
        <v>0.19</v>
      </c>
      <c r="CV131" s="69" t="n">
        <v>0.11</v>
      </c>
      <c r="CW131" s="69" t="n">
        <v>0.05</v>
      </c>
      <c r="CX131" s="69" t="n">
        <v>0.24</v>
      </c>
      <c r="CY131" s="69" t="n">
        <v>0.33</v>
      </c>
      <c r="CZ131" s="69" t="n">
        <v>0.03</v>
      </c>
      <c r="DA131" s="69" t="n">
        <v>0.03</v>
      </c>
      <c r="DB131" s="69" t="n">
        <v>0.41</v>
      </c>
      <c r="DC131" s="69" t="n">
        <v>0.28</v>
      </c>
      <c r="DD131" s="69" t="n">
        <v>0.19</v>
      </c>
      <c r="DE131" s="69" t="n">
        <v>0.56</v>
      </c>
      <c r="DF131" s="69" t="n">
        <v>-0.21</v>
      </c>
      <c r="DG131" s="69" t="n">
        <v>0.36</v>
      </c>
      <c r="DH131" s="69" t="n">
        <v>0.55</v>
      </c>
      <c r="DI131" s="69" t="n">
        <v>0.32</v>
      </c>
      <c r="DJ131" s="69" t="n">
        <v>0.27</v>
      </c>
      <c r="DK131" s="69" t="n">
        <v>0.4</v>
      </c>
      <c r="DL131" s="69" t="n">
        <v>0.25</v>
      </c>
      <c r="DM131" s="69" t="n">
        <v>0.33</v>
      </c>
      <c r="DN131" s="69" t="n">
        <v>0.06</v>
      </c>
      <c r="DO131" s="69" t="n">
        <v>0.38</v>
      </c>
      <c r="DP131" s="69" t="n">
        <v>0.21</v>
      </c>
      <c r="DQ131" s="69" t="n">
        <v>0.33</v>
      </c>
      <c r="DR131" s="69" t="n">
        <v>0.35</v>
      </c>
      <c r="DS131" s="69" t="n">
        <v>-0.07</v>
      </c>
      <c r="DT131" s="69" t="n">
        <v>0.28</v>
      </c>
      <c r="DU131" s="69" t="n">
        <v>0.34</v>
      </c>
      <c r="DV131" s="69" t="n">
        <v>0.12</v>
      </c>
      <c r="DW131" s="69" t="n">
        <v>0.06</v>
      </c>
      <c r="DX131" s="69" t="n">
        <v>1</v>
      </c>
      <c r="DY131" s="69" t="n">
        <v>0.21</v>
      </c>
      <c r="DZ131" s="69" t="n">
        <v>0.08</v>
      </c>
      <c r="EA131" s="69" t="n">
        <v>0.18</v>
      </c>
      <c r="EB131" s="69" t="n">
        <v>0.27</v>
      </c>
      <c r="EC131" s="69" t="n">
        <v>0.15</v>
      </c>
      <c r="ED131" s="69" t="n">
        <v>0.3</v>
      </c>
      <c r="EE131" s="69" t="n">
        <v>0.64</v>
      </c>
      <c r="EF131" s="69" t="n">
        <v>0.25</v>
      </c>
      <c r="EG131" s="69" t="n">
        <v>0.6</v>
      </c>
      <c r="EH131" s="69" t="n">
        <v>-0.01</v>
      </c>
      <c r="EI131" s="69" t="n">
        <v>0.73</v>
      </c>
      <c r="EJ131" s="69" t="n">
        <v>0.18</v>
      </c>
      <c r="EK131" s="69" t="n">
        <v>0.47</v>
      </c>
      <c r="EL131" s="69" t="n">
        <v>0.55</v>
      </c>
      <c r="EM131" s="69" t="n">
        <v>0.14</v>
      </c>
      <c r="EN131" s="69" t="n">
        <v>0.02</v>
      </c>
      <c r="EO131" s="69" t="n">
        <v>0.08</v>
      </c>
    </row>
    <row r="132" customFormat="false" ht="15" hidden="false" customHeight="false" outlineLevel="0" collapsed="false">
      <c r="A132" s="68" t="s">
        <v>362</v>
      </c>
      <c r="B132" s="69" t="n">
        <v>0.16</v>
      </c>
      <c r="C132" s="69" t="n">
        <v>0.01</v>
      </c>
      <c r="D132" s="69" t="n">
        <v>0.03</v>
      </c>
      <c r="E132" s="69" t="n">
        <v>0.09</v>
      </c>
      <c r="F132" s="69" t="n">
        <v>0</v>
      </c>
      <c r="G132" s="69" t="n">
        <v>-0.04</v>
      </c>
      <c r="H132" s="69" t="n">
        <v>-0.05</v>
      </c>
      <c r="I132" s="69" t="n">
        <v>0.13</v>
      </c>
      <c r="J132" s="69" t="n">
        <v>-0.12</v>
      </c>
      <c r="K132" s="69" t="n">
        <v>0.02</v>
      </c>
      <c r="L132" s="69" t="n">
        <v>0.07</v>
      </c>
      <c r="M132" s="69" t="n">
        <v>0.37</v>
      </c>
      <c r="N132" s="69" t="n">
        <v>0.12</v>
      </c>
      <c r="O132" s="69" t="n">
        <v>0.03</v>
      </c>
      <c r="P132" s="69" t="n">
        <v>0.02</v>
      </c>
      <c r="Q132" s="69" t="n">
        <v>0.04</v>
      </c>
      <c r="R132" s="69" t="n">
        <v>0.01</v>
      </c>
      <c r="S132" s="69" t="n">
        <v>0.04</v>
      </c>
      <c r="T132" s="69" t="n">
        <v>0.35</v>
      </c>
      <c r="U132" s="69" t="n">
        <v>0.13</v>
      </c>
      <c r="V132" s="69" t="n">
        <v>0.09</v>
      </c>
      <c r="W132" s="69" t="n">
        <v>0.06</v>
      </c>
      <c r="X132" s="69" t="n">
        <v>0.31</v>
      </c>
      <c r="Y132" s="69" t="n">
        <v>0.36</v>
      </c>
      <c r="Z132" s="69" t="n">
        <v>0.09</v>
      </c>
      <c r="AA132" s="69" t="n">
        <v>0.01</v>
      </c>
      <c r="AB132" s="69" t="n">
        <v>0.37</v>
      </c>
      <c r="AC132" s="69" t="n">
        <v>0.01</v>
      </c>
      <c r="AD132" s="69" t="n">
        <v>0.05</v>
      </c>
      <c r="AE132" s="69" t="n">
        <v>0.16</v>
      </c>
      <c r="AF132" s="69" t="n">
        <v>0.07</v>
      </c>
      <c r="AG132" s="69" t="n">
        <v>-0.05</v>
      </c>
      <c r="AH132" s="69" t="n">
        <v>-0.04</v>
      </c>
      <c r="AI132" s="69" t="n">
        <v>-0.15</v>
      </c>
      <c r="AJ132" s="69" t="n">
        <v>-0.02</v>
      </c>
      <c r="AK132" s="69" t="n">
        <v>0.04</v>
      </c>
      <c r="AL132" s="69" t="n">
        <v>0.28</v>
      </c>
      <c r="AM132" s="69" t="n">
        <v>0.13</v>
      </c>
      <c r="AN132" s="69" t="n">
        <v>0.36</v>
      </c>
      <c r="AO132" s="69" t="n">
        <v>-0.01</v>
      </c>
      <c r="AP132" s="69" t="n">
        <v>0.35</v>
      </c>
      <c r="AQ132" s="69" t="n">
        <v>-0.17</v>
      </c>
      <c r="AR132" s="69" t="n">
        <v>0.29</v>
      </c>
      <c r="AS132" s="69" t="n">
        <v>0.07</v>
      </c>
      <c r="AT132" s="69" t="n">
        <v>0.59</v>
      </c>
      <c r="AU132" s="69" t="n">
        <v>-0.07</v>
      </c>
      <c r="AV132" s="69" t="n">
        <v>0.13</v>
      </c>
      <c r="AW132" s="69" t="n">
        <v>0.12</v>
      </c>
      <c r="AX132" s="69" t="n">
        <v>0.05</v>
      </c>
      <c r="AY132" s="69" t="n">
        <v>0.31</v>
      </c>
      <c r="AZ132" s="69" t="n">
        <v>0.16</v>
      </c>
      <c r="BA132" s="69" t="n">
        <v>0.21</v>
      </c>
      <c r="BB132" s="69" t="n">
        <v>0.45</v>
      </c>
      <c r="BC132" s="69" t="n">
        <v>0.1</v>
      </c>
      <c r="BD132" s="69" t="n">
        <v>0.07</v>
      </c>
      <c r="BE132" s="69" t="n">
        <v>0.05</v>
      </c>
      <c r="BF132" s="69" t="n">
        <v>0.11</v>
      </c>
      <c r="BG132" s="69" t="n">
        <v>0.37</v>
      </c>
      <c r="BH132" s="69" t="n">
        <v>0.13</v>
      </c>
      <c r="BI132" s="69" t="n">
        <v>0.2</v>
      </c>
      <c r="BJ132" s="69" t="n">
        <v>-0.03</v>
      </c>
      <c r="BK132" s="69" t="n">
        <v>0.14</v>
      </c>
      <c r="BL132" s="69" t="n">
        <v>0.2</v>
      </c>
      <c r="BM132" s="69" t="n">
        <v>0.26</v>
      </c>
      <c r="BN132" s="69" t="n">
        <v>-0.05</v>
      </c>
      <c r="BO132" s="69" t="n">
        <v>0.31</v>
      </c>
      <c r="BP132" s="69" t="n">
        <v>0.38</v>
      </c>
      <c r="BQ132" s="69" t="n">
        <v>0.19</v>
      </c>
      <c r="BR132" s="69" t="n">
        <v>0.35</v>
      </c>
      <c r="BS132" s="69" t="n">
        <v>-0.16</v>
      </c>
      <c r="BT132" s="69" t="n">
        <v>0.3</v>
      </c>
      <c r="BU132" s="69" t="n">
        <v>0.1</v>
      </c>
      <c r="BV132" s="69" t="n">
        <v>0.45</v>
      </c>
      <c r="BW132" s="69" t="n">
        <v>0.3</v>
      </c>
      <c r="BX132" s="69" t="n">
        <v>0.09</v>
      </c>
      <c r="BY132" s="69" t="n">
        <v>0.32</v>
      </c>
      <c r="BZ132" s="69" t="n">
        <v>0.36</v>
      </c>
      <c r="CA132" s="69" t="n">
        <v>0.04</v>
      </c>
      <c r="CB132" s="69" t="n">
        <v>0</v>
      </c>
      <c r="CC132" s="69" t="n">
        <v>0.1</v>
      </c>
      <c r="CD132" s="69" t="n">
        <v>0.37</v>
      </c>
      <c r="CE132" s="69" t="n">
        <v>0.23</v>
      </c>
      <c r="CF132" s="69" t="n">
        <v>-0.15</v>
      </c>
      <c r="CG132" s="69" t="n">
        <v>0.44</v>
      </c>
      <c r="CH132" s="69" t="n">
        <v>0.15</v>
      </c>
      <c r="CI132" s="69" t="n">
        <v>-0.15</v>
      </c>
      <c r="CJ132" s="69" t="n">
        <v>0.21</v>
      </c>
      <c r="CK132" s="69" t="n">
        <v>0.29</v>
      </c>
      <c r="CL132" s="69" t="n">
        <v>0.24</v>
      </c>
      <c r="CM132" s="69" t="n">
        <v>0.28</v>
      </c>
      <c r="CN132" s="69" t="n">
        <v>0.03</v>
      </c>
      <c r="CO132" s="69" t="n">
        <v>0.22</v>
      </c>
      <c r="CP132" s="69" t="n">
        <v>0.19</v>
      </c>
      <c r="CQ132" s="69" t="n">
        <v>0.45</v>
      </c>
      <c r="CR132" s="69" t="n">
        <v>0.32</v>
      </c>
      <c r="CS132" s="69" t="n">
        <v>0.18</v>
      </c>
      <c r="CT132" s="69" t="n">
        <v>0.4</v>
      </c>
      <c r="CU132" s="69" t="n">
        <v>0.12</v>
      </c>
      <c r="CV132" s="69" t="n">
        <v>0.33</v>
      </c>
      <c r="CW132" s="69" t="n">
        <v>0.49</v>
      </c>
      <c r="CX132" s="69" t="n">
        <v>0.41</v>
      </c>
      <c r="CY132" s="69" t="n">
        <v>0.37</v>
      </c>
      <c r="CZ132" s="69" t="n">
        <v>0.25</v>
      </c>
      <c r="DA132" s="69" t="n">
        <v>0.34</v>
      </c>
      <c r="DB132" s="69" t="n">
        <v>0.42</v>
      </c>
      <c r="DC132" s="69" t="n">
        <v>0.28</v>
      </c>
      <c r="DD132" s="69" t="n">
        <v>0.56</v>
      </c>
      <c r="DE132" s="69" t="n">
        <v>0.3</v>
      </c>
      <c r="DF132" s="69" t="n">
        <v>0.29</v>
      </c>
      <c r="DG132" s="69" t="n">
        <v>0.26</v>
      </c>
      <c r="DH132" s="69" t="n">
        <v>0.27</v>
      </c>
      <c r="DI132" s="69" t="n">
        <v>0.47</v>
      </c>
      <c r="DJ132" s="69" t="n">
        <v>0.33</v>
      </c>
      <c r="DK132" s="69" t="n">
        <v>0.48</v>
      </c>
      <c r="DL132" s="69" t="n">
        <v>0.05</v>
      </c>
      <c r="DM132" s="69" t="n">
        <v>0.4</v>
      </c>
      <c r="DN132" s="69" t="n">
        <v>0.39</v>
      </c>
      <c r="DO132" s="69" t="n">
        <v>0.25</v>
      </c>
      <c r="DP132" s="69" t="n">
        <v>0.38</v>
      </c>
      <c r="DQ132" s="69" t="n">
        <v>0.28</v>
      </c>
      <c r="DR132" s="69" t="n">
        <v>0.22</v>
      </c>
      <c r="DS132" s="69" t="n">
        <v>0.39</v>
      </c>
      <c r="DT132" s="69" t="n">
        <v>0.35</v>
      </c>
      <c r="DU132" s="69" t="n">
        <v>0.66</v>
      </c>
      <c r="DV132" s="69" t="n">
        <v>0.4</v>
      </c>
      <c r="DW132" s="69" t="n">
        <v>0.54</v>
      </c>
      <c r="DX132" s="69" t="n">
        <v>0.21</v>
      </c>
      <c r="DY132" s="69" t="n">
        <v>1</v>
      </c>
      <c r="DZ132" s="69" t="n">
        <v>0.25</v>
      </c>
      <c r="EA132" s="69" t="n">
        <v>0.27</v>
      </c>
      <c r="EB132" s="69" t="n">
        <v>0.73</v>
      </c>
      <c r="EC132" s="69" t="n">
        <v>-0.02</v>
      </c>
      <c r="ED132" s="69" t="n">
        <v>0.29</v>
      </c>
      <c r="EE132" s="69" t="n">
        <v>0.25</v>
      </c>
      <c r="EF132" s="69" t="n">
        <v>0.25</v>
      </c>
      <c r="EG132" s="69" t="n">
        <v>0.21</v>
      </c>
      <c r="EH132" s="69" t="n">
        <v>0.36</v>
      </c>
      <c r="EI132" s="69" t="n">
        <v>0.22</v>
      </c>
      <c r="EJ132" s="69" t="n">
        <v>0.21</v>
      </c>
      <c r="EK132" s="69" t="n">
        <v>0.3</v>
      </c>
      <c r="EL132" s="69" t="n">
        <v>0.3</v>
      </c>
      <c r="EM132" s="69" t="n">
        <v>0.21</v>
      </c>
      <c r="EN132" s="69" t="n">
        <v>0.18</v>
      </c>
      <c r="EO132" s="69" t="n">
        <v>0.23</v>
      </c>
    </row>
    <row r="133" customFormat="false" ht="15" hidden="false" customHeight="false" outlineLevel="0" collapsed="false">
      <c r="A133" s="68" t="s">
        <v>363</v>
      </c>
      <c r="B133" s="69" t="n">
        <v>0.02</v>
      </c>
      <c r="C133" s="69" t="n">
        <v>-0.1</v>
      </c>
      <c r="D133" s="69" t="n">
        <v>0.12</v>
      </c>
      <c r="E133" s="69" t="n">
        <v>0.03</v>
      </c>
      <c r="F133" s="69" t="n">
        <v>-0.05</v>
      </c>
      <c r="G133" s="69" t="n">
        <v>0.04</v>
      </c>
      <c r="H133" s="69" t="n">
        <v>0.04</v>
      </c>
      <c r="I133" s="69" t="n">
        <v>-0.01</v>
      </c>
      <c r="J133" s="69" t="n">
        <v>0</v>
      </c>
      <c r="K133" s="69" t="n">
        <v>-0.09</v>
      </c>
      <c r="L133" s="69" t="n">
        <v>0.1</v>
      </c>
      <c r="M133" s="69" t="n">
        <v>0.1</v>
      </c>
      <c r="N133" s="69" t="n">
        <v>0.12</v>
      </c>
      <c r="O133" s="69" t="n">
        <v>-0.07</v>
      </c>
      <c r="P133" s="69" t="n">
        <v>0.01</v>
      </c>
      <c r="Q133" s="69" t="n">
        <v>0.05</v>
      </c>
      <c r="R133" s="69" t="n">
        <v>-0.05</v>
      </c>
      <c r="S133" s="69" t="n">
        <v>0.06</v>
      </c>
      <c r="T133" s="69" t="n">
        <v>0.11</v>
      </c>
      <c r="U133" s="69" t="n">
        <v>0.07</v>
      </c>
      <c r="V133" s="69" t="n">
        <v>-0.08</v>
      </c>
      <c r="W133" s="69" t="n">
        <v>0.02</v>
      </c>
      <c r="X133" s="69" t="n">
        <v>0.1</v>
      </c>
      <c r="Y133" s="69" t="n">
        <v>0.08</v>
      </c>
      <c r="Z133" s="69" t="n">
        <v>0.04</v>
      </c>
      <c r="AA133" s="69" t="n">
        <v>0.02</v>
      </c>
      <c r="AB133" s="69" t="n">
        <v>0.08</v>
      </c>
      <c r="AC133" s="69" t="n">
        <v>-0.07</v>
      </c>
      <c r="AD133" s="69" t="n">
        <v>-0.03</v>
      </c>
      <c r="AE133" s="69" t="n">
        <v>-0.03</v>
      </c>
      <c r="AF133" s="69" t="n">
        <v>0</v>
      </c>
      <c r="AG133" s="69" t="n">
        <v>-0.07</v>
      </c>
      <c r="AH133" s="69" t="n">
        <v>-0.04</v>
      </c>
      <c r="AI133" s="69" t="n">
        <v>0.03</v>
      </c>
      <c r="AJ133" s="69" t="n">
        <v>0.04</v>
      </c>
      <c r="AK133" s="69" t="n">
        <v>-0.07</v>
      </c>
      <c r="AL133" s="69" t="n">
        <v>0.15</v>
      </c>
      <c r="AM133" s="69" t="n">
        <v>0.16</v>
      </c>
      <c r="AN133" s="69" t="n">
        <v>0.03</v>
      </c>
      <c r="AO133" s="69" t="n">
        <v>-0.02</v>
      </c>
      <c r="AP133" s="69" t="n">
        <v>0.09</v>
      </c>
      <c r="AQ133" s="69" t="n">
        <v>-0.04</v>
      </c>
      <c r="AR133" s="69" t="n">
        <v>0.11</v>
      </c>
      <c r="AS133" s="69" t="n">
        <v>0.03</v>
      </c>
      <c r="AT133" s="69" t="n">
        <v>0.14</v>
      </c>
      <c r="AU133" s="69" t="n">
        <v>0</v>
      </c>
      <c r="AV133" s="69" t="n">
        <v>0.02</v>
      </c>
      <c r="AW133" s="69" t="n">
        <v>0.03</v>
      </c>
      <c r="AX133" s="69" t="n">
        <v>0.03</v>
      </c>
      <c r="AY133" s="69" t="n">
        <v>0.04</v>
      </c>
      <c r="AZ133" s="69" t="n">
        <v>0.01</v>
      </c>
      <c r="BA133" s="69" t="n">
        <v>0.01</v>
      </c>
      <c r="BB133" s="69" t="n">
        <v>0.19</v>
      </c>
      <c r="BC133" s="69" t="n">
        <v>0.05</v>
      </c>
      <c r="BD133" s="69" t="n">
        <v>0.07</v>
      </c>
      <c r="BE133" s="69" t="n">
        <v>-0.03</v>
      </c>
      <c r="BF133" s="69" t="n">
        <v>0.07</v>
      </c>
      <c r="BG133" s="69" t="n">
        <v>0.23</v>
      </c>
      <c r="BH133" s="69" t="n">
        <v>0.11</v>
      </c>
      <c r="BI133" s="69" t="n">
        <v>0.08</v>
      </c>
      <c r="BJ133" s="69" t="n">
        <v>-0.03</v>
      </c>
      <c r="BK133" s="69" t="n">
        <v>0.04</v>
      </c>
      <c r="BL133" s="69" t="n">
        <v>0.13</v>
      </c>
      <c r="BM133" s="69" t="n">
        <v>0.03</v>
      </c>
      <c r="BN133" s="69" t="n">
        <v>-0.05</v>
      </c>
      <c r="BO133" s="69" t="n">
        <v>0.17</v>
      </c>
      <c r="BP133" s="69" t="n">
        <v>0.32</v>
      </c>
      <c r="BQ133" s="69" t="n">
        <v>-0.01</v>
      </c>
      <c r="BR133" s="69" t="n">
        <v>0.19</v>
      </c>
      <c r="BS133" s="69" t="n">
        <v>0.07</v>
      </c>
      <c r="BT133" s="69" t="n">
        <v>0.01</v>
      </c>
      <c r="BU133" s="69" t="n">
        <v>0.05</v>
      </c>
      <c r="BV133" s="69" t="n">
        <v>0.22</v>
      </c>
      <c r="BW133" s="69" t="n">
        <v>0.2</v>
      </c>
      <c r="BX133" s="69" t="n">
        <v>0.16</v>
      </c>
      <c r="BY133" s="69" t="n">
        <v>0.07</v>
      </c>
      <c r="BZ133" s="69" t="n">
        <v>0.12</v>
      </c>
      <c r="CA133" s="69" t="n">
        <v>-0.04</v>
      </c>
      <c r="CB133" s="69" t="n">
        <v>-0.02</v>
      </c>
      <c r="CC133" s="69" t="n">
        <v>0.08</v>
      </c>
      <c r="CD133" s="69" t="n">
        <v>0.25</v>
      </c>
      <c r="CE133" s="69" t="n">
        <v>0.15</v>
      </c>
      <c r="CF133" s="69" t="n">
        <v>0.1</v>
      </c>
      <c r="CG133" s="69" t="n">
        <v>0.42</v>
      </c>
      <c r="CH133" s="69" t="n">
        <v>-0.01</v>
      </c>
      <c r="CI133" s="69" t="n">
        <v>0.06</v>
      </c>
      <c r="CJ133" s="69" t="n">
        <v>0.14</v>
      </c>
      <c r="CK133" s="69" t="n">
        <v>0.08</v>
      </c>
      <c r="CL133" s="69" t="n">
        <v>0.02</v>
      </c>
      <c r="CM133" s="69" t="n">
        <v>0.21</v>
      </c>
      <c r="CN133" s="69" t="n">
        <v>-0.03</v>
      </c>
      <c r="CO133" s="69" t="n">
        <v>0.04</v>
      </c>
      <c r="CP133" s="69" t="n">
        <v>0.29</v>
      </c>
      <c r="CQ133" s="69" t="n">
        <v>0.14</v>
      </c>
      <c r="CR133" s="69" t="n">
        <v>0.14</v>
      </c>
      <c r="CS133" s="69" t="n">
        <v>0.01</v>
      </c>
      <c r="CT133" s="69" t="n">
        <v>0.31</v>
      </c>
      <c r="CU133" s="69" t="n">
        <v>0.1</v>
      </c>
      <c r="CV133" s="69" t="n">
        <v>0.08</v>
      </c>
      <c r="CW133" s="69" t="n">
        <v>0.17</v>
      </c>
      <c r="CX133" s="69" t="n">
        <v>0.07</v>
      </c>
      <c r="CY133" s="69" t="n">
        <v>0.03</v>
      </c>
      <c r="CZ133" s="69" t="n">
        <v>0.51</v>
      </c>
      <c r="DA133" s="69" t="n">
        <v>0.21</v>
      </c>
      <c r="DB133" s="69" t="n">
        <v>0.22</v>
      </c>
      <c r="DC133" s="69" t="n">
        <v>0.03</v>
      </c>
      <c r="DD133" s="69" t="n">
        <v>0.3</v>
      </c>
      <c r="DE133" s="69" t="n">
        <v>0.04</v>
      </c>
      <c r="DF133" s="69" t="n">
        <v>0.49</v>
      </c>
      <c r="DG133" s="69" t="n">
        <v>0.07</v>
      </c>
      <c r="DH133" s="69" t="n">
        <v>0.17</v>
      </c>
      <c r="DI133" s="69" t="n">
        <v>0.13</v>
      </c>
      <c r="DJ133" s="69" t="n">
        <v>0.12</v>
      </c>
      <c r="DK133" s="69" t="n">
        <v>0.12</v>
      </c>
      <c r="DL133" s="69" t="n">
        <v>0.04</v>
      </c>
      <c r="DM133" s="69" t="n">
        <v>0.1</v>
      </c>
      <c r="DN133" s="69" t="n">
        <v>0.23</v>
      </c>
      <c r="DO133" s="69" t="n">
        <v>0.17</v>
      </c>
      <c r="DP133" s="69" t="n">
        <v>0.1</v>
      </c>
      <c r="DQ133" s="69" t="n">
        <v>0.18</v>
      </c>
      <c r="DR133" s="69" t="n">
        <v>0.11</v>
      </c>
      <c r="DS133" s="69" t="n">
        <v>0.26</v>
      </c>
      <c r="DT133" s="69" t="n">
        <v>0.35</v>
      </c>
      <c r="DU133" s="69" t="n">
        <v>0.27</v>
      </c>
      <c r="DV133" s="69" t="n">
        <v>0.38</v>
      </c>
      <c r="DW133" s="69" t="n">
        <v>0.36</v>
      </c>
      <c r="DX133" s="69" t="n">
        <v>0.08</v>
      </c>
      <c r="DY133" s="69" t="n">
        <v>0.25</v>
      </c>
      <c r="DZ133" s="69" t="n">
        <v>1</v>
      </c>
      <c r="EA133" s="69" t="n">
        <v>0.12</v>
      </c>
      <c r="EB133" s="69" t="n">
        <v>0.34</v>
      </c>
      <c r="EC133" s="69" t="n">
        <v>-0.01</v>
      </c>
      <c r="ED133" s="69" t="n">
        <v>0.17</v>
      </c>
      <c r="EE133" s="69" t="n">
        <v>0.09</v>
      </c>
      <c r="EF133" s="69" t="n">
        <v>0.1</v>
      </c>
      <c r="EG133" s="69" t="n">
        <v>0.09</v>
      </c>
      <c r="EH133" s="69" t="n">
        <v>0.26</v>
      </c>
      <c r="EI133" s="69" t="n">
        <v>0.09</v>
      </c>
      <c r="EJ133" s="69" t="n">
        <v>0.13</v>
      </c>
      <c r="EK133" s="69" t="n">
        <v>0.12</v>
      </c>
      <c r="EL133" s="69" t="n">
        <v>0.09</v>
      </c>
      <c r="EM133" s="69" t="n">
        <v>0.24</v>
      </c>
      <c r="EN133" s="69" t="n">
        <v>-0.01</v>
      </c>
      <c r="EO133" s="69" t="n">
        <v>0.09</v>
      </c>
    </row>
    <row r="134" customFormat="false" ht="15" hidden="false" customHeight="false" outlineLevel="0" collapsed="false">
      <c r="A134" s="68" t="s">
        <v>364</v>
      </c>
      <c r="B134" s="69" t="n">
        <v>0</v>
      </c>
      <c r="C134" s="69" t="n">
        <v>0.02</v>
      </c>
      <c r="D134" s="69" t="n">
        <v>0.04</v>
      </c>
      <c r="E134" s="69" t="n">
        <v>0.05</v>
      </c>
      <c r="F134" s="69" t="n">
        <v>0.01</v>
      </c>
      <c r="G134" s="69" t="n">
        <v>0.04</v>
      </c>
      <c r="H134" s="69" t="n">
        <v>0.1</v>
      </c>
      <c r="I134" s="69" t="n">
        <v>0.1</v>
      </c>
      <c r="J134" s="69" t="n">
        <v>0.01</v>
      </c>
      <c r="K134" s="69" t="n">
        <v>0.11</v>
      </c>
      <c r="L134" s="69" t="n">
        <v>0.11</v>
      </c>
      <c r="M134" s="69" t="n">
        <v>0.21</v>
      </c>
      <c r="N134" s="69" t="n">
        <v>0.22</v>
      </c>
      <c r="O134" s="69" t="n">
        <v>0.05</v>
      </c>
      <c r="P134" s="69" t="n">
        <v>-0.07</v>
      </c>
      <c r="Q134" s="69" t="n">
        <v>0.05</v>
      </c>
      <c r="R134" s="69" t="n">
        <v>0</v>
      </c>
      <c r="S134" s="69" t="n">
        <v>0.07</v>
      </c>
      <c r="T134" s="69" t="n">
        <v>0.13</v>
      </c>
      <c r="U134" s="69" t="n">
        <v>0.09</v>
      </c>
      <c r="V134" s="69" t="n">
        <v>0.06</v>
      </c>
      <c r="W134" s="69" t="n">
        <v>0.07</v>
      </c>
      <c r="X134" s="69" t="n">
        <v>0.08</v>
      </c>
      <c r="Y134" s="69" t="n">
        <v>0.06</v>
      </c>
      <c r="Z134" s="69" t="n">
        <v>0.15</v>
      </c>
      <c r="AA134" s="69" t="n">
        <v>0.07</v>
      </c>
      <c r="AB134" s="69" t="n">
        <v>0.03</v>
      </c>
      <c r="AC134" s="69" t="n">
        <v>-0.05</v>
      </c>
      <c r="AD134" s="69" t="n">
        <v>0.1</v>
      </c>
      <c r="AE134" s="69" t="n">
        <v>0.15</v>
      </c>
      <c r="AF134" s="69" t="n">
        <v>0.11</v>
      </c>
      <c r="AG134" s="69" t="n">
        <v>-0.16</v>
      </c>
      <c r="AH134" s="69" t="n">
        <v>-0.12</v>
      </c>
      <c r="AI134" s="69" t="n">
        <v>-0.16</v>
      </c>
      <c r="AJ134" s="69" t="n">
        <v>0.18</v>
      </c>
      <c r="AK134" s="69" t="n">
        <v>0.1</v>
      </c>
      <c r="AL134" s="69" t="n">
        <v>0.21</v>
      </c>
      <c r="AM134" s="69" t="n">
        <v>0.03</v>
      </c>
      <c r="AN134" s="69" t="n">
        <v>0.17</v>
      </c>
      <c r="AO134" s="69" t="n">
        <v>0.1</v>
      </c>
      <c r="AP134" s="69" t="n">
        <v>0.26</v>
      </c>
      <c r="AQ134" s="69" t="n">
        <v>-0.17</v>
      </c>
      <c r="AR134" s="69" t="n">
        <v>0.12</v>
      </c>
      <c r="AS134" s="69" t="n">
        <v>0.1</v>
      </c>
      <c r="AT134" s="69" t="n">
        <v>0.25</v>
      </c>
      <c r="AU134" s="69" t="n">
        <v>0.01</v>
      </c>
      <c r="AV134" s="69" t="n">
        <v>0.09</v>
      </c>
      <c r="AW134" s="69" t="n">
        <v>0.08</v>
      </c>
      <c r="AX134" s="69" t="n">
        <v>0.1</v>
      </c>
      <c r="AY134" s="69" t="n">
        <v>0.19</v>
      </c>
      <c r="AZ134" s="69" t="n">
        <v>0.2</v>
      </c>
      <c r="BA134" s="69" t="n">
        <v>0.17</v>
      </c>
      <c r="BB134" s="69" t="n">
        <v>0.19</v>
      </c>
      <c r="BC134" s="69" t="n">
        <v>0.08</v>
      </c>
      <c r="BD134" s="69" t="n">
        <v>0.1</v>
      </c>
      <c r="BE134" s="69" t="n">
        <v>0.13</v>
      </c>
      <c r="BF134" s="69" t="n">
        <v>0.1</v>
      </c>
      <c r="BG134" s="69" t="n">
        <v>0.22</v>
      </c>
      <c r="BH134" s="69" t="n">
        <v>0.12</v>
      </c>
      <c r="BI134" s="69" t="n">
        <v>-0.02</v>
      </c>
      <c r="BJ134" s="69" t="n">
        <v>0.05</v>
      </c>
      <c r="BK134" s="69" t="n">
        <v>0.19</v>
      </c>
      <c r="BL134" s="69" t="n">
        <v>0.31</v>
      </c>
      <c r="BM134" s="69" t="n">
        <v>0.06</v>
      </c>
      <c r="BN134" s="69" t="n">
        <v>0.03</v>
      </c>
      <c r="BO134" s="69" t="n">
        <v>0.19</v>
      </c>
      <c r="BP134" s="69" t="n">
        <v>0.1</v>
      </c>
      <c r="BQ134" s="69" t="n">
        <v>0.18</v>
      </c>
      <c r="BR134" s="69" t="n">
        <v>0.19</v>
      </c>
      <c r="BS134" s="69" t="n">
        <v>-0.17</v>
      </c>
      <c r="BT134" s="69" t="n">
        <v>0.26</v>
      </c>
      <c r="BU134" s="69" t="n">
        <v>0.09</v>
      </c>
      <c r="BV134" s="69" t="n">
        <v>0.12</v>
      </c>
      <c r="BW134" s="69" t="n">
        <v>0.12</v>
      </c>
      <c r="BX134" s="69" t="n">
        <v>0.1</v>
      </c>
      <c r="BY134" s="69" t="n">
        <v>0.19</v>
      </c>
      <c r="BZ134" s="69" t="n">
        <v>0.17</v>
      </c>
      <c r="CA134" s="69" t="n">
        <v>0.1</v>
      </c>
      <c r="CB134" s="69" t="n">
        <v>-0.08</v>
      </c>
      <c r="CC134" s="69" t="n">
        <v>0.08</v>
      </c>
      <c r="CD134" s="69" t="n">
        <v>0.27</v>
      </c>
      <c r="CE134" s="69" t="n">
        <v>0.05</v>
      </c>
      <c r="CF134" s="69" t="n">
        <v>-0.14</v>
      </c>
      <c r="CG134" s="69" t="n">
        <v>0.3</v>
      </c>
      <c r="CH134" s="69" t="n">
        <v>0.3</v>
      </c>
      <c r="CI134" s="69" t="n">
        <v>-0.12</v>
      </c>
      <c r="CJ134" s="69" t="n">
        <v>0.02</v>
      </c>
      <c r="CK134" s="69" t="n">
        <v>0.23</v>
      </c>
      <c r="CL134" s="69" t="n">
        <v>0.22</v>
      </c>
      <c r="CM134" s="69" t="n">
        <v>0.14</v>
      </c>
      <c r="CN134" s="69" t="n">
        <v>0.04</v>
      </c>
      <c r="CO134" s="69" t="n">
        <v>0.17</v>
      </c>
      <c r="CP134" s="69" t="n">
        <v>0.17</v>
      </c>
      <c r="CQ134" s="69" t="n">
        <v>0.25</v>
      </c>
      <c r="CR134" s="69" t="n">
        <v>0.24</v>
      </c>
      <c r="CS134" s="69" t="n">
        <v>0.2</v>
      </c>
      <c r="CT134" s="69" t="n">
        <v>0.21</v>
      </c>
      <c r="CU134" s="69" t="n">
        <v>0.21</v>
      </c>
      <c r="CV134" s="69" t="n">
        <v>0.2</v>
      </c>
      <c r="CW134" s="69" t="n">
        <v>0.2</v>
      </c>
      <c r="CX134" s="69" t="n">
        <v>0.22</v>
      </c>
      <c r="CY134" s="69" t="n">
        <v>0.23</v>
      </c>
      <c r="CZ134" s="69" t="n">
        <v>0</v>
      </c>
      <c r="DA134" s="69" t="n">
        <v>0.13</v>
      </c>
      <c r="DB134" s="69" t="n">
        <v>0.23</v>
      </c>
      <c r="DC134" s="69" t="n">
        <v>0.19</v>
      </c>
      <c r="DD134" s="69" t="n">
        <v>0.23</v>
      </c>
      <c r="DE134" s="69" t="n">
        <v>0.27</v>
      </c>
      <c r="DF134" s="69" t="n">
        <v>0.05</v>
      </c>
      <c r="DG134" s="69" t="n">
        <v>0.26</v>
      </c>
      <c r="DH134" s="69" t="n">
        <v>0.18</v>
      </c>
      <c r="DI134" s="69" t="n">
        <v>0.27</v>
      </c>
      <c r="DJ134" s="69" t="n">
        <v>0.23</v>
      </c>
      <c r="DK134" s="69" t="n">
        <v>0.28</v>
      </c>
      <c r="DL134" s="69" t="n">
        <v>0.21</v>
      </c>
      <c r="DM134" s="69" t="n">
        <v>0.25</v>
      </c>
      <c r="DN134" s="69" t="n">
        <v>0.19</v>
      </c>
      <c r="DO134" s="69" t="n">
        <v>0.16</v>
      </c>
      <c r="DP134" s="69" t="n">
        <v>0.24</v>
      </c>
      <c r="DQ134" s="69" t="n">
        <v>0.07</v>
      </c>
      <c r="DR134" s="69" t="n">
        <v>0.19</v>
      </c>
      <c r="DS134" s="69" t="n">
        <v>0.09</v>
      </c>
      <c r="DT134" s="69" t="n">
        <v>0.19</v>
      </c>
      <c r="DU134" s="69" t="n">
        <v>0.27</v>
      </c>
      <c r="DV134" s="69" t="n">
        <v>0.14</v>
      </c>
      <c r="DW134" s="69" t="n">
        <v>0.23</v>
      </c>
      <c r="DX134" s="69" t="n">
        <v>0.18</v>
      </c>
      <c r="DY134" s="69" t="n">
        <v>0.27</v>
      </c>
      <c r="DZ134" s="69" t="n">
        <v>0.12</v>
      </c>
      <c r="EA134" s="69" t="n">
        <v>1</v>
      </c>
      <c r="EB134" s="69" t="n">
        <v>0.33</v>
      </c>
      <c r="EC134" s="69" t="n">
        <v>0.09</v>
      </c>
      <c r="ED134" s="69" t="n">
        <v>0.23</v>
      </c>
      <c r="EE134" s="69" t="n">
        <v>0.29</v>
      </c>
      <c r="EF134" s="69" t="n">
        <v>0.23</v>
      </c>
      <c r="EG134" s="69" t="n">
        <v>0.23</v>
      </c>
      <c r="EH134" s="69" t="n">
        <v>0.06</v>
      </c>
      <c r="EI134" s="69" t="n">
        <v>0.24</v>
      </c>
      <c r="EJ134" s="69" t="n">
        <v>0.32</v>
      </c>
      <c r="EK134" s="69" t="n">
        <v>0.24</v>
      </c>
      <c r="EL134" s="69" t="n">
        <v>0.28</v>
      </c>
      <c r="EM134" s="69" t="n">
        <v>0.27</v>
      </c>
      <c r="EN134" s="69" t="n">
        <v>0.37</v>
      </c>
      <c r="EO134" s="69" t="n">
        <v>0.09</v>
      </c>
    </row>
    <row r="135" customFormat="false" ht="15" hidden="false" customHeight="false" outlineLevel="0" collapsed="false">
      <c r="A135" s="68" t="s">
        <v>365</v>
      </c>
      <c r="B135" s="69" t="n">
        <v>0.05</v>
      </c>
      <c r="C135" s="69" t="n">
        <v>-0.08</v>
      </c>
      <c r="D135" s="69" t="n">
        <v>0.05</v>
      </c>
      <c r="E135" s="69" t="n">
        <v>0.12</v>
      </c>
      <c r="F135" s="69" t="n">
        <v>-0.05</v>
      </c>
      <c r="G135" s="69" t="n">
        <v>0.01</v>
      </c>
      <c r="H135" s="69" t="n">
        <v>0</v>
      </c>
      <c r="I135" s="69" t="n">
        <v>0.09</v>
      </c>
      <c r="J135" s="69" t="n">
        <v>-0.06</v>
      </c>
      <c r="K135" s="69" t="n">
        <v>0</v>
      </c>
      <c r="L135" s="69" t="n">
        <v>0.04</v>
      </c>
      <c r="M135" s="69" t="n">
        <v>0.37</v>
      </c>
      <c r="N135" s="69" t="n">
        <v>0.17</v>
      </c>
      <c r="O135" s="69" t="n">
        <v>0</v>
      </c>
      <c r="P135" s="69" t="n">
        <v>0.01</v>
      </c>
      <c r="Q135" s="69" t="n">
        <v>0.04</v>
      </c>
      <c r="R135" s="69" t="n">
        <v>-0.01</v>
      </c>
      <c r="S135" s="69" t="n">
        <v>0</v>
      </c>
      <c r="T135" s="69" t="n">
        <v>0.38</v>
      </c>
      <c r="U135" s="69" t="n">
        <v>0.18</v>
      </c>
      <c r="V135" s="69" t="n">
        <v>0.05</v>
      </c>
      <c r="W135" s="69" t="n">
        <v>0.05</v>
      </c>
      <c r="X135" s="69" t="n">
        <v>0.31</v>
      </c>
      <c r="Y135" s="69" t="n">
        <v>0.23</v>
      </c>
      <c r="Z135" s="69" t="n">
        <v>0.14</v>
      </c>
      <c r="AA135" s="69" t="n">
        <v>-0.01</v>
      </c>
      <c r="AB135" s="69" t="n">
        <v>0.24</v>
      </c>
      <c r="AC135" s="69" t="n">
        <v>0.04</v>
      </c>
      <c r="AD135" s="69" t="n">
        <v>0.01</v>
      </c>
      <c r="AE135" s="69" t="n">
        <v>0.14</v>
      </c>
      <c r="AF135" s="69" t="n">
        <v>0.07</v>
      </c>
      <c r="AG135" s="69" t="n">
        <v>-0.08</v>
      </c>
      <c r="AH135" s="69" t="n">
        <v>-0.1</v>
      </c>
      <c r="AI135" s="69" t="n">
        <v>-0.1</v>
      </c>
      <c r="AJ135" s="69" t="n">
        <v>-0.01</v>
      </c>
      <c r="AK135" s="69" t="n">
        <v>0.1</v>
      </c>
      <c r="AL135" s="69" t="n">
        <v>0.26</v>
      </c>
      <c r="AM135" s="69" t="n">
        <v>0.19</v>
      </c>
      <c r="AN135" s="69" t="n">
        <v>0.31</v>
      </c>
      <c r="AO135" s="69" t="n">
        <v>0</v>
      </c>
      <c r="AP135" s="69" t="n">
        <v>0.3</v>
      </c>
      <c r="AQ135" s="69" t="n">
        <v>-0.13</v>
      </c>
      <c r="AR135" s="69" t="n">
        <v>0.33</v>
      </c>
      <c r="AS135" s="69" t="n">
        <v>0.09</v>
      </c>
      <c r="AT135" s="69" t="n">
        <v>0.54</v>
      </c>
      <c r="AU135" s="69" t="n">
        <v>0</v>
      </c>
      <c r="AV135" s="69" t="n">
        <v>0.15</v>
      </c>
      <c r="AW135" s="69" t="n">
        <v>0.1</v>
      </c>
      <c r="AX135" s="69" t="n">
        <v>0.1</v>
      </c>
      <c r="AY135" s="69" t="n">
        <v>0.21</v>
      </c>
      <c r="AZ135" s="69" t="n">
        <v>0.14</v>
      </c>
      <c r="BA135" s="69" t="n">
        <v>0.23</v>
      </c>
      <c r="BB135" s="69" t="n">
        <v>0.52</v>
      </c>
      <c r="BC135" s="69" t="n">
        <v>0.06</v>
      </c>
      <c r="BD135" s="69" t="n">
        <v>0.04</v>
      </c>
      <c r="BE135" s="69" t="n">
        <v>0.12</v>
      </c>
      <c r="BF135" s="69" t="n">
        <v>0.13</v>
      </c>
      <c r="BG135" s="69" t="n">
        <v>0.38</v>
      </c>
      <c r="BH135" s="69" t="n">
        <v>0.14</v>
      </c>
      <c r="BI135" s="69" t="n">
        <v>0.14</v>
      </c>
      <c r="BJ135" s="69" t="n">
        <v>-0.07</v>
      </c>
      <c r="BK135" s="69" t="n">
        <v>0.17</v>
      </c>
      <c r="BL135" s="69" t="n">
        <v>0.17</v>
      </c>
      <c r="BM135" s="69" t="n">
        <v>0.26</v>
      </c>
      <c r="BN135" s="69" t="n">
        <v>-0.04</v>
      </c>
      <c r="BO135" s="69" t="n">
        <v>0.3</v>
      </c>
      <c r="BP135" s="69" t="n">
        <v>0.36</v>
      </c>
      <c r="BQ135" s="69" t="n">
        <v>0.14</v>
      </c>
      <c r="BR135" s="69" t="n">
        <v>0.34</v>
      </c>
      <c r="BS135" s="69" t="n">
        <v>-0.09</v>
      </c>
      <c r="BT135" s="69" t="n">
        <v>0.29</v>
      </c>
      <c r="BU135" s="69" t="n">
        <v>0.14</v>
      </c>
      <c r="BV135" s="69" t="n">
        <v>0.37</v>
      </c>
      <c r="BW135" s="69" t="n">
        <v>0.25</v>
      </c>
      <c r="BX135" s="69" t="n">
        <v>0.11</v>
      </c>
      <c r="BY135" s="69" t="n">
        <v>0.32</v>
      </c>
      <c r="BZ135" s="69" t="n">
        <v>0.36</v>
      </c>
      <c r="CA135" s="69" t="n">
        <v>0.09</v>
      </c>
      <c r="CB135" s="69" t="n">
        <v>0</v>
      </c>
      <c r="CC135" s="69" t="n">
        <v>0.15</v>
      </c>
      <c r="CD135" s="69" t="n">
        <v>0.31</v>
      </c>
      <c r="CE135" s="69" t="n">
        <v>0.27</v>
      </c>
      <c r="CF135" s="69" t="n">
        <v>-0.07</v>
      </c>
      <c r="CG135" s="69" t="n">
        <v>0.43</v>
      </c>
      <c r="CH135" s="69" t="n">
        <v>0.14</v>
      </c>
      <c r="CI135" s="69" t="n">
        <v>-0.11</v>
      </c>
      <c r="CJ135" s="69" t="n">
        <v>0.18</v>
      </c>
      <c r="CK135" s="69" t="n">
        <v>0.3</v>
      </c>
      <c r="CL135" s="69" t="n">
        <v>0.28</v>
      </c>
      <c r="CM135" s="69" t="n">
        <v>0.34</v>
      </c>
      <c r="CN135" s="69" t="n">
        <v>0.06</v>
      </c>
      <c r="CO135" s="69" t="n">
        <v>0.12</v>
      </c>
      <c r="CP135" s="69" t="n">
        <v>0.21</v>
      </c>
      <c r="CQ135" s="69" t="n">
        <v>0.5</v>
      </c>
      <c r="CR135" s="69" t="n">
        <v>0.35</v>
      </c>
      <c r="CS135" s="69" t="n">
        <v>0.24</v>
      </c>
      <c r="CT135" s="69" t="n">
        <v>0.36</v>
      </c>
      <c r="CU135" s="69" t="n">
        <v>0.15</v>
      </c>
      <c r="CV135" s="69" t="n">
        <v>0.31</v>
      </c>
      <c r="CW135" s="69" t="n">
        <v>0.39</v>
      </c>
      <c r="CX135" s="69" t="n">
        <v>0.42</v>
      </c>
      <c r="CY135" s="69" t="n">
        <v>0.37</v>
      </c>
      <c r="CZ135" s="69" t="n">
        <v>0.3</v>
      </c>
      <c r="DA135" s="69" t="n">
        <v>0.32</v>
      </c>
      <c r="DB135" s="69" t="n">
        <v>0.42</v>
      </c>
      <c r="DC135" s="69" t="n">
        <v>0.25</v>
      </c>
      <c r="DD135" s="69" t="n">
        <v>0.54</v>
      </c>
      <c r="DE135" s="69" t="n">
        <v>0.31</v>
      </c>
      <c r="DF135" s="69" t="n">
        <v>0.29</v>
      </c>
      <c r="DG135" s="69" t="n">
        <v>0.24</v>
      </c>
      <c r="DH135" s="69" t="n">
        <v>0.31</v>
      </c>
      <c r="DI135" s="69" t="n">
        <v>0.45</v>
      </c>
      <c r="DJ135" s="69" t="n">
        <v>0.36</v>
      </c>
      <c r="DK135" s="69" t="n">
        <v>0.47</v>
      </c>
      <c r="DL135" s="69" t="n">
        <v>0.02</v>
      </c>
      <c r="DM135" s="69" t="n">
        <v>0.4</v>
      </c>
      <c r="DN135" s="69" t="n">
        <v>0.36</v>
      </c>
      <c r="DO135" s="69" t="n">
        <v>0.26</v>
      </c>
      <c r="DP135" s="69" t="n">
        <v>0.4</v>
      </c>
      <c r="DQ135" s="69" t="n">
        <v>0.26</v>
      </c>
      <c r="DR135" s="69" t="n">
        <v>0.22</v>
      </c>
      <c r="DS135" s="69" t="n">
        <v>0.42</v>
      </c>
      <c r="DT135" s="69" t="n">
        <v>0.38</v>
      </c>
      <c r="DU135" s="69" t="n">
        <v>0.7</v>
      </c>
      <c r="DV135" s="69" t="n">
        <v>0.44</v>
      </c>
      <c r="DW135" s="69" t="n">
        <v>0.52</v>
      </c>
      <c r="DX135" s="69" t="n">
        <v>0.27</v>
      </c>
      <c r="DY135" s="69" t="n">
        <v>0.73</v>
      </c>
      <c r="DZ135" s="69" t="n">
        <v>0.34</v>
      </c>
      <c r="EA135" s="69" t="n">
        <v>0.33</v>
      </c>
      <c r="EB135" s="69" t="n">
        <v>1</v>
      </c>
      <c r="EC135" s="69" t="n">
        <v>0.06</v>
      </c>
      <c r="ED135" s="69" t="n">
        <v>0.29</v>
      </c>
      <c r="EE135" s="69" t="n">
        <v>0.27</v>
      </c>
      <c r="EF135" s="69" t="n">
        <v>0.26</v>
      </c>
      <c r="EG135" s="69" t="n">
        <v>0.2</v>
      </c>
      <c r="EH135" s="69" t="n">
        <v>0.35</v>
      </c>
      <c r="EI135" s="69" t="n">
        <v>0.19</v>
      </c>
      <c r="EJ135" s="69" t="n">
        <v>0.33</v>
      </c>
      <c r="EK135" s="69" t="n">
        <v>0.4</v>
      </c>
      <c r="EL135" s="69" t="n">
        <v>0.36</v>
      </c>
      <c r="EM135" s="69" t="n">
        <v>0.31</v>
      </c>
      <c r="EN135" s="69" t="n">
        <v>0.19</v>
      </c>
      <c r="EO135" s="69" t="n">
        <v>0.25</v>
      </c>
    </row>
    <row r="136" customFormat="false" ht="15" hidden="false" customHeight="false" outlineLevel="0" collapsed="false">
      <c r="A136" s="68" t="s">
        <v>366</v>
      </c>
      <c r="B136" s="69" t="n">
        <v>-0.11</v>
      </c>
      <c r="C136" s="69" t="n">
        <v>0.03</v>
      </c>
      <c r="D136" s="69" t="n">
        <v>0</v>
      </c>
      <c r="E136" s="69" t="n">
        <v>0.09</v>
      </c>
      <c r="F136" s="69" t="n">
        <v>-0.12</v>
      </c>
      <c r="G136" s="69" t="n">
        <v>0.15</v>
      </c>
      <c r="H136" s="69" t="n">
        <v>0.04</v>
      </c>
      <c r="I136" s="69" t="n">
        <v>-0.07</v>
      </c>
      <c r="J136" s="69" t="n">
        <v>0.03</v>
      </c>
      <c r="K136" s="69" t="n">
        <v>-0.13</v>
      </c>
      <c r="L136" s="69" t="n">
        <v>0.03</v>
      </c>
      <c r="M136" s="69" t="n">
        <v>0.04</v>
      </c>
      <c r="N136" s="69" t="n">
        <v>-0.07</v>
      </c>
      <c r="O136" s="69" t="n">
        <v>0.02</v>
      </c>
      <c r="P136" s="69" t="n">
        <v>-0.14</v>
      </c>
      <c r="Q136" s="69" t="n">
        <v>0.05</v>
      </c>
      <c r="R136" s="69" t="n">
        <v>-0.11</v>
      </c>
      <c r="S136" s="69" t="n">
        <v>0.09</v>
      </c>
      <c r="T136" s="69" t="n">
        <v>0.05</v>
      </c>
      <c r="U136" s="69" t="n">
        <v>0.12</v>
      </c>
      <c r="V136" s="69" t="n">
        <v>0.15</v>
      </c>
      <c r="W136" s="69" t="n">
        <v>-0.01</v>
      </c>
      <c r="X136" s="69" t="n">
        <v>0.07</v>
      </c>
      <c r="Y136" s="69" t="n">
        <v>0.04</v>
      </c>
      <c r="Z136" s="69" t="n">
        <v>0.09</v>
      </c>
      <c r="AA136" s="69" t="n">
        <v>0.03</v>
      </c>
      <c r="AB136" s="69" t="n">
        <v>0.02</v>
      </c>
      <c r="AC136" s="69" t="n">
        <v>0.14</v>
      </c>
      <c r="AD136" s="69" t="n">
        <v>0.05</v>
      </c>
      <c r="AE136" s="69" t="n">
        <v>0.13</v>
      </c>
      <c r="AF136" s="69" t="n">
        <v>0.13</v>
      </c>
      <c r="AG136" s="69" t="n">
        <v>-0.13</v>
      </c>
      <c r="AH136" s="69" t="n">
        <v>-0.22</v>
      </c>
      <c r="AI136" s="69" t="n">
        <v>-0.11</v>
      </c>
      <c r="AJ136" s="69" t="n">
        <v>0.03</v>
      </c>
      <c r="AK136" s="69" t="n">
        <v>0.23</v>
      </c>
      <c r="AL136" s="69" t="n">
        <v>0</v>
      </c>
      <c r="AM136" s="69" t="n">
        <v>0.04</v>
      </c>
      <c r="AN136" s="69" t="n">
        <v>-0.04</v>
      </c>
      <c r="AO136" s="69" t="n">
        <v>-0.04</v>
      </c>
      <c r="AP136" s="69" t="n">
        <v>0</v>
      </c>
      <c r="AQ136" s="69" t="n">
        <v>0</v>
      </c>
      <c r="AR136" s="69" t="n">
        <v>0.01</v>
      </c>
      <c r="AS136" s="69" t="n">
        <v>0.15</v>
      </c>
      <c r="AT136" s="69" t="n">
        <v>0.02</v>
      </c>
      <c r="AU136" s="69" t="n">
        <v>-0.1</v>
      </c>
      <c r="AV136" s="69" t="n">
        <v>0.04</v>
      </c>
      <c r="AW136" s="69" t="n">
        <v>0.17</v>
      </c>
      <c r="AX136" s="69" t="n">
        <v>-0.12</v>
      </c>
      <c r="AY136" s="69" t="n">
        <v>-0.04</v>
      </c>
      <c r="AZ136" s="69" t="n">
        <v>0.09</v>
      </c>
      <c r="BA136" s="69" t="n">
        <v>0</v>
      </c>
      <c r="BB136" s="69" t="n">
        <v>0.1</v>
      </c>
      <c r="BC136" s="69" t="n">
        <v>0.03</v>
      </c>
      <c r="BD136" s="69" t="n">
        <v>0.11</v>
      </c>
      <c r="BE136" s="69" t="n">
        <v>-0.02</v>
      </c>
      <c r="BF136" s="69" t="n">
        <v>0.08</v>
      </c>
      <c r="BG136" s="69" t="n">
        <v>-0.05</v>
      </c>
      <c r="BH136" s="69" t="n">
        <v>0.03</v>
      </c>
      <c r="BI136" s="69" t="n">
        <v>0.03</v>
      </c>
      <c r="BJ136" s="69" t="n">
        <v>-0.03</v>
      </c>
      <c r="BK136" s="69" t="n">
        <v>0.02</v>
      </c>
      <c r="BL136" s="69" t="n">
        <v>0.13</v>
      </c>
      <c r="BM136" s="69" t="n">
        <v>-0.15</v>
      </c>
      <c r="BN136" s="69" t="n">
        <v>-0.01</v>
      </c>
      <c r="BO136" s="69" t="n">
        <v>-0.02</v>
      </c>
      <c r="BP136" s="69" t="n">
        <v>-0.03</v>
      </c>
      <c r="BQ136" s="69" t="n">
        <v>0.17</v>
      </c>
      <c r="BR136" s="69" t="n">
        <v>-0.01</v>
      </c>
      <c r="BS136" s="69" t="n">
        <v>-0.07</v>
      </c>
      <c r="BT136" s="69" t="n">
        <v>0.06</v>
      </c>
      <c r="BU136" s="69" t="n">
        <v>0.09</v>
      </c>
      <c r="BV136" s="69" t="n">
        <v>-0.04</v>
      </c>
      <c r="BW136" s="69" t="n">
        <v>0.02</v>
      </c>
      <c r="BX136" s="69" t="n">
        <v>-0.04</v>
      </c>
      <c r="BY136" s="69" t="n">
        <v>0.02</v>
      </c>
      <c r="BZ136" s="69" t="n">
        <v>-0.03</v>
      </c>
      <c r="CA136" s="69" t="n">
        <v>0.04</v>
      </c>
      <c r="CB136" s="69" t="n">
        <v>-0.14</v>
      </c>
      <c r="CC136" s="69" t="n">
        <v>0.06</v>
      </c>
      <c r="CD136" s="69" t="n">
        <v>-0.02</v>
      </c>
      <c r="CE136" s="69" t="n">
        <v>0.09</v>
      </c>
      <c r="CF136" s="69" t="n">
        <v>-0.08</v>
      </c>
      <c r="CG136" s="69" t="n">
        <v>0</v>
      </c>
      <c r="CH136" s="69" t="n">
        <v>0.28</v>
      </c>
      <c r="CI136" s="69" t="n">
        <v>-0.04</v>
      </c>
      <c r="CJ136" s="69" t="n">
        <v>-0.03</v>
      </c>
      <c r="CK136" s="69" t="n">
        <v>-0.04</v>
      </c>
      <c r="CL136" s="69" t="n">
        <v>0.05</v>
      </c>
      <c r="CM136" s="69" t="n">
        <v>0.11</v>
      </c>
      <c r="CN136" s="69" t="n">
        <v>-0.01</v>
      </c>
      <c r="CO136" s="69" t="n">
        <v>0.05</v>
      </c>
      <c r="CP136" s="69" t="n">
        <v>-0.04</v>
      </c>
      <c r="CQ136" s="69" t="n">
        <v>0</v>
      </c>
      <c r="CR136" s="69" t="n">
        <v>0.14</v>
      </c>
      <c r="CS136" s="69" t="n">
        <v>0.14</v>
      </c>
      <c r="CT136" s="69" t="n">
        <v>0.12</v>
      </c>
      <c r="CU136" s="69" t="n">
        <v>0.13</v>
      </c>
      <c r="CV136" s="69" t="n">
        <v>0.06</v>
      </c>
      <c r="CW136" s="69" t="n">
        <v>0.04</v>
      </c>
      <c r="CX136" s="69" t="n">
        <v>0.16</v>
      </c>
      <c r="CY136" s="69" t="n">
        <v>0.06</v>
      </c>
      <c r="CZ136" s="69" t="n">
        <v>-0.01</v>
      </c>
      <c r="DA136" s="69" t="n">
        <v>-0.02</v>
      </c>
      <c r="DB136" s="69" t="n">
        <v>0.06</v>
      </c>
      <c r="DC136" s="69" t="n">
        <v>0.02</v>
      </c>
      <c r="DD136" s="69" t="n">
        <v>0.06</v>
      </c>
      <c r="DE136" s="69" t="n">
        <v>0.26</v>
      </c>
      <c r="DF136" s="69" t="n">
        <v>-0.1</v>
      </c>
      <c r="DG136" s="69" t="n">
        <v>0.28</v>
      </c>
      <c r="DH136" s="69" t="n">
        <v>0.04</v>
      </c>
      <c r="DI136" s="69" t="n">
        <v>-0.01</v>
      </c>
      <c r="DJ136" s="69" t="n">
        <v>0.07</v>
      </c>
      <c r="DK136" s="69" t="n">
        <v>0.05</v>
      </c>
      <c r="DL136" s="69" t="n">
        <v>0.32</v>
      </c>
      <c r="DM136" s="69" t="n">
        <v>0.06</v>
      </c>
      <c r="DN136" s="69" t="n">
        <v>-0.06</v>
      </c>
      <c r="DO136" s="69" t="n">
        <v>0.03</v>
      </c>
      <c r="DP136" s="69" t="n">
        <v>0.02</v>
      </c>
      <c r="DQ136" s="69" t="n">
        <v>0.07</v>
      </c>
      <c r="DR136" s="69" t="n">
        <v>0.17</v>
      </c>
      <c r="DS136" s="69" t="n">
        <v>-0.09</v>
      </c>
      <c r="DT136" s="69" t="n">
        <v>0.09</v>
      </c>
      <c r="DU136" s="69" t="n">
        <v>0.04</v>
      </c>
      <c r="DV136" s="69" t="n">
        <v>-0.05</v>
      </c>
      <c r="DW136" s="69" t="n">
        <v>0.05</v>
      </c>
      <c r="DX136" s="69" t="n">
        <v>0.15</v>
      </c>
      <c r="DY136" s="69" t="n">
        <v>-0.02</v>
      </c>
      <c r="DZ136" s="69" t="n">
        <v>-0.01</v>
      </c>
      <c r="EA136" s="69" t="n">
        <v>0.09</v>
      </c>
      <c r="EB136" s="69" t="n">
        <v>0.06</v>
      </c>
      <c r="EC136" s="69" t="n">
        <v>1</v>
      </c>
      <c r="ED136" s="69" t="n">
        <v>0.08</v>
      </c>
      <c r="EE136" s="69" t="n">
        <v>0.14</v>
      </c>
      <c r="EF136" s="69" t="n">
        <v>0.08</v>
      </c>
      <c r="EG136" s="69" t="n">
        <v>0.19</v>
      </c>
      <c r="EH136" s="69" t="n">
        <v>-0.01</v>
      </c>
      <c r="EI136" s="69" t="n">
        <v>0.15</v>
      </c>
      <c r="EJ136" s="69" t="n">
        <v>0.11</v>
      </c>
      <c r="EK136" s="69" t="n">
        <v>0.16</v>
      </c>
      <c r="EL136" s="69" t="n">
        <v>0.18</v>
      </c>
      <c r="EM136" s="69" t="n">
        <v>0</v>
      </c>
      <c r="EN136" s="69" t="n">
        <v>0</v>
      </c>
      <c r="EO136" s="69" t="n">
        <v>0.01</v>
      </c>
    </row>
    <row r="137" customFormat="false" ht="15" hidden="false" customHeight="false" outlineLevel="0" collapsed="false">
      <c r="A137" s="68" t="s">
        <v>367</v>
      </c>
      <c r="B137" s="69" t="n">
        <v>0.05</v>
      </c>
      <c r="C137" s="69" t="n">
        <v>0.13</v>
      </c>
      <c r="D137" s="69" t="n">
        <v>0.1</v>
      </c>
      <c r="E137" s="69" t="n">
        <v>0.19</v>
      </c>
      <c r="F137" s="69" t="n">
        <v>-0.02</v>
      </c>
      <c r="G137" s="69" t="n">
        <v>0.07</v>
      </c>
      <c r="H137" s="69" t="n">
        <v>0.21</v>
      </c>
      <c r="I137" s="69" t="n">
        <v>0.11</v>
      </c>
      <c r="J137" s="69" t="n">
        <v>-0.05</v>
      </c>
      <c r="K137" s="69" t="n">
        <v>-0.06</v>
      </c>
      <c r="L137" s="69" t="n">
        <v>0.08</v>
      </c>
      <c r="M137" s="69" t="n">
        <v>0.29</v>
      </c>
      <c r="N137" s="69" t="n">
        <v>0.23</v>
      </c>
      <c r="O137" s="69" t="n">
        <v>0.09</v>
      </c>
      <c r="P137" s="69" t="n">
        <v>-0.04</v>
      </c>
      <c r="Q137" s="69" t="n">
        <v>-0.08</v>
      </c>
      <c r="R137" s="69" t="n">
        <v>-0.01</v>
      </c>
      <c r="S137" s="69" t="n">
        <v>0.05</v>
      </c>
      <c r="T137" s="69" t="n">
        <v>0.19</v>
      </c>
      <c r="U137" s="69" t="n">
        <v>0.21</v>
      </c>
      <c r="V137" s="69" t="n">
        <v>0.16</v>
      </c>
      <c r="W137" s="69" t="n">
        <v>0.14</v>
      </c>
      <c r="X137" s="69" t="n">
        <v>0.2</v>
      </c>
      <c r="Y137" s="69" t="n">
        <v>0.05</v>
      </c>
      <c r="Z137" s="69" t="n">
        <v>0.15</v>
      </c>
      <c r="AA137" s="69" t="n">
        <v>0.11</v>
      </c>
      <c r="AB137" s="69" t="n">
        <v>0.09</v>
      </c>
      <c r="AC137" s="69" t="n">
        <v>0.06</v>
      </c>
      <c r="AD137" s="69" t="n">
        <v>0.06</v>
      </c>
      <c r="AE137" s="69" t="n">
        <v>0.22</v>
      </c>
      <c r="AF137" s="69" t="n">
        <v>0.18</v>
      </c>
      <c r="AG137" s="69" t="n">
        <v>-0.06</v>
      </c>
      <c r="AH137" s="69" t="n">
        <v>-0.04</v>
      </c>
      <c r="AI137" s="69" t="n">
        <v>-0.06</v>
      </c>
      <c r="AJ137" s="69" t="n">
        <v>0.17</v>
      </c>
      <c r="AK137" s="69" t="n">
        <v>0.14</v>
      </c>
      <c r="AL137" s="69" t="n">
        <v>0.19</v>
      </c>
      <c r="AM137" s="69" t="n">
        <v>0.2</v>
      </c>
      <c r="AN137" s="69" t="n">
        <v>0.14</v>
      </c>
      <c r="AO137" s="69" t="n">
        <v>0.08</v>
      </c>
      <c r="AP137" s="69" t="n">
        <v>0.24</v>
      </c>
      <c r="AQ137" s="69" t="n">
        <v>-0.09</v>
      </c>
      <c r="AR137" s="69" t="n">
        <v>0.15</v>
      </c>
      <c r="AS137" s="69" t="n">
        <v>0.12</v>
      </c>
      <c r="AT137" s="69" t="n">
        <v>0.25</v>
      </c>
      <c r="AU137" s="69" t="n">
        <v>0.01</v>
      </c>
      <c r="AV137" s="69" t="n">
        <v>0.19</v>
      </c>
      <c r="AW137" s="69" t="n">
        <v>0.2</v>
      </c>
      <c r="AX137" s="69" t="n">
        <v>0.18</v>
      </c>
      <c r="AY137" s="69" t="n">
        <v>0.15</v>
      </c>
      <c r="AZ137" s="69" t="n">
        <v>0.29</v>
      </c>
      <c r="BA137" s="69" t="n">
        <v>0.19</v>
      </c>
      <c r="BB137" s="69" t="n">
        <v>0.29</v>
      </c>
      <c r="BC137" s="69" t="n">
        <v>0.17</v>
      </c>
      <c r="BD137" s="69" t="n">
        <v>0.15</v>
      </c>
      <c r="BE137" s="69" t="n">
        <v>0.11</v>
      </c>
      <c r="BF137" s="69" t="n">
        <v>0.21</v>
      </c>
      <c r="BG137" s="69" t="n">
        <v>0.16</v>
      </c>
      <c r="BH137" s="69" t="n">
        <v>0.2</v>
      </c>
      <c r="BI137" s="69" t="n">
        <v>0.13</v>
      </c>
      <c r="BJ137" s="69" t="n">
        <v>-0.02</v>
      </c>
      <c r="BK137" s="69" t="n">
        <v>0.17</v>
      </c>
      <c r="BL137" s="69" t="n">
        <v>0.15</v>
      </c>
      <c r="BM137" s="69" t="n">
        <v>0.17</v>
      </c>
      <c r="BN137" s="69" t="n">
        <v>0.04</v>
      </c>
      <c r="BO137" s="69" t="n">
        <v>0.21</v>
      </c>
      <c r="BP137" s="69" t="n">
        <v>0.19</v>
      </c>
      <c r="BQ137" s="69" t="n">
        <v>0.24</v>
      </c>
      <c r="BR137" s="69" t="n">
        <v>0.32</v>
      </c>
      <c r="BS137" s="69" t="n">
        <v>-0.02</v>
      </c>
      <c r="BT137" s="69" t="n">
        <v>0.22</v>
      </c>
      <c r="BU137" s="69" t="n">
        <v>0.14</v>
      </c>
      <c r="BV137" s="69" t="n">
        <v>0.15</v>
      </c>
      <c r="BW137" s="69" t="n">
        <v>0.24</v>
      </c>
      <c r="BX137" s="69" t="n">
        <v>0.14</v>
      </c>
      <c r="BY137" s="69" t="n">
        <v>0.3</v>
      </c>
      <c r="BZ137" s="69" t="n">
        <v>0.25</v>
      </c>
      <c r="CA137" s="69" t="n">
        <v>0.16</v>
      </c>
      <c r="CB137" s="69" t="n">
        <v>-0.06</v>
      </c>
      <c r="CC137" s="69" t="n">
        <v>0.12</v>
      </c>
      <c r="CD137" s="69" t="n">
        <v>0.12</v>
      </c>
      <c r="CE137" s="69" t="n">
        <v>0.2</v>
      </c>
      <c r="CF137" s="69" t="n">
        <v>-0.04</v>
      </c>
      <c r="CG137" s="69" t="n">
        <v>0.3</v>
      </c>
      <c r="CH137" s="69" t="n">
        <v>0.29</v>
      </c>
      <c r="CI137" s="69" t="n">
        <v>-0.06</v>
      </c>
      <c r="CJ137" s="69" t="n">
        <v>0.17</v>
      </c>
      <c r="CK137" s="69" t="n">
        <v>0.19</v>
      </c>
      <c r="CL137" s="69" t="n">
        <v>0.28</v>
      </c>
      <c r="CM137" s="69" t="n">
        <v>0.17</v>
      </c>
      <c r="CN137" s="69" t="n">
        <v>0.08</v>
      </c>
      <c r="CO137" s="69" t="n">
        <v>0.14</v>
      </c>
      <c r="CP137" s="69" t="n">
        <v>0.16</v>
      </c>
      <c r="CQ137" s="69" t="n">
        <v>0.3</v>
      </c>
      <c r="CR137" s="69" t="n">
        <v>0.29</v>
      </c>
      <c r="CS137" s="69" t="n">
        <v>0.25</v>
      </c>
      <c r="CT137" s="69" t="n">
        <v>0.38</v>
      </c>
      <c r="CU137" s="69" t="n">
        <v>0.11</v>
      </c>
      <c r="CV137" s="69" t="n">
        <v>0.16</v>
      </c>
      <c r="CW137" s="69" t="n">
        <v>0.16</v>
      </c>
      <c r="CX137" s="69" t="n">
        <v>0.27</v>
      </c>
      <c r="CY137" s="69" t="n">
        <v>0.22</v>
      </c>
      <c r="CZ137" s="69" t="n">
        <v>0.14</v>
      </c>
      <c r="DA137" s="69" t="n">
        <v>0.22</v>
      </c>
      <c r="DB137" s="69" t="n">
        <v>0.42</v>
      </c>
      <c r="DC137" s="69" t="n">
        <v>0.31</v>
      </c>
      <c r="DD137" s="69" t="n">
        <v>0.33</v>
      </c>
      <c r="DE137" s="69" t="n">
        <v>0.34</v>
      </c>
      <c r="DF137" s="69" t="n">
        <v>0.15</v>
      </c>
      <c r="DG137" s="69" t="n">
        <v>0.33</v>
      </c>
      <c r="DH137" s="69" t="n">
        <v>0.27</v>
      </c>
      <c r="DI137" s="69" t="n">
        <v>0.27</v>
      </c>
      <c r="DJ137" s="69" t="n">
        <v>0.2</v>
      </c>
      <c r="DK137" s="69" t="n">
        <v>0.3</v>
      </c>
      <c r="DL137" s="69" t="n">
        <v>0.21</v>
      </c>
      <c r="DM137" s="69" t="n">
        <v>0.28</v>
      </c>
      <c r="DN137" s="69" t="n">
        <v>0.21</v>
      </c>
      <c r="DO137" s="69" t="n">
        <v>0.32</v>
      </c>
      <c r="DP137" s="69" t="n">
        <v>0.18</v>
      </c>
      <c r="DQ137" s="69" t="n">
        <v>0.24</v>
      </c>
      <c r="DR137" s="69" t="n">
        <v>0.24</v>
      </c>
      <c r="DS137" s="69" t="n">
        <v>-0.1</v>
      </c>
      <c r="DT137" s="69" t="n">
        <v>0.33</v>
      </c>
      <c r="DU137" s="69" t="n">
        <v>0.42</v>
      </c>
      <c r="DV137" s="69" t="n">
        <v>0.27</v>
      </c>
      <c r="DW137" s="69" t="n">
        <v>0.24</v>
      </c>
      <c r="DX137" s="69" t="n">
        <v>0.3</v>
      </c>
      <c r="DY137" s="69" t="n">
        <v>0.29</v>
      </c>
      <c r="DZ137" s="69" t="n">
        <v>0.17</v>
      </c>
      <c r="EA137" s="69" t="n">
        <v>0.23</v>
      </c>
      <c r="EB137" s="69" t="n">
        <v>0.29</v>
      </c>
      <c r="EC137" s="69" t="n">
        <v>0.08</v>
      </c>
      <c r="ED137" s="69" t="n">
        <v>1</v>
      </c>
      <c r="EE137" s="69" t="n">
        <v>0.29</v>
      </c>
      <c r="EF137" s="69" t="n">
        <v>0.1</v>
      </c>
      <c r="EG137" s="69" t="n">
        <v>0.24</v>
      </c>
      <c r="EH137" s="69" t="n">
        <v>0.17</v>
      </c>
      <c r="EI137" s="69" t="n">
        <v>0.23</v>
      </c>
      <c r="EJ137" s="69" t="n">
        <v>0.39</v>
      </c>
      <c r="EK137" s="69" t="n">
        <v>0.36</v>
      </c>
      <c r="EL137" s="69" t="n">
        <v>0.27</v>
      </c>
      <c r="EM137" s="69" t="n">
        <v>0.18</v>
      </c>
      <c r="EN137" s="69" t="n">
        <v>0.19</v>
      </c>
      <c r="EO137" s="69" t="n">
        <v>0.09</v>
      </c>
    </row>
    <row r="138" customFormat="false" ht="15" hidden="false" customHeight="false" outlineLevel="0" collapsed="false">
      <c r="A138" s="68" t="s">
        <v>368</v>
      </c>
      <c r="B138" s="69" t="n">
        <v>-0.08</v>
      </c>
      <c r="C138" s="69" t="n">
        <v>0.03</v>
      </c>
      <c r="D138" s="69" t="n">
        <v>0.04</v>
      </c>
      <c r="E138" s="69" t="n">
        <v>0.08</v>
      </c>
      <c r="F138" s="69" t="n">
        <v>-0.18</v>
      </c>
      <c r="G138" s="69" t="n">
        <v>0.03</v>
      </c>
      <c r="H138" s="69" t="n">
        <v>0.1</v>
      </c>
      <c r="I138" s="69" t="n">
        <v>-0.14</v>
      </c>
      <c r="J138" s="69" t="n">
        <v>-0.15</v>
      </c>
      <c r="K138" s="69" t="n">
        <v>-0.07</v>
      </c>
      <c r="L138" s="69" t="n">
        <v>0.11</v>
      </c>
      <c r="M138" s="69" t="n">
        <v>0.22</v>
      </c>
      <c r="N138" s="69" t="n">
        <v>-0.03</v>
      </c>
      <c r="O138" s="69" t="n">
        <v>0.1</v>
      </c>
      <c r="P138" s="69" t="n">
        <v>-0.1</v>
      </c>
      <c r="Q138" s="69" t="n">
        <v>0.06</v>
      </c>
      <c r="R138" s="69" t="n">
        <v>-0.14</v>
      </c>
      <c r="S138" s="69" t="n">
        <v>0.05</v>
      </c>
      <c r="T138" s="69" t="n">
        <v>0.16</v>
      </c>
      <c r="U138" s="69" t="n">
        <v>0.12</v>
      </c>
      <c r="V138" s="69" t="n">
        <v>0.04</v>
      </c>
      <c r="W138" s="69" t="n">
        <v>0.05</v>
      </c>
      <c r="X138" s="69" t="n">
        <v>0.21</v>
      </c>
      <c r="Y138" s="69" t="n">
        <v>-0.06</v>
      </c>
      <c r="Z138" s="69" t="n">
        <v>0.07</v>
      </c>
      <c r="AA138" s="69" t="n">
        <v>0.08</v>
      </c>
      <c r="AB138" s="69" t="n">
        <v>-0.11</v>
      </c>
      <c r="AC138" s="69" t="n">
        <v>0.11</v>
      </c>
      <c r="AD138" s="69" t="n">
        <v>0.17</v>
      </c>
      <c r="AE138" s="69" t="n">
        <v>0.17</v>
      </c>
      <c r="AF138" s="69" t="n">
        <v>0.15</v>
      </c>
      <c r="AG138" s="69" t="n">
        <v>-0.15</v>
      </c>
      <c r="AH138" s="69" t="n">
        <v>-0.18</v>
      </c>
      <c r="AI138" s="69" t="n">
        <v>-0.16</v>
      </c>
      <c r="AJ138" s="69" t="n">
        <v>0.08</v>
      </c>
      <c r="AK138" s="69" t="n">
        <v>0.19</v>
      </c>
      <c r="AL138" s="69" t="n">
        <v>0.12</v>
      </c>
      <c r="AM138" s="69" t="n">
        <v>0.19</v>
      </c>
      <c r="AN138" s="69" t="n">
        <v>0.08</v>
      </c>
      <c r="AO138" s="69" t="n">
        <v>-0.06</v>
      </c>
      <c r="AP138" s="69" t="n">
        <v>0.08</v>
      </c>
      <c r="AQ138" s="69" t="n">
        <v>-0.16</v>
      </c>
      <c r="AR138" s="69" t="n">
        <v>0.14</v>
      </c>
      <c r="AS138" s="69" t="n">
        <v>0.11</v>
      </c>
      <c r="AT138" s="69" t="n">
        <v>0.15</v>
      </c>
      <c r="AU138" s="69" t="n">
        <v>-0.06</v>
      </c>
      <c r="AV138" s="69" t="n">
        <v>0.09</v>
      </c>
      <c r="AW138" s="69" t="n">
        <v>0.16</v>
      </c>
      <c r="AX138" s="69" t="n">
        <v>-0.02</v>
      </c>
      <c r="AY138" s="69" t="n">
        <v>0.1</v>
      </c>
      <c r="AZ138" s="69" t="n">
        <v>0.23</v>
      </c>
      <c r="BA138" s="69" t="n">
        <v>0.18</v>
      </c>
      <c r="BB138" s="69" t="n">
        <v>0.31</v>
      </c>
      <c r="BC138" s="69" t="n">
        <v>0.11</v>
      </c>
      <c r="BD138" s="69" t="n">
        <v>0.17</v>
      </c>
      <c r="BE138" s="69" t="n">
        <v>-0.07</v>
      </c>
      <c r="BF138" s="69" t="n">
        <v>0.19</v>
      </c>
      <c r="BG138" s="69" t="n">
        <v>0.09</v>
      </c>
      <c r="BH138" s="69" t="n">
        <v>0.14</v>
      </c>
      <c r="BI138" s="69" t="n">
        <v>0</v>
      </c>
      <c r="BJ138" s="69" t="n">
        <v>0.03</v>
      </c>
      <c r="BK138" s="69" t="n">
        <v>0.23</v>
      </c>
      <c r="BL138" s="69" t="n">
        <v>0.4</v>
      </c>
      <c r="BM138" s="69" t="n">
        <v>0</v>
      </c>
      <c r="BN138" s="69" t="n">
        <v>0.12</v>
      </c>
      <c r="BO138" s="69" t="n">
        <v>0.26</v>
      </c>
      <c r="BP138" s="69" t="n">
        <v>0.18</v>
      </c>
      <c r="BQ138" s="69" t="n">
        <v>0.29</v>
      </c>
      <c r="BR138" s="69" t="n">
        <v>0.17</v>
      </c>
      <c r="BS138" s="69" t="n">
        <v>-0.06</v>
      </c>
      <c r="BT138" s="69" t="n">
        <v>0.32</v>
      </c>
      <c r="BU138" s="69" t="n">
        <v>0.08</v>
      </c>
      <c r="BV138" s="69" t="n">
        <v>0.26</v>
      </c>
      <c r="BW138" s="69" t="n">
        <v>0.14</v>
      </c>
      <c r="BX138" s="69" t="n">
        <v>-0.08</v>
      </c>
      <c r="BY138" s="69" t="n">
        <v>0.19</v>
      </c>
      <c r="BZ138" s="69" t="n">
        <v>0.28</v>
      </c>
      <c r="CA138" s="69" t="n">
        <v>0.09</v>
      </c>
      <c r="CB138" s="69" t="n">
        <v>-0.07</v>
      </c>
      <c r="CC138" s="69" t="n">
        <v>0.1</v>
      </c>
      <c r="CD138" s="69" t="n">
        <v>0.15</v>
      </c>
      <c r="CE138" s="69" t="n">
        <v>0.34</v>
      </c>
      <c r="CF138" s="69" t="n">
        <v>-0.11</v>
      </c>
      <c r="CG138" s="69" t="n">
        <v>0.07</v>
      </c>
      <c r="CH138" s="69" t="n">
        <v>0.36</v>
      </c>
      <c r="CI138" s="69" t="n">
        <v>-0.11</v>
      </c>
      <c r="CJ138" s="69" t="n">
        <v>-0.01</v>
      </c>
      <c r="CK138" s="69" t="n">
        <v>-0.02</v>
      </c>
      <c r="CL138" s="69" t="n">
        <v>0.25</v>
      </c>
      <c r="CM138" s="69" t="n">
        <v>0.53</v>
      </c>
      <c r="CN138" s="69" t="n">
        <v>0.1</v>
      </c>
      <c r="CO138" s="69" t="n">
        <v>0.16</v>
      </c>
      <c r="CP138" s="69" t="n">
        <v>0.22</v>
      </c>
      <c r="CQ138" s="69" t="n">
        <v>0.38</v>
      </c>
      <c r="CR138" s="69" t="n">
        <v>0.67</v>
      </c>
      <c r="CS138" s="69" t="n">
        <v>0.56</v>
      </c>
      <c r="CT138" s="69" t="n">
        <v>0.28</v>
      </c>
      <c r="CU138" s="69" t="n">
        <v>0.3</v>
      </c>
      <c r="CV138" s="69" t="n">
        <v>0.22</v>
      </c>
      <c r="CW138" s="69" t="n">
        <v>0.11</v>
      </c>
      <c r="CX138" s="69" t="n">
        <v>0.32</v>
      </c>
      <c r="CY138" s="69" t="n">
        <v>0.27</v>
      </c>
      <c r="CZ138" s="69" t="n">
        <v>0.05</v>
      </c>
      <c r="DA138" s="69" t="n">
        <v>0.09</v>
      </c>
      <c r="DB138" s="69" t="n">
        <v>0.47</v>
      </c>
      <c r="DC138" s="69" t="n">
        <v>0.25</v>
      </c>
      <c r="DD138" s="69" t="n">
        <v>0.22</v>
      </c>
      <c r="DE138" s="69" t="n">
        <v>0.51</v>
      </c>
      <c r="DF138" s="69" t="n">
        <v>-0.15</v>
      </c>
      <c r="DG138" s="69" t="n">
        <v>0.39</v>
      </c>
      <c r="DH138" s="69" t="n">
        <v>0.53</v>
      </c>
      <c r="DI138" s="69" t="n">
        <v>0.36</v>
      </c>
      <c r="DJ138" s="69" t="n">
        <v>0.22</v>
      </c>
      <c r="DK138" s="69" t="n">
        <v>0.42</v>
      </c>
      <c r="DL138" s="69" t="n">
        <v>0.22</v>
      </c>
      <c r="DM138" s="69" t="n">
        <v>0.28</v>
      </c>
      <c r="DN138" s="69" t="n">
        <v>0.11</v>
      </c>
      <c r="DO138" s="69" t="n">
        <v>0.52</v>
      </c>
      <c r="DP138" s="69" t="n">
        <v>0.21</v>
      </c>
      <c r="DQ138" s="69" t="n">
        <v>0.38</v>
      </c>
      <c r="DR138" s="69" t="n">
        <v>0.36</v>
      </c>
      <c r="DS138" s="69" t="n">
        <v>0.04</v>
      </c>
      <c r="DT138" s="69" t="n">
        <v>0.36</v>
      </c>
      <c r="DU138" s="69" t="n">
        <v>0.41</v>
      </c>
      <c r="DV138" s="69" t="n">
        <v>0.23</v>
      </c>
      <c r="DW138" s="69" t="n">
        <v>0.09</v>
      </c>
      <c r="DX138" s="69" t="n">
        <v>0.64</v>
      </c>
      <c r="DY138" s="69" t="n">
        <v>0.25</v>
      </c>
      <c r="DZ138" s="69" t="n">
        <v>0.09</v>
      </c>
      <c r="EA138" s="69" t="n">
        <v>0.29</v>
      </c>
      <c r="EB138" s="69" t="n">
        <v>0.27</v>
      </c>
      <c r="EC138" s="69" t="n">
        <v>0.14</v>
      </c>
      <c r="ED138" s="69" t="n">
        <v>0.29</v>
      </c>
      <c r="EE138" s="69" t="n">
        <v>1</v>
      </c>
      <c r="EF138" s="69" t="n">
        <v>0.29</v>
      </c>
      <c r="EG138" s="69" t="n">
        <v>0.67</v>
      </c>
      <c r="EH138" s="69" t="n">
        <v>0.01</v>
      </c>
      <c r="EI138" s="69" t="n">
        <v>0.63</v>
      </c>
      <c r="EJ138" s="69" t="n">
        <v>0.23</v>
      </c>
      <c r="EK138" s="69" t="n">
        <v>0.53</v>
      </c>
      <c r="EL138" s="69" t="n">
        <v>0.58</v>
      </c>
      <c r="EM138" s="69" t="n">
        <v>0.24</v>
      </c>
      <c r="EN138" s="69" t="n">
        <v>0.05</v>
      </c>
      <c r="EO138" s="69" t="n">
        <v>0.11</v>
      </c>
    </row>
    <row r="139" customFormat="false" ht="15" hidden="false" customHeight="false" outlineLevel="0" collapsed="false">
      <c r="A139" s="68" t="s">
        <v>369</v>
      </c>
      <c r="B139" s="69" t="n">
        <v>0.06</v>
      </c>
      <c r="C139" s="69" t="n">
        <v>0.11</v>
      </c>
      <c r="D139" s="69" t="n">
        <v>0.08</v>
      </c>
      <c r="E139" s="69" t="n">
        <v>0.01</v>
      </c>
      <c r="F139" s="69" t="n">
        <v>-0.06</v>
      </c>
      <c r="G139" s="69" t="n">
        <v>0.07</v>
      </c>
      <c r="H139" s="69" t="n">
        <v>0</v>
      </c>
      <c r="I139" s="69" t="n">
        <v>0</v>
      </c>
      <c r="J139" s="69" t="n">
        <v>0.05</v>
      </c>
      <c r="K139" s="69" t="n">
        <v>0.12</v>
      </c>
      <c r="L139" s="69" t="n">
        <v>0.07</v>
      </c>
      <c r="M139" s="69" t="n">
        <v>0.25</v>
      </c>
      <c r="N139" s="69" t="n">
        <v>0.16</v>
      </c>
      <c r="O139" s="69" t="n">
        <v>0.07</v>
      </c>
      <c r="P139" s="69" t="n">
        <v>-0.06</v>
      </c>
      <c r="Q139" s="69" t="n">
        <v>0.07</v>
      </c>
      <c r="R139" s="69" t="n">
        <v>0.07</v>
      </c>
      <c r="S139" s="69" t="n">
        <v>0.01</v>
      </c>
      <c r="T139" s="69" t="n">
        <v>0.28</v>
      </c>
      <c r="U139" s="69" t="n">
        <v>0.07</v>
      </c>
      <c r="V139" s="69" t="n">
        <v>0.06</v>
      </c>
      <c r="W139" s="69" t="n">
        <v>0.04</v>
      </c>
      <c r="X139" s="69" t="n">
        <v>0.29</v>
      </c>
      <c r="Y139" s="69" t="n">
        <v>0.12</v>
      </c>
      <c r="Z139" s="69" t="n">
        <v>0.15</v>
      </c>
      <c r="AA139" s="69" t="n">
        <v>0</v>
      </c>
      <c r="AB139" s="69" t="n">
        <v>0.1</v>
      </c>
      <c r="AC139" s="69" t="n">
        <v>-0.03</v>
      </c>
      <c r="AD139" s="69" t="n">
        <v>0.09</v>
      </c>
      <c r="AE139" s="69" t="n">
        <v>0.1</v>
      </c>
      <c r="AF139" s="69" t="n">
        <v>0.15</v>
      </c>
      <c r="AG139" s="69" t="n">
        <v>0.01</v>
      </c>
      <c r="AH139" s="69" t="n">
        <v>0.02</v>
      </c>
      <c r="AI139" s="69" t="n">
        <v>0.02</v>
      </c>
      <c r="AJ139" s="69" t="n">
        <v>0.1</v>
      </c>
      <c r="AK139" s="69" t="n">
        <v>0.13</v>
      </c>
      <c r="AL139" s="69" t="n">
        <v>0.27</v>
      </c>
      <c r="AM139" s="69" t="n">
        <v>0.13</v>
      </c>
      <c r="AN139" s="69" t="n">
        <v>0.13</v>
      </c>
      <c r="AO139" s="69" t="n">
        <v>0.01</v>
      </c>
      <c r="AP139" s="69" t="n">
        <v>0.13</v>
      </c>
      <c r="AQ139" s="69" t="n">
        <v>0.02</v>
      </c>
      <c r="AR139" s="69" t="n">
        <v>0.28</v>
      </c>
      <c r="AS139" s="69" t="n">
        <v>0.09</v>
      </c>
      <c r="AT139" s="69" t="n">
        <v>0.16</v>
      </c>
      <c r="AU139" s="69" t="n">
        <v>-0.01</v>
      </c>
      <c r="AV139" s="69" t="n">
        <v>0.11</v>
      </c>
      <c r="AW139" s="69" t="n">
        <v>0.16</v>
      </c>
      <c r="AX139" s="69" t="n">
        <v>-0.03</v>
      </c>
      <c r="AY139" s="69" t="n">
        <v>0.18</v>
      </c>
      <c r="AZ139" s="69" t="n">
        <v>0.14</v>
      </c>
      <c r="BA139" s="69" t="n">
        <v>0.19</v>
      </c>
      <c r="BB139" s="69" t="n">
        <v>0.33</v>
      </c>
      <c r="BC139" s="69" t="n">
        <v>0.04</v>
      </c>
      <c r="BD139" s="69" t="n">
        <v>0.08</v>
      </c>
      <c r="BE139" s="69" t="n">
        <v>0.13</v>
      </c>
      <c r="BF139" s="69" t="n">
        <v>0.14</v>
      </c>
      <c r="BG139" s="69" t="n">
        <v>0.19</v>
      </c>
      <c r="BH139" s="69" t="n">
        <v>0.08</v>
      </c>
      <c r="BI139" s="69" t="n">
        <v>0.06</v>
      </c>
      <c r="BJ139" s="69" t="n">
        <v>0.05</v>
      </c>
      <c r="BK139" s="69" t="n">
        <v>0.11</v>
      </c>
      <c r="BL139" s="69" t="n">
        <v>0.47</v>
      </c>
      <c r="BM139" s="69" t="n">
        <v>0.1</v>
      </c>
      <c r="BN139" s="69" t="n">
        <v>0.1</v>
      </c>
      <c r="BO139" s="69" t="n">
        <v>0.07</v>
      </c>
      <c r="BP139" s="69" t="n">
        <v>0.07</v>
      </c>
      <c r="BQ139" s="69" t="n">
        <v>0.25</v>
      </c>
      <c r="BR139" s="69" t="n">
        <v>0.26</v>
      </c>
      <c r="BS139" s="69" t="n">
        <v>0.02</v>
      </c>
      <c r="BT139" s="69" t="n">
        <v>0.3</v>
      </c>
      <c r="BU139" s="69" t="n">
        <v>0.04</v>
      </c>
      <c r="BV139" s="69" t="n">
        <v>0.1</v>
      </c>
      <c r="BW139" s="69" t="n">
        <v>0.15</v>
      </c>
      <c r="BX139" s="69" t="n">
        <v>0.01</v>
      </c>
      <c r="BY139" s="69" t="n">
        <v>0.12</v>
      </c>
      <c r="BZ139" s="69" t="n">
        <v>0.28</v>
      </c>
      <c r="CA139" s="69" t="n">
        <v>0.08</v>
      </c>
      <c r="CB139" s="69" t="n">
        <v>0.03</v>
      </c>
      <c r="CC139" s="69" t="n">
        <v>0.08</v>
      </c>
      <c r="CD139" s="69" t="n">
        <v>0.07</v>
      </c>
      <c r="CE139" s="69" t="n">
        <v>0.23</v>
      </c>
      <c r="CF139" s="69" t="n">
        <v>0.02</v>
      </c>
      <c r="CG139" s="69" t="n">
        <v>0.08</v>
      </c>
      <c r="CH139" s="69" t="n">
        <v>0.32</v>
      </c>
      <c r="CI139" s="69" t="n">
        <v>0.01</v>
      </c>
      <c r="CJ139" s="69" t="n">
        <v>0.09</v>
      </c>
      <c r="CK139" s="69" t="n">
        <v>0.13</v>
      </c>
      <c r="CL139" s="69" t="n">
        <v>0.19</v>
      </c>
      <c r="CM139" s="69" t="n">
        <v>0.28</v>
      </c>
      <c r="CN139" s="69" t="n">
        <v>0.07</v>
      </c>
      <c r="CO139" s="69" t="n">
        <v>0.06</v>
      </c>
      <c r="CP139" s="69" t="n">
        <v>0.16</v>
      </c>
      <c r="CQ139" s="69" t="n">
        <v>0.32</v>
      </c>
      <c r="CR139" s="69" t="n">
        <v>0.29</v>
      </c>
      <c r="CS139" s="69" t="n">
        <v>0.32</v>
      </c>
      <c r="CT139" s="69" t="n">
        <v>0.14</v>
      </c>
      <c r="CU139" s="69" t="n">
        <v>0.22</v>
      </c>
      <c r="CV139" s="69" t="n">
        <v>0.15</v>
      </c>
      <c r="CW139" s="69" t="n">
        <v>0.1</v>
      </c>
      <c r="CX139" s="69" t="n">
        <v>0.23</v>
      </c>
      <c r="CY139" s="69" t="n">
        <v>0.25</v>
      </c>
      <c r="CZ139" s="69" t="n">
        <v>0.05</v>
      </c>
      <c r="DA139" s="69" t="n">
        <v>0.1</v>
      </c>
      <c r="DB139" s="69" t="n">
        <v>0.15</v>
      </c>
      <c r="DC139" s="69" t="n">
        <v>0.14</v>
      </c>
      <c r="DD139" s="69" t="n">
        <v>0.22</v>
      </c>
      <c r="DE139" s="69" t="n">
        <v>0.41</v>
      </c>
      <c r="DF139" s="69" t="n">
        <v>0.03</v>
      </c>
      <c r="DG139" s="69" t="n">
        <v>0.37</v>
      </c>
      <c r="DH139" s="69" t="n">
        <v>0.28</v>
      </c>
      <c r="DI139" s="69" t="n">
        <v>0.21</v>
      </c>
      <c r="DJ139" s="69" t="n">
        <v>0.19</v>
      </c>
      <c r="DK139" s="69" t="n">
        <v>0.32</v>
      </c>
      <c r="DL139" s="69" t="n">
        <v>0.21</v>
      </c>
      <c r="DM139" s="69" t="n">
        <v>0.27</v>
      </c>
      <c r="DN139" s="69" t="n">
        <v>0.18</v>
      </c>
      <c r="DO139" s="69" t="n">
        <v>0.28</v>
      </c>
      <c r="DP139" s="69" t="n">
        <v>0.23</v>
      </c>
      <c r="DQ139" s="69" t="n">
        <v>0.26</v>
      </c>
      <c r="DR139" s="69" t="n">
        <v>0.4</v>
      </c>
      <c r="DS139" s="69" t="n">
        <v>0.07</v>
      </c>
      <c r="DT139" s="69" t="n">
        <v>0.09</v>
      </c>
      <c r="DU139" s="69" t="n">
        <v>0.32</v>
      </c>
      <c r="DV139" s="69" t="n">
        <v>0.2</v>
      </c>
      <c r="DW139" s="69" t="n">
        <v>0.14</v>
      </c>
      <c r="DX139" s="69" t="n">
        <v>0.25</v>
      </c>
      <c r="DY139" s="69" t="n">
        <v>0.25</v>
      </c>
      <c r="DZ139" s="69" t="n">
        <v>0.1</v>
      </c>
      <c r="EA139" s="69" t="n">
        <v>0.23</v>
      </c>
      <c r="EB139" s="69" t="n">
        <v>0.26</v>
      </c>
      <c r="EC139" s="69" t="n">
        <v>0.08</v>
      </c>
      <c r="ED139" s="69" t="n">
        <v>0.1</v>
      </c>
      <c r="EE139" s="69" t="n">
        <v>0.29</v>
      </c>
      <c r="EF139" s="69" t="n">
        <v>1</v>
      </c>
      <c r="EG139" s="69" t="n">
        <v>0.27</v>
      </c>
      <c r="EH139" s="69" t="n">
        <v>0.05</v>
      </c>
      <c r="EI139" s="69" t="n">
        <v>0.28</v>
      </c>
      <c r="EJ139" s="69" t="n">
        <v>0.09</v>
      </c>
      <c r="EK139" s="69" t="n">
        <v>0.27</v>
      </c>
      <c r="EL139" s="69" t="n">
        <v>0.32</v>
      </c>
      <c r="EM139" s="69" t="n">
        <v>0.16</v>
      </c>
      <c r="EN139" s="69" t="n">
        <v>-0.04</v>
      </c>
      <c r="EO139" s="69" t="n">
        <v>0.03</v>
      </c>
    </row>
    <row r="140" customFormat="false" ht="15" hidden="false" customHeight="false" outlineLevel="0" collapsed="false">
      <c r="A140" s="68" t="s">
        <v>105</v>
      </c>
      <c r="B140" s="69" t="n">
        <v>-0.07</v>
      </c>
      <c r="C140" s="69" t="n">
        <v>0.08</v>
      </c>
      <c r="D140" s="69" t="n">
        <v>-0.01</v>
      </c>
      <c r="E140" s="69" t="n">
        <v>0.06</v>
      </c>
      <c r="F140" s="69" t="n">
        <v>-0.09</v>
      </c>
      <c r="G140" s="69" t="n">
        <v>0.05</v>
      </c>
      <c r="H140" s="69" t="n">
        <v>0.09</v>
      </c>
      <c r="I140" s="69" t="n">
        <v>-0.16</v>
      </c>
      <c r="J140" s="69" t="n">
        <v>-0.1</v>
      </c>
      <c r="K140" s="69" t="n">
        <v>-0.08</v>
      </c>
      <c r="L140" s="69" t="n">
        <v>0.2</v>
      </c>
      <c r="M140" s="69" t="n">
        <v>0.23</v>
      </c>
      <c r="N140" s="69" t="n">
        <v>0.02</v>
      </c>
      <c r="O140" s="69" t="n">
        <v>0.11</v>
      </c>
      <c r="P140" s="69" t="n">
        <v>-0.06</v>
      </c>
      <c r="Q140" s="69" t="n">
        <v>0.09</v>
      </c>
      <c r="R140" s="69" t="n">
        <v>-0.11</v>
      </c>
      <c r="S140" s="69" t="n">
        <v>0.1</v>
      </c>
      <c r="T140" s="69" t="n">
        <v>0.14</v>
      </c>
      <c r="U140" s="69" t="n">
        <v>0.09</v>
      </c>
      <c r="V140" s="69" t="n">
        <v>0</v>
      </c>
      <c r="W140" s="69" t="n">
        <v>0.09</v>
      </c>
      <c r="X140" s="69" t="n">
        <v>0.14</v>
      </c>
      <c r="Y140" s="69" t="n">
        <v>-0.03</v>
      </c>
      <c r="Z140" s="69" t="n">
        <v>0.05</v>
      </c>
      <c r="AA140" s="69" t="n">
        <v>0.12</v>
      </c>
      <c r="AB140" s="69" t="n">
        <v>-0.06</v>
      </c>
      <c r="AC140" s="69" t="n">
        <v>0.02</v>
      </c>
      <c r="AD140" s="69" t="n">
        <v>0.2</v>
      </c>
      <c r="AE140" s="69" t="n">
        <v>0.13</v>
      </c>
      <c r="AF140" s="69" t="n">
        <v>0.21</v>
      </c>
      <c r="AG140" s="69" t="n">
        <v>-0.21</v>
      </c>
      <c r="AH140" s="69" t="n">
        <v>-0.18</v>
      </c>
      <c r="AI140" s="69" t="n">
        <v>-0.15</v>
      </c>
      <c r="AJ140" s="69" t="n">
        <v>0.04</v>
      </c>
      <c r="AK140" s="69" t="n">
        <v>0.2</v>
      </c>
      <c r="AL140" s="69" t="n">
        <v>0.09</v>
      </c>
      <c r="AM140" s="69" t="n">
        <v>0.11</v>
      </c>
      <c r="AN140" s="69" t="n">
        <v>0.08</v>
      </c>
      <c r="AO140" s="69" t="n">
        <v>-0.08</v>
      </c>
      <c r="AP140" s="69" t="n">
        <v>0.03</v>
      </c>
      <c r="AQ140" s="69" t="n">
        <v>-0.15</v>
      </c>
      <c r="AR140" s="69" t="n">
        <v>0.08</v>
      </c>
      <c r="AS140" s="69" t="n">
        <v>0.12</v>
      </c>
      <c r="AT140" s="69" t="n">
        <v>0.11</v>
      </c>
      <c r="AU140" s="69" t="n">
        <v>-0.02</v>
      </c>
      <c r="AV140" s="69" t="n">
        <v>0.1</v>
      </c>
      <c r="AW140" s="69" t="n">
        <v>0.21</v>
      </c>
      <c r="AX140" s="69" t="n">
        <v>-0.04</v>
      </c>
      <c r="AY140" s="69" t="n">
        <v>0.18</v>
      </c>
      <c r="AZ140" s="69" t="n">
        <v>0.24</v>
      </c>
      <c r="BA140" s="69" t="n">
        <v>0.18</v>
      </c>
      <c r="BB140" s="69" t="n">
        <v>0.28</v>
      </c>
      <c r="BC140" s="69" t="n">
        <v>0.09</v>
      </c>
      <c r="BD140" s="69" t="n">
        <v>0.13</v>
      </c>
      <c r="BE140" s="69" t="n">
        <v>0</v>
      </c>
      <c r="BF140" s="69" t="n">
        <v>0.13</v>
      </c>
      <c r="BG140" s="69" t="n">
        <v>0.06</v>
      </c>
      <c r="BH140" s="69" t="n">
        <v>0.08</v>
      </c>
      <c r="BI140" s="69" t="n">
        <v>0.06</v>
      </c>
      <c r="BJ140" s="69" t="n">
        <v>0.06</v>
      </c>
      <c r="BK140" s="69" t="n">
        <v>0.16</v>
      </c>
      <c r="BL140" s="69" t="n">
        <v>0.34</v>
      </c>
      <c r="BM140" s="69" t="n">
        <v>0</v>
      </c>
      <c r="BN140" s="69" t="n">
        <v>0.06</v>
      </c>
      <c r="BO140" s="69" t="n">
        <v>0.23</v>
      </c>
      <c r="BP140" s="69" t="n">
        <v>0.05</v>
      </c>
      <c r="BQ140" s="69" t="n">
        <v>0.26</v>
      </c>
      <c r="BR140" s="69" t="n">
        <v>0.18</v>
      </c>
      <c r="BS140" s="69" t="n">
        <v>-0.06</v>
      </c>
      <c r="BT140" s="69" t="n">
        <v>0.26</v>
      </c>
      <c r="BU140" s="69" t="n">
        <v>0.04</v>
      </c>
      <c r="BV140" s="69" t="n">
        <v>0.21</v>
      </c>
      <c r="BW140" s="69" t="n">
        <v>0.1</v>
      </c>
      <c r="BX140" s="69" t="n">
        <v>-0.02</v>
      </c>
      <c r="BY140" s="69" t="n">
        <v>0.14</v>
      </c>
      <c r="BZ140" s="69" t="n">
        <v>0.27</v>
      </c>
      <c r="CA140" s="69" t="n">
        <v>0.11</v>
      </c>
      <c r="CB140" s="69" t="n">
        <v>-0.03</v>
      </c>
      <c r="CC140" s="69" t="n">
        <v>0.09</v>
      </c>
      <c r="CD140" s="69" t="n">
        <v>0.03</v>
      </c>
      <c r="CE140" s="69" t="n">
        <v>0.26</v>
      </c>
      <c r="CF140" s="69" t="n">
        <v>-0.06</v>
      </c>
      <c r="CG140" s="69" t="n">
        <v>0.08</v>
      </c>
      <c r="CH140" s="69" t="n">
        <v>0.33</v>
      </c>
      <c r="CI140" s="69" t="n">
        <v>-0.13</v>
      </c>
      <c r="CJ140" s="69" t="n">
        <v>-0.05</v>
      </c>
      <c r="CK140" s="69" t="n">
        <v>-0.01</v>
      </c>
      <c r="CL140" s="69" t="n">
        <v>0.12</v>
      </c>
      <c r="CM140" s="69" t="n">
        <v>0.4</v>
      </c>
      <c r="CN140" s="69" t="n">
        <v>0.09</v>
      </c>
      <c r="CO140" s="69" t="n">
        <v>0.16</v>
      </c>
      <c r="CP140" s="69" t="n">
        <v>0.21</v>
      </c>
      <c r="CQ140" s="69" t="n">
        <v>0.29</v>
      </c>
      <c r="CR140" s="69" t="n">
        <v>0.54</v>
      </c>
      <c r="CS140" s="69" t="n">
        <v>0.48</v>
      </c>
      <c r="CT140" s="69" t="n">
        <v>0.2</v>
      </c>
      <c r="CU140" s="69" t="n">
        <v>0.17</v>
      </c>
      <c r="CV140" s="69" t="n">
        <v>0.18</v>
      </c>
      <c r="CW140" s="69" t="n">
        <v>0.03</v>
      </c>
      <c r="CX140" s="69" t="n">
        <v>0.21</v>
      </c>
      <c r="CY140" s="69" t="n">
        <v>0.27</v>
      </c>
      <c r="CZ140" s="69" t="n">
        <v>0.07</v>
      </c>
      <c r="DA140" s="69" t="n">
        <v>0</v>
      </c>
      <c r="DB140" s="69" t="n">
        <v>0.38</v>
      </c>
      <c r="DC140" s="69" t="n">
        <v>0.26</v>
      </c>
      <c r="DD140" s="69" t="n">
        <v>0.18</v>
      </c>
      <c r="DE140" s="69" t="n">
        <v>0.39</v>
      </c>
      <c r="DF140" s="69" t="n">
        <v>-0.1</v>
      </c>
      <c r="DG140" s="69" t="n">
        <v>0.26</v>
      </c>
      <c r="DH140" s="69" t="n">
        <v>0.44</v>
      </c>
      <c r="DI140" s="69" t="n">
        <v>0.31</v>
      </c>
      <c r="DJ140" s="69" t="n">
        <v>0.18</v>
      </c>
      <c r="DK140" s="69" t="n">
        <v>0.36</v>
      </c>
      <c r="DL140" s="69" t="n">
        <v>0.18</v>
      </c>
      <c r="DM140" s="69" t="n">
        <v>0.23</v>
      </c>
      <c r="DN140" s="69" t="n">
        <v>0.12</v>
      </c>
      <c r="DO140" s="69" t="n">
        <v>0.49</v>
      </c>
      <c r="DP140" s="69" t="n">
        <v>0.18</v>
      </c>
      <c r="DQ140" s="69" t="n">
        <v>0.25</v>
      </c>
      <c r="DR140" s="69" t="n">
        <v>0.3</v>
      </c>
      <c r="DS140" s="69" t="n">
        <v>-0.01</v>
      </c>
      <c r="DT140" s="69" t="n">
        <v>0.22</v>
      </c>
      <c r="DU140" s="69" t="n">
        <v>0.25</v>
      </c>
      <c r="DV140" s="69" t="n">
        <v>0.11</v>
      </c>
      <c r="DW140" s="69" t="n">
        <v>0.02</v>
      </c>
      <c r="DX140" s="69" t="n">
        <v>0.6</v>
      </c>
      <c r="DY140" s="69" t="n">
        <v>0.21</v>
      </c>
      <c r="DZ140" s="69" t="n">
        <v>0.09</v>
      </c>
      <c r="EA140" s="69" t="n">
        <v>0.23</v>
      </c>
      <c r="EB140" s="69" t="n">
        <v>0.2</v>
      </c>
      <c r="EC140" s="69" t="n">
        <v>0.19</v>
      </c>
      <c r="ED140" s="69" t="n">
        <v>0.24</v>
      </c>
      <c r="EE140" s="69" t="n">
        <v>0.67</v>
      </c>
      <c r="EF140" s="69" t="n">
        <v>0.27</v>
      </c>
      <c r="EG140" s="69" t="n">
        <v>1</v>
      </c>
      <c r="EH140" s="69" t="n">
        <v>0.03</v>
      </c>
      <c r="EI140" s="69" t="n">
        <v>0.6</v>
      </c>
      <c r="EJ140" s="69" t="n">
        <v>0.2</v>
      </c>
      <c r="EK140" s="69" t="n">
        <v>0.39</v>
      </c>
      <c r="EL140" s="69" t="n">
        <v>0.44</v>
      </c>
      <c r="EM140" s="69" t="n">
        <v>0.13</v>
      </c>
      <c r="EN140" s="69" t="n">
        <v>0.05</v>
      </c>
      <c r="EO140" s="69" t="n">
        <v>0.07</v>
      </c>
    </row>
    <row r="141" customFormat="false" ht="15" hidden="false" customHeight="false" outlineLevel="0" collapsed="false">
      <c r="A141" s="68" t="s">
        <v>370</v>
      </c>
      <c r="B141" s="69" t="n">
        <v>0.07</v>
      </c>
      <c r="C141" s="69" t="n">
        <v>-0.01</v>
      </c>
      <c r="D141" s="69" t="n">
        <v>0.06</v>
      </c>
      <c r="E141" s="69" t="n">
        <v>-0.02</v>
      </c>
      <c r="F141" s="69" t="n">
        <v>0.06</v>
      </c>
      <c r="G141" s="69" t="n">
        <v>-0.07</v>
      </c>
      <c r="H141" s="69" t="n">
        <v>-0.04</v>
      </c>
      <c r="I141" s="69" t="n">
        <v>0.14</v>
      </c>
      <c r="J141" s="69" t="n">
        <v>0.01</v>
      </c>
      <c r="K141" s="69" t="n">
        <v>-0.01</v>
      </c>
      <c r="L141" s="69" t="n">
        <v>0</v>
      </c>
      <c r="M141" s="69" t="n">
        <v>0.14</v>
      </c>
      <c r="N141" s="69" t="n">
        <v>0.11</v>
      </c>
      <c r="O141" s="69" t="n">
        <v>-0.11</v>
      </c>
      <c r="P141" s="69" t="n">
        <v>0.08</v>
      </c>
      <c r="Q141" s="69" t="n">
        <v>0.01</v>
      </c>
      <c r="R141" s="69" t="n">
        <v>0.02</v>
      </c>
      <c r="S141" s="69" t="n">
        <v>-0.08</v>
      </c>
      <c r="T141" s="69" t="n">
        <v>0.13</v>
      </c>
      <c r="U141" s="69" t="n">
        <v>-0.03</v>
      </c>
      <c r="V141" s="69" t="n">
        <v>-0.07</v>
      </c>
      <c r="W141" s="69" t="n">
        <v>-0.02</v>
      </c>
      <c r="X141" s="69" t="n">
        <v>0.05</v>
      </c>
      <c r="Y141" s="69" t="n">
        <v>0.21</v>
      </c>
      <c r="Z141" s="69" t="n">
        <v>0.03</v>
      </c>
      <c r="AA141" s="69" t="n">
        <v>0.02</v>
      </c>
      <c r="AB141" s="69" t="n">
        <v>0.21</v>
      </c>
      <c r="AC141" s="69" t="n">
        <v>-0.09</v>
      </c>
      <c r="AD141" s="69" t="n">
        <v>-0.07</v>
      </c>
      <c r="AE141" s="69" t="n">
        <v>-0.05</v>
      </c>
      <c r="AF141" s="69" t="n">
        <v>-0.12</v>
      </c>
      <c r="AG141" s="69" t="n">
        <v>0.04</v>
      </c>
      <c r="AH141" s="69" t="n">
        <v>0</v>
      </c>
      <c r="AI141" s="69" t="n">
        <v>-0.06</v>
      </c>
      <c r="AJ141" s="69" t="n">
        <v>-0.03</v>
      </c>
      <c r="AK141" s="69" t="n">
        <v>-0.03</v>
      </c>
      <c r="AL141" s="69" t="n">
        <v>0.22</v>
      </c>
      <c r="AM141" s="69" t="n">
        <v>0.05</v>
      </c>
      <c r="AN141" s="69" t="n">
        <v>0.09</v>
      </c>
      <c r="AO141" s="69" t="n">
        <v>0.07</v>
      </c>
      <c r="AP141" s="69" t="n">
        <v>0.19</v>
      </c>
      <c r="AQ141" s="69" t="n">
        <v>-0.07</v>
      </c>
      <c r="AR141" s="69" t="n">
        <v>0.15</v>
      </c>
      <c r="AS141" s="69" t="n">
        <v>-0.03</v>
      </c>
      <c r="AT141" s="69" t="n">
        <v>0.27</v>
      </c>
      <c r="AU141" s="69" t="n">
        <v>0</v>
      </c>
      <c r="AV141" s="69" t="n">
        <v>0.04</v>
      </c>
      <c r="AW141" s="69" t="n">
        <v>-0.03</v>
      </c>
      <c r="AX141" s="69" t="n">
        <v>0.03</v>
      </c>
      <c r="AY141" s="69" t="n">
        <v>0.15</v>
      </c>
      <c r="AZ141" s="69" t="n">
        <v>-0.01</v>
      </c>
      <c r="BA141" s="69" t="n">
        <v>0.01</v>
      </c>
      <c r="BB141" s="69" t="n">
        <v>0.21</v>
      </c>
      <c r="BC141" s="69" t="n">
        <v>0.04</v>
      </c>
      <c r="BD141" s="69" t="n">
        <v>0.06</v>
      </c>
      <c r="BE141" s="69" t="n">
        <v>0.08</v>
      </c>
      <c r="BF141" s="69" t="n">
        <v>0.01</v>
      </c>
      <c r="BG141" s="69" t="n">
        <v>0.19</v>
      </c>
      <c r="BH141" s="69" t="n">
        <v>0.02</v>
      </c>
      <c r="BI141" s="69" t="n">
        <v>-0.05</v>
      </c>
      <c r="BJ141" s="69" t="n">
        <v>-0.11</v>
      </c>
      <c r="BK141" s="69" t="n">
        <v>-0.05</v>
      </c>
      <c r="BL141" s="69" t="n">
        <v>0.02</v>
      </c>
      <c r="BM141" s="69" t="n">
        <v>0.14</v>
      </c>
      <c r="BN141" s="69" t="n">
        <v>-0.04</v>
      </c>
      <c r="BO141" s="69" t="n">
        <v>0.21</v>
      </c>
      <c r="BP141" s="69" t="n">
        <v>0.27</v>
      </c>
      <c r="BQ141" s="69" t="n">
        <v>0.02</v>
      </c>
      <c r="BR141" s="69" t="n">
        <v>0.22</v>
      </c>
      <c r="BS141" s="69" t="n">
        <v>-0.05</v>
      </c>
      <c r="BT141" s="69" t="n">
        <v>0.1</v>
      </c>
      <c r="BU141" s="69" t="n">
        <v>-0.05</v>
      </c>
      <c r="BV141" s="69" t="n">
        <v>0.25</v>
      </c>
      <c r="BW141" s="69" t="n">
        <v>0.18</v>
      </c>
      <c r="BX141" s="69" t="n">
        <v>0.14</v>
      </c>
      <c r="BY141" s="69" t="n">
        <v>0.12</v>
      </c>
      <c r="BZ141" s="69" t="n">
        <v>0.19</v>
      </c>
      <c r="CA141" s="69" t="n">
        <v>-0.11</v>
      </c>
      <c r="CB141" s="69" t="n">
        <v>0</v>
      </c>
      <c r="CC141" s="69" t="n">
        <v>0.13</v>
      </c>
      <c r="CD141" s="69" t="n">
        <v>0.25</v>
      </c>
      <c r="CE141" s="69" t="n">
        <v>0.01</v>
      </c>
      <c r="CF141" s="69" t="n">
        <v>-0.05</v>
      </c>
      <c r="CG141" s="69" t="n">
        <v>0.3</v>
      </c>
      <c r="CH141" s="69" t="n">
        <v>-0.07</v>
      </c>
      <c r="CI141" s="69" t="n">
        <v>-0.11</v>
      </c>
      <c r="CJ141" s="69" t="n">
        <v>0.31</v>
      </c>
      <c r="CK141" s="69" t="n">
        <v>0.18</v>
      </c>
      <c r="CL141" s="69" t="n">
        <v>0.13</v>
      </c>
      <c r="CM141" s="69" t="n">
        <v>0.12</v>
      </c>
      <c r="CN141" s="69" t="n">
        <v>-0.09</v>
      </c>
      <c r="CO141" s="69" t="n">
        <v>0.07</v>
      </c>
      <c r="CP141" s="69" t="n">
        <v>0.16</v>
      </c>
      <c r="CQ141" s="69" t="n">
        <v>0.16</v>
      </c>
      <c r="CR141" s="69" t="n">
        <v>0.09</v>
      </c>
      <c r="CS141" s="69" t="n">
        <v>-0.06</v>
      </c>
      <c r="CT141" s="69" t="n">
        <v>0.19</v>
      </c>
      <c r="CU141" s="69" t="n">
        <v>0.13</v>
      </c>
      <c r="CV141" s="69" t="n">
        <v>0.17</v>
      </c>
      <c r="CW141" s="69" t="n">
        <v>0.32</v>
      </c>
      <c r="CX141" s="69" t="n">
        <v>0.22</v>
      </c>
      <c r="CY141" s="69" t="n">
        <v>0.15</v>
      </c>
      <c r="CZ141" s="69" t="n">
        <v>0.29</v>
      </c>
      <c r="DA141" s="69" t="n">
        <v>0.37</v>
      </c>
      <c r="DB141" s="69" t="n">
        <v>0.13</v>
      </c>
      <c r="DC141" s="69" t="n">
        <v>0</v>
      </c>
      <c r="DD141" s="69" t="n">
        <v>0.34</v>
      </c>
      <c r="DE141" s="69" t="n">
        <v>0.02</v>
      </c>
      <c r="DF141" s="69" t="n">
        <v>0.3</v>
      </c>
      <c r="DG141" s="69" t="n">
        <v>0.01</v>
      </c>
      <c r="DH141" s="69" t="n">
        <v>0.11</v>
      </c>
      <c r="DI141" s="69" t="n">
        <v>0.16</v>
      </c>
      <c r="DJ141" s="69" t="n">
        <v>0.1</v>
      </c>
      <c r="DK141" s="69" t="n">
        <v>0.15</v>
      </c>
      <c r="DL141" s="69" t="n">
        <v>-0.1</v>
      </c>
      <c r="DM141" s="69" t="n">
        <v>0.15</v>
      </c>
      <c r="DN141" s="69" t="n">
        <v>0.25</v>
      </c>
      <c r="DO141" s="69" t="n">
        <v>-0.01</v>
      </c>
      <c r="DP141" s="69" t="n">
        <v>0.18</v>
      </c>
      <c r="DQ141" s="69" t="n">
        <v>0.09</v>
      </c>
      <c r="DR141" s="69" t="n">
        <v>0.03</v>
      </c>
      <c r="DS141" s="69" t="n">
        <v>0.23</v>
      </c>
      <c r="DT141" s="69" t="n">
        <v>0.18</v>
      </c>
      <c r="DU141" s="69" t="n">
        <v>0.3</v>
      </c>
      <c r="DV141" s="69" t="n">
        <v>0.23</v>
      </c>
      <c r="DW141" s="69" t="n">
        <v>0.42</v>
      </c>
      <c r="DX141" s="69" t="n">
        <v>-0.01</v>
      </c>
      <c r="DY141" s="69" t="n">
        <v>0.36</v>
      </c>
      <c r="DZ141" s="69" t="n">
        <v>0.26</v>
      </c>
      <c r="EA141" s="69" t="n">
        <v>0.06</v>
      </c>
      <c r="EB141" s="69" t="n">
        <v>0.35</v>
      </c>
      <c r="EC141" s="69" t="n">
        <v>-0.01</v>
      </c>
      <c r="ED141" s="69" t="n">
        <v>0.17</v>
      </c>
      <c r="EE141" s="69" t="n">
        <v>0.01</v>
      </c>
      <c r="EF141" s="69" t="n">
        <v>0.05</v>
      </c>
      <c r="EG141" s="69" t="n">
        <v>0.03</v>
      </c>
      <c r="EH141" s="69" t="n">
        <v>1</v>
      </c>
      <c r="EI141" s="69" t="n">
        <v>0.04</v>
      </c>
      <c r="EJ141" s="69" t="n">
        <v>0.21</v>
      </c>
      <c r="EK141" s="69" t="n">
        <v>0.18</v>
      </c>
      <c r="EL141" s="69" t="n">
        <v>0.12</v>
      </c>
      <c r="EM141" s="69" t="n">
        <v>0.35</v>
      </c>
      <c r="EN141" s="69" t="n">
        <v>0.1</v>
      </c>
      <c r="EO141" s="69" t="n">
        <v>0.05</v>
      </c>
    </row>
    <row r="142" customFormat="false" ht="15" hidden="false" customHeight="false" outlineLevel="0" collapsed="false">
      <c r="A142" s="68" t="s">
        <v>104</v>
      </c>
      <c r="B142" s="69" t="n">
        <v>-0.19</v>
      </c>
      <c r="C142" s="69" t="n">
        <v>0.02</v>
      </c>
      <c r="D142" s="69" t="n">
        <v>0.06</v>
      </c>
      <c r="E142" s="69" t="n">
        <v>-0.02</v>
      </c>
      <c r="F142" s="69" t="n">
        <v>-0.2</v>
      </c>
      <c r="G142" s="69" t="n">
        <v>0</v>
      </c>
      <c r="H142" s="69" t="n">
        <v>0.03</v>
      </c>
      <c r="I142" s="69" t="n">
        <v>-0.23</v>
      </c>
      <c r="J142" s="69" t="n">
        <v>-0.18</v>
      </c>
      <c r="K142" s="69" t="n">
        <v>-0.24</v>
      </c>
      <c r="L142" s="69" t="n">
        <v>0.08</v>
      </c>
      <c r="M142" s="69" t="n">
        <v>0.19</v>
      </c>
      <c r="N142" s="69" t="n">
        <v>-0.04</v>
      </c>
      <c r="O142" s="69" t="n">
        <v>0.01</v>
      </c>
      <c r="P142" s="69" t="n">
        <v>-0.2</v>
      </c>
      <c r="Q142" s="69" t="n">
        <v>0</v>
      </c>
      <c r="R142" s="69" t="n">
        <v>-0.27</v>
      </c>
      <c r="S142" s="69" t="n">
        <v>0.01</v>
      </c>
      <c r="T142" s="69" t="n">
        <v>0.08</v>
      </c>
      <c r="U142" s="69" t="n">
        <v>0.02</v>
      </c>
      <c r="V142" s="69" t="n">
        <v>-0.02</v>
      </c>
      <c r="W142" s="69" t="n">
        <v>0.02</v>
      </c>
      <c r="X142" s="69" t="n">
        <v>0.09</v>
      </c>
      <c r="Y142" s="69" t="n">
        <v>-0.12</v>
      </c>
      <c r="Z142" s="69" t="n">
        <v>0.09</v>
      </c>
      <c r="AA142" s="69" t="n">
        <v>0.06</v>
      </c>
      <c r="AB142" s="69" t="n">
        <v>-0.14</v>
      </c>
      <c r="AC142" s="69" t="n">
        <v>0.02</v>
      </c>
      <c r="AD142" s="69" t="n">
        <v>0.12</v>
      </c>
      <c r="AE142" s="69" t="n">
        <v>0.18</v>
      </c>
      <c r="AF142" s="69" t="n">
        <v>0.12</v>
      </c>
      <c r="AG142" s="69" t="n">
        <v>-0.23</v>
      </c>
      <c r="AH142" s="69" t="n">
        <v>-0.21</v>
      </c>
      <c r="AI142" s="69" t="n">
        <v>-0.2</v>
      </c>
      <c r="AJ142" s="69" t="n">
        <v>0.07</v>
      </c>
      <c r="AK142" s="69" t="n">
        <v>0.16</v>
      </c>
      <c r="AL142" s="69" t="n">
        <v>0</v>
      </c>
      <c r="AM142" s="69" t="n">
        <v>0.03</v>
      </c>
      <c r="AN142" s="69" t="n">
        <v>0.01</v>
      </c>
      <c r="AO142" s="69" t="n">
        <v>-0.1</v>
      </c>
      <c r="AP142" s="69" t="n">
        <v>-0.09</v>
      </c>
      <c r="AQ142" s="69" t="n">
        <v>-0.16</v>
      </c>
      <c r="AR142" s="69" t="n">
        <v>0.03</v>
      </c>
      <c r="AS142" s="69" t="n">
        <v>0.11</v>
      </c>
      <c r="AT142" s="69" t="n">
        <v>0.08</v>
      </c>
      <c r="AU142" s="69" t="n">
        <v>-0.16</v>
      </c>
      <c r="AV142" s="69" t="n">
        <v>0</v>
      </c>
      <c r="AW142" s="69" t="n">
        <v>0.14</v>
      </c>
      <c r="AX142" s="69" t="n">
        <v>-0.1</v>
      </c>
      <c r="AY142" s="69" t="n">
        <v>0.09</v>
      </c>
      <c r="AZ142" s="69" t="n">
        <v>0.27</v>
      </c>
      <c r="BA142" s="69" t="n">
        <v>0.19</v>
      </c>
      <c r="BB142" s="69" t="n">
        <v>0.27</v>
      </c>
      <c r="BC142" s="69" t="n">
        <v>0.07</v>
      </c>
      <c r="BD142" s="69" t="n">
        <v>0.09</v>
      </c>
      <c r="BE142" s="69" t="n">
        <v>-0.02</v>
      </c>
      <c r="BF142" s="69" t="n">
        <v>0.09</v>
      </c>
      <c r="BG142" s="69" t="n">
        <v>0.05</v>
      </c>
      <c r="BH142" s="69" t="n">
        <v>0.07</v>
      </c>
      <c r="BI142" s="69" t="n">
        <v>0.02</v>
      </c>
      <c r="BJ142" s="69" t="n">
        <v>0.08</v>
      </c>
      <c r="BK142" s="69" t="n">
        <v>0.16</v>
      </c>
      <c r="BL142" s="69" t="n">
        <v>0.32</v>
      </c>
      <c r="BM142" s="69" t="n">
        <v>-0.07</v>
      </c>
      <c r="BN142" s="69" t="n">
        <v>0.04</v>
      </c>
      <c r="BO142" s="69" t="n">
        <v>0.16</v>
      </c>
      <c r="BP142" s="69" t="n">
        <v>0.06</v>
      </c>
      <c r="BQ142" s="69" t="n">
        <v>0.25</v>
      </c>
      <c r="BR142" s="69" t="n">
        <v>0.16</v>
      </c>
      <c r="BS142" s="69" t="n">
        <v>-0.03</v>
      </c>
      <c r="BT142" s="69" t="n">
        <v>0.27</v>
      </c>
      <c r="BU142" s="69" t="n">
        <v>0.06</v>
      </c>
      <c r="BV142" s="69" t="n">
        <v>0.17</v>
      </c>
      <c r="BW142" s="69" t="n">
        <v>0.12</v>
      </c>
      <c r="BX142" s="69" t="n">
        <v>-0.03</v>
      </c>
      <c r="BY142" s="69" t="n">
        <v>0.16</v>
      </c>
      <c r="BZ142" s="69" t="n">
        <v>0.24</v>
      </c>
      <c r="CA142" s="69" t="n">
        <v>0.04</v>
      </c>
      <c r="CB142" s="69" t="n">
        <v>-0.02</v>
      </c>
      <c r="CC142" s="69" t="n">
        <v>0.03</v>
      </c>
      <c r="CD142" s="69" t="n">
        <v>0.1</v>
      </c>
      <c r="CE142" s="69" t="n">
        <v>0.23</v>
      </c>
      <c r="CF142" s="69" t="n">
        <v>-0.09</v>
      </c>
      <c r="CG142" s="69" t="n">
        <v>0.04</v>
      </c>
      <c r="CH142" s="69" t="n">
        <v>0.37</v>
      </c>
      <c r="CI142" s="69" t="n">
        <v>-0.12</v>
      </c>
      <c r="CJ142" s="69" t="n">
        <v>-0.11</v>
      </c>
      <c r="CK142" s="69" t="n">
        <v>-0.09</v>
      </c>
      <c r="CL142" s="69" t="n">
        <v>0.24</v>
      </c>
      <c r="CM142" s="69" t="n">
        <v>0.44</v>
      </c>
      <c r="CN142" s="69" t="n">
        <v>0.05</v>
      </c>
      <c r="CO142" s="69" t="n">
        <v>0.09</v>
      </c>
      <c r="CP142" s="69" t="n">
        <v>0.07</v>
      </c>
      <c r="CQ142" s="69" t="n">
        <v>0.3</v>
      </c>
      <c r="CR142" s="69" t="n">
        <v>0.62</v>
      </c>
      <c r="CS142" s="69" t="n">
        <v>0.54</v>
      </c>
      <c r="CT142" s="69" t="n">
        <v>0.13</v>
      </c>
      <c r="CU142" s="69" t="n">
        <v>0.16</v>
      </c>
      <c r="CV142" s="69" t="n">
        <v>0.09</v>
      </c>
      <c r="CW142" s="69" t="n">
        <v>0.03</v>
      </c>
      <c r="CX142" s="69" t="n">
        <v>0.23</v>
      </c>
      <c r="CY142" s="69" t="n">
        <v>0.24</v>
      </c>
      <c r="CZ142" s="69" t="n">
        <v>0</v>
      </c>
      <c r="DA142" s="69" t="n">
        <v>-0.02</v>
      </c>
      <c r="DB142" s="69" t="n">
        <v>0.34</v>
      </c>
      <c r="DC142" s="69" t="n">
        <v>0.26</v>
      </c>
      <c r="DD142" s="69" t="n">
        <v>0.17</v>
      </c>
      <c r="DE142" s="69" t="n">
        <v>0.48</v>
      </c>
      <c r="DF142" s="69" t="n">
        <v>-0.15</v>
      </c>
      <c r="DG142" s="69" t="n">
        <v>0.38</v>
      </c>
      <c r="DH142" s="69" t="n">
        <v>0.49</v>
      </c>
      <c r="DI142" s="69" t="n">
        <v>0.27</v>
      </c>
      <c r="DJ142" s="69" t="n">
        <v>0.17</v>
      </c>
      <c r="DK142" s="69" t="n">
        <v>0.33</v>
      </c>
      <c r="DL142" s="69" t="n">
        <v>0.27</v>
      </c>
      <c r="DM142" s="69" t="n">
        <v>0.22</v>
      </c>
      <c r="DN142" s="69" t="n">
        <v>0.08</v>
      </c>
      <c r="DO142" s="69" t="n">
        <v>0.39</v>
      </c>
      <c r="DP142" s="69" t="n">
        <v>0.17</v>
      </c>
      <c r="DQ142" s="69" t="n">
        <v>0.36</v>
      </c>
      <c r="DR142" s="69" t="n">
        <v>0.35</v>
      </c>
      <c r="DS142" s="69" t="n">
        <v>-0.04</v>
      </c>
      <c r="DT142" s="69" t="n">
        <v>0.32</v>
      </c>
      <c r="DU142" s="69" t="n">
        <v>0.3</v>
      </c>
      <c r="DV142" s="69" t="n">
        <v>0.13</v>
      </c>
      <c r="DW142" s="69" t="n">
        <v>0.04</v>
      </c>
      <c r="DX142" s="69" t="n">
        <v>0.73</v>
      </c>
      <c r="DY142" s="69" t="n">
        <v>0.22</v>
      </c>
      <c r="DZ142" s="69" t="n">
        <v>0.09</v>
      </c>
      <c r="EA142" s="69" t="n">
        <v>0.24</v>
      </c>
      <c r="EB142" s="69" t="n">
        <v>0.19</v>
      </c>
      <c r="EC142" s="69" t="n">
        <v>0.15</v>
      </c>
      <c r="ED142" s="69" t="n">
        <v>0.23</v>
      </c>
      <c r="EE142" s="69" t="n">
        <v>0.63</v>
      </c>
      <c r="EF142" s="69" t="n">
        <v>0.28</v>
      </c>
      <c r="EG142" s="69" t="n">
        <v>0.6</v>
      </c>
      <c r="EH142" s="69" t="n">
        <v>0.04</v>
      </c>
      <c r="EI142" s="69" t="n">
        <v>1</v>
      </c>
      <c r="EJ142" s="69" t="n">
        <v>0.13</v>
      </c>
      <c r="EK142" s="69" t="n">
        <v>0.45</v>
      </c>
      <c r="EL142" s="69" t="n">
        <v>0.54</v>
      </c>
      <c r="EM142" s="69" t="n">
        <v>0.2</v>
      </c>
      <c r="EN142" s="69" t="n">
        <v>0.07</v>
      </c>
      <c r="EO142" s="69" t="n">
        <v>0.04</v>
      </c>
    </row>
    <row r="143" customFormat="false" ht="15" hidden="false" customHeight="false" outlineLevel="0" collapsed="false">
      <c r="A143" s="68" t="s">
        <v>372</v>
      </c>
      <c r="B143" s="69" t="n">
        <v>0.07</v>
      </c>
      <c r="C143" s="69" t="n">
        <v>-0.02</v>
      </c>
      <c r="D143" s="69" t="n">
        <v>0.05</v>
      </c>
      <c r="E143" s="69" t="n">
        <v>0.17</v>
      </c>
      <c r="F143" s="69" t="n">
        <v>0.03</v>
      </c>
      <c r="G143" s="69" t="n">
        <v>0.1</v>
      </c>
      <c r="H143" s="69" t="n">
        <v>0.1</v>
      </c>
      <c r="I143" s="69" t="n">
        <v>0.04</v>
      </c>
      <c r="J143" s="69" t="n">
        <v>-0.04</v>
      </c>
      <c r="K143" s="69" t="n">
        <v>0.01</v>
      </c>
      <c r="L143" s="69" t="n">
        <v>0.14</v>
      </c>
      <c r="M143" s="69" t="n">
        <v>0.33</v>
      </c>
      <c r="N143" s="69" t="n">
        <v>0.26</v>
      </c>
      <c r="O143" s="69" t="n">
        <v>0.08</v>
      </c>
      <c r="P143" s="69" t="n">
        <v>0.02</v>
      </c>
      <c r="Q143" s="69" t="n">
        <v>-0.01</v>
      </c>
      <c r="R143" s="69" t="n">
        <v>0.06</v>
      </c>
      <c r="S143" s="69" t="n">
        <v>0.07</v>
      </c>
      <c r="T143" s="69" t="n">
        <v>0.2</v>
      </c>
      <c r="U143" s="69" t="n">
        <v>0.19</v>
      </c>
      <c r="V143" s="69" t="n">
        <v>0.06</v>
      </c>
      <c r="W143" s="69" t="n">
        <v>0</v>
      </c>
      <c r="X143" s="69" t="n">
        <v>0.19</v>
      </c>
      <c r="Y143" s="69" t="n">
        <v>0.07</v>
      </c>
      <c r="Z143" s="69" t="n">
        <v>0.17</v>
      </c>
      <c r="AA143" s="69" t="n">
        <v>0.1</v>
      </c>
      <c r="AB143" s="69" t="n">
        <v>0.09</v>
      </c>
      <c r="AC143" s="69" t="n">
        <v>0.1</v>
      </c>
      <c r="AD143" s="69" t="n">
        <v>0.13</v>
      </c>
      <c r="AE143" s="69" t="n">
        <v>0.23</v>
      </c>
      <c r="AF143" s="69" t="n">
        <v>0.13</v>
      </c>
      <c r="AG143" s="69" t="n">
        <v>-0.03</v>
      </c>
      <c r="AH143" s="69" t="n">
        <v>-0.02</v>
      </c>
      <c r="AI143" s="69" t="n">
        <v>-0.03</v>
      </c>
      <c r="AJ143" s="69" t="n">
        <v>0.06</v>
      </c>
      <c r="AK143" s="69" t="n">
        <v>0.14</v>
      </c>
      <c r="AL143" s="69" t="n">
        <v>0.2</v>
      </c>
      <c r="AM143" s="69" t="n">
        <v>0.21</v>
      </c>
      <c r="AN143" s="69" t="n">
        <v>0.17</v>
      </c>
      <c r="AO143" s="69" t="n">
        <v>0.11</v>
      </c>
      <c r="AP143" s="69" t="n">
        <v>0.23</v>
      </c>
      <c r="AQ143" s="69" t="n">
        <v>-0.06</v>
      </c>
      <c r="AR143" s="69" t="n">
        <v>0.22</v>
      </c>
      <c r="AS143" s="69" t="n">
        <v>0.15</v>
      </c>
      <c r="AT143" s="69" t="n">
        <v>0.32</v>
      </c>
      <c r="AU143" s="69" t="n">
        <v>-0.01</v>
      </c>
      <c r="AV143" s="69" t="n">
        <v>0.17</v>
      </c>
      <c r="AW143" s="69" t="n">
        <v>0.14</v>
      </c>
      <c r="AX143" s="69" t="n">
        <v>0.24</v>
      </c>
      <c r="AY143" s="69" t="n">
        <v>0.14</v>
      </c>
      <c r="AZ143" s="69" t="n">
        <v>0.2</v>
      </c>
      <c r="BA143" s="69" t="n">
        <v>0.16</v>
      </c>
      <c r="BB143" s="69" t="n">
        <v>0.27</v>
      </c>
      <c r="BC143" s="69" t="n">
        <v>0.13</v>
      </c>
      <c r="BD143" s="69" t="n">
        <v>0.16</v>
      </c>
      <c r="BE143" s="69" t="n">
        <v>0.18</v>
      </c>
      <c r="BF143" s="69" t="n">
        <v>0.21</v>
      </c>
      <c r="BG143" s="69" t="n">
        <v>0.22</v>
      </c>
      <c r="BH143" s="69" t="n">
        <v>0.14</v>
      </c>
      <c r="BI143" s="69" t="n">
        <v>0.11</v>
      </c>
      <c r="BJ143" s="69" t="n">
        <v>-0.02</v>
      </c>
      <c r="BK143" s="69" t="n">
        <v>0.18</v>
      </c>
      <c r="BL143" s="69" t="n">
        <v>0.15</v>
      </c>
      <c r="BM143" s="69" t="n">
        <v>0.13</v>
      </c>
      <c r="BN143" s="69" t="n">
        <v>0.03</v>
      </c>
      <c r="BO143" s="69" t="n">
        <v>0.24</v>
      </c>
      <c r="BP143" s="69" t="n">
        <v>0.18</v>
      </c>
      <c r="BQ143" s="69" t="n">
        <v>0.18</v>
      </c>
      <c r="BR143" s="69" t="n">
        <v>0.18</v>
      </c>
      <c r="BS143" s="69" t="n">
        <v>0.02</v>
      </c>
      <c r="BT143" s="69" t="n">
        <v>0.24</v>
      </c>
      <c r="BU143" s="69" t="n">
        <v>0.11</v>
      </c>
      <c r="BV143" s="69" t="n">
        <v>0.18</v>
      </c>
      <c r="BW143" s="69" t="n">
        <v>0.16</v>
      </c>
      <c r="BX143" s="69" t="n">
        <v>0.19</v>
      </c>
      <c r="BY143" s="69" t="n">
        <v>0.27</v>
      </c>
      <c r="BZ143" s="69" t="n">
        <v>0.26</v>
      </c>
      <c r="CA143" s="69" t="n">
        <v>0.14</v>
      </c>
      <c r="CB143" s="69" t="n">
        <v>0.03</v>
      </c>
      <c r="CC143" s="69" t="n">
        <v>0.12</v>
      </c>
      <c r="CD143" s="69" t="n">
        <v>0.23</v>
      </c>
      <c r="CE143" s="69" t="n">
        <v>0.09</v>
      </c>
      <c r="CF143" s="69" t="n">
        <v>-0.01</v>
      </c>
      <c r="CG143" s="69" t="n">
        <v>0.2</v>
      </c>
      <c r="CH143" s="69" t="n">
        <v>0.2</v>
      </c>
      <c r="CI143" s="69" t="n">
        <v>-0.01</v>
      </c>
      <c r="CJ143" s="69" t="n">
        <v>0.09</v>
      </c>
      <c r="CK143" s="69" t="n">
        <v>0.19</v>
      </c>
      <c r="CL143" s="69" t="n">
        <v>0.32</v>
      </c>
      <c r="CM143" s="69" t="n">
        <v>0.15</v>
      </c>
      <c r="CN143" s="69" t="n">
        <v>0.12</v>
      </c>
      <c r="CO143" s="69" t="n">
        <v>0.16</v>
      </c>
      <c r="CP143" s="69" t="n">
        <v>0.09</v>
      </c>
      <c r="CQ143" s="69" t="n">
        <v>0.38</v>
      </c>
      <c r="CR143" s="69" t="n">
        <v>0.3</v>
      </c>
      <c r="CS143" s="69" t="n">
        <v>0.23</v>
      </c>
      <c r="CT143" s="69" t="n">
        <v>0.24</v>
      </c>
      <c r="CU143" s="69" t="n">
        <v>0.19</v>
      </c>
      <c r="CV143" s="69" t="n">
        <v>0.17</v>
      </c>
      <c r="CW143" s="69" t="n">
        <v>0.16</v>
      </c>
      <c r="CX143" s="69" t="n">
        <v>0.26</v>
      </c>
      <c r="CY143" s="69" t="n">
        <v>0.33</v>
      </c>
      <c r="CZ143" s="69" t="n">
        <v>0.2</v>
      </c>
      <c r="DA143" s="69" t="n">
        <v>0.35</v>
      </c>
      <c r="DB143" s="69" t="n">
        <v>0.32</v>
      </c>
      <c r="DC143" s="69" t="n">
        <v>0.25</v>
      </c>
      <c r="DD143" s="69" t="n">
        <v>0.3</v>
      </c>
      <c r="DE143" s="69" t="n">
        <v>0.18</v>
      </c>
      <c r="DF143" s="69" t="n">
        <v>0.15</v>
      </c>
      <c r="DG143" s="69" t="n">
        <v>0.12</v>
      </c>
      <c r="DH143" s="69" t="n">
        <v>0.21</v>
      </c>
      <c r="DI143" s="69" t="n">
        <v>0.32</v>
      </c>
      <c r="DJ143" s="69" t="n">
        <v>0.36</v>
      </c>
      <c r="DK143" s="69" t="n">
        <v>0.36</v>
      </c>
      <c r="DL143" s="69" t="n">
        <v>0.05</v>
      </c>
      <c r="DM143" s="69" t="n">
        <v>0.31</v>
      </c>
      <c r="DN143" s="69" t="n">
        <v>0.13</v>
      </c>
      <c r="DO143" s="69" t="n">
        <v>0.22</v>
      </c>
      <c r="DP143" s="69" t="n">
        <v>0.29</v>
      </c>
      <c r="DQ143" s="69" t="n">
        <v>0.21</v>
      </c>
      <c r="DR143" s="69" t="n">
        <v>0.24</v>
      </c>
      <c r="DS143" s="69" t="n">
        <v>0.17</v>
      </c>
      <c r="DT143" s="69" t="n">
        <v>0.29</v>
      </c>
      <c r="DU143" s="69" t="n">
        <v>0.33</v>
      </c>
      <c r="DV143" s="69" t="n">
        <v>0.18</v>
      </c>
      <c r="DW143" s="69" t="n">
        <v>0.22</v>
      </c>
      <c r="DX143" s="69" t="n">
        <v>0.18</v>
      </c>
      <c r="DY143" s="69" t="n">
        <v>0.21</v>
      </c>
      <c r="DZ143" s="69" t="n">
        <v>0.13</v>
      </c>
      <c r="EA143" s="69" t="n">
        <v>0.32</v>
      </c>
      <c r="EB143" s="69" t="n">
        <v>0.33</v>
      </c>
      <c r="EC143" s="69" t="n">
        <v>0.11</v>
      </c>
      <c r="ED143" s="69" t="n">
        <v>0.39</v>
      </c>
      <c r="EE143" s="69" t="n">
        <v>0.23</v>
      </c>
      <c r="EF143" s="69" t="n">
        <v>0.09</v>
      </c>
      <c r="EG143" s="69" t="n">
        <v>0.2</v>
      </c>
      <c r="EH143" s="69" t="n">
        <v>0.21</v>
      </c>
      <c r="EI143" s="69" t="n">
        <v>0.13</v>
      </c>
      <c r="EJ143" s="69" t="n">
        <v>1</v>
      </c>
      <c r="EK143" s="69" t="n">
        <v>0.34</v>
      </c>
      <c r="EL143" s="69" t="n">
        <v>0.29</v>
      </c>
      <c r="EM143" s="69" t="n">
        <v>0.32</v>
      </c>
      <c r="EN143" s="69" t="n">
        <v>0.16</v>
      </c>
      <c r="EO143" s="69" t="n">
        <v>0.06</v>
      </c>
    </row>
    <row r="144" customFormat="false" ht="15" hidden="false" customHeight="false" outlineLevel="0" collapsed="false">
      <c r="A144" s="68" t="s">
        <v>373</v>
      </c>
      <c r="B144" s="69" t="n">
        <v>-0.03</v>
      </c>
      <c r="C144" s="69" t="n">
        <v>0.04</v>
      </c>
      <c r="D144" s="69" t="n">
        <v>0.04</v>
      </c>
      <c r="E144" s="69" t="n">
        <v>0.07</v>
      </c>
      <c r="F144" s="69" t="n">
        <v>-0.05</v>
      </c>
      <c r="G144" s="69" t="n">
        <v>0.04</v>
      </c>
      <c r="H144" s="69" t="n">
        <v>0.05</v>
      </c>
      <c r="I144" s="69" t="n">
        <v>-0.01</v>
      </c>
      <c r="J144" s="69" t="n">
        <v>-0.08</v>
      </c>
      <c r="K144" s="69" t="n">
        <v>-0.07</v>
      </c>
      <c r="L144" s="69" t="n">
        <v>0.12</v>
      </c>
      <c r="M144" s="69" t="n">
        <v>0.27</v>
      </c>
      <c r="N144" s="69" t="n">
        <v>0.11</v>
      </c>
      <c r="O144" s="69" t="n">
        <v>0.08</v>
      </c>
      <c r="P144" s="69" t="n">
        <v>-0.04</v>
      </c>
      <c r="Q144" s="69" t="n">
        <v>0.01</v>
      </c>
      <c r="R144" s="69" t="n">
        <v>-0.02</v>
      </c>
      <c r="S144" s="69" t="n">
        <v>-0.04</v>
      </c>
      <c r="T144" s="69" t="n">
        <v>0.2</v>
      </c>
      <c r="U144" s="69" t="n">
        <v>0.13</v>
      </c>
      <c r="V144" s="69" t="n">
        <v>0.03</v>
      </c>
      <c r="W144" s="69" t="n">
        <v>0.12</v>
      </c>
      <c r="X144" s="69" t="n">
        <v>0.3</v>
      </c>
      <c r="Y144" s="69" t="n">
        <v>0.01</v>
      </c>
      <c r="Z144" s="69" t="n">
        <v>0.12</v>
      </c>
      <c r="AA144" s="69" t="n">
        <v>0.05</v>
      </c>
      <c r="AB144" s="69" t="n">
        <v>-0.01</v>
      </c>
      <c r="AC144" s="69" t="n">
        <v>0.15</v>
      </c>
      <c r="AD144" s="69" t="n">
        <v>0.11</v>
      </c>
      <c r="AE144" s="69" t="n">
        <v>0.11</v>
      </c>
      <c r="AF144" s="69" t="n">
        <v>0.09</v>
      </c>
      <c r="AG144" s="69" t="n">
        <v>-0.05</v>
      </c>
      <c r="AH144" s="69" t="n">
        <v>-0.03</v>
      </c>
      <c r="AI144" s="69" t="n">
        <v>0.05</v>
      </c>
      <c r="AJ144" s="69" t="n">
        <v>0.12</v>
      </c>
      <c r="AK144" s="69" t="n">
        <v>0.13</v>
      </c>
      <c r="AL144" s="69" t="n">
        <v>0.08</v>
      </c>
      <c r="AM144" s="69" t="n">
        <v>0.16</v>
      </c>
      <c r="AN144" s="69" t="n">
        <v>0.08</v>
      </c>
      <c r="AO144" s="69" t="n">
        <v>0</v>
      </c>
      <c r="AP144" s="69" t="n">
        <v>0.15</v>
      </c>
      <c r="AQ144" s="69" t="n">
        <v>0.02</v>
      </c>
      <c r="AR144" s="69" t="n">
        <v>0.19</v>
      </c>
      <c r="AS144" s="69" t="n">
        <v>0.09</v>
      </c>
      <c r="AT144" s="69" t="n">
        <v>0.23</v>
      </c>
      <c r="AU144" s="69" t="n">
        <v>-0.02</v>
      </c>
      <c r="AV144" s="69" t="n">
        <v>0.17</v>
      </c>
      <c r="AW144" s="69" t="n">
        <v>0.13</v>
      </c>
      <c r="AX144" s="69" t="n">
        <v>0.12</v>
      </c>
      <c r="AY144" s="69" t="n">
        <v>0.14</v>
      </c>
      <c r="AZ144" s="69" t="n">
        <v>0.14</v>
      </c>
      <c r="BA144" s="69" t="n">
        <v>0.18</v>
      </c>
      <c r="BB144" s="69" t="n">
        <v>0.35</v>
      </c>
      <c r="BC144" s="69" t="n">
        <v>0.18</v>
      </c>
      <c r="BD144" s="69" t="n">
        <v>0.15</v>
      </c>
      <c r="BE144" s="69" t="n">
        <v>0.1</v>
      </c>
      <c r="BF144" s="69" t="n">
        <v>0.15</v>
      </c>
      <c r="BG144" s="69" t="n">
        <v>0.19</v>
      </c>
      <c r="BH144" s="69" t="n">
        <v>0.17</v>
      </c>
      <c r="BI144" s="69" t="n">
        <v>0.02</v>
      </c>
      <c r="BJ144" s="69" t="n">
        <v>0.06</v>
      </c>
      <c r="BK144" s="69" t="n">
        <v>0.15</v>
      </c>
      <c r="BL144" s="69" t="n">
        <v>0.3</v>
      </c>
      <c r="BM144" s="69" t="n">
        <v>0.12</v>
      </c>
      <c r="BN144" s="69" t="n">
        <v>0.06</v>
      </c>
      <c r="BO144" s="69" t="n">
        <v>0.21</v>
      </c>
      <c r="BP144" s="69" t="n">
        <v>0.28</v>
      </c>
      <c r="BQ144" s="69" t="n">
        <v>0.26</v>
      </c>
      <c r="BR144" s="69" t="n">
        <v>0.25</v>
      </c>
      <c r="BS144" s="69" t="n">
        <v>0.08</v>
      </c>
      <c r="BT144" s="69" t="n">
        <v>0.27</v>
      </c>
      <c r="BU144" s="69" t="n">
        <v>0.01</v>
      </c>
      <c r="BV144" s="69" t="n">
        <v>0.23</v>
      </c>
      <c r="BW144" s="69" t="n">
        <v>0.17</v>
      </c>
      <c r="BX144" s="69" t="n">
        <v>0.07</v>
      </c>
      <c r="BY144" s="69" t="n">
        <v>0.24</v>
      </c>
      <c r="BZ144" s="69" t="n">
        <v>0.28</v>
      </c>
      <c r="CA144" s="69" t="n">
        <v>0.11</v>
      </c>
      <c r="CB144" s="69" t="n">
        <v>0.02</v>
      </c>
      <c r="CC144" s="69" t="n">
        <v>0.16</v>
      </c>
      <c r="CD144" s="69" t="n">
        <v>0.14</v>
      </c>
      <c r="CE144" s="69" t="n">
        <v>0.27</v>
      </c>
      <c r="CF144" s="69" t="n">
        <v>0.04</v>
      </c>
      <c r="CG144" s="69" t="n">
        <v>0.09</v>
      </c>
      <c r="CH144" s="69" t="n">
        <v>0.34</v>
      </c>
      <c r="CI144" s="69" t="n">
        <v>0.08</v>
      </c>
      <c r="CJ144" s="69" t="n">
        <v>0.14</v>
      </c>
      <c r="CK144" s="69" t="n">
        <v>0.02</v>
      </c>
      <c r="CL144" s="69" t="n">
        <v>0.21</v>
      </c>
      <c r="CM144" s="69" t="n">
        <v>0.39</v>
      </c>
      <c r="CN144" s="69" t="n">
        <v>0.12</v>
      </c>
      <c r="CO144" s="69" t="n">
        <v>0.05</v>
      </c>
      <c r="CP144" s="69" t="n">
        <v>0.17</v>
      </c>
      <c r="CQ144" s="69" t="n">
        <v>0.31</v>
      </c>
      <c r="CR144" s="69" t="n">
        <v>0.48</v>
      </c>
      <c r="CS144" s="69" t="n">
        <v>0.47</v>
      </c>
      <c r="CT144" s="69" t="n">
        <v>0.27</v>
      </c>
      <c r="CU144" s="69" t="n">
        <v>0.29</v>
      </c>
      <c r="CV144" s="69" t="n">
        <v>0.09</v>
      </c>
      <c r="CW144" s="69" t="n">
        <v>0.19</v>
      </c>
      <c r="CX144" s="69" t="n">
        <v>0.32</v>
      </c>
      <c r="CY144" s="69" t="n">
        <v>0.2</v>
      </c>
      <c r="CZ144" s="69" t="n">
        <v>0.13</v>
      </c>
      <c r="DA144" s="69" t="n">
        <v>0.24</v>
      </c>
      <c r="DB144" s="69" t="n">
        <v>0.39</v>
      </c>
      <c r="DC144" s="69" t="n">
        <v>0.17</v>
      </c>
      <c r="DD144" s="69" t="n">
        <v>0.35</v>
      </c>
      <c r="DE144" s="69" t="n">
        <v>0.45</v>
      </c>
      <c r="DF144" s="69" t="n">
        <v>0.05</v>
      </c>
      <c r="DG144" s="69" t="n">
        <v>0.4</v>
      </c>
      <c r="DH144" s="69" t="n">
        <v>0.42</v>
      </c>
      <c r="DI144" s="69" t="n">
        <v>0.3</v>
      </c>
      <c r="DJ144" s="69" t="n">
        <v>0.13</v>
      </c>
      <c r="DK144" s="69" t="n">
        <v>0.35</v>
      </c>
      <c r="DL144" s="69" t="n">
        <v>0.26</v>
      </c>
      <c r="DM144" s="69" t="n">
        <v>0.2</v>
      </c>
      <c r="DN144" s="69" t="n">
        <v>0.18</v>
      </c>
      <c r="DO144" s="69" t="n">
        <v>0.31</v>
      </c>
      <c r="DP144" s="69" t="n">
        <v>0.15</v>
      </c>
      <c r="DQ144" s="69" t="n">
        <v>0.24</v>
      </c>
      <c r="DR144" s="69" t="n">
        <v>0.32</v>
      </c>
      <c r="DS144" s="69" t="n">
        <v>0</v>
      </c>
      <c r="DT144" s="69" t="n">
        <v>0.38</v>
      </c>
      <c r="DU144" s="69" t="n">
        <v>0.53</v>
      </c>
      <c r="DV144" s="69" t="n">
        <v>0.24</v>
      </c>
      <c r="DW144" s="69" t="n">
        <v>0.16</v>
      </c>
      <c r="DX144" s="69" t="n">
        <v>0.47</v>
      </c>
      <c r="DY144" s="69" t="n">
        <v>0.3</v>
      </c>
      <c r="DZ144" s="69" t="n">
        <v>0.12</v>
      </c>
      <c r="EA144" s="69" t="n">
        <v>0.24</v>
      </c>
      <c r="EB144" s="69" t="n">
        <v>0.4</v>
      </c>
      <c r="EC144" s="69" t="n">
        <v>0.16</v>
      </c>
      <c r="ED144" s="69" t="n">
        <v>0.36</v>
      </c>
      <c r="EE144" s="69" t="n">
        <v>0.53</v>
      </c>
      <c r="EF144" s="69" t="n">
        <v>0.27</v>
      </c>
      <c r="EG144" s="69" t="n">
        <v>0.39</v>
      </c>
      <c r="EH144" s="69" t="n">
        <v>0.18</v>
      </c>
      <c r="EI144" s="69" t="n">
        <v>0.45</v>
      </c>
      <c r="EJ144" s="69" t="n">
        <v>0.34</v>
      </c>
      <c r="EK144" s="69" t="n">
        <v>1</v>
      </c>
      <c r="EL144" s="69" t="n">
        <v>0.78</v>
      </c>
      <c r="EM144" s="69" t="n">
        <v>0.25</v>
      </c>
      <c r="EN144" s="69" t="n">
        <v>0.17</v>
      </c>
      <c r="EO144" s="69" t="n">
        <v>0.15</v>
      </c>
    </row>
    <row r="145" customFormat="false" ht="15" hidden="false" customHeight="false" outlineLevel="0" collapsed="false">
      <c r="A145" s="68" t="s">
        <v>374</v>
      </c>
      <c r="B145" s="69" t="n">
        <v>-0.11</v>
      </c>
      <c r="C145" s="69" t="n">
        <v>0.02</v>
      </c>
      <c r="D145" s="69" t="n">
        <v>0.09</v>
      </c>
      <c r="E145" s="69" t="n">
        <v>0.1</v>
      </c>
      <c r="F145" s="69" t="n">
        <v>-0.16</v>
      </c>
      <c r="G145" s="69" t="n">
        <v>0.04</v>
      </c>
      <c r="H145" s="69" t="n">
        <v>0.09</v>
      </c>
      <c r="I145" s="69" t="n">
        <v>-0.1</v>
      </c>
      <c r="J145" s="69" t="n">
        <v>-0.08</v>
      </c>
      <c r="K145" s="69" t="n">
        <v>-0.1</v>
      </c>
      <c r="L145" s="69" t="n">
        <v>0.15</v>
      </c>
      <c r="M145" s="69" t="n">
        <v>0.31</v>
      </c>
      <c r="N145" s="69" t="n">
        <v>0.01</v>
      </c>
      <c r="O145" s="69" t="n">
        <v>0.17</v>
      </c>
      <c r="P145" s="69" t="n">
        <v>-0.1</v>
      </c>
      <c r="Q145" s="69" t="n">
        <v>0.03</v>
      </c>
      <c r="R145" s="69" t="n">
        <v>-0.14</v>
      </c>
      <c r="S145" s="69" t="n">
        <v>0.02</v>
      </c>
      <c r="T145" s="69" t="n">
        <v>0.22</v>
      </c>
      <c r="U145" s="69" t="n">
        <v>0.21</v>
      </c>
      <c r="V145" s="69" t="n">
        <v>0.11</v>
      </c>
      <c r="W145" s="69" t="n">
        <v>0.12</v>
      </c>
      <c r="X145" s="69" t="n">
        <v>0.27</v>
      </c>
      <c r="Y145" s="69" t="n">
        <v>-0.06</v>
      </c>
      <c r="Z145" s="69" t="n">
        <v>0.12</v>
      </c>
      <c r="AA145" s="69" t="n">
        <v>0.11</v>
      </c>
      <c r="AB145" s="69" t="n">
        <v>-0.07</v>
      </c>
      <c r="AC145" s="69" t="n">
        <v>0.13</v>
      </c>
      <c r="AD145" s="69" t="n">
        <v>0.16</v>
      </c>
      <c r="AE145" s="69" t="n">
        <v>0.19</v>
      </c>
      <c r="AF145" s="69" t="n">
        <v>0.17</v>
      </c>
      <c r="AG145" s="69" t="n">
        <v>-0.19</v>
      </c>
      <c r="AH145" s="69" t="n">
        <v>-0.2</v>
      </c>
      <c r="AI145" s="69" t="n">
        <v>-0.17</v>
      </c>
      <c r="AJ145" s="69" t="n">
        <v>0.17</v>
      </c>
      <c r="AK145" s="69" t="n">
        <v>0.27</v>
      </c>
      <c r="AL145" s="69" t="n">
        <v>0.1</v>
      </c>
      <c r="AM145" s="69" t="n">
        <v>0.22</v>
      </c>
      <c r="AN145" s="69" t="n">
        <v>0.12</v>
      </c>
      <c r="AO145" s="69" t="n">
        <v>-0.06</v>
      </c>
      <c r="AP145" s="69" t="n">
        <v>0.1</v>
      </c>
      <c r="AQ145" s="69" t="n">
        <v>-0.14</v>
      </c>
      <c r="AR145" s="69" t="n">
        <v>0.16</v>
      </c>
      <c r="AS145" s="69" t="n">
        <v>0.16</v>
      </c>
      <c r="AT145" s="69" t="n">
        <v>0.2</v>
      </c>
      <c r="AU145" s="69" t="n">
        <v>-0.02</v>
      </c>
      <c r="AV145" s="69" t="n">
        <v>0.18</v>
      </c>
      <c r="AW145" s="69" t="n">
        <v>0.16</v>
      </c>
      <c r="AX145" s="69" t="n">
        <v>0</v>
      </c>
      <c r="AY145" s="69" t="n">
        <v>0.13</v>
      </c>
      <c r="AZ145" s="69" t="n">
        <v>0.23</v>
      </c>
      <c r="BA145" s="69" t="n">
        <v>0.16</v>
      </c>
      <c r="BB145" s="69" t="n">
        <v>0.38</v>
      </c>
      <c r="BC145" s="69" t="n">
        <v>0.16</v>
      </c>
      <c r="BD145" s="69" t="n">
        <v>0.24</v>
      </c>
      <c r="BE145" s="69" t="n">
        <v>0.06</v>
      </c>
      <c r="BF145" s="69" t="n">
        <v>0.17</v>
      </c>
      <c r="BG145" s="69" t="n">
        <v>0.17</v>
      </c>
      <c r="BH145" s="69" t="n">
        <v>0.17</v>
      </c>
      <c r="BI145" s="69" t="n">
        <v>0.1</v>
      </c>
      <c r="BJ145" s="69" t="n">
        <v>0.12</v>
      </c>
      <c r="BK145" s="69" t="n">
        <v>0.2</v>
      </c>
      <c r="BL145" s="69" t="n">
        <v>0.35</v>
      </c>
      <c r="BM145" s="69" t="n">
        <v>0.07</v>
      </c>
      <c r="BN145" s="69" t="n">
        <v>-0.02</v>
      </c>
      <c r="BO145" s="69" t="n">
        <v>0.2</v>
      </c>
      <c r="BP145" s="69" t="n">
        <v>0.25</v>
      </c>
      <c r="BQ145" s="69" t="n">
        <v>0.32</v>
      </c>
      <c r="BR145" s="69" t="n">
        <v>0.28</v>
      </c>
      <c r="BS145" s="69" t="n">
        <v>-0.09</v>
      </c>
      <c r="BT145" s="69" t="n">
        <v>0.4</v>
      </c>
      <c r="BU145" s="69" t="n">
        <v>0.1</v>
      </c>
      <c r="BV145" s="69" t="n">
        <v>0.2</v>
      </c>
      <c r="BW145" s="69" t="n">
        <v>0.19</v>
      </c>
      <c r="BX145" s="69" t="n">
        <v>0.06</v>
      </c>
      <c r="BY145" s="69" t="n">
        <v>0.21</v>
      </c>
      <c r="BZ145" s="69" t="n">
        <v>0.3</v>
      </c>
      <c r="CA145" s="69" t="n">
        <v>0.18</v>
      </c>
      <c r="CB145" s="69" t="n">
        <v>-0.07</v>
      </c>
      <c r="CC145" s="69" t="n">
        <v>0.05</v>
      </c>
      <c r="CD145" s="69" t="n">
        <v>0.16</v>
      </c>
      <c r="CE145" s="69" t="n">
        <v>0.2</v>
      </c>
      <c r="CF145" s="69" t="n">
        <v>-0.14</v>
      </c>
      <c r="CG145" s="69" t="n">
        <v>0.07</v>
      </c>
      <c r="CH145" s="69" t="n">
        <v>0.45</v>
      </c>
      <c r="CI145" s="69" t="n">
        <v>-0.13</v>
      </c>
      <c r="CJ145" s="69" t="n">
        <v>-0.03</v>
      </c>
      <c r="CK145" s="69" t="n">
        <v>-0.03</v>
      </c>
      <c r="CL145" s="69" t="n">
        <v>0.2</v>
      </c>
      <c r="CM145" s="69" t="n">
        <v>0.43</v>
      </c>
      <c r="CN145" s="69" t="n">
        <v>0.17</v>
      </c>
      <c r="CO145" s="69" t="n">
        <v>0.08</v>
      </c>
      <c r="CP145" s="69" t="n">
        <v>0.13</v>
      </c>
      <c r="CQ145" s="69" t="n">
        <v>0.37</v>
      </c>
      <c r="CR145" s="69" t="n">
        <v>0.58</v>
      </c>
      <c r="CS145" s="69" t="n">
        <v>0.51</v>
      </c>
      <c r="CT145" s="69" t="n">
        <v>0.24</v>
      </c>
      <c r="CU145" s="69" t="n">
        <v>0.29</v>
      </c>
      <c r="CV145" s="69" t="n">
        <v>0.11</v>
      </c>
      <c r="CW145" s="69" t="n">
        <v>0.22</v>
      </c>
      <c r="CX145" s="69" t="n">
        <v>0.33</v>
      </c>
      <c r="CY145" s="69" t="n">
        <v>0.28</v>
      </c>
      <c r="CZ145" s="69" t="n">
        <v>0.07</v>
      </c>
      <c r="DA145" s="69" t="n">
        <v>0.14</v>
      </c>
      <c r="DB145" s="69" t="n">
        <v>0.35</v>
      </c>
      <c r="DC145" s="69" t="n">
        <v>0.3</v>
      </c>
      <c r="DD145" s="69" t="n">
        <v>0.27</v>
      </c>
      <c r="DE145" s="69" t="n">
        <v>0.51</v>
      </c>
      <c r="DF145" s="69" t="n">
        <v>-0.06</v>
      </c>
      <c r="DG145" s="69" t="n">
        <v>0.47</v>
      </c>
      <c r="DH145" s="69" t="n">
        <v>0.43</v>
      </c>
      <c r="DI145" s="69" t="n">
        <v>0.33</v>
      </c>
      <c r="DJ145" s="69" t="n">
        <v>0.21</v>
      </c>
      <c r="DK145" s="69" t="n">
        <v>0.42</v>
      </c>
      <c r="DL145" s="69" t="n">
        <v>0.36</v>
      </c>
      <c r="DM145" s="69" t="n">
        <v>0.28</v>
      </c>
      <c r="DN145" s="69" t="n">
        <v>0.08</v>
      </c>
      <c r="DO145" s="69" t="n">
        <v>0.31</v>
      </c>
      <c r="DP145" s="69" t="n">
        <v>0.23</v>
      </c>
      <c r="DQ145" s="69" t="n">
        <v>0.27</v>
      </c>
      <c r="DR145" s="69" t="n">
        <v>0.36</v>
      </c>
      <c r="DS145" s="69" t="n">
        <v>0.02</v>
      </c>
      <c r="DT145" s="69" t="n">
        <v>0.38</v>
      </c>
      <c r="DU145" s="69" t="n">
        <v>0.5</v>
      </c>
      <c r="DV145" s="69" t="n">
        <v>0.19</v>
      </c>
      <c r="DW145" s="69" t="n">
        <v>0.17</v>
      </c>
      <c r="DX145" s="69" t="n">
        <v>0.55</v>
      </c>
      <c r="DY145" s="69" t="n">
        <v>0.3</v>
      </c>
      <c r="DZ145" s="69" t="n">
        <v>0.09</v>
      </c>
      <c r="EA145" s="69" t="n">
        <v>0.28</v>
      </c>
      <c r="EB145" s="69" t="n">
        <v>0.36</v>
      </c>
      <c r="EC145" s="69" t="n">
        <v>0.18</v>
      </c>
      <c r="ED145" s="69" t="n">
        <v>0.27</v>
      </c>
      <c r="EE145" s="69" t="n">
        <v>0.58</v>
      </c>
      <c r="EF145" s="69" t="n">
        <v>0.32</v>
      </c>
      <c r="EG145" s="69" t="n">
        <v>0.44</v>
      </c>
      <c r="EH145" s="69" t="n">
        <v>0.12</v>
      </c>
      <c r="EI145" s="69" t="n">
        <v>0.54</v>
      </c>
      <c r="EJ145" s="69" t="n">
        <v>0.29</v>
      </c>
      <c r="EK145" s="69" t="n">
        <v>0.78</v>
      </c>
      <c r="EL145" s="69" t="n">
        <v>1</v>
      </c>
      <c r="EM145" s="69" t="n">
        <v>0.29</v>
      </c>
      <c r="EN145" s="69" t="n">
        <v>0.12</v>
      </c>
      <c r="EO145" s="69" t="n">
        <v>0.11</v>
      </c>
    </row>
    <row r="146" customFormat="false" ht="15" hidden="false" customHeight="false" outlineLevel="0" collapsed="false">
      <c r="A146" s="68" t="s">
        <v>375</v>
      </c>
      <c r="B146" s="69" t="n">
        <v>-0.07</v>
      </c>
      <c r="C146" s="69" t="n">
        <v>-0.06</v>
      </c>
      <c r="D146" s="69" t="n">
        <v>0.02</v>
      </c>
      <c r="E146" s="69" t="n">
        <v>0.05</v>
      </c>
      <c r="F146" s="69" t="n">
        <v>-0.09</v>
      </c>
      <c r="G146" s="69" t="n">
        <v>-0.06</v>
      </c>
      <c r="H146" s="69" t="n">
        <v>0.02</v>
      </c>
      <c r="I146" s="69" t="n">
        <v>0</v>
      </c>
      <c r="J146" s="69" t="n">
        <v>-0.09</v>
      </c>
      <c r="K146" s="69" t="n">
        <v>-0.09</v>
      </c>
      <c r="L146" s="69" t="n">
        <v>0.01</v>
      </c>
      <c r="M146" s="69" t="n">
        <v>0.18</v>
      </c>
      <c r="N146" s="69" t="n">
        <v>0.07</v>
      </c>
      <c r="O146" s="69" t="n">
        <v>0.03</v>
      </c>
      <c r="P146" s="69" t="n">
        <v>-0.18</v>
      </c>
      <c r="Q146" s="69" t="n">
        <v>0.01</v>
      </c>
      <c r="R146" s="69" t="n">
        <v>-0.08</v>
      </c>
      <c r="S146" s="69" t="n">
        <v>0.02</v>
      </c>
      <c r="T146" s="69" t="n">
        <v>0.1</v>
      </c>
      <c r="U146" s="69" t="n">
        <v>0.09</v>
      </c>
      <c r="V146" s="69" t="n">
        <v>-0.09</v>
      </c>
      <c r="W146" s="69" t="n">
        <v>0.02</v>
      </c>
      <c r="X146" s="69" t="n">
        <v>0.13</v>
      </c>
      <c r="Y146" s="69" t="n">
        <v>-0.02</v>
      </c>
      <c r="Z146" s="69" t="n">
        <v>0.07</v>
      </c>
      <c r="AA146" s="69" t="n">
        <v>0</v>
      </c>
      <c r="AB146" s="69" t="n">
        <v>0.04</v>
      </c>
      <c r="AC146" s="69" t="n">
        <v>0</v>
      </c>
      <c r="AD146" s="69" t="n">
        <v>0.07</v>
      </c>
      <c r="AE146" s="69" t="n">
        <v>-0.05</v>
      </c>
      <c r="AF146" s="69" t="n">
        <v>0</v>
      </c>
      <c r="AG146" s="69" t="n">
        <v>-0.07</v>
      </c>
      <c r="AH146" s="69" t="n">
        <v>-0.03</v>
      </c>
      <c r="AI146" s="69" t="n">
        <v>-0.07</v>
      </c>
      <c r="AJ146" s="69" t="n">
        <v>0.03</v>
      </c>
      <c r="AK146" s="69" t="n">
        <v>0.01</v>
      </c>
      <c r="AL146" s="69" t="n">
        <v>0.09</v>
      </c>
      <c r="AM146" s="69" t="n">
        <v>0.11</v>
      </c>
      <c r="AN146" s="69" t="n">
        <v>0.04</v>
      </c>
      <c r="AO146" s="69" t="n">
        <v>-0.04</v>
      </c>
      <c r="AP146" s="69" t="n">
        <v>0.15</v>
      </c>
      <c r="AQ146" s="69" t="n">
        <v>-0.06</v>
      </c>
      <c r="AR146" s="69" t="n">
        <v>0.1</v>
      </c>
      <c r="AS146" s="69" t="n">
        <v>-0.03</v>
      </c>
      <c r="AT146" s="69" t="n">
        <v>0.14</v>
      </c>
      <c r="AU146" s="69" t="n">
        <v>-0.06</v>
      </c>
      <c r="AV146" s="69" t="n">
        <v>0.04</v>
      </c>
      <c r="AW146" s="69" t="n">
        <v>0.05</v>
      </c>
      <c r="AX146" s="69" t="n">
        <v>0.03</v>
      </c>
      <c r="AY146" s="69" t="n">
        <v>0.08</v>
      </c>
      <c r="AZ146" s="69" t="n">
        <v>-0.02</v>
      </c>
      <c r="BA146" s="69" t="n">
        <v>0.17</v>
      </c>
      <c r="BB146" s="69" t="n">
        <v>0.15</v>
      </c>
      <c r="BC146" s="69" t="n">
        <v>0.05</v>
      </c>
      <c r="BD146" s="69" t="n">
        <v>0.07</v>
      </c>
      <c r="BE146" s="69" t="n">
        <v>0.06</v>
      </c>
      <c r="BF146" s="69" t="n">
        <v>-0.03</v>
      </c>
      <c r="BG146" s="69" t="n">
        <v>0.14</v>
      </c>
      <c r="BH146" s="69" t="n">
        <v>0.1</v>
      </c>
      <c r="BI146" s="69" t="n">
        <v>0.08</v>
      </c>
      <c r="BJ146" s="69" t="n">
        <v>0.03</v>
      </c>
      <c r="BK146" s="69" t="n">
        <v>-0.05</v>
      </c>
      <c r="BL146" s="69" t="n">
        <v>0.11</v>
      </c>
      <c r="BM146" s="69" t="n">
        <v>0.07</v>
      </c>
      <c r="BN146" s="69" t="n">
        <v>0</v>
      </c>
      <c r="BO146" s="69" t="n">
        <v>0.14</v>
      </c>
      <c r="BP146" s="69" t="n">
        <v>0.3</v>
      </c>
      <c r="BQ146" s="69" t="n">
        <v>0.13</v>
      </c>
      <c r="BR146" s="69" t="n">
        <v>0.2</v>
      </c>
      <c r="BS146" s="69" t="n">
        <v>-0.02</v>
      </c>
      <c r="BT146" s="69" t="n">
        <v>0.19</v>
      </c>
      <c r="BU146" s="69" t="n">
        <v>0.08</v>
      </c>
      <c r="BV146" s="69" t="n">
        <v>0.17</v>
      </c>
      <c r="BW146" s="69" t="n">
        <v>0.17</v>
      </c>
      <c r="BX146" s="69" t="n">
        <v>0.09</v>
      </c>
      <c r="BY146" s="69" t="n">
        <v>0.09</v>
      </c>
      <c r="BZ146" s="69" t="n">
        <v>0.26</v>
      </c>
      <c r="CA146" s="69" t="n">
        <v>-0.04</v>
      </c>
      <c r="CB146" s="69" t="n">
        <v>-0.03</v>
      </c>
      <c r="CC146" s="69" t="n">
        <v>0.06</v>
      </c>
      <c r="CD146" s="69" t="n">
        <v>0.22</v>
      </c>
      <c r="CE146" s="69" t="n">
        <v>0.09</v>
      </c>
      <c r="CF146" s="69" t="n">
        <v>-0.01</v>
      </c>
      <c r="CG146" s="69" t="n">
        <v>0.12</v>
      </c>
      <c r="CH146" s="69" t="n">
        <v>0.18</v>
      </c>
      <c r="CI146" s="69" t="n">
        <v>-0.02</v>
      </c>
      <c r="CJ146" s="69" t="n">
        <v>0.08</v>
      </c>
      <c r="CK146" s="69" t="n">
        <v>0.13</v>
      </c>
      <c r="CL146" s="69" t="n">
        <v>0.23</v>
      </c>
      <c r="CM146" s="69" t="n">
        <v>0.22</v>
      </c>
      <c r="CN146" s="69" t="n">
        <v>0.1</v>
      </c>
      <c r="CO146" s="69" t="n">
        <v>0.04</v>
      </c>
      <c r="CP146" s="69" t="n">
        <v>0.13</v>
      </c>
      <c r="CQ146" s="69" t="n">
        <v>0.2</v>
      </c>
      <c r="CR146" s="69" t="n">
        <v>0.21</v>
      </c>
      <c r="CS146" s="69" t="n">
        <v>0.08</v>
      </c>
      <c r="CT146" s="69" t="n">
        <v>0.02</v>
      </c>
      <c r="CU146" s="69" t="n">
        <v>0.1</v>
      </c>
      <c r="CV146" s="69" t="n">
        <v>0.1</v>
      </c>
      <c r="CW146" s="69" t="n">
        <v>0.14</v>
      </c>
      <c r="CX146" s="69" t="n">
        <v>0.28</v>
      </c>
      <c r="CY146" s="69" t="n">
        <v>0.12</v>
      </c>
      <c r="CZ146" s="69" t="n">
        <v>0.17</v>
      </c>
      <c r="DA146" s="69" t="n">
        <v>0.12</v>
      </c>
      <c r="DB146" s="69" t="n">
        <v>0.16</v>
      </c>
      <c r="DC146" s="69" t="n">
        <v>0.09</v>
      </c>
      <c r="DD146" s="69" t="n">
        <v>0.22</v>
      </c>
      <c r="DE146" s="69" t="n">
        <v>0.18</v>
      </c>
      <c r="DF146" s="69" t="n">
        <v>0.19</v>
      </c>
      <c r="DG146" s="69" t="n">
        <v>0.15</v>
      </c>
      <c r="DH146" s="69" t="n">
        <v>0.2</v>
      </c>
      <c r="DI146" s="69" t="n">
        <v>0.17</v>
      </c>
      <c r="DJ146" s="69" t="n">
        <v>0.13</v>
      </c>
      <c r="DK146" s="69" t="n">
        <v>0.22</v>
      </c>
      <c r="DL146" s="69" t="n">
        <v>0</v>
      </c>
      <c r="DM146" s="69" t="n">
        <v>0.14</v>
      </c>
      <c r="DN146" s="69" t="n">
        <v>0.15</v>
      </c>
      <c r="DO146" s="69" t="n">
        <v>0.13</v>
      </c>
      <c r="DP146" s="69" t="n">
        <v>0.16</v>
      </c>
      <c r="DQ146" s="69" t="n">
        <v>0.24</v>
      </c>
      <c r="DR146" s="69" t="n">
        <v>0.24</v>
      </c>
      <c r="DS146" s="69" t="n">
        <v>0.17</v>
      </c>
      <c r="DT146" s="69" t="n">
        <v>0.38</v>
      </c>
      <c r="DU146" s="69" t="n">
        <v>0.36</v>
      </c>
      <c r="DV146" s="69" t="n">
        <v>0.31</v>
      </c>
      <c r="DW146" s="69" t="n">
        <v>0.23</v>
      </c>
      <c r="DX146" s="69" t="n">
        <v>0.14</v>
      </c>
      <c r="DY146" s="69" t="n">
        <v>0.21</v>
      </c>
      <c r="DZ146" s="69" t="n">
        <v>0.24</v>
      </c>
      <c r="EA146" s="69" t="n">
        <v>0.27</v>
      </c>
      <c r="EB146" s="69" t="n">
        <v>0.31</v>
      </c>
      <c r="EC146" s="69" t="n">
        <v>0</v>
      </c>
      <c r="ED146" s="69" t="n">
        <v>0.18</v>
      </c>
      <c r="EE146" s="69" t="n">
        <v>0.24</v>
      </c>
      <c r="EF146" s="69" t="n">
        <v>0.16</v>
      </c>
      <c r="EG146" s="69" t="n">
        <v>0.13</v>
      </c>
      <c r="EH146" s="69" t="n">
        <v>0.35</v>
      </c>
      <c r="EI146" s="69" t="n">
        <v>0.2</v>
      </c>
      <c r="EJ146" s="69" t="n">
        <v>0.32</v>
      </c>
      <c r="EK146" s="69" t="n">
        <v>0.25</v>
      </c>
      <c r="EL146" s="69" t="n">
        <v>0.29</v>
      </c>
      <c r="EM146" s="69" t="n">
        <v>1</v>
      </c>
      <c r="EN146" s="69" t="n">
        <v>0.09</v>
      </c>
      <c r="EO146" s="69" t="n">
        <v>0.04</v>
      </c>
    </row>
    <row r="147" customFormat="false" ht="15" hidden="false" customHeight="false" outlineLevel="0" collapsed="false">
      <c r="A147" s="68" t="s">
        <v>377</v>
      </c>
      <c r="B147" s="69" t="n">
        <v>0</v>
      </c>
      <c r="C147" s="69" t="n">
        <v>0.01</v>
      </c>
      <c r="D147" s="69" t="n">
        <v>-0.01</v>
      </c>
      <c r="E147" s="69" t="n">
        <v>0.02</v>
      </c>
      <c r="F147" s="69" t="n">
        <v>0.09</v>
      </c>
      <c r="G147" s="69" t="n">
        <v>0</v>
      </c>
      <c r="H147" s="69" t="n">
        <v>0.01</v>
      </c>
      <c r="I147" s="69" t="n">
        <v>0.07</v>
      </c>
      <c r="J147" s="69" t="n">
        <v>0.11</v>
      </c>
      <c r="K147" s="69" t="n">
        <v>0.08</v>
      </c>
      <c r="L147" s="69" t="n">
        <v>0</v>
      </c>
      <c r="M147" s="69" t="n">
        <v>0.17</v>
      </c>
      <c r="N147" s="69" t="n">
        <v>0.26</v>
      </c>
      <c r="O147" s="69" t="n">
        <v>-0.03</v>
      </c>
      <c r="P147" s="69" t="n">
        <v>0.01</v>
      </c>
      <c r="Q147" s="69" t="n">
        <v>-0.07</v>
      </c>
      <c r="R147" s="69" t="n">
        <v>0.1</v>
      </c>
      <c r="S147" s="69" t="n">
        <v>0.06</v>
      </c>
      <c r="T147" s="69" t="n">
        <v>0.02</v>
      </c>
      <c r="U147" s="69" t="n">
        <v>0.18</v>
      </c>
      <c r="V147" s="69" t="n">
        <v>-0.01</v>
      </c>
      <c r="W147" s="69" t="n">
        <v>0.08</v>
      </c>
      <c r="X147" s="69" t="n">
        <v>0.03</v>
      </c>
      <c r="Y147" s="69" t="n">
        <v>0.07</v>
      </c>
      <c r="Z147" s="69" t="n">
        <v>0.07</v>
      </c>
      <c r="AA147" s="69" t="n">
        <v>0.14</v>
      </c>
      <c r="AB147" s="69" t="n">
        <v>0.05</v>
      </c>
      <c r="AC147" s="69" t="n">
        <v>0.03</v>
      </c>
      <c r="AD147" s="69" t="n">
        <v>0.01</v>
      </c>
      <c r="AE147" s="69" t="n">
        <v>0.04</v>
      </c>
      <c r="AF147" s="69" t="n">
        <v>0.02</v>
      </c>
      <c r="AG147" s="69" t="n">
        <v>-0.01</v>
      </c>
      <c r="AH147" s="69" t="n">
        <v>0.01</v>
      </c>
      <c r="AI147" s="69" t="n">
        <v>-0.02</v>
      </c>
      <c r="AJ147" s="69" t="n">
        <v>0.08</v>
      </c>
      <c r="AK147" s="69" t="n">
        <v>0</v>
      </c>
      <c r="AL147" s="69" t="n">
        <v>0.15</v>
      </c>
      <c r="AM147" s="69" t="n">
        <v>0.08</v>
      </c>
      <c r="AN147" s="69" t="n">
        <v>0.16</v>
      </c>
      <c r="AO147" s="69" t="n">
        <v>0.19</v>
      </c>
      <c r="AP147" s="69" t="n">
        <v>0.21</v>
      </c>
      <c r="AQ147" s="69" t="n">
        <v>-0.06</v>
      </c>
      <c r="AR147" s="69" t="n">
        <v>0</v>
      </c>
      <c r="AS147" s="69" t="n">
        <v>0.05</v>
      </c>
      <c r="AT147" s="69" t="n">
        <v>0.14</v>
      </c>
      <c r="AU147" s="69" t="n">
        <v>0.03</v>
      </c>
      <c r="AV147" s="69" t="n">
        <v>0.01</v>
      </c>
      <c r="AW147" s="69" t="n">
        <v>0.05</v>
      </c>
      <c r="AX147" s="69" t="n">
        <v>0.19</v>
      </c>
      <c r="AY147" s="69" t="n">
        <v>0.05</v>
      </c>
      <c r="AZ147" s="69" t="n">
        <v>0.08</v>
      </c>
      <c r="BA147" s="69" t="n">
        <v>0.04</v>
      </c>
      <c r="BB147" s="69" t="n">
        <v>0.01</v>
      </c>
      <c r="BC147" s="69" t="n">
        <v>0.01</v>
      </c>
      <c r="BD147" s="69" t="n">
        <v>0.03</v>
      </c>
      <c r="BE147" s="69" t="n">
        <v>0.48</v>
      </c>
      <c r="BF147" s="69" t="n">
        <v>0.04</v>
      </c>
      <c r="BG147" s="69" t="n">
        <v>0.21</v>
      </c>
      <c r="BH147" s="69" t="n">
        <v>0.03</v>
      </c>
      <c r="BI147" s="69" t="n">
        <v>0.03</v>
      </c>
      <c r="BJ147" s="69" t="n">
        <v>0.03</v>
      </c>
      <c r="BK147" s="69" t="n">
        <v>0.05</v>
      </c>
      <c r="BL147" s="69" t="n">
        <v>0.09</v>
      </c>
      <c r="BM147" s="69" t="n">
        <v>0.14</v>
      </c>
      <c r="BN147" s="69" t="n">
        <v>0</v>
      </c>
      <c r="BO147" s="69" t="n">
        <v>0.1</v>
      </c>
      <c r="BP147" s="69" t="n">
        <v>0.06</v>
      </c>
      <c r="BQ147" s="69" t="n">
        <v>0.03</v>
      </c>
      <c r="BR147" s="69" t="n">
        <v>0.02</v>
      </c>
      <c r="BS147" s="69" t="n">
        <v>-0.04</v>
      </c>
      <c r="BT147" s="69" t="n">
        <v>-0.02</v>
      </c>
      <c r="BU147" s="69" t="n">
        <v>0.08</v>
      </c>
      <c r="BV147" s="69" t="n">
        <v>0.12</v>
      </c>
      <c r="BW147" s="69" t="n">
        <v>0.11</v>
      </c>
      <c r="BX147" s="69" t="n">
        <v>0.21</v>
      </c>
      <c r="BY147" s="69" t="n">
        <v>0.1</v>
      </c>
      <c r="BZ147" s="69" t="n">
        <v>0.1</v>
      </c>
      <c r="CA147" s="69" t="n">
        <v>0.06</v>
      </c>
      <c r="CB147" s="69" t="n">
        <v>-0.06</v>
      </c>
      <c r="CC147" s="69" t="n">
        <v>0.05</v>
      </c>
      <c r="CD147" s="69" t="n">
        <v>0.22</v>
      </c>
      <c r="CE147" s="69" t="n">
        <v>0.02</v>
      </c>
      <c r="CF147" s="69" t="n">
        <v>-0.02</v>
      </c>
      <c r="CG147" s="69" t="n">
        <v>0.18</v>
      </c>
      <c r="CH147" s="69" t="n">
        <v>0.11</v>
      </c>
      <c r="CI147" s="69" t="n">
        <v>-0.01</v>
      </c>
      <c r="CJ147" s="69" t="n">
        <v>0.14</v>
      </c>
      <c r="CK147" s="69" t="n">
        <v>0.13</v>
      </c>
      <c r="CL147" s="69" t="n">
        <v>0.16</v>
      </c>
      <c r="CM147" s="69" t="n">
        <v>0.02</v>
      </c>
      <c r="CN147" s="69" t="n">
        <v>-0.01</v>
      </c>
      <c r="CO147" s="69" t="n">
        <v>0.04</v>
      </c>
      <c r="CP147" s="69" t="n">
        <v>0.1</v>
      </c>
      <c r="CQ147" s="69" t="n">
        <v>0.04</v>
      </c>
      <c r="CR147" s="69" t="n">
        <v>0.07</v>
      </c>
      <c r="CS147" s="69" t="n">
        <v>0</v>
      </c>
      <c r="CT147" s="69" t="n">
        <v>0.09</v>
      </c>
      <c r="CU147" s="69" t="n">
        <v>0.03</v>
      </c>
      <c r="CV147" s="69" t="n">
        <v>0.07</v>
      </c>
      <c r="CW147" s="69" t="n">
        <v>0.23</v>
      </c>
      <c r="CX147" s="69" t="n">
        <v>0.14</v>
      </c>
      <c r="CY147" s="69" t="n">
        <v>0.06</v>
      </c>
      <c r="CZ147" s="69" t="n">
        <v>0.09</v>
      </c>
      <c r="DA147" s="69" t="n">
        <v>0.1</v>
      </c>
      <c r="DB147" s="69" t="n">
        <v>0.17</v>
      </c>
      <c r="DC147" s="69" t="n">
        <v>0.03</v>
      </c>
      <c r="DD147" s="69" t="n">
        <v>0.15</v>
      </c>
      <c r="DE147" s="69" t="n">
        <v>0.18</v>
      </c>
      <c r="DF147" s="69" t="n">
        <v>0.1</v>
      </c>
      <c r="DG147" s="69" t="n">
        <v>0.25</v>
      </c>
      <c r="DH147" s="69" t="n">
        <v>-0.02</v>
      </c>
      <c r="DI147" s="69" t="n">
        <v>0.07</v>
      </c>
      <c r="DJ147" s="69" t="n">
        <v>0.1</v>
      </c>
      <c r="DK147" s="69" t="n">
        <v>0.06</v>
      </c>
      <c r="DL147" s="69" t="n">
        <v>0.09</v>
      </c>
      <c r="DM147" s="69" t="n">
        <v>0.08</v>
      </c>
      <c r="DN147" s="69" t="n">
        <v>0.09</v>
      </c>
      <c r="DO147" s="69" t="n">
        <v>0.09</v>
      </c>
      <c r="DP147" s="69" t="n">
        <v>0.08</v>
      </c>
      <c r="DQ147" s="69" t="n">
        <v>0.07</v>
      </c>
      <c r="DR147" s="69" t="n">
        <v>0.13</v>
      </c>
      <c r="DS147" s="69" t="n">
        <v>0.1</v>
      </c>
      <c r="DT147" s="69" t="n">
        <v>0.08</v>
      </c>
      <c r="DU147" s="69" t="n">
        <v>0.18</v>
      </c>
      <c r="DV147" s="69" t="n">
        <v>0.12</v>
      </c>
      <c r="DW147" s="69" t="n">
        <v>0.09</v>
      </c>
      <c r="DX147" s="69" t="n">
        <v>0.02</v>
      </c>
      <c r="DY147" s="69" t="n">
        <v>0.18</v>
      </c>
      <c r="DZ147" s="69" t="n">
        <v>-0.01</v>
      </c>
      <c r="EA147" s="69" t="n">
        <v>0.37</v>
      </c>
      <c r="EB147" s="69" t="n">
        <v>0.19</v>
      </c>
      <c r="EC147" s="69" t="n">
        <v>0</v>
      </c>
      <c r="ED147" s="69" t="n">
        <v>0.19</v>
      </c>
      <c r="EE147" s="69" t="n">
        <v>0.05</v>
      </c>
      <c r="EF147" s="69" t="n">
        <v>-0.04</v>
      </c>
      <c r="EG147" s="69" t="n">
        <v>0.05</v>
      </c>
      <c r="EH147" s="69" t="n">
        <v>0.1</v>
      </c>
      <c r="EI147" s="69" t="n">
        <v>0.07</v>
      </c>
      <c r="EJ147" s="69" t="n">
        <v>0.16</v>
      </c>
      <c r="EK147" s="69" t="n">
        <v>0.17</v>
      </c>
      <c r="EL147" s="69" t="n">
        <v>0.12</v>
      </c>
      <c r="EM147" s="69" t="n">
        <v>0.09</v>
      </c>
      <c r="EN147" s="69" t="n">
        <v>1</v>
      </c>
      <c r="EO147" s="69" t="n">
        <v>0.08</v>
      </c>
    </row>
    <row r="148" customFormat="false" ht="15" hidden="false" customHeight="false" outlineLevel="0" collapsed="false">
      <c r="A148" s="68" t="s">
        <v>378</v>
      </c>
      <c r="B148" s="69" t="n">
        <v>-0.02</v>
      </c>
      <c r="C148" s="69" t="n">
        <v>0.04</v>
      </c>
      <c r="D148" s="69" t="n">
        <v>-0.09</v>
      </c>
      <c r="E148" s="69" t="n">
        <v>0.02</v>
      </c>
      <c r="F148" s="69" t="n">
        <v>0.11</v>
      </c>
      <c r="G148" s="69" t="n">
        <v>0.06</v>
      </c>
      <c r="H148" s="69" t="n">
        <v>0.03</v>
      </c>
      <c r="I148" s="69" t="n">
        <v>0.01</v>
      </c>
      <c r="J148" s="69" t="n">
        <v>-0.04</v>
      </c>
      <c r="K148" s="69" t="n">
        <v>0.01</v>
      </c>
      <c r="L148" s="69" t="n">
        <v>0.03</v>
      </c>
      <c r="M148" s="69" t="n">
        <v>0.09</v>
      </c>
      <c r="N148" s="69" t="n">
        <v>0.03</v>
      </c>
      <c r="O148" s="69" t="n">
        <v>0.01</v>
      </c>
      <c r="P148" s="69" t="n">
        <v>0.01</v>
      </c>
      <c r="Q148" s="69" t="n">
        <v>0.01</v>
      </c>
      <c r="R148" s="69" t="n">
        <v>0.02</v>
      </c>
      <c r="S148" s="69" t="n">
        <v>-0.07</v>
      </c>
      <c r="T148" s="69" t="n">
        <v>0.04</v>
      </c>
      <c r="U148" s="69" t="n">
        <v>0.04</v>
      </c>
      <c r="V148" s="69" t="n">
        <v>-0.01</v>
      </c>
      <c r="W148" s="69" t="n">
        <v>-0.04</v>
      </c>
      <c r="X148" s="69" t="n">
        <v>0.06</v>
      </c>
      <c r="Y148" s="69" t="n">
        <v>0.03</v>
      </c>
      <c r="Z148" s="69" t="n">
        <v>0.03</v>
      </c>
      <c r="AA148" s="69" t="n">
        <v>-0.02</v>
      </c>
      <c r="AB148" s="69" t="n">
        <v>0.04</v>
      </c>
      <c r="AC148" s="69" t="n">
        <v>0</v>
      </c>
      <c r="AD148" s="69" t="n">
        <v>-0.03</v>
      </c>
      <c r="AE148" s="69" t="n">
        <v>0.03</v>
      </c>
      <c r="AF148" s="69" t="n">
        <v>-0.05</v>
      </c>
      <c r="AG148" s="69" t="n">
        <v>-0.09</v>
      </c>
      <c r="AH148" s="69" t="n">
        <v>-0.04</v>
      </c>
      <c r="AI148" s="69" t="n">
        <v>-0.02</v>
      </c>
      <c r="AJ148" s="69" t="n">
        <v>0.01</v>
      </c>
      <c r="AK148" s="69" t="n">
        <v>0.07</v>
      </c>
      <c r="AL148" s="69" t="n">
        <v>0.12</v>
      </c>
      <c r="AM148" s="69" t="n">
        <v>0.05</v>
      </c>
      <c r="AN148" s="69" t="n">
        <v>0.1</v>
      </c>
      <c r="AO148" s="69" t="n">
        <v>0.02</v>
      </c>
      <c r="AP148" s="69" t="n">
        <v>0.17</v>
      </c>
      <c r="AQ148" s="69" t="n">
        <v>-0.01</v>
      </c>
      <c r="AR148" s="69" t="n">
        <v>0.06</v>
      </c>
      <c r="AS148" s="69" t="n">
        <v>0.11</v>
      </c>
      <c r="AT148" s="69" t="n">
        <v>0.12</v>
      </c>
      <c r="AU148" s="69" t="n">
        <v>-0.02</v>
      </c>
      <c r="AV148" s="69" t="n">
        <v>0.05</v>
      </c>
      <c r="AW148" s="69" t="n">
        <v>0.01</v>
      </c>
      <c r="AX148" s="69" t="n">
        <v>0.07</v>
      </c>
      <c r="AY148" s="69" t="n">
        <v>0.03</v>
      </c>
      <c r="AZ148" s="69" t="n">
        <v>-0.06</v>
      </c>
      <c r="BA148" s="69" t="n">
        <v>0.1</v>
      </c>
      <c r="BB148" s="69" t="n">
        <v>0.09</v>
      </c>
      <c r="BC148" s="69" t="n">
        <v>-0.06</v>
      </c>
      <c r="BD148" s="69" t="n">
        <v>0.12</v>
      </c>
      <c r="BE148" s="69" t="n">
        <v>0.07</v>
      </c>
      <c r="BF148" s="69" t="n">
        <v>0.1</v>
      </c>
      <c r="BG148" s="69" t="n">
        <v>0.14</v>
      </c>
      <c r="BH148" s="69" t="n">
        <v>0.05</v>
      </c>
      <c r="BI148" s="69" t="n">
        <v>-0.07</v>
      </c>
      <c r="BJ148" s="69" t="n">
        <v>-0.03</v>
      </c>
      <c r="BK148" s="69" t="n">
        <v>-0.12</v>
      </c>
      <c r="BL148" s="69" t="n">
        <v>0.11</v>
      </c>
      <c r="BM148" s="69" t="n">
        <v>0.16</v>
      </c>
      <c r="BN148" s="69" t="n">
        <v>0.04</v>
      </c>
      <c r="BO148" s="69" t="n">
        <v>0.06</v>
      </c>
      <c r="BP148" s="69" t="n">
        <v>0.08</v>
      </c>
      <c r="BQ148" s="69" t="n">
        <v>-0.04</v>
      </c>
      <c r="BR148" s="69" t="n">
        <v>0.11</v>
      </c>
      <c r="BS148" s="69" t="n">
        <v>0.01</v>
      </c>
      <c r="BT148" s="69" t="n">
        <v>0.11</v>
      </c>
      <c r="BU148" s="69" t="n">
        <v>0.05</v>
      </c>
      <c r="BV148" s="69" t="n">
        <v>0.15</v>
      </c>
      <c r="BW148" s="69" t="n">
        <v>0.12</v>
      </c>
      <c r="BX148" s="69" t="n">
        <v>0.02</v>
      </c>
      <c r="BY148" s="69" t="n">
        <v>0.32</v>
      </c>
      <c r="BZ148" s="69" t="n">
        <v>0.12</v>
      </c>
      <c r="CA148" s="69" t="n">
        <v>-0.03</v>
      </c>
      <c r="CB148" s="69" t="n">
        <v>-0.07</v>
      </c>
      <c r="CC148" s="69" t="n">
        <v>0.08</v>
      </c>
      <c r="CD148" s="69" t="n">
        <v>0.09</v>
      </c>
      <c r="CE148" s="69" t="n">
        <v>0.07</v>
      </c>
      <c r="CF148" s="69" t="n">
        <v>-0.03</v>
      </c>
      <c r="CG148" s="69" t="n">
        <v>0.13</v>
      </c>
      <c r="CH148" s="69" t="n">
        <v>0.08</v>
      </c>
      <c r="CI148" s="69" t="n">
        <v>-0.02</v>
      </c>
      <c r="CJ148" s="69" t="n">
        <v>0.14</v>
      </c>
      <c r="CK148" s="69" t="n">
        <v>0.12</v>
      </c>
      <c r="CL148" s="69" t="n">
        <v>0.14</v>
      </c>
      <c r="CM148" s="69" t="n">
        <v>0.07</v>
      </c>
      <c r="CN148" s="69" t="n">
        <v>0.03</v>
      </c>
      <c r="CO148" s="69" t="n">
        <v>0.02</v>
      </c>
      <c r="CP148" s="69" t="n">
        <v>0.06</v>
      </c>
      <c r="CQ148" s="69" t="n">
        <v>0.13</v>
      </c>
      <c r="CR148" s="69" t="n">
        <v>0.1</v>
      </c>
      <c r="CS148" s="69" t="n">
        <v>0.07</v>
      </c>
      <c r="CT148" s="69" t="n">
        <v>0.16</v>
      </c>
      <c r="CU148" s="69" t="n">
        <v>0.09</v>
      </c>
      <c r="CV148" s="69" t="n">
        <v>0.06</v>
      </c>
      <c r="CW148" s="69" t="n">
        <v>0.15</v>
      </c>
      <c r="CX148" s="69" t="n">
        <v>0.1</v>
      </c>
      <c r="CY148" s="69" t="n">
        <v>0.1</v>
      </c>
      <c r="CZ148" s="69" t="n">
        <v>0.08</v>
      </c>
      <c r="DA148" s="69" t="n">
        <v>0.11</v>
      </c>
      <c r="DB148" s="69" t="n">
        <v>0.12</v>
      </c>
      <c r="DC148" s="69" t="n">
        <v>0.06</v>
      </c>
      <c r="DD148" s="69" t="n">
        <v>0.17</v>
      </c>
      <c r="DE148" s="69" t="n">
        <v>0.12</v>
      </c>
      <c r="DF148" s="69" t="n">
        <v>0.15</v>
      </c>
      <c r="DG148" s="69" t="n">
        <v>0.02</v>
      </c>
      <c r="DH148" s="69" t="n">
        <v>0.04</v>
      </c>
      <c r="DI148" s="69" t="n">
        <v>0.1</v>
      </c>
      <c r="DJ148" s="69" t="n">
        <v>0.15</v>
      </c>
      <c r="DK148" s="69" t="n">
        <v>0.08</v>
      </c>
      <c r="DL148" s="69" t="n">
        <v>0.01</v>
      </c>
      <c r="DM148" s="69" t="n">
        <v>0.16</v>
      </c>
      <c r="DN148" s="69" t="n">
        <v>0.14</v>
      </c>
      <c r="DO148" s="69" t="n">
        <v>0.09</v>
      </c>
      <c r="DP148" s="69" t="n">
        <v>0.14</v>
      </c>
      <c r="DQ148" s="69" t="n">
        <v>0.02</v>
      </c>
      <c r="DR148" s="69" t="n">
        <v>0.06</v>
      </c>
      <c r="DS148" s="69" t="n">
        <v>0.13</v>
      </c>
      <c r="DT148" s="69" t="n">
        <v>0.11</v>
      </c>
      <c r="DU148" s="69" t="n">
        <v>0.21</v>
      </c>
      <c r="DV148" s="69" t="n">
        <v>0.11</v>
      </c>
      <c r="DW148" s="69" t="n">
        <v>0.08</v>
      </c>
      <c r="DX148" s="69" t="n">
        <v>0.08</v>
      </c>
      <c r="DY148" s="69" t="n">
        <v>0.23</v>
      </c>
      <c r="DZ148" s="69" t="n">
        <v>0.09</v>
      </c>
      <c r="EA148" s="69" t="n">
        <v>0.09</v>
      </c>
      <c r="EB148" s="69" t="n">
        <v>0.25</v>
      </c>
      <c r="EC148" s="69" t="n">
        <v>0.01</v>
      </c>
      <c r="ED148" s="69" t="n">
        <v>0.09</v>
      </c>
      <c r="EE148" s="69" t="n">
        <v>0.11</v>
      </c>
      <c r="EF148" s="69" t="n">
        <v>0.03</v>
      </c>
      <c r="EG148" s="69" t="n">
        <v>0.07</v>
      </c>
      <c r="EH148" s="69" t="n">
        <v>0.05</v>
      </c>
      <c r="EI148" s="69" t="n">
        <v>0.04</v>
      </c>
      <c r="EJ148" s="69" t="n">
        <v>0.06</v>
      </c>
      <c r="EK148" s="69" t="n">
        <v>0.15</v>
      </c>
      <c r="EL148" s="69" t="n">
        <v>0.11</v>
      </c>
      <c r="EM148" s="69" t="n">
        <v>0.04</v>
      </c>
      <c r="EN148" s="69" t="n">
        <v>0.08</v>
      </c>
      <c r="EO148" s="69" t="n">
        <v>1</v>
      </c>
    </row>
  </sheetData>
  <conditionalFormatting sqref="B5:EO148">
    <cfRule type="colorScale" priority="2">
      <colorScale>
        <cfvo type="num" val="0"/>
        <cfvo type="num" val="0.4"/>
        <cfvo type="num" val="1"/>
        <color rgb="FFFFFFFF"/>
        <color rgb="FFFFE699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Q1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sheetData>
    <row r="1" customFormat="false" ht="15" hidden="false" customHeight="false" outlineLevel="0" collapsed="false">
      <c r="A1" s="37" t="s">
        <v>383</v>
      </c>
    </row>
    <row r="2" customFormat="false" ht="15" hidden="false" customHeight="false" outlineLevel="0" collapsed="false">
      <c r="A2" s="0" t="s">
        <v>384</v>
      </c>
      <c r="B2" s="70" t="n">
        <f aca="false">SUMPRODUCT(EP6:EP149,EQ6:EQ149)</f>
        <v>0.422372297490213</v>
      </c>
    </row>
    <row r="4" customFormat="false" ht="15" hidden="false" customHeight="false" outlineLevel="0" collapsed="false">
      <c r="B4" s="71" t="s">
        <v>202</v>
      </c>
      <c r="C4" s="71" t="s">
        <v>207</v>
      </c>
      <c r="D4" s="71" t="s">
        <v>210</v>
      </c>
      <c r="E4" s="71" t="s">
        <v>212</v>
      </c>
      <c r="F4" s="71" t="s">
        <v>214</v>
      </c>
      <c r="G4" s="71" t="s">
        <v>215</v>
      </c>
      <c r="H4" s="71" t="s">
        <v>218</v>
      </c>
      <c r="I4" s="71" t="s">
        <v>219</v>
      </c>
      <c r="J4" s="71" t="s">
        <v>221</v>
      </c>
      <c r="K4" s="71" t="s">
        <v>223</v>
      </c>
      <c r="L4" s="71" t="s">
        <v>224</v>
      </c>
      <c r="M4" s="71" t="s">
        <v>225</v>
      </c>
      <c r="N4" s="71" t="s">
        <v>227</v>
      </c>
      <c r="O4" s="71" t="s">
        <v>229</v>
      </c>
      <c r="P4" s="71" t="s">
        <v>231</v>
      </c>
      <c r="Q4" s="71" t="s">
        <v>233</v>
      </c>
      <c r="R4" s="71" t="s">
        <v>234</v>
      </c>
      <c r="S4" s="71" t="s">
        <v>236</v>
      </c>
      <c r="T4" s="71" t="s">
        <v>238</v>
      </c>
      <c r="U4" s="71" t="s">
        <v>240</v>
      </c>
      <c r="V4" s="71" t="s">
        <v>242</v>
      </c>
      <c r="W4" s="71" t="s">
        <v>244</v>
      </c>
      <c r="X4" s="71" t="s">
        <v>246</v>
      </c>
      <c r="Y4" s="71" t="s">
        <v>247</v>
      </c>
      <c r="Z4" s="71" t="s">
        <v>248</v>
      </c>
      <c r="AA4" s="71" t="s">
        <v>249</v>
      </c>
      <c r="AB4" s="71" t="s">
        <v>251</v>
      </c>
      <c r="AC4" s="71" t="s">
        <v>253</v>
      </c>
      <c r="AD4" s="71" t="s">
        <v>254</v>
      </c>
      <c r="AE4" s="71" t="s">
        <v>255</v>
      </c>
      <c r="AF4" s="71" t="s">
        <v>106</v>
      </c>
      <c r="AG4" s="71" t="s">
        <v>256</v>
      </c>
      <c r="AH4" s="71" t="s">
        <v>257</v>
      </c>
      <c r="AI4" s="71" t="s">
        <v>258</v>
      </c>
      <c r="AJ4" s="71" t="s">
        <v>259</v>
      </c>
      <c r="AK4" s="71" t="s">
        <v>107</v>
      </c>
      <c r="AL4" s="71" t="s">
        <v>260</v>
      </c>
      <c r="AM4" s="71" t="s">
        <v>108</v>
      </c>
      <c r="AN4" s="71" t="s">
        <v>262</v>
      </c>
      <c r="AO4" s="71" t="s">
        <v>264</v>
      </c>
      <c r="AP4" s="71" t="s">
        <v>265</v>
      </c>
      <c r="AQ4" s="71" t="s">
        <v>267</v>
      </c>
      <c r="AR4" s="71" t="s">
        <v>268</v>
      </c>
      <c r="AS4" s="71" t="s">
        <v>269</v>
      </c>
      <c r="AT4" s="71" t="s">
        <v>270</v>
      </c>
      <c r="AU4" s="71" t="s">
        <v>272</v>
      </c>
      <c r="AV4" s="71" t="s">
        <v>274</v>
      </c>
      <c r="AW4" s="71" t="s">
        <v>162</v>
      </c>
      <c r="AX4" s="71" t="s">
        <v>276</v>
      </c>
      <c r="AY4" s="71" t="s">
        <v>277</v>
      </c>
      <c r="AZ4" s="71" t="s">
        <v>278</v>
      </c>
      <c r="BA4" s="71" t="s">
        <v>279</v>
      </c>
      <c r="BB4" s="71" t="s">
        <v>280</v>
      </c>
      <c r="BC4" s="71" t="s">
        <v>281</v>
      </c>
      <c r="BD4" s="71" t="s">
        <v>282</v>
      </c>
      <c r="BE4" s="71" t="s">
        <v>283</v>
      </c>
      <c r="BF4" s="71" t="s">
        <v>284</v>
      </c>
      <c r="BG4" s="71" t="s">
        <v>285</v>
      </c>
      <c r="BH4" s="71" t="s">
        <v>164</v>
      </c>
      <c r="BI4" s="71" t="s">
        <v>286</v>
      </c>
      <c r="BJ4" s="71" t="s">
        <v>287</v>
      </c>
      <c r="BK4" s="71" t="s">
        <v>289</v>
      </c>
      <c r="BL4" s="71" t="s">
        <v>290</v>
      </c>
      <c r="BM4" s="71" t="s">
        <v>291</v>
      </c>
      <c r="BN4" s="71" t="s">
        <v>293</v>
      </c>
      <c r="BO4" s="71" t="s">
        <v>168</v>
      </c>
      <c r="BP4" s="71" t="s">
        <v>167</v>
      </c>
      <c r="BQ4" s="71" t="s">
        <v>163</v>
      </c>
      <c r="BR4" s="71" t="s">
        <v>294</v>
      </c>
      <c r="BS4" s="71" t="s">
        <v>296</v>
      </c>
      <c r="BT4" s="71" t="s">
        <v>298</v>
      </c>
      <c r="BU4" s="71" t="s">
        <v>299</v>
      </c>
      <c r="BV4" s="71" t="s">
        <v>300</v>
      </c>
      <c r="BW4" s="71" t="s">
        <v>301</v>
      </c>
      <c r="BX4" s="71" t="s">
        <v>302</v>
      </c>
      <c r="BY4" s="71" t="s">
        <v>303</v>
      </c>
      <c r="BZ4" s="71" t="s">
        <v>304</v>
      </c>
      <c r="CA4" s="71" t="s">
        <v>305</v>
      </c>
      <c r="CB4" s="71" t="s">
        <v>306</v>
      </c>
      <c r="CC4" s="71" t="s">
        <v>307</v>
      </c>
      <c r="CD4" s="71" t="s">
        <v>308</v>
      </c>
      <c r="CE4" s="71" t="s">
        <v>309</v>
      </c>
      <c r="CF4" s="71" t="s">
        <v>310</v>
      </c>
      <c r="CG4" s="71" t="s">
        <v>311</v>
      </c>
      <c r="CH4" s="71" t="s">
        <v>166</v>
      </c>
      <c r="CI4" s="71" t="s">
        <v>312</v>
      </c>
      <c r="CJ4" s="71" t="s">
        <v>314</v>
      </c>
      <c r="CK4" s="71" t="s">
        <v>315</v>
      </c>
      <c r="CL4" s="71" t="s">
        <v>317</v>
      </c>
      <c r="CM4" s="71" t="s">
        <v>165</v>
      </c>
      <c r="CN4" s="71" t="s">
        <v>318</v>
      </c>
      <c r="CO4" s="71" t="s">
        <v>319</v>
      </c>
      <c r="CP4" s="71" t="s">
        <v>320</v>
      </c>
      <c r="CQ4" s="71" t="s">
        <v>322</v>
      </c>
      <c r="CR4" s="71" t="s">
        <v>324</v>
      </c>
      <c r="CS4" s="71" t="s">
        <v>326</v>
      </c>
      <c r="CT4" s="71" t="s">
        <v>328</v>
      </c>
      <c r="CU4" s="71" t="s">
        <v>161</v>
      </c>
      <c r="CV4" s="71" t="s">
        <v>330</v>
      </c>
      <c r="CW4" s="71" t="s">
        <v>331</v>
      </c>
      <c r="CX4" s="71" t="s">
        <v>332</v>
      </c>
      <c r="CY4" s="71" t="s">
        <v>333</v>
      </c>
      <c r="CZ4" s="71" t="s">
        <v>334</v>
      </c>
      <c r="DA4" s="71" t="s">
        <v>335</v>
      </c>
      <c r="DB4" s="71" t="s">
        <v>336</v>
      </c>
      <c r="DC4" s="71" t="s">
        <v>337</v>
      </c>
      <c r="DD4" s="71" t="s">
        <v>338</v>
      </c>
      <c r="DE4" s="71" t="s">
        <v>339</v>
      </c>
      <c r="DF4" s="71" t="s">
        <v>340</v>
      </c>
      <c r="DG4" s="71" t="s">
        <v>342</v>
      </c>
      <c r="DH4" s="71" t="s">
        <v>343</v>
      </c>
      <c r="DI4" s="71" t="s">
        <v>345</v>
      </c>
      <c r="DJ4" s="71" t="s">
        <v>346</v>
      </c>
      <c r="DK4" s="71" t="s">
        <v>347</v>
      </c>
      <c r="DL4" s="71" t="s">
        <v>348</v>
      </c>
      <c r="DM4" s="71" t="s">
        <v>349</v>
      </c>
      <c r="DN4" s="71" t="s">
        <v>351</v>
      </c>
      <c r="DO4" s="71" t="s">
        <v>352</v>
      </c>
      <c r="DP4" s="71" t="s">
        <v>353</v>
      </c>
      <c r="DQ4" s="71" t="s">
        <v>354</v>
      </c>
      <c r="DR4" s="71" t="s">
        <v>355</v>
      </c>
      <c r="DS4" s="71" t="s">
        <v>356</v>
      </c>
      <c r="DT4" s="71" t="s">
        <v>357</v>
      </c>
      <c r="DU4" s="71" t="s">
        <v>358</v>
      </c>
      <c r="DV4" s="71" t="s">
        <v>359</v>
      </c>
      <c r="DW4" s="71" t="s">
        <v>360</v>
      </c>
      <c r="DX4" s="71" t="s">
        <v>361</v>
      </c>
      <c r="DY4" s="71" t="s">
        <v>362</v>
      </c>
      <c r="DZ4" s="71" t="s">
        <v>363</v>
      </c>
      <c r="EA4" s="71" t="s">
        <v>364</v>
      </c>
      <c r="EB4" s="71" t="s">
        <v>365</v>
      </c>
      <c r="EC4" s="71" t="s">
        <v>366</v>
      </c>
      <c r="ED4" s="71" t="s">
        <v>367</v>
      </c>
      <c r="EE4" s="71" t="s">
        <v>368</v>
      </c>
      <c r="EF4" s="71" t="s">
        <v>369</v>
      </c>
      <c r="EG4" s="71" t="s">
        <v>105</v>
      </c>
      <c r="EH4" s="71" t="s">
        <v>370</v>
      </c>
      <c r="EI4" s="71" t="s">
        <v>104</v>
      </c>
      <c r="EJ4" s="71" t="s">
        <v>372</v>
      </c>
      <c r="EK4" s="71" t="s">
        <v>373</v>
      </c>
      <c r="EL4" s="71" t="s">
        <v>374</v>
      </c>
      <c r="EM4" s="71" t="s">
        <v>375</v>
      </c>
      <c r="EN4" s="71" t="s">
        <v>377</v>
      </c>
      <c r="EO4" s="71" t="s">
        <v>378</v>
      </c>
      <c r="EP4" s="37" t="s">
        <v>385</v>
      </c>
      <c r="EQ4" s="37" t="s">
        <v>386</v>
      </c>
    </row>
    <row r="5" customFormat="false" ht="15" hidden="false" customHeight="false" outlineLevel="0" collapsed="false">
      <c r="A5" s="37" t="s">
        <v>387</v>
      </c>
      <c r="B5" s="72" t="n">
        <f aca="false">SUMIF('Mi portafolio'!$A$8:$A$19,B$4,'Mi portafolio'!$B$8:$B$19)</f>
        <v>0</v>
      </c>
      <c r="C5" s="72" t="n">
        <f aca="false">SUMIF('Mi portafolio'!$A$8:$A$19,C$4,'Mi portafolio'!$B$8:$B$19)</f>
        <v>0</v>
      </c>
      <c r="D5" s="72" t="n">
        <f aca="false">SUMIF('Mi portafolio'!$A$8:$A$19,D$4,'Mi portafolio'!$B$8:$B$19)</f>
        <v>0</v>
      </c>
      <c r="E5" s="72" t="n">
        <f aca="false">SUMIF('Mi portafolio'!$A$8:$A$19,E$4,'Mi portafolio'!$B$8:$B$19)</f>
        <v>0</v>
      </c>
      <c r="F5" s="72" t="n">
        <f aca="false">SUMIF('Mi portafolio'!$A$8:$A$19,F$4,'Mi portafolio'!$B$8:$B$19)</f>
        <v>0</v>
      </c>
      <c r="G5" s="72" t="n">
        <f aca="false">SUMIF('Mi portafolio'!$A$8:$A$19,G$4,'Mi portafolio'!$B$8:$B$19)</f>
        <v>0</v>
      </c>
      <c r="H5" s="72" t="n">
        <f aca="false">SUMIF('Mi portafolio'!$A$8:$A$19,H$4,'Mi portafolio'!$B$8:$B$19)</f>
        <v>0</v>
      </c>
      <c r="I5" s="72" t="n">
        <f aca="false">SUMIF('Mi portafolio'!$A$8:$A$19,I$4,'Mi portafolio'!$B$8:$B$19)</f>
        <v>0</v>
      </c>
      <c r="J5" s="72" t="n">
        <f aca="false">SUMIF('Mi portafolio'!$A$8:$A$19,J$4,'Mi portafolio'!$B$8:$B$19)</f>
        <v>0</v>
      </c>
      <c r="K5" s="72" t="n">
        <f aca="false">SUMIF('Mi portafolio'!$A$8:$A$19,K$4,'Mi portafolio'!$B$8:$B$19)</f>
        <v>0</v>
      </c>
      <c r="L5" s="72" t="n">
        <f aca="false">SUMIF('Mi portafolio'!$A$8:$A$19,L$4,'Mi portafolio'!$B$8:$B$19)</f>
        <v>0</v>
      </c>
      <c r="M5" s="72" t="n">
        <f aca="false">SUMIF('Mi portafolio'!$A$8:$A$19,M$4,'Mi portafolio'!$B$8:$B$19)</f>
        <v>0</v>
      </c>
      <c r="N5" s="72" t="n">
        <f aca="false">SUMIF('Mi portafolio'!$A$8:$A$19,N$4,'Mi portafolio'!$B$8:$B$19)</f>
        <v>0</v>
      </c>
      <c r="O5" s="72" t="n">
        <f aca="false">SUMIF('Mi portafolio'!$A$8:$A$19,O$4,'Mi portafolio'!$B$8:$B$19)</f>
        <v>0</v>
      </c>
      <c r="P5" s="72" t="n">
        <f aca="false">SUMIF('Mi portafolio'!$A$8:$A$19,P$4,'Mi portafolio'!$B$8:$B$19)</f>
        <v>0</v>
      </c>
      <c r="Q5" s="72" t="n">
        <f aca="false">SUMIF('Mi portafolio'!$A$8:$A$19,Q$4,'Mi portafolio'!$B$8:$B$19)</f>
        <v>0</v>
      </c>
      <c r="R5" s="72" t="n">
        <f aca="false">SUMIF('Mi portafolio'!$A$8:$A$19,R$4,'Mi portafolio'!$B$8:$B$19)</f>
        <v>0</v>
      </c>
      <c r="S5" s="72" t="n">
        <f aca="false">SUMIF('Mi portafolio'!$A$8:$A$19,S$4,'Mi portafolio'!$B$8:$B$19)</f>
        <v>0</v>
      </c>
      <c r="T5" s="72" t="n">
        <f aca="false">SUMIF('Mi portafolio'!$A$8:$A$19,T$4,'Mi portafolio'!$B$8:$B$19)</f>
        <v>0</v>
      </c>
      <c r="U5" s="72" t="n">
        <f aca="false">SUMIF('Mi portafolio'!$A$8:$A$19,U$4,'Mi portafolio'!$B$8:$B$19)</f>
        <v>0</v>
      </c>
      <c r="V5" s="72" t="n">
        <f aca="false">SUMIF('Mi portafolio'!$A$8:$A$19,V$4,'Mi portafolio'!$B$8:$B$19)</f>
        <v>0</v>
      </c>
      <c r="W5" s="72" t="n">
        <f aca="false">SUMIF('Mi portafolio'!$A$8:$A$19,W$4,'Mi portafolio'!$B$8:$B$19)</f>
        <v>0</v>
      </c>
      <c r="X5" s="72" t="n">
        <f aca="false">SUMIF('Mi portafolio'!$A$8:$A$19,X$4,'Mi portafolio'!$B$8:$B$19)</f>
        <v>0</v>
      </c>
      <c r="Y5" s="72" t="n">
        <f aca="false">SUMIF('Mi portafolio'!$A$8:$A$19,Y$4,'Mi portafolio'!$B$8:$B$19)</f>
        <v>0</v>
      </c>
      <c r="Z5" s="72" t="n">
        <f aca="false">SUMIF('Mi portafolio'!$A$8:$A$19,Z$4,'Mi portafolio'!$B$8:$B$19)</f>
        <v>0</v>
      </c>
      <c r="AA5" s="72" t="n">
        <f aca="false">SUMIF('Mi portafolio'!$A$8:$A$19,AA$4,'Mi portafolio'!$B$8:$B$19)</f>
        <v>0</v>
      </c>
      <c r="AB5" s="72" t="n">
        <f aca="false">SUMIF('Mi portafolio'!$A$8:$A$19,AB$4,'Mi portafolio'!$B$8:$B$19)</f>
        <v>0</v>
      </c>
      <c r="AC5" s="72" t="n">
        <f aca="false">SUMIF('Mi portafolio'!$A$8:$A$19,AC$4,'Mi portafolio'!$B$8:$B$19)</f>
        <v>0</v>
      </c>
      <c r="AD5" s="72" t="n">
        <f aca="false">SUMIF('Mi portafolio'!$A$8:$A$19,AD$4,'Mi portafolio'!$B$8:$B$19)</f>
        <v>0</v>
      </c>
      <c r="AE5" s="72" t="n">
        <f aca="false">SUMIF('Mi portafolio'!$A$8:$A$19,AE$4,'Mi portafolio'!$B$8:$B$19)</f>
        <v>0</v>
      </c>
      <c r="AF5" s="72" t="n">
        <f aca="false">SUMIF('Mi portafolio'!$A$8:$A$19,AF$4,'Mi portafolio'!$B$8:$B$19)</f>
        <v>0.03</v>
      </c>
      <c r="AG5" s="72" t="n">
        <f aca="false">SUMIF('Mi portafolio'!$A$8:$A$19,AG$4,'Mi portafolio'!$B$8:$B$19)</f>
        <v>0</v>
      </c>
      <c r="AH5" s="72" t="n">
        <f aca="false">SUMIF('Mi portafolio'!$A$8:$A$19,AH$4,'Mi portafolio'!$B$8:$B$19)</f>
        <v>0</v>
      </c>
      <c r="AI5" s="72" t="n">
        <f aca="false">SUMIF('Mi portafolio'!$A$8:$A$19,AI$4,'Mi portafolio'!$B$8:$B$19)</f>
        <v>0</v>
      </c>
      <c r="AJ5" s="72" t="n">
        <f aca="false">SUMIF('Mi portafolio'!$A$8:$A$19,AJ$4,'Mi portafolio'!$B$8:$B$19)</f>
        <v>0</v>
      </c>
      <c r="AK5" s="72" t="n">
        <f aca="false">SUMIF('Mi portafolio'!$A$8:$A$19,AK$4,'Mi portafolio'!$B$8:$B$19)</f>
        <v>0.03</v>
      </c>
      <c r="AL5" s="72" t="n">
        <f aca="false">SUMIF('Mi portafolio'!$A$8:$A$19,AL$4,'Mi portafolio'!$B$8:$B$19)</f>
        <v>0</v>
      </c>
      <c r="AM5" s="72" t="n">
        <f aca="false">SUMIF('Mi portafolio'!$A$8:$A$19,AM$4,'Mi portafolio'!$B$8:$B$19)</f>
        <v>0.03</v>
      </c>
      <c r="AN5" s="72" t="n">
        <f aca="false">SUMIF('Mi portafolio'!$A$8:$A$19,AN$4,'Mi portafolio'!$B$8:$B$19)</f>
        <v>0</v>
      </c>
      <c r="AO5" s="72" t="n">
        <f aca="false">SUMIF('Mi portafolio'!$A$8:$A$19,AO$4,'Mi portafolio'!$B$8:$B$19)</f>
        <v>0</v>
      </c>
      <c r="AP5" s="72" t="n">
        <f aca="false">SUMIF('Mi portafolio'!$A$8:$A$19,AP$4,'Mi portafolio'!$B$8:$B$19)</f>
        <v>0</v>
      </c>
      <c r="AQ5" s="72" t="n">
        <f aca="false">SUMIF('Mi portafolio'!$A$8:$A$19,AQ$4,'Mi portafolio'!$B$8:$B$19)</f>
        <v>0</v>
      </c>
      <c r="AR5" s="72" t="n">
        <f aca="false">SUMIF('Mi portafolio'!$A$8:$A$19,AR$4,'Mi portafolio'!$B$8:$B$19)</f>
        <v>0</v>
      </c>
      <c r="AS5" s="72" t="n">
        <f aca="false">SUMIF('Mi portafolio'!$A$8:$A$19,AS$4,'Mi portafolio'!$B$8:$B$19)</f>
        <v>0</v>
      </c>
      <c r="AT5" s="72" t="n">
        <f aca="false">SUMIF('Mi portafolio'!$A$8:$A$19,AT$4,'Mi portafolio'!$B$8:$B$19)</f>
        <v>0</v>
      </c>
      <c r="AU5" s="72" t="n">
        <f aca="false">SUMIF('Mi portafolio'!$A$8:$A$19,AU$4,'Mi portafolio'!$B$8:$B$19)</f>
        <v>0</v>
      </c>
      <c r="AV5" s="72" t="n">
        <f aca="false">SUMIF('Mi portafolio'!$A$8:$A$19,AV$4,'Mi portafolio'!$B$8:$B$19)</f>
        <v>0</v>
      </c>
      <c r="AW5" s="72" t="n">
        <f aca="false">SUMIF('Mi portafolio'!$A$8:$A$19,AW$4,'Mi portafolio'!$B$8:$B$19)</f>
        <v>0</v>
      </c>
      <c r="AX5" s="72" t="n">
        <f aca="false">SUMIF('Mi portafolio'!$A$8:$A$19,AX$4,'Mi portafolio'!$B$8:$B$19)</f>
        <v>0</v>
      </c>
      <c r="AY5" s="72" t="n">
        <f aca="false">SUMIF('Mi portafolio'!$A$8:$A$19,AY$4,'Mi portafolio'!$B$8:$B$19)</f>
        <v>0</v>
      </c>
      <c r="AZ5" s="72" t="n">
        <f aca="false">SUMIF('Mi portafolio'!$A$8:$A$19,AZ$4,'Mi portafolio'!$B$8:$B$19)</f>
        <v>0</v>
      </c>
      <c r="BA5" s="72" t="n">
        <f aca="false">SUMIF('Mi portafolio'!$A$8:$A$19,BA$4,'Mi portafolio'!$B$8:$B$19)</f>
        <v>0</v>
      </c>
      <c r="BB5" s="72" t="n">
        <f aca="false">SUMIF('Mi portafolio'!$A$8:$A$19,BB$4,'Mi portafolio'!$B$8:$B$19)</f>
        <v>0</v>
      </c>
      <c r="BC5" s="72" t="n">
        <f aca="false">SUMIF('Mi portafolio'!$A$8:$A$19,BC$4,'Mi portafolio'!$B$8:$B$19)</f>
        <v>0</v>
      </c>
      <c r="BD5" s="72" t="n">
        <f aca="false">SUMIF('Mi portafolio'!$A$8:$A$19,BD$4,'Mi portafolio'!$B$8:$B$19)</f>
        <v>0</v>
      </c>
      <c r="BE5" s="72" t="n">
        <f aca="false">SUMIF('Mi portafolio'!$A$8:$A$19,BE$4,'Mi portafolio'!$B$8:$B$19)</f>
        <v>0</v>
      </c>
      <c r="BF5" s="72" t="n">
        <f aca="false">SUMIF('Mi portafolio'!$A$8:$A$19,BF$4,'Mi portafolio'!$B$8:$B$19)</f>
        <v>0</v>
      </c>
      <c r="BG5" s="72" t="n">
        <f aca="false">SUMIF('Mi portafolio'!$A$8:$A$19,BG$4,'Mi portafolio'!$B$8:$B$19)</f>
        <v>0</v>
      </c>
      <c r="BH5" s="72" t="n">
        <f aca="false">SUMIF('Mi portafolio'!$A$8:$A$19,BH$4,'Mi portafolio'!$B$8:$B$19)</f>
        <v>0</v>
      </c>
      <c r="BI5" s="72" t="n">
        <f aca="false">SUMIF('Mi portafolio'!$A$8:$A$19,BI$4,'Mi portafolio'!$B$8:$B$19)</f>
        <v>0</v>
      </c>
      <c r="BJ5" s="72" t="n">
        <f aca="false">SUMIF('Mi portafolio'!$A$8:$A$19,BJ$4,'Mi portafolio'!$B$8:$B$19)</f>
        <v>0</v>
      </c>
      <c r="BK5" s="72" t="n">
        <f aca="false">SUMIF('Mi portafolio'!$A$8:$A$19,BK$4,'Mi portafolio'!$B$8:$B$19)</f>
        <v>0</v>
      </c>
      <c r="BL5" s="72" t="n">
        <f aca="false">SUMIF('Mi portafolio'!$A$8:$A$19,BL$4,'Mi portafolio'!$B$8:$B$19)</f>
        <v>0</v>
      </c>
      <c r="BM5" s="72" t="n">
        <f aca="false">SUMIF('Mi portafolio'!$A$8:$A$19,BM$4,'Mi portafolio'!$B$8:$B$19)</f>
        <v>0</v>
      </c>
      <c r="BN5" s="72" t="n">
        <f aca="false">SUMIF('Mi portafolio'!$A$8:$A$19,BN$4,'Mi portafolio'!$B$8:$B$19)</f>
        <v>0</v>
      </c>
      <c r="BO5" s="72" t="n">
        <f aca="false">SUMIF('Mi portafolio'!$A$8:$A$19,BO$4,'Mi portafolio'!$B$8:$B$19)</f>
        <v>0</v>
      </c>
      <c r="BP5" s="72" t="n">
        <f aca="false">SUMIF('Mi portafolio'!$A$8:$A$19,BP$4,'Mi portafolio'!$B$8:$B$19)</f>
        <v>0</v>
      </c>
      <c r="BQ5" s="72" t="n">
        <f aca="false">SUMIF('Mi portafolio'!$A$8:$A$19,BQ$4,'Mi portafolio'!$B$8:$B$19)</f>
        <v>0</v>
      </c>
      <c r="BR5" s="72" t="n">
        <f aca="false">SUMIF('Mi portafolio'!$A$8:$A$19,BR$4,'Mi portafolio'!$B$8:$B$19)</f>
        <v>0</v>
      </c>
      <c r="BS5" s="72" t="n">
        <f aca="false">SUMIF('Mi portafolio'!$A$8:$A$19,BS$4,'Mi portafolio'!$B$8:$B$19)</f>
        <v>0</v>
      </c>
      <c r="BT5" s="72" t="n">
        <f aca="false">SUMIF('Mi portafolio'!$A$8:$A$19,BT$4,'Mi portafolio'!$B$8:$B$19)</f>
        <v>0</v>
      </c>
      <c r="BU5" s="72" t="n">
        <f aca="false">SUMIF('Mi portafolio'!$A$8:$A$19,BU$4,'Mi portafolio'!$B$8:$B$19)</f>
        <v>0</v>
      </c>
      <c r="BV5" s="72" t="n">
        <f aca="false">SUMIF('Mi portafolio'!$A$8:$A$19,BV$4,'Mi portafolio'!$B$8:$B$19)</f>
        <v>0</v>
      </c>
      <c r="BW5" s="72" t="n">
        <f aca="false">SUMIF('Mi portafolio'!$A$8:$A$19,BW$4,'Mi portafolio'!$B$8:$B$19)</f>
        <v>0</v>
      </c>
      <c r="BX5" s="72" t="n">
        <f aca="false">SUMIF('Mi portafolio'!$A$8:$A$19,BX$4,'Mi portafolio'!$B$8:$B$19)</f>
        <v>0</v>
      </c>
      <c r="BY5" s="72" t="n">
        <f aca="false">SUMIF('Mi portafolio'!$A$8:$A$19,BY$4,'Mi portafolio'!$B$8:$B$19)</f>
        <v>0</v>
      </c>
      <c r="BZ5" s="72" t="n">
        <f aca="false">SUMIF('Mi portafolio'!$A$8:$A$19,BZ$4,'Mi portafolio'!$B$8:$B$19)</f>
        <v>0</v>
      </c>
      <c r="CA5" s="72" t="n">
        <f aca="false">SUMIF('Mi portafolio'!$A$8:$A$19,CA$4,'Mi portafolio'!$B$8:$B$19)</f>
        <v>0</v>
      </c>
      <c r="CB5" s="72" t="n">
        <f aca="false">SUMIF('Mi portafolio'!$A$8:$A$19,CB$4,'Mi portafolio'!$B$8:$B$19)</f>
        <v>0</v>
      </c>
      <c r="CC5" s="72" t="n">
        <f aca="false">SUMIF('Mi portafolio'!$A$8:$A$19,CC$4,'Mi portafolio'!$B$8:$B$19)</f>
        <v>0</v>
      </c>
      <c r="CD5" s="72" t="n">
        <f aca="false">SUMIF('Mi portafolio'!$A$8:$A$19,CD$4,'Mi portafolio'!$B$8:$B$19)</f>
        <v>0</v>
      </c>
      <c r="CE5" s="72" t="n">
        <f aca="false">SUMIF('Mi portafolio'!$A$8:$A$19,CE$4,'Mi portafolio'!$B$8:$B$19)</f>
        <v>0</v>
      </c>
      <c r="CF5" s="72" t="n">
        <f aca="false">SUMIF('Mi portafolio'!$A$8:$A$19,CF$4,'Mi portafolio'!$B$8:$B$19)</f>
        <v>0</v>
      </c>
      <c r="CG5" s="72" t="n">
        <f aca="false">SUMIF('Mi portafolio'!$A$8:$A$19,CG$4,'Mi portafolio'!$B$8:$B$19)</f>
        <v>0</v>
      </c>
      <c r="CH5" s="72" t="n">
        <f aca="false">SUMIF('Mi portafolio'!$A$8:$A$19,CH$4,'Mi portafolio'!$B$8:$B$19)</f>
        <v>0</v>
      </c>
      <c r="CI5" s="72" t="n">
        <f aca="false">SUMIF('Mi portafolio'!$A$8:$A$19,CI$4,'Mi portafolio'!$B$8:$B$19)</f>
        <v>0</v>
      </c>
      <c r="CJ5" s="72" t="n">
        <f aca="false">SUMIF('Mi portafolio'!$A$8:$A$19,CJ$4,'Mi portafolio'!$B$8:$B$19)</f>
        <v>0</v>
      </c>
      <c r="CK5" s="72" t="n">
        <f aca="false">SUMIF('Mi portafolio'!$A$8:$A$19,CK$4,'Mi portafolio'!$B$8:$B$19)</f>
        <v>0</v>
      </c>
      <c r="CL5" s="72" t="n">
        <f aca="false">SUMIF('Mi portafolio'!$A$8:$A$19,CL$4,'Mi portafolio'!$B$8:$B$19)</f>
        <v>0</v>
      </c>
      <c r="CM5" s="72" t="n">
        <f aca="false">SUMIF('Mi portafolio'!$A$8:$A$19,CM$4,'Mi portafolio'!$B$8:$B$19)</f>
        <v>0</v>
      </c>
      <c r="CN5" s="72" t="n">
        <f aca="false">SUMIF('Mi portafolio'!$A$8:$A$19,CN$4,'Mi portafolio'!$B$8:$B$19)</f>
        <v>0</v>
      </c>
      <c r="CO5" s="72" t="n">
        <f aca="false">SUMIF('Mi portafolio'!$A$8:$A$19,CO$4,'Mi portafolio'!$B$8:$B$19)</f>
        <v>0</v>
      </c>
      <c r="CP5" s="72" t="n">
        <f aca="false">SUMIF('Mi portafolio'!$A$8:$A$19,CP$4,'Mi portafolio'!$B$8:$B$19)</f>
        <v>0</v>
      </c>
      <c r="CQ5" s="72" t="n">
        <f aca="false">SUMIF('Mi portafolio'!$A$8:$A$19,CQ$4,'Mi portafolio'!$B$8:$B$19)</f>
        <v>0</v>
      </c>
      <c r="CR5" s="72" t="n">
        <f aca="false">SUMIF('Mi portafolio'!$A$8:$A$19,CR$4,'Mi portafolio'!$B$8:$B$19)</f>
        <v>0</v>
      </c>
      <c r="CS5" s="72" t="n">
        <f aca="false">SUMIF('Mi portafolio'!$A$8:$A$19,CS$4,'Mi portafolio'!$B$8:$B$19)</f>
        <v>0</v>
      </c>
      <c r="CT5" s="72" t="n">
        <f aca="false">SUMIF('Mi portafolio'!$A$8:$A$19,CT$4,'Mi portafolio'!$B$8:$B$19)</f>
        <v>0</v>
      </c>
      <c r="CU5" s="72" t="n">
        <f aca="false">SUMIF('Mi portafolio'!$A$8:$A$19,CU$4,'Mi portafolio'!$B$8:$B$19)</f>
        <v>0</v>
      </c>
      <c r="CV5" s="72" t="n">
        <f aca="false">SUMIF('Mi portafolio'!$A$8:$A$19,CV$4,'Mi portafolio'!$B$8:$B$19)</f>
        <v>0</v>
      </c>
      <c r="CW5" s="72" t="n">
        <f aca="false">SUMIF('Mi portafolio'!$A$8:$A$19,CW$4,'Mi portafolio'!$B$8:$B$19)</f>
        <v>0</v>
      </c>
      <c r="CX5" s="72" t="n">
        <f aca="false">SUMIF('Mi portafolio'!$A$8:$A$19,CX$4,'Mi portafolio'!$B$8:$B$19)</f>
        <v>0</v>
      </c>
      <c r="CY5" s="72" t="n">
        <f aca="false">SUMIF('Mi portafolio'!$A$8:$A$19,CY$4,'Mi portafolio'!$B$8:$B$19)</f>
        <v>0</v>
      </c>
      <c r="CZ5" s="72" t="n">
        <f aca="false">SUMIF('Mi portafolio'!$A$8:$A$19,CZ$4,'Mi portafolio'!$B$8:$B$19)</f>
        <v>0</v>
      </c>
      <c r="DA5" s="72" t="n">
        <f aca="false">SUMIF('Mi portafolio'!$A$8:$A$19,DA$4,'Mi portafolio'!$B$8:$B$19)</f>
        <v>0</v>
      </c>
      <c r="DB5" s="72" t="n">
        <f aca="false">SUMIF('Mi portafolio'!$A$8:$A$19,DB$4,'Mi portafolio'!$B$8:$B$19)</f>
        <v>0</v>
      </c>
      <c r="DC5" s="72" t="n">
        <f aca="false">SUMIF('Mi portafolio'!$A$8:$A$19,DC$4,'Mi portafolio'!$B$8:$B$19)</f>
        <v>0</v>
      </c>
      <c r="DD5" s="72" t="n">
        <f aca="false">SUMIF('Mi portafolio'!$A$8:$A$19,DD$4,'Mi portafolio'!$B$8:$B$19)</f>
        <v>0</v>
      </c>
      <c r="DE5" s="72" t="n">
        <f aca="false">SUMIF('Mi portafolio'!$A$8:$A$19,DE$4,'Mi portafolio'!$B$8:$B$19)</f>
        <v>0</v>
      </c>
      <c r="DF5" s="72" t="n">
        <f aca="false">SUMIF('Mi portafolio'!$A$8:$A$19,DF$4,'Mi portafolio'!$B$8:$B$19)</f>
        <v>0</v>
      </c>
      <c r="DG5" s="72" t="n">
        <f aca="false">SUMIF('Mi portafolio'!$A$8:$A$19,DG$4,'Mi portafolio'!$B$8:$B$19)</f>
        <v>0</v>
      </c>
      <c r="DH5" s="72" t="n">
        <f aca="false">SUMIF('Mi portafolio'!$A$8:$A$19,DH$4,'Mi portafolio'!$B$8:$B$19)</f>
        <v>0</v>
      </c>
      <c r="DI5" s="72" t="n">
        <f aca="false">SUMIF('Mi portafolio'!$A$8:$A$19,DI$4,'Mi portafolio'!$B$8:$B$19)</f>
        <v>0</v>
      </c>
      <c r="DJ5" s="72" t="n">
        <f aca="false">SUMIF('Mi portafolio'!$A$8:$A$19,DJ$4,'Mi portafolio'!$B$8:$B$19)</f>
        <v>0</v>
      </c>
      <c r="DK5" s="72" t="n">
        <f aca="false">SUMIF('Mi portafolio'!$A$8:$A$19,DK$4,'Mi portafolio'!$B$8:$B$19)</f>
        <v>0</v>
      </c>
      <c r="DL5" s="72" t="n">
        <f aca="false">SUMIF('Mi portafolio'!$A$8:$A$19,DL$4,'Mi portafolio'!$B$8:$B$19)</f>
        <v>0</v>
      </c>
      <c r="DM5" s="72" t="n">
        <f aca="false">SUMIF('Mi portafolio'!$A$8:$A$19,DM$4,'Mi portafolio'!$B$8:$B$19)</f>
        <v>0</v>
      </c>
      <c r="DN5" s="72" t="n">
        <f aca="false">SUMIF('Mi portafolio'!$A$8:$A$19,DN$4,'Mi portafolio'!$B$8:$B$19)</f>
        <v>0</v>
      </c>
      <c r="DO5" s="72" t="n">
        <f aca="false">SUMIF('Mi portafolio'!$A$8:$A$19,DO$4,'Mi portafolio'!$B$8:$B$19)</f>
        <v>0</v>
      </c>
      <c r="DP5" s="72" t="n">
        <f aca="false">SUMIF('Mi portafolio'!$A$8:$A$19,DP$4,'Mi portafolio'!$B$8:$B$19)</f>
        <v>0</v>
      </c>
      <c r="DQ5" s="72" t="n">
        <f aca="false">SUMIF('Mi portafolio'!$A$8:$A$19,DQ$4,'Mi portafolio'!$B$8:$B$19)</f>
        <v>0</v>
      </c>
      <c r="DR5" s="72" t="n">
        <f aca="false">SUMIF('Mi portafolio'!$A$8:$A$19,DR$4,'Mi portafolio'!$B$8:$B$19)</f>
        <v>0</v>
      </c>
      <c r="DS5" s="72" t="n">
        <f aca="false">SUMIF('Mi portafolio'!$A$8:$A$19,DS$4,'Mi portafolio'!$B$8:$B$19)</f>
        <v>0</v>
      </c>
      <c r="DT5" s="72" t="n">
        <f aca="false">SUMIF('Mi portafolio'!$A$8:$A$19,DT$4,'Mi portafolio'!$B$8:$B$19)</f>
        <v>0</v>
      </c>
      <c r="DU5" s="72" t="n">
        <f aca="false">SUMIF('Mi portafolio'!$A$8:$A$19,DU$4,'Mi portafolio'!$B$8:$B$19)</f>
        <v>0</v>
      </c>
      <c r="DV5" s="72" t="n">
        <f aca="false">SUMIF('Mi portafolio'!$A$8:$A$19,DV$4,'Mi portafolio'!$B$8:$B$19)</f>
        <v>0</v>
      </c>
      <c r="DW5" s="72" t="n">
        <f aca="false">SUMIF('Mi portafolio'!$A$8:$A$19,DW$4,'Mi portafolio'!$B$8:$B$19)</f>
        <v>0</v>
      </c>
      <c r="DX5" s="72" t="n">
        <f aca="false">SUMIF('Mi portafolio'!$A$8:$A$19,DX$4,'Mi portafolio'!$B$8:$B$19)</f>
        <v>0</v>
      </c>
      <c r="DY5" s="72" t="n">
        <f aca="false">SUMIF('Mi portafolio'!$A$8:$A$19,DY$4,'Mi portafolio'!$B$8:$B$19)</f>
        <v>0</v>
      </c>
      <c r="DZ5" s="72" t="n">
        <f aca="false">SUMIF('Mi portafolio'!$A$8:$A$19,DZ$4,'Mi portafolio'!$B$8:$B$19)</f>
        <v>0</v>
      </c>
      <c r="EA5" s="72" t="n">
        <f aca="false">SUMIF('Mi portafolio'!$A$8:$A$19,EA$4,'Mi portafolio'!$B$8:$B$19)</f>
        <v>0</v>
      </c>
      <c r="EB5" s="72" t="n">
        <f aca="false">SUMIF('Mi portafolio'!$A$8:$A$19,EB$4,'Mi portafolio'!$B$8:$B$19)</f>
        <v>0</v>
      </c>
      <c r="EC5" s="72" t="n">
        <f aca="false">SUMIF('Mi portafolio'!$A$8:$A$19,EC$4,'Mi portafolio'!$B$8:$B$19)</f>
        <v>0</v>
      </c>
      <c r="ED5" s="72" t="n">
        <f aca="false">SUMIF('Mi portafolio'!$A$8:$A$19,ED$4,'Mi portafolio'!$B$8:$B$19)</f>
        <v>0</v>
      </c>
      <c r="EE5" s="72" t="n">
        <f aca="false">SUMIF('Mi portafolio'!$A$8:$A$19,EE$4,'Mi portafolio'!$B$8:$B$19)</f>
        <v>0</v>
      </c>
      <c r="EF5" s="72" t="n">
        <f aca="false">SUMIF('Mi portafolio'!$A$8:$A$19,EF$4,'Mi portafolio'!$B$8:$B$19)</f>
        <v>0</v>
      </c>
      <c r="EG5" s="72" t="n">
        <f aca="false">SUMIF('Mi portafolio'!$A$8:$A$19,EG$4,'Mi portafolio'!$B$8:$B$19)</f>
        <v>0.41</v>
      </c>
      <c r="EH5" s="72" t="n">
        <f aca="false">SUMIF('Mi portafolio'!$A$8:$A$19,EH$4,'Mi portafolio'!$B$8:$B$19)</f>
        <v>0</v>
      </c>
      <c r="EI5" s="72" t="n">
        <f aca="false">SUMIF('Mi portafolio'!$A$8:$A$19,EI$4,'Mi portafolio'!$B$8:$B$19)</f>
        <v>0.5</v>
      </c>
      <c r="EJ5" s="72" t="n">
        <f aca="false">SUMIF('Mi portafolio'!$A$8:$A$19,EJ$4,'Mi portafolio'!$B$8:$B$19)</f>
        <v>0</v>
      </c>
      <c r="EK5" s="72" t="n">
        <f aca="false">SUMIF('Mi portafolio'!$A$8:$A$19,EK$4,'Mi portafolio'!$B$8:$B$19)</f>
        <v>0</v>
      </c>
      <c r="EL5" s="72" t="n">
        <f aca="false">SUMIF('Mi portafolio'!$A$8:$A$19,EL$4,'Mi portafolio'!$B$8:$B$19)</f>
        <v>0</v>
      </c>
      <c r="EM5" s="72" t="n">
        <f aca="false">SUMIF('Mi portafolio'!$A$8:$A$19,EM$4,'Mi portafolio'!$B$8:$B$19)</f>
        <v>0</v>
      </c>
      <c r="EN5" s="72" t="n">
        <f aca="false">SUMIF('Mi portafolio'!$A$8:$A$19,EN$4,'Mi portafolio'!$B$8:$B$19)</f>
        <v>0</v>
      </c>
      <c r="EO5" s="72" t="n">
        <f aca="false">SUMIF('Mi portafolio'!$A$8:$A$19,EO$4,'Mi portafolio'!$B$8:$B$19)</f>
        <v>0</v>
      </c>
    </row>
    <row r="6" customFormat="false" ht="15" hidden="false" customHeight="false" outlineLevel="0" collapsed="false">
      <c r="A6" s="71" t="s">
        <v>202</v>
      </c>
      <c r="B6" s="0" t="n">
        <v>0.0267741885272654</v>
      </c>
      <c r="C6" s="0" t="n">
        <v>-0.0008836756903544</v>
      </c>
      <c r="D6" s="0" t="n">
        <v>-0.0033180869289339</v>
      </c>
      <c r="E6" s="0" t="n">
        <v>0.0023116580767315</v>
      </c>
      <c r="F6" s="0" t="n">
        <v>0.0145176317189193</v>
      </c>
      <c r="G6" s="0" t="n">
        <v>-0.0034337771553063</v>
      </c>
      <c r="H6" s="0" t="n">
        <v>-0.0004013272306452</v>
      </c>
      <c r="I6" s="0" t="n">
        <v>0.0161579436843142</v>
      </c>
      <c r="J6" s="0" t="n">
        <v>0.0107958091599746</v>
      </c>
      <c r="K6" s="0" t="n">
        <v>0.0150178725885411</v>
      </c>
      <c r="L6" s="0" t="n">
        <v>0.0022871873544094</v>
      </c>
      <c r="M6" s="0" t="n">
        <v>0.0091731122995926</v>
      </c>
      <c r="N6" s="0" t="n">
        <v>0.0114378393363617</v>
      </c>
      <c r="O6" s="0" t="n">
        <v>0.0052198675596286</v>
      </c>
      <c r="P6" s="0" t="n">
        <v>0.0138031914792973</v>
      </c>
      <c r="Q6" s="0" t="n">
        <v>0.0010535409621914</v>
      </c>
      <c r="R6" s="0" t="n">
        <v>0.0135245975769982</v>
      </c>
      <c r="S6" s="0" t="n">
        <v>0.0003716856162687</v>
      </c>
      <c r="T6" s="0" t="n">
        <v>0.0090641320408404</v>
      </c>
      <c r="U6" s="0" t="n">
        <v>0.0029754695138752</v>
      </c>
      <c r="V6" s="0" t="n">
        <v>0.0013361836283636</v>
      </c>
      <c r="W6" s="0" t="n">
        <v>0.001038709257048</v>
      </c>
      <c r="X6" s="0" t="n">
        <v>0.0126198497111547</v>
      </c>
      <c r="Y6" s="0" t="n">
        <v>0.0175697965285323</v>
      </c>
      <c r="Z6" s="0" t="n">
        <v>0.0020804489838469</v>
      </c>
      <c r="AA6" s="0" t="n">
        <v>0.0021923672946411</v>
      </c>
      <c r="AB6" s="0" t="n">
        <v>0.0192710867911402</v>
      </c>
      <c r="AC6" s="0" t="n">
        <v>0.0017084425917233</v>
      </c>
      <c r="AD6" s="0" t="n">
        <v>0.0029656435935115</v>
      </c>
      <c r="AE6" s="0" t="n">
        <v>0.0002338052493478</v>
      </c>
      <c r="AF6" s="0" t="n">
        <v>-0.0050386702734878</v>
      </c>
      <c r="AG6" s="0" t="n">
        <v>0.0114682763055474</v>
      </c>
      <c r="AH6" s="0" t="n">
        <v>0.0134828328499102</v>
      </c>
      <c r="AI6" s="0" t="n">
        <v>0.0077070049712555</v>
      </c>
      <c r="AJ6" s="0" t="n">
        <v>0.001825209148077</v>
      </c>
      <c r="AK6" s="0" t="n">
        <v>-0.0008992166804791</v>
      </c>
      <c r="AL6" s="0" t="n">
        <v>0.012294531002405</v>
      </c>
      <c r="AM6" s="0" t="n">
        <v>0.0012768420284846</v>
      </c>
      <c r="AN6" s="0" t="n">
        <v>0.0160451570279362</v>
      </c>
      <c r="AO6" s="0" t="n">
        <v>0.0111068226108189</v>
      </c>
      <c r="AP6" s="0" t="n">
        <v>0.010805379172889</v>
      </c>
      <c r="AQ6" s="0" t="n">
        <v>0.0058575335438293</v>
      </c>
      <c r="AR6" s="0" t="n">
        <v>0.0103446421509839</v>
      </c>
      <c r="AS6" s="0" t="n">
        <v>-0.0054787023496679</v>
      </c>
      <c r="AT6" s="0" t="n">
        <v>0.0125992194096647</v>
      </c>
      <c r="AU6" s="0" t="n">
        <v>0.0138439618175645</v>
      </c>
      <c r="AV6" s="0" t="n">
        <v>0.0038111600023353</v>
      </c>
      <c r="AW6" s="0" t="n">
        <v>3.86983150031541E-005</v>
      </c>
      <c r="AX6" s="0" t="n">
        <v>0.0160109927334345</v>
      </c>
      <c r="AY6" s="0" t="n">
        <v>0.0118996678480278</v>
      </c>
      <c r="AZ6" s="0" t="n">
        <v>0.000781717821465</v>
      </c>
      <c r="BA6" s="0" t="n">
        <v>0.0091305064899558</v>
      </c>
      <c r="BB6" s="0" t="n">
        <v>0.0077153487121201</v>
      </c>
      <c r="BC6" s="0" t="n">
        <v>0.0053842900735254</v>
      </c>
      <c r="BD6" s="0" t="n">
        <v>0.0004162177188452</v>
      </c>
      <c r="BE6" s="0" t="n">
        <v>0.0143507565964569</v>
      </c>
      <c r="BF6" s="0" t="n">
        <v>0.002144249469226</v>
      </c>
      <c r="BG6" s="0" t="n">
        <v>0.0102539977034017</v>
      </c>
      <c r="BH6" s="0" t="n">
        <v>0.0025216197404143</v>
      </c>
      <c r="BI6" s="0" t="n">
        <v>0.0046883372737516</v>
      </c>
      <c r="BJ6" s="0" t="n">
        <v>-0.0011281494206193</v>
      </c>
      <c r="BK6" s="0" t="n">
        <v>0.0007865466342791</v>
      </c>
      <c r="BL6" s="0" t="n">
        <v>0.0047766057258676</v>
      </c>
      <c r="BM6" s="0" t="n">
        <v>0.0092512754192947</v>
      </c>
      <c r="BN6" s="0" t="n">
        <v>0.014713886405607</v>
      </c>
      <c r="BO6" s="0" t="n">
        <v>0.0078230093159741</v>
      </c>
      <c r="BP6" s="0" t="n">
        <v>0.0066320878842574</v>
      </c>
      <c r="BQ6" s="0" t="n">
        <v>-0.0025214978069334</v>
      </c>
      <c r="BR6" s="0" t="n">
        <v>0.0117297415332593</v>
      </c>
      <c r="BS6" s="0" t="n">
        <v>0.0017739665332266</v>
      </c>
      <c r="BT6" s="0" t="n">
        <v>0.010472434584292</v>
      </c>
      <c r="BU6" s="0" t="n">
        <v>-0.0039311534067826</v>
      </c>
      <c r="BV6" s="0" t="n">
        <v>0.0078437442985784</v>
      </c>
      <c r="BW6" s="0" t="n">
        <v>0.0094185362271718</v>
      </c>
      <c r="BX6" s="0" t="n">
        <v>0.0158406852750652</v>
      </c>
      <c r="BY6" s="0" t="n">
        <v>0.0092361697226902</v>
      </c>
      <c r="BZ6" s="0" t="n">
        <v>0.0124155739935279</v>
      </c>
      <c r="CA6" s="0" t="n">
        <v>0.0028859244056553</v>
      </c>
      <c r="CB6" s="0" t="n">
        <v>0.0024958821805745</v>
      </c>
      <c r="CC6" s="0" t="n">
        <v>0.01233382327316</v>
      </c>
      <c r="CD6" s="0" t="n">
        <v>0.0106281008190494</v>
      </c>
      <c r="CE6" s="0" t="n">
        <v>0.0039629701808878</v>
      </c>
      <c r="CF6" s="0" t="n">
        <v>0.004920869963214</v>
      </c>
      <c r="CG6" s="0" t="n">
        <v>0.0148198125145929</v>
      </c>
      <c r="CH6" s="0" t="n">
        <v>-0.0042013940734469</v>
      </c>
      <c r="CI6" s="0" t="n">
        <v>0.0062203171194459</v>
      </c>
      <c r="CJ6" s="0" t="n">
        <v>0.0164682354429067</v>
      </c>
      <c r="CK6" s="0" t="n">
        <v>0.019509724118102</v>
      </c>
      <c r="CL6" s="0" t="n">
        <v>0.0067246526610863</v>
      </c>
      <c r="CM6" s="0" t="n">
        <v>-0.0085064575104736</v>
      </c>
      <c r="CN6" s="0" t="n">
        <v>-0.0016354138538788</v>
      </c>
      <c r="CO6" s="0" t="n">
        <v>0.0011984239163337</v>
      </c>
      <c r="CP6" s="0" t="n">
        <v>0.0120218708431444</v>
      </c>
      <c r="CQ6" s="0" t="n">
        <v>0.0176033171041632</v>
      </c>
      <c r="CR6" s="0" t="n">
        <v>-0.0035120835748089</v>
      </c>
      <c r="CS6" s="0" t="n">
        <v>0.0003790484463898</v>
      </c>
      <c r="CT6" s="0" t="n">
        <v>0.0069665620068464</v>
      </c>
      <c r="CU6" s="0" t="n">
        <v>-0.0002796744574127</v>
      </c>
      <c r="CV6" s="0" t="n">
        <v>0.0048031355437616</v>
      </c>
      <c r="CW6" s="0" t="n">
        <v>0.0074647387019947</v>
      </c>
      <c r="CX6" s="0" t="n">
        <v>0.0049924319774466</v>
      </c>
      <c r="CY6" s="0" t="n">
        <v>0.0157784193440223</v>
      </c>
      <c r="CZ6" s="0" t="n">
        <v>0.0073253784296127</v>
      </c>
      <c r="DA6" s="0" t="n">
        <v>0.0086086865649549</v>
      </c>
      <c r="DB6" s="0" t="n">
        <v>0.0002569483337534</v>
      </c>
      <c r="DC6" s="0" t="n">
        <v>-0.0018623398613611</v>
      </c>
      <c r="DD6" s="0" t="n">
        <v>0.0109097022000929</v>
      </c>
      <c r="DE6" s="0" t="n">
        <v>-0.0063427544310908</v>
      </c>
      <c r="DF6" s="0" t="n">
        <v>0.0132856889004845</v>
      </c>
      <c r="DG6" s="0" t="n">
        <v>0.0017722876988155</v>
      </c>
      <c r="DH6" s="0" t="n">
        <v>-0.003115476346292</v>
      </c>
      <c r="DI6" s="0" t="n">
        <v>0.0213439652375962</v>
      </c>
      <c r="DJ6" s="0" t="n">
        <v>0.0180313406631651</v>
      </c>
      <c r="DK6" s="0" t="n">
        <v>0.018504619182092</v>
      </c>
      <c r="DL6" s="0" t="n">
        <v>-0.0088418253940328</v>
      </c>
      <c r="DM6" s="0" t="n">
        <v>0.0223171601355672</v>
      </c>
      <c r="DN6" s="0" t="n">
        <v>0.0167240276019913</v>
      </c>
      <c r="DO6" s="0" t="n">
        <v>0.006043391797872</v>
      </c>
      <c r="DP6" s="0" t="n">
        <v>0.0237629599837887</v>
      </c>
      <c r="DQ6" s="0" t="n">
        <v>0.0012164926956304</v>
      </c>
      <c r="DR6" s="0" t="n">
        <v>-0.0043671969540568</v>
      </c>
      <c r="DS6" s="0" t="n">
        <v>0.0099956625750012</v>
      </c>
      <c r="DT6" s="0" t="n">
        <v>-0.0114369091160914</v>
      </c>
      <c r="DU6" s="0" t="n">
        <v>-0.0005629935788913</v>
      </c>
      <c r="DV6" s="0" t="n">
        <v>-0.0002589483964343</v>
      </c>
      <c r="DW6" s="0" t="n">
        <v>0.0101929739825912</v>
      </c>
      <c r="DX6" s="0" t="n">
        <v>-0.0142336530469446</v>
      </c>
      <c r="DY6" s="0" t="n">
        <v>0.01507608501963</v>
      </c>
      <c r="DZ6" s="0" t="n">
        <v>0.0019944029076682</v>
      </c>
      <c r="EA6" s="0" t="n">
        <v>0.0002637923440058</v>
      </c>
      <c r="EB6" s="0" t="n">
        <v>0.0058232922263703</v>
      </c>
      <c r="EC6" s="0" t="n">
        <v>-0.0118414174061153</v>
      </c>
      <c r="ED6" s="0" t="n">
        <v>0.0063362990626312</v>
      </c>
      <c r="EE6" s="0" t="n">
        <v>-0.009311074876629</v>
      </c>
      <c r="EF6" s="0" t="n">
        <v>0.0065326201855996</v>
      </c>
      <c r="EG6" s="0" t="n">
        <v>-0.0083671210444255</v>
      </c>
      <c r="EH6" s="0" t="n">
        <v>0.0088916082154203</v>
      </c>
      <c r="EI6" s="0" t="n">
        <v>-0.0256187256189332</v>
      </c>
      <c r="EJ6" s="0" t="n">
        <v>0.0093091876776001</v>
      </c>
      <c r="EK6" s="0" t="n">
        <v>-0.0035550980522269</v>
      </c>
      <c r="EL6" s="0" t="n">
        <v>-0.0160334130217008</v>
      </c>
      <c r="EM6" s="0" t="n">
        <v>-0.0130824520779614</v>
      </c>
      <c r="EN6" s="0" t="n">
        <v>0.0007453097273575</v>
      </c>
      <c r="EO6" s="0" t="n">
        <v>-0.0061273357039845</v>
      </c>
      <c r="EP6" s="72" t="n">
        <f aca="false">SUMPRODUCT(B6:EO6,$B$5:$EO$5)</f>
        <v>-0.0163797137854455</v>
      </c>
      <c r="EQ6" s="72" t="n">
        <f aca="false">SUMIF('Mi portafolio'!$A$8:$A$19,$A6,'Mi portafolio'!$B$8:$B$19)</f>
        <v>0</v>
      </c>
    </row>
    <row r="7" customFormat="false" ht="15" hidden="false" customHeight="false" outlineLevel="0" collapsed="false">
      <c r="A7" s="71" t="s">
        <v>207</v>
      </c>
      <c r="B7" s="0" t="n">
        <v>-0.0008836756903544</v>
      </c>
      <c r="C7" s="0" t="n">
        <v>0.0293790653165553</v>
      </c>
      <c r="D7" s="0" t="n">
        <v>0.002649591156195</v>
      </c>
      <c r="E7" s="0" t="n">
        <v>0.0030057901982087</v>
      </c>
      <c r="F7" s="0" t="n">
        <v>0.0006764207763475</v>
      </c>
      <c r="G7" s="0" t="n">
        <v>0.0005322992652208</v>
      </c>
      <c r="H7" s="0" t="n">
        <v>0.0049422946966786</v>
      </c>
      <c r="I7" s="0" t="n">
        <v>0.002839159595105</v>
      </c>
      <c r="J7" s="0" t="n">
        <v>0.0015465994356343</v>
      </c>
      <c r="K7" s="0" t="n">
        <v>-0.0024906798662026</v>
      </c>
      <c r="L7" s="0" t="n">
        <v>0.0107366092906844</v>
      </c>
      <c r="M7" s="0" t="n">
        <v>0.0026619753862724</v>
      </c>
      <c r="N7" s="0" t="n">
        <v>3.59886821719328E-005</v>
      </c>
      <c r="O7" s="0" t="n">
        <v>0.0065253076649704</v>
      </c>
      <c r="P7" s="0" t="n">
        <v>0.002830960028976</v>
      </c>
      <c r="Q7" s="0" t="n">
        <v>-4.05699492410218E-005</v>
      </c>
      <c r="R7" s="0" t="n">
        <v>0.0011651773015724</v>
      </c>
      <c r="S7" s="0" t="n">
        <v>0.0025134092497825</v>
      </c>
      <c r="T7" s="0" t="n">
        <v>0.0001427511250352</v>
      </c>
      <c r="U7" s="0" t="n">
        <v>0.0044800327316808</v>
      </c>
      <c r="V7" s="0" t="n">
        <v>0.0058116797203262</v>
      </c>
      <c r="W7" s="0" t="n">
        <v>0.0055134119713213</v>
      </c>
      <c r="X7" s="0" t="n">
        <v>0.0013344187815999</v>
      </c>
      <c r="Y7" s="0" t="n">
        <v>0.0046954245172236</v>
      </c>
      <c r="Z7" s="0" t="n">
        <v>0.0080303186159314</v>
      </c>
      <c r="AA7" s="0" t="n">
        <v>0.0036920801115828</v>
      </c>
      <c r="AB7" s="0" t="n">
        <v>0.0018735179407949</v>
      </c>
      <c r="AC7" s="0" t="n">
        <v>0.0018209528007549</v>
      </c>
      <c r="AD7" s="0" t="n">
        <v>0.0081690384160866</v>
      </c>
      <c r="AE7" s="0" t="n">
        <v>0.0084371544145253</v>
      </c>
      <c r="AF7" s="0" t="n">
        <v>0.0095502318315397</v>
      </c>
      <c r="AG7" s="0" t="n">
        <v>-0.0006083266470335</v>
      </c>
      <c r="AH7" s="0" t="n">
        <v>4.79514902214591E-005</v>
      </c>
      <c r="AI7" s="0" t="n">
        <v>-0.0004722816337322</v>
      </c>
      <c r="AJ7" s="0" t="n">
        <v>0.0044477395861964</v>
      </c>
      <c r="AK7" s="0" t="n">
        <v>0.0094701046141209</v>
      </c>
      <c r="AL7" s="0" t="n">
        <v>-7.46307044792246E-005</v>
      </c>
      <c r="AM7" s="0" t="n">
        <v>0.0034747567905566</v>
      </c>
      <c r="AN7" s="0" t="n">
        <v>0.0009849440878936</v>
      </c>
      <c r="AO7" s="0" t="n">
        <v>0.0016575647409414</v>
      </c>
      <c r="AP7" s="0" t="n">
        <v>-0.0023810421034027</v>
      </c>
      <c r="AQ7" s="0" t="n">
        <v>0.0009148219124896</v>
      </c>
      <c r="AR7" s="0" t="n">
        <v>-0.0001216141312649</v>
      </c>
      <c r="AS7" s="0" t="n">
        <v>0.0053903591669759</v>
      </c>
      <c r="AT7" s="0" t="n">
        <v>0.0011376644244069</v>
      </c>
      <c r="AU7" s="0" t="n">
        <v>0.002568444830424</v>
      </c>
      <c r="AV7" s="0" t="n">
        <v>0.0132802825354154</v>
      </c>
      <c r="AW7" s="0" t="n">
        <v>0.0091843956802168</v>
      </c>
      <c r="AX7" s="0" t="n">
        <v>-0.0002068908046035</v>
      </c>
      <c r="AY7" s="0" t="n">
        <v>0.0061870270596022</v>
      </c>
      <c r="AZ7" s="0" t="n">
        <v>0.0043594102880055</v>
      </c>
      <c r="BA7" s="0" t="n">
        <v>0.0031022719811185</v>
      </c>
      <c r="BB7" s="0" t="n">
        <v>-0.0032932671077175</v>
      </c>
      <c r="BC7" s="0" t="n">
        <v>0.0008417484818694</v>
      </c>
      <c r="BD7" s="0" t="n">
        <v>0.0080978458585678</v>
      </c>
      <c r="BE7" s="0" t="n">
        <v>0.0038045883493384</v>
      </c>
      <c r="BF7" s="0" t="n">
        <v>-0.0003113530836013</v>
      </c>
      <c r="BG7" s="0" t="n">
        <v>0.0007962834557755</v>
      </c>
      <c r="BH7" s="0" t="n">
        <v>0.0026586430946375</v>
      </c>
      <c r="BI7" s="0" t="n">
        <v>-0.0007734938470816</v>
      </c>
      <c r="BJ7" s="0" t="n">
        <v>0.000826301449237</v>
      </c>
      <c r="BK7" s="0" t="n">
        <v>0.0030498034963666</v>
      </c>
      <c r="BL7" s="0" t="n">
        <v>-4.97597993576549E-005</v>
      </c>
      <c r="BM7" s="0" t="n">
        <v>0.0021436366413609</v>
      </c>
      <c r="BN7" s="0" t="n">
        <v>0.0018080973810833</v>
      </c>
      <c r="BO7" s="0" t="n">
        <v>-0.0008748339476948</v>
      </c>
      <c r="BP7" s="0" t="n">
        <v>-0.0034330663407485</v>
      </c>
      <c r="BQ7" s="0" t="n">
        <v>0.0107943073822139</v>
      </c>
      <c r="BR7" s="0" t="n">
        <v>-0.0035318448023471</v>
      </c>
      <c r="BS7" s="0" t="n">
        <v>-0.001477843681885</v>
      </c>
      <c r="BT7" s="0" t="n">
        <v>0.0024040845746327</v>
      </c>
      <c r="BU7" s="0" t="n">
        <v>0.0035045606276751</v>
      </c>
      <c r="BV7" s="0" t="n">
        <v>-0.0012456841196283</v>
      </c>
      <c r="BW7" s="0" t="n">
        <v>-0.0022645440488722</v>
      </c>
      <c r="BX7" s="0" t="n">
        <v>-0.0041435656999974</v>
      </c>
      <c r="BY7" s="0" t="n">
        <v>-0.0012217548640581</v>
      </c>
      <c r="BZ7" s="0" t="n">
        <v>0.007041892235438</v>
      </c>
      <c r="CA7" s="0" t="n">
        <v>0.0087279892815178</v>
      </c>
      <c r="CB7" s="0" t="n">
        <v>0.0056272919910716</v>
      </c>
      <c r="CC7" s="0" t="n">
        <v>-0.0013601515558888</v>
      </c>
      <c r="CD7" s="0" t="n">
        <v>-0.0023240797111897</v>
      </c>
      <c r="CE7" s="0" t="n">
        <v>-0.0017994661156577</v>
      </c>
      <c r="CF7" s="0" t="n">
        <v>-0.0025248730799815</v>
      </c>
      <c r="CG7" s="0" t="n">
        <v>-0.0008795585110965</v>
      </c>
      <c r="CH7" s="0" t="n">
        <v>0.0076586726622172</v>
      </c>
      <c r="CI7" s="0" t="n">
        <v>-0.0031599412934926</v>
      </c>
      <c r="CJ7" s="0" t="n">
        <v>-0.0005008559440688</v>
      </c>
      <c r="CK7" s="0" t="n">
        <v>-0.0040566012530557</v>
      </c>
      <c r="CL7" s="0" t="n">
        <v>0.000666509473945</v>
      </c>
      <c r="CM7" s="0" t="n">
        <v>-0.0042161291116828</v>
      </c>
      <c r="CN7" s="0" t="n">
        <v>0.0094137363304984</v>
      </c>
      <c r="CO7" s="0" t="n">
        <v>0.004401071879467</v>
      </c>
      <c r="CP7" s="0" t="n">
        <v>0.0009851397580899</v>
      </c>
      <c r="CQ7" s="0" t="n">
        <v>-0.0015221388880556</v>
      </c>
      <c r="CR7" s="0" t="n">
        <v>-0.0038493932755919</v>
      </c>
      <c r="CS7" s="0" t="n">
        <v>0.0033407580664911</v>
      </c>
      <c r="CT7" s="0" t="n">
        <v>0.0020476721293978</v>
      </c>
      <c r="CU7" s="0" t="n">
        <v>0.0006562807086244</v>
      </c>
      <c r="CV7" s="0" t="n">
        <v>-0.0044972026319021</v>
      </c>
      <c r="CW7" s="0" t="n">
        <v>0.0016385451623157</v>
      </c>
      <c r="CX7" s="0" t="n">
        <v>0.0014810125484518</v>
      </c>
      <c r="CY7" s="0" t="n">
        <v>-6.54142126559931E-005</v>
      </c>
      <c r="CZ7" s="0" t="n">
        <v>-0.009998604960895</v>
      </c>
      <c r="DA7" s="0" t="n">
        <v>-0.0005628376508366</v>
      </c>
      <c r="DB7" s="0" t="n">
        <v>0.0041845303563026</v>
      </c>
      <c r="DC7" s="0" t="n">
        <v>0.0032360417830301</v>
      </c>
      <c r="DD7" s="0" t="n">
        <v>-0.0028743486800021</v>
      </c>
      <c r="DE7" s="0" t="n">
        <v>0.0055435915287828</v>
      </c>
      <c r="DF7" s="0" t="n">
        <v>-0.0069027782990697</v>
      </c>
      <c r="DG7" s="0" t="n">
        <v>0.0041394524662594</v>
      </c>
      <c r="DH7" s="0" t="n">
        <v>0.0045739089337757</v>
      </c>
      <c r="DI7" s="0" t="n">
        <v>-0.0022601182145014</v>
      </c>
      <c r="DJ7" s="0" t="n">
        <v>-0.0044545394997364</v>
      </c>
      <c r="DK7" s="0" t="n">
        <v>0.0005078626873556</v>
      </c>
      <c r="DL7" s="0" t="n">
        <v>0.0142007407198966</v>
      </c>
      <c r="DM7" s="0" t="n">
        <v>-0.0008026466367769</v>
      </c>
      <c r="DN7" s="0" t="n">
        <v>0.0083261668209293</v>
      </c>
      <c r="DO7" s="0" t="n">
        <v>0.0144921299249038</v>
      </c>
      <c r="DP7" s="0" t="n">
        <v>-0.0014941759756886</v>
      </c>
      <c r="DQ7" s="0" t="n">
        <v>0.0017354027143458</v>
      </c>
      <c r="DR7" s="0" t="n">
        <v>0.005103347311248</v>
      </c>
      <c r="DS7" s="0" t="n">
        <v>-0.0062114529360131</v>
      </c>
      <c r="DT7" s="0" t="n">
        <v>-0.0037595170709802</v>
      </c>
      <c r="DU7" s="0" t="n">
        <v>-0.0051078068180657</v>
      </c>
      <c r="DV7" s="0" t="n">
        <v>-0.0057341380824433</v>
      </c>
      <c r="DW7" s="0" t="n">
        <v>-0.0110045364365097</v>
      </c>
      <c r="DX7" s="0" t="n">
        <v>0.0037068879609088</v>
      </c>
      <c r="DY7" s="0" t="n">
        <v>0.0008683206240888</v>
      </c>
      <c r="DZ7" s="0" t="n">
        <v>-0.0113253880409351</v>
      </c>
      <c r="EA7" s="0" t="n">
        <v>0.0019410305797934</v>
      </c>
      <c r="EB7" s="0" t="n">
        <v>-0.0089498034828019</v>
      </c>
      <c r="EC7" s="0" t="n">
        <v>0.003774548798015</v>
      </c>
      <c r="ED7" s="0" t="n">
        <v>0.0152217174177072</v>
      </c>
      <c r="EE7" s="0" t="n">
        <v>0.0036159882236765</v>
      </c>
      <c r="EF7" s="0" t="n">
        <v>0.0127000209330389</v>
      </c>
      <c r="EG7" s="0" t="n">
        <v>0.0099872811605148</v>
      </c>
      <c r="EH7" s="0" t="n">
        <v>-0.0009775777606138</v>
      </c>
      <c r="EI7" s="0" t="n">
        <v>0.0032185705353926</v>
      </c>
      <c r="EJ7" s="0" t="n">
        <v>-0.0028946789882162</v>
      </c>
      <c r="EK7" s="0" t="n">
        <v>0.0056337094088556</v>
      </c>
      <c r="EL7" s="0" t="n">
        <v>0.0031516126788897</v>
      </c>
      <c r="EM7" s="0" t="n">
        <v>-0.0110415146877891</v>
      </c>
      <c r="EN7" s="0" t="n">
        <v>0.0017702739720122</v>
      </c>
      <c r="EO7" s="0" t="n">
        <v>0.014401477524074</v>
      </c>
      <c r="EP7" s="72" t="n">
        <f aca="false">SUMPRODUCT(B7:EO7,$B$5:$EO$5)</f>
        <v>0.00637892334059388</v>
      </c>
      <c r="EQ7" s="72" t="n">
        <f aca="false">SUMIF('Mi portafolio'!$A$8:$A$19,$A7,'Mi portafolio'!$B$8:$B$19)</f>
        <v>0</v>
      </c>
    </row>
    <row r="8" customFormat="false" ht="15" hidden="false" customHeight="false" outlineLevel="0" collapsed="false">
      <c r="A8" s="71" t="s">
        <v>210</v>
      </c>
      <c r="B8" s="0" t="n">
        <v>-0.0033180869289339</v>
      </c>
      <c r="C8" s="0" t="n">
        <v>0.002649591156195</v>
      </c>
      <c r="D8" s="0" t="n">
        <v>0.0370111427340408</v>
      </c>
      <c r="E8" s="0" t="n">
        <v>0.0046646452459098</v>
      </c>
      <c r="F8" s="0" t="n">
        <v>-0.0033320349272264</v>
      </c>
      <c r="G8" s="0" t="n">
        <v>0.0045931538897738</v>
      </c>
      <c r="H8" s="0" t="n">
        <v>0.0058569729500082</v>
      </c>
      <c r="I8" s="0" t="n">
        <v>-0.0007778534669304</v>
      </c>
      <c r="J8" s="0" t="n">
        <v>-0.0014884528946817</v>
      </c>
      <c r="K8" s="0" t="n">
        <v>-0.0021672208591059</v>
      </c>
      <c r="L8" s="0" t="n">
        <v>0.0041034116775987</v>
      </c>
      <c r="M8" s="0" t="n">
        <v>-0.0028327668830622</v>
      </c>
      <c r="N8" s="0" t="n">
        <v>0.0073488987340288</v>
      </c>
      <c r="O8" s="0" t="n">
        <v>0.0013902188399761</v>
      </c>
      <c r="P8" s="0" t="n">
        <v>-1.68704300528263E-005</v>
      </c>
      <c r="Q8" s="0" t="n">
        <v>0.0008143802955691</v>
      </c>
      <c r="R8" s="0" t="n">
        <v>-0.0067224398415502</v>
      </c>
      <c r="S8" s="0" t="n">
        <v>0.0046130503992657</v>
      </c>
      <c r="T8" s="0" t="n">
        <v>0.0024668610200929</v>
      </c>
      <c r="U8" s="0" t="n">
        <v>0.0052226310884153</v>
      </c>
      <c r="V8" s="0" t="n">
        <v>0.001464738958525</v>
      </c>
      <c r="W8" s="0" t="n">
        <v>-0.001575596573249</v>
      </c>
      <c r="X8" s="0" t="n">
        <v>0.0005685226727113</v>
      </c>
      <c r="Y8" s="0" t="n">
        <v>-4.92537168096584E-005</v>
      </c>
      <c r="Z8" s="0" t="n">
        <v>0.0040912515143529</v>
      </c>
      <c r="AA8" s="0" t="n">
        <v>0.0040998651067101</v>
      </c>
      <c r="AB8" s="0" t="n">
        <v>0.0014111227650493</v>
      </c>
      <c r="AC8" s="0" t="n">
        <v>0.0037490689401075</v>
      </c>
      <c r="AD8" s="0" t="n">
        <v>0.0008481213778559</v>
      </c>
      <c r="AE8" s="0" t="n">
        <v>0.0087644809311399</v>
      </c>
      <c r="AF8" s="0" t="n">
        <v>0.008129958049531</v>
      </c>
      <c r="AG8" s="0" t="n">
        <v>-0.0009371543780076</v>
      </c>
      <c r="AH8" s="0" t="n">
        <v>-0.0014310136189672</v>
      </c>
      <c r="AI8" s="0" t="n">
        <v>-0.0051088771131528</v>
      </c>
      <c r="AJ8" s="0" t="n">
        <v>0.0102209640103543</v>
      </c>
      <c r="AK8" s="0" t="n">
        <v>0.0011200067646515</v>
      </c>
      <c r="AL8" s="0" t="n">
        <v>0.0020954945056621</v>
      </c>
      <c r="AM8" s="0" t="n">
        <v>0.0044966093985491</v>
      </c>
      <c r="AN8" s="0" t="n">
        <v>-0.0023641246786577</v>
      </c>
      <c r="AO8" s="0" t="n">
        <v>0.0010619006691862</v>
      </c>
      <c r="AP8" s="0" t="n">
        <v>0.001457641176328</v>
      </c>
      <c r="AQ8" s="0" t="n">
        <v>-0.0049420718698999</v>
      </c>
      <c r="AR8" s="0" t="n">
        <v>0.0031022174774398</v>
      </c>
      <c r="AS8" s="0" t="n">
        <v>0.0064330827835177</v>
      </c>
      <c r="AT8" s="0" t="n">
        <v>0.0009429912311414</v>
      </c>
      <c r="AU8" s="0" t="n">
        <v>-0.002042568339336</v>
      </c>
      <c r="AV8" s="0" t="n">
        <v>0.0050982040720463</v>
      </c>
      <c r="AW8" s="0" t="n">
        <v>0.0022730151177527</v>
      </c>
      <c r="AX8" s="0" t="n">
        <v>0.0051243089397564</v>
      </c>
      <c r="AY8" s="0" t="n">
        <v>-0.0014955838539547</v>
      </c>
      <c r="AZ8" s="0" t="n">
        <v>0.0115890750278153</v>
      </c>
      <c r="BA8" s="0" t="n">
        <v>-0.0015306201260748</v>
      </c>
      <c r="BB8" s="0" t="n">
        <v>0.002644230832367</v>
      </c>
      <c r="BC8" s="0" t="n">
        <v>0.003229323834039</v>
      </c>
      <c r="BD8" s="0" t="n">
        <v>0.0090750123539081</v>
      </c>
      <c r="BE8" s="0" t="n">
        <v>-0.0010971723755052</v>
      </c>
      <c r="BF8" s="0" t="n">
        <v>0.0077821938698185</v>
      </c>
      <c r="BG8" s="0" t="n">
        <v>0.0021033378608118</v>
      </c>
      <c r="BH8" s="0" t="n">
        <v>0.0063982500563838</v>
      </c>
      <c r="BI8" s="0" t="n">
        <v>0.0067578897067923</v>
      </c>
      <c r="BJ8" s="0" t="n">
        <v>0.0042582529961322</v>
      </c>
      <c r="BK8" s="0" t="n">
        <v>0.0133050800897302</v>
      </c>
      <c r="BL8" s="0" t="n">
        <v>-0.0032796004603577</v>
      </c>
      <c r="BM8" s="0" t="n">
        <v>0.0029661152213403</v>
      </c>
      <c r="BN8" s="0" t="n">
        <v>-0.0070730078105696</v>
      </c>
      <c r="BO8" s="0" t="n">
        <v>0.0049512207441482</v>
      </c>
      <c r="BP8" s="0" t="n">
        <v>0.004999315985655</v>
      </c>
      <c r="BQ8" s="0" t="n">
        <v>0.0064127961606841</v>
      </c>
      <c r="BR8" s="0" t="n">
        <v>0.0023746478484044</v>
      </c>
      <c r="BS8" s="0" t="n">
        <v>-0.0038508674734842</v>
      </c>
      <c r="BT8" s="0" t="n">
        <v>0.0031810264526943</v>
      </c>
      <c r="BU8" s="0" t="n">
        <v>0.0065650349074907</v>
      </c>
      <c r="BV8" s="0" t="n">
        <v>0.0022521666850199</v>
      </c>
      <c r="BW8" s="0" t="n">
        <v>0.0017838832560494</v>
      </c>
      <c r="BX8" s="0" t="n">
        <v>0.0053765909723826</v>
      </c>
      <c r="BY8" s="0" t="n">
        <v>-0.0032192584977909</v>
      </c>
      <c r="BZ8" s="0" t="n">
        <v>-0.0007154775309091</v>
      </c>
      <c r="CA8" s="0" t="n">
        <v>0.0100867307292187</v>
      </c>
      <c r="CB8" s="0" t="n">
        <v>-0.004267735931087</v>
      </c>
      <c r="CC8" s="0" t="n">
        <v>-0.0005965715026142</v>
      </c>
      <c r="CD8" s="0" t="n">
        <v>0.002900436137648</v>
      </c>
      <c r="CE8" s="0" t="n">
        <v>0.0030661342839697</v>
      </c>
      <c r="CF8" s="0" t="n">
        <v>-0.0027752035182209</v>
      </c>
      <c r="CG8" s="0" t="n">
        <v>0.0072689351145709</v>
      </c>
      <c r="CH8" s="0" t="n">
        <v>0.002727845744822</v>
      </c>
      <c r="CI8" s="0" t="n">
        <v>-0.0048598765671645</v>
      </c>
      <c r="CJ8" s="0" t="n">
        <v>0.0036664227057739</v>
      </c>
      <c r="CK8" s="0" t="n">
        <v>0.0014150649211246</v>
      </c>
      <c r="CL8" s="0" t="n">
        <v>-0.0001182073721039</v>
      </c>
      <c r="CM8" s="0" t="n">
        <v>0.003990272462616</v>
      </c>
      <c r="CN8" s="0" t="n">
        <v>0.0123597858310518</v>
      </c>
      <c r="CO8" s="0" t="n">
        <v>-3.18333508747119E-006</v>
      </c>
      <c r="CP8" s="0" t="n">
        <v>0.0034093256423946</v>
      </c>
      <c r="CQ8" s="0" t="n">
        <v>0.0033160667845963</v>
      </c>
      <c r="CR8" s="0" t="n">
        <v>-0.0007133313230052</v>
      </c>
      <c r="CS8" s="0" t="n">
        <v>0.0019916338987656</v>
      </c>
      <c r="CT8" s="0" t="n">
        <v>0.0053002974814842</v>
      </c>
      <c r="CU8" s="0" t="n">
        <v>0.0060608667336605</v>
      </c>
      <c r="CV8" s="0" t="n">
        <v>0.0013052858440435</v>
      </c>
      <c r="CW8" s="0" t="n">
        <v>-0.0008755020982273</v>
      </c>
      <c r="CX8" s="0" t="n">
        <v>-0.0002716778793077</v>
      </c>
      <c r="CY8" s="0" t="n">
        <v>0.0015777878665065</v>
      </c>
      <c r="CZ8" s="0" t="n">
        <v>0.0096750456302557</v>
      </c>
      <c r="DA8" s="0" t="n">
        <v>0.0131381573791956</v>
      </c>
      <c r="DB8" s="0" t="n">
        <v>0.0081496049013183</v>
      </c>
      <c r="DC8" s="0" t="n">
        <v>0.0164115541352079</v>
      </c>
      <c r="DD8" s="0" t="n">
        <v>0.0164584551274956</v>
      </c>
      <c r="DE8" s="0" t="n">
        <v>0.0035090605973932</v>
      </c>
      <c r="DF8" s="0" t="n">
        <v>0.0067070227477504</v>
      </c>
      <c r="DG8" s="0" t="n">
        <v>0.0068972138767528</v>
      </c>
      <c r="DH8" s="0" t="n">
        <v>0.0038800617280912</v>
      </c>
      <c r="DI8" s="0" t="n">
        <v>0.0025132463164465</v>
      </c>
      <c r="DJ8" s="0" t="n">
        <v>3.36223234611903E-006</v>
      </c>
      <c r="DK8" s="0" t="n">
        <v>0.0021131210111962</v>
      </c>
      <c r="DL8" s="0" t="n">
        <v>0.0189443676420702</v>
      </c>
      <c r="DM8" s="0" t="n">
        <v>0.001878194294176</v>
      </c>
      <c r="DN8" s="0" t="n">
        <v>-0.0059296283470832</v>
      </c>
      <c r="DO8" s="0" t="n">
        <v>0.0072161069543489</v>
      </c>
      <c r="DP8" s="0" t="n">
        <v>0.0017860239567556</v>
      </c>
      <c r="DQ8" s="0" t="n">
        <v>-0.0007963288184873</v>
      </c>
      <c r="DR8" s="0" t="n">
        <v>-0.0016923859589508</v>
      </c>
      <c r="DS8" s="0" t="n">
        <v>0.0039364978367723</v>
      </c>
      <c r="DT8" s="0" t="n">
        <v>0.0038725824980734</v>
      </c>
      <c r="DU8" s="0" t="n">
        <v>0.011850069405039</v>
      </c>
      <c r="DV8" s="0" t="n">
        <v>0.006598282486949</v>
      </c>
      <c r="DW8" s="0" t="n">
        <v>0.0080247809278823</v>
      </c>
      <c r="DX8" s="0" t="n">
        <v>0.0071761368905379</v>
      </c>
      <c r="DY8" s="0" t="n">
        <v>0.003441617407604</v>
      </c>
      <c r="DZ8" s="0" t="n">
        <v>0.0143807316416958</v>
      </c>
      <c r="EA8" s="0" t="n">
        <v>0.0051543283980532</v>
      </c>
      <c r="EB8" s="0" t="n">
        <v>0.0060738669459066</v>
      </c>
      <c r="EC8" s="0" t="n">
        <v>-0.0003394606582768</v>
      </c>
      <c r="ED8" s="0" t="n">
        <v>0.0136132968721805</v>
      </c>
      <c r="EE8" s="0" t="n">
        <v>0.0054005657559209</v>
      </c>
      <c r="EF8" s="0" t="n">
        <v>0.010966194993916</v>
      </c>
      <c r="EG8" s="0" t="n">
        <v>-0.0012516326742691</v>
      </c>
      <c r="EH8" s="0" t="n">
        <v>0.0086147702137287</v>
      </c>
      <c r="EI8" s="0" t="n">
        <v>0.0088611822209742</v>
      </c>
      <c r="EJ8" s="0" t="n">
        <v>0.0087913405670576</v>
      </c>
      <c r="EK8" s="0" t="n">
        <v>0.0064051081025769</v>
      </c>
      <c r="EL8" s="0" t="n">
        <v>0.0148155144119978</v>
      </c>
      <c r="EM8" s="0" t="n">
        <v>0.0051018385334933</v>
      </c>
      <c r="EN8" s="0" t="n">
        <v>-0.0037271395563027</v>
      </c>
      <c r="EO8" s="0" t="n">
        <v>-0.0392468848702751</v>
      </c>
      <c r="EP8" s="72" t="n">
        <f aca="false">SUMPRODUCT(B8:EO8,$B$5:$EO$5)</f>
        <v>0.00432981894041872</v>
      </c>
      <c r="EQ8" s="72" t="n">
        <f aca="false">SUMIF('Mi portafolio'!$A$8:$A$19,$A8,'Mi portafolio'!$B$8:$B$19)</f>
        <v>0</v>
      </c>
    </row>
    <row r="9" customFormat="false" ht="15" hidden="false" customHeight="false" outlineLevel="0" collapsed="false">
      <c r="A9" s="71" t="s">
        <v>212</v>
      </c>
      <c r="B9" s="0" t="n">
        <v>0.0023116580767315</v>
      </c>
      <c r="C9" s="0" t="n">
        <v>0.0030057901982087</v>
      </c>
      <c r="D9" s="0" t="n">
        <v>0.0046646452459098</v>
      </c>
      <c r="E9" s="0" t="n">
        <v>0.0377588525456846</v>
      </c>
      <c r="F9" s="0" t="n">
        <v>0.0052921937248812</v>
      </c>
      <c r="G9" s="0" t="n">
        <v>0.0017859384599201</v>
      </c>
      <c r="H9" s="0" t="n">
        <v>0.008872815278276</v>
      </c>
      <c r="I9" s="0" t="n">
        <v>0.0063919888170645</v>
      </c>
      <c r="J9" s="0" t="n">
        <v>0.0026183734272256</v>
      </c>
      <c r="K9" s="0" t="n">
        <v>0.0035083971583198</v>
      </c>
      <c r="L9" s="0" t="n">
        <v>0.0121159272809153</v>
      </c>
      <c r="M9" s="0" t="n">
        <v>0.0081499975317831</v>
      </c>
      <c r="N9" s="0" t="n">
        <v>0.0078314723574185</v>
      </c>
      <c r="O9" s="0" t="n">
        <v>0.0150803744744565</v>
      </c>
      <c r="P9" s="0" t="n">
        <v>0.0067314506979264</v>
      </c>
      <c r="Q9" s="0" t="n">
        <v>0.0032941704310797</v>
      </c>
      <c r="R9" s="0" t="n">
        <v>0.0040374843748204</v>
      </c>
      <c r="S9" s="0" t="n">
        <v>0.0105427943339411</v>
      </c>
      <c r="T9" s="0" t="n">
        <v>0.0059084749516047</v>
      </c>
      <c r="U9" s="0" t="n">
        <v>0.013781810167214</v>
      </c>
      <c r="V9" s="0" t="n">
        <v>0.013864403823946</v>
      </c>
      <c r="W9" s="0" t="n">
        <v>0.0120941592684512</v>
      </c>
      <c r="X9" s="0" t="n">
        <v>0.0064903644893471</v>
      </c>
      <c r="Y9" s="0" t="n">
        <v>0.0021818008587834</v>
      </c>
      <c r="Z9" s="0" t="n">
        <v>0.008241592604316</v>
      </c>
      <c r="AA9" s="0" t="n">
        <v>0.0092749690677437</v>
      </c>
      <c r="AB9" s="0" t="n">
        <v>0.0027863392090081</v>
      </c>
      <c r="AC9" s="0" t="n">
        <v>0.0144006268708994</v>
      </c>
      <c r="AD9" s="0" t="n">
        <v>0.0114011216455575</v>
      </c>
      <c r="AE9" s="0" t="n">
        <v>0.0091004738496786</v>
      </c>
      <c r="AF9" s="0" t="n">
        <v>0.0163168385259444</v>
      </c>
      <c r="AG9" s="0" t="n">
        <v>0.0039580820084028</v>
      </c>
      <c r="AH9" s="0" t="n">
        <v>0.004442488035782</v>
      </c>
      <c r="AI9" s="0" t="n">
        <v>0.0032846366040384</v>
      </c>
      <c r="AJ9" s="0" t="n">
        <v>0.0049452549558146</v>
      </c>
      <c r="AK9" s="0" t="n">
        <v>0.0151414200580355</v>
      </c>
      <c r="AL9" s="0" t="n">
        <v>0.0072209112394091</v>
      </c>
      <c r="AM9" s="0" t="n">
        <v>0.008250931668383</v>
      </c>
      <c r="AN9" s="0" t="n">
        <v>0.0064718404842013</v>
      </c>
      <c r="AO9" s="0" t="n">
        <v>0.005472929538878</v>
      </c>
      <c r="AP9" s="0" t="n">
        <v>0.0070695065406344</v>
      </c>
      <c r="AQ9" s="0" t="n">
        <v>0.0056748937721122</v>
      </c>
      <c r="AR9" s="0" t="n">
        <v>0.0039912139054791</v>
      </c>
      <c r="AS9" s="0" t="n">
        <v>0.0098093780968189</v>
      </c>
      <c r="AT9" s="0" t="n">
        <v>0.0068608628793627</v>
      </c>
      <c r="AU9" s="0" t="n">
        <v>0.0048354080760252</v>
      </c>
      <c r="AV9" s="0" t="n">
        <v>0.0242685391014506</v>
      </c>
      <c r="AW9" s="0" t="n">
        <v>0.009085590377709</v>
      </c>
      <c r="AX9" s="0" t="n">
        <v>0.0074884622861615</v>
      </c>
      <c r="AY9" s="0" t="n">
        <v>0.0059553717585924</v>
      </c>
      <c r="AZ9" s="0" t="n">
        <v>0.0135054127902565</v>
      </c>
      <c r="BA9" s="0" t="n">
        <v>0.0101861824046379</v>
      </c>
      <c r="BB9" s="0" t="n">
        <v>0.0070773880258883</v>
      </c>
      <c r="BC9" s="0" t="n">
        <v>0.0126348268006362</v>
      </c>
      <c r="BD9" s="0" t="n">
        <v>0.0128189775089522</v>
      </c>
      <c r="BE9" s="0" t="n">
        <v>0.0054055363514406</v>
      </c>
      <c r="BF9" s="0" t="n">
        <v>0.0189067187247863</v>
      </c>
      <c r="BG9" s="0" t="n">
        <v>-0.0003842613529996</v>
      </c>
      <c r="BH9" s="0" t="n">
        <v>0.0127885496884206</v>
      </c>
      <c r="BI9" s="0" t="n">
        <v>0.0122286428369423</v>
      </c>
      <c r="BJ9" s="0" t="n">
        <v>0.0034659124622486</v>
      </c>
      <c r="BK9" s="0" t="n">
        <v>0.0113439034110053</v>
      </c>
      <c r="BL9" s="0" t="n">
        <v>0.0065424047326628</v>
      </c>
      <c r="BM9" s="0" t="n">
        <v>0.0138075387183388</v>
      </c>
      <c r="BN9" s="0" t="n">
        <v>0.0051297722473202</v>
      </c>
      <c r="BO9" s="0" t="n">
        <v>0.0050428387640052</v>
      </c>
      <c r="BP9" s="0" t="n">
        <v>0.0050123713459853</v>
      </c>
      <c r="BQ9" s="0" t="n">
        <v>0.0093970513242182</v>
      </c>
      <c r="BR9" s="0" t="n">
        <v>0.0047362689550421</v>
      </c>
      <c r="BS9" s="0" t="n">
        <v>0.0020711103855854</v>
      </c>
      <c r="BT9" s="0" t="n">
        <v>0.00376157386468</v>
      </c>
      <c r="BU9" s="0" t="n">
        <v>0.0113903343646284</v>
      </c>
      <c r="BV9" s="0" t="n">
        <v>-0.0020030329019955</v>
      </c>
      <c r="BW9" s="0" t="n">
        <v>0.0083747451717786</v>
      </c>
      <c r="BX9" s="0" t="n">
        <v>0.0018646093570777</v>
      </c>
      <c r="BY9" s="0" t="n">
        <v>0.0038974031719159</v>
      </c>
      <c r="BZ9" s="0" t="n">
        <v>0.0087840740370646</v>
      </c>
      <c r="CA9" s="0" t="n">
        <v>0.0176429919607935</v>
      </c>
      <c r="CB9" s="0" t="n">
        <v>0.0010891463008141</v>
      </c>
      <c r="CC9" s="0" t="n">
        <v>0.0043462520301483</v>
      </c>
      <c r="CD9" s="0" t="n">
        <v>0.00380981356593</v>
      </c>
      <c r="CE9" s="0" t="n">
        <v>0.0008884494127366</v>
      </c>
      <c r="CF9" s="0" t="n">
        <v>0.0021986904693316</v>
      </c>
      <c r="CG9" s="0" t="n">
        <v>0.0024845305163707</v>
      </c>
      <c r="CH9" s="0" t="n">
        <v>0.0133687919739351</v>
      </c>
      <c r="CI9" s="0" t="n">
        <v>-0.0037202455393582</v>
      </c>
      <c r="CJ9" s="0" t="n">
        <v>0.0046096961707132</v>
      </c>
      <c r="CK9" s="0" t="n">
        <v>0.0087560848846647</v>
      </c>
      <c r="CL9" s="0" t="n">
        <v>-0.0002583163131485</v>
      </c>
      <c r="CM9" s="0" t="n">
        <v>-0.0019709362644652</v>
      </c>
      <c r="CN9" s="0" t="n">
        <v>0.0097784337122195</v>
      </c>
      <c r="CO9" s="0" t="n">
        <v>0.0104502062982533</v>
      </c>
      <c r="CP9" s="0" t="n">
        <v>0.0025523873875335</v>
      </c>
      <c r="CQ9" s="0" t="n">
        <v>0.0133561928771513</v>
      </c>
      <c r="CR9" s="0" t="n">
        <v>0.0060817891784448</v>
      </c>
      <c r="CS9" s="0" t="n">
        <v>0.0062996967822908</v>
      </c>
      <c r="CT9" s="0" t="n">
        <v>0.012251994651671</v>
      </c>
      <c r="CU9" s="0" t="n">
        <v>0.0008703712444209</v>
      </c>
      <c r="CV9" s="0" t="n">
        <v>-0.0003513620222215</v>
      </c>
      <c r="CW9" s="0" t="n">
        <v>0.0080912913949558</v>
      </c>
      <c r="CX9" s="0" t="n">
        <v>0.0055933915477734</v>
      </c>
      <c r="CY9" s="0" t="n">
        <v>0.0163894935494883</v>
      </c>
      <c r="CZ9" s="0" t="n">
        <v>0.0050992198707081</v>
      </c>
      <c r="DA9" s="0" t="n">
        <v>-0.0011850905124895</v>
      </c>
      <c r="DB9" s="0" t="n">
        <v>0.0166587990480044</v>
      </c>
      <c r="DC9" s="0" t="n">
        <v>0.0156752126001414</v>
      </c>
      <c r="DD9" s="0" t="n">
        <v>0.0114546641402612</v>
      </c>
      <c r="DE9" s="0" t="n">
        <v>0.0132920844974487</v>
      </c>
      <c r="DF9" s="0" t="n">
        <v>0.0035046702526257</v>
      </c>
      <c r="DG9" s="0" t="n">
        <v>0.008084887096318</v>
      </c>
      <c r="DH9" s="0" t="n">
        <v>0.0088590352333024</v>
      </c>
      <c r="DI9" s="0" t="n">
        <v>0.0186578388595066</v>
      </c>
      <c r="DJ9" s="0" t="n">
        <v>0.0074657364603479</v>
      </c>
      <c r="DK9" s="0" t="n">
        <v>0.0127747289359658</v>
      </c>
      <c r="DL9" s="0" t="n">
        <v>0.0102141737617444</v>
      </c>
      <c r="DM9" s="0" t="n">
        <v>0.0121978020363563</v>
      </c>
      <c r="DN9" s="0" t="n">
        <v>-0.0016414979260659</v>
      </c>
      <c r="DO9" s="0" t="n">
        <v>0.0153968833738321</v>
      </c>
      <c r="DP9" s="0" t="n">
        <v>0.006182908384594</v>
      </c>
      <c r="DQ9" s="0" t="n">
        <v>0.0090215756076904</v>
      </c>
      <c r="DR9" s="0" t="n">
        <v>0.0127167663440917</v>
      </c>
      <c r="DS9" s="0" t="n">
        <v>-0.0010712829637207</v>
      </c>
      <c r="DT9" s="0" t="n">
        <v>0.0050998068497679</v>
      </c>
      <c r="DU9" s="0" t="n">
        <v>0.0147469212726826</v>
      </c>
      <c r="DV9" s="0" t="n">
        <v>0.0109259160096223</v>
      </c>
      <c r="DW9" s="0" t="n">
        <v>0.0021812949654512</v>
      </c>
      <c r="DX9" s="0" t="n">
        <v>0.0059984073839325</v>
      </c>
      <c r="DY9" s="0" t="n">
        <v>0.0106675628310132</v>
      </c>
      <c r="DZ9" s="0" t="n">
        <v>0.0041139475626997</v>
      </c>
      <c r="EA9" s="0" t="n">
        <v>0.0060488951797925</v>
      </c>
      <c r="EB9" s="0" t="n">
        <v>0.0149635222662477</v>
      </c>
      <c r="EC9" s="0" t="n">
        <v>0.0115526374753324</v>
      </c>
      <c r="ED9" s="0" t="n">
        <v>0.0258702300254764</v>
      </c>
      <c r="EE9" s="0" t="n">
        <v>0.0103987928369602</v>
      </c>
      <c r="EF9" s="0" t="n">
        <v>0.0014695783704948</v>
      </c>
      <c r="EG9" s="0" t="n">
        <v>0.0090844726260415</v>
      </c>
      <c r="EH9" s="0" t="n">
        <v>-0.002380390155432</v>
      </c>
      <c r="EI9" s="0" t="n">
        <v>-0.0025661856800389</v>
      </c>
      <c r="EJ9" s="0" t="n">
        <v>0.0274398578623772</v>
      </c>
      <c r="EK9" s="0" t="n">
        <v>0.0110763081664342</v>
      </c>
      <c r="EL9" s="0" t="n">
        <v>0.0163963186541722</v>
      </c>
      <c r="EM9" s="0" t="n">
        <v>0.0097873904506501</v>
      </c>
      <c r="EN9" s="0" t="n">
        <v>0.0066822237016528</v>
      </c>
      <c r="EO9" s="0" t="n">
        <v>0.0070333762418612</v>
      </c>
      <c r="EP9" s="72" t="n">
        <f aca="false">SUMPRODUCT(B9:EO9,$B$5:$EO$5)</f>
        <v>0.00363281664422845</v>
      </c>
      <c r="EQ9" s="72" t="n">
        <f aca="false">SUMIF('Mi portafolio'!$A$8:$A$19,$A9,'Mi portafolio'!$B$8:$B$19)</f>
        <v>0</v>
      </c>
    </row>
    <row r="10" customFormat="false" ht="15" hidden="false" customHeight="false" outlineLevel="0" collapsed="false">
      <c r="A10" s="71" t="s">
        <v>214</v>
      </c>
      <c r="B10" s="0" t="n">
        <v>0.0145176317189193</v>
      </c>
      <c r="C10" s="0" t="n">
        <v>0.0006764207763475</v>
      </c>
      <c r="D10" s="0" t="n">
        <v>-0.0033320349272264</v>
      </c>
      <c r="E10" s="0" t="n">
        <v>0.0052921937248812</v>
      </c>
      <c r="F10" s="0" t="n">
        <v>0.0414892060062552</v>
      </c>
      <c r="G10" s="0" t="n">
        <v>-0.0008657978872597</v>
      </c>
      <c r="H10" s="0" t="n">
        <v>0.0034948461517954</v>
      </c>
      <c r="I10" s="0" t="n">
        <v>0.0245111149991906</v>
      </c>
      <c r="J10" s="0" t="n">
        <v>0.0193965314068617</v>
      </c>
      <c r="K10" s="0" t="n">
        <v>0.0247533082500307</v>
      </c>
      <c r="L10" s="0" t="n">
        <v>0.0064950373978656</v>
      </c>
      <c r="M10" s="0" t="n">
        <v>0.0129674853719279</v>
      </c>
      <c r="N10" s="0" t="n">
        <v>0.013215160387792</v>
      </c>
      <c r="O10" s="0" t="n">
        <v>0.0036014575819976</v>
      </c>
      <c r="P10" s="0" t="n">
        <v>0.0213695244033681</v>
      </c>
      <c r="Q10" s="0" t="n">
        <v>-0.0045536746251726</v>
      </c>
      <c r="R10" s="0" t="n">
        <v>0.0290395679147641</v>
      </c>
      <c r="S10" s="0" t="n">
        <v>0.0049564534803866</v>
      </c>
      <c r="T10" s="0" t="n">
        <v>0.0022963114625067</v>
      </c>
      <c r="U10" s="0" t="n">
        <v>0.0032784542984354</v>
      </c>
      <c r="V10" s="0" t="n">
        <v>0.0023225650614913</v>
      </c>
      <c r="W10" s="0" t="n">
        <v>0.0061299467521012</v>
      </c>
      <c r="X10" s="0" t="n">
        <v>0.0016593394671997</v>
      </c>
      <c r="Y10" s="0" t="n">
        <v>0.0148423216665626</v>
      </c>
      <c r="Z10" s="0" t="n">
        <v>0.0049925444893685</v>
      </c>
      <c r="AA10" s="0" t="n">
        <v>0.0127708086752715</v>
      </c>
      <c r="AB10" s="0" t="n">
        <v>0.0159531490648938</v>
      </c>
      <c r="AC10" s="0" t="n">
        <v>-0.0009293907194425</v>
      </c>
      <c r="AD10" s="0" t="n">
        <v>0.0068938967002724</v>
      </c>
      <c r="AE10" s="0" t="n">
        <v>-0.0034207340384721</v>
      </c>
      <c r="AF10" s="0" t="n">
        <v>-0.0039380330140438</v>
      </c>
      <c r="AG10" s="0" t="n">
        <v>0.0209711393649693</v>
      </c>
      <c r="AH10" s="0" t="n">
        <v>0.0221139225233367</v>
      </c>
      <c r="AI10" s="0" t="n">
        <v>0.0124738803305787</v>
      </c>
      <c r="AJ10" s="0" t="n">
        <v>-0.0010345811110917</v>
      </c>
      <c r="AK10" s="0" t="n">
        <v>-0.0015874672033169</v>
      </c>
      <c r="AL10" s="0" t="n">
        <v>0.0140819607564613</v>
      </c>
      <c r="AM10" s="0" t="n">
        <v>-0.0004002493063921</v>
      </c>
      <c r="AN10" s="0" t="n">
        <v>0.0216082824460753</v>
      </c>
      <c r="AO10" s="0" t="n">
        <v>0.0210541399254666</v>
      </c>
      <c r="AP10" s="0" t="n">
        <v>0.0160300035793084</v>
      </c>
      <c r="AQ10" s="0" t="n">
        <v>0.0141878599087817</v>
      </c>
      <c r="AR10" s="0" t="n">
        <v>0.0033174935055587</v>
      </c>
      <c r="AS10" s="0" t="n">
        <v>0.0004732029695798</v>
      </c>
      <c r="AT10" s="0" t="n">
        <v>0.0042231842408269</v>
      </c>
      <c r="AU10" s="0" t="n">
        <v>0.0229534042289355</v>
      </c>
      <c r="AV10" s="0" t="n">
        <v>0.0049941369331404</v>
      </c>
      <c r="AW10" s="0" t="n">
        <v>-0.0017656755723665</v>
      </c>
      <c r="AX10" s="0" t="n">
        <v>0.020934587214139</v>
      </c>
      <c r="AY10" s="0" t="n">
        <v>0.0187391186086196</v>
      </c>
      <c r="AZ10" s="0" t="n">
        <v>-0.0019185666362796</v>
      </c>
      <c r="BA10" s="0" t="n">
        <v>0.0125588719674924</v>
      </c>
      <c r="BB10" s="0" t="n">
        <v>-0.0044744582672119</v>
      </c>
      <c r="BC10" s="0" t="n">
        <v>0.0046512905192628</v>
      </c>
      <c r="BD10" s="0" t="n">
        <v>0.0006048972222143</v>
      </c>
      <c r="BE10" s="0" t="n">
        <v>0.0250005468604975</v>
      </c>
      <c r="BF10" s="0" t="n">
        <v>0.0020357656673164</v>
      </c>
      <c r="BG10" s="0" t="n">
        <v>0.0063875638221539</v>
      </c>
      <c r="BH10" s="0" t="n">
        <v>-0.0001331986258575</v>
      </c>
      <c r="BI10" s="0" t="n">
        <v>-0.0043413348228941</v>
      </c>
      <c r="BJ10" s="0" t="n">
        <v>-0.0052139680476319</v>
      </c>
      <c r="BK10" s="0" t="n">
        <v>-0.0037900690095318</v>
      </c>
      <c r="BL10" s="0" t="n">
        <v>0.0070662462784</v>
      </c>
      <c r="BM10" s="0" t="n">
        <v>0.0236433358318223</v>
      </c>
      <c r="BN10" s="0" t="n">
        <v>0.0135738539591776</v>
      </c>
      <c r="BO10" s="0" t="n">
        <v>0.0051798106994672</v>
      </c>
      <c r="BP10" s="0" t="n">
        <v>-0.001027926830493</v>
      </c>
      <c r="BQ10" s="0" t="n">
        <v>-0.0025835267312673</v>
      </c>
      <c r="BR10" s="0" t="n">
        <v>0.0095470167100709</v>
      </c>
      <c r="BS10" s="0" t="n">
        <v>0.0103730438950156</v>
      </c>
      <c r="BT10" s="0" t="n">
        <v>0.0056576273293797</v>
      </c>
      <c r="BU10" s="0" t="n">
        <v>-0.0041550580927723</v>
      </c>
      <c r="BV10" s="0" t="n">
        <v>0.0015573801378042</v>
      </c>
      <c r="BW10" s="0" t="n">
        <v>0.0113722371673875</v>
      </c>
      <c r="BX10" s="0" t="n">
        <v>0.0154606826339847</v>
      </c>
      <c r="BY10" s="0" t="n">
        <v>0.0184245217628277</v>
      </c>
      <c r="BZ10" s="0" t="n">
        <v>0.0059991786052102</v>
      </c>
      <c r="CA10" s="0" t="n">
        <v>0.0035882701695902</v>
      </c>
      <c r="CB10" s="0" t="n">
        <v>0.0049700297298369</v>
      </c>
      <c r="CC10" s="0" t="n">
        <v>0.0054772880869357</v>
      </c>
      <c r="CD10" s="0" t="n">
        <v>0.0121053417831517</v>
      </c>
      <c r="CE10" s="0" t="n">
        <v>-0.0057046930318013</v>
      </c>
      <c r="CF10" s="0" t="n">
        <v>0.0172021031031938</v>
      </c>
      <c r="CG10" s="0" t="n">
        <v>0.0127402221291771</v>
      </c>
      <c r="CH10" s="0" t="n">
        <v>-0.0049476228256709</v>
      </c>
      <c r="CI10" s="0" t="n">
        <v>0.0143964837910377</v>
      </c>
      <c r="CJ10" s="0" t="n">
        <v>0.0229649816455995</v>
      </c>
      <c r="CK10" s="0" t="n">
        <v>0.0196317024165653</v>
      </c>
      <c r="CL10" s="0" t="n">
        <v>0.0108187867936539</v>
      </c>
      <c r="CM10" s="0" t="n">
        <v>-0.0141810220355129</v>
      </c>
      <c r="CN10" s="0" t="n">
        <v>-0.0057434262913637</v>
      </c>
      <c r="CO10" s="0" t="n">
        <v>-0.0006661708488929</v>
      </c>
      <c r="CP10" s="0" t="n">
        <v>0.0100671038107866</v>
      </c>
      <c r="CQ10" s="0" t="n">
        <v>0.008478326581554</v>
      </c>
      <c r="CR10" s="0" t="n">
        <v>-0.0105804061620413</v>
      </c>
      <c r="CS10" s="0" t="n">
        <v>-0.0112764901316745</v>
      </c>
      <c r="CT10" s="0" t="n">
        <v>-0.0009955277601875</v>
      </c>
      <c r="CU10" s="0" t="n">
        <v>-0.0002082663147276</v>
      </c>
      <c r="CV10" s="0" t="n">
        <v>-0.0049896470917264</v>
      </c>
      <c r="CW10" s="0" t="n">
        <v>0.0080418939974151</v>
      </c>
      <c r="CX10" s="0" t="n">
        <v>0.0046603655258807</v>
      </c>
      <c r="CY10" s="0" t="n">
        <v>0.0122729682978166</v>
      </c>
      <c r="CZ10" s="0" t="n">
        <v>0.0014590123927493</v>
      </c>
      <c r="DA10" s="0" t="n">
        <v>0.0060807984553347</v>
      </c>
      <c r="DB10" s="0" t="n">
        <v>-0.0073922378794967</v>
      </c>
      <c r="DC10" s="0" t="n">
        <v>-0.0085589706922129</v>
      </c>
      <c r="DD10" s="0" t="n">
        <v>0.0027273832146524</v>
      </c>
      <c r="DE10" s="0" t="n">
        <v>-0.0101956317315326</v>
      </c>
      <c r="DF10" s="0" t="n">
        <v>0.0074352013813712</v>
      </c>
      <c r="DG10" s="0" t="n">
        <v>-0.0053888646667384</v>
      </c>
      <c r="DH10" s="0" t="n">
        <v>-0.0151724997742473</v>
      </c>
      <c r="DI10" s="0" t="n">
        <v>0.010354577857075</v>
      </c>
      <c r="DJ10" s="0" t="n">
        <v>0.014716843939934</v>
      </c>
      <c r="DK10" s="0" t="n">
        <v>0.0067988695915233</v>
      </c>
      <c r="DL10" s="0" t="n">
        <v>-0.0104164282019596</v>
      </c>
      <c r="DM10" s="0" t="n">
        <v>0.0165238541051589</v>
      </c>
      <c r="DN10" s="0" t="n">
        <v>0.0173527703911384</v>
      </c>
      <c r="DO10" s="0" t="n">
        <v>-0.0129312354490191</v>
      </c>
      <c r="DP10" s="0" t="n">
        <v>0.0152493666438188</v>
      </c>
      <c r="DQ10" s="0" t="n">
        <v>-0.0115970110359145</v>
      </c>
      <c r="DR10" s="0" t="n">
        <v>-0.0092595300838272</v>
      </c>
      <c r="DS10" s="0" t="n">
        <v>0.0047379652094658</v>
      </c>
      <c r="DT10" s="0" t="n">
        <v>-0.0295152929975966</v>
      </c>
      <c r="DU10" s="0" t="n">
        <v>-0.0138658231279667</v>
      </c>
      <c r="DV10" s="0" t="n">
        <v>-0.0096546453556181</v>
      </c>
      <c r="DW10" s="0" t="n">
        <v>-0.0046043986160663</v>
      </c>
      <c r="DX10" s="0" t="n">
        <v>-0.0231853304241421</v>
      </c>
      <c r="DY10" s="0" t="n">
        <v>0.0005528182198165</v>
      </c>
      <c r="DZ10" s="0" t="n">
        <v>-0.006490918175492</v>
      </c>
      <c r="EA10" s="0" t="n">
        <v>0.0019174893060884</v>
      </c>
      <c r="EB10" s="0" t="n">
        <v>-0.0067294658970314</v>
      </c>
      <c r="EC10" s="0" t="n">
        <v>-0.0162543373036151</v>
      </c>
      <c r="ED10" s="0" t="n">
        <v>-0.0029857049129067</v>
      </c>
      <c r="EE10" s="0" t="n">
        <v>-0.0244187605429754</v>
      </c>
      <c r="EF10" s="0" t="n">
        <v>-0.008656729512174</v>
      </c>
      <c r="EG10" s="0" t="n">
        <v>-0.0146048075053598</v>
      </c>
      <c r="EH10" s="0" t="n">
        <v>0.0094584855186684</v>
      </c>
      <c r="EI10" s="0" t="n">
        <v>-0.0334852709701844</v>
      </c>
      <c r="EJ10" s="0" t="n">
        <v>0.0047200677304145</v>
      </c>
      <c r="EK10" s="0" t="n">
        <v>-0.0081132291721004</v>
      </c>
      <c r="EL10" s="0" t="n">
        <v>-0.0292234994195924</v>
      </c>
      <c r="EM10" s="0" t="n">
        <v>-0.0203567156121244</v>
      </c>
      <c r="EN10" s="0" t="n">
        <v>0.0356206325427642</v>
      </c>
      <c r="EO10" s="0" t="n">
        <v>0.0493676545305824</v>
      </c>
      <c r="EP10" s="72" t="n">
        <f aca="false">SUMPRODUCT(B10:EO10,$B$5:$EO$5)</f>
        <v>-0.0229083790480023</v>
      </c>
      <c r="EQ10" s="72" t="n">
        <f aca="false">SUMIF('Mi portafolio'!$A$8:$A$19,$A10,'Mi portafolio'!$B$8:$B$19)</f>
        <v>0</v>
      </c>
    </row>
    <row r="11" customFormat="false" ht="15" hidden="false" customHeight="false" outlineLevel="0" collapsed="false">
      <c r="A11" s="71" t="s">
        <v>215</v>
      </c>
      <c r="B11" s="0" t="n">
        <v>-0.0034337771553063</v>
      </c>
      <c r="C11" s="0" t="n">
        <v>0.0005322992652208</v>
      </c>
      <c r="D11" s="0" t="n">
        <v>0.0045931538897738</v>
      </c>
      <c r="E11" s="0" t="n">
        <v>0.0017859384599201</v>
      </c>
      <c r="F11" s="0" t="n">
        <v>-0.0008657978872597</v>
      </c>
      <c r="G11" s="0" t="n">
        <v>0.0416135885509412</v>
      </c>
      <c r="H11" s="0" t="n">
        <v>0.0075106735299748</v>
      </c>
      <c r="I11" s="0" t="n">
        <v>0.0008063661720826</v>
      </c>
      <c r="J11" s="0" t="n">
        <v>-0.0005798180649765</v>
      </c>
      <c r="K11" s="0" t="n">
        <v>0.000504787552475</v>
      </c>
      <c r="L11" s="0" t="n">
        <v>-0.0006514633049894</v>
      </c>
      <c r="M11" s="0" t="n">
        <v>0.002518019986104</v>
      </c>
      <c r="N11" s="0" t="n">
        <v>0.0022467318744283</v>
      </c>
      <c r="O11" s="0" t="n">
        <v>0.0050064269662275</v>
      </c>
      <c r="P11" s="0" t="n">
        <v>-0.0042957994223919</v>
      </c>
      <c r="Q11" s="0" t="n">
        <v>0.0021135366753294</v>
      </c>
      <c r="R11" s="0" t="n">
        <v>-0.0009899849033968</v>
      </c>
      <c r="S11" s="0" t="n">
        <v>-0.0020838769697169</v>
      </c>
      <c r="T11" s="0" t="n">
        <v>0.0009538740093648</v>
      </c>
      <c r="U11" s="0" t="n">
        <v>0.0033759045402637</v>
      </c>
      <c r="V11" s="0" t="n">
        <v>0.0062501408042005</v>
      </c>
      <c r="W11" s="0" t="n">
        <v>0.0021202296715274</v>
      </c>
      <c r="X11" s="0" t="n">
        <v>-0.0012445820596459</v>
      </c>
      <c r="Y11" s="0" t="n">
        <v>-0.0020710555438354</v>
      </c>
      <c r="Z11" s="0" t="n">
        <v>0.0100861506664822</v>
      </c>
      <c r="AA11" s="0" t="n">
        <v>0.0039628523010236</v>
      </c>
      <c r="AB11" s="0" t="n">
        <v>-0.0001934907494244</v>
      </c>
      <c r="AC11" s="0" t="n">
        <v>0.0076531753748273</v>
      </c>
      <c r="AD11" s="0" t="n">
        <v>0.0016117733293743</v>
      </c>
      <c r="AE11" s="0" t="n">
        <v>0.0108385182417601</v>
      </c>
      <c r="AF11" s="0" t="n">
        <v>0.0091764054995858</v>
      </c>
      <c r="AG11" s="0" t="n">
        <v>-0.0042424564908465</v>
      </c>
      <c r="AH11" s="0" t="n">
        <v>-0.0043004519891318</v>
      </c>
      <c r="AI11" s="0" t="n">
        <v>-0.0029368680707038</v>
      </c>
      <c r="AJ11" s="0" t="n">
        <v>0.0041697806172937</v>
      </c>
      <c r="AK11" s="0" t="n">
        <v>0.0067199325050084</v>
      </c>
      <c r="AL11" s="0" t="n">
        <v>-0.003092381264482</v>
      </c>
      <c r="AM11" s="0" t="n">
        <v>0.0087290258736126</v>
      </c>
      <c r="AN11" s="0" t="n">
        <v>-0.0012089458800632</v>
      </c>
      <c r="AO11" s="0" t="n">
        <v>0.0015550434607026</v>
      </c>
      <c r="AP11" s="0" t="n">
        <v>0.0027276756456984</v>
      </c>
      <c r="AQ11" s="0" t="n">
        <v>-0.0005340615663342</v>
      </c>
      <c r="AR11" s="0" t="n">
        <v>-0.000109778438544</v>
      </c>
      <c r="AS11" s="0" t="n">
        <v>0.0082666626066361</v>
      </c>
      <c r="AT11" s="0" t="n">
        <v>-0.001029606735277</v>
      </c>
      <c r="AU11" s="0" t="n">
        <v>-0.0009467520271134</v>
      </c>
      <c r="AV11" s="0" t="n">
        <v>0.0028429690478652</v>
      </c>
      <c r="AW11" s="0" t="n">
        <v>0.0061019201235447</v>
      </c>
      <c r="AX11" s="0" t="n">
        <v>0.0027585297057585</v>
      </c>
      <c r="AY11" s="0" t="n">
        <v>0.0019609550119317</v>
      </c>
      <c r="AZ11" s="0" t="n">
        <v>0.006607973413804</v>
      </c>
      <c r="BA11" s="0" t="n">
        <v>0.0006944349893371</v>
      </c>
      <c r="BB11" s="0" t="n">
        <v>0.0050479664663316</v>
      </c>
      <c r="BC11" s="0" t="n">
        <v>0.0015029633424071</v>
      </c>
      <c r="BD11" s="0" t="n">
        <v>0.0091739876472147</v>
      </c>
      <c r="BE11" s="0" t="n">
        <v>-0.001656943509449</v>
      </c>
      <c r="BF11" s="0" t="n">
        <v>0.0132281959087388</v>
      </c>
      <c r="BG11" s="0" t="n">
        <v>-0.001208680433874</v>
      </c>
      <c r="BH11" s="0" t="n">
        <v>0.0018310592674094</v>
      </c>
      <c r="BI11" s="0" t="n">
        <v>0.0061156625426041</v>
      </c>
      <c r="BJ11" s="0" t="n">
        <v>0.0028745156865541</v>
      </c>
      <c r="BK11" s="0" t="n">
        <v>0.0104397486690825</v>
      </c>
      <c r="BL11" s="0" t="n">
        <v>0.0051718805706116</v>
      </c>
      <c r="BM11" s="0" t="n">
        <v>-0.0046675525388053</v>
      </c>
      <c r="BN11" s="0" t="n">
        <v>0.001435399069115</v>
      </c>
      <c r="BO11" s="0" t="n">
        <v>0.0047580201021069</v>
      </c>
      <c r="BP11" s="0" t="n">
        <v>-0.0017651865263333</v>
      </c>
      <c r="BQ11" s="0" t="n">
        <v>0.0059737724285287</v>
      </c>
      <c r="BR11" s="0" t="n">
        <v>0.0003279769146607</v>
      </c>
      <c r="BS11" s="0" t="n">
        <v>0.0001467598040338</v>
      </c>
      <c r="BT11" s="0" t="n">
        <v>0.0008699556760018</v>
      </c>
      <c r="BU11" s="0" t="n">
        <v>-0.0007217338725258</v>
      </c>
      <c r="BV11" s="0" t="n">
        <v>0.0012244596589174</v>
      </c>
      <c r="BW11" s="0" t="n">
        <v>0.0056734615646255</v>
      </c>
      <c r="BX11" s="0" t="n">
        <v>-0.0007448071931139</v>
      </c>
      <c r="BY11" s="0" t="n">
        <v>0.0024696079776453</v>
      </c>
      <c r="BZ11" s="0" t="n">
        <v>-0.0062121043985122</v>
      </c>
      <c r="CA11" s="0" t="n">
        <v>0.0083391038859009</v>
      </c>
      <c r="CB11" s="0" t="n">
        <v>-0.001515550752928</v>
      </c>
      <c r="CC11" s="0" t="n">
        <v>0.0028193526046572</v>
      </c>
      <c r="CD11" s="0" t="n">
        <v>0.0016437551455494</v>
      </c>
      <c r="CE11" s="0" t="n">
        <v>-0.0006637401523324</v>
      </c>
      <c r="CF11" s="0" t="n">
        <v>0.0013822093267863</v>
      </c>
      <c r="CG11" s="0" t="n">
        <v>0.0048069100292609</v>
      </c>
      <c r="CH11" s="0" t="n">
        <v>0.0125307559464594</v>
      </c>
      <c r="CI11" s="0" t="n">
        <v>-0.001266367355278</v>
      </c>
      <c r="CJ11" s="0" t="n">
        <v>0.0061538198249452</v>
      </c>
      <c r="CK11" s="0" t="n">
        <v>-0.0071247787686315</v>
      </c>
      <c r="CL11" s="0" t="n">
        <v>0.0054659140726907</v>
      </c>
      <c r="CM11" s="0" t="n">
        <v>-0.0009067774165705</v>
      </c>
      <c r="CN11" s="0" t="n">
        <v>0.0072016960496537</v>
      </c>
      <c r="CO11" s="0" t="n">
        <v>-0.0037847989807031</v>
      </c>
      <c r="CP11" s="0" t="n">
        <v>0.0043431140684813</v>
      </c>
      <c r="CQ11" s="0" t="n">
        <v>-0.0041225803606361</v>
      </c>
      <c r="CR11" s="0" t="n">
        <v>-0.0009531712698211</v>
      </c>
      <c r="CS11" s="0" t="n">
        <v>-0.0001047449507259</v>
      </c>
      <c r="CT11" s="0" t="n">
        <v>0.012005891808456</v>
      </c>
      <c r="CU11" s="0" t="n">
        <v>-0.0023072871759467</v>
      </c>
      <c r="CV11" s="0" t="n">
        <v>0.0011761464272879</v>
      </c>
      <c r="CW11" s="0" t="n">
        <v>-0.002745793105584</v>
      </c>
      <c r="CX11" s="0" t="n">
        <v>0.0068387574483813</v>
      </c>
      <c r="CY11" s="0" t="n">
        <v>0.0001712968145552</v>
      </c>
      <c r="CZ11" s="0" t="n">
        <v>-0.0099086448584428</v>
      </c>
      <c r="DA11" s="0" t="n">
        <v>-0.0078665332182154</v>
      </c>
      <c r="DB11" s="0" t="n">
        <v>0.0073986764485411</v>
      </c>
      <c r="DC11" s="0" t="n">
        <v>0.0092543986099102</v>
      </c>
      <c r="DD11" s="0" t="n">
        <v>0.0051641518122404</v>
      </c>
      <c r="DE11" s="0" t="n">
        <v>0.002290248871423</v>
      </c>
      <c r="DF11" s="0" t="n">
        <v>0.0005456393433126</v>
      </c>
      <c r="DG11" s="0" t="n">
        <v>0.001997731289053</v>
      </c>
      <c r="DH11" s="0" t="n">
        <v>-0.0025251153540147</v>
      </c>
      <c r="DI11" s="0" t="n">
        <v>-0.0003112289047093</v>
      </c>
      <c r="DJ11" s="0" t="n">
        <v>-0.0039158872274562</v>
      </c>
      <c r="DK11" s="0" t="n">
        <v>-0.0050592530390445</v>
      </c>
      <c r="DL11" s="0" t="n">
        <v>0.0158156382605622</v>
      </c>
      <c r="DM11" s="0" t="n">
        <v>0.0042139624675476</v>
      </c>
      <c r="DN11" s="0" t="n">
        <v>0.002494590149421</v>
      </c>
      <c r="DO11" s="0" t="n">
        <v>-0.0037850879902274</v>
      </c>
      <c r="DP11" s="0" t="n">
        <v>0.0005889000050985</v>
      </c>
      <c r="DQ11" s="0" t="n">
        <v>-0.0193494280675368</v>
      </c>
      <c r="DR11" s="0" t="n">
        <v>0.0082031687653401</v>
      </c>
      <c r="DS11" s="0" t="n">
        <v>-0.0023617390069091</v>
      </c>
      <c r="DT11" s="0" t="n">
        <v>-0.005304764787914</v>
      </c>
      <c r="DU11" s="0" t="n">
        <v>0.0038593731383931</v>
      </c>
      <c r="DV11" s="0" t="n">
        <v>0.0047991055923828</v>
      </c>
      <c r="DW11" s="0" t="n">
        <v>-0.0092673402318116</v>
      </c>
      <c r="DX11" s="0" t="n">
        <v>0.0013202640777873</v>
      </c>
      <c r="DY11" s="0" t="n">
        <v>-0.0052727983382789</v>
      </c>
      <c r="DZ11" s="0" t="n">
        <v>0.0050070601643606</v>
      </c>
      <c r="EA11" s="0" t="n">
        <v>0.004840356164251</v>
      </c>
      <c r="EB11" s="0" t="n">
        <v>0.001758624335412</v>
      </c>
      <c r="EC11" s="0" t="n">
        <v>0.0209328002270108</v>
      </c>
      <c r="ED11" s="0" t="n">
        <v>0.0100434948642945</v>
      </c>
      <c r="EE11" s="0" t="n">
        <v>0.0039279147286374</v>
      </c>
      <c r="EF11" s="0" t="n">
        <v>0.0098401725340958</v>
      </c>
      <c r="EG11" s="0" t="n">
        <v>0.0080054278102301</v>
      </c>
      <c r="EH11" s="0" t="n">
        <v>-0.0107172694146589</v>
      </c>
      <c r="EI11" s="0" t="n">
        <v>0.0007975509329203</v>
      </c>
      <c r="EJ11" s="0" t="n">
        <v>0.0178208707667536</v>
      </c>
      <c r="EK11" s="0" t="n">
        <v>0.0072519543099566</v>
      </c>
      <c r="EL11" s="0" t="n">
        <v>0.0078197494817641</v>
      </c>
      <c r="EM11" s="0" t="n">
        <v>-0.0125572533907804</v>
      </c>
      <c r="EN11" s="0" t="n">
        <v>0.0016852168652154</v>
      </c>
      <c r="EO11" s="0" t="n">
        <v>0.0279658105319084</v>
      </c>
      <c r="EP11" s="72" t="n">
        <f aca="false">SUMPRODUCT(B11:EO11,$B$5:$EO$5)</f>
        <v>0.0044197617850007</v>
      </c>
      <c r="EQ11" s="72" t="n">
        <f aca="false">SUMIF('Mi portafolio'!$A$8:$A$19,$A11,'Mi portafolio'!$B$8:$B$19)</f>
        <v>0</v>
      </c>
    </row>
    <row r="12" customFormat="false" ht="15" hidden="false" customHeight="false" outlineLevel="0" collapsed="false">
      <c r="A12" s="71" t="s">
        <v>218</v>
      </c>
      <c r="B12" s="0" t="n">
        <v>-0.0004013272306452</v>
      </c>
      <c r="C12" s="0" t="n">
        <v>0.0049422946966786</v>
      </c>
      <c r="D12" s="0" t="n">
        <v>0.0058569729500082</v>
      </c>
      <c r="E12" s="0" t="n">
        <v>0.008872815278276</v>
      </c>
      <c r="F12" s="0" t="n">
        <v>0.0034948461517954</v>
      </c>
      <c r="G12" s="0" t="n">
        <v>0.0075106735299748</v>
      </c>
      <c r="H12" s="0" t="n">
        <v>0.0422525151910646</v>
      </c>
      <c r="I12" s="0" t="n">
        <v>0.0038218753328334</v>
      </c>
      <c r="J12" s="0" t="n">
        <v>0.0001331004119815</v>
      </c>
      <c r="K12" s="0" t="n">
        <v>0.0043467895025874</v>
      </c>
      <c r="L12" s="0" t="n">
        <v>0.0084469144680502</v>
      </c>
      <c r="M12" s="0" t="n">
        <v>0.0079074983908705</v>
      </c>
      <c r="N12" s="0" t="n">
        <v>0.0048867827001507</v>
      </c>
      <c r="O12" s="0" t="n">
        <v>0.0095450548222818</v>
      </c>
      <c r="P12" s="0" t="n">
        <v>0.000890137391134</v>
      </c>
      <c r="Q12" s="0" t="n">
        <v>-0.0007792983961075</v>
      </c>
      <c r="R12" s="0" t="n">
        <v>0.0025881702967078</v>
      </c>
      <c r="S12" s="0" t="n">
        <v>0.0113097693108666</v>
      </c>
      <c r="T12" s="0" t="n">
        <v>0.0015456869855601</v>
      </c>
      <c r="U12" s="0" t="n">
        <v>0.0137460798685787</v>
      </c>
      <c r="V12" s="0" t="n">
        <v>0.0170481427446347</v>
      </c>
      <c r="W12" s="0" t="n">
        <v>0.0068214632176987</v>
      </c>
      <c r="X12" s="0" t="n">
        <v>0.0032934177080275</v>
      </c>
      <c r="Y12" s="0" t="n">
        <v>-0.0037101339538461</v>
      </c>
      <c r="Z12" s="0" t="n">
        <v>0.0136190004259434</v>
      </c>
      <c r="AA12" s="0" t="n">
        <v>0.0103297382570975</v>
      </c>
      <c r="AB12" s="0" t="n">
        <v>-0.0042141686957086</v>
      </c>
      <c r="AC12" s="0" t="n">
        <v>0.0114223879765313</v>
      </c>
      <c r="AD12" s="0" t="n">
        <v>0.010603849369532</v>
      </c>
      <c r="AE12" s="0" t="n">
        <v>0.0105633843329305</v>
      </c>
      <c r="AF12" s="0" t="n">
        <v>0.0133711978707639</v>
      </c>
      <c r="AG12" s="0" t="n">
        <v>-0.0012911751021395</v>
      </c>
      <c r="AH12" s="0" t="n">
        <v>0.0005204806415924</v>
      </c>
      <c r="AI12" s="0" t="n">
        <v>-0.0058515387789669</v>
      </c>
      <c r="AJ12" s="0" t="n">
        <v>0.0141471731063855</v>
      </c>
      <c r="AK12" s="0" t="n">
        <v>0.0138568697535477</v>
      </c>
      <c r="AL12" s="0" t="n">
        <v>0.0007262025945518</v>
      </c>
      <c r="AM12" s="0" t="n">
        <v>0.0092742354632958</v>
      </c>
      <c r="AN12" s="0" t="n">
        <v>0.0077827648671325</v>
      </c>
      <c r="AO12" s="0" t="n">
        <v>0.0001978734263928</v>
      </c>
      <c r="AP12" s="0" t="n">
        <v>0.0014529687305293</v>
      </c>
      <c r="AQ12" s="0" t="n">
        <v>-0.0042719600210786</v>
      </c>
      <c r="AR12" s="0" t="n">
        <v>-0.0006448406934897</v>
      </c>
      <c r="AS12" s="0" t="n">
        <v>0.017762423403979</v>
      </c>
      <c r="AT12" s="0" t="n">
        <v>-1.44074350913896E-005</v>
      </c>
      <c r="AU12" s="0" t="n">
        <v>0.0013327767297432</v>
      </c>
      <c r="AV12" s="0" t="n">
        <v>0.0106777461841932</v>
      </c>
      <c r="AW12" s="0" t="n">
        <v>0.0204577656772446</v>
      </c>
      <c r="AX12" s="0" t="n">
        <v>0.0037042399013117</v>
      </c>
      <c r="AY12" s="0" t="n">
        <v>0.0004996390132559</v>
      </c>
      <c r="AZ12" s="0" t="n">
        <v>0.0166017021456864</v>
      </c>
      <c r="BA12" s="0" t="n">
        <v>0.0047540698745349</v>
      </c>
      <c r="BB12" s="0" t="n">
        <v>0.0020529898257415</v>
      </c>
      <c r="BC12" s="0" t="n">
        <v>0.0095120355219289</v>
      </c>
      <c r="BD12" s="0" t="n">
        <v>0.014216921072511</v>
      </c>
      <c r="BE12" s="0" t="n">
        <v>0.0054608421227622</v>
      </c>
      <c r="BF12" s="0" t="n">
        <v>0.0145258250174546</v>
      </c>
      <c r="BG12" s="0" t="n">
        <v>0.0022881140232817</v>
      </c>
      <c r="BH12" s="0" t="n">
        <v>0.0187055784330482</v>
      </c>
      <c r="BI12" s="0" t="n">
        <v>0.0088441798766546</v>
      </c>
      <c r="BJ12" s="0" t="n">
        <v>-0.0052973676439071</v>
      </c>
      <c r="BK12" s="0" t="n">
        <v>0.0123154758528285</v>
      </c>
      <c r="BL12" s="0" t="n">
        <v>0.0083581279373152</v>
      </c>
      <c r="BM12" s="0" t="n">
        <v>0.0036283340432188</v>
      </c>
      <c r="BN12" s="0" t="n">
        <v>-0.0051304744609975</v>
      </c>
      <c r="BO12" s="0" t="n">
        <v>0.0122791390796765</v>
      </c>
      <c r="BP12" s="0" t="n">
        <v>0.0017393241715383</v>
      </c>
      <c r="BQ12" s="0" t="n">
        <v>0.0185788047409231</v>
      </c>
      <c r="BR12" s="0" t="n">
        <v>0.0079151182951515</v>
      </c>
      <c r="BS12" s="0" t="n">
        <v>-0.0062182653791494</v>
      </c>
      <c r="BT12" s="0" t="n">
        <v>0.0127730364759202</v>
      </c>
      <c r="BU12" s="0" t="n">
        <v>0.0129676182154995</v>
      </c>
      <c r="BV12" s="0" t="n">
        <v>0.0047304720685343</v>
      </c>
      <c r="BW12" s="0" t="n">
        <v>0.006773394079983</v>
      </c>
      <c r="BX12" s="0" t="n">
        <v>0.0042240626445829</v>
      </c>
      <c r="BY12" s="0" t="n">
        <v>0.0093244475347066</v>
      </c>
      <c r="BZ12" s="0" t="n">
        <v>0.0090449359860109</v>
      </c>
      <c r="CA12" s="0" t="n">
        <v>0.0198800945336582</v>
      </c>
      <c r="CB12" s="0" t="n">
        <v>-0.007086964200284</v>
      </c>
      <c r="CC12" s="0" t="n">
        <v>-0.0040199491061531</v>
      </c>
      <c r="CD12" s="0" t="n">
        <v>0.0039736589478781</v>
      </c>
      <c r="CE12" s="0" t="n">
        <v>0.00140326343953</v>
      </c>
      <c r="CF12" s="0" t="n">
        <v>-0.0085604721120945</v>
      </c>
      <c r="CG12" s="0" t="n">
        <v>0.0086570764261812</v>
      </c>
      <c r="CH12" s="0" t="n">
        <v>0.0200670311824211</v>
      </c>
      <c r="CI12" s="0" t="n">
        <v>-0.0087122184201485</v>
      </c>
      <c r="CJ12" s="0" t="n">
        <v>-0.0009253777330536</v>
      </c>
      <c r="CK12" s="0" t="n">
        <v>0.0013703605309782</v>
      </c>
      <c r="CL12" s="0" t="n">
        <v>0.0177207536434214</v>
      </c>
      <c r="CM12" s="0" t="n">
        <v>0.0028513042736912</v>
      </c>
      <c r="CN12" s="0" t="n">
        <v>0.0152205474604576</v>
      </c>
      <c r="CO12" s="0" t="n">
        <v>0.0106762897826399</v>
      </c>
      <c r="CP12" s="0" t="n">
        <v>0.0040188632613914</v>
      </c>
      <c r="CQ12" s="0" t="n">
        <v>0.0070643364995867</v>
      </c>
      <c r="CR12" s="0" t="n">
        <v>0.0082637214025974</v>
      </c>
      <c r="CS12" s="0" t="n">
        <v>0.0092400786275964</v>
      </c>
      <c r="CT12" s="0" t="n">
        <v>0.0121217065059114</v>
      </c>
      <c r="CU12" s="0" t="n">
        <v>0.0034114599008478</v>
      </c>
      <c r="CV12" s="0" t="n">
        <v>0.0019620140597231</v>
      </c>
      <c r="CW12" s="0" t="n">
        <v>0.0061562119496965</v>
      </c>
      <c r="CX12" s="0" t="n">
        <v>0.0056558515541959</v>
      </c>
      <c r="CY12" s="0" t="n">
        <v>0.0029480028034934</v>
      </c>
      <c r="CZ12" s="0" t="n">
        <v>0.0098486701394147</v>
      </c>
      <c r="DA12" s="0" t="n">
        <v>0.0051921700049536</v>
      </c>
      <c r="DB12" s="0" t="n">
        <v>0.011512136355898</v>
      </c>
      <c r="DC12" s="0" t="n">
        <v>0.0156678417411397</v>
      </c>
      <c r="DD12" s="0" t="n">
        <v>0.0061496239186108</v>
      </c>
      <c r="DE12" s="0" t="n">
        <v>0.0102274613752299</v>
      </c>
      <c r="DF12" s="0" t="n">
        <v>0.003053858145242</v>
      </c>
      <c r="DG12" s="0" t="n">
        <v>0.0109531860311783</v>
      </c>
      <c r="DH12" s="0" t="n">
        <v>0.0084384503274976</v>
      </c>
      <c r="DI12" s="0" t="n">
        <v>0.0108040707457144</v>
      </c>
      <c r="DJ12" s="0" t="n">
        <v>0.0059578583171352</v>
      </c>
      <c r="DK12" s="0" t="n">
        <v>0.0088552106521208</v>
      </c>
      <c r="DL12" s="0" t="n">
        <v>0.0221484570449609</v>
      </c>
      <c r="DM12" s="0" t="n">
        <v>0.0141166848022599</v>
      </c>
      <c r="DN12" s="0" t="n">
        <v>0.0096954839536961</v>
      </c>
      <c r="DO12" s="0" t="n">
        <v>0.0152132476665256</v>
      </c>
      <c r="DP12" s="0" t="n">
        <v>0.0121057714836833</v>
      </c>
      <c r="DQ12" s="0" t="n">
        <v>0.0145072381107583</v>
      </c>
      <c r="DR12" s="0" t="n">
        <v>0.0040299841840796</v>
      </c>
      <c r="DS12" s="0" t="n">
        <v>0.0020911187445659</v>
      </c>
      <c r="DT12" s="0" t="n">
        <v>0.001674204068124</v>
      </c>
      <c r="DU12" s="0" t="n">
        <v>0.0055168920859702</v>
      </c>
      <c r="DV12" s="0" t="n">
        <v>0.0021795847268334</v>
      </c>
      <c r="DW12" s="0" t="n">
        <v>0.0035686493914892</v>
      </c>
      <c r="DX12" s="0" t="n">
        <v>0.0123185930716827</v>
      </c>
      <c r="DY12" s="0" t="n">
        <v>-0.0060399822099945</v>
      </c>
      <c r="DZ12" s="0" t="n">
        <v>0.0054330633027224</v>
      </c>
      <c r="EA12" s="0" t="n">
        <v>0.0134284240800197</v>
      </c>
      <c r="EB12" s="0" t="n">
        <v>-0.0005123680666347</v>
      </c>
      <c r="EC12" s="0" t="n">
        <v>0.0052246030727484</v>
      </c>
      <c r="ED12" s="0" t="n">
        <v>0.0311544936476815</v>
      </c>
      <c r="EE12" s="0" t="n">
        <v>0.0137352843467295</v>
      </c>
      <c r="EF12" s="0" t="n">
        <v>0.0004784345615741</v>
      </c>
      <c r="EG12" s="0" t="n">
        <v>0.0136160692343276</v>
      </c>
      <c r="EH12" s="0" t="n">
        <v>-0.0063181581838461</v>
      </c>
      <c r="EI12" s="0" t="n">
        <v>0.0046326262873482</v>
      </c>
      <c r="EJ12" s="0" t="n">
        <v>0.017771428508469</v>
      </c>
      <c r="EK12" s="0" t="n">
        <v>0.0092774791541013</v>
      </c>
      <c r="EL12" s="0" t="n">
        <v>0.01639101641547</v>
      </c>
      <c r="EM12" s="0" t="n">
        <v>0.0055011004194646</v>
      </c>
      <c r="EN12" s="0" t="n">
        <v>0.0046005003614232</v>
      </c>
      <c r="EO12" s="0" t="n">
        <v>0.0135283031289079</v>
      </c>
      <c r="EP12" s="72" t="n">
        <f aca="false">SUMPRODUCT(B12:EO12,$B$5:$EO$5)</f>
        <v>0.00899397062237664</v>
      </c>
      <c r="EQ12" s="72" t="n">
        <f aca="false">SUMIF('Mi portafolio'!$A$8:$A$19,$A12,'Mi portafolio'!$B$8:$B$19)</f>
        <v>0</v>
      </c>
    </row>
    <row r="13" customFormat="false" ht="15" hidden="false" customHeight="false" outlineLevel="0" collapsed="false">
      <c r="A13" s="71" t="s">
        <v>219</v>
      </c>
      <c r="B13" s="0" t="n">
        <v>0.0161579436843142</v>
      </c>
      <c r="C13" s="0" t="n">
        <v>0.002839159595105</v>
      </c>
      <c r="D13" s="0" t="n">
        <v>-0.0007778534669304</v>
      </c>
      <c r="E13" s="0" t="n">
        <v>0.0063919888170645</v>
      </c>
      <c r="F13" s="0" t="n">
        <v>0.0245111149991906</v>
      </c>
      <c r="G13" s="0" t="n">
        <v>0.0008063661720826</v>
      </c>
      <c r="H13" s="0" t="n">
        <v>0.0038218753328334</v>
      </c>
      <c r="I13" s="0" t="n">
        <v>0.0434227657277944</v>
      </c>
      <c r="J13" s="0" t="n">
        <v>0.0185055053155538</v>
      </c>
      <c r="K13" s="0" t="n">
        <v>0.0242908227084804</v>
      </c>
      <c r="L13" s="0" t="n">
        <v>0.0058215211382076</v>
      </c>
      <c r="M13" s="0" t="n">
        <v>0.0140228689947925</v>
      </c>
      <c r="N13" s="0" t="n">
        <v>0.0166453801172521</v>
      </c>
      <c r="O13" s="0" t="n">
        <v>0.0049191916672313</v>
      </c>
      <c r="P13" s="0" t="n">
        <v>0.02206572747481</v>
      </c>
      <c r="Q13" s="0" t="n">
        <v>-0.0013446974661106</v>
      </c>
      <c r="R13" s="0" t="n">
        <v>0.0249316878812653</v>
      </c>
      <c r="S13" s="0" t="n">
        <v>0.0048652001976411</v>
      </c>
      <c r="T13" s="0" t="n">
        <v>0.0071565310526845</v>
      </c>
      <c r="U13" s="0" t="n">
        <v>0.0033143490062228</v>
      </c>
      <c r="V13" s="0" t="n">
        <v>0.0055435669768539</v>
      </c>
      <c r="W13" s="0" t="n">
        <v>0.0088222221174951</v>
      </c>
      <c r="X13" s="0" t="n">
        <v>0.0082167982774925</v>
      </c>
      <c r="Y13" s="0" t="n">
        <v>0.0199083180852723</v>
      </c>
      <c r="Z13" s="0" t="n">
        <v>0.0058213736744705</v>
      </c>
      <c r="AA13" s="0" t="n">
        <v>0.0100491477774688</v>
      </c>
      <c r="AB13" s="0" t="n">
        <v>0.0206806664140546</v>
      </c>
      <c r="AC13" s="0" t="n">
        <v>0.0017745489009205</v>
      </c>
      <c r="AD13" s="0" t="n">
        <v>0.0039296110708483</v>
      </c>
      <c r="AE13" s="0" t="n">
        <v>0.0024040690621386</v>
      </c>
      <c r="AF13" s="0" t="n">
        <v>0.0001289219744732</v>
      </c>
      <c r="AG13" s="0" t="n">
        <v>0.0168088224549251</v>
      </c>
      <c r="AH13" s="0" t="n">
        <v>0.0166535641690819</v>
      </c>
      <c r="AI13" s="0" t="n">
        <v>0.006082911183482</v>
      </c>
      <c r="AJ13" s="0" t="n">
        <v>0.0025961509024674</v>
      </c>
      <c r="AK13" s="0" t="n">
        <v>0.0026210712624605</v>
      </c>
      <c r="AL13" s="0" t="n">
        <v>0.0160213781826267</v>
      </c>
      <c r="AM13" s="0" t="n">
        <v>0.0020501071522438</v>
      </c>
      <c r="AN13" s="0" t="n">
        <v>0.027016592847197</v>
      </c>
      <c r="AO13" s="0" t="n">
        <v>0.0197987249148646</v>
      </c>
      <c r="AP13" s="0" t="n">
        <v>0.0171650415438962</v>
      </c>
      <c r="AQ13" s="0" t="n">
        <v>0.0079584524526385</v>
      </c>
      <c r="AR13" s="0" t="n">
        <v>0.0108100276024419</v>
      </c>
      <c r="AS13" s="0" t="n">
        <v>-0.0004462976757659</v>
      </c>
      <c r="AT13" s="0" t="n">
        <v>0.0129924442799923</v>
      </c>
      <c r="AU13" s="0" t="n">
        <v>0.0239519407512948</v>
      </c>
      <c r="AV13" s="0" t="n">
        <v>0.0078521701380609</v>
      </c>
      <c r="AW13" s="0" t="n">
        <v>0.0020311781546366</v>
      </c>
      <c r="AX13" s="0" t="n">
        <v>0.0246783953202633</v>
      </c>
      <c r="AY13" s="0" t="n">
        <v>0.0214066380125674</v>
      </c>
      <c r="AZ13" s="0" t="n">
        <v>0.0043084981337253</v>
      </c>
      <c r="BA13" s="0" t="n">
        <v>0.0132504205504324</v>
      </c>
      <c r="BB13" s="0" t="n">
        <v>0.0053736743302843</v>
      </c>
      <c r="BC13" s="0" t="n">
        <v>0.0074618793832854</v>
      </c>
      <c r="BD13" s="0" t="n">
        <v>0.002215415317561</v>
      </c>
      <c r="BE13" s="0" t="n">
        <v>0.022071477876057</v>
      </c>
      <c r="BF13" s="0" t="n">
        <v>0.005732343845416</v>
      </c>
      <c r="BG13" s="0" t="n">
        <v>0.0094524768464417</v>
      </c>
      <c r="BH13" s="0" t="n">
        <v>0.002174127150449</v>
      </c>
      <c r="BI13" s="0" t="n">
        <v>0.0020855591171472</v>
      </c>
      <c r="BJ13" s="0" t="n">
        <v>0.0008869274201185</v>
      </c>
      <c r="BK13" s="0" t="n">
        <v>-7.09151677458386E-005</v>
      </c>
      <c r="BL13" s="0" t="n">
        <v>0.0080769055656285</v>
      </c>
      <c r="BM13" s="0" t="n">
        <v>0.0228374990424049</v>
      </c>
      <c r="BN13" s="0" t="n">
        <v>0.008986719289922</v>
      </c>
      <c r="BO13" s="0" t="n">
        <v>0.014136414252014</v>
      </c>
      <c r="BP13" s="0" t="n">
        <v>0.0075658653371448</v>
      </c>
      <c r="BQ13" s="0" t="n">
        <v>0.0013930332099688</v>
      </c>
      <c r="BR13" s="0" t="n">
        <v>0.0163979623960597</v>
      </c>
      <c r="BS13" s="0" t="n">
        <v>0.0015301397819856</v>
      </c>
      <c r="BT13" s="0" t="n">
        <v>0.0130788760374046</v>
      </c>
      <c r="BU13" s="0" t="n">
        <v>-0.0039911832969387</v>
      </c>
      <c r="BV13" s="0" t="n">
        <v>0.0102855567933403</v>
      </c>
      <c r="BW13" s="0" t="n">
        <v>0.0139566947281773</v>
      </c>
      <c r="BX13" s="0" t="n">
        <v>0.0238916224018261</v>
      </c>
      <c r="BY13" s="0" t="n">
        <v>0.0169345122920713</v>
      </c>
      <c r="BZ13" s="0" t="n">
        <v>0.0145599008441716</v>
      </c>
      <c r="CA13" s="0" t="n">
        <v>0.0046061683901599</v>
      </c>
      <c r="CB13" s="0" t="n">
        <v>0.0008259515404317</v>
      </c>
      <c r="CC13" s="0" t="n">
        <v>0.0085877785194125</v>
      </c>
      <c r="CD13" s="0" t="n">
        <v>0.0167854072821133</v>
      </c>
      <c r="CE13" s="0" t="n">
        <v>-0.0005063368360262</v>
      </c>
      <c r="CF13" s="0" t="n">
        <v>0.0048046960550151</v>
      </c>
      <c r="CG13" s="0" t="n">
        <v>0.022013440026159</v>
      </c>
      <c r="CH13" s="0" t="n">
        <v>0.0014703330090015</v>
      </c>
      <c r="CI13" s="0" t="n">
        <v>0.0094729014699067</v>
      </c>
      <c r="CJ13" s="0" t="n">
        <v>0.0196301255581818</v>
      </c>
      <c r="CK13" s="0" t="n">
        <v>0.0252710168896482</v>
      </c>
      <c r="CL13" s="0" t="n">
        <v>0.0079734369124443</v>
      </c>
      <c r="CM13" s="0" t="n">
        <v>-0.0120993554773072</v>
      </c>
      <c r="CN13" s="0" t="n">
        <v>-0.0033393133317394</v>
      </c>
      <c r="CO13" s="0" t="n">
        <v>0.0091186602019653</v>
      </c>
      <c r="CP13" s="0" t="n">
        <v>0.0157848554499883</v>
      </c>
      <c r="CQ13" s="0" t="n">
        <v>0.0186036429017914</v>
      </c>
      <c r="CR13" s="0" t="n">
        <v>-0.0048599296842557</v>
      </c>
      <c r="CS13" s="0" t="n">
        <v>-0.0024952915097559</v>
      </c>
      <c r="CT13" s="0" t="n">
        <v>0.0055763514833316</v>
      </c>
      <c r="CU13" s="0" t="n">
        <v>0.0060380379809293</v>
      </c>
      <c r="CV13" s="0" t="n">
        <v>0.0050668138718688</v>
      </c>
      <c r="CW13" s="0" t="n">
        <v>0.0207054115477506</v>
      </c>
      <c r="CX13" s="0" t="n">
        <v>0.0149569056002715</v>
      </c>
      <c r="CY13" s="0" t="n">
        <v>0.022193905832857</v>
      </c>
      <c r="CZ13" s="0" t="n">
        <v>0.0081318355812447</v>
      </c>
      <c r="DA13" s="0" t="n">
        <v>0.0110463927072184</v>
      </c>
      <c r="DB13" s="0" t="n">
        <v>-0.0027442942768931</v>
      </c>
      <c r="DC13" s="0" t="n">
        <v>0.0029549398560972</v>
      </c>
      <c r="DD13" s="0" t="n">
        <v>0.0163258054154441</v>
      </c>
      <c r="DE13" s="0" t="n">
        <v>-0.0006449584006178</v>
      </c>
      <c r="DF13" s="0" t="n">
        <v>0.0116241143208617</v>
      </c>
      <c r="DG13" s="0" t="n">
        <v>0.0080800387960614</v>
      </c>
      <c r="DH13" s="0" t="n">
        <v>-0.0060553901560357</v>
      </c>
      <c r="DI13" s="0" t="n">
        <v>0.0230657650444807</v>
      </c>
      <c r="DJ13" s="0" t="n">
        <v>0.0265329318337738</v>
      </c>
      <c r="DK13" s="0" t="n">
        <v>0.0184593954059677</v>
      </c>
      <c r="DL13" s="0" t="n">
        <v>-0.0034666393940266</v>
      </c>
      <c r="DM13" s="0" t="n">
        <v>0.0293427694286935</v>
      </c>
      <c r="DN13" s="0" t="n">
        <v>0.0280288756626524</v>
      </c>
      <c r="DO13" s="0" t="n">
        <v>0.0043375897668421</v>
      </c>
      <c r="DP13" s="0" t="n">
        <v>0.0290522521045214</v>
      </c>
      <c r="DQ13" s="0" t="n">
        <v>-0.0037950027900561</v>
      </c>
      <c r="DR13" s="0" t="n">
        <v>-0.0050509671734769</v>
      </c>
      <c r="DS13" s="0" t="n">
        <v>0.0082192748809482</v>
      </c>
      <c r="DT13" s="0" t="n">
        <v>-0.0144717126990379</v>
      </c>
      <c r="DU13" s="0" t="n">
        <v>0.0002927945283898</v>
      </c>
      <c r="DV13" s="0" t="n">
        <v>0.0097114684013596</v>
      </c>
      <c r="DW13" s="0" t="n">
        <v>0.021751006982114</v>
      </c>
      <c r="DX13" s="0" t="n">
        <v>-0.019942137604753</v>
      </c>
      <c r="DY13" s="0" t="n">
        <v>0.0156098555447144</v>
      </c>
      <c r="DZ13" s="0" t="n">
        <v>-0.0011231010082586</v>
      </c>
      <c r="EA13" s="0" t="n">
        <v>0.0144157486756117</v>
      </c>
      <c r="EB13" s="0" t="n">
        <v>0.0124949985005927</v>
      </c>
      <c r="EC13" s="0" t="n">
        <v>-0.0101542049664196</v>
      </c>
      <c r="ED13" s="0" t="n">
        <v>0.01558283488503</v>
      </c>
      <c r="EE13" s="0" t="n">
        <v>-0.0193900126735117</v>
      </c>
      <c r="EF13" s="0" t="n">
        <v>0.0004922536764817</v>
      </c>
      <c r="EG13" s="0" t="n">
        <v>-0.0254985942903272</v>
      </c>
      <c r="EH13" s="0" t="n">
        <v>0.0222494100216886</v>
      </c>
      <c r="EI13" s="0" t="n">
        <v>-0.0379189392606548</v>
      </c>
      <c r="EJ13" s="0" t="n">
        <v>0.0061358913229276</v>
      </c>
      <c r="EK13" s="0" t="n">
        <v>-0.0013457320295618</v>
      </c>
      <c r="EL13" s="0" t="n">
        <v>-0.0183655145022314</v>
      </c>
      <c r="EM13" s="0" t="n">
        <v>0.0007592742045769</v>
      </c>
      <c r="EN13" s="0" t="n">
        <v>0.0289437369653401</v>
      </c>
      <c r="EO13" s="0" t="n">
        <v>0.0040883868595591</v>
      </c>
      <c r="EP13" s="72" t="n">
        <f aca="false">SUMPRODUCT(B13:EO13,$B$5:$EO$5)</f>
        <v>-0.0292698902776862</v>
      </c>
      <c r="EQ13" s="72" t="n">
        <f aca="false">SUMIF('Mi portafolio'!$A$8:$A$19,$A13,'Mi portafolio'!$B$8:$B$19)</f>
        <v>0</v>
      </c>
    </row>
    <row r="14" customFormat="false" ht="15" hidden="false" customHeight="false" outlineLevel="0" collapsed="false">
      <c r="A14" s="71" t="s">
        <v>221</v>
      </c>
      <c r="B14" s="0" t="n">
        <v>0.0107958091599746</v>
      </c>
      <c r="C14" s="0" t="n">
        <v>0.0015465994356343</v>
      </c>
      <c r="D14" s="0" t="n">
        <v>-0.0014884528946817</v>
      </c>
      <c r="E14" s="0" t="n">
        <v>0.0026183734272256</v>
      </c>
      <c r="F14" s="0" t="n">
        <v>0.0193965314068617</v>
      </c>
      <c r="G14" s="0" t="n">
        <v>-0.0005798180649765</v>
      </c>
      <c r="H14" s="0" t="n">
        <v>0.0001331004119815</v>
      </c>
      <c r="I14" s="0" t="n">
        <v>0.0185055053155538</v>
      </c>
      <c r="J14" s="0" t="n">
        <v>0.0424715196221115</v>
      </c>
      <c r="K14" s="0" t="n">
        <v>0.0195435679778837</v>
      </c>
      <c r="L14" s="0" t="n">
        <v>0.0041506949782983</v>
      </c>
      <c r="M14" s="0" t="n">
        <v>0.0089403130668635</v>
      </c>
      <c r="N14" s="0" t="n">
        <v>0.0183913399476394</v>
      </c>
      <c r="O14" s="0" t="n">
        <v>0.0050413434793366</v>
      </c>
      <c r="P14" s="0" t="n">
        <v>0.0186002002719793</v>
      </c>
      <c r="Q14" s="0" t="n">
        <v>0.0004001664980255</v>
      </c>
      <c r="R14" s="0" t="n">
        <v>0.0221810171411348</v>
      </c>
      <c r="S14" s="0" t="n">
        <v>0.0065740953199182</v>
      </c>
      <c r="T14" s="0" t="n">
        <v>0.0056091160471965</v>
      </c>
      <c r="U14" s="0" t="n">
        <v>0.004785883018038</v>
      </c>
      <c r="V14" s="0" t="n">
        <v>-0.0010819526741172</v>
      </c>
      <c r="W14" s="0" t="n">
        <v>0.0075375756218938</v>
      </c>
      <c r="X14" s="0" t="n">
        <v>0.0076387353331869</v>
      </c>
      <c r="Y14" s="0" t="n">
        <v>0.0127694065978849</v>
      </c>
      <c r="Z14" s="0" t="n">
        <v>0.0032711245693622</v>
      </c>
      <c r="AA14" s="0" t="n">
        <v>0.0086039857875357</v>
      </c>
      <c r="AB14" s="0" t="n">
        <v>0.011232437971303</v>
      </c>
      <c r="AC14" s="0" t="n">
        <v>-0.0067595507185604</v>
      </c>
      <c r="AD14" s="0" t="n">
        <v>0.0060789329372551</v>
      </c>
      <c r="AE14" s="0" t="n">
        <v>-0.0041120867732157</v>
      </c>
      <c r="AF14" s="0" t="n">
        <v>0.000236322655674</v>
      </c>
      <c r="AG14" s="0" t="n">
        <v>0.0158452371974792</v>
      </c>
      <c r="AH14" s="0" t="n">
        <v>0.0152705805271569</v>
      </c>
      <c r="AI14" s="0" t="n">
        <v>0.0113660929415668</v>
      </c>
      <c r="AJ14" s="0" t="n">
        <v>0.0008261427789262</v>
      </c>
      <c r="AK14" s="0" t="n">
        <v>0.0045071589785554</v>
      </c>
      <c r="AL14" s="0" t="n">
        <v>0.0110306982165779</v>
      </c>
      <c r="AM14" s="0" t="n">
        <v>0.0039312392413483</v>
      </c>
      <c r="AN14" s="0" t="n">
        <v>0.0158292569441072</v>
      </c>
      <c r="AO14" s="0" t="n">
        <v>0.03063643516202</v>
      </c>
      <c r="AP14" s="0" t="n">
        <v>0.0067723863762903</v>
      </c>
      <c r="AQ14" s="0" t="n">
        <v>0.0117389821033912</v>
      </c>
      <c r="AR14" s="0" t="n">
        <v>0.0050126860515958</v>
      </c>
      <c r="AS14" s="0" t="n">
        <v>0.003307399938759</v>
      </c>
      <c r="AT14" s="0" t="n">
        <v>0.0018685581812222</v>
      </c>
      <c r="AU14" s="0" t="n">
        <v>0.0242641523942542</v>
      </c>
      <c r="AV14" s="0" t="n">
        <v>0.002140350119135</v>
      </c>
      <c r="AW14" s="0" t="n">
        <v>0.0015306889398518</v>
      </c>
      <c r="AX14" s="0" t="n">
        <v>0.030494666231555</v>
      </c>
      <c r="AY14" s="0" t="n">
        <v>0.0110159585414736</v>
      </c>
      <c r="AZ14" s="0" t="n">
        <v>-0.0030361794161628</v>
      </c>
      <c r="BA14" s="0" t="n">
        <v>0.0117762374683401</v>
      </c>
      <c r="BB14" s="0" t="n">
        <v>0.000847043299603</v>
      </c>
      <c r="BC14" s="0" t="n">
        <v>-8.75536451143606E-005</v>
      </c>
      <c r="BD14" s="0" t="n">
        <v>0.0025082477992612</v>
      </c>
      <c r="BE14" s="0" t="n">
        <v>0.0344001526214962</v>
      </c>
      <c r="BF14" s="0" t="n">
        <v>0.0025930618586715</v>
      </c>
      <c r="BG14" s="0" t="n">
        <v>0.0118404105582622</v>
      </c>
      <c r="BH14" s="0" t="n">
        <v>-0.0018491170658642</v>
      </c>
      <c r="BI14" s="0" t="n">
        <v>-0.0006944466803333</v>
      </c>
      <c r="BJ14" s="0" t="n">
        <v>-0.0018780392131248</v>
      </c>
      <c r="BK14" s="0" t="n">
        <v>-0.0041462363204827</v>
      </c>
      <c r="BL14" s="0" t="n">
        <v>0.011413529762344</v>
      </c>
      <c r="BM14" s="0" t="n">
        <v>0.0135211680097525</v>
      </c>
      <c r="BN14" s="0" t="n">
        <v>0.0135494319300446</v>
      </c>
      <c r="BO14" s="0" t="n">
        <v>0.0095748456461734</v>
      </c>
      <c r="BP14" s="0" t="n">
        <v>-0.0100393757837087</v>
      </c>
      <c r="BQ14" s="0" t="n">
        <v>-0.0018174482099332</v>
      </c>
      <c r="BR14" s="0" t="n">
        <v>0.006026978880906</v>
      </c>
      <c r="BS14" s="0" t="n">
        <v>0.0082043212867358</v>
      </c>
      <c r="BT14" s="0" t="n">
        <v>0.0139040405829878</v>
      </c>
      <c r="BU14" s="0" t="n">
        <v>0.0018312688034391</v>
      </c>
      <c r="BV14" s="0" t="n">
        <v>-0.0010391638082563</v>
      </c>
      <c r="BW14" s="0" t="n">
        <v>0.0103110444178375</v>
      </c>
      <c r="BX14" s="0" t="n">
        <v>0.0360099308473525</v>
      </c>
      <c r="BY14" s="0" t="n">
        <v>0.0057699746742897</v>
      </c>
      <c r="BZ14" s="0" t="n">
        <v>0.0075294250025964</v>
      </c>
      <c r="CA14" s="0" t="n">
        <v>0.0014495763384196</v>
      </c>
      <c r="CB14" s="0" t="n">
        <v>0.0081883286892615</v>
      </c>
      <c r="CC14" s="0" t="n">
        <v>0.0078177133088149</v>
      </c>
      <c r="CD14" s="0" t="n">
        <v>0.0063893930363996</v>
      </c>
      <c r="CE14" s="0" t="n">
        <v>0.0004821845042519</v>
      </c>
      <c r="CF14" s="0" t="n">
        <v>0.0120631492972927</v>
      </c>
      <c r="CG14" s="0" t="n">
        <v>0.0072756977397784</v>
      </c>
      <c r="CH14" s="0" t="n">
        <v>0.0003090713885931</v>
      </c>
      <c r="CI14" s="0" t="n">
        <v>0.0115846830979763</v>
      </c>
      <c r="CJ14" s="0" t="n">
        <v>0.0165998456665127</v>
      </c>
      <c r="CK14" s="0" t="n">
        <v>0.0162124112834199</v>
      </c>
      <c r="CL14" s="0" t="n">
        <v>0.0089517597704774</v>
      </c>
      <c r="CM14" s="0" t="n">
        <v>-0.0104127595252963</v>
      </c>
      <c r="CN14" s="0" t="n">
        <v>0.0026213794177813</v>
      </c>
      <c r="CO14" s="0" t="n">
        <v>-0.0044765449157674</v>
      </c>
      <c r="CP14" s="0" t="n">
        <v>0.0098589549933492</v>
      </c>
      <c r="CQ14" s="0" t="n">
        <v>0.0076982398488354</v>
      </c>
      <c r="CR14" s="0" t="n">
        <v>-0.0092743532670271</v>
      </c>
      <c r="CS14" s="0" t="n">
        <v>0.0034832134731467</v>
      </c>
      <c r="CT14" s="0" t="n">
        <v>0.000234714321138</v>
      </c>
      <c r="CU14" s="0" t="n">
        <v>0.0008802396621495</v>
      </c>
      <c r="CV14" s="0" t="n">
        <v>-0.0070037273220048</v>
      </c>
      <c r="CW14" s="0" t="n">
        <v>0.0060713965072219</v>
      </c>
      <c r="CX14" s="0" t="n">
        <v>0.0048855981140986</v>
      </c>
      <c r="CY14" s="0" t="n">
        <v>0.006739339037291</v>
      </c>
      <c r="CZ14" s="0" t="n">
        <v>0.0033117156308515</v>
      </c>
      <c r="DA14" s="0" t="n">
        <v>0.0001333987253765</v>
      </c>
      <c r="DB14" s="0" t="n">
        <v>-0.0080713303511172</v>
      </c>
      <c r="DC14" s="0" t="n">
        <v>-0.0058654666351905</v>
      </c>
      <c r="DD14" s="0" t="n">
        <v>0.0011253650437394</v>
      </c>
      <c r="DE14" s="0" t="n">
        <v>-0.0033629207903231</v>
      </c>
      <c r="DF14" s="0" t="n">
        <v>-0.0009028128145621</v>
      </c>
      <c r="DG14" s="0" t="n">
        <v>0.0098486589983143</v>
      </c>
      <c r="DH14" s="0" t="n">
        <v>-0.0141543116481881</v>
      </c>
      <c r="DI14" s="0" t="n">
        <v>0.0036515541112411</v>
      </c>
      <c r="DJ14" s="0" t="n">
        <v>0.0136183620239626</v>
      </c>
      <c r="DK14" s="0" t="n">
        <v>0.0064072419425799</v>
      </c>
      <c r="DL14" s="0" t="n">
        <v>-8.69035972606691E-005</v>
      </c>
      <c r="DM14" s="0" t="n">
        <v>0.0123386954338395</v>
      </c>
      <c r="DN14" s="0" t="n">
        <v>0.007852443242248</v>
      </c>
      <c r="DO14" s="0" t="n">
        <v>-0.0079649805318885</v>
      </c>
      <c r="DP14" s="0" t="n">
        <v>0.0176036210135482</v>
      </c>
      <c r="DQ14" s="0" t="n">
        <v>-0.0027599653072736</v>
      </c>
      <c r="DR14" s="0" t="n">
        <v>0.000608454340758</v>
      </c>
      <c r="DS14" s="0" t="n">
        <v>0.0006511878536357</v>
      </c>
      <c r="DT14" s="0" t="n">
        <v>-0.0262027097719428</v>
      </c>
      <c r="DU14" s="0" t="n">
        <v>-0.0132937620333631</v>
      </c>
      <c r="DV14" s="0" t="n">
        <v>-0.0048452185403958</v>
      </c>
      <c r="DW14" s="0" t="n">
        <v>-0.001386260768647</v>
      </c>
      <c r="DX14" s="0" t="n">
        <v>-0.0160042963309524</v>
      </c>
      <c r="DY14" s="0" t="n">
        <v>-0.0152057690230946</v>
      </c>
      <c r="DZ14" s="0" t="n">
        <v>0.000559755307449</v>
      </c>
      <c r="EA14" s="0" t="n">
        <v>0.0019957885984782</v>
      </c>
      <c r="EB14" s="0" t="n">
        <v>-0.008578489574049</v>
      </c>
      <c r="EC14" s="0" t="n">
        <v>0.0038060012902851</v>
      </c>
      <c r="ED14" s="0" t="n">
        <v>-0.007973090584519</v>
      </c>
      <c r="EE14" s="0" t="n">
        <v>-0.0215592476804745</v>
      </c>
      <c r="EF14" s="0" t="n">
        <v>0.0076247935264383</v>
      </c>
      <c r="EG14" s="0" t="n">
        <v>-0.0166738414463824</v>
      </c>
      <c r="EH14" s="0" t="n">
        <v>0.0023419824425334</v>
      </c>
      <c r="EI14" s="0" t="n">
        <v>-0.0302013696091547</v>
      </c>
      <c r="EJ14" s="0" t="n">
        <v>-0.0062394732479137</v>
      </c>
      <c r="EK14" s="0" t="n">
        <v>-0.0147336108292815</v>
      </c>
      <c r="EL14" s="0" t="n">
        <v>-0.0152332588327638</v>
      </c>
      <c r="EM14" s="0" t="n">
        <v>-0.0199576322991196</v>
      </c>
      <c r="EN14" s="0" t="n">
        <v>0.0444963883188789</v>
      </c>
      <c r="EO14" s="0" t="n">
        <v>-0.0186426211816541</v>
      </c>
      <c r="EP14" s="72" t="n">
        <f aca="false">SUMPRODUCT(B14:EO14,$B$5:$EO$5)</f>
        <v>-0.0216767181713268</v>
      </c>
      <c r="EQ14" s="72" t="n">
        <f aca="false">SUMIF('Mi portafolio'!$A$8:$A$19,$A14,'Mi portafolio'!$B$8:$B$19)</f>
        <v>0</v>
      </c>
    </row>
    <row r="15" customFormat="false" ht="15" hidden="false" customHeight="false" outlineLevel="0" collapsed="false">
      <c r="A15" s="71" t="s">
        <v>223</v>
      </c>
      <c r="B15" s="0" t="n">
        <v>0.0150178725885411</v>
      </c>
      <c r="C15" s="0" t="n">
        <v>-0.0024906798662026</v>
      </c>
      <c r="D15" s="0" t="n">
        <v>-0.0021672208591059</v>
      </c>
      <c r="E15" s="0" t="n">
        <v>0.0035083971583198</v>
      </c>
      <c r="F15" s="0" t="n">
        <v>0.0247533082500307</v>
      </c>
      <c r="G15" s="0" t="n">
        <v>0.000504787552475</v>
      </c>
      <c r="H15" s="0" t="n">
        <v>0.0043467895025874</v>
      </c>
      <c r="I15" s="0" t="n">
        <v>0.0242908227084804</v>
      </c>
      <c r="J15" s="0" t="n">
        <v>0.0195435679778837</v>
      </c>
      <c r="K15" s="0" t="n">
        <v>0.0433683380161984</v>
      </c>
      <c r="L15" s="0" t="n">
        <v>0.0039581816859469</v>
      </c>
      <c r="M15" s="0" t="n">
        <v>0.0139316978972644</v>
      </c>
      <c r="N15" s="0" t="n">
        <v>0.0155912753260217</v>
      </c>
      <c r="O15" s="0" t="n">
        <v>0.0081292234350355</v>
      </c>
      <c r="P15" s="0" t="n">
        <v>0.0189131192470643</v>
      </c>
      <c r="Q15" s="0" t="n">
        <v>-0.0019355843215741</v>
      </c>
      <c r="R15" s="0" t="n">
        <v>0.027257997065747</v>
      </c>
      <c r="S15" s="0" t="n">
        <v>0.0081090333936589</v>
      </c>
      <c r="T15" s="0" t="n">
        <v>0.0060462649064241</v>
      </c>
      <c r="U15" s="0" t="n">
        <v>0.0049629919258792</v>
      </c>
      <c r="V15" s="0" t="n">
        <v>0.0070499230079367</v>
      </c>
      <c r="W15" s="0" t="n">
        <v>0.0092523662880071</v>
      </c>
      <c r="X15" s="0" t="n">
        <v>0.00663259568651</v>
      </c>
      <c r="Y15" s="0" t="n">
        <v>0.014876051855367</v>
      </c>
      <c r="Z15" s="0" t="n">
        <v>0.0070092920518427</v>
      </c>
      <c r="AA15" s="0" t="n">
        <v>0.01023818131653</v>
      </c>
      <c r="AB15" s="0" t="n">
        <v>0.0157233778648357</v>
      </c>
      <c r="AC15" s="0" t="n">
        <v>0.0023226650859666</v>
      </c>
      <c r="AD15" s="0" t="n">
        <v>0.0074676251414281</v>
      </c>
      <c r="AE15" s="0" t="n">
        <v>0.0022519851600188</v>
      </c>
      <c r="AF15" s="0" t="n">
        <v>-0.00235542017414</v>
      </c>
      <c r="AG15" s="0" t="n">
        <v>0.0192692101255222</v>
      </c>
      <c r="AH15" s="0" t="n">
        <v>0.0199069213565937</v>
      </c>
      <c r="AI15" s="0" t="n">
        <v>0.0042773057986848</v>
      </c>
      <c r="AJ15" s="0" t="n">
        <v>0.0025206562424026</v>
      </c>
      <c r="AK15" s="0" t="n">
        <v>0.0015838605149864</v>
      </c>
      <c r="AL15" s="0" t="n">
        <v>0.0149985557180965</v>
      </c>
      <c r="AM15" s="0" t="n">
        <v>0.0010418886815577</v>
      </c>
      <c r="AN15" s="0" t="n">
        <v>0.0288381801630601</v>
      </c>
      <c r="AO15" s="0" t="n">
        <v>0.0177942638948888</v>
      </c>
      <c r="AP15" s="0" t="n">
        <v>0.0179581843403211</v>
      </c>
      <c r="AQ15" s="0" t="n">
        <v>0.0044565197359145</v>
      </c>
      <c r="AR15" s="0" t="n">
        <v>0.0078393738905859</v>
      </c>
      <c r="AS15" s="0" t="n">
        <v>0.0004206851791493</v>
      </c>
      <c r="AT15" s="0" t="n">
        <v>0.0092184303687943</v>
      </c>
      <c r="AU15" s="0" t="n">
        <v>0.0247022723490128</v>
      </c>
      <c r="AV15" s="0" t="n">
        <v>0.0051260625983627</v>
      </c>
      <c r="AW15" s="0" t="n">
        <v>0.0020454226278557</v>
      </c>
      <c r="AX15" s="0" t="n">
        <v>0.0235607044595331</v>
      </c>
      <c r="AY15" s="0" t="n">
        <v>0.015576260322208</v>
      </c>
      <c r="AZ15" s="0" t="n">
        <v>0.0025192774767711</v>
      </c>
      <c r="BA15" s="0" t="n">
        <v>0.0177503077544534</v>
      </c>
      <c r="BB15" s="0" t="n">
        <v>0.0002289779452785</v>
      </c>
      <c r="BC15" s="0" t="n">
        <v>0.0017953511499301</v>
      </c>
      <c r="BD15" s="0" t="n">
        <v>0.0060262869256421</v>
      </c>
      <c r="BE15" s="0" t="n">
        <v>0.0251500466968353</v>
      </c>
      <c r="BF15" s="0" t="n">
        <v>0.0061071321109643</v>
      </c>
      <c r="BG15" s="0" t="n">
        <v>0.0086303945318519</v>
      </c>
      <c r="BH15" s="0" t="n">
        <v>0.0020515071021675</v>
      </c>
      <c r="BI15" s="0" t="n">
        <v>0.0026129510717191</v>
      </c>
      <c r="BJ15" s="0" t="n">
        <v>-0.0029687304993317</v>
      </c>
      <c r="BK15" s="0" t="n">
        <v>0.0014508861425</v>
      </c>
      <c r="BL15" s="0" t="n">
        <v>0.0133912776124654</v>
      </c>
      <c r="BM15" s="0" t="n">
        <v>0.0225242906985903</v>
      </c>
      <c r="BN15" s="0" t="n">
        <v>0.0154572789640539</v>
      </c>
      <c r="BO15" s="0" t="n">
        <v>0.0141245260781496</v>
      </c>
      <c r="BP15" s="0" t="n">
        <v>-0.0029775815849975</v>
      </c>
      <c r="BQ15" s="0" t="n">
        <v>0.0068668069964008</v>
      </c>
      <c r="BR15" s="0" t="n">
        <v>0.0096859179022391</v>
      </c>
      <c r="BS15" s="0" t="n">
        <v>-0.0033824867480837</v>
      </c>
      <c r="BT15" s="0" t="n">
        <v>0.0126505362960681</v>
      </c>
      <c r="BU15" s="0" t="n">
        <v>-0.0027858690050975</v>
      </c>
      <c r="BV15" s="0" t="n">
        <v>0.0104398112823858</v>
      </c>
      <c r="BW15" s="0" t="n">
        <v>0.0079594655158349</v>
      </c>
      <c r="BX15" s="0" t="n">
        <v>0.0180316083669914</v>
      </c>
      <c r="BY15" s="0" t="n">
        <v>0.0156860903923711</v>
      </c>
      <c r="BZ15" s="0" t="n">
        <v>0.0126114711771916</v>
      </c>
      <c r="CA15" s="0" t="n">
        <v>0.0103906457344649</v>
      </c>
      <c r="CB15" s="0" t="n">
        <v>-0.0014474406039455</v>
      </c>
      <c r="CC15" s="0" t="n">
        <v>0.0107271799217318</v>
      </c>
      <c r="CD15" s="0" t="n">
        <v>0.0089094886995524</v>
      </c>
      <c r="CE15" s="0" t="n">
        <v>-0.0031695822676711</v>
      </c>
      <c r="CF15" s="0" t="n">
        <v>0.0016346607814604</v>
      </c>
      <c r="CG15" s="0" t="n">
        <v>0.0137174597467825</v>
      </c>
      <c r="CH15" s="0" t="n">
        <v>0.0012906142437679</v>
      </c>
      <c r="CI15" s="0" t="n">
        <v>0.0011011962976774</v>
      </c>
      <c r="CJ15" s="0" t="n">
        <v>0.0141555847201421</v>
      </c>
      <c r="CK15" s="0" t="n">
        <v>0.0262450102231555</v>
      </c>
      <c r="CL15" s="0" t="n">
        <v>0.0126447444513728</v>
      </c>
      <c r="CM15" s="0" t="n">
        <v>-0.0111263810458328</v>
      </c>
      <c r="CN15" s="0" t="n">
        <v>-0.0016492400996499</v>
      </c>
      <c r="CO15" s="0" t="n">
        <v>0.0051627818537684</v>
      </c>
      <c r="CP15" s="0" t="n">
        <v>0.0150403344197822</v>
      </c>
      <c r="CQ15" s="0" t="n">
        <v>0.0158867484198522</v>
      </c>
      <c r="CR15" s="0" t="n">
        <v>-0.0031561125284838</v>
      </c>
      <c r="CS15" s="0" t="n">
        <v>0.0046439326694052</v>
      </c>
      <c r="CT15" s="0" t="n">
        <v>0.0076891297295753</v>
      </c>
      <c r="CU15" s="0" t="n">
        <v>0.0039934887557193</v>
      </c>
      <c r="CV15" s="0" t="n">
        <v>0.0073926943853724</v>
      </c>
      <c r="CW15" s="0" t="n">
        <v>0.0115966605581264</v>
      </c>
      <c r="CX15" s="0" t="n">
        <v>0.0102710368710918</v>
      </c>
      <c r="CY15" s="0" t="n">
        <v>0.0264673900673336</v>
      </c>
      <c r="CZ15" s="0" t="n">
        <v>0.0005029308908317</v>
      </c>
      <c r="DA15" s="0" t="n">
        <v>0.0122696915763991</v>
      </c>
      <c r="DB15" s="0" t="n">
        <v>-0.0022022874212597</v>
      </c>
      <c r="DC15" s="0" t="n">
        <v>0.0125445232660054</v>
      </c>
      <c r="DD15" s="0" t="n">
        <v>0.0113411001999259</v>
      </c>
      <c r="DE15" s="0" t="n">
        <v>-0.0010067943552616</v>
      </c>
      <c r="DF15" s="0" t="n">
        <v>-0.0029788212658269</v>
      </c>
      <c r="DG15" s="0" t="n">
        <v>0.0050403240087395</v>
      </c>
      <c r="DH15" s="0" t="n">
        <v>-0.0145135312318952</v>
      </c>
      <c r="DI15" s="0" t="n">
        <v>0.0231676736867142</v>
      </c>
      <c r="DJ15" s="0" t="n">
        <v>0.0282146229207821</v>
      </c>
      <c r="DK15" s="0" t="n">
        <v>0.0204323906362144</v>
      </c>
      <c r="DL15" s="0" t="n">
        <v>0.0022836387958356</v>
      </c>
      <c r="DM15" s="0" t="n">
        <v>0.0352898608962518</v>
      </c>
      <c r="DN15" s="0" t="n">
        <v>0.0205500284825939</v>
      </c>
      <c r="DO15" s="0" t="n">
        <v>0.0021472911662663</v>
      </c>
      <c r="DP15" s="0" t="n">
        <v>0.0335154477420236</v>
      </c>
      <c r="DQ15" s="0" t="n">
        <v>-0.0011925028261484</v>
      </c>
      <c r="DR15" s="0" t="n">
        <v>-0.0121104768130452</v>
      </c>
      <c r="DS15" s="0" t="n">
        <v>0.0081743366123751</v>
      </c>
      <c r="DT15" s="0" t="n">
        <v>-0.0262332780070834</v>
      </c>
      <c r="DU15" s="0" t="n">
        <v>-0.0071524177054695</v>
      </c>
      <c r="DV15" s="0" t="n">
        <v>-0.0037545760681748</v>
      </c>
      <c r="DW15" s="0" t="n">
        <v>0.0014801474536376</v>
      </c>
      <c r="DX15" s="0" t="n">
        <v>-0.0209771450790782</v>
      </c>
      <c r="DY15" s="0" t="n">
        <v>0.001958554600432</v>
      </c>
      <c r="DZ15" s="0" t="n">
        <v>-0.0115688900044013</v>
      </c>
      <c r="EA15" s="0" t="n">
        <v>0.0151683957994569</v>
      </c>
      <c r="EB15" s="0" t="n">
        <v>-5.91004681035478E-005</v>
      </c>
      <c r="EC15" s="0" t="n">
        <v>-0.0183675331759131</v>
      </c>
      <c r="ED15" s="0" t="n">
        <v>-0.0095168758803968</v>
      </c>
      <c r="EE15" s="0" t="n">
        <v>-0.0101255494173597</v>
      </c>
      <c r="EF15" s="0" t="n">
        <v>0.0173416953494845</v>
      </c>
      <c r="EG15" s="0" t="n">
        <v>-0.012421337394771</v>
      </c>
      <c r="EH15" s="0" t="n">
        <v>-0.0008788900493833</v>
      </c>
      <c r="EI15" s="0" t="n">
        <v>-0.0403893701515249</v>
      </c>
      <c r="EJ15" s="0" t="n">
        <v>0.0019531464261229</v>
      </c>
      <c r="EK15" s="0" t="n">
        <v>-0.0130130021668283</v>
      </c>
      <c r="EL15" s="0" t="n">
        <v>-0.0184562689587103</v>
      </c>
      <c r="EM15" s="0" t="n">
        <v>-0.0204786658346118</v>
      </c>
      <c r="EN15" s="0" t="n">
        <v>0.0334365641466362</v>
      </c>
      <c r="EO15" s="0" t="n">
        <v>0.0033113606879405</v>
      </c>
      <c r="EP15" s="72" t="n">
        <f aca="false">SUMPRODUCT(B15:EO15,$B$5:$EO$5)</f>
        <v>-0.0252793235369464</v>
      </c>
      <c r="EQ15" s="72" t="n">
        <f aca="false">SUMIF('Mi portafolio'!$A$8:$A$19,$A15,'Mi portafolio'!$B$8:$B$19)</f>
        <v>0</v>
      </c>
    </row>
    <row r="16" customFormat="false" ht="15" hidden="false" customHeight="false" outlineLevel="0" collapsed="false">
      <c r="A16" s="71" t="s">
        <v>224</v>
      </c>
      <c r="B16" s="0" t="n">
        <v>0.0022871873544094</v>
      </c>
      <c r="C16" s="0" t="n">
        <v>0.0107366092906844</v>
      </c>
      <c r="D16" s="0" t="n">
        <v>0.0041034116775987</v>
      </c>
      <c r="E16" s="0" t="n">
        <v>0.0121159272809153</v>
      </c>
      <c r="F16" s="0" t="n">
        <v>0.0064950373978656</v>
      </c>
      <c r="G16" s="0" t="n">
        <v>-0.0006514633049894</v>
      </c>
      <c r="H16" s="0" t="n">
        <v>0.0084469144680502</v>
      </c>
      <c r="I16" s="0" t="n">
        <v>0.0058215211382076</v>
      </c>
      <c r="J16" s="0" t="n">
        <v>0.0041506949782983</v>
      </c>
      <c r="K16" s="0" t="n">
        <v>0.0039581816859469</v>
      </c>
      <c r="L16" s="0" t="n">
        <v>0.0411206458985864</v>
      </c>
      <c r="M16" s="0" t="n">
        <v>0.0076543393828972</v>
      </c>
      <c r="N16" s="0" t="n">
        <v>0.0064763130220168</v>
      </c>
      <c r="O16" s="0" t="n">
        <v>0.0163512033638946</v>
      </c>
      <c r="P16" s="0" t="n">
        <v>0.0063890066621286</v>
      </c>
      <c r="Q16" s="0" t="n">
        <v>0.0041191207050547</v>
      </c>
      <c r="R16" s="0" t="n">
        <v>0.0044992697716167</v>
      </c>
      <c r="S16" s="0" t="n">
        <v>0.0157917534400001</v>
      </c>
      <c r="T16" s="0" t="n">
        <v>0.001496576024171</v>
      </c>
      <c r="U16" s="0" t="n">
        <v>0.0144328600710904</v>
      </c>
      <c r="V16" s="0" t="n">
        <v>0.0134965560769921</v>
      </c>
      <c r="W16" s="0" t="n">
        <v>0.0087203346530305</v>
      </c>
      <c r="X16" s="0" t="n">
        <v>0.0024208740651585</v>
      </c>
      <c r="Y16" s="0" t="n">
        <v>0.0083165330501802</v>
      </c>
      <c r="Z16" s="0" t="n">
        <v>0.014309814599252</v>
      </c>
      <c r="AA16" s="0" t="n">
        <v>0.0145779827417225</v>
      </c>
      <c r="AB16" s="0" t="n">
        <v>0.0059726508724413</v>
      </c>
      <c r="AC16" s="0" t="n">
        <v>0.0059114283233908</v>
      </c>
      <c r="AD16" s="0" t="n">
        <v>0.0108851049494247</v>
      </c>
      <c r="AE16" s="0" t="n">
        <v>0.0124748689368553</v>
      </c>
      <c r="AF16" s="0" t="n">
        <v>0.0145198594033059</v>
      </c>
      <c r="AG16" s="0" t="n">
        <v>-0.0009303217385619</v>
      </c>
      <c r="AH16" s="0" t="n">
        <v>0.0005474787790242</v>
      </c>
      <c r="AI16" s="0" t="n">
        <v>-0.001031200435706</v>
      </c>
      <c r="AJ16" s="0" t="n">
        <v>0.0118529221414865</v>
      </c>
      <c r="AK16" s="0" t="n">
        <v>0.0141345037540798</v>
      </c>
      <c r="AL16" s="0" t="n">
        <v>0.0057801399464605</v>
      </c>
      <c r="AM16" s="0" t="n">
        <v>0.0087112764455008</v>
      </c>
      <c r="AN16" s="0" t="n">
        <v>0.0074525167789103</v>
      </c>
      <c r="AO16" s="0" t="n">
        <v>0.0030317111834398</v>
      </c>
      <c r="AP16" s="0" t="n">
        <v>0.0048164510484776</v>
      </c>
      <c r="AQ16" s="0" t="n">
        <v>-0.0002018362730505</v>
      </c>
      <c r="AR16" s="0" t="n">
        <v>-0.0004948811287606</v>
      </c>
      <c r="AS16" s="0" t="n">
        <v>0.0111111411971129</v>
      </c>
      <c r="AT16" s="0" t="n">
        <v>0.0030045785755802</v>
      </c>
      <c r="AU16" s="0" t="n">
        <v>0.005703477156646</v>
      </c>
      <c r="AV16" s="0" t="n">
        <v>0.016667057354375</v>
      </c>
      <c r="AW16" s="0" t="n">
        <v>0.0094007593104589</v>
      </c>
      <c r="AX16" s="0" t="n">
        <v>0.0088934576466998</v>
      </c>
      <c r="AY16" s="0" t="n">
        <v>0.015945677969002</v>
      </c>
      <c r="AZ16" s="0" t="n">
        <v>0.0157415635740203</v>
      </c>
      <c r="BA16" s="0" t="n">
        <v>0.0142796276848011</v>
      </c>
      <c r="BB16" s="0" t="n">
        <v>0.003082544563843</v>
      </c>
      <c r="BC16" s="0" t="n">
        <v>0.0066115318486141</v>
      </c>
      <c r="BD16" s="0" t="n">
        <v>0.0128086082334258</v>
      </c>
      <c r="BE16" s="0" t="n">
        <v>0.0070607628729233</v>
      </c>
      <c r="BF16" s="0" t="n">
        <v>0.0104290623317968</v>
      </c>
      <c r="BG16" s="0" t="n">
        <v>0.0006021062375581</v>
      </c>
      <c r="BH16" s="0" t="n">
        <v>0.0159189941772343</v>
      </c>
      <c r="BI16" s="0" t="n">
        <v>0.0111546264659466</v>
      </c>
      <c r="BJ16" s="0" t="n">
        <v>0.0007872685471407</v>
      </c>
      <c r="BK16" s="0" t="n">
        <v>0.0131912454041552</v>
      </c>
      <c r="BL16" s="0" t="n">
        <v>0.0056717139709316</v>
      </c>
      <c r="BM16" s="0" t="n">
        <v>0.008609450727661</v>
      </c>
      <c r="BN16" s="0" t="n">
        <v>0.0064942084541122</v>
      </c>
      <c r="BO16" s="0" t="n">
        <v>0.0059617611600436</v>
      </c>
      <c r="BP16" s="0" t="n">
        <v>0.012150120409765</v>
      </c>
      <c r="BQ16" s="0" t="n">
        <v>0.0154510068253483</v>
      </c>
      <c r="BR16" s="0" t="n">
        <v>0.0067612483298325</v>
      </c>
      <c r="BS16" s="0" t="n">
        <v>-0.0043839215734675</v>
      </c>
      <c r="BT16" s="0" t="n">
        <v>0.0093231180150214</v>
      </c>
      <c r="BU16" s="0" t="n">
        <v>0.0054794563503903</v>
      </c>
      <c r="BV16" s="0" t="n">
        <v>0.0081748148147751</v>
      </c>
      <c r="BW16" s="0" t="n">
        <v>0.0096989346961262</v>
      </c>
      <c r="BX16" s="0" t="n">
        <v>-0.0026079615445991</v>
      </c>
      <c r="BY16" s="0" t="n">
        <v>0.0039222143289872</v>
      </c>
      <c r="BZ16" s="0" t="n">
        <v>0.010359096626478</v>
      </c>
      <c r="CA16" s="0" t="n">
        <v>0.012701162725662</v>
      </c>
      <c r="CB16" s="0" t="n">
        <v>-0.0056918052937596</v>
      </c>
      <c r="CC16" s="0" t="n">
        <v>0.0005788400493723</v>
      </c>
      <c r="CD16" s="0" t="n">
        <v>0.0109059389380146</v>
      </c>
      <c r="CE16" s="0" t="n">
        <v>0.0042341810214659</v>
      </c>
      <c r="CF16" s="0" t="n">
        <v>-0.0001746590978425</v>
      </c>
      <c r="CG16" s="0" t="n">
        <v>0.0081181776789203</v>
      </c>
      <c r="CH16" s="0" t="n">
        <v>0.0126838748145361</v>
      </c>
      <c r="CI16" s="0" t="n">
        <v>-0.0011472060373354</v>
      </c>
      <c r="CJ16" s="0" t="n">
        <v>-0.0011518949624539</v>
      </c>
      <c r="CK16" s="0" t="n">
        <v>0.0029606699748317</v>
      </c>
      <c r="CL16" s="0" t="n">
        <v>0.0036437430515879</v>
      </c>
      <c r="CM16" s="0" t="n">
        <v>0.0037432545578774</v>
      </c>
      <c r="CN16" s="0" t="n">
        <v>0.0101933476301805</v>
      </c>
      <c r="CO16" s="0" t="n">
        <v>0.0068010903081788</v>
      </c>
      <c r="CP16" s="0" t="n">
        <v>0.0035483286668746</v>
      </c>
      <c r="CQ16" s="0" t="n">
        <v>0.0104707061798074</v>
      </c>
      <c r="CR16" s="0" t="n">
        <v>0.0101253425777753</v>
      </c>
      <c r="CS16" s="0" t="n">
        <v>0.0064578040475056</v>
      </c>
      <c r="CT16" s="0" t="n">
        <v>0.0079733308716379</v>
      </c>
      <c r="CU16" s="0" t="n">
        <v>0.0091353269873944</v>
      </c>
      <c r="CV16" s="0" t="n">
        <v>-3.45024400392752E-005</v>
      </c>
      <c r="CW16" s="0" t="n">
        <v>0.0124863172857969</v>
      </c>
      <c r="CX16" s="0" t="n">
        <v>0.0060656741061198</v>
      </c>
      <c r="CY16" s="0" t="n">
        <v>0.0075990690524632</v>
      </c>
      <c r="CZ16" s="0" t="n">
        <v>0.0126490131567768</v>
      </c>
      <c r="DA16" s="0" t="n">
        <v>0.010538200181112</v>
      </c>
      <c r="DB16" s="0" t="n">
        <v>0.0115453551560226</v>
      </c>
      <c r="DC16" s="0" t="n">
        <v>0.0138954546066881</v>
      </c>
      <c r="DD16" s="0" t="n">
        <v>0.0056846375159597</v>
      </c>
      <c r="DE16" s="0" t="n">
        <v>0.0087188608887597</v>
      </c>
      <c r="DF16" s="0" t="n">
        <v>0.0060313160293994</v>
      </c>
      <c r="DG16" s="0" t="n">
        <v>0.0110067422879771</v>
      </c>
      <c r="DH16" s="0" t="n">
        <v>0.00760997308768</v>
      </c>
      <c r="DI16" s="0" t="n">
        <v>0.0132869438930196</v>
      </c>
      <c r="DJ16" s="0" t="n">
        <v>0.0081775241405378</v>
      </c>
      <c r="DK16" s="0" t="n">
        <v>0.0149643146239968</v>
      </c>
      <c r="DL16" s="0" t="n">
        <v>0.0152337586165662</v>
      </c>
      <c r="DM16" s="0" t="n">
        <v>0.0155280248455683</v>
      </c>
      <c r="DN16" s="0" t="n">
        <v>0.0214770954613202</v>
      </c>
      <c r="DO16" s="0" t="n">
        <v>0.0163060355265116</v>
      </c>
      <c r="DP16" s="0" t="n">
        <v>0.0113919580726232</v>
      </c>
      <c r="DQ16" s="0" t="n">
        <v>0.0114804131319029</v>
      </c>
      <c r="DR16" s="0" t="n">
        <v>0.0046486466459183</v>
      </c>
      <c r="DS16" s="0" t="n">
        <v>0.0045820631071064</v>
      </c>
      <c r="DT16" s="0" t="n">
        <v>0.0029904767938336</v>
      </c>
      <c r="DU16" s="0" t="n">
        <v>-0.0016269925789285</v>
      </c>
      <c r="DV16" s="0" t="n">
        <v>0.0084259673065064</v>
      </c>
      <c r="DW16" s="0" t="n">
        <v>-0.0007139519631114</v>
      </c>
      <c r="DX16" s="0" t="n">
        <v>0.0145204149548279</v>
      </c>
      <c r="DY16" s="0" t="n">
        <v>0.007905246056296</v>
      </c>
      <c r="DZ16" s="0" t="n">
        <v>0.0129464206332076</v>
      </c>
      <c r="EA16" s="0" t="n">
        <v>0.0147253361096871</v>
      </c>
      <c r="EB16" s="0" t="n">
        <v>0.004709027513348</v>
      </c>
      <c r="EC16" s="0" t="n">
        <v>0.0045645592092229</v>
      </c>
      <c r="ED16" s="0" t="n">
        <v>0.011658222114539</v>
      </c>
      <c r="EE16" s="0" t="n">
        <v>0.0157133773383495</v>
      </c>
      <c r="EF16" s="0" t="n">
        <v>0.0101187077477686</v>
      </c>
      <c r="EG16" s="0" t="n">
        <v>0.031389353335008</v>
      </c>
      <c r="EH16" s="0" t="n">
        <v>0.0002777684215632</v>
      </c>
      <c r="EI16" s="0" t="n">
        <v>0.0137242085377669</v>
      </c>
      <c r="EJ16" s="0" t="n">
        <v>0.0237355759059348</v>
      </c>
      <c r="EK16" s="0" t="n">
        <v>0.0204215067265373</v>
      </c>
      <c r="EL16" s="0" t="n">
        <v>0.0268316585386622</v>
      </c>
      <c r="EM16" s="0" t="n">
        <v>0.0030674025522255</v>
      </c>
      <c r="EN16" s="0" t="n">
        <v>-0.0011994082237911</v>
      </c>
      <c r="EO16" s="0" t="n">
        <v>0.0131826579634386</v>
      </c>
      <c r="EP16" s="72" t="n">
        <f aca="false">SUMPRODUCT(B16:EO16,$B$5:$EO$5)</f>
        <v>0.0208527083243233</v>
      </c>
      <c r="EQ16" s="72" t="n">
        <f aca="false">SUMIF('Mi portafolio'!$A$8:$A$19,$A16,'Mi portafolio'!$B$8:$B$19)</f>
        <v>0</v>
      </c>
    </row>
    <row r="17" customFormat="false" ht="15" hidden="false" customHeight="false" outlineLevel="0" collapsed="false">
      <c r="A17" s="71" t="s">
        <v>225</v>
      </c>
      <c r="B17" s="0" t="n">
        <v>0.0091731122995926</v>
      </c>
      <c r="C17" s="0" t="n">
        <v>0.0026619753862724</v>
      </c>
      <c r="D17" s="0" t="n">
        <v>-0.0028327668830622</v>
      </c>
      <c r="E17" s="0" t="n">
        <v>0.0081499975317831</v>
      </c>
      <c r="F17" s="0" t="n">
        <v>0.0129674853719279</v>
      </c>
      <c r="G17" s="0" t="n">
        <v>0.002518019986104</v>
      </c>
      <c r="H17" s="0" t="n">
        <v>0.0079074983908705</v>
      </c>
      <c r="I17" s="0" t="n">
        <v>0.0140228689947925</v>
      </c>
      <c r="J17" s="0" t="n">
        <v>0.0089403130668635</v>
      </c>
      <c r="K17" s="0" t="n">
        <v>0.0139316978972644</v>
      </c>
      <c r="L17" s="0" t="n">
        <v>0.0076543393828972</v>
      </c>
      <c r="M17" s="0" t="n">
        <v>0.0468170087390286</v>
      </c>
      <c r="N17" s="0" t="n">
        <v>0.0138471262300705</v>
      </c>
      <c r="O17" s="0" t="n">
        <v>0.0105403163119406</v>
      </c>
      <c r="P17" s="0" t="n">
        <v>0.0098109018122949</v>
      </c>
      <c r="Q17" s="0" t="n">
        <v>0.0001624691494711</v>
      </c>
      <c r="R17" s="0" t="n">
        <v>0.0144769341814008</v>
      </c>
      <c r="S17" s="0" t="n">
        <v>0.0058375738602443</v>
      </c>
      <c r="T17" s="0" t="n">
        <v>0.0169506517335239</v>
      </c>
      <c r="U17" s="0" t="n">
        <v>0.0142529279802082</v>
      </c>
      <c r="V17" s="0" t="n">
        <v>0.0140693731398152</v>
      </c>
      <c r="W17" s="0" t="n">
        <v>0.0082193426451302</v>
      </c>
      <c r="X17" s="0" t="n">
        <v>0.0170639087243105</v>
      </c>
      <c r="Y17" s="0" t="n">
        <v>0.0118946993992492</v>
      </c>
      <c r="Z17" s="0" t="n">
        <v>0.0146753575763273</v>
      </c>
      <c r="AA17" s="0" t="n">
        <v>0.0104278272892182</v>
      </c>
      <c r="AB17" s="0" t="n">
        <v>0.0125531360560537</v>
      </c>
      <c r="AC17" s="0" t="n">
        <v>0.0056753737552747</v>
      </c>
      <c r="AD17" s="0" t="n">
        <v>0.0089953657116195</v>
      </c>
      <c r="AE17" s="0" t="n">
        <v>0.0124656150157041</v>
      </c>
      <c r="AF17" s="0" t="n">
        <v>0.0071050167994166</v>
      </c>
      <c r="AG17" s="0" t="n">
        <v>0.0019761180540305</v>
      </c>
      <c r="AH17" s="0" t="n">
        <v>0.0029287183373366</v>
      </c>
      <c r="AI17" s="0" t="n">
        <v>-0.0033180095933192</v>
      </c>
      <c r="AJ17" s="0" t="n">
        <v>0.0014817826494739</v>
      </c>
      <c r="AK17" s="0" t="n">
        <v>0.0131472554117514</v>
      </c>
      <c r="AL17" s="0" t="n">
        <v>0.0150567495088914</v>
      </c>
      <c r="AM17" s="0" t="n">
        <v>0.010825970119429</v>
      </c>
      <c r="AN17" s="0" t="n">
        <v>0.0311868506725239</v>
      </c>
      <c r="AO17" s="0" t="n">
        <v>0.0089137735842858</v>
      </c>
      <c r="AP17" s="0" t="n">
        <v>0.0156857696446987</v>
      </c>
      <c r="AQ17" s="0" t="n">
        <v>-0.0064756889616908</v>
      </c>
      <c r="AR17" s="0" t="n">
        <v>0.0144008852472551</v>
      </c>
      <c r="AS17" s="0" t="n">
        <v>0.0140603211548477</v>
      </c>
      <c r="AT17" s="0" t="n">
        <v>0.0216364567338876</v>
      </c>
      <c r="AU17" s="0" t="n">
        <v>0.0143650269577779</v>
      </c>
      <c r="AV17" s="0" t="n">
        <v>0.0112663342108955</v>
      </c>
      <c r="AW17" s="0" t="n">
        <v>0.0149380611380344</v>
      </c>
      <c r="AX17" s="0" t="n">
        <v>0.0168766235164381</v>
      </c>
      <c r="AY17" s="0" t="n">
        <v>0.022208106037345</v>
      </c>
      <c r="AZ17" s="0" t="n">
        <v>0.0162386587760374</v>
      </c>
      <c r="BA17" s="0" t="n">
        <v>0.0229274882942761</v>
      </c>
      <c r="BB17" s="0" t="n">
        <v>0.0211979556198156</v>
      </c>
      <c r="BC17" s="0" t="n">
        <v>0.009326682300423</v>
      </c>
      <c r="BD17" s="0" t="n">
        <v>0.0109993160555316</v>
      </c>
      <c r="BE17" s="0" t="n">
        <v>0.0187556246155383</v>
      </c>
      <c r="BF17" s="0" t="n">
        <v>0.0172938669210682</v>
      </c>
      <c r="BG17" s="0" t="n">
        <v>0.0219215424362906</v>
      </c>
      <c r="BH17" s="0" t="n">
        <v>0.0105491127494283</v>
      </c>
      <c r="BI17" s="0" t="n">
        <v>0.0085959361431927</v>
      </c>
      <c r="BJ17" s="0" t="n">
        <v>-0.0071740910495186</v>
      </c>
      <c r="BK17" s="0" t="n">
        <v>0.011482594809615</v>
      </c>
      <c r="BL17" s="0" t="n">
        <v>0.0252492534670574</v>
      </c>
      <c r="BM17" s="0" t="n">
        <v>0.0223076834498351</v>
      </c>
      <c r="BN17" s="0" t="n">
        <v>0.0020544750403171</v>
      </c>
      <c r="BO17" s="0" t="n">
        <v>0.0224925583156427</v>
      </c>
      <c r="BP17" s="0" t="n">
        <v>0.0116258693572709</v>
      </c>
      <c r="BQ17" s="0" t="n">
        <v>0.0229414376607827</v>
      </c>
      <c r="BR17" s="0" t="n">
        <v>0.0246960601087042</v>
      </c>
      <c r="BS17" s="0" t="n">
        <v>-0.0062622122632747</v>
      </c>
      <c r="BT17" s="0" t="n">
        <v>0.0260060978207081</v>
      </c>
      <c r="BU17" s="0" t="n">
        <v>0.0092167774680191</v>
      </c>
      <c r="BV17" s="0" t="n">
        <v>0.0243173203955694</v>
      </c>
      <c r="BW17" s="0" t="n">
        <v>0.0200698501672104</v>
      </c>
      <c r="BX17" s="0" t="n">
        <v>0.0107277354385968</v>
      </c>
      <c r="BY17" s="0" t="n">
        <v>0.0308813461136211</v>
      </c>
      <c r="BZ17" s="0" t="n">
        <v>0.0315713642942423</v>
      </c>
      <c r="CA17" s="0" t="n">
        <v>0.0174120264863048</v>
      </c>
      <c r="CB17" s="0" t="n">
        <v>-0.0029304374325355</v>
      </c>
      <c r="CC17" s="0" t="n">
        <v>0.0060027031299158</v>
      </c>
      <c r="CD17" s="0" t="n">
        <v>0.0218394900365275</v>
      </c>
      <c r="CE17" s="0" t="n">
        <v>0.0071846331750167</v>
      </c>
      <c r="CF17" s="0" t="n">
        <v>-0.0061314737012727</v>
      </c>
      <c r="CG17" s="0" t="n">
        <v>0.02806365606805</v>
      </c>
      <c r="CH17" s="0" t="n">
        <v>0.0266375213746542</v>
      </c>
      <c r="CI17" s="0" t="n">
        <v>-0.0084919683010655</v>
      </c>
      <c r="CJ17" s="0" t="n">
        <v>0.0077118965318298</v>
      </c>
      <c r="CK17" s="0" t="n">
        <v>0.02471387922724</v>
      </c>
      <c r="CL17" s="0" t="n">
        <v>0.0274301386485865</v>
      </c>
      <c r="CM17" s="0" t="n">
        <v>0.0178931140123072</v>
      </c>
      <c r="CN17" s="0" t="n">
        <v>0.0025575003434116</v>
      </c>
      <c r="CO17" s="0" t="n">
        <v>0.0082550552895386</v>
      </c>
      <c r="CP17" s="0" t="n">
        <v>0.0127581356925026</v>
      </c>
      <c r="CQ17" s="0" t="n">
        <v>0.0375593726553307</v>
      </c>
      <c r="CR17" s="0" t="n">
        <v>0.0263240650712835</v>
      </c>
      <c r="CS17" s="0" t="n">
        <v>0.0246913012996041</v>
      </c>
      <c r="CT17" s="0" t="n">
        <v>0.0235520573478094</v>
      </c>
      <c r="CU17" s="0" t="n">
        <v>0.012963875022756</v>
      </c>
      <c r="CV17" s="0" t="n">
        <v>0.0245335456770196</v>
      </c>
      <c r="CW17" s="0" t="n">
        <v>0.027593820279493</v>
      </c>
      <c r="CX17" s="0" t="n">
        <v>0.032164932292715</v>
      </c>
      <c r="CY17" s="0" t="n">
        <v>0.0395518408544275</v>
      </c>
      <c r="CZ17" s="0" t="n">
        <v>0.0101606007980996</v>
      </c>
      <c r="DA17" s="0" t="n">
        <v>0.0163211901687468</v>
      </c>
      <c r="DB17" s="0" t="n">
        <v>0.0298154942633886</v>
      </c>
      <c r="DC17" s="0" t="n">
        <v>0.0323665050541726</v>
      </c>
      <c r="DD17" s="0" t="n">
        <v>0.0316577665472294</v>
      </c>
      <c r="DE17" s="0" t="n">
        <v>0.0350511902136833</v>
      </c>
      <c r="DF17" s="0" t="n">
        <v>0.010967348720309</v>
      </c>
      <c r="DG17" s="0" t="n">
        <v>0.0370336281048842</v>
      </c>
      <c r="DH17" s="0" t="n">
        <v>0.0181710710625588</v>
      </c>
      <c r="DI17" s="0" t="n">
        <v>0.0428933799180258</v>
      </c>
      <c r="DJ17" s="0" t="n">
        <v>0.038862999721677</v>
      </c>
      <c r="DK17" s="0" t="n">
        <v>0.0458833509135924</v>
      </c>
      <c r="DL17" s="0" t="n">
        <v>0.0197936713764874</v>
      </c>
      <c r="DM17" s="0" t="n">
        <v>0.0490861511372266</v>
      </c>
      <c r="DN17" s="0" t="n">
        <v>0.0358768459249787</v>
      </c>
      <c r="DO17" s="0" t="n">
        <v>0.0310570174367794</v>
      </c>
      <c r="DP17" s="0" t="n">
        <v>0.0475089417257534</v>
      </c>
      <c r="DQ17" s="0" t="n">
        <v>0.0312671571338961</v>
      </c>
      <c r="DR17" s="0" t="n">
        <v>0.0273998636983722</v>
      </c>
      <c r="DS17" s="0" t="n">
        <v>0.014793941979556</v>
      </c>
      <c r="DT17" s="0" t="n">
        <v>0.0170429642866441</v>
      </c>
      <c r="DU17" s="0" t="n">
        <v>0.0362619467243674</v>
      </c>
      <c r="DV17" s="0" t="n">
        <v>0.0214559548572036</v>
      </c>
      <c r="DW17" s="0" t="n">
        <v>0.0297290410913849</v>
      </c>
      <c r="DX17" s="0" t="n">
        <v>0.0319101648643423</v>
      </c>
      <c r="DY17" s="0" t="n">
        <v>0.0469207856204108</v>
      </c>
      <c r="DZ17" s="0" t="n">
        <v>0.0138644230113666</v>
      </c>
      <c r="EA17" s="0" t="n">
        <v>0.030289567444101</v>
      </c>
      <c r="EB17" s="0" t="n">
        <v>0.0517862092892088</v>
      </c>
      <c r="EC17" s="0" t="n">
        <v>0.0058040072088545</v>
      </c>
      <c r="ED17" s="0" t="n">
        <v>0.0439165849437112</v>
      </c>
      <c r="EE17" s="0" t="n">
        <v>0.0326445051991207</v>
      </c>
      <c r="EF17" s="0" t="n">
        <v>0.0373561832873825</v>
      </c>
      <c r="EG17" s="0" t="n">
        <v>0.0380496626764997</v>
      </c>
      <c r="EH17" s="0" t="n">
        <v>0.0241137204046777</v>
      </c>
      <c r="EI17" s="0" t="n">
        <v>0.0323526326624487</v>
      </c>
      <c r="EJ17" s="0" t="n">
        <v>0.0599102994187311</v>
      </c>
      <c r="EK17" s="0" t="n">
        <v>0.0505069314431985</v>
      </c>
      <c r="EL17" s="0" t="n">
        <v>0.0579003086261142</v>
      </c>
      <c r="EM17" s="0" t="n">
        <v>0.0421236138611198</v>
      </c>
      <c r="EN17" s="0" t="n">
        <v>0.0698796216132854</v>
      </c>
      <c r="EO17" s="0" t="n">
        <v>0.0421903384478105</v>
      </c>
      <c r="EP17" s="72" t="n">
        <f aca="false">SUMPRODUCT(B17:EO17,$B$5:$EO$5)</f>
        <v>0.0327090252985071</v>
      </c>
      <c r="EQ17" s="72" t="n">
        <f aca="false">SUMIF('Mi portafolio'!$A$8:$A$19,$A17,'Mi portafolio'!$B$8:$B$19)</f>
        <v>0</v>
      </c>
    </row>
    <row r="18" customFormat="false" ht="15" hidden="false" customHeight="false" outlineLevel="0" collapsed="false">
      <c r="A18" s="71" t="s">
        <v>227</v>
      </c>
      <c r="B18" s="0" t="n">
        <v>0.0114378393363617</v>
      </c>
      <c r="C18" s="0" t="n">
        <v>3.59886821719328E-005</v>
      </c>
      <c r="D18" s="0" t="n">
        <v>0.0073488987340288</v>
      </c>
      <c r="E18" s="0" t="n">
        <v>0.0078314723574185</v>
      </c>
      <c r="F18" s="0" t="n">
        <v>0.013215160387792</v>
      </c>
      <c r="G18" s="0" t="n">
        <v>0.0022467318744283</v>
      </c>
      <c r="H18" s="0" t="n">
        <v>0.0048867827001507</v>
      </c>
      <c r="I18" s="0" t="n">
        <v>0.0166453801172521</v>
      </c>
      <c r="J18" s="0" t="n">
        <v>0.0183913399476394</v>
      </c>
      <c r="K18" s="0" t="n">
        <v>0.0155912753260217</v>
      </c>
      <c r="L18" s="0" t="n">
        <v>0.0064763130220168</v>
      </c>
      <c r="M18" s="0" t="n">
        <v>0.0138471262300705</v>
      </c>
      <c r="N18" s="0" t="n">
        <v>0.0469876813104219</v>
      </c>
      <c r="O18" s="0" t="n">
        <v>0.0038895504741725</v>
      </c>
      <c r="P18" s="0" t="n">
        <v>0.0106675857205767</v>
      </c>
      <c r="Q18" s="0" t="n">
        <v>-0.0015939804909773</v>
      </c>
      <c r="R18" s="0" t="n">
        <v>0.015326557005444</v>
      </c>
      <c r="S18" s="0" t="n">
        <v>0.0056234947552528</v>
      </c>
      <c r="T18" s="0" t="n">
        <v>0.0106404781478534</v>
      </c>
      <c r="U18" s="0" t="n">
        <v>0.0070595110372914</v>
      </c>
      <c r="V18" s="0" t="n">
        <v>0.0015953849161753</v>
      </c>
      <c r="W18" s="0" t="n">
        <v>0.0038852563272074</v>
      </c>
      <c r="X18" s="0" t="n">
        <v>0.0115241428834616</v>
      </c>
      <c r="Y18" s="0" t="n">
        <v>0.0132401843400993</v>
      </c>
      <c r="Z18" s="0" t="n">
        <v>0.0065907939827244</v>
      </c>
      <c r="AA18" s="0" t="n">
        <v>0.0091822154001729</v>
      </c>
      <c r="AB18" s="0" t="n">
        <v>0.0137366630067993</v>
      </c>
      <c r="AC18" s="0" t="n">
        <v>0.0019563994899129</v>
      </c>
      <c r="AD18" s="0" t="n">
        <v>0.0015119194154088</v>
      </c>
      <c r="AE18" s="0" t="n">
        <v>0.0002258135359705</v>
      </c>
      <c r="AF18" s="0" t="n">
        <v>0.0005983105832377</v>
      </c>
      <c r="AG18" s="0" t="n">
        <v>0.0106129231598607</v>
      </c>
      <c r="AH18" s="0" t="n">
        <v>0.0138854476646452</v>
      </c>
      <c r="AI18" s="0" t="n">
        <v>0.0069572095958417</v>
      </c>
      <c r="AJ18" s="0" t="n">
        <v>0.0089264049671152</v>
      </c>
      <c r="AK18" s="0" t="n">
        <v>0.0029761239933642</v>
      </c>
      <c r="AL18" s="0" t="n">
        <v>0.017265822334053</v>
      </c>
      <c r="AM18" s="0" t="n">
        <v>0.0061199389576149</v>
      </c>
      <c r="AN18" s="0" t="n">
        <v>0.0201996445831539</v>
      </c>
      <c r="AO18" s="0" t="n">
        <v>0.023713393418862</v>
      </c>
      <c r="AP18" s="0" t="n">
        <v>0.0230797094091744</v>
      </c>
      <c r="AQ18" s="0" t="n">
        <v>0.005238657184353</v>
      </c>
      <c r="AR18" s="0" t="n">
        <v>0.0114826480110749</v>
      </c>
      <c r="AS18" s="0" t="n">
        <v>0.003450842384346</v>
      </c>
      <c r="AT18" s="0" t="n">
        <v>0.0136255399126568</v>
      </c>
      <c r="AU18" s="0" t="n">
        <v>0.0128156709285487</v>
      </c>
      <c r="AV18" s="0" t="n">
        <v>0.0102611036539999</v>
      </c>
      <c r="AW18" s="0" t="n">
        <v>0.0039348968223939</v>
      </c>
      <c r="AX18" s="0" t="n">
        <v>0.0388234550852948</v>
      </c>
      <c r="AY18" s="0" t="n">
        <v>0.0161333921340197</v>
      </c>
      <c r="AZ18" s="0" t="n">
        <v>0.0071556824037549</v>
      </c>
      <c r="BA18" s="0" t="n">
        <v>0.0179438714604945</v>
      </c>
      <c r="BB18" s="0" t="n">
        <v>0.0118719034193338</v>
      </c>
      <c r="BC18" s="0" t="n">
        <v>0.0046359274212918</v>
      </c>
      <c r="BD18" s="0" t="n">
        <v>0.0053609669324029</v>
      </c>
      <c r="BE18" s="0" t="n">
        <v>0.0330204028331729</v>
      </c>
      <c r="BF18" s="0" t="n">
        <v>0.0108604830980533</v>
      </c>
      <c r="BG18" s="0" t="n">
        <v>0.0223101619221276</v>
      </c>
      <c r="BH18" s="0" t="n">
        <v>0.0099975079507523</v>
      </c>
      <c r="BI18" s="0" t="n">
        <v>0.0035352523042909</v>
      </c>
      <c r="BJ18" s="0" t="n">
        <v>-0.0011292287786131</v>
      </c>
      <c r="BK18" s="0" t="n">
        <v>0.0009206016378037</v>
      </c>
      <c r="BL18" s="0" t="n">
        <v>0.0140622664222109</v>
      </c>
      <c r="BM18" s="0" t="n">
        <v>0.017172445965329</v>
      </c>
      <c r="BN18" s="0" t="n">
        <v>0.0044328597560667</v>
      </c>
      <c r="BO18" s="0" t="n">
        <v>0.0128338720250827</v>
      </c>
      <c r="BP18" s="0" t="n">
        <v>0.0048049092965958</v>
      </c>
      <c r="BQ18" s="0" t="n">
        <v>0.0028337818753909</v>
      </c>
      <c r="BR18" s="0" t="n">
        <v>0.0193714457417645</v>
      </c>
      <c r="BS18" s="0" t="n">
        <v>0.0032820452629575</v>
      </c>
      <c r="BT18" s="0" t="n">
        <v>0.0147289998479238</v>
      </c>
      <c r="BU18" s="0" t="n">
        <v>0.0031776394885069</v>
      </c>
      <c r="BV18" s="0" t="n">
        <v>0.0118939721992303</v>
      </c>
      <c r="BW18" s="0" t="n">
        <v>0.0147772728866236</v>
      </c>
      <c r="BX18" s="0" t="n">
        <v>0.0343042827809261</v>
      </c>
      <c r="BY18" s="0" t="n">
        <v>0.0192943558431002</v>
      </c>
      <c r="BZ18" s="0" t="n">
        <v>0.0168927437211552</v>
      </c>
      <c r="CA18" s="0" t="n">
        <v>0.0046439339924965</v>
      </c>
      <c r="CB18" s="0" t="n">
        <v>0.006311215053095</v>
      </c>
      <c r="CC18" s="0" t="n">
        <v>0.0047608821541702</v>
      </c>
      <c r="CD18" s="0" t="n">
        <v>0.0185611220583305</v>
      </c>
      <c r="CE18" s="0" t="n">
        <v>0.0035963394468083</v>
      </c>
      <c r="CF18" s="0" t="n">
        <v>0.0062389793182266</v>
      </c>
      <c r="CG18" s="0" t="n">
        <v>0.0239842379059141</v>
      </c>
      <c r="CH18" s="0" t="n">
        <v>0.0077296413109326</v>
      </c>
      <c r="CI18" s="0" t="n">
        <v>0.0064246595446666</v>
      </c>
      <c r="CJ18" s="0" t="n">
        <v>0.0210008631348427</v>
      </c>
      <c r="CK18" s="0" t="n">
        <v>0.0241066917300925</v>
      </c>
      <c r="CL18" s="0" t="n">
        <v>0.021604819196653</v>
      </c>
      <c r="CM18" s="0" t="n">
        <v>-0.0012086133707451</v>
      </c>
      <c r="CN18" s="0" t="n">
        <v>0.0105351087801016</v>
      </c>
      <c r="CO18" s="0" t="n">
        <v>0.0052932246526806</v>
      </c>
      <c r="CP18" s="0" t="n">
        <v>0.017486218077373</v>
      </c>
      <c r="CQ18" s="0" t="n">
        <v>0.0251927673546032</v>
      </c>
      <c r="CR18" s="0" t="n">
        <v>0.0027655283784261</v>
      </c>
      <c r="CS18" s="0" t="n">
        <v>0.0088079777106587</v>
      </c>
      <c r="CT18" s="0" t="n">
        <v>0.0177035661548716</v>
      </c>
      <c r="CU18" s="0" t="n">
        <v>0.0106072108239397</v>
      </c>
      <c r="CV18" s="0" t="n">
        <v>0.0060764380815948</v>
      </c>
      <c r="CW18" s="0" t="n">
        <v>0.0173297540489933</v>
      </c>
      <c r="CX18" s="0" t="n">
        <v>0.0143637590264441</v>
      </c>
      <c r="CY18" s="0" t="n">
        <v>0.0238934083012808</v>
      </c>
      <c r="CZ18" s="0" t="n">
        <v>0.0186482125759753</v>
      </c>
      <c r="DA18" s="0" t="n">
        <v>0.0337998158885662</v>
      </c>
      <c r="DB18" s="0" t="n">
        <v>0.0134456895702403</v>
      </c>
      <c r="DC18" s="0" t="n">
        <v>0.0111107177802972</v>
      </c>
      <c r="DD18" s="0" t="n">
        <v>0.0253270590750136</v>
      </c>
      <c r="DE18" s="0" t="n">
        <v>0.0102397589372129</v>
      </c>
      <c r="DF18" s="0" t="n">
        <v>0.0189830265250603</v>
      </c>
      <c r="DG18" s="0" t="n">
        <v>0.0219536176715357</v>
      </c>
      <c r="DH18" s="0" t="n">
        <v>-0.001671378465426</v>
      </c>
      <c r="DI18" s="0" t="n">
        <v>0.0231344976602982</v>
      </c>
      <c r="DJ18" s="0" t="n">
        <v>0.0307002437872631</v>
      </c>
      <c r="DK18" s="0" t="n">
        <v>0.0248188771329082</v>
      </c>
      <c r="DL18" s="0" t="n">
        <v>0.005004783047741</v>
      </c>
      <c r="DM18" s="0" t="n">
        <v>0.0382454593077118</v>
      </c>
      <c r="DN18" s="0" t="n">
        <v>0.020819046707185</v>
      </c>
      <c r="DO18" s="0" t="n">
        <v>0.0245815217463591</v>
      </c>
      <c r="DP18" s="0" t="n">
        <v>0.0361256947184732</v>
      </c>
      <c r="DQ18" s="0" t="n">
        <v>0.0072646906458571</v>
      </c>
      <c r="DR18" s="0" t="n">
        <v>0.0179269901268956</v>
      </c>
      <c r="DS18" s="0" t="n">
        <v>0.0075782612902547</v>
      </c>
      <c r="DT18" s="0" t="n">
        <v>0.00111974092924</v>
      </c>
      <c r="DU18" s="0" t="n">
        <v>0.014831959153252</v>
      </c>
      <c r="DV18" s="0" t="n">
        <v>0.0131970600450093</v>
      </c>
      <c r="DW18" s="0" t="n">
        <v>0.0180326364711425</v>
      </c>
      <c r="DX18" s="0" t="n">
        <v>-0.0005278313398874</v>
      </c>
      <c r="DY18" s="0" t="n">
        <v>0.0148186177735949</v>
      </c>
      <c r="DZ18" s="0" t="n">
        <v>0.0166724228504665</v>
      </c>
      <c r="EA18" s="0" t="n">
        <v>0.0311614445092551</v>
      </c>
      <c r="EB18" s="0" t="n">
        <v>0.0244026588485154</v>
      </c>
      <c r="EC18" s="0" t="n">
        <v>-0.0094769178341977</v>
      </c>
      <c r="ED18" s="0" t="n">
        <v>0.0361011276582926</v>
      </c>
      <c r="EE18" s="0" t="n">
        <v>-0.0044780950014111</v>
      </c>
      <c r="EF18" s="0" t="n">
        <v>0.0238825698404371</v>
      </c>
      <c r="EG18" s="0" t="n">
        <v>0.002843988760842</v>
      </c>
      <c r="EH18" s="0" t="n">
        <v>0.017807950573306</v>
      </c>
      <c r="EI18" s="0" t="n">
        <v>-0.0067680386367526</v>
      </c>
      <c r="EJ18" s="0" t="n">
        <v>0.0478337429941231</v>
      </c>
      <c r="EK18" s="0" t="n">
        <v>0.02032759977562</v>
      </c>
      <c r="EL18" s="0" t="n">
        <v>0.0024599041740638</v>
      </c>
      <c r="EM18" s="0" t="n">
        <v>0.017130451097599</v>
      </c>
      <c r="EN18" s="0" t="n">
        <v>0.110523216325784</v>
      </c>
      <c r="EO18" s="0" t="n">
        <v>0.0157788770305932</v>
      </c>
      <c r="EP18" s="72" t="n">
        <f aca="false">SUMPRODUCT(B18:EO18,$B$5:$EO$5)</f>
        <v>-0.00192715272040458</v>
      </c>
      <c r="EQ18" s="72" t="n">
        <f aca="false">SUMIF('Mi portafolio'!$A$8:$A$19,$A18,'Mi portafolio'!$B$8:$B$19)</f>
        <v>0</v>
      </c>
    </row>
    <row r="19" customFormat="false" ht="15" hidden="false" customHeight="false" outlineLevel="0" collapsed="false">
      <c r="A19" s="71" t="s">
        <v>229</v>
      </c>
      <c r="B19" s="0" t="n">
        <v>0.0052198675596286</v>
      </c>
      <c r="C19" s="0" t="n">
        <v>0.0065253076649704</v>
      </c>
      <c r="D19" s="0" t="n">
        <v>0.0013902188399761</v>
      </c>
      <c r="E19" s="0" t="n">
        <v>0.0150803744744565</v>
      </c>
      <c r="F19" s="0" t="n">
        <v>0.0036014575819976</v>
      </c>
      <c r="G19" s="0" t="n">
        <v>0.0050064269662275</v>
      </c>
      <c r="H19" s="0" t="n">
        <v>0.0095450548222818</v>
      </c>
      <c r="I19" s="0" t="n">
        <v>0.0049191916672313</v>
      </c>
      <c r="J19" s="0" t="n">
        <v>0.0050413434793366</v>
      </c>
      <c r="K19" s="0" t="n">
        <v>0.0081292234350355</v>
      </c>
      <c r="L19" s="0" t="n">
        <v>0.0163512033638946</v>
      </c>
      <c r="M19" s="0" t="n">
        <v>0.0105403163119406</v>
      </c>
      <c r="N19" s="0" t="n">
        <v>0.0038895504741725</v>
      </c>
      <c r="O19" s="0" t="n">
        <v>0.0474832268324305</v>
      </c>
      <c r="P19" s="0" t="n">
        <v>0.0063882718745966</v>
      </c>
      <c r="Q19" s="0" t="n">
        <v>0.0048025174333982</v>
      </c>
      <c r="R19" s="0" t="n">
        <v>0.0059003609299371</v>
      </c>
      <c r="S19" s="0" t="n">
        <v>0.0122810366293125</v>
      </c>
      <c r="T19" s="0" t="n">
        <v>0.003513626819007</v>
      </c>
      <c r="U19" s="0" t="n">
        <v>0.0205660585269825</v>
      </c>
      <c r="V19" s="0" t="n">
        <v>0.0204515087566799</v>
      </c>
      <c r="W19" s="0" t="n">
        <v>0.0161688773580584</v>
      </c>
      <c r="X19" s="0" t="n">
        <v>0.0096281687895011</v>
      </c>
      <c r="Y19" s="0" t="n">
        <v>0.002796544630652</v>
      </c>
      <c r="Z19" s="0" t="n">
        <v>0.0195408727577788</v>
      </c>
      <c r="AA19" s="0" t="n">
        <v>0.0185183090414572</v>
      </c>
      <c r="AB19" s="0" t="n">
        <v>0.0018325102325953</v>
      </c>
      <c r="AC19" s="0" t="n">
        <v>0.0166183903588331</v>
      </c>
      <c r="AD19" s="0" t="n">
        <v>0.0152829203247981</v>
      </c>
      <c r="AE19" s="0" t="n">
        <v>0.017353991483121</v>
      </c>
      <c r="AF19" s="0" t="n">
        <v>0.0238560824119532</v>
      </c>
      <c r="AG19" s="0" t="n">
        <v>0.0027907423581288</v>
      </c>
      <c r="AH19" s="0" t="n">
        <v>0.0043176969224726</v>
      </c>
      <c r="AI19" s="0" t="n">
        <v>-0.0018221365305534</v>
      </c>
      <c r="AJ19" s="0" t="n">
        <v>0.0142787884363544</v>
      </c>
      <c r="AK19" s="0" t="n">
        <v>0.0256922749621167</v>
      </c>
      <c r="AL19" s="0" t="n">
        <v>0.0061670977240971</v>
      </c>
      <c r="AM19" s="0" t="n">
        <v>0.0153520295975536</v>
      </c>
      <c r="AN19" s="0" t="n">
        <v>0.007997905960175</v>
      </c>
      <c r="AO19" s="0" t="n">
        <v>-6.54621252278468E-005</v>
      </c>
      <c r="AP19" s="0" t="n">
        <v>0.0080868066329715</v>
      </c>
      <c r="AQ19" s="0" t="n">
        <v>-0.000629959731633</v>
      </c>
      <c r="AR19" s="0" t="n">
        <v>0.003587872849125</v>
      </c>
      <c r="AS19" s="0" t="n">
        <v>0.0144783324502594</v>
      </c>
      <c r="AT19" s="0" t="n">
        <v>0.0026549651022269</v>
      </c>
      <c r="AU19" s="0" t="n">
        <v>0.0056688128433308</v>
      </c>
      <c r="AV19" s="0" t="n">
        <v>0.0205170444884294</v>
      </c>
      <c r="AW19" s="0" t="n">
        <v>0.015974886302864</v>
      </c>
      <c r="AX19" s="0" t="n">
        <v>0.0058297791962926</v>
      </c>
      <c r="AY19" s="0" t="n">
        <v>0.0014138306815644</v>
      </c>
      <c r="AZ19" s="0" t="n">
        <v>0.0176236806385512</v>
      </c>
      <c r="BA19" s="0" t="n">
        <v>0.0136010955951789</v>
      </c>
      <c r="BB19" s="0" t="n">
        <v>0.0054497406650275</v>
      </c>
      <c r="BC19" s="0" t="n">
        <v>0.0174581365867063</v>
      </c>
      <c r="BD19" s="0" t="n">
        <v>0.0210421749882762</v>
      </c>
      <c r="BE19" s="0" t="n">
        <v>0.0075457005494029</v>
      </c>
      <c r="BF19" s="0" t="n">
        <v>0.017069776802265</v>
      </c>
      <c r="BG19" s="0" t="n">
        <v>-0.0075777565796984</v>
      </c>
      <c r="BH19" s="0" t="n">
        <v>0.0119453719940695</v>
      </c>
      <c r="BI19" s="0" t="n">
        <v>0.0166197555761531</v>
      </c>
      <c r="BJ19" s="0" t="n">
        <v>-0.000340136453863</v>
      </c>
      <c r="BK19" s="0" t="n">
        <v>0.0167679040101198</v>
      </c>
      <c r="BL19" s="0" t="n">
        <v>0.0108632206853044</v>
      </c>
      <c r="BM19" s="0" t="n">
        <v>0.0035127389526963</v>
      </c>
      <c r="BN19" s="0" t="n">
        <v>0.0087337719538989</v>
      </c>
      <c r="BO19" s="0" t="n">
        <v>0.0048685768292993</v>
      </c>
      <c r="BP19" s="0" t="n">
        <v>0.0005751929068359</v>
      </c>
      <c r="BQ19" s="0" t="n">
        <v>0.0255660798180791</v>
      </c>
      <c r="BR19" s="0" t="n">
        <v>0.0037456563026144</v>
      </c>
      <c r="BS19" s="0" t="n">
        <v>-0.0043726248956927</v>
      </c>
      <c r="BT19" s="0" t="n">
        <v>0.0138918260473776</v>
      </c>
      <c r="BU19" s="0" t="n">
        <v>0.0135795089892188</v>
      </c>
      <c r="BV19" s="0" t="n">
        <v>0.0075809770300251</v>
      </c>
      <c r="BW19" s="0" t="n">
        <v>0.0025823126182597</v>
      </c>
      <c r="BX19" s="0" t="n">
        <v>-0.0022770814831101</v>
      </c>
      <c r="BY19" s="0" t="n">
        <v>0.0061421030183542</v>
      </c>
      <c r="BZ19" s="0" t="n">
        <v>0.0133477020871335</v>
      </c>
      <c r="CA19" s="0" t="n">
        <v>0.0249163440959662</v>
      </c>
      <c r="CB19" s="0" t="n">
        <v>-0.0008305165980219</v>
      </c>
      <c r="CC19" s="0" t="n">
        <v>0.0034229272047761</v>
      </c>
      <c r="CD19" s="0" t="n">
        <v>0.0025766591124108</v>
      </c>
      <c r="CE19" s="0" t="n">
        <v>-0.0025761304912542</v>
      </c>
      <c r="CF19" s="0" t="n">
        <v>-0.0011214224718828</v>
      </c>
      <c r="CG19" s="0" t="n">
        <v>0.0026603254651344</v>
      </c>
      <c r="CH19" s="0" t="n">
        <v>0.0289642144102743</v>
      </c>
      <c r="CI19" s="0" t="n">
        <v>-0.0031273708423909</v>
      </c>
      <c r="CJ19" s="0" t="n">
        <v>-0.0025750820424464</v>
      </c>
      <c r="CK19" s="0" t="n">
        <v>-0.0031730225329446</v>
      </c>
      <c r="CL19" s="0" t="n">
        <v>0.0033205705871268</v>
      </c>
      <c r="CM19" s="0" t="n">
        <v>-0.0031569199285814</v>
      </c>
      <c r="CN19" s="0" t="n">
        <v>0.0147503670784268</v>
      </c>
      <c r="CO19" s="0" t="n">
        <v>0.0036997730128496</v>
      </c>
      <c r="CP19" s="0" t="n">
        <v>0.0023041872848731</v>
      </c>
      <c r="CQ19" s="0" t="n">
        <v>0.008732595072238</v>
      </c>
      <c r="CR19" s="0" t="n">
        <v>0.0041554809920658</v>
      </c>
      <c r="CS19" s="0" t="n">
        <v>0.0098640169371734</v>
      </c>
      <c r="CT19" s="0" t="n">
        <v>0.0121734920338395</v>
      </c>
      <c r="CU19" s="0" t="n">
        <v>0.0009915499822793</v>
      </c>
      <c r="CV19" s="0" t="n">
        <v>0.0021941745256521</v>
      </c>
      <c r="CW19" s="0" t="n">
        <v>0.0059767090093917</v>
      </c>
      <c r="CX19" s="0" t="n">
        <v>0.0054126667846819</v>
      </c>
      <c r="CY19" s="0" t="n">
        <v>0.0118710241069361</v>
      </c>
      <c r="CZ19" s="0" t="n">
        <v>-0.0005247714287096</v>
      </c>
      <c r="DA19" s="0" t="n">
        <v>-0.0114960042662566</v>
      </c>
      <c r="DB19" s="0" t="n">
        <v>0.0116098110581678</v>
      </c>
      <c r="DC19" s="0" t="n">
        <v>0.0213783769005514</v>
      </c>
      <c r="DD19" s="0" t="n">
        <v>0.0023462760189636</v>
      </c>
      <c r="DE19" s="0" t="n">
        <v>0.0114438522002276</v>
      </c>
      <c r="DF19" s="0" t="n">
        <v>-0.0049548951446813</v>
      </c>
      <c r="DG19" s="0" t="n">
        <v>0.0196821531187174</v>
      </c>
      <c r="DH19" s="0" t="n">
        <v>0.00182894846077</v>
      </c>
      <c r="DI19" s="0" t="n">
        <v>0.0197601847704012</v>
      </c>
      <c r="DJ19" s="0" t="n">
        <v>0.0065494291063869</v>
      </c>
      <c r="DK19" s="0" t="n">
        <v>0.0144568505123875</v>
      </c>
      <c r="DL19" s="0" t="n">
        <v>0.0280663870712351</v>
      </c>
      <c r="DM19" s="0" t="n">
        <v>0.0186698989550019</v>
      </c>
      <c r="DN19" s="0" t="n">
        <v>0.0055649132346218</v>
      </c>
      <c r="DO19" s="0" t="n">
        <v>0.0138869851310644</v>
      </c>
      <c r="DP19" s="0" t="n">
        <v>0.0122722996797844</v>
      </c>
      <c r="DQ19" s="0" t="n">
        <v>0.0092717202251331</v>
      </c>
      <c r="DR19" s="0" t="n">
        <v>0.0103868128671179</v>
      </c>
      <c r="DS19" s="0" t="n">
        <v>-0.0093732349967729</v>
      </c>
      <c r="DT19" s="0" t="n">
        <v>-0.0025476577156704</v>
      </c>
      <c r="DU19" s="0" t="n">
        <v>0.0094571496415327</v>
      </c>
      <c r="DV19" s="0" t="n">
        <v>0.0027628340892273</v>
      </c>
      <c r="DW19" s="0" t="n">
        <v>-0.0049436279062677</v>
      </c>
      <c r="DX19" s="0" t="n">
        <v>0.0046725720945108</v>
      </c>
      <c r="DY19" s="0" t="n">
        <v>0.0032431177807506</v>
      </c>
      <c r="DZ19" s="0" t="n">
        <v>-0.0102369315262932</v>
      </c>
      <c r="EA19" s="0" t="n">
        <v>0.0078046759593877</v>
      </c>
      <c r="EB19" s="0" t="n">
        <v>0.0001952286375068</v>
      </c>
      <c r="EC19" s="0" t="n">
        <v>0.0024279612594287</v>
      </c>
      <c r="ED19" s="0" t="n">
        <v>0.0139912177429858</v>
      </c>
      <c r="EE19" s="0" t="n">
        <v>0.0149445841160234</v>
      </c>
      <c r="EF19" s="0" t="n">
        <v>0.0104901968176267</v>
      </c>
      <c r="EG19" s="0" t="n">
        <v>0.0187625252140195</v>
      </c>
      <c r="EH19" s="0" t="n">
        <v>-0.0183367280087601</v>
      </c>
      <c r="EI19" s="0" t="n">
        <v>0.0024651671873428</v>
      </c>
      <c r="EJ19" s="0" t="n">
        <v>0.0151087709384933</v>
      </c>
      <c r="EK19" s="0" t="n">
        <v>0.0142631192161274</v>
      </c>
      <c r="EL19" s="0" t="n">
        <v>0.0328877497117657</v>
      </c>
      <c r="EM19" s="0" t="n">
        <v>0.0065659097025511</v>
      </c>
      <c r="EN19" s="0" t="n">
        <v>-0.0106430836069939</v>
      </c>
      <c r="EO19" s="0" t="n">
        <v>0.005159442588032</v>
      </c>
      <c r="EP19" s="72" t="n">
        <f aca="false">SUMPRODUCT(B19:EO19,$B$5:$EO$5)</f>
        <v>0.0108722305405681</v>
      </c>
      <c r="EQ19" s="72" t="n">
        <f aca="false">SUMIF('Mi portafolio'!$A$8:$A$19,$A19,'Mi portafolio'!$B$8:$B$19)</f>
        <v>0</v>
      </c>
    </row>
    <row r="20" customFormat="false" ht="15" hidden="false" customHeight="false" outlineLevel="0" collapsed="false">
      <c r="A20" s="71" t="s">
        <v>231</v>
      </c>
      <c r="B20" s="0" t="n">
        <v>0.0138031914792973</v>
      </c>
      <c r="C20" s="0" t="n">
        <v>0.002830960028976</v>
      </c>
      <c r="D20" s="0" t="n">
        <v>-1.68704300528263E-005</v>
      </c>
      <c r="E20" s="0" t="n">
        <v>0.0067314506979264</v>
      </c>
      <c r="F20" s="0" t="n">
        <v>0.0213695244033681</v>
      </c>
      <c r="G20" s="0" t="n">
        <v>-0.0042957994223919</v>
      </c>
      <c r="H20" s="0" t="n">
        <v>0.000890137391134</v>
      </c>
      <c r="I20" s="0" t="n">
        <v>0.02206572747481</v>
      </c>
      <c r="J20" s="0" t="n">
        <v>0.0186002002719793</v>
      </c>
      <c r="K20" s="0" t="n">
        <v>0.0189131192470643</v>
      </c>
      <c r="L20" s="0" t="n">
        <v>0.0063890066621286</v>
      </c>
      <c r="M20" s="0" t="n">
        <v>0.0098109018122949</v>
      </c>
      <c r="N20" s="0" t="n">
        <v>0.0106675857205767</v>
      </c>
      <c r="O20" s="0" t="n">
        <v>0.0063882718745966</v>
      </c>
      <c r="P20" s="0" t="n">
        <v>0.0474140245545196</v>
      </c>
      <c r="Q20" s="0" t="n">
        <v>0.0063076067776513</v>
      </c>
      <c r="R20" s="0" t="n">
        <v>0.0227587557332573</v>
      </c>
      <c r="S20" s="0" t="n">
        <v>0.0051102429666234</v>
      </c>
      <c r="T20" s="0" t="n">
        <v>0.0045861172600484</v>
      </c>
      <c r="U20" s="0" t="n">
        <v>0.0061776670886259</v>
      </c>
      <c r="V20" s="0" t="n">
        <v>0.0015354527229547</v>
      </c>
      <c r="W20" s="0" t="n">
        <v>0.0093740637101767</v>
      </c>
      <c r="X20" s="0" t="n">
        <v>0.0049201879907528</v>
      </c>
      <c r="Y20" s="0" t="n">
        <v>0.0194849663336387</v>
      </c>
      <c r="Z20" s="0" t="n">
        <v>0.0039646937162475</v>
      </c>
      <c r="AA20" s="0" t="n">
        <v>0.0095125907126318</v>
      </c>
      <c r="AB20" s="0" t="n">
        <v>0.017690003833064</v>
      </c>
      <c r="AC20" s="0" t="n">
        <v>0.0010150627736023</v>
      </c>
      <c r="AD20" s="0" t="n">
        <v>0.0061213987178035</v>
      </c>
      <c r="AE20" s="0" t="n">
        <v>0.0015793360425388</v>
      </c>
      <c r="AF20" s="0" t="n">
        <v>0.0010291096711461</v>
      </c>
      <c r="AG20" s="0" t="n">
        <v>0.0174704420550664</v>
      </c>
      <c r="AH20" s="0" t="n">
        <v>0.0163279170471188</v>
      </c>
      <c r="AI20" s="0" t="n">
        <v>0.0148463111744193</v>
      </c>
      <c r="AJ20" s="0" t="n">
        <v>-0.0009574776434089</v>
      </c>
      <c r="AK20" s="0" t="n">
        <v>0.0016057309371962</v>
      </c>
      <c r="AL20" s="0" t="n">
        <v>0.0134348092412754</v>
      </c>
      <c r="AM20" s="0" t="n">
        <v>0.0041744322396824</v>
      </c>
      <c r="AN20" s="0" t="n">
        <v>0.0206148933715264</v>
      </c>
      <c r="AO20" s="0" t="n">
        <v>0.0188516260336512</v>
      </c>
      <c r="AP20" s="0" t="n">
        <v>0.0104025053392344</v>
      </c>
      <c r="AQ20" s="0" t="n">
        <v>0.0161745651717334</v>
      </c>
      <c r="AR20" s="0" t="n">
        <v>0.0060522832912268</v>
      </c>
      <c r="AS20" s="0" t="n">
        <v>0.0026111867047104</v>
      </c>
      <c r="AT20" s="0" t="n">
        <v>0.0064008257259964</v>
      </c>
      <c r="AU20" s="0" t="n">
        <v>0.0397690824444749</v>
      </c>
      <c r="AV20" s="0" t="n">
        <v>0.0112152183155664</v>
      </c>
      <c r="AW20" s="0" t="n">
        <v>0.0075964666413749</v>
      </c>
      <c r="AX20" s="0" t="n">
        <v>0.019865220368812</v>
      </c>
      <c r="AY20" s="0" t="n">
        <v>0.0186612545415115</v>
      </c>
      <c r="AZ20" s="0" t="n">
        <v>0.0037145144296828</v>
      </c>
      <c r="BA20" s="0" t="n">
        <v>0.0104117177272932</v>
      </c>
      <c r="BB20" s="0" t="n">
        <v>0.0001139220330257</v>
      </c>
      <c r="BC20" s="0" t="n">
        <v>0.003883246094229</v>
      </c>
      <c r="BD20" s="0" t="n">
        <v>0.0025803791224355</v>
      </c>
      <c r="BE20" s="0" t="n">
        <v>0.0190404086247328</v>
      </c>
      <c r="BF20" s="0" t="n">
        <v>0.005455148257717</v>
      </c>
      <c r="BG20" s="0" t="n">
        <v>0.004190335115989</v>
      </c>
      <c r="BH20" s="0" t="n">
        <v>-0.001529384391831</v>
      </c>
      <c r="BI20" s="0" t="n">
        <v>-0.0014869038112751</v>
      </c>
      <c r="BJ20" s="0" t="n">
        <v>-0.003465917338538</v>
      </c>
      <c r="BK20" s="0" t="n">
        <v>0.0041059664117918</v>
      </c>
      <c r="BL20" s="0" t="n">
        <v>-0.0013379385350156</v>
      </c>
      <c r="BM20" s="0" t="n">
        <v>0.0285747251987285</v>
      </c>
      <c r="BN20" s="0" t="n">
        <v>0.0175214984109144</v>
      </c>
      <c r="BO20" s="0" t="n">
        <v>0.010689639284435</v>
      </c>
      <c r="BP20" s="0" t="n">
        <v>0.0040507187406937</v>
      </c>
      <c r="BQ20" s="0" t="n">
        <v>-0.0008361989925032</v>
      </c>
      <c r="BR20" s="0" t="n">
        <v>0.0108982885349024</v>
      </c>
      <c r="BS20" s="0" t="n">
        <v>0.0127377060113419</v>
      </c>
      <c r="BT20" s="0" t="n">
        <v>0.0020657733527305</v>
      </c>
      <c r="BU20" s="0" t="n">
        <v>0.0027257688668771</v>
      </c>
      <c r="BV20" s="0" t="n">
        <v>0.0081186839980411</v>
      </c>
      <c r="BW20" s="0" t="n">
        <v>0.0131946051485708</v>
      </c>
      <c r="BX20" s="0" t="n">
        <v>0.0175666354030484</v>
      </c>
      <c r="BY20" s="0" t="n">
        <v>0.0101158985708512</v>
      </c>
      <c r="BZ20" s="0" t="n">
        <v>0.0143352289384084</v>
      </c>
      <c r="CA20" s="0" t="n">
        <v>0.008480518454088</v>
      </c>
      <c r="CB20" s="0" t="n">
        <v>0.005043556710504</v>
      </c>
      <c r="CC20" s="0" t="n">
        <v>0.0157541706993227</v>
      </c>
      <c r="CD20" s="0" t="n">
        <v>0.0150333469209111</v>
      </c>
      <c r="CE20" s="0" t="n">
        <v>0.0069743389109368</v>
      </c>
      <c r="CF20" s="0" t="n">
        <v>0.0165582721455455</v>
      </c>
      <c r="CG20" s="0" t="n">
        <v>0.0133928241017485</v>
      </c>
      <c r="CH20" s="0" t="n">
        <v>-0.0019742729876429</v>
      </c>
      <c r="CI20" s="0" t="n">
        <v>0.01760798622828</v>
      </c>
      <c r="CJ20" s="0" t="n">
        <v>0.019275029620207</v>
      </c>
      <c r="CK20" s="0" t="n">
        <v>0.0205509187409724</v>
      </c>
      <c r="CL20" s="0" t="n">
        <v>0.0038671392652544</v>
      </c>
      <c r="CM20" s="0" t="n">
        <v>-0.0116965252385463</v>
      </c>
      <c r="CN20" s="0" t="n">
        <v>0.0041039661310642</v>
      </c>
      <c r="CO20" s="0" t="n">
        <v>0.002705389017577</v>
      </c>
      <c r="CP20" s="0" t="n">
        <v>0.0080706203420095</v>
      </c>
      <c r="CQ20" s="0" t="n">
        <v>0.0076970409976408</v>
      </c>
      <c r="CR20" s="0" t="n">
        <v>-0.0045821979516305</v>
      </c>
      <c r="CS20" s="0" t="n">
        <v>0.0035922535319031</v>
      </c>
      <c r="CT20" s="0" t="n">
        <v>0.0077511409292386</v>
      </c>
      <c r="CU20" s="0" t="n">
        <v>0.0042809349652019</v>
      </c>
      <c r="CV20" s="0" t="n">
        <v>-0.0039037945878361</v>
      </c>
      <c r="CW20" s="0" t="n">
        <v>0.014806643824558</v>
      </c>
      <c r="CX20" s="0" t="n">
        <v>0.0058204585849529</v>
      </c>
      <c r="CY20" s="0" t="n">
        <v>0.0053386981351794</v>
      </c>
      <c r="CZ20" s="0" t="n">
        <v>0.0122452191776701</v>
      </c>
      <c r="DA20" s="0" t="n">
        <v>0.0108160393874743</v>
      </c>
      <c r="DB20" s="0" t="n">
        <v>-0.0068980053455654</v>
      </c>
      <c r="DC20" s="0" t="n">
        <v>-0.0093888303169337</v>
      </c>
      <c r="DD20" s="0" t="n">
        <v>0.0089547866576131</v>
      </c>
      <c r="DE20" s="0" t="n">
        <v>-0.0093382647829382</v>
      </c>
      <c r="DF20" s="0" t="n">
        <v>0.0091468031557667</v>
      </c>
      <c r="DG20" s="0" t="n">
        <v>-0.0046473507942565</v>
      </c>
      <c r="DH20" s="0" t="n">
        <v>-0.0114731216340809</v>
      </c>
      <c r="DI20" s="0" t="n">
        <v>0.0050609713247971</v>
      </c>
      <c r="DJ20" s="0" t="n">
        <v>0.009026861228796</v>
      </c>
      <c r="DK20" s="0" t="n">
        <v>0.0049621194052624</v>
      </c>
      <c r="DL20" s="0" t="n">
        <v>-0.0033328407697316</v>
      </c>
      <c r="DM20" s="0" t="n">
        <v>0.0115011980380555</v>
      </c>
      <c r="DN20" s="0" t="n">
        <v>0.018922063905191</v>
      </c>
      <c r="DO20" s="0" t="n">
        <v>-0.0037141873092479</v>
      </c>
      <c r="DP20" s="0" t="n">
        <v>0.0052870543552245</v>
      </c>
      <c r="DQ20" s="0" t="n">
        <v>-0.0051690010025693</v>
      </c>
      <c r="DR20" s="0" t="n">
        <v>-0.0033569786058661</v>
      </c>
      <c r="DS20" s="0" t="n">
        <v>0.0081844120857622</v>
      </c>
      <c r="DT20" s="0" t="n">
        <v>-0.0206737387776047</v>
      </c>
      <c r="DU20" s="0" t="n">
        <v>-0.0112465687535362</v>
      </c>
      <c r="DV20" s="0" t="n">
        <v>0.005834042137384</v>
      </c>
      <c r="DW20" s="0" t="n">
        <v>0.0033805038702119</v>
      </c>
      <c r="DX20" s="0" t="n">
        <v>-0.0113225511585964</v>
      </c>
      <c r="DY20" s="0" t="n">
        <v>0.0031204563609859</v>
      </c>
      <c r="DZ20" s="0" t="n">
        <v>0.0009293884510252</v>
      </c>
      <c r="EA20" s="0" t="n">
        <v>-0.009548723573636</v>
      </c>
      <c r="EB20" s="0" t="n">
        <v>0.0007281409137759</v>
      </c>
      <c r="EC20" s="0" t="n">
        <v>-0.020228198243682</v>
      </c>
      <c r="ED20" s="0" t="n">
        <v>-0.005709891017154</v>
      </c>
      <c r="EE20" s="0" t="n">
        <v>-0.0149668766841168</v>
      </c>
      <c r="EF20" s="0" t="n">
        <v>-0.0095016345586452</v>
      </c>
      <c r="EG20" s="0" t="n">
        <v>-0.0103022311830114</v>
      </c>
      <c r="EH20" s="0" t="n">
        <v>0.0132752881199393</v>
      </c>
      <c r="EI20" s="0" t="n">
        <v>-0.0354434405624118</v>
      </c>
      <c r="EJ20" s="0" t="n">
        <v>0.0039131367919081</v>
      </c>
      <c r="EK20" s="0" t="n">
        <v>-0.0067919325293429</v>
      </c>
      <c r="EL20" s="0" t="n">
        <v>-0.0187836865100958</v>
      </c>
      <c r="EM20" s="0" t="n">
        <v>-0.04234044394848</v>
      </c>
      <c r="EN20" s="0" t="n">
        <v>0.0044915737152196</v>
      </c>
      <c r="EO20" s="0" t="n">
        <v>0.0039033462190968</v>
      </c>
      <c r="EP20" s="72" t="n">
        <f aca="false">SUMPRODUCT(B20:EO20,$B$5:$EO$5)</f>
        <v>-0.0217413568807998</v>
      </c>
      <c r="EQ20" s="72" t="n">
        <f aca="false">SUMIF('Mi portafolio'!$A$8:$A$19,$A20,'Mi portafolio'!$B$8:$B$19)</f>
        <v>0</v>
      </c>
    </row>
    <row r="21" customFormat="false" ht="15" hidden="false" customHeight="false" outlineLevel="0" collapsed="false">
      <c r="A21" s="71" t="s">
        <v>233</v>
      </c>
      <c r="B21" s="0" t="n">
        <v>0.0010535409621914</v>
      </c>
      <c r="C21" s="0" t="n">
        <v>-4.05699492410218E-005</v>
      </c>
      <c r="D21" s="0" t="n">
        <v>0.0008143802955691</v>
      </c>
      <c r="E21" s="0" t="n">
        <v>0.0032941704310797</v>
      </c>
      <c r="F21" s="0" t="n">
        <v>-0.0045536746251726</v>
      </c>
      <c r="G21" s="0" t="n">
        <v>0.0021135366753294</v>
      </c>
      <c r="H21" s="0" t="n">
        <v>-0.0007792983961075</v>
      </c>
      <c r="I21" s="0" t="n">
        <v>-0.0013446974661106</v>
      </c>
      <c r="J21" s="0" t="n">
        <v>0.0004001664980255</v>
      </c>
      <c r="K21" s="0" t="n">
        <v>-0.0019355843215741</v>
      </c>
      <c r="L21" s="0" t="n">
        <v>0.0041191207050547</v>
      </c>
      <c r="M21" s="0" t="n">
        <v>0.0001624691494711</v>
      </c>
      <c r="N21" s="0" t="n">
        <v>-0.0015939804909773</v>
      </c>
      <c r="O21" s="0" t="n">
        <v>0.0048025174333982</v>
      </c>
      <c r="P21" s="0" t="n">
        <v>0.0063076067776513</v>
      </c>
      <c r="Q21" s="0" t="n">
        <v>0.0482334880377436</v>
      </c>
      <c r="R21" s="0" t="n">
        <v>-0.0020788390202742</v>
      </c>
      <c r="S21" s="0" t="n">
        <v>0.0049251124827384</v>
      </c>
      <c r="T21" s="0" t="n">
        <v>0.0034905685775809</v>
      </c>
      <c r="U21" s="0" t="n">
        <v>-0.0025935923080624</v>
      </c>
      <c r="V21" s="0" t="n">
        <v>-0.0011541621755611</v>
      </c>
      <c r="W21" s="0" t="n">
        <v>0.0011588778584369</v>
      </c>
      <c r="X21" s="0" t="n">
        <v>0.0016121511184556</v>
      </c>
      <c r="Y21" s="0" t="n">
        <v>0.0025030051168717</v>
      </c>
      <c r="Z21" s="0" t="n">
        <v>0.0065102452972969</v>
      </c>
      <c r="AA21" s="0" t="n">
        <v>1.29196716788651E-005</v>
      </c>
      <c r="AB21" s="0" t="n">
        <v>0.000359086008835</v>
      </c>
      <c r="AC21" s="0" t="n">
        <v>0.0007370886853256</v>
      </c>
      <c r="AD21" s="0" t="n">
        <v>0.0016351140261968</v>
      </c>
      <c r="AE21" s="0" t="n">
        <v>0.0039401644181122</v>
      </c>
      <c r="AF21" s="0" t="n">
        <v>0.0025598824703971</v>
      </c>
      <c r="AG21" s="0" t="n">
        <v>0.0008689821912116</v>
      </c>
      <c r="AH21" s="0" t="n">
        <v>0.0009105003494126</v>
      </c>
      <c r="AI21" s="0" t="n">
        <v>0.0003620406064361</v>
      </c>
      <c r="AJ21" s="0" t="n">
        <v>0.0009590540715204</v>
      </c>
      <c r="AK21" s="0" t="n">
        <v>-0.0009094535431326</v>
      </c>
      <c r="AL21" s="0" t="n">
        <v>0.0052948038266478</v>
      </c>
      <c r="AM21" s="0" t="n">
        <v>0.0036824652371551</v>
      </c>
      <c r="AN21" s="0" t="n">
        <v>0.0045302153237143</v>
      </c>
      <c r="AO21" s="0" t="n">
        <v>3.96003411289324E-006</v>
      </c>
      <c r="AP21" s="0" t="n">
        <v>0.0049924571824948</v>
      </c>
      <c r="AQ21" s="0" t="n">
        <v>-0.0029093479236786</v>
      </c>
      <c r="AR21" s="0" t="n">
        <v>0.0017090587307867</v>
      </c>
      <c r="AS21" s="0" t="n">
        <v>0.0013888945370087</v>
      </c>
      <c r="AT21" s="0" t="n">
        <v>-0.0036239810050143</v>
      </c>
      <c r="AU21" s="0" t="n">
        <v>0.0010570520371807</v>
      </c>
      <c r="AV21" s="0" t="n">
        <v>0.0035285606881391</v>
      </c>
      <c r="AW21" s="0" t="n">
        <v>0.0078067112008891</v>
      </c>
      <c r="AX21" s="0" t="n">
        <v>-0.0002510990835929</v>
      </c>
      <c r="AY21" s="0" t="n">
        <v>-0.0038988646808627</v>
      </c>
      <c r="AZ21" s="0" t="n">
        <v>0.0062833509512909</v>
      </c>
      <c r="BA21" s="0" t="n">
        <v>0.0018152990573548</v>
      </c>
      <c r="BB21" s="0" t="n">
        <v>0.0034998709436243</v>
      </c>
      <c r="BC21" s="0" t="n">
        <v>-0.0055779535671508</v>
      </c>
      <c r="BD21" s="0" t="n">
        <v>0.0032571613498271</v>
      </c>
      <c r="BE21" s="0" t="n">
        <v>-0.0052004546507719</v>
      </c>
      <c r="BF21" s="0" t="n">
        <v>0.0046238136759949</v>
      </c>
      <c r="BG21" s="0" t="n">
        <v>0.0017816218130372</v>
      </c>
      <c r="BH21" s="0" t="n">
        <v>-0.0033133614964339</v>
      </c>
      <c r="BI21" s="0" t="n">
        <v>0.0044764700743217</v>
      </c>
      <c r="BJ21" s="0" t="n">
        <v>-0.0007106309281563</v>
      </c>
      <c r="BK21" s="0" t="n">
        <v>0.0118773397748251</v>
      </c>
      <c r="BL21" s="0" t="n">
        <v>0.0027379807819202</v>
      </c>
      <c r="BM21" s="0" t="n">
        <v>0.0005281087559303</v>
      </c>
      <c r="BN21" s="0" t="n">
        <v>0.0022823999394652</v>
      </c>
      <c r="BO21" s="0" t="n">
        <v>0.0050719502506271</v>
      </c>
      <c r="BP21" s="0" t="n">
        <v>-0.0017263145986335</v>
      </c>
      <c r="BQ21" s="0" t="n">
        <v>0.0077091868648769</v>
      </c>
      <c r="BR21" s="0" t="n">
        <v>0.003511424228854</v>
      </c>
      <c r="BS21" s="0" t="n">
        <v>-0.0037494941389353</v>
      </c>
      <c r="BT21" s="0" t="n">
        <v>0.001312711627807</v>
      </c>
      <c r="BU21" s="0" t="n">
        <v>-0.0017873549573418</v>
      </c>
      <c r="BV21" s="0" t="n">
        <v>0.0018194334509382</v>
      </c>
      <c r="BW21" s="0" t="n">
        <v>0.0030360685901598</v>
      </c>
      <c r="BX21" s="0" t="n">
        <v>0.0059609938226064</v>
      </c>
      <c r="BY21" s="0" t="n">
        <v>-0.0051800263125023</v>
      </c>
      <c r="BZ21" s="0" t="n">
        <v>0.0026002748645945</v>
      </c>
      <c r="CA21" s="0" t="n">
        <v>-0.004233561919946</v>
      </c>
      <c r="CB21" s="0" t="n">
        <v>-0.0016957222460539</v>
      </c>
      <c r="CC21" s="0" t="n">
        <v>0.0043778008166707</v>
      </c>
      <c r="CD21" s="0" t="n">
        <v>0.0033654172387605</v>
      </c>
      <c r="CE21" s="0" t="n">
        <v>0.0023311359847602</v>
      </c>
      <c r="CF21" s="0" t="n">
        <v>-0.0048639650797621</v>
      </c>
      <c r="CG21" s="0" t="n">
        <v>0.0007921000845267</v>
      </c>
      <c r="CH21" s="0" t="n">
        <v>0.009205815271699</v>
      </c>
      <c r="CI21" s="0" t="n">
        <v>-0.0041585496926388</v>
      </c>
      <c r="CJ21" s="0" t="n">
        <v>0.0027960615263892</v>
      </c>
      <c r="CK21" s="0" t="n">
        <v>8.62614269500489E-005</v>
      </c>
      <c r="CL21" s="0" t="n">
        <v>-0.0012311446177993</v>
      </c>
      <c r="CM21" s="0" t="n">
        <v>0.0053766968819508</v>
      </c>
      <c r="CN21" s="0" t="n">
        <v>0.0060849919317741</v>
      </c>
      <c r="CO21" s="0" t="n">
        <v>-0.0039037780896426</v>
      </c>
      <c r="CP21" s="0" t="n">
        <v>0.0083412803696397</v>
      </c>
      <c r="CQ21" s="0" t="n">
        <v>0.0016408876167203</v>
      </c>
      <c r="CR21" s="0" t="n">
        <v>0.0071516536453533</v>
      </c>
      <c r="CS21" s="0" t="n">
        <v>0.0083386457862696</v>
      </c>
      <c r="CT21" s="0" t="n">
        <v>0.0084398044616152</v>
      </c>
      <c r="CU21" s="0" t="n">
        <v>0.0093095078886795</v>
      </c>
      <c r="CV21" s="0" t="n">
        <v>-0.0091654688692207</v>
      </c>
      <c r="CW21" s="0" t="n">
        <v>0.0172720838458613</v>
      </c>
      <c r="CX21" s="0" t="n">
        <v>0.0103441187835122</v>
      </c>
      <c r="CY21" s="0" t="n">
        <v>0.0011619438897399</v>
      </c>
      <c r="CZ21" s="0" t="n">
        <v>0.0006396474357036</v>
      </c>
      <c r="DA21" s="0" t="n">
        <v>0.0003949896290591</v>
      </c>
      <c r="DB21" s="0" t="n">
        <v>0.0071296582717813</v>
      </c>
      <c r="DC21" s="0" t="n">
        <v>0.0089143831769813</v>
      </c>
      <c r="DD21" s="0" t="n">
        <v>0.006161377082144</v>
      </c>
      <c r="DE21" s="0" t="n">
        <v>0.0056079156511371</v>
      </c>
      <c r="DF21" s="0" t="n">
        <v>-0.0064251528282482</v>
      </c>
      <c r="DG21" s="0" t="n">
        <v>0.007262889604095</v>
      </c>
      <c r="DH21" s="0" t="n">
        <v>0.0115819010170464</v>
      </c>
      <c r="DI21" s="0" t="n">
        <v>0.0070680847266866</v>
      </c>
      <c r="DJ21" s="0" t="n">
        <v>-0.0005203399896326</v>
      </c>
      <c r="DK21" s="0" t="n">
        <v>0.0042530107668789</v>
      </c>
      <c r="DL21" s="0" t="n">
        <v>0.0046727160215846</v>
      </c>
      <c r="DM21" s="0" t="n">
        <v>-0.0007428292059874</v>
      </c>
      <c r="DN21" s="0" t="n">
        <v>-0.0124113788798072</v>
      </c>
      <c r="DO21" s="0" t="n">
        <v>0.0104913389835136</v>
      </c>
      <c r="DP21" s="0" t="n">
        <v>-0.0015596446881235</v>
      </c>
      <c r="DQ21" s="0" t="n">
        <v>0.0054300128631038</v>
      </c>
      <c r="DR21" s="0" t="n">
        <v>0.0178521896236703</v>
      </c>
      <c r="DS21" s="0" t="n">
        <v>0.0010367222839849</v>
      </c>
      <c r="DT21" s="0" t="n">
        <v>-0.0114056231344569</v>
      </c>
      <c r="DU21" s="0" t="n">
        <v>0.0008908363794911</v>
      </c>
      <c r="DV21" s="0" t="n">
        <v>-0.0028211028816133</v>
      </c>
      <c r="DW21" s="0" t="n">
        <v>-0.0049416720384495</v>
      </c>
      <c r="DX21" s="0" t="n">
        <v>0.0048383086522591</v>
      </c>
      <c r="DY21" s="0" t="n">
        <v>0.0053526507984612</v>
      </c>
      <c r="DZ21" s="0" t="n">
        <v>0.0063516772701799</v>
      </c>
      <c r="EA21" s="0" t="n">
        <v>0.0067437565426057</v>
      </c>
      <c r="EB21" s="0" t="n">
        <v>0.0060247481338407</v>
      </c>
      <c r="EC21" s="0" t="n">
        <v>0.0074493532924658</v>
      </c>
      <c r="ED21" s="0" t="n">
        <v>-0.013206786736339</v>
      </c>
      <c r="EE21" s="0" t="n">
        <v>0.0082994349399244</v>
      </c>
      <c r="EF21" s="0" t="n">
        <v>0.0108458040713295</v>
      </c>
      <c r="EG21" s="0" t="n">
        <v>0.0160865840812003</v>
      </c>
      <c r="EH21" s="0" t="n">
        <v>0.0022778986009974</v>
      </c>
      <c r="EI21" s="0" t="n">
        <v>0.0004398448627276</v>
      </c>
      <c r="EJ21" s="0" t="n">
        <v>-0.0022048949587986</v>
      </c>
      <c r="EK21" s="0" t="n">
        <v>0.0026230565492862</v>
      </c>
      <c r="EL21" s="0" t="n">
        <v>0.004890478725388</v>
      </c>
      <c r="EM21" s="0" t="n">
        <v>0.0017242191029508</v>
      </c>
      <c r="EN21" s="0" t="n">
        <v>-0.0293095114642796</v>
      </c>
      <c r="EO21" s="0" t="n">
        <v>0.0068800648174281</v>
      </c>
      <c r="EP21" s="72" t="n">
        <f aca="false">SUMPRODUCT(B21:EO21,$B$5:$EO$5)</f>
        <v>0.00697540872958851</v>
      </c>
      <c r="EQ21" s="72" t="n">
        <f aca="false">SUMIF('Mi portafolio'!$A$8:$A$19,$A21,'Mi portafolio'!$B$8:$B$19)</f>
        <v>0</v>
      </c>
    </row>
    <row r="22" customFormat="false" ht="15" hidden="false" customHeight="false" outlineLevel="0" collapsed="false">
      <c r="A22" s="71" t="s">
        <v>234</v>
      </c>
      <c r="B22" s="0" t="n">
        <v>0.0135245975769982</v>
      </c>
      <c r="C22" s="0" t="n">
        <v>0.0011651773015724</v>
      </c>
      <c r="D22" s="0" t="n">
        <v>-0.0067224398415502</v>
      </c>
      <c r="E22" s="0" t="n">
        <v>0.0040374843748204</v>
      </c>
      <c r="F22" s="0" t="n">
        <v>0.0290395679147641</v>
      </c>
      <c r="G22" s="0" t="n">
        <v>-0.0009899849033968</v>
      </c>
      <c r="H22" s="0" t="n">
        <v>0.0025881702967078</v>
      </c>
      <c r="I22" s="0" t="n">
        <v>0.0249316878812653</v>
      </c>
      <c r="J22" s="0" t="n">
        <v>0.0221810171411348</v>
      </c>
      <c r="K22" s="0" t="n">
        <v>0.027257997065747</v>
      </c>
      <c r="L22" s="0" t="n">
        <v>0.0044992697716167</v>
      </c>
      <c r="M22" s="0" t="n">
        <v>0.0144769341814008</v>
      </c>
      <c r="N22" s="0" t="n">
        <v>0.015326557005444</v>
      </c>
      <c r="O22" s="0" t="n">
        <v>0.0059003609299371</v>
      </c>
      <c r="P22" s="0" t="n">
        <v>0.0227587557332573</v>
      </c>
      <c r="Q22" s="0" t="n">
        <v>-0.0020788390202742</v>
      </c>
      <c r="R22" s="0" t="n">
        <v>0.0480883491007664</v>
      </c>
      <c r="S22" s="0" t="n">
        <v>0.0052042445351689</v>
      </c>
      <c r="T22" s="0" t="n">
        <v>0.0062185925421018</v>
      </c>
      <c r="U22" s="0" t="n">
        <v>0.0039569302819704</v>
      </c>
      <c r="V22" s="0" t="n">
        <v>0.004705994011517</v>
      </c>
      <c r="W22" s="0" t="n">
        <v>0.0087094157213541</v>
      </c>
      <c r="X22" s="0" t="n">
        <v>0.0066115389847854</v>
      </c>
      <c r="Y22" s="0" t="n">
        <v>0.0115831346223288</v>
      </c>
      <c r="Z22" s="0" t="n">
        <v>0.0073290648428314</v>
      </c>
      <c r="AA22" s="0" t="n">
        <v>0.0115639055427022</v>
      </c>
      <c r="AB22" s="0" t="n">
        <v>0.0115045095934254</v>
      </c>
      <c r="AC22" s="0" t="n">
        <v>0.0025646328610547</v>
      </c>
      <c r="AD22" s="0" t="n">
        <v>0.0041193006473486</v>
      </c>
      <c r="AE22" s="0" t="n">
        <v>0.0013401908231616</v>
      </c>
      <c r="AF22" s="0" t="n">
        <v>-0.0006721667905748</v>
      </c>
      <c r="AG22" s="0" t="n">
        <v>0.0215825516546611</v>
      </c>
      <c r="AH22" s="0" t="n">
        <v>0.025647681017132</v>
      </c>
      <c r="AI22" s="0" t="n">
        <v>0.0150774242139753</v>
      </c>
      <c r="AJ22" s="0" t="n">
        <v>-0.0060869650334512</v>
      </c>
      <c r="AK22" s="0" t="n">
        <v>0.0043932346564325</v>
      </c>
      <c r="AL22" s="0" t="n">
        <v>0.0170699552090242</v>
      </c>
      <c r="AM22" s="0" t="n">
        <v>0.0056146638571368</v>
      </c>
      <c r="AN22" s="0" t="n">
        <v>0.0247851413802887</v>
      </c>
      <c r="AO22" s="0" t="n">
        <v>0.0168166925956834</v>
      </c>
      <c r="AP22" s="0" t="n">
        <v>0.0211587135216697</v>
      </c>
      <c r="AQ22" s="0" t="n">
        <v>0.0149964616746267</v>
      </c>
      <c r="AR22" s="0" t="n">
        <v>0.009385516932121</v>
      </c>
      <c r="AS22" s="0" t="n">
        <v>0.0013308762618418</v>
      </c>
      <c r="AT22" s="0" t="n">
        <v>0.0064674829846225</v>
      </c>
      <c r="AU22" s="0" t="n">
        <v>0.0268637914618588</v>
      </c>
      <c r="AV22" s="0" t="n">
        <v>0.0095298455558736</v>
      </c>
      <c r="AW22" s="0" t="n">
        <v>0.0029393397882803</v>
      </c>
      <c r="AX22" s="0" t="n">
        <v>0.0240175190224124</v>
      </c>
      <c r="AY22" s="0" t="n">
        <v>0.0183947752159033</v>
      </c>
      <c r="AZ22" s="0" t="n">
        <v>-0.0001490614965277</v>
      </c>
      <c r="BA22" s="0" t="n">
        <v>0.0187422173891494</v>
      </c>
      <c r="BB22" s="0" t="n">
        <v>-0.0002206275407728</v>
      </c>
      <c r="BC22" s="0" t="n">
        <v>0.0035468274723277</v>
      </c>
      <c r="BD22" s="0" t="n">
        <v>0.0030815009830377</v>
      </c>
      <c r="BE22" s="0" t="n">
        <v>0.0243010099904777</v>
      </c>
      <c r="BF22" s="0" t="n">
        <v>0.0044396528443294</v>
      </c>
      <c r="BG22" s="0" t="n">
        <v>0.0088967976233157</v>
      </c>
      <c r="BH22" s="0" t="n">
        <v>0.0052032123306995</v>
      </c>
      <c r="BI22" s="0" t="n">
        <v>0.0044553583445911</v>
      </c>
      <c r="BJ22" s="0" t="n">
        <v>-0.0065558166585575</v>
      </c>
      <c r="BK22" s="0" t="n">
        <v>0.0016114395671919</v>
      </c>
      <c r="BL22" s="0" t="n">
        <v>0.0090306946316318</v>
      </c>
      <c r="BM22" s="0" t="n">
        <v>0.0299308909787125</v>
      </c>
      <c r="BN22" s="0" t="n">
        <v>0.0123291543325517</v>
      </c>
      <c r="BO22" s="0" t="n">
        <v>0.0090592571427572</v>
      </c>
      <c r="BP22" s="0" t="n">
        <v>0.000408345714914</v>
      </c>
      <c r="BQ22" s="0" t="n">
        <v>0.0003838801477013</v>
      </c>
      <c r="BR22" s="0" t="n">
        <v>0.0151239398506679</v>
      </c>
      <c r="BS22" s="0" t="n">
        <v>0.0109248067158671</v>
      </c>
      <c r="BT22" s="0" t="n">
        <v>0.0066336687093437</v>
      </c>
      <c r="BU22" s="0" t="n">
        <v>0.0010942639360742</v>
      </c>
      <c r="BV22" s="0" t="n">
        <v>0.002954640966503</v>
      </c>
      <c r="BW22" s="0" t="n">
        <v>0.0171902132466982</v>
      </c>
      <c r="BX22" s="0" t="n">
        <v>0.0165992533882549</v>
      </c>
      <c r="BY22" s="0" t="n">
        <v>0.0185054733690617</v>
      </c>
      <c r="BZ22" s="0" t="n">
        <v>0.0116164706256241</v>
      </c>
      <c r="CA22" s="0" t="n">
        <v>0.0022513148463935</v>
      </c>
      <c r="CB22" s="0" t="n">
        <v>0.0052260470070374</v>
      </c>
      <c r="CC22" s="0" t="n">
        <v>0.0030249723877255</v>
      </c>
      <c r="CD22" s="0" t="n">
        <v>0.0120356049753655</v>
      </c>
      <c r="CE22" s="0" t="n">
        <v>0.0008491591468981</v>
      </c>
      <c r="CF22" s="0" t="n">
        <v>0.0154807779378899</v>
      </c>
      <c r="CG22" s="0" t="n">
        <v>0.0118511449564995</v>
      </c>
      <c r="CH22" s="0" t="n">
        <v>0.0023876146680883</v>
      </c>
      <c r="CI22" s="0" t="n">
        <v>0.0146864689209499</v>
      </c>
      <c r="CJ22" s="0" t="n">
        <v>0.0255225459007728</v>
      </c>
      <c r="CK22" s="0" t="n">
        <v>0.0272896241595058</v>
      </c>
      <c r="CL22" s="0" t="n">
        <v>0.009005875104474</v>
      </c>
      <c r="CM22" s="0" t="n">
        <v>-0.0150704294087495</v>
      </c>
      <c r="CN22" s="0" t="n">
        <v>-0.0072686186517718</v>
      </c>
      <c r="CO22" s="0" t="n">
        <v>0.0042944184379489</v>
      </c>
      <c r="CP22" s="0" t="n">
        <v>0.0151004368100548</v>
      </c>
      <c r="CQ22" s="0" t="n">
        <v>0.0105665326214113</v>
      </c>
      <c r="CR22" s="0" t="n">
        <v>-0.0096565259753115</v>
      </c>
      <c r="CS22" s="0" t="n">
        <v>-0.0031906224877866</v>
      </c>
      <c r="CT22" s="0" t="n">
        <v>0.0015854418147781</v>
      </c>
      <c r="CU22" s="0" t="n">
        <v>0.0044163353246974</v>
      </c>
      <c r="CV22" s="0" t="n">
        <v>0.0024854517585879</v>
      </c>
      <c r="CW22" s="0" t="n">
        <v>0.0116814222014403</v>
      </c>
      <c r="CX22" s="0" t="n">
        <v>0.005179589393499</v>
      </c>
      <c r="CY22" s="0" t="n">
        <v>0.0121527752070755</v>
      </c>
      <c r="CZ22" s="0" t="n">
        <v>0.0100153279701136</v>
      </c>
      <c r="DA22" s="0" t="n">
        <v>0.0040766187326513</v>
      </c>
      <c r="DB22" s="0" t="n">
        <v>-0.0036199771504287</v>
      </c>
      <c r="DC22" s="0" t="n">
        <v>-0.0028736838991003</v>
      </c>
      <c r="DD22" s="0" t="n">
        <v>0.0067032504926955</v>
      </c>
      <c r="DE22" s="0" t="n">
        <v>-0.0055073381758926</v>
      </c>
      <c r="DF22" s="0" t="n">
        <v>0.0062202824005753</v>
      </c>
      <c r="DG22" s="0" t="n">
        <v>0.0034060078923499</v>
      </c>
      <c r="DH22" s="0" t="n">
        <v>-0.0139764385076622</v>
      </c>
      <c r="DI22" s="0" t="n">
        <v>0.012346888153134</v>
      </c>
      <c r="DJ22" s="0" t="n">
        <v>0.0157767994117389</v>
      </c>
      <c r="DK22" s="0" t="n">
        <v>0.0104372577766286</v>
      </c>
      <c r="DL22" s="0" t="n">
        <v>-0.0039659803117449</v>
      </c>
      <c r="DM22" s="0" t="n">
        <v>0.0207037315699986</v>
      </c>
      <c r="DN22" s="0" t="n">
        <v>0.0186761760026808</v>
      </c>
      <c r="DO22" s="0" t="n">
        <v>0.0041894215520429</v>
      </c>
      <c r="DP22" s="0" t="n">
        <v>0.0147091741684406</v>
      </c>
      <c r="DQ22" s="0" t="n">
        <v>0.0041778763038389</v>
      </c>
      <c r="DR22" s="0" t="n">
        <v>-0.0057751234092025</v>
      </c>
      <c r="DS22" s="0" t="n">
        <v>0.00653950884832</v>
      </c>
      <c r="DT22" s="0" t="n">
        <v>-0.0177945679406226</v>
      </c>
      <c r="DU22" s="0" t="n">
        <v>-0.0089268090601424</v>
      </c>
      <c r="DV22" s="0" t="n">
        <v>0.0029429090877712</v>
      </c>
      <c r="DW22" s="0" t="n">
        <v>0.0027801047713538</v>
      </c>
      <c r="DX22" s="0" t="n">
        <v>-0.0295371608363262</v>
      </c>
      <c r="DY22" s="0" t="n">
        <v>0.0013807665065771</v>
      </c>
      <c r="DZ22" s="0" t="n">
        <v>-0.0069689493717532</v>
      </c>
      <c r="EA22" s="0" t="n">
        <v>0.0003722890934126</v>
      </c>
      <c r="EB22" s="0" t="n">
        <v>-0.001848874776821</v>
      </c>
      <c r="EC22" s="0" t="n">
        <v>-0.0160060821039341</v>
      </c>
      <c r="ED22" s="0" t="n">
        <v>-0.0012896129131806</v>
      </c>
      <c r="EE22" s="0" t="n">
        <v>-0.0207903099337906</v>
      </c>
      <c r="EF22" s="0" t="n">
        <v>0.0108618803009673</v>
      </c>
      <c r="EG22" s="0" t="n">
        <v>-0.0180613352131911</v>
      </c>
      <c r="EH22" s="0" t="n">
        <v>0.0036927297575119</v>
      </c>
      <c r="EI22" s="0" t="n">
        <v>-0.0476002500515678</v>
      </c>
      <c r="EJ22" s="0" t="n">
        <v>0.0110028299671341</v>
      </c>
      <c r="EK22" s="0" t="n">
        <v>-0.0035995737130062</v>
      </c>
      <c r="EL22" s="0" t="n">
        <v>-0.0271394183536374</v>
      </c>
      <c r="EM22" s="0" t="n">
        <v>-0.0183868463625747</v>
      </c>
      <c r="EN22" s="0" t="n">
        <v>0.0444799061890041</v>
      </c>
      <c r="EO22" s="0" t="n">
        <v>0.0091765077546494</v>
      </c>
      <c r="EP22" s="72" t="n">
        <f aca="false">SUMPRODUCT(B22:EO22,$B$5:$EO$5)</f>
        <v>-0.0309252005115024</v>
      </c>
      <c r="EQ22" s="72" t="n">
        <f aca="false">SUMIF('Mi portafolio'!$A$8:$A$19,$A22,'Mi portafolio'!$B$8:$B$19)</f>
        <v>0</v>
      </c>
    </row>
    <row r="23" customFormat="false" ht="15" hidden="false" customHeight="false" outlineLevel="0" collapsed="false">
      <c r="A23" s="71" t="s">
        <v>236</v>
      </c>
      <c r="B23" s="0" t="n">
        <v>0.0003716856162687</v>
      </c>
      <c r="C23" s="0" t="n">
        <v>0.0025134092497825</v>
      </c>
      <c r="D23" s="0" t="n">
        <v>0.0046130503992657</v>
      </c>
      <c r="E23" s="0" t="n">
        <v>0.0105427943339411</v>
      </c>
      <c r="F23" s="0" t="n">
        <v>0.0049564534803866</v>
      </c>
      <c r="G23" s="0" t="n">
        <v>-0.0020838769697169</v>
      </c>
      <c r="H23" s="0" t="n">
        <v>0.0113097693108666</v>
      </c>
      <c r="I23" s="0" t="n">
        <v>0.0048652001976411</v>
      </c>
      <c r="J23" s="0" t="n">
        <v>0.0065740953199182</v>
      </c>
      <c r="K23" s="0" t="n">
        <v>0.0081090333936589</v>
      </c>
      <c r="L23" s="0" t="n">
        <v>0.0157917534400001</v>
      </c>
      <c r="M23" s="0" t="n">
        <v>0.0058375738602443</v>
      </c>
      <c r="N23" s="0" t="n">
        <v>0.0056234947552528</v>
      </c>
      <c r="O23" s="0" t="n">
        <v>0.0122810366293125</v>
      </c>
      <c r="P23" s="0" t="n">
        <v>0.0051102429666234</v>
      </c>
      <c r="Q23" s="0" t="n">
        <v>0.0049251124827384</v>
      </c>
      <c r="R23" s="0" t="n">
        <v>0.0052042445351689</v>
      </c>
      <c r="S23" s="0" t="n">
        <v>0.0483228550953551</v>
      </c>
      <c r="T23" s="0" t="n">
        <v>-0.0007026261107895</v>
      </c>
      <c r="U23" s="0" t="n">
        <v>0.0174445100482138</v>
      </c>
      <c r="V23" s="0" t="n">
        <v>0.0115549584308759</v>
      </c>
      <c r="W23" s="0" t="n">
        <v>0.0110728786018873</v>
      </c>
      <c r="X23" s="0" t="n">
        <v>0.0007727018081971</v>
      </c>
      <c r="Y23" s="0" t="n">
        <v>0.0077263470090619</v>
      </c>
      <c r="Z23" s="0" t="n">
        <v>0.0141205914080214</v>
      </c>
      <c r="AA23" s="0" t="n">
        <v>0.0114786455469842</v>
      </c>
      <c r="AB23" s="0" t="n">
        <v>0.0043890853679291</v>
      </c>
      <c r="AC23" s="0" t="n">
        <v>0.0056837850027121</v>
      </c>
      <c r="AD23" s="0" t="n">
        <v>0.0148115095924633</v>
      </c>
      <c r="AE23" s="0" t="n">
        <v>0.0127447821218423</v>
      </c>
      <c r="AF23" s="0" t="n">
        <v>0.0167601397575407</v>
      </c>
      <c r="AG23" s="0" t="n">
        <v>0.0066064809915141</v>
      </c>
      <c r="AH23" s="0" t="n">
        <v>0.0048226402673458</v>
      </c>
      <c r="AI23" s="0" t="n">
        <v>-0.0050680171925182</v>
      </c>
      <c r="AJ23" s="0" t="n">
        <v>0.0095617080893889</v>
      </c>
      <c r="AK23" s="0" t="n">
        <v>0.0119851263445853</v>
      </c>
      <c r="AL23" s="0" t="n">
        <v>0.0019052960130915</v>
      </c>
      <c r="AM23" s="0" t="n">
        <v>0.0091301971561248</v>
      </c>
      <c r="AN23" s="0" t="n">
        <v>0.0106278830689116</v>
      </c>
      <c r="AO23" s="0" t="n">
        <v>0.0059849539902675</v>
      </c>
      <c r="AP23" s="0" t="n">
        <v>0.0058895554631505</v>
      </c>
      <c r="AQ23" s="0" t="n">
        <v>-0.0075731038242624</v>
      </c>
      <c r="AR23" s="0" t="n">
        <v>0.0009741543094547</v>
      </c>
      <c r="AS23" s="0" t="n">
        <v>0.0127594909221998</v>
      </c>
      <c r="AT23" s="0" t="n">
        <v>0.0009330402241673</v>
      </c>
      <c r="AU23" s="0" t="n">
        <v>0.0048647957357211</v>
      </c>
      <c r="AV23" s="0" t="n">
        <v>0.0174196150605449</v>
      </c>
      <c r="AW23" s="0" t="n">
        <v>0.0201282765678274</v>
      </c>
      <c r="AX23" s="0" t="n">
        <v>0.0103830007968138</v>
      </c>
      <c r="AY23" s="0" t="n">
        <v>0.0029725212644283</v>
      </c>
      <c r="AZ23" s="0" t="n">
        <v>0.0179013443603217</v>
      </c>
      <c r="BA23" s="0" t="n">
        <v>0.0072588494100164</v>
      </c>
      <c r="BB23" s="0" t="n">
        <v>-0.001136095105525</v>
      </c>
      <c r="BC23" s="0" t="n">
        <v>0.012294931627953</v>
      </c>
      <c r="BD23" s="0" t="n">
        <v>0.0215114511369341</v>
      </c>
      <c r="BE23" s="0" t="n">
        <v>0.0106587691074383</v>
      </c>
      <c r="BF23" s="0" t="n">
        <v>0.0145860121881478</v>
      </c>
      <c r="BG23" s="0" t="n">
        <v>0.0053342606244519</v>
      </c>
      <c r="BH23" s="0" t="n">
        <v>0.0159545166137368</v>
      </c>
      <c r="BI23" s="0" t="n">
        <v>0.0118685468573702</v>
      </c>
      <c r="BJ23" s="0" t="n">
        <v>0.0067161686109019</v>
      </c>
      <c r="BK23" s="0" t="n">
        <v>0.0155224471214297</v>
      </c>
      <c r="BL23" s="0" t="n">
        <v>0.0048436458675159</v>
      </c>
      <c r="BM23" s="0" t="n">
        <v>0.0080540574776296</v>
      </c>
      <c r="BN23" s="0" t="n">
        <v>0.0075110083001064</v>
      </c>
      <c r="BO23" s="0" t="n">
        <v>0.0093865828826554</v>
      </c>
      <c r="BP23" s="0" t="n">
        <v>0.006806834896478</v>
      </c>
      <c r="BQ23" s="0" t="n">
        <v>0.0220127451363783</v>
      </c>
      <c r="BR23" s="0" t="n">
        <v>0.0064893640684285</v>
      </c>
      <c r="BS23" s="0" t="n">
        <v>-0.0087454068841035</v>
      </c>
      <c r="BT23" s="0" t="n">
        <v>0.0127312878415917</v>
      </c>
      <c r="BU23" s="0" t="n">
        <v>0.014968338810671</v>
      </c>
      <c r="BV23" s="0" t="n">
        <v>0.005482163418625</v>
      </c>
      <c r="BW23" s="0" t="n">
        <v>0.0074690550907</v>
      </c>
      <c r="BX23" s="0" t="n">
        <v>0.0135484606715202</v>
      </c>
      <c r="BY23" s="0" t="n">
        <v>-0.000445959331323</v>
      </c>
      <c r="BZ23" s="0" t="n">
        <v>0.0083046619411128</v>
      </c>
      <c r="CA23" s="0" t="n">
        <v>0.0180521300148043</v>
      </c>
      <c r="CB23" s="0" t="n">
        <v>-0.006913189430602</v>
      </c>
      <c r="CC23" s="0" t="n">
        <v>0.0078550048398998</v>
      </c>
      <c r="CD23" s="0" t="n">
        <v>0.0090789364543975</v>
      </c>
      <c r="CE23" s="0" t="n">
        <v>-0.0018895109930752</v>
      </c>
      <c r="CF23" s="0" t="n">
        <v>-0.0073154154616625</v>
      </c>
      <c r="CG23" s="0" t="n">
        <v>0.0112637398968363</v>
      </c>
      <c r="CH23" s="0" t="n">
        <v>0.0119483938910666</v>
      </c>
      <c r="CI23" s="0" t="n">
        <v>-0.0118627592142248</v>
      </c>
      <c r="CJ23" s="0" t="n">
        <v>0.0065675637414247</v>
      </c>
      <c r="CK23" s="0" t="n">
        <v>0.007104206231784</v>
      </c>
      <c r="CL23" s="0" t="n">
        <v>-0.0029588320776771</v>
      </c>
      <c r="CM23" s="0" t="n">
        <v>-0.0004545265357148</v>
      </c>
      <c r="CN23" s="0" t="n">
        <v>0.0051299096204339</v>
      </c>
      <c r="CO23" s="0" t="n">
        <v>0.0123880430929071</v>
      </c>
      <c r="CP23" s="0" t="n">
        <v>-0.0005553871459299</v>
      </c>
      <c r="CQ23" s="0" t="n">
        <v>0.0069355115890411</v>
      </c>
      <c r="CR23" s="0" t="n">
        <v>0.0009440726093324</v>
      </c>
      <c r="CS23" s="0" t="n">
        <v>0.0032255255904063</v>
      </c>
      <c r="CT23" s="0" t="n">
        <v>0.005104625127129</v>
      </c>
      <c r="CU23" s="0" t="n">
        <v>0.0042132806903484</v>
      </c>
      <c r="CV23" s="0" t="n">
        <v>0.0050145026517895</v>
      </c>
      <c r="CW23" s="0" t="n">
        <v>0.0135608425420899</v>
      </c>
      <c r="CX23" s="0" t="n">
        <v>0.0110164377191753</v>
      </c>
      <c r="CY23" s="0" t="n">
        <v>0.0040041844658151</v>
      </c>
      <c r="CZ23" s="0" t="n">
        <v>0.0102284113163268</v>
      </c>
      <c r="DA23" s="0" t="n">
        <v>0.0095882409471247</v>
      </c>
      <c r="DB23" s="0" t="n">
        <v>0.0030175171422768</v>
      </c>
      <c r="DC23" s="0" t="n">
        <v>0.0097367288857505</v>
      </c>
      <c r="DD23" s="0" t="n">
        <v>0.013294753832314</v>
      </c>
      <c r="DE23" s="0" t="n">
        <v>-0.003132603749485</v>
      </c>
      <c r="DF23" s="0" t="n">
        <v>-0.0035009327243631</v>
      </c>
      <c r="DG23" s="0" t="n">
        <v>0.0147437747952426</v>
      </c>
      <c r="DH23" s="0" t="n">
        <v>-0.000376426005899</v>
      </c>
      <c r="DI23" s="0" t="n">
        <v>0.0112810791205906</v>
      </c>
      <c r="DJ23" s="0" t="n">
        <v>0.0067856802832474</v>
      </c>
      <c r="DK23" s="0" t="n">
        <v>0.0117702703999265</v>
      </c>
      <c r="DL23" s="0" t="n">
        <v>0.0184866932008133</v>
      </c>
      <c r="DM23" s="0" t="n">
        <v>0.0101472475871077</v>
      </c>
      <c r="DN23" s="0" t="n">
        <v>-0.0001524002590615</v>
      </c>
      <c r="DO23" s="0" t="n">
        <v>0.010562576531862</v>
      </c>
      <c r="DP23" s="0" t="n">
        <v>0.0066946055955869</v>
      </c>
      <c r="DQ23" s="0" t="n">
        <v>0.0102219674296598</v>
      </c>
      <c r="DR23" s="0" t="n">
        <v>-0.0084312204129613</v>
      </c>
      <c r="DS23" s="0" t="n">
        <v>0.0030776764431101</v>
      </c>
      <c r="DT23" s="0" t="n">
        <v>-0.0025312767384578</v>
      </c>
      <c r="DU23" s="0" t="n">
        <v>0.007505989973147</v>
      </c>
      <c r="DV23" s="0" t="n">
        <v>0.0022485546482858</v>
      </c>
      <c r="DW23" s="0" t="n">
        <v>0.007900154726836</v>
      </c>
      <c r="DX23" s="0" t="n">
        <v>-0.0089380160766656</v>
      </c>
      <c r="DY23" s="0" t="n">
        <v>0.0053286290293448</v>
      </c>
      <c r="DZ23" s="0" t="n">
        <v>0.0085268643261765</v>
      </c>
      <c r="EA23" s="0" t="n">
        <v>0.0095740449591746</v>
      </c>
      <c r="EB23" s="0" t="n">
        <v>0.0001575946453424</v>
      </c>
      <c r="EC23" s="0" t="n">
        <v>0.0129908740628572</v>
      </c>
      <c r="ED23" s="0" t="n">
        <v>0.0085673920587559</v>
      </c>
      <c r="EE23" s="0" t="n">
        <v>0.0069084869908189</v>
      </c>
      <c r="EF23" s="0" t="n">
        <v>0.0020056447153652</v>
      </c>
      <c r="EG23" s="0" t="n">
        <v>0.0176096783998542</v>
      </c>
      <c r="EH23" s="0" t="n">
        <v>-0.0132657494219519</v>
      </c>
      <c r="EI23" s="0" t="n">
        <v>0.0013292719379606</v>
      </c>
      <c r="EJ23" s="0" t="n">
        <v>0.0125121890139079</v>
      </c>
      <c r="EK23" s="0" t="n">
        <v>-0.0082970968899004</v>
      </c>
      <c r="EL23" s="0" t="n">
        <v>0.0033725899244248</v>
      </c>
      <c r="EM23" s="0" t="n">
        <v>0.0038401566782184</v>
      </c>
      <c r="EN23" s="0" t="n">
        <v>0.0275209570510968</v>
      </c>
      <c r="EO23" s="0" t="n">
        <v>-0.0342524197487327</v>
      </c>
      <c r="EP23" s="72" t="n">
        <f aca="false">SUMPRODUCT(B23:EO23,$B$5:$EO$5)</f>
        <v>0.00902086801066804</v>
      </c>
      <c r="EQ23" s="72" t="n">
        <f aca="false">SUMIF('Mi portafolio'!$A$8:$A$19,$A23,'Mi portafolio'!$B$8:$B$19)</f>
        <v>0</v>
      </c>
    </row>
    <row r="24" customFormat="false" ht="15" hidden="false" customHeight="false" outlineLevel="0" collapsed="false">
      <c r="A24" s="71" t="s">
        <v>238</v>
      </c>
      <c r="B24" s="0" t="n">
        <v>0.0090641320408404</v>
      </c>
      <c r="C24" s="0" t="n">
        <v>0.0001427511250352</v>
      </c>
      <c r="D24" s="0" t="n">
        <v>0.0024668610200929</v>
      </c>
      <c r="E24" s="0" t="n">
        <v>0.0059084749516047</v>
      </c>
      <c r="F24" s="0" t="n">
        <v>0.0022963114625067</v>
      </c>
      <c r="G24" s="0" t="n">
        <v>0.0009538740093648</v>
      </c>
      <c r="H24" s="0" t="n">
        <v>0.0015456869855601</v>
      </c>
      <c r="I24" s="0" t="n">
        <v>0.0071565310526845</v>
      </c>
      <c r="J24" s="0" t="n">
        <v>0.0056091160471965</v>
      </c>
      <c r="K24" s="0" t="n">
        <v>0.0060462649064241</v>
      </c>
      <c r="L24" s="0" t="n">
        <v>0.001496576024171</v>
      </c>
      <c r="M24" s="0" t="n">
        <v>0.0169506517335239</v>
      </c>
      <c r="N24" s="0" t="n">
        <v>0.0106404781478534</v>
      </c>
      <c r="O24" s="0" t="n">
        <v>0.003513626819007</v>
      </c>
      <c r="P24" s="0" t="n">
        <v>0.0045861172600484</v>
      </c>
      <c r="Q24" s="0" t="n">
        <v>0.0034905685775809</v>
      </c>
      <c r="R24" s="0" t="n">
        <v>0.0062185925421018</v>
      </c>
      <c r="S24" s="0" t="n">
        <v>-0.0007026261107895</v>
      </c>
      <c r="T24" s="0" t="n">
        <v>0.0477327557113256</v>
      </c>
      <c r="U24" s="0" t="n">
        <v>0.0080068702856058</v>
      </c>
      <c r="V24" s="0" t="n">
        <v>0.0012059759064348</v>
      </c>
      <c r="W24" s="0" t="n">
        <v>0.004667379102169</v>
      </c>
      <c r="X24" s="0" t="n">
        <v>0.0401203829316288</v>
      </c>
      <c r="Y24" s="0" t="n">
        <v>0.0189881283841835</v>
      </c>
      <c r="Z24" s="0" t="n">
        <v>0.0042955250490332</v>
      </c>
      <c r="AA24" s="0" t="n">
        <v>0.0064967377601713</v>
      </c>
      <c r="AB24" s="0" t="n">
        <v>0.020940039702715</v>
      </c>
      <c r="AC24" s="0" t="n">
        <v>0.0031505722465229</v>
      </c>
      <c r="AD24" s="0" t="n">
        <v>-0.0016812898874027</v>
      </c>
      <c r="AE24" s="0" t="n">
        <v>0.008950653489997</v>
      </c>
      <c r="AF24" s="0" t="n">
        <v>0.0054591855552336</v>
      </c>
      <c r="AG24" s="0" t="n">
        <v>0.0041222280894339</v>
      </c>
      <c r="AH24" s="0" t="n">
        <v>0.0044080791268102</v>
      </c>
      <c r="AI24" s="0" t="n">
        <v>0.0025827753460634</v>
      </c>
      <c r="AJ24" s="0" t="n">
        <v>-0.0018950420963775</v>
      </c>
      <c r="AK24" s="0" t="n">
        <v>0.0089464890198277</v>
      </c>
      <c r="AL24" s="0" t="n">
        <v>0.0176516352487736</v>
      </c>
      <c r="AM24" s="0" t="n">
        <v>0.0112784874626862</v>
      </c>
      <c r="AN24" s="0" t="n">
        <v>0.0172263164896748</v>
      </c>
      <c r="AO24" s="0" t="n">
        <v>0.0078343789981736</v>
      </c>
      <c r="AP24" s="0" t="n">
        <v>0.015603722571607</v>
      </c>
      <c r="AQ24" s="0" t="n">
        <v>-0.0003497066198261</v>
      </c>
      <c r="AR24" s="0" t="n">
        <v>0.0469925976145833</v>
      </c>
      <c r="AS24" s="0" t="n">
        <v>0.0066415289551218</v>
      </c>
      <c r="AT24" s="0" t="n">
        <v>0.0365621587455245</v>
      </c>
      <c r="AU24" s="0" t="n">
        <v>0.004564746775786</v>
      </c>
      <c r="AV24" s="0" t="n">
        <v>0.0089191649706983</v>
      </c>
      <c r="AW24" s="0" t="n">
        <v>0.0052407577206442</v>
      </c>
      <c r="AX24" s="0" t="n">
        <v>0.0146561225161556</v>
      </c>
      <c r="AY24" s="0" t="n">
        <v>0.0153866783539178</v>
      </c>
      <c r="AZ24" s="0" t="n">
        <v>0.0082128182123331</v>
      </c>
      <c r="BA24" s="0" t="n">
        <v>0.0205369294504583</v>
      </c>
      <c r="BB24" s="0" t="n">
        <v>0.0478699954455324</v>
      </c>
      <c r="BC24" s="0" t="n">
        <v>0.0044920812891658</v>
      </c>
      <c r="BD24" s="0" t="n">
        <v>0.005969501608576</v>
      </c>
      <c r="BE24" s="0" t="n">
        <v>0.0109281207785669</v>
      </c>
      <c r="BF24" s="0" t="n">
        <v>0.010691362637875</v>
      </c>
      <c r="BG24" s="0" t="n">
        <v>0.0200830166751328</v>
      </c>
      <c r="BH24" s="0" t="n">
        <v>0.0068625070752458</v>
      </c>
      <c r="BI24" s="0" t="n">
        <v>0.0087899257174387</v>
      </c>
      <c r="BJ24" s="0" t="n">
        <v>0.002916435388734</v>
      </c>
      <c r="BK24" s="0" t="n">
        <v>0.0126735807233458</v>
      </c>
      <c r="BL24" s="0" t="n">
        <v>0.0215930520216383</v>
      </c>
      <c r="BM24" s="0" t="n">
        <v>0.0154105815908535</v>
      </c>
      <c r="BN24" s="0" t="n">
        <v>0.0094038868523004</v>
      </c>
      <c r="BO24" s="0" t="n">
        <v>0.0172399019798007</v>
      </c>
      <c r="BP24" s="0" t="n">
        <v>0.0109870517314393</v>
      </c>
      <c r="BQ24" s="0" t="n">
        <v>0.0190447044250213</v>
      </c>
      <c r="BR24" s="0" t="n">
        <v>0.0266325964659462</v>
      </c>
      <c r="BS24" s="0" t="n">
        <v>-0.000219467138868</v>
      </c>
      <c r="BT24" s="0" t="n">
        <v>0.035089411230151</v>
      </c>
      <c r="BU24" s="0" t="n">
        <v>0.012415237960264</v>
      </c>
      <c r="BV24" s="0" t="n">
        <v>0.0193169912846335</v>
      </c>
      <c r="BW24" s="0" t="n">
        <v>0.0173379507952078</v>
      </c>
      <c r="BX24" s="0" t="n">
        <v>0.0103931021232042</v>
      </c>
      <c r="BY24" s="0" t="n">
        <v>0.022319440725036</v>
      </c>
      <c r="BZ24" s="0" t="n">
        <v>0.0245348379648132</v>
      </c>
      <c r="CA24" s="0" t="n">
        <v>0.0042190381509971</v>
      </c>
      <c r="CB24" s="0" t="n">
        <v>0.001217990879403</v>
      </c>
      <c r="CC24" s="0" t="n">
        <v>0.0122313308283224</v>
      </c>
      <c r="CD24" s="0" t="n">
        <v>0.0196972690391062</v>
      </c>
      <c r="CE24" s="0" t="n">
        <v>0.0218681544239937</v>
      </c>
      <c r="CF24" s="0" t="n">
        <v>0.0006998386765825</v>
      </c>
      <c r="CG24" s="0" t="n">
        <v>0.0300221423746975</v>
      </c>
      <c r="CH24" s="0" t="n">
        <v>0.0155886307197667</v>
      </c>
      <c r="CI24" s="0" t="n">
        <v>-0.0021122344138535</v>
      </c>
      <c r="CJ24" s="0" t="n">
        <v>0.0070955517444095</v>
      </c>
      <c r="CK24" s="0" t="n">
        <v>0.0180792207763989</v>
      </c>
      <c r="CL24" s="0" t="n">
        <v>0.0176463122395271</v>
      </c>
      <c r="CM24" s="0" t="n">
        <v>0.0139516048181655</v>
      </c>
      <c r="CN24" s="0" t="n">
        <v>0.0063412882088698</v>
      </c>
      <c r="CO24" s="0" t="n">
        <v>0.0073710274291926</v>
      </c>
      <c r="CP24" s="0" t="n">
        <v>0.0129274607026314</v>
      </c>
      <c r="CQ24" s="0" t="n">
        <v>0.0414437075723497</v>
      </c>
      <c r="CR24" s="0" t="n">
        <v>0.0168167348580943</v>
      </c>
      <c r="CS24" s="0" t="n">
        <v>0.0304172961563724</v>
      </c>
      <c r="CT24" s="0" t="n">
        <v>0.0230994991067213</v>
      </c>
      <c r="CU24" s="0" t="n">
        <v>0.0111943370258326</v>
      </c>
      <c r="CV24" s="0" t="n">
        <v>0.0209815563476287</v>
      </c>
      <c r="CW24" s="0" t="n">
        <v>0.0229210842134387</v>
      </c>
      <c r="CX24" s="0" t="n">
        <v>0.033475231986898</v>
      </c>
      <c r="CY24" s="0" t="n">
        <v>0.0424318270845786</v>
      </c>
      <c r="CZ24" s="0" t="n">
        <v>0.0154518247433509</v>
      </c>
      <c r="DA24" s="0" t="n">
        <v>0.0139661246449078</v>
      </c>
      <c r="DB24" s="0" t="n">
        <v>0.0190961105126754</v>
      </c>
      <c r="DC24" s="0" t="n">
        <v>0.0319964300515273</v>
      </c>
      <c r="DD24" s="0" t="n">
        <v>0.0260249505280667</v>
      </c>
      <c r="DE24" s="0" t="n">
        <v>0.0241963040151978</v>
      </c>
      <c r="DF24" s="0" t="n">
        <v>0.0074422874588943</v>
      </c>
      <c r="DG24" s="0" t="n">
        <v>0.019067765453871</v>
      </c>
      <c r="DH24" s="0" t="n">
        <v>0.0187881972487131</v>
      </c>
      <c r="DI24" s="0" t="n">
        <v>0.0418974192994396</v>
      </c>
      <c r="DJ24" s="0" t="n">
        <v>0.0425993357025819</v>
      </c>
      <c r="DK24" s="0" t="n">
        <v>0.0464253543398676</v>
      </c>
      <c r="DL24" s="0" t="n">
        <v>0.003775156626523</v>
      </c>
      <c r="DM24" s="0" t="n">
        <v>0.0501587595260425</v>
      </c>
      <c r="DN24" s="0" t="n">
        <v>0.0249089411827296</v>
      </c>
      <c r="DO24" s="0" t="n">
        <v>0.0295737769073912</v>
      </c>
      <c r="DP24" s="0" t="n">
        <v>0.0456036729570792</v>
      </c>
      <c r="DQ24" s="0" t="n">
        <v>0.0173311868854723</v>
      </c>
      <c r="DR24" s="0" t="n">
        <v>0.0283999798602645</v>
      </c>
      <c r="DS24" s="0" t="n">
        <v>0.030396231542193</v>
      </c>
      <c r="DT24" s="0" t="n">
        <v>0.0204480818331296</v>
      </c>
      <c r="DU24" s="0" t="n">
        <v>0.0402527970344544</v>
      </c>
      <c r="DV24" s="0" t="n">
        <v>0.0156661807615895</v>
      </c>
      <c r="DW24" s="0" t="n">
        <v>0.0294812989195907</v>
      </c>
      <c r="DX24" s="0" t="n">
        <v>0.0285695649606003</v>
      </c>
      <c r="DY24" s="0" t="n">
        <v>0.0451285797039062</v>
      </c>
      <c r="DZ24" s="0" t="n">
        <v>0.0158201539362041</v>
      </c>
      <c r="EA24" s="0" t="n">
        <v>0.019023641761091</v>
      </c>
      <c r="EB24" s="0" t="n">
        <v>0.0543633116879787</v>
      </c>
      <c r="EC24" s="0" t="n">
        <v>0.0072659887400063</v>
      </c>
      <c r="ED24" s="0" t="n">
        <v>0.0292629244221255</v>
      </c>
      <c r="EE24" s="0" t="n">
        <v>0.024374367629802</v>
      </c>
      <c r="EF24" s="0" t="n">
        <v>0.0429359361905654</v>
      </c>
      <c r="EG24" s="0" t="n">
        <v>0.0231510939999396</v>
      </c>
      <c r="EH24" s="0" t="n">
        <v>0.0227450096349409</v>
      </c>
      <c r="EI24" s="0" t="n">
        <v>0.0136782166426303</v>
      </c>
      <c r="EJ24" s="0" t="n">
        <v>0.0373197148735503</v>
      </c>
      <c r="EK24" s="0" t="n">
        <v>0.0375617021885573</v>
      </c>
      <c r="EL24" s="0" t="n">
        <v>0.042505003220242</v>
      </c>
      <c r="EM24" s="0" t="n">
        <v>0.0225152201664454</v>
      </c>
      <c r="EN24" s="0" t="n">
        <v>0.0078509511492478</v>
      </c>
      <c r="EO24" s="0" t="n">
        <v>0.0192079506782976</v>
      </c>
      <c r="EP24" s="72" t="n">
        <f aca="false">SUMPRODUCT(B24:EO24,$B$5:$EO$5)</f>
        <v>0.0171015817224228</v>
      </c>
      <c r="EQ24" s="72" t="n">
        <f aca="false">SUMIF('Mi portafolio'!$A$8:$A$19,$A24,'Mi portafolio'!$B$8:$B$19)</f>
        <v>0</v>
      </c>
    </row>
    <row r="25" customFormat="false" ht="15" hidden="false" customHeight="false" outlineLevel="0" collapsed="false">
      <c r="A25" s="71" t="s">
        <v>240</v>
      </c>
      <c r="B25" s="0" t="n">
        <v>0.0029754695138752</v>
      </c>
      <c r="C25" s="0" t="n">
        <v>0.0044800327316808</v>
      </c>
      <c r="D25" s="0" t="n">
        <v>0.0052226310884153</v>
      </c>
      <c r="E25" s="0" t="n">
        <v>0.013781810167214</v>
      </c>
      <c r="F25" s="0" t="n">
        <v>0.0032784542984354</v>
      </c>
      <c r="G25" s="0" t="n">
        <v>0.0033759045402637</v>
      </c>
      <c r="H25" s="0" t="n">
        <v>0.0137460798685787</v>
      </c>
      <c r="I25" s="0" t="n">
        <v>0.0033143490062228</v>
      </c>
      <c r="J25" s="0" t="n">
        <v>0.004785883018038</v>
      </c>
      <c r="K25" s="0" t="n">
        <v>0.0049629919258792</v>
      </c>
      <c r="L25" s="0" t="n">
        <v>0.0144328600710904</v>
      </c>
      <c r="M25" s="0" t="n">
        <v>0.0142529279802082</v>
      </c>
      <c r="N25" s="0" t="n">
        <v>0.0070595110372914</v>
      </c>
      <c r="O25" s="0" t="n">
        <v>0.0205660585269825</v>
      </c>
      <c r="P25" s="0" t="n">
        <v>0.0061776670886259</v>
      </c>
      <c r="Q25" s="0" t="n">
        <v>-0.0025935923080624</v>
      </c>
      <c r="R25" s="0" t="n">
        <v>0.0039569302819704</v>
      </c>
      <c r="S25" s="0" t="n">
        <v>0.0174445100482138</v>
      </c>
      <c r="T25" s="0" t="n">
        <v>0.0080068702856058</v>
      </c>
      <c r="U25" s="0" t="n">
        <v>0.0499754060828618</v>
      </c>
      <c r="V25" s="0" t="n">
        <v>0.0152634666298959</v>
      </c>
      <c r="W25" s="0" t="n">
        <v>0.0144967014671524</v>
      </c>
      <c r="X25" s="0" t="n">
        <v>0.0109226953468011</v>
      </c>
      <c r="Y25" s="0" t="n">
        <v>0.0032199308328573</v>
      </c>
      <c r="Z25" s="0" t="n">
        <v>0.0155506103040834</v>
      </c>
      <c r="AA25" s="0" t="n">
        <v>0.0149765357607696</v>
      </c>
      <c r="AB25" s="0" t="n">
        <v>0.0027334865548289</v>
      </c>
      <c r="AC25" s="0" t="n">
        <v>0.0133129851535849</v>
      </c>
      <c r="AD25" s="0" t="n">
        <v>0.0146967654094757</v>
      </c>
      <c r="AE25" s="0" t="n">
        <v>0.0184929955390735</v>
      </c>
      <c r="AF25" s="0" t="n">
        <v>0.022820182062139</v>
      </c>
      <c r="AG25" s="0" t="n">
        <v>0.0042358448038283</v>
      </c>
      <c r="AH25" s="0" t="n">
        <v>0.005702413442802</v>
      </c>
      <c r="AI25" s="0" t="n">
        <v>-0.0043654994985881</v>
      </c>
      <c r="AJ25" s="0" t="n">
        <v>0.0173859035137588</v>
      </c>
      <c r="AK25" s="0" t="n">
        <v>0.0309409175224449</v>
      </c>
      <c r="AL25" s="0" t="n">
        <v>0.006923196756971</v>
      </c>
      <c r="AM25" s="0" t="n">
        <v>0.0168857991786271</v>
      </c>
      <c r="AN25" s="0" t="n">
        <v>0.0139952709053663</v>
      </c>
      <c r="AO25" s="0" t="n">
        <v>0.0059565881842376</v>
      </c>
      <c r="AP25" s="0" t="n">
        <v>0.0116028787820556</v>
      </c>
      <c r="AQ25" s="0" t="n">
        <v>-0.0063340449141216</v>
      </c>
      <c r="AR25" s="0" t="n">
        <v>0.0063985270119573</v>
      </c>
      <c r="AS25" s="0" t="n">
        <v>0.0293493899477012</v>
      </c>
      <c r="AT25" s="0" t="n">
        <v>0.0070782605927713</v>
      </c>
      <c r="AU25" s="0" t="n">
        <v>0.0053322154739705</v>
      </c>
      <c r="AV25" s="0" t="n">
        <v>0.0227606430069176</v>
      </c>
      <c r="AW25" s="0" t="n">
        <v>0.022080006271271</v>
      </c>
      <c r="AX25" s="0" t="n">
        <v>0.0096896288624775</v>
      </c>
      <c r="AY25" s="0" t="n">
        <v>0.0028793861970782</v>
      </c>
      <c r="AZ25" s="0" t="n">
        <v>0.0192388825535592</v>
      </c>
      <c r="BA25" s="0" t="n">
        <v>0.0139132008638754</v>
      </c>
      <c r="BB25" s="0" t="n">
        <v>0.0119782221548964</v>
      </c>
      <c r="BC25" s="0" t="n">
        <v>0.0108608309668826</v>
      </c>
      <c r="BD25" s="0" t="n">
        <v>0.0320243367649599</v>
      </c>
      <c r="BE25" s="0" t="n">
        <v>0.0153929220249684</v>
      </c>
      <c r="BF25" s="0" t="n">
        <v>0.0214934247525249</v>
      </c>
      <c r="BG25" s="0" t="n">
        <v>0.0043386343186153</v>
      </c>
      <c r="BH25" s="0" t="n">
        <v>0.0238659626138036</v>
      </c>
      <c r="BI25" s="0" t="n">
        <v>0.0098068160708999</v>
      </c>
      <c r="BJ25" s="0" t="n">
        <v>0.0046119324362276</v>
      </c>
      <c r="BK25" s="0" t="n">
        <v>0.0172820779089967</v>
      </c>
      <c r="BL25" s="0" t="n">
        <v>0.0136027865735189</v>
      </c>
      <c r="BM25" s="0" t="n">
        <v>0.0121453337457175</v>
      </c>
      <c r="BN25" s="0" t="n">
        <v>0.0038477918717737</v>
      </c>
      <c r="BO25" s="0" t="n">
        <v>0.0120547396811744</v>
      </c>
      <c r="BP25" s="0" t="n">
        <v>0.0091897280865085</v>
      </c>
      <c r="BQ25" s="0" t="n">
        <v>0.0248983252453365</v>
      </c>
      <c r="BR25" s="0" t="n">
        <v>0.0096764875307782</v>
      </c>
      <c r="BS25" s="0" t="n">
        <v>-0.0069944903094265</v>
      </c>
      <c r="BT25" s="0" t="n">
        <v>0.0150341698110507</v>
      </c>
      <c r="BU25" s="0" t="n">
        <v>0.0222611883538048</v>
      </c>
      <c r="BV25" s="0" t="n">
        <v>0.0127105333241087</v>
      </c>
      <c r="BW25" s="0" t="n">
        <v>0.0100720072914192</v>
      </c>
      <c r="BX25" s="0" t="n">
        <v>0.0046085488893062</v>
      </c>
      <c r="BY25" s="0" t="n">
        <v>0.0116910500800587</v>
      </c>
      <c r="BZ25" s="0" t="n">
        <v>0.0156945721386018</v>
      </c>
      <c r="CA25" s="0" t="n">
        <v>0.0346058569610447</v>
      </c>
      <c r="CB25" s="0" t="n">
        <v>0.0008859982782422</v>
      </c>
      <c r="CC25" s="0" t="n">
        <v>0.005532148987997</v>
      </c>
      <c r="CD25" s="0" t="n">
        <v>0.0078430506845331</v>
      </c>
      <c r="CE25" s="0" t="n">
        <v>0.0086607371632157</v>
      </c>
      <c r="CF25" s="0" t="n">
        <v>-0.0069985729445714</v>
      </c>
      <c r="CG25" s="0" t="n">
        <v>0.010932908870389</v>
      </c>
      <c r="CH25" s="0" t="n">
        <v>0.0332446612441064</v>
      </c>
      <c r="CI25" s="0" t="n">
        <v>-0.0062155408936254</v>
      </c>
      <c r="CJ25" s="0" t="n">
        <v>0.0110006124135196</v>
      </c>
      <c r="CK25" s="0" t="n">
        <v>0.0104584391702365</v>
      </c>
      <c r="CL25" s="0" t="n">
        <v>0.0121016696893473</v>
      </c>
      <c r="CM25" s="0" t="n">
        <v>0.0115171575492173</v>
      </c>
      <c r="CN25" s="0" t="n">
        <v>0.0236850368962476</v>
      </c>
      <c r="CO25" s="0" t="n">
        <v>0.0180466215893315</v>
      </c>
      <c r="CP25" s="0" t="n">
        <v>0.0073127099714238</v>
      </c>
      <c r="CQ25" s="0" t="n">
        <v>0.0150868028330211</v>
      </c>
      <c r="CR25" s="0" t="n">
        <v>0.015168870869472</v>
      </c>
      <c r="CS25" s="0" t="n">
        <v>0.0168903304664557</v>
      </c>
      <c r="CT25" s="0" t="n">
        <v>0.0247140583528039</v>
      </c>
      <c r="CU25" s="0" t="n">
        <v>0.0106694742516628</v>
      </c>
      <c r="CV25" s="0" t="n">
        <v>0.0123629617307281</v>
      </c>
      <c r="CW25" s="0" t="n">
        <v>0.0186839281243498</v>
      </c>
      <c r="CX25" s="0" t="n">
        <v>0.020317910648874</v>
      </c>
      <c r="CY25" s="0" t="n">
        <v>0.0096668594828569</v>
      </c>
      <c r="CZ25" s="0" t="n">
        <v>0.0172320935737263</v>
      </c>
      <c r="DA25" s="0" t="n">
        <v>0.0034114469972918</v>
      </c>
      <c r="DB25" s="0" t="n">
        <v>0.027071779441001</v>
      </c>
      <c r="DC25" s="0" t="n">
        <v>0.0206457990048055</v>
      </c>
      <c r="DD25" s="0" t="n">
        <v>0.0165657222168788</v>
      </c>
      <c r="DE25" s="0" t="n">
        <v>0.0230927077525673</v>
      </c>
      <c r="DF25" s="0" t="n">
        <v>0.0059321240732305</v>
      </c>
      <c r="DG25" s="0" t="n">
        <v>0.019820675871925</v>
      </c>
      <c r="DH25" s="0" t="n">
        <v>0.011644916282765</v>
      </c>
      <c r="DI25" s="0" t="n">
        <v>0.0161144174476323</v>
      </c>
      <c r="DJ25" s="0" t="n">
        <v>0.0079423392659491</v>
      </c>
      <c r="DK25" s="0" t="n">
        <v>0.0159657094569616</v>
      </c>
      <c r="DL25" s="0" t="n">
        <v>0.03307630615283</v>
      </c>
      <c r="DM25" s="0" t="n">
        <v>0.0180066589816268</v>
      </c>
      <c r="DN25" s="0" t="n">
        <v>0.0069459715146388</v>
      </c>
      <c r="DO25" s="0" t="n">
        <v>0.0124331251897134</v>
      </c>
      <c r="DP25" s="0" t="n">
        <v>0.0156923711255763</v>
      </c>
      <c r="DQ25" s="0" t="n">
        <v>0.0133699578033233</v>
      </c>
      <c r="DR25" s="0" t="n">
        <v>0.0171962967392559</v>
      </c>
      <c r="DS25" s="0" t="n">
        <v>0.002625644225252</v>
      </c>
      <c r="DT25" s="0" t="n">
        <v>0.0138539817075624</v>
      </c>
      <c r="DU25" s="0" t="n">
        <v>0.0261897357309809</v>
      </c>
      <c r="DV25" s="0" t="n">
        <v>0.0159489889326668</v>
      </c>
      <c r="DW25" s="0" t="n">
        <v>0.0151774824383907</v>
      </c>
      <c r="DX25" s="0" t="n">
        <v>0.0168018177638553</v>
      </c>
      <c r="DY25" s="0" t="n">
        <v>0.017482347923752</v>
      </c>
      <c r="DZ25" s="0" t="n">
        <v>0.0103254294797168</v>
      </c>
      <c r="EA25" s="0" t="n">
        <v>0.0130209189561757</v>
      </c>
      <c r="EB25" s="0" t="n">
        <v>0.0259537704874547</v>
      </c>
      <c r="EC25" s="0" t="n">
        <v>0.0174354198557107</v>
      </c>
      <c r="ED25" s="0" t="n">
        <v>0.0340123514380737</v>
      </c>
      <c r="EE25" s="0" t="n">
        <v>0.0187205309732556</v>
      </c>
      <c r="EF25" s="0" t="n">
        <v>0.0111762986586893</v>
      </c>
      <c r="EG25" s="0" t="n">
        <v>0.0164625503135303</v>
      </c>
      <c r="EH25" s="0" t="n">
        <v>-0.0051203501126901</v>
      </c>
      <c r="EI25" s="0" t="n">
        <v>0.0035219121007269</v>
      </c>
      <c r="EJ25" s="0" t="n">
        <v>0.0353827060496216</v>
      </c>
      <c r="EK25" s="0" t="n">
        <v>0.0256487842198996</v>
      </c>
      <c r="EL25" s="0" t="n">
        <v>0.0419474388440202</v>
      </c>
      <c r="EM25" s="0" t="n">
        <v>0.0212597655333269</v>
      </c>
      <c r="EN25" s="0" t="n">
        <v>0.0770551062018547</v>
      </c>
      <c r="EO25" s="0" t="n">
        <v>0.0213847350603841</v>
      </c>
      <c r="EP25" s="72" t="n">
        <f aca="false">SUMPRODUCT(B25:EO25,$B$5:$EO$5)</f>
        <v>0.0106300086418072</v>
      </c>
      <c r="EQ25" s="72" t="n">
        <f aca="false">SUMIF('Mi portafolio'!$A$8:$A$19,$A25,'Mi portafolio'!$B$8:$B$19)</f>
        <v>0</v>
      </c>
    </row>
    <row r="26" customFormat="false" ht="15" hidden="false" customHeight="false" outlineLevel="0" collapsed="false">
      <c r="A26" s="71" t="s">
        <v>242</v>
      </c>
      <c r="B26" s="0" t="n">
        <v>0.0013361836283636</v>
      </c>
      <c r="C26" s="0" t="n">
        <v>0.0058116797203262</v>
      </c>
      <c r="D26" s="0" t="n">
        <v>0.001464738958525</v>
      </c>
      <c r="E26" s="0" t="n">
        <v>0.013864403823946</v>
      </c>
      <c r="F26" s="0" t="n">
        <v>0.0023225650614913</v>
      </c>
      <c r="G26" s="0" t="n">
        <v>0.0062501408042005</v>
      </c>
      <c r="H26" s="0" t="n">
        <v>0.0170481427446347</v>
      </c>
      <c r="I26" s="0" t="n">
        <v>0.0055435669768539</v>
      </c>
      <c r="J26" s="0" t="n">
        <v>-0.0010819526741172</v>
      </c>
      <c r="K26" s="0" t="n">
        <v>0.0070499230079367</v>
      </c>
      <c r="L26" s="0" t="n">
        <v>0.0134965560769921</v>
      </c>
      <c r="M26" s="0" t="n">
        <v>0.0140693731398152</v>
      </c>
      <c r="N26" s="0" t="n">
        <v>0.0015953849161753</v>
      </c>
      <c r="O26" s="0" t="n">
        <v>0.0204515087566799</v>
      </c>
      <c r="P26" s="0" t="n">
        <v>0.0015354527229547</v>
      </c>
      <c r="Q26" s="0" t="n">
        <v>-0.0011541621755611</v>
      </c>
      <c r="R26" s="0" t="n">
        <v>0.004705994011517</v>
      </c>
      <c r="S26" s="0" t="n">
        <v>0.0115549584308759</v>
      </c>
      <c r="T26" s="0" t="n">
        <v>0.0012059759064348</v>
      </c>
      <c r="U26" s="0" t="n">
        <v>0.0152634666298959</v>
      </c>
      <c r="V26" s="0" t="n">
        <v>0.0510821477025323</v>
      </c>
      <c r="W26" s="0" t="n">
        <v>0.0097429032871874</v>
      </c>
      <c r="X26" s="0" t="n">
        <v>0.0024867409601897</v>
      </c>
      <c r="Y26" s="0" t="n">
        <v>0.0040692845735776</v>
      </c>
      <c r="Z26" s="0" t="n">
        <v>0.0176000552229549</v>
      </c>
      <c r="AA26" s="0" t="n">
        <v>0.01352802987705</v>
      </c>
      <c r="AB26" s="0" t="n">
        <v>0.0020753207893473</v>
      </c>
      <c r="AC26" s="0" t="n">
        <v>0.0161702557689708</v>
      </c>
      <c r="AD26" s="0" t="n">
        <v>0.0149429608395289</v>
      </c>
      <c r="AE26" s="0" t="n">
        <v>0.0144457212372066</v>
      </c>
      <c r="AF26" s="0" t="n">
        <v>0.0236171949810926</v>
      </c>
      <c r="AG26" s="0" t="n">
        <v>0.0004187426855488</v>
      </c>
      <c r="AH26" s="0" t="n">
        <v>-0.0052478002050357</v>
      </c>
      <c r="AI26" s="0" t="n">
        <v>-0.0098821721386405</v>
      </c>
      <c r="AJ26" s="0" t="n">
        <v>0.0107863962271793</v>
      </c>
      <c r="AK26" s="0" t="n">
        <v>0.0220461568141227</v>
      </c>
      <c r="AL26" s="0" t="n">
        <v>0.0027022868676838</v>
      </c>
      <c r="AM26" s="0" t="n">
        <v>0.0093973019164234</v>
      </c>
      <c r="AN26" s="0" t="n">
        <v>0.0106273527139956</v>
      </c>
      <c r="AO26" s="0" t="n">
        <v>-0.0015171397876902</v>
      </c>
      <c r="AP26" s="0" t="n">
        <v>0.0080904166923642</v>
      </c>
      <c r="AQ26" s="0" t="n">
        <v>-0.003915105322393</v>
      </c>
      <c r="AR26" s="0" t="n">
        <v>-0.0027654081432216</v>
      </c>
      <c r="AS26" s="0" t="n">
        <v>0.0186524555922242</v>
      </c>
      <c r="AT26" s="0" t="n">
        <v>0.0035158616961846</v>
      </c>
      <c r="AU26" s="0" t="n">
        <v>0.001616916749705</v>
      </c>
      <c r="AV26" s="0" t="n">
        <v>0.0156046686150383</v>
      </c>
      <c r="AW26" s="0" t="n">
        <v>0.0221574168897227</v>
      </c>
      <c r="AX26" s="0" t="n">
        <v>0.0020546910919656</v>
      </c>
      <c r="AY26" s="0" t="n">
        <v>0.0053341038119155</v>
      </c>
      <c r="AZ26" s="0" t="n">
        <v>0.0183914021607772</v>
      </c>
      <c r="BA26" s="0" t="n">
        <v>0.005920394833048</v>
      </c>
      <c r="BB26" s="0" t="n">
        <v>0.0031797033712855</v>
      </c>
      <c r="BC26" s="0" t="n">
        <v>0.0083528043792364</v>
      </c>
      <c r="BD26" s="0" t="n">
        <v>0.0144682705241016</v>
      </c>
      <c r="BE26" s="0" t="n">
        <v>0.0021097210658069</v>
      </c>
      <c r="BF26" s="0" t="n">
        <v>0.0186479535996864</v>
      </c>
      <c r="BG26" s="0" t="n">
        <v>-0.0020724013147621</v>
      </c>
      <c r="BH26" s="0" t="n">
        <v>0.0163414249579771</v>
      </c>
      <c r="BI26" s="0" t="n">
        <v>0.0156060551619867</v>
      </c>
      <c r="BJ26" s="0" t="n">
        <v>-0.0006866475942851</v>
      </c>
      <c r="BK26" s="0" t="n">
        <v>0.0130681588685942</v>
      </c>
      <c r="BL26" s="0" t="n">
        <v>0.0107786218471773</v>
      </c>
      <c r="BM26" s="0" t="n">
        <v>0.0084551682568116</v>
      </c>
      <c r="BN26" s="0" t="n">
        <v>0.0011508249984377</v>
      </c>
      <c r="BO26" s="0" t="n">
        <v>-0.0029628940194493</v>
      </c>
      <c r="BP26" s="0" t="n">
        <v>0.0017751297052934</v>
      </c>
      <c r="BQ26" s="0" t="n">
        <v>0.0207120037377492</v>
      </c>
      <c r="BR26" s="0" t="n">
        <v>0.0067408274115207</v>
      </c>
      <c r="BS26" s="0" t="n">
        <v>-0.0064764965173974</v>
      </c>
      <c r="BT26" s="0" t="n">
        <v>0.0044404904919534</v>
      </c>
      <c r="BU26" s="0" t="n">
        <v>0.0085167739863605</v>
      </c>
      <c r="BV26" s="0" t="n">
        <v>0.0037117324510126</v>
      </c>
      <c r="BW26" s="0" t="n">
        <v>0.0028417718432038</v>
      </c>
      <c r="BX26" s="0" t="n">
        <v>-0.0075530567470979</v>
      </c>
      <c r="BY26" s="0" t="n">
        <v>0.0120296023923966</v>
      </c>
      <c r="BZ26" s="0" t="n">
        <v>0.0057933840767646</v>
      </c>
      <c r="CA26" s="0" t="n">
        <v>0.0343531191921751</v>
      </c>
      <c r="CB26" s="0" t="n">
        <v>-0.0096555418218761</v>
      </c>
      <c r="CC26" s="0" t="n">
        <v>-0.0022333363139134</v>
      </c>
      <c r="CD26" s="0" t="n">
        <v>0.0002833512552844</v>
      </c>
      <c r="CE26" s="0" t="n">
        <v>0.0040446082013049</v>
      </c>
      <c r="CF26" s="0" t="n">
        <v>-0.0075257261112483</v>
      </c>
      <c r="CG26" s="0" t="n">
        <v>0.001149074223851</v>
      </c>
      <c r="CH26" s="0" t="n">
        <v>0.0320057572732424</v>
      </c>
      <c r="CI26" s="0" t="n">
        <v>-0.0106427925752153</v>
      </c>
      <c r="CJ26" s="0" t="n">
        <v>-0.0039208427495876</v>
      </c>
      <c r="CK26" s="0" t="n">
        <v>0.0083312985684802</v>
      </c>
      <c r="CL26" s="0" t="n">
        <v>0.0086204595553178</v>
      </c>
      <c r="CM26" s="0" t="n">
        <v>-0.00177473938496</v>
      </c>
      <c r="CN26" s="0" t="n">
        <v>0.0132366267979901</v>
      </c>
      <c r="CO26" s="0" t="n">
        <v>0.0155815722887126</v>
      </c>
      <c r="CP26" s="0" t="n">
        <v>-0.008794931796126</v>
      </c>
      <c r="CQ26" s="0" t="n">
        <v>0.0077427375705443</v>
      </c>
      <c r="CR26" s="0" t="n">
        <v>0.0055137901885618</v>
      </c>
      <c r="CS26" s="0" t="n">
        <v>0.0016656357331181</v>
      </c>
      <c r="CT26" s="0" t="n">
        <v>0.0165288645665604</v>
      </c>
      <c r="CU26" s="0" t="n">
        <v>0.005998571226282</v>
      </c>
      <c r="CV26" s="0" t="n">
        <v>0.0119218363196379</v>
      </c>
      <c r="CW26" s="0" t="n">
        <v>0.00606932269997</v>
      </c>
      <c r="CX26" s="0" t="n">
        <v>0.0025424112425244</v>
      </c>
      <c r="CY26" s="0" t="n">
        <v>0.0112469671762105</v>
      </c>
      <c r="CZ26" s="0" t="n">
        <v>-0.002700432536674</v>
      </c>
      <c r="DA26" s="0" t="n">
        <v>0.0011542754313548</v>
      </c>
      <c r="DB26" s="0" t="n">
        <v>0.0136680518038503</v>
      </c>
      <c r="DC26" s="0" t="n">
        <v>0.0226123612843207</v>
      </c>
      <c r="DD26" s="0" t="n">
        <v>0.0162077049106867</v>
      </c>
      <c r="DE26" s="0" t="n">
        <v>0.0158330819728375</v>
      </c>
      <c r="DF26" s="0" t="n">
        <v>-0.0057412967015948</v>
      </c>
      <c r="DG26" s="0" t="n">
        <v>0.023236566818447</v>
      </c>
      <c r="DH26" s="0" t="n">
        <v>-0.0008006535555232</v>
      </c>
      <c r="DI26" s="0" t="n">
        <v>0.0113471998327791</v>
      </c>
      <c r="DJ26" s="0" t="n">
        <v>0.0106340055901151</v>
      </c>
      <c r="DK26" s="0" t="n">
        <v>0.0122952458141819</v>
      </c>
      <c r="DL26" s="0" t="n">
        <v>0.0347933768071888</v>
      </c>
      <c r="DM26" s="0" t="n">
        <v>0.0215985863093216</v>
      </c>
      <c r="DN26" s="0" t="n">
        <v>0.0174009723656422</v>
      </c>
      <c r="DO26" s="0" t="n">
        <v>0.0091085389265723</v>
      </c>
      <c r="DP26" s="0" t="n">
        <v>0.0112438690301642</v>
      </c>
      <c r="DQ26" s="0" t="n">
        <v>0.0066640167864162</v>
      </c>
      <c r="DR26" s="0" t="n">
        <v>0.0062207489548174</v>
      </c>
      <c r="DS26" s="0" t="n">
        <v>-0.0075800775297215</v>
      </c>
      <c r="DT26" s="0" t="n">
        <v>0.0004061563725137</v>
      </c>
      <c r="DU26" s="0" t="n">
        <v>0.0056735590095519</v>
      </c>
      <c r="DV26" s="0" t="n">
        <v>0.000998323841402</v>
      </c>
      <c r="DW26" s="0" t="n">
        <v>-0.0043714579857128</v>
      </c>
      <c r="DX26" s="0" t="n">
        <v>0.0044772431012748</v>
      </c>
      <c r="DY26" s="0" t="n">
        <v>0.0118858980378236</v>
      </c>
      <c r="DZ26" s="0" t="n">
        <v>-0.0121212801412293</v>
      </c>
      <c r="EA26" s="0" t="n">
        <v>0.0084685953221771</v>
      </c>
      <c r="EB26" s="0" t="n">
        <v>0.0072467574234772</v>
      </c>
      <c r="EC26" s="0" t="n">
        <v>0.0233119609904979</v>
      </c>
      <c r="ED26" s="0" t="n">
        <v>0.0254389650324915</v>
      </c>
      <c r="EE26" s="0" t="n">
        <v>0.0062191142028562</v>
      </c>
      <c r="EF26" s="0" t="n">
        <v>0.0101366561732483</v>
      </c>
      <c r="EG26" s="0" t="n">
        <v>-0.0002298493250615</v>
      </c>
      <c r="EH26" s="0" t="n">
        <v>-0.0122064275433873</v>
      </c>
      <c r="EI26" s="0" t="n">
        <v>-0.0043030487210918</v>
      </c>
      <c r="EJ26" s="0" t="n">
        <v>0.0113954037967481</v>
      </c>
      <c r="EK26" s="0" t="n">
        <v>0.006060644963246</v>
      </c>
      <c r="EL26" s="0" t="n">
        <v>0.0217559336407188</v>
      </c>
      <c r="EM26" s="0" t="n">
        <v>-0.0209296656512037</v>
      </c>
      <c r="EN26" s="0" t="n">
        <v>-0.0055238560272661</v>
      </c>
      <c r="EO26" s="0" t="n">
        <v>-0.0046056049581778</v>
      </c>
      <c r="EP26" s="72" t="n">
        <f aca="false">SUMPRODUCT(B26:EO26,$B$5:$EO$5)</f>
        <v>-0.000593942972471954</v>
      </c>
      <c r="EQ26" s="72" t="n">
        <f aca="false">SUMIF('Mi portafolio'!$A$8:$A$19,$A26,'Mi portafolio'!$B$8:$B$19)</f>
        <v>0</v>
      </c>
    </row>
    <row r="27" customFormat="false" ht="15" hidden="false" customHeight="false" outlineLevel="0" collapsed="false">
      <c r="A27" s="71" t="s">
        <v>244</v>
      </c>
      <c r="B27" s="0" t="n">
        <v>0.001038709257048</v>
      </c>
      <c r="C27" s="0" t="n">
        <v>0.0055134119713213</v>
      </c>
      <c r="D27" s="0" t="n">
        <v>-0.001575596573249</v>
      </c>
      <c r="E27" s="0" t="n">
        <v>0.0120941592684512</v>
      </c>
      <c r="F27" s="0" t="n">
        <v>0.0061299467521012</v>
      </c>
      <c r="G27" s="0" t="n">
        <v>0.0021202296715274</v>
      </c>
      <c r="H27" s="0" t="n">
        <v>0.0068214632176987</v>
      </c>
      <c r="I27" s="0" t="n">
        <v>0.0088222221174951</v>
      </c>
      <c r="J27" s="0" t="n">
        <v>0.0075375756218938</v>
      </c>
      <c r="K27" s="0" t="n">
        <v>0.0092523662880071</v>
      </c>
      <c r="L27" s="0" t="n">
        <v>0.0087203346530305</v>
      </c>
      <c r="M27" s="0" t="n">
        <v>0.0082193426451302</v>
      </c>
      <c r="N27" s="0" t="n">
        <v>0.0038852563272074</v>
      </c>
      <c r="O27" s="0" t="n">
        <v>0.0161688773580584</v>
      </c>
      <c r="P27" s="0" t="n">
        <v>0.0093740637101767</v>
      </c>
      <c r="Q27" s="0" t="n">
        <v>0.0011588778584369</v>
      </c>
      <c r="R27" s="0" t="n">
        <v>0.0087094157213541</v>
      </c>
      <c r="S27" s="0" t="n">
        <v>0.0110728786018873</v>
      </c>
      <c r="T27" s="0" t="n">
        <v>0.004667379102169</v>
      </c>
      <c r="U27" s="0" t="n">
        <v>0.0144967014671524</v>
      </c>
      <c r="V27" s="0" t="n">
        <v>0.0097429032871874</v>
      </c>
      <c r="W27" s="0" t="n">
        <v>0.0519882533707112</v>
      </c>
      <c r="X27" s="0" t="n">
        <v>0.0066470979897634</v>
      </c>
      <c r="Y27" s="0" t="n">
        <v>0.0017134859613852</v>
      </c>
      <c r="Z27" s="0" t="n">
        <v>0.0118330428169734</v>
      </c>
      <c r="AA27" s="0" t="n">
        <v>0.0246108803141506</v>
      </c>
      <c r="AB27" s="0" t="n">
        <v>0.001940033230151</v>
      </c>
      <c r="AC27" s="0" t="n">
        <v>0.0076414298955149</v>
      </c>
      <c r="AD27" s="0" t="n">
        <v>0.0198137049420543</v>
      </c>
      <c r="AE27" s="0" t="n">
        <v>0.0082435026110861</v>
      </c>
      <c r="AF27" s="0" t="n">
        <v>0.0189291719191005</v>
      </c>
      <c r="AG27" s="0" t="n">
        <v>0.0051288259999607</v>
      </c>
      <c r="AH27" s="0" t="n">
        <v>0.006240551823596</v>
      </c>
      <c r="AI27" s="0" t="n">
        <v>0.0021934798684317</v>
      </c>
      <c r="AJ27" s="0" t="n">
        <v>0.0074919142695831</v>
      </c>
      <c r="AK27" s="0" t="n">
        <v>0.0191285425840656</v>
      </c>
      <c r="AL27" s="0" t="n">
        <v>0.0015038748741143</v>
      </c>
      <c r="AM27" s="0" t="n">
        <v>0.0072983962225081</v>
      </c>
      <c r="AN27" s="0" t="n">
        <v>0.0046860308129727</v>
      </c>
      <c r="AO27" s="0" t="n">
        <v>0.0067351408521005</v>
      </c>
      <c r="AP27" s="0" t="n">
        <v>0.0064179258423177</v>
      </c>
      <c r="AQ27" s="0" t="n">
        <v>0.0036473082205505</v>
      </c>
      <c r="AR27" s="0" t="n">
        <v>0.0062761845983874</v>
      </c>
      <c r="AS27" s="0" t="n">
        <v>0.0140678359261878</v>
      </c>
      <c r="AT27" s="0" t="n">
        <v>0.0070307349778151</v>
      </c>
      <c r="AU27" s="0" t="n">
        <v>0.0091952004453262</v>
      </c>
      <c r="AV27" s="0" t="n">
        <v>0.0244741550906616</v>
      </c>
      <c r="AW27" s="0" t="n">
        <v>0.0156073401067</v>
      </c>
      <c r="AX27" s="0" t="n">
        <v>0.0095686373997042</v>
      </c>
      <c r="AY27" s="0" t="n">
        <v>0.010064643651671</v>
      </c>
      <c r="AZ27" s="0" t="n">
        <v>0.0084605077154873</v>
      </c>
      <c r="BA27" s="0" t="n">
        <v>0.0045784688980875</v>
      </c>
      <c r="BB27" s="0" t="n">
        <v>0.0060942605692699</v>
      </c>
      <c r="BC27" s="0" t="n">
        <v>0.0077303521900562</v>
      </c>
      <c r="BD27" s="0" t="n">
        <v>0.017472987819584</v>
      </c>
      <c r="BE27" s="0" t="n">
        <v>0.0072974842937347</v>
      </c>
      <c r="BF27" s="0" t="n">
        <v>0.0154493600800448</v>
      </c>
      <c r="BG27" s="0" t="n">
        <v>-0.0060487616183883</v>
      </c>
      <c r="BH27" s="0" t="n">
        <v>0.0115630818786677</v>
      </c>
      <c r="BI27" s="0" t="n">
        <v>0.0042109941968707</v>
      </c>
      <c r="BJ27" s="0" t="n">
        <v>0.0001799721617004</v>
      </c>
      <c r="BK27" s="0" t="n">
        <v>0.0113280720859302</v>
      </c>
      <c r="BL27" s="0" t="n">
        <v>0.0036059872976642</v>
      </c>
      <c r="BM27" s="0" t="n">
        <v>0.0063140228295667</v>
      </c>
      <c r="BN27" s="0" t="n">
        <v>0.0124718762045586</v>
      </c>
      <c r="BO27" s="0" t="n">
        <v>0.0101541503422636</v>
      </c>
      <c r="BP27" s="0" t="n">
        <v>0.0041653314395321</v>
      </c>
      <c r="BQ27" s="0" t="n">
        <v>0.0230850176541097</v>
      </c>
      <c r="BR27" s="0" t="n">
        <v>0.006256673642819</v>
      </c>
      <c r="BS27" s="0" t="n">
        <v>-0.002912833238967</v>
      </c>
      <c r="BT27" s="0" t="n">
        <v>0.0049171007219844</v>
      </c>
      <c r="BU27" s="0" t="n">
        <v>0.010618173381341</v>
      </c>
      <c r="BV27" s="0" t="n">
        <v>0.0017570512674962</v>
      </c>
      <c r="BW27" s="0" t="n">
        <v>0.0089557446518908</v>
      </c>
      <c r="BX27" s="0" t="n">
        <v>0.0034493524226722</v>
      </c>
      <c r="BY27" s="0" t="n">
        <v>0.0016900008194692</v>
      </c>
      <c r="BZ27" s="0" t="n">
        <v>0.0095068172320825</v>
      </c>
      <c r="CA27" s="0" t="n">
        <v>0.0141437097325306</v>
      </c>
      <c r="CB27" s="0" t="n">
        <v>0.0012445974305115</v>
      </c>
      <c r="CC27" s="0" t="n">
        <v>0.0120171885525805</v>
      </c>
      <c r="CD27" s="0" t="n">
        <v>0.0016544287697862</v>
      </c>
      <c r="CE27" s="0" t="n">
        <v>0.0045895831646809</v>
      </c>
      <c r="CF27" s="0" t="n">
        <v>-0.0005580367866851</v>
      </c>
      <c r="CG27" s="0" t="n">
        <v>-0.0021985142950843</v>
      </c>
      <c r="CH27" s="0" t="n">
        <v>0.0207018763381711</v>
      </c>
      <c r="CI27" s="0" t="n">
        <v>-0.0021058339049634</v>
      </c>
      <c r="CJ27" s="0" t="n">
        <v>0.0018462584511233</v>
      </c>
      <c r="CK27" s="0" t="n">
        <v>0.0022477936415114</v>
      </c>
      <c r="CL27" s="0" t="n">
        <v>-0.0060390212374732</v>
      </c>
      <c r="CM27" s="0" t="n">
        <v>-0.010183436036789</v>
      </c>
      <c r="CN27" s="0" t="n">
        <v>0.0106433925361885</v>
      </c>
      <c r="CO27" s="0" t="n">
        <v>0.0117549554017045</v>
      </c>
      <c r="CP27" s="0" t="n">
        <v>0.0098331424962934</v>
      </c>
      <c r="CQ27" s="0" t="n">
        <v>0.0062630121872661</v>
      </c>
      <c r="CR27" s="0" t="n">
        <v>0.0014984177454784</v>
      </c>
      <c r="CS27" s="0" t="n">
        <v>0.0149284729811025</v>
      </c>
      <c r="CT27" s="0" t="n">
        <v>0.0128820056443323</v>
      </c>
      <c r="CU27" s="0" t="n">
        <v>0.0013319992720079</v>
      </c>
      <c r="CV27" s="0" t="n">
        <v>-0.0030824309999574</v>
      </c>
      <c r="CW27" s="0" t="n">
        <v>0.0075907458290287</v>
      </c>
      <c r="CX27" s="0" t="n">
        <v>0.0191695595031686</v>
      </c>
      <c r="CY27" s="0" t="n">
        <v>0.0043665859562722</v>
      </c>
      <c r="CZ27" s="0" t="n">
        <v>-0.0036218617079835</v>
      </c>
      <c r="DA27" s="0" t="n">
        <v>-0.0113643445509024</v>
      </c>
      <c r="DB27" s="0" t="n">
        <v>0.0162660778167814</v>
      </c>
      <c r="DC27" s="0" t="n">
        <v>0.0150629014053562</v>
      </c>
      <c r="DD27" s="0" t="n">
        <v>-0.0042986733139169</v>
      </c>
      <c r="DE27" s="0" t="n">
        <v>0.0145674700979341</v>
      </c>
      <c r="DF27" s="0" t="n">
        <v>-0.0132835798151952</v>
      </c>
      <c r="DG27" s="0" t="n">
        <v>0.0143803868774126</v>
      </c>
      <c r="DH27" s="0" t="n">
        <v>-0.0024045750060491</v>
      </c>
      <c r="DI27" s="0" t="n">
        <v>0.0123977339173945</v>
      </c>
      <c r="DJ27" s="0" t="n">
        <v>-0.0034720666357941</v>
      </c>
      <c r="DK27" s="0" t="n">
        <v>0.0083751808114112</v>
      </c>
      <c r="DL27" s="0" t="n">
        <v>0.0092694888148814</v>
      </c>
      <c r="DM27" s="0" t="n">
        <v>0.0094194143207059</v>
      </c>
      <c r="DN27" s="0" t="n">
        <v>0.0046870348892419</v>
      </c>
      <c r="DO27" s="0" t="n">
        <v>0.0118615397473289</v>
      </c>
      <c r="DP27" s="0" t="n">
        <v>-0.0036113533575899</v>
      </c>
      <c r="DQ27" s="0" t="n">
        <v>0.0043049818754022</v>
      </c>
      <c r="DR27" s="0" t="n">
        <v>0.0115464537329044</v>
      </c>
      <c r="DS27" s="0" t="n">
        <v>0.0036952214459944</v>
      </c>
      <c r="DT27" s="0" t="n">
        <v>-0.0086149214690876</v>
      </c>
      <c r="DU27" s="0" t="n">
        <v>0.0182340557604919</v>
      </c>
      <c r="DV27" s="0" t="n">
        <v>0.0110457625793596</v>
      </c>
      <c r="DW27" s="0" t="n">
        <v>0.0039322805815144</v>
      </c>
      <c r="DX27" s="0" t="n">
        <v>0.013756232932193</v>
      </c>
      <c r="DY27" s="0" t="n">
        <v>0.0083292767179927</v>
      </c>
      <c r="DZ27" s="0" t="n">
        <v>0.0028990974135188</v>
      </c>
      <c r="EA27" s="0" t="n">
        <v>0.0100311474106121</v>
      </c>
      <c r="EB27" s="0" t="n">
        <v>0.0067567725085482</v>
      </c>
      <c r="EC27" s="0" t="n">
        <v>-0.0022617320366362</v>
      </c>
      <c r="ED27" s="0" t="n">
        <v>0.0231617787521004</v>
      </c>
      <c r="EE27" s="0" t="n">
        <v>0.008531768147816</v>
      </c>
      <c r="EF27" s="0" t="n">
        <v>0.0068465270536642</v>
      </c>
      <c r="EG27" s="0" t="n">
        <v>0.0162387765110872</v>
      </c>
      <c r="EH27" s="0" t="n">
        <v>-0.0034570490988397</v>
      </c>
      <c r="EI27" s="0" t="n">
        <v>0.0034993125961587</v>
      </c>
      <c r="EJ27" s="0" t="n">
        <v>0.0006800225818841</v>
      </c>
      <c r="EK27" s="0" t="n">
        <v>0.0235865095877712</v>
      </c>
      <c r="EL27" s="0" t="n">
        <v>0.0240150475757978</v>
      </c>
      <c r="EM27" s="0" t="n">
        <v>0.0059204152462588</v>
      </c>
      <c r="EN27" s="0" t="n">
        <v>0.0345131022155563</v>
      </c>
      <c r="EO27" s="0" t="n">
        <v>-0.0222001632947767</v>
      </c>
      <c r="EP27" s="72" t="n">
        <f aca="false">SUMPRODUCT(B27:EO27,$B$5:$EO$5)</f>
        <v>0.00976823798939533</v>
      </c>
      <c r="EQ27" s="72" t="n">
        <f aca="false">SUMIF('Mi portafolio'!$A$8:$A$19,$A27,'Mi portafolio'!$B$8:$B$19)</f>
        <v>0</v>
      </c>
    </row>
    <row r="28" customFormat="false" ht="15" hidden="false" customHeight="false" outlineLevel="0" collapsed="false">
      <c r="A28" s="71" t="s">
        <v>246</v>
      </c>
      <c r="B28" s="0" t="n">
        <v>0.0126198497111547</v>
      </c>
      <c r="C28" s="0" t="n">
        <v>0.0013344187815999</v>
      </c>
      <c r="D28" s="0" t="n">
        <v>0.0005685226727113</v>
      </c>
      <c r="E28" s="0" t="n">
        <v>0.0064903644893471</v>
      </c>
      <c r="F28" s="0" t="n">
        <v>0.0016593394671997</v>
      </c>
      <c r="G28" s="0" t="n">
        <v>-0.0012445820596459</v>
      </c>
      <c r="H28" s="0" t="n">
        <v>0.0032934177080275</v>
      </c>
      <c r="I28" s="0" t="n">
        <v>0.0082167982774925</v>
      </c>
      <c r="J28" s="0" t="n">
        <v>0.0076387353331869</v>
      </c>
      <c r="K28" s="0" t="n">
        <v>0.00663259568651</v>
      </c>
      <c r="L28" s="0" t="n">
        <v>0.0024208740651585</v>
      </c>
      <c r="M28" s="0" t="n">
        <v>0.0170639087243105</v>
      </c>
      <c r="N28" s="0" t="n">
        <v>0.0115241428834616</v>
      </c>
      <c r="O28" s="0" t="n">
        <v>0.0096281687895011</v>
      </c>
      <c r="P28" s="0" t="n">
        <v>0.0049201879907528</v>
      </c>
      <c r="Q28" s="0" t="n">
        <v>0.0016121511184556</v>
      </c>
      <c r="R28" s="0" t="n">
        <v>0.0066115389847854</v>
      </c>
      <c r="S28" s="0" t="n">
        <v>0.0007727018081971</v>
      </c>
      <c r="T28" s="0" t="n">
        <v>0.0401203829316288</v>
      </c>
      <c r="U28" s="0" t="n">
        <v>0.0109226953468011</v>
      </c>
      <c r="V28" s="0" t="n">
        <v>0.0024867409601897</v>
      </c>
      <c r="W28" s="0" t="n">
        <v>0.0066470979897634</v>
      </c>
      <c r="X28" s="0" t="n">
        <v>0.0533171047168953</v>
      </c>
      <c r="Y28" s="0" t="n">
        <v>0.0220149636190002</v>
      </c>
      <c r="Z28" s="0" t="n">
        <v>0.0054136387396392</v>
      </c>
      <c r="AA28" s="0" t="n">
        <v>0.0080160742877072</v>
      </c>
      <c r="AB28" s="0" t="n">
        <v>0.0222296757131504</v>
      </c>
      <c r="AC28" s="0" t="n">
        <v>0.0059914210678908</v>
      </c>
      <c r="AD28" s="0" t="n">
        <v>0.0021400809632535</v>
      </c>
      <c r="AE28" s="0" t="n">
        <v>0.0082890939258992</v>
      </c>
      <c r="AF28" s="0" t="n">
        <v>0.008677752555352</v>
      </c>
      <c r="AG28" s="0" t="n">
        <v>0.0075513660419538</v>
      </c>
      <c r="AH28" s="0" t="n">
        <v>0.0094400480603739</v>
      </c>
      <c r="AI28" s="0" t="n">
        <v>0.0043590292807828</v>
      </c>
      <c r="AJ28" s="0" t="n">
        <v>0.0029859838078204</v>
      </c>
      <c r="AK28" s="0" t="n">
        <v>0.0119682392612751</v>
      </c>
      <c r="AL28" s="0" t="n">
        <v>0.015644568466406</v>
      </c>
      <c r="AM28" s="0" t="n">
        <v>0.0149663206135039</v>
      </c>
      <c r="AN28" s="0" t="n">
        <v>0.0189083686831903</v>
      </c>
      <c r="AO28" s="0" t="n">
        <v>0.0079348565876145</v>
      </c>
      <c r="AP28" s="0" t="n">
        <v>0.0188629449353584</v>
      </c>
      <c r="AQ28" s="0" t="n">
        <v>1.26037985557353E-005</v>
      </c>
      <c r="AR28" s="0" t="n">
        <v>0.0455463164051281</v>
      </c>
      <c r="AS28" s="0" t="n">
        <v>0.0076194200182895</v>
      </c>
      <c r="AT28" s="0" t="n">
        <v>0.0367597293798781</v>
      </c>
      <c r="AU28" s="0" t="n">
        <v>0.0055500897569931</v>
      </c>
      <c r="AV28" s="0" t="n">
        <v>0.009937770271806</v>
      </c>
      <c r="AW28" s="0" t="n">
        <v>0.0065481493806268</v>
      </c>
      <c r="AX28" s="0" t="n">
        <v>0.0188554734571008</v>
      </c>
      <c r="AY28" s="0" t="n">
        <v>0.0172117605585807</v>
      </c>
      <c r="AZ28" s="0" t="n">
        <v>0.0099110940350348</v>
      </c>
      <c r="BA28" s="0" t="n">
        <v>0.025627621519597</v>
      </c>
      <c r="BB28" s="0" t="n">
        <v>0.0474080231067744</v>
      </c>
      <c r="BC28" s="0" t="n">
        <v>0.0096200884264347</v>
      </c>
      <c r="BD28" s="0" t="n">
        <v>0.0106221531645444</v>
      </c>
      <c r="BE28" s="0" t="n">
        <v>0.0146928991995585</v>
      </c>
      <c r="BF28" s="0" t="n">
        <v>0.0082555149499492</v>
      </c>
      <c r="BG28" s="0" t="n">
        <v>0.0184447009261828</v>
      </c>
      <c r="BH28" s="0" t="n">
        <v>0.0102913408295688</v>
      </c>
      <c r="BI28" s="0" t="n">
        <v>0.008523829108732</v>
      </c>
      <c r="BJ28" s="0" t="n">
        <v>-1.77030955365841E-005</v>
      </c>
      <c r="BK28" s="0" t="n">
        <v>0.009621764378087</v>
      </c>
      <c r="BL28" s="0" t="n">
        <v>0.0247862191896141</v>
      </c>
      <c r="BM28" s="0" t="n">
        <v>0.0146078424724716</v>
      </c>
      <c r="BN28" s="0" t="n">
        <v>0.0148946242118062</v>
      </c>
      <c r="BO28" s="0" t="n">
        <v>0.0196711063222902</v>
      </c>
      <c r="BP28" s="0" t="n">
        <v>0.0096236338060433</v>
      </c>
      <c r="BQ28" s="0" t="n">
        <v>0.0232001177382798</v>
      </c>
      <c r="BR28" s="0" t="n">
        <v>0.0233403834773955</v>
      </c>
      <c r="BS28" s="0" t="n">
        <v>-0.0008996935228341</v>
      </c>
      <c r="BT28" s="0" t="n">
        <v>0.0370464017513926</v>
      </c>
      <c r="BU28" s="0" t="n">
        <v>0.0145535685568338</v>
      </c>
      <c r="BV28" s="0" t="n">
        <v>0.0181686428667868</v>
      </c>
      <c r="BW28" s="0" t="n">
        <v>0.0133265217556478</v>
      </c>
      <c r="BX28" s="0" t="n">
        <v>0.0131681964389593</v>
      </c>
      <c r="BY28" s="0" t="n">
        <v>0.0250991302716195</v>
      </c>
      <c r="BZ28" s="0" t="n">
        <v>0.0263507300017824</v>
      </c>
      <c r="CA28" s="0" t="n">
        <v>0.0044466875512644</v>
      </c>
      <c r="CB28" s="0" t="n">
        <v>0.000402534354746</v>
      </c>
      <c r="CC28" s="0" t="n">
        <v>0.0164450766790627</v>
      </c>
      <c r="CD28" s="0" t="n">
        <v>0.0160501849065174</v>
      </c>
      <c r="CE28" s="0" t="n">
        <v>0.021860125124123</v>
      </c>
      <c r="CF28" s="0" t="n">
        <v>-0.0017966335884346</v>
      </c>
      <c r="CG28" s="0" t="n">
        <v>0.0268980628481605</v>
      </c>
      <c r="CH28" s="0" t="n">
        <v>0.0204807321753904</v>
      </c>
      <c r="CI28" s="0" t="n">
        <v>0.0002519261976811</v>
      </c>
      <c r="CJ28" s="0" t="n">
        <v>0.0087460288646966</v>
      </c>
      <c r="CK28" s="0" t="n">
        <v>0.0165993304722374</v>
      </c>
      <c r="CL28" s="0" t="n">
        <v>0.0178841247405995</v>
      </c>
      <c r="CM28" s="0" t="n">
        <v>0.0167836938572208</v>
      </c>
      <c r="CN28" s="0" t="n">
        <v>0.0069597763459818</v>
      </c>
      <c r="CO28" s="0" t="n">
        <v>0.0086246500298815</v>
      </c>
      <c r="CP28" s="0" t="n">
        <v>0.0128932204018972</v>
      </c>
      <c r="CQ28" s="0" t="n">
        <v>0.045953645353516</v>
      </c>
      <c r="CR28" s="0" t="n">
        <v>0.0190566374698628</v>
      </c>
      <c r="CS28" s="0" t="n">
        <v>0.0411318106446787</v>
      </c>
      <c r="CT28" s="0" t="n">
        <v>0.0258723515694818</v>
      </c>
      <c r="CU28" s="0" t="n">
        <v>0.0118193034420778</v>
      </c>
      <c r="CV28" s="0" t="n">
        <v>0.0201579197638465</v>
      </c>
      <c r="CW28" s="0" t="n">
        <v>0.0218707059023907</v>
      </c>
      <c r="CX28" s="0" t="n">
        <v>0.0369584547264016</v>
      </c>
      <c r="CY28" s="0" t="n">
        <v>0.0449460331011613</v>
      </c>
      <c r="CZ28" s="0" t="n">
        <v>0.013908353419032</v>
      </c>
      <c r="DA28" s="0" t="n">
        <v>0.0151255782915116</v>
      </c>
      <c r="DB28" s="0" t="n">
        <v>0.0195607348068542</v>
      </c>
      <c r="DC28" s="0" t="n">
        <v>0.0272590467605381</v>
      </c>
      <c r="DD28" s="0" t="n">
        <v>0.0346807523664166</v>
      </c>
      <c r="DE28" s="0" t="n">
        <v>0.0307373015625232</v>
      </c>
      <c r="DF28" s="0" t="n">
        <v>0.0095104224064754</v>
      </c>
      <c r="DG28" s="0" t="n">
        <v>0.0252963923442789</v>
      </c>
      <c r="DH28" s="0" t="n">
        <v>0.0211873743482421</v>
      </c>
      <c r="DI28" s="0" t="n">
        <v>0.0453160243629568</v>
      </c>
      <c r="DJ28" s="0" t="n">
        <v>0.0444609713507925</v>
      </c>
      <c r="DK28" s="0" t="n">
        <v>0.0531818154038287</v>
      </c>
      <c r="DL28" s="0" t="n">
        <v>0.0078109408168511</v>
      </c>
      <c r="DM28" s="0" t="n">
        <v>0.0548808331590435</v>
      </c>
      <c r="DN28" s="0" t="n">
        <v>0.0287649305142535</v>
      </c>
      <c r="DO28" s="0" t="n">
        <v>0.0331057306660828</v>
      </c>
      <c r="DP28" s="0" t="n">
        <v>0.0483647137956186</v>
      </c>
      <c r="DQ28" s="0" t="n">
        <v>0.0241068446864392</v>
      </c>
      <c r="DR28" s="0" t="n">
        <v>0.0330258434826459</v>
      </c>
      <c r="DS28" s="0" t="n">
        <v>0.0167673118417984</v>
      </c>
      <c r="DT28" s="0" t="n">
        <v>0.0185373705015556</v>
      </c>
      <c r="DU28" s="0" t="n">
        <v>0.0479287022572233</v>
      </c>
      <c r="DV28" s="0" t="n">
        <v>0.0268818803776514</v>
      </c>
      <c r="DW28" s="0" t="n">
        <v>0.0290876680915715</v>
      </c>
      <c r="DX28" s="0" t="n">
        <v>0.0370251740949109</v>
      </c>
      <c r="DY28" s="0" t="n">
        <v>0.0426740955943516</v>
      </c>
      <c r="DZ28" s="0" t="n">
        <v>0.0151186165375848</v>
      </c>
      <c r="EA28" s="0" t="n">
        <v>0.0129894924507647</v>
      </c>
      <c r="EB28" s="0" t="n">
        <v>0.0461093022454602</v>
      </c>
      <c r="EC28" s="0" t="n">
        <v>0.0107019787060475</v>
      </c>
      <c r="ED28" s="0" t="n">
        <v>0.0329091124748312</v>
      </c>
      <c r="EE28" s="0" t="n">
        <v>0.0322968161920231</v>
      </c>
      <c r="EF28" s="0" t="n">
        <v>0.04693571027486</v>
      </c>
      <c r="EG28" s="0" t="n">
        <v>0.0245132743945007</v>
      </c>
      <c r="EH28" s="0" t="n">
        <v>0.0086988783900896</v>
      </c>
      <c r="EI28" s="0" t="n">
        <v>0.017338899044799</v>
      </c>
      <c r="EJ28" s="0" t="n">
        <v>0.0371807318220582</v>
      </c>
      <c r="EK28" s="0" t="n">
        <v>0.0581578011389454</v>
      </c>
      <c r="EL28" s="0" t="n">
        <v>0.0541945065855889</v>
      </c>
      <c r="EM28" s="0" t="n">
        <v>0.0311674087867864</v>
      </c>
      <c r="EN28" s="0" t="n">
        <v>0.0112906739124851</v>
      </c>
      <c r="EO28" s="0" t="n">
        <v>0.0291853632146342</v>
      </c>
      <c r="EP28" s="72" t="n">
        <f aca="false">SUMPRODUCT(B28:EO28,$B$5:$EO$5)</f>
        <v>0.0197882613970487</v>
      </c>
      <c r="EQ28" s="72" t="n">
        <f aca="false">SUMIF('Mi portafolio'!$A$8:$A$19,$A28,'Mi portafolio'!$B$8:$B$19)</f>
        <v>0</v>
      </c>
    </row>
    <row r="29" customFormat="false" ht="15" hidden="false" customHeight="false" outlineLevel="0" collapsed="false">
      <c r="A29" s="71" t="s">
        <v>247</v>
      </c>
      <c r="B29" s="0" t="n">
        <v>0.0175697965285323</v>
      </c>
      <c r="C29" s="0" t="n">
        <v>0.0046954245172236</v>
      </c>
      <c r="D29" s="0" t="n">
        <v>-4.92537168096584E-005</v>
      </c>
      <c r="E29" s="0" t="n">
        <v>0.0021818008587834</v>
      </c>
      <c r="F29" s="0" t="n">
        <v>0.0148423216665626</v>
      </c>
      <c r="G29" s="0" t="n">
        <v>-0.0020710555438354</v>
      </c>
      <c r="H29" s="0" t="n">
        <v>-0.0037101339538461</v>
      </c>
      <c r="I29" s="0" t="n">
        <v>0.0199083180852723</v>
      </c>
      <c r="J29" s="0" t="n">
        <v>0.0127694065978849</v>
      </c>
      <c r="K29" s="0" t="n">
        <v>0.014876051855367</v>
      </c>
      <c r="L29" s="0" t="n">
        <v>0.0083165330501802</v>
      </c>
      <c r="M29" s="0" t="n">
        <v>0.0118946993992492</v>
      </c>
      <c r="N29" s="0" t="n">
        <v>0.0132401843400993</v>
      </c>
      <c r="O29" s="0" t="n">
        <v>0.002796544630652</v>
      </c>
      <c r="P29" s="0" t="n">
        <v>0.0194849663336387</v>
      </c>
      <c r="Q29" s="0" t="n">
        <v>0.0025030051168717</v>
      </c>
      <c r="R29" s="0" t="n">
        <v>0.0115831346223288</v>
      </c>
      <c r="S29" s="0" t="n">
        <v>0.0077263470090619</v>
      </c>
      <c r="T29" s="0" t="n">
        <v>0.0189881283841835</v>
      </c>
      <c r="U29" s="0" t="n">
        <v>0.0032199308328573</v>
      </c>
      <c r="V29" s="0" t="n">
        <v>0.0040692845735776</v>
      </c>
      <c r="W29" s="0" t="n">
        <v>0.0017134859613852</v>
      </c>
      <c r="X29" s="0" t="n">
        <v>0.0220149636190002</v>
      </c>
      <c r="Y29" s="0" t="n">
        <v>0.0559652473975964</v>
      </c>
      <c r="Z29" s="0" t="n">
        <v>0.0008791699837479</v>
      </c>
      <c r="AA29" s="0" t="n">
        <v>0.0062359988003215</v>
      </c>
      <c r="AB29" s="0" t="n">
        <v>0.0497753388286594</v>
      </c>
      <c r="AC29" s="0" t="n">
        <v>0.0028335822496566</v>
      </c>
      <c r="AD29" s="0" t="n">
        <v>0.001679043278115</v>
      </c>
      <c r="AE29" s="0" t="n">
        <v>0.0080586478090215</v>
      </c>
      <c r="AF29" s="0" t="n">
        <v>-0.0001833490758548</v>
      </c>
      <c r="AG29" s="0" t="n">
        <v>0.0115394933345642</v>
      </c>
      <c r="AH29" s="0" t="n">
        <v>0.0080924489015801</v>
      </c>
      <c r="AI29" s="0" t="n">
        <v>0.0057308245737971</v>
      </c>
      <c r="AJ29" s="0" t="n">
        <v>-0.0031052628810282</v>
      </c>
      <c r="AK29" s="0" t="n">
        <v>-0.0003181476226311</v>
      </c>
      <c r="AL29" s="0" t="n">
        <v>0.018419970186228</v>
      </c>
      <c r="AM29" s="0" t="n">
        <v>0.0071424406910707</v>
      </c>
      <c r="AN29" s="0" t="n">
        <v>0.0206195724439473</v>
      </c>
      <c r="AO29" s="0" t="n">
        <v>0.0210082224504445</v>
      </c>
      <c r="AP29" s="0" t="n">
        <v>0.0190317192305411</v>
      </c>
      <c r="AQ29" s="0" t="n">
        <v>0.0053696778532744</v>
      </c>
      <c r="AR29" s="0" t="n">
        <v>0.0216542733775451</v>
      </c>
      <c r="AS29" s="0" t="n">
        <v>0.0030966825207626</v>
      </c>
      <c r="AT29" s="0" t="n">
        <v>0.0323920449695329</v>
      </c>
      <c r="AU29" s="0" t="n">
        <v>0.012867721873421</v>
      </c>
      <c r="AV29" s="0" t="n">
        <v>0.0076611438223974</v>
      </c>
      <c r="AW29" s="0" t="n">
        <v>0.0036486891248879</v>
      </c>
      <c r="AX29" s="0" t="n">
        <v>0.0187050534273724</v>
      </c>
      <c r="AY29" s="0" t="n">
        <v>0.0300562060227998</v>
      </c>
      <c r="AZ29" s="0" t="n">
        <v>0.0097326993492746</v>
      </c>
      <c r="BA29" s="0" t="n">
        <v>0.011887502960011</v>
      </c>
      <c r="BB29" s="0" t="n">
        <v>0.0198245412952358</v>
      </c>
      <c r="BC29" s="0" t="n">
        <v>0.0045236448692114</v>
      </c>
      <c r="BD29" s="0" t="n">
        <v>0.0058093523346128</v>
      </c>
      <c r="BE29" s="0" t="n">
        <v>0.0185988575654617</v>
      </c>
      <c r="BF29" s="0" t="n">
        <v>-0.001777658173438</v>
      </c>
      <c r="BG29" s="0" t="n">
        <v>0.0226665971135592</v>
      </c>
      <c r="BH29" s="0" t="n">
        <v>0.0023776312868203</v>
      </c>
      <c r="BI29" s="0" t="n">
        <v>0.0024248451766842</v>
      </c>
      <c r="BJ29" s="0" t="n">
        <v>0.0025267480093558</v>
      </c>
      <c r="BK29" s="0" t="n">
        <v>0.0069357585131271</v>
      </c>
      <c r="BL29" s="0" t="n">
        <v>0.0020422082987582</v>
      </c>
      <c r="BM29" s="0" t="n">
        <v>0.0155873277266876</v>
      </c>
      <c r="BN29" s="0" t="n">
        <v>0.0163022609351304</v>
      </c>
      <c r="BO29" s="0" t="n">
        <v>0.0155002215936997</v>
      </c>
      <c r="BP29" s="0" t="n">
        <v>0.0192560664290001</v>
      </c>
      <c r="BQ29" s="0" t="n">
        <v>0.003301100707772</v>
      </c>
      <c r="BR29" s="0" t="n">
        <v>0.0133949865186424</v>
      </c>
      <c r="BS29" s="0" t="n">
        <v>-0.0005955470385485</v>
      </c>
      <c r="BT29" s="0" t="n">
        <v>0.0134754832512137</v>
      </c>
      <c r="BU29" s="0" t="n">
        <v>-0.0010923943339302</v>
      </c>
      <c r="BV29" s="0" t="n">
        <v>0.0196276364437314</v>
      </c>
      <c r="BW29" s="0" t="n">
        <v>0.0166672862375775</v>
      </c>
      <c r="BX29" s="0" t="n">
        <v>0.0091321136742611</v>
      </c>
      <c r="BY29" s="0" t="n">
        <v>0.0144817742151023</v>
      </c>
      <c r="BZ29" s="0" t="n">
        <v>0.0094084736005251</v>
      </c>
      <c r="CA29" s="0" t="n">
        <v>0.0024353952034334</v>
      </c>
      <c r="CB29" s="0" t="n">
        <v>0.0083664659475269</v>
      </c>
      <c r="CC29" s="0" t="n">
        <v>0.0203781167622007</v>
      </c>
      <c r="CD29" s="0" t="n">
        <v>0.0259451809863306</v>
      </c>
      <c r="CE29" s="0" t="n">
        <v>0.0103038301425336</v>
      </c>
      <c r="CF29" s="0" t="n">
        <v>0.0026075780995722</v>
      </c>
      <c r="CG29" s="0" t="n">
        <v>0.0291682440592929</v>
      </c>
      <c r="CH29" s="0" t="n">
        <v>0.0048645003176899</v>
      </c>
      <c r="CI29" s="0" t="n">
        <v>0.0044173392963408</v>
      </c>
      <c r="CJ29" s="0" t="n">
        <v>0.0287389415739634</v>
      </c>
      <c r="CK29" s="0" t="n">
        <v>0.02785784086167</v>
      </c>
      <c r="CL29" s="0" t="n">
        <v>0.0061592645106894</v>
      </c>
      <c r="CM29" s="0" t="n">
        <v>-0.0036306992306148</v>
      </c>
      <c r="CN29" s="0" t="n">
        <v>0.0014776872918491</v>
      </c>
      <c r="CO29" s="0" t="n">
        <v>0.0047883760432215</v>
      </c>
      <c r="CP29" s="0" t="n">
        <v>0.0133897900767958</v>
      </c>
      <c r="CQ29" s="0" t="n">
        <v>0.0263963062741589</v>
      </c>
      <c r="CR29" s="0" t="n">
        <v>0.0003920862321753</v>
      </c>
      <c r="CS29" s="0" t="n">
        <v>0.0008264761330328</v>
      </c>
      <c r="CT29" s="0" t="n">
        <v>0.0242607752830902</v>
      </c>
      <c r="CU29" s="0" t="n">
        <v>0.0008224328297951</v>
      </c>
      <c r="CV29" s="0" t="n">
        <v>0.0228668962605445</v>
      </c>
      <c r="CW29" s="0" t="n">
        <v>0.0333309939702281</v>
      </c>
      <c r="CX29" s="0" t="n">
        <v>0.0302257561620029</v>
      </c>
      <c r="CY29" s="0" t="n">
        <v>0.0290671396370248</v>
      </c>
      <c r="CZ29" s="0" t="n">
        <v>0.0259470783794985</v>
      </c>
      <c r="DA29" s="0" t="n">
        <v>0.0339805196518613</v>
      </c>
      <c r="DB29" s="0" t="n">
        <v>0.0030888979093245</v>
      </c>
      <c r="DC29" s="0" t="n">
        <v>0.0054412438740363</v>
      </c>
      <c r="DD29" s="0" t="n">
        <v>0.0439461293156475</v>
      </c>
      <c r="DE29" s="0" t="n">
        <v>0.0005147097391688</v>
      </c>
      <c r="DF29" s="0" t="n">
        <v>0.0333653692049836</v>
      </c>
      <c r="DG29" s="0" t="n">
        <v>0.00712490483549</v>
      </c>
      <c r="DH29" s="0" t="n">
        <v>-0.0019101407273635</v>
      </c>
      <c r="DI29" s="0" t="n">
        <v>0.0275423793393015</v>
      </c>
      <c r="DJ29" s="0" t="n">
        <v>0.0383177239150808</v>
      </c>
      <c r="DK29" s="0" t="n">
        <v>0.0256872096368021</v>
      </c>
      <c r="DL29" s="0" t="n">
        <v>-0.0066311870786316</v>
      </c>
      <c r="DM29" s="0" t="n">
        <v>0.0421200521460465</v>
      </c>
      <c r="DN29" s="0" t="n">
        <v>0.037607166784044</v>
      </c>
      <c r="DO29" s="0" t="n">
        <v>0.0075357495854549</v>
      </c>
      <c r="DP29" s="0" t="n">
        <v>0.0455100887023824</v>
      </c>
      <c r="DQ29" s="0" t="n">
        <v>-0.0118239788578876</v>
      </c>
      <c r="DR29" s="0" t="n">
        <v>-0.0006546379486187</v>
      </c>
      <c r="DS29" s="0" t="n">
        <v>0.0316037301605098</v>
      </c>
      <c r="DT29" s="0" t="n">
        <v>-0.0104075015978961</v>
      </c>
      <c r="DU29" s="0" t="n">
        <v>0.0124180779119017</v>
      </c>
      <c r="DV29" s="0" t="n">
        <v>0.027583141279156</v>
      </c>
      <c r="DW29" s="0" t="n">
        <v>0.0454663432441969</v>
      </c>
      <c r="DX29" s="0" t="n">
        <v>-0.0118846493488004</v>
      </c>
      <c r="DY29" s="0" t="n">
        <v>0.0507531319168856</v>
      </c>
      <c r="DZ29" s="0" t="n">
        <v>0.0121908341513586</v>
      </c>
      <c r="EA29" s="0" t="n">
        <v>0.0102143676917845</v>
      </c>
      <c r="EB29" s="0" t="n">
        <v>0.0356634694360848</v>
      </c>
      <c r="EC29" s="0" t="n">
        <v>0.0055525683667528</v>
      </c>
      <c r="ED29" s="0" t="n">
        <v>0.0084773559425582</v>
      </c>
      <c r="EE29" s="0" t="n">
        <v>-0.009056795757804</v>
      </c>
      <c r="EF29" s="0" t="n">
        <v>0.0188807184763045</v>
      </c>
      <c r="EG29" s="0" t="n">
        <v>-0.0051397017413248</v>
      </c>
      <c r="EH29" s="0" t="n">
        <v>0.0385367470466635</v>
      </c>
      <c r="EI29" s="0" t="n">
        <v>-0.0234168272280359</v>
      </c>
      <c r="EJ29" s="0" t="n">
        <v>0.0139251804735214</v>
      </c>
      <c r="EK29" s="0" t="n">
        <v>0.001576222076515</v>
      </c>
      <c r="EL29" s="0" t="n">
        <v>-0.0127418180657273</v>
      </c>
      <c r="EM29" s="0" t="n">
        <v>-0.0053018991593568</v>
      </c>
      <c r="EN29" s="0" t="n">
        <v>0.0305595207446548</v>
      </c>
      <c r="EO29" s="0" t="n">
        <v>0.0171833210344666</v>
      </c>
      <c r="EP29" s="72" t="n">
        <f aca="false">SUMPRODUCT(B29:EO29,$B$5:$EO$5)</f>
        <v>-0.0136164630081836</v>
      </c>
      <c r="EQ29" s="72" t="n">
        <f aca="false">SUMIF('Mi portafolio'!$A$8:$A$19,$A29,'Mi portafolio'!$B$8:$B$19)</f>
        <v>0</v>
      </c>
    </row>
    <row r="30" customFormat="false" ht="15" hidden="false" customHeight="false" outlineLevel="0" collapsed="false">
      <c r="A30" s="71" t="s">
        <v>248</v>
      </c>
      <c r="B30" s="0" t="n">
        <v>0.0020804489838469</v>
      </c>
      <c r="C30" s="0" t="n">
        <v>0.0080303186159314</v>
      </c>
      <c r="D30" s="0" t="n">
        <v>0.0040912515143529</v>
      </c>
      <c r="E30" s="0" t="n">
        <v>0.008241592604316</v>
      </c>
      <c r="F30" s="0" t="n">
        <v>0.0049925444893685</v>
      </c>
      <c r="G30" s="0" t="n">
        <v>0.0100861506664822</v>
      </c>
      <c r="H30" s="0" t="n">
        <v>0.0136190004259434</v>
      </c>
      <c r="I30" s="0" t="n">
        <v>0.0058213736744705</v>
      </c>
      <c r="J30" s="0" t="n">
        <v>0.0032711245693622</v>
      </c>
      <c r="K30" s="0" t="n">
        <v>0.0070092920518427</v>
      </c>
      <c r="L30" s="0" t="n">
        <v>0.014309814599252</v>
      </c>
      <c r="M30" s="0" t="n">
        <v>0.0146753575763273</v>
      </c>
      <c r="N30" s="0" t="n">
        <v>0.0065907939827244</v>
      </c>
      <c r="O30" s="0" t="n">
        <v>0.0195408727577788</v>
      </c>
      <c r="P30" s="0" t="n">
        <v>0.0039646937162475</v>
      </c>
      <c r="Q30" s="0" t="n">
        <v>0.0065102452972969</v>
      </c>
      <c r="R30" s="0" t="n">
        <v>0.0073290648428314</v>
      </c>
      <c r="S30" s="0" t="n">
        <v>0.0141205914080214</v>
      </c>
      <c r="T30" s="0" t="n">
        <v>0.0042955250490332</v>
      </c>
      <c r="U30" s="0" t="n">
        <v>0.0155506103040834</v>
      </c>
      <c r="V30" s="0" t="n">
        <v>0.0176000552229549</v>
      </c>
      <c r="W30" s="0" t="n">
        <v>0.0118330428169734</v>
      </c>
      <c r="X30" s="0" t="n">
        <v>0.0054136387396392</v>
      </c>
      <c r="Y30" s="0" t="n">
        <v>0.0008791699837479</v>
      </c>
      <c r="Z30" s="0" t="n">
        <v>0.0556593633261374</v>
      </c>
      <c r="AA30" s="0" t="n">
        <v>0.0105052257843812</v>
      </c>
      <c r="AB30" s="0" t="n">
        <v>0.001391875193147</v>
      </c>
      <c r="AC30" s="0" t="n">
        <v>0.0119516493676754</v>
      </c>
      <c r="AD30" s="0" t="n">
        <v>0.0152996328631176</v>
      </c>
      <c r="AE30" s="0" t="n">
        <v>0.0181614136680835</v>
      </c>
      <c r="AF30" s="0" t="n">
        <v>0.0164049118017829</v>
      </c>
      <c r="AG30" s="0" t="n">
        <v>0.0012904016669034</v>
      </c>
      <c r="AH30" s="0" t="n">
        <v>-0.0014490425254923</v>
      </c>
      <c r="AI30" s="0" t="n">
        <v>-0.003428884900508</v>
      </c>
      <c r="AJ30" s="0" t="n">
        <v>0.0106013436689426</v>
      </c>
      <c r="AK30" s="0" t="n">
        <v>0.0238316914071746</v>
      </c>
      <c r="AL30" s="0" t="n">
        <v>0.0028122280127065</v>
      </c>
      <c r="AM30" s="0" t="n">
        <v>0.0189500700503825</v>
      </c>
      <c r="AN30" s="0" t="n">
        <v>0.0113657099569095</v>
      </c>
      <c r="AO30" s="0" t="n">
        <v>0.0011364770825494</v>
      </c>
      <c r="AP30" s="0" t="n">
        <v>0.0041869355051218</v>
      </c>
      <c r="AQ30" s="0" t="n">
        <v>-0.0008872441356228</v>
      </c>
      <c r="AR30" s="0" t="n">
        <v>0.0016615619015328</v>
      </c>
      <c r="AS30" s="0" t="n">
        <v>0.0197877651861252</v>
      </c>
      <c r="AT30" s="0" t="n">
        <v>0.0057299443347337</v>
      </c>
      <c r="AU30" s="0" t="n">
        <v>0.0074632235713313</v>
      </c>
      <c r="AV30" s="0" t="n">
        <v>0.0169571675444742</v>
      </c>
      <c r="AW30" s="0" t="n">
        <v>0.0247719406749939</v>
      </c>
      <c r="AX30" s="0" t="n">
        <v>0.0068728410677192</v>
      </c>
      <c r="AY30" s="0" t="n">
        <v>0.0020082192949348</v>
      </c>
      <c r="AZ30" s="0" t="n">
        <v>0.01740732520152</v>
      </c>
      <c r="BA30" s="0" t="n">
        <v>0.0127774991273966</v>
      </c>
      <c r="BB30" s="0" t="n">
        <v>0.0056617637048703</v>
      </c>
      <c r="BC30" s="0" t="n">
        <v>0.0125371578862667</v>
      </c>
      <c r="BD30" s="0" t="n">
        <v>0.0216435167418639</v>
      </c>
      <c r="BE30" s="0" t="n">
        <v>0.0065798862828504</v>
      </c>
      <c r="BF30" s="0" t="n">
        <v>0.0322106888955251</v>
      </c>
      <c r="BG30" s="0" t="n">
        <v>0.0041669038335122</v>
      </c>
      <c r="BH30" s="0" t="n">
        <v>0.0233648442547021</v>
      </c>
      <c r="BI30" s="0" t="n">
        <v>0.009695155825419</v>
      </c>
      <c r="BJ30" s="0" t="n">
        <v>-0.0080703575909996</v>
      </c>
      <c r="BK30" s="0" t="n">
        <v>0.0218727055570634</v>
      </c>
      <c r="BL30" s="0" t="n">
        <v>0.0133941781750984</v>
      </c>
      <c r="BM30" s="0" t="n">
        <v>0.002592987098011</v>
      </c>
      <c r="BN30" s="0" t="n">
        <v>0.0006664705417822</v>
      </c>
      <c r="BO30" s="0" t="n">
        <v>0.004113017818055</v>
      </c>
      <c r="BP30" s="0" t="n">
        <v>0.0020579637801645</v>
      </c>
      <c r="BQ30" s="0" t="n">
        <v>0.0292650538020351</v>
      </c>
      <c r="BR30" s="0" t="n">
        <v>0.0033947534012106</v>
      </c>
      <c r="BS30" s="0" t="n">
        <v>-0.0083962379589687</v>
      </c>
      <c r="BT30" s="0" t="n">
        <v>0.0097334495848899</v>
      </c>
      <c r="BU30" s="0" t="n">
        <v>0.0223891549632497</v>
      </c>
      <c r="BV30" s="0" t="n">
        <v>0.0008907682773655</v>
      </c>
      <c r="BW30" s="0" t="n">
        <v>0.0065147220279827</v>
      </c>
      <c r="BX30" s="0" t="n">
        <v>-0.0007060188523982</v>
      </c>
      <c r="BY30" s="0" t="n">
        <v>0.0119329933877735</v>
      </c>
      <c r="BZ30" s="0" t="n">
        <v>0.0091417166419563</v>
      </c>
      <c r="CA30" s="0" t="n">
        <v>0.0173845477487221</v>
      </c>
      <c r="CB30" s="0" t="n">
        <v>-0.0088916395813871</v>
      </c>
      <c r="CC30" s="0" t="n">
        <v>0.0013761144685598</v>
      </c>
      <c r="CD30" s="0" t="n">
        <v>0.0092070677359982</v>
      </c>
      <c r="CE30" s="0" t="n">
        <v>-0.000661070854371</v>
      </c>
      <c r="CF30" s="0" t="n">
        <v>-0.0053038278091516</v>
      </c>
      <c r="CG30" s="0" t="n">
        <v>0.0076678817135339</v>
      </c>
      <c r="CH30" s="0" t="n">
        <v>0.0291312139791025</v>
      </c>
      <c r="CI30" s="0" t="n">
        <v>-0.0083924290830386</v>
      </c>
      <c r="CJ30" s="0" t="n">
        <v>0.0023140654974576</v>
      </c>
      <c r="CK30" s="0" t="n">
        <v>0.0048542842527862</v>
      </c>
      <c r="CL30" s="0" t="n">
        <v>0.0103546878222062</v>
      </c>
      <c r="CM30" s="0" t="n">
        <v>0.0065226631215257</v>
      </c>
      <c r="CN30" s="0" t="n">
        <v>0.0190763505040871</v>
      </c>
      <c r="CO30" s="0" t="n">
        <v>0.0101094918955445</v>
      </c>
      <c r="CP30" s="0" t="n">
        <v>0.0073512441543685</v>
      </c>
      <c r="CQ30" s="0" t="n">
        <v>0.0100037612364022</v>
      </c>
      <c r="CR30" s="0" t="n">
        <v>0.0089458576743483</v>
      </c>
      <c r="CS30" s="0" t="n">
        <v>0.0117550439788622</v>
      </c>
      <c r="CT30" s="0" t="n">
        <v>0.014013153827239</v>
      </c>
      <c r="CU30" s="0" t="n">
        <v>0.0144616221076393</v>
      </c>
      <c r="CV30" s="0" t="n">
        <v>0.0095348171280953</v>
      </c>
      <c r="CW30" s="0" t="n">
        <v>0.0106640277617949</v>
      </c>
      <c r="CX30" s="0" t="n">
        <v>0.013769648106153</v>
      </c>
      <c r="CY30" s="0" t="n">
        <v>0.0128543456023543</v>
      </c>
      <c r="CZ30" s="0" t="n">
        <v>0.0045759000505584</v>
      </c>
      <c r="DA30" s="0" t="n">
        <v>0.002211173454857</v>
      </c>
      <c r="DB30" s="0" t="n">
        <v>0.0158572131426011</v>
      </c>
      <c r="DC30" s="0" t="n">
        <v>0.0250513749707382</v>
      </c>
      <c r="DD30" s="0" t="n">
        <v>0.0085080901647141</v>
      </c>
      <c r="DE30" s="0" t="n">
        <v>0.0212854105562872</v>
      </c>
      <c r="DF30" s="0" t="n">
        <v>-6.27839745573564E-005</v>
      </c>
      <c r="DG30" s="0" t="n">
        <v>0.0233340071918283</v>
      </c>
      <c r="DH30" s="0" t="n">
        <v>0.0102281582032155</v>
      </c>
      <c r="DI30" s="0" t="n">
        <v>0.0108037263687254</v>
      </c>
      <c r="DJ30" s="0" t="n">
        <v>0.0130537786244937</v>
      </c>
      <c r="DK30" s="0" t="n">
        <v>0.0106657700400158</v>
      </c>
      <c r="DL30" s="0" t="n">
        <v>0.0367779040331734</v>
      </c>
      <c r="DM30" s="0" t="n">
        <v>0.0229912279215426</v>
      </c>
      <c r="DN30" s="0" t="n">
        <v>0.0090193348771278</v>
      </c>
      <c r="DO30" s="0" t="n">
        <v>-0.0037401887893477</v>
      </c>
      <c r="DP30" s="0" t="n">
        <v>0.0188245731178078</v>
      </c>
      <c r="DQ30" s="0" t="n">
        <v>0.005295450645857</v>
      </c>
      <c r="DR30" s="0" t="n">
        <v>0.0178978821999829</v>
      </c>
      <c r="DS30" s="0" t="n">
        <v>0.0012987075316202</v>
      </c>
      <c r="DT30" s="0" t="n">
        <v>0.008173034996965</v>
      </c>
      <c r="DU30" s="0" t="n">
        <v>0.0186642565459838</v>
      </c>
      <c r="DV30" s="0" t="n">
        <v>0.0078186521999553</v>
      </c>
      <c r="DW30" s="0" t="n">
        <v>0.0062433564563968</v>
      </c>
      <c r="DX30" s="0" t="n">
        <v>0.0075311375938619</v>
      </c>
      <c r="DY30" s="0" t="n">
        <v>0.0130560141310079</v>
      </c>
      <c r="DZ30" s="0" t="n">
        <v>0.0056733713952011</v>
      </c>
      <c r="EA30" s="0" t="n">
        <v>0.02361273989763</v>
      </c>
      <c r="EB30" s="0" t="n">
        <v>0.0211855315616213</v>
      </c>
      <c r="EC30" s="0" t="n">
        <v>0.0141792035782202</v>
      </c>
      <c r="ED30" s="0" t="n">
        <v>0.0254335022069105</v>
      </c>
      <c r="EE30" s="0" t="n">
        <v>0.0107859913950522</v>
      </c>
      <c r="EF30" s="0" t="n">
        <v>0.0249777416302041</v>
      </c>
      <c r="EG30" s="0" t="n">
        <v>0.0085162399569886</v>
      </c>
      <c r="EH30" s="0" t="n">
        <v>0.0052276989048413</v>
      </c>
      <c r="EI30" s="0" t="n">
        <v>0.0172718028323272</v>
      </c>
      <c r="EJ30" s="0" t="n">
        <v>0.033906908635904</v>
      </c>
      <c r="EK30" s="0" t="n">
        <v>0.0241784994049826</v>
      </c>
      <c r="EL30" s="0" t="n">
        <v>0.0250410069359199</v>
      </c>
      <c r="EM30" s="0" t="n">
        <v>0.0190049703427295</v>
      </c>
      <c r="EN30" s="0" t="n">
        <v>0.0304917364034576</v>
      </c>
      <c r="EO30" s="0" t="n">
        <v>0.0161577245659987</v>
      </c>
      <c r="EP30" s="72" t="n">
        <f aca="false">SUMPRODUCT(B30:EO30,$B$5:$EO$5)</f>
        <v>0.0139031599963091</v>
      </c>
      <c r="EQ30" s="72" t="n">
        <f aca="false">SUMIF('Mi portafolio'!$A$8:$A$19,$A30,'Mi portafolio'!$B$8:$B$19)</f>
        <v>0</v>
      </c>
    </row>
    <row r="31" customFormat="false" ht="15" hidden="false" customHeight="false" outlineLevel="0" collapsed="false">
      <c r="A31" s="71" t="s">
        <v>249</v>
      </c>
      <c r="B31" s="0" t="n">
        <v>0.0021923672946411</v>
      </c>
      <c r="C31" s="0" t="n">
        <v>0.0036920801115828</v>
      </c>
      <c r="D31" s="0" t="n">
        <v>0.0040998651067101</v>
      </c>
      <c r="E31" s="0" t="n">
        <v>0.0092749690677437</v>
      </c>
      <c r="F31" s="0" t="n">
        <v>0.0127708086752715</v>
      </c>
      <c r="G31" s="0" t="n">
        <v>0.0039628523010236</v>
      </c>
      <c r="H31" s="0" t="n">
        <v>0.0103297382570975</v>
      </c>
      <c r="I31" s="0" t="n">
        <v>0.0100491477774688</v>
      </c>
      <c r="J31" s="0" t="n">
        <v>0.0086039857875357</v>
      </c>
      <c r="K31" s="0" t="n">
        <v>0.01023818131653</v>
      </c>
      <c r="L31" s="0" t="n">
        <v>0.0145779827417225</v>
      </c>
      <c r="M31" s="0" t="n">
        <v>0.0104278272892182</v>
      </c>
      <c r="N31" s="0" t="n">
        <v>0.0091822154001729</v>
      </c>
      <c r="O31" s="0" t="n">
        <v>0.0185183090414572</v>
      </c>
      <c r="P31" s="0" t="n">
        <v>0.0095125907126318</v>
      </c>
      <c r="Q31" s="0" t="n">
        <v>1.29196716788651E-005</v>
      </c>
      <c r="R31" s="0" t="n">
        <v>0.0115639055427022</v>
      </c>
      <c r="S31" s="0" t="n">
        <v>0.0114786455469842</v>
      </c>
      <c r="T31" s="0" t="n">
        <v>0.0064967377601713</v>
      </c>
      <c r="U31" s="0" t="n">
        <v>0.0149765357607696</v>
      </c>
      <c r="V31" s="0" t="n">
        <v>0.01352802987705</v>
      </c>
      <c r="W31" s="0" t="n">
        <v>0.0246108803141506</v>
      </c>
      <c r="X31" s="0" t="n">
        <v>0.0080160742877072</v>
      </c>
      <c r="Y31" s="0" t="n">
        <v>0.0062359988003215</v>
      </c>
      <c r="Z31" s="0" t="n">
        <v>0.0105052257843812</v>
      </c>
      <c r="AA31" s="0" t="n">
        <v>0.0543323051241936</v>
      </c>
      <c r="AB31" s="0" t="n">
        <v>0.0066480586363854</v>
      </c>
      <c r="AC31" s="0" t="n">
        <v>0.007954788608478</v>
      </c>
      <c r="AD31" s="0" t="n">
        <v>0.011359823273087</v>
      </c>
      <c r="AE31" s="0" t="n">
        <v>0.0164964464963555</v>
      </c>
      <c r="AF31" s="0" t="n">
        <v>0.0183178263174198</v>
      </c>
      <c r="AG31" s="0" t="n">
        <v>0.0049486719226351</v>
      </c>
      <c r="AH31" s="0" t="n">
        <v>0.0091898978659173</v>
      </c>
      <c r="AI31" s="0" t="n">
        <v>-0.0058382989659908</v>
      </c>
      <c r="AJ31" s="0" t="n">
        <v>0.012363058840421</v>
      </c>
      <c r="AK31" s="0" t="n">
        <v>0.0131254389623501</v>
      </c>
      <c r="AL31" s="0" t="n">
        <v>0.0093522545842083</v>
      </c>
      <c r="AM31" s="0" t="n">
        <v>0.0155135894004311</v>
      </c>
      <c r="AN31" s="0" t="n">
        <v>0.0140026588892092</v>
      </c>
      <c r="AO31" s="0" t="n">
        <v>0.0115718105331183</v>
      </c>
      <c r="AP31" s="0" t="n">
        <v>0.0135877783057016</v>
      </c>
      <c r="AQ31" s="0" t="n">
        <v>-0.005211672494362</v>
      </c>
      <c r="AR31" s="0" t="n">
        <v>0.0094678587694678</v>
      </c>
      <c r="AS31" s="0" t="n">
        <v>0.0156382297598941</v>
      </c>
      <c r="AT31" s="0" t="n">
        <v>0.0075961974602554</v>
      </c>
      <c r="AU31" s="0" t="n">
        <v>0.0096845463989624</v>
      </c>
      <c r="AV31" s="0" t="n">
        <v>0.0114189542741194</v>
      </c>
      <c r="AW31" s="0" t="n">
        <v>0.0036533951940534</v>
      </c>
      <c r="AX31" s="0" t="n">
        <v>0.015951146391051</v>
      </c>
      <c r="AY31" s="0" t="n">
        <v>0.009205024473598</v>
      </c>
      <c r="AZ31" s="0" t="n">
        <v>0.0207477673945363</v>
      </c>
      <c r="BA31" s="0" t="n">
        <v>0.0145706994626545</v>
      </c>
      <c r="BB31" s="0" t="n">
        <v>0.0090689058724762</v>
      </c>
      <c r="BC31" s="0" t="n">
        <v>0.0110143736994995</v>
      </c>
      <c r="BD31" s="0" t="n">
        <v>0.0170525706263357</v>
      </c>
      <c r="BE31" s="0" t="n">
        <v>0.0118857476887244</v>
      </c>
      <c r="BF31" s="0" t="n">
        <v>0.0144653728762843</v>
      </c>
      <c r="BG31" s="0" t="n">
        <v>-0.0006447055117308</v>
      </c>
      <c r="BH31" s="0" t="n">
        <v>0.0049012697977937</v>
      </c>
      <c r="BI31" s="0" t="n">
        <v>0.0015755671248214</v>
      </c>
      <c r="BJ31" s="0" t="n">
        <v>-0.0012301535472201</v>
      </c>
      <c r="BK31" s="0" t="n">
        <v>0.0179255910887858</v>
      </c>
      <c r="BL31" s="0" t="n">
        <v>0.0085160563374039</v>
      </c>
      <c r="BM31" s="0" t="n">
        <v>0.0130491946973099</v>
      </c>
      <c r="BN31" s="0" t="n">
        <v>0.0015452239257961</v>
      </c>
      <c r="BO31" s="0" t="n">
        <v>0.0045275164413358</v>
      </c>
      <c r="BP31" s="0" t="n">
        <v>0.0063530850451688</v>
      </c>
      <c r="BQ31" s="0" t="n">
        <v>0.0201728785653991</v>
      </c>
      <c r="BR31" s="0" t="n">
        <v>0.0138812884581685</v>
      </c>
      <c r="BS31" s="0" t="n">
        <v>-0.0105563776441851</v>
      </c>
      <c r="BT31" s="0" t="n">
        <v>0.0113504787916857</v>
      </c>
      <c r="BU31" s="0" t="n">
        <v>0.0096211302533223</v>
      </c>
      <c r="BV31" s="0" t="n">
        <v>0.0019573853230527</v>
      </c>
      <c r="BW31" s="0" t="n">
        <v>0.0112023764476974</v>
      </c>
      <c r="BX31" s="0" t="n">
        <v>0.0024023190102878</v>
      </c>
      <c r="BY31" s="0" t="n">
        <v>0.0171166209018172</v>
      </c>
      <c r="BZ31" s="0" t="n">
        <v>0.0142577443998727</v>
      </c>
      <c r="CA31" s="0" t="n">
        <v>0.0177214408407403</v>
      </c>
      <c r="CB31" s="0" t="n">
        <v>-0.007025356075167</v>
      </c>
      <c r="CC31" s="0" t="n">
        <v>-5.2987860743916E-005</v>
      </c>
      <c r="CD31" s="0" t="n">
        <v>0.0064401996491346</v>
      </c>
      <c r="CE31" s="0" t="n">
        <v>0.0064803131374037</v>
      </c>
      <c r="CF31" s="0" t="n">
        <v>-0.0053446112531725</v>
      </c>
      <c r="CG31" s="0" t="n">
        <v>0.0059483594538225</v>
      </c>
      <c r="CH31" s="0" t="n">
        <v>0.0165192062884608</v>
      </c>
      <c r="CI31" s="0" t="n">
        <v>-0.0120164466394638</v>
      </c>
      <c r="CJ31" s="0" t="n">
        <v>0.0015633048032038</v>
      </c>
      <c r="CK31" s="0" t="n">
        <v>-0.0001875722106397</v>
      </c>
      <c r="CL31" s="0" t="n">
        <v>0.0186618480711879</v>
      </c>
      <c r="CM31" s="0" t="n">
        <v>-0.006014007276384</v>
      </c>
      <c r="CN31" s="0" t="n">
        <v>0.010872509375434</v>
      </c>
      <c r="CO31" s="0" t="n">
        <v>0.0024076584956723</v>
      </c>
      <c r="CP31" s="0" t="n">
        <v>0.0032723172697872</v>
      </c>
      <c r="CQ31" s="0" t="n">
        <v>0.014617669383348</v>
      </c>
      <c r="CR31" s="0" t="n">
        <v>0.0090916000458264</v>
      </c>
      <c r="CS31" s="0" t="n">
        <v>0.0095076911341428</v>
      </c>
      <c r="CT31" s="0" t="n">
        <v>0.0117630279243412</v>
      </c>
      <c r="CU31" s="0" t="n">
        <v>0.0039898620331747</v>
      </c>
      <c r="CV31" s="0" t="n">
        <v>-0.0030965936355712</v>
      </c>
      <c r="CW31" s="0" t="n">
        <v>0.0208861291232039</v>
      </c>
      <c r="CX31" s="0" t="n">
        <v>0.0177505966494204</v>
      </c>
      <c r="CY31" s="0" t="n">
        <v>0.0115811224079585</v>
      </c>
      <c r="CZ31" s="0" t="n">
        <v>0.0083658071874205</v>
      </c>
      <c r="DA31" s="0" t="n">
        <v>-0.0042540336625398</v>
      </c>
      <c r="DB31" s="0" t="n">
        <v>0.0054483439339557</v>
      </c>
      <c r="DC31" s="0" t="n">
        <v>0.0313662645210639</v>
      </c>
      <c r="DD31" s="0" t="n">
        <v>0.0053759107564652</v>
      </c>
      <c r="DE31" s="0" t="n">
        <v>0.0104388915794426</v>
      </c>
      <c r="DF31" s="0" t="n">
        <v>0.0022199361588777</v>
      </c>
      <c r="DG31" s="0" t="n">
        <v>0.0073092920654903</v>
      </c>
      <c r="DH31" s="0" t="n">
        <v>0.0013301037842549</v>
      </c>
      <c r="DI31" s="0" t="n">
        <v>0.0204244994564302</v>
      </c>
      <c r="DJ31" s="0" t="n">
        <v>0.0103540083314897</v>
      </c>
      <c r="DK31" s="0" t="n">
        <v>0.0188611779076382</v>
      </c>
      <c r="DL31" s="0" t="n">
        <v>0.0149261321897775</v>
      </c>
      <c r="DM31" s="0" t="n">
        <v>0.0280882101889401</v>
      </c>
      <c r="DN31" s="0" t="n">
        <v>0.0104907528495818</v>
      </c>
      <c r="DO31" s="0" t="n">
        <v>0.0160016213077769</v>
      </c>
      <c r="DP31" s="0" t="n">
        <v>0.0126027193285512</v>
      </c>
      <c r="DQ31" s="0" t="n">
        <v>0.0076962986793557</v>
      </c>
      <c r="DR31" s="0" t="n">
        <v>0.0079057778875745</v>
      </c>
      <c r="DS31" s="0" t="n">
        <v>0.0062300909294863</v>
      </c>
      <c r="DT31" s="0" t="n">
        <v>-0.0009088971674905</v>
      </c>
      <c r="DU31" s="0" t="n">
        <v>0.0041489642507173</v>
      </c>
      <c r="DV31" s="0" t="n">
        <v>-0.0010998255589843</v>
      </c>
      <c r="DW31" s="0" t="n">
        <v>-0.0017908559363621</v>
      </c>
      <c r="DX31" s="0" t="n">
        <v>0.0094230662754741</v>
      </c>
      <c r="DY31" s="0" t="n">
        <v>0.0017495564996913</v>
      </c>
      <c r="DZ31" s="0" t="n">
        <v>0.0035209255623727</v>
      </c>
      <c r="EA31" s="0" t="n">
        <v>0.0103767252731091</v>
      </c>
      <c r="EB31" s="0" t="n">
        <v>-0.0017576843991416</v>
      </c>
      <c r="EC31" s="0" t="n">
        <v>0.0045168933654374</v>
      </c>
      <c r="ED31" s="0" t="n">
        <v>0.0185657466547182</v>
      </c>
      <c r="EE31" s="0" t="n">
        <v>0.0123694532560361</v>
      </c>
      <c r="EF31" s="0" t="n">
        <v>0.0006471678287959</v>
      </c>
      <c r="EG31" s="0" t="n">
        <v>0.0211874385650877</v>
      </c>
      <c r="EH31" s="0" t="n">
        <v>0.0028753016657408</v>
      </c>
      <c r="EI31" s="0" t="n">
        <v>0.0114097198842112</v>
      </c>
      <c r="EJ31" s="0" t="n">
        <v>0.0186864378207711</v>
      </c>
      <c r="EK31" s="0" t="n">
        <v>0.0100621280985953</v>
      </c>
      <c r="EL31" s="0" t="n">
        <v>0.0226618200819077</v>
      </c>
      <c r="EM31" s="0" t="n">
        <v>-0.0008562825227799</v>
      </c>
      <c r="EN31" s="0" t="n">
        <v>0.0647060461046787</v>
      </c>
      <c r="EO31" s="0" t="n">
        <v>-0.0126703519592904</v>
      </c>
      <c r="EP31" s="72" t="n">
        <f aca="false">SUMPRODUCT(B31:EO31,$B$5:$EO$5)</f>
        <v>0.0158004153941976</v>
      </c>
      <c r="EQ31" s="72" t="n">
        <f aca="false">SUMIF('Mi portafolio'!$A$8:$A$19,$A31,'Mi portafolio'!$B$8:$B$19)</f>
        <v>0</v>
      </c>
    </row>
    <row r="32" customFormat="false" ht="15" hidden="false" customHeight="false" outlineLevel="0" collapsed="false">
      <c r="A32" s="71" t="s">
        <v>251</v>
      </c>
      <c r="B32" s="0" t="n">
        <v>0.0192710867911402</v>
      </c>
      <c r="C32" s="0" t="n">
        <v>0.0018735179407949</v>
      </c>
      <c r="D32" s="0" t="n">
        <v>0.0014111227650493</v>
      </c>
      <c r="E32" s="0" t="n">
        <v>0.0027863392090081</v>
      </c>
      <c r="F32" s="0" t="n">
        <v>0.0159531490648938</v>
      </c>
      <c r="G32" s="0" t="n">
        <v>-0.0001934907494244</v>
      </c>
      <c r="H32" s="0" t="n">
        <v>-0.0042141686957086</v>
      </c>
      <c r="I32" s="0" t="n">
        <v>0.0206806664140546</v>
      </c>
      <c r="J32" s="0" t="n">
        <v>0.011232437971303</v>
      </c>
      <c r="K32" s="0" t="n">
        <v>0.0157233778648357</v>
      </c>
      <c r="L32" s="0" t="n">
        <v>0.0059726508724413</v>
      </c>
      <c r="M32" s="0" t="n">
        <v>0.0125531360560537</v>
      </c>
      <c r="N32" s="0" t="n">
        <v>0.0137366630067993</v>
      </c>
      <c r="O32" s="0" t="n">
        <v>0.0018325102325953</v>
      </c>
      <c r="P32" s="0" t="n">
        <v>0.017690003833064</v>
      </c>
      <c r="Q32" s="0" t="n">
        <v>0.000359086008835</v>
      </c>
      <c r="R32" s="0" t="n">
        <v>0.0115045095934254</v>
      </c>
      <c r="S32" s="0" t="n">
        <v>0.0043890853679291</v>
      </c>
      <c r="T32" s="0" t="n">
        <v>0.020940039702715</v>
      </c>
      <c r="U32" s="0" t="n">
        <v>0.0027334865548289</v>
      </c>
      <c r="V32" s="0" t="n">
        <v>0.0020753207893473</v>
      </c>
      <c r="W32" s="0" t="n">
        <v>0.001940033230151</v>
      </c>
      <c r="X32" s="0" t="n">
        <v>0.0222296757131504</v>
      </c>
      <c r="Y32" s="0" t="n">
        <v>0.0497753388286594</v>
      </c>
      <c r="Z32" s="0" t="n">
        <v>0.001391875193147</v>
      </c>
      <c r="AA32" s="0" t="n">
        <v>0.0066480586363854</v>
      </c>
      <c r="AB32" s="0" t="n">
        <v>0.0569818544118745</v>
      </c>
      <c r="AC32" s="0" t="n">
        <v>0.0013564708582783</v>
      </c>
      <c r="AD32" s="0" t="n">
        <v>-0.001229874329275</v>
      </c>
      <c r="AE32" s="0" t="n">
        <v>0.0059402234567645</v>
      </c>
      <c r="AF32" s="0" t="n">
        <v>-0.0024719988015898</v>
      </c>
      <c r="AG32" s="0" t="n">
        <v>0.0118823263515358</v>
      </c>
      <c r="AH32" s="0" t="n">
        <v>0.0092314988104096</v>
      </c>
      <c r="AI32" s="0" t="n">
        <v>0.0057600032988905</v>
      </c>
      <c r="AJ32" s="0" t="n">
        <v>-0.0040961567588649</v>
      </c>
      <c r="AK32" s="0" t="n">
        <v>-0.0001885916514204</v>
      </c>
      <c r="AL32" s="0" t="n">
        <v>0.0173781471800609</v>
      </c>
      <c r="AM32" s="0" t="n">
        <v>0.0064806722699418</v>
      </c>
      <c r="AN32" s="0" t="n">
        <v>0.0216593456278521</v>
      </c>
      <c r="AO32" s="0" t="n">
        <v>0.0184052783328001</v>
      </c>
      <c r="AP32" s="0" t="n">
        <v>0.0211524273142157</v>
      </c>
      <c r="AQ32" s="0" t="n">
        <v>0.0053330795228</v>
      </c>
      <c r="AR32" s="0" t="n">
        <v>0.0231928826453175</v>
      </c>
      <c r="AS32" s="0" t="n">
        <v>-0.0017217026712176</v>
      </c>
      <c r="AT32" s="0" t="n">
        <v>0.0332016408895398</v>
      </c>
      <c r="AU32" s="0" t="n">
        <v>0.0114057970651472</v>
      </c>
      <c r="AV32" s="0" t="n">
        <v>0.0022795584534259</v>
      </c>
      <c r="AW32" s="0" t="n">
        <v>-0.0001750187816437</v>
      </c>
      <c r="AX32" s="0" t="n">
        <v>0.0189992442246155</v>
      </c>
      <c r="AY32" s="0" t="n">
        <v>0.0260262615118708</v>
      </c>
      <c r="AZ32" s="0" t="n">
        <v>0.005055052844802</v>
      </c>
      <c r="BA32" s="0" t="n">
        <v>0.0113147626744928</v>
      </c>
      <c r="BB32" s="0" t="n">
        <v>0.0209888446452134</v>
      </c>
      <c r="BC32" s="0" t="n">
        <v>-4.51205576337931E-005</v>
      </c>
      <c r="BD32" s="0" t="n">
        <v>0.0039105811663188</v>
      </c>
      <c r="BE32" s="0" t="n">
        <v>0.0183666213319293</v>
      </c>
      <c r="BF32" s="0" t="n">
        <v>-0.0017499784742364</v>
      </c>
      <c r="BG32" s="0" t="n">
        <v>0.0235944092699679</v>
      </c>
      <c r="BH32" s="0" t="n">
        <v>0.0006806164610058</v>
      </c>
      <c r="BI32" s="0" t="n">
        <v>0.0056645680837737</v>
      </c>
      <c r="BJ32" s="0" t="n">
        <v>0.0020006966319226</v>
      </c>
      <c r="BK32" s="0" t="n">
        <v>0.0048674346016003</v>
      </c>
      <c r="BL32" s="0" t="n">
        <v>0.0007423096756726</v>
      </c>
      <c r="BM32" s="0" t="n">
        <v>0.0178221790269975</v>
      </c>
      <c r="BN32" s="0" t="n">
        <v>0.0150238136997645</v>
      </c>
      <c r="BO32" s="0" t="n">
        <v>0.0137086594924882</v>
      </c>
      <c r="BP32" s="0" t="n">
        <v>0.024228118917841</v>
      </c>
      <c r="BQ32" s="0" t="n">
        <v>-0.0011910327078662</v>
      </c>
      <c r="BR32" s="0" t="n">
        <v>0.0178305799776979</v>
      </c>
      <c r="BS32" s="0" t="n">
        <v>0.0001759300341691</v>
      </c>
      <c r="BT32" s="0" t="n">
        <v>0.014191391807805</v>
      </c>
      <c r="BU32" s="0" t="n">
        <v>-0.0013449576793255</v>
      </c>
      <c r="BV32" s="0" t="n">
        <v>0.0224301285889828</v>
      </c>
      <c r="BW32" s="0" t="n">
        <v>0.0171301750804171</v>
      </c>
      <c r="BX32" s="0" t="n">
        <v>0.0064229442928622</v>
      </c>
      <c r="BY32" s="0" t="n">
        <v>0.0179781667561505</v>
      </c>
      <c r="BZ32" s="0" t="n">
        <v>0.0123748578969935</v>
      </c>
      <c r="CA32" s="0" t="n">
        <v>-0.0036837942849508</v>
      </c>
      <c r="CB32" s="0" t="n">
        <v>0.0034567605318903</v>
      </c>
      <c r="CC32" s="0" t="n">
        <v>0.0223441383528347</v>
      </c>
      <c r="CD32" s="0" t="n">
        <v>0.0286925166778527</v>
      </c>
      <c r="CE32" s="0" t="n">
        <v>0.0061355082568208</v>
      </c>
      <c r="CF32" s="0" t="n">
        <v>0.0018371733630502</v>
      </c>
      <c r="CG32" s="0" t="n">
        <v>0.0309159051546971</v>
      </c>
      <c r="CH32" s="0" t="n">
        <v>0.001027878607693</v>
      </c>
      <c r="CI32" s="0" t="n">
        <v>0.0033482348351798</v>
      </c>
      <c r="CJ32" s="0" t="n">
        <v>0.0275773415193485</v>
      </c>
      <c r="CK32" s="0" t="n">
        <v>0.0327229681752701</v>
      </c>
      <c r="CL32" s="0" t="n">
        <v>0.0068301995820047</v>
      </c>
      <c r="CM32" s="0" t="n">
        <v>-0.0038640415260964</v>
      </c>
      <c r="CN32" s="0" t="n">
        <v>0.0022743802586826</v>
      </c>
      <c r="CO32" s="0" t="n">
        <v>0.0069239107411602</v>
      </c>
      <c r="CP32" s="0" t="n">
        <v>0.0121456769977634</v>
      </c>
      <c r="CQ32" s="0" t="n">
        <v>0.0287156398550352</v>
      </c>
      <c r="CR32" s="0" t="n">
        <v>-0.0019259057309478</v>
      </c>
      <c r="CS32" s="0" t="n">
        <v>-0.0068860386691072</v>
      </c>
      <c r="CT32" s="0" t="n">
        <v>0.0236214059172987</v>
      </c>
      <c r="CU32" s="0" t="n">
        <v>-0.0001511523696384</v>
      </c>
      <c r="CV32" s="0" t="n">
        <v>0.0245927972325122</v>
      </c>
      <c r="CW32" s="0" t="n">
        <v>0.0328094376678069</v>
      </c>
      <c r="CX32" s="0" t="n">
        <v>0.0314387324908403</v>
      </c>
      <c r="CY32" s="0" t="n">
        <v>0.035776061807202</v>
      </c>
      <c r="CZ32" s="0" t="n">
        <v>0.0237588132870447</v>
      </c>
      <c r="DA32" s="0" t="n">
        <v>0.0319807299993738</v>
      </c>
      <c r="DB32" s="0" t="n">
        <v>0.001506265114368</v>
      </c>
      <c r="DC32" s="0" t="n">
        <v>0.0068392209192146</v>
      </c>
      <c r="DD32" s="0" t="n">
        <v>0.0416859456408931</v>
      </c>
      <c r="DE32" s="0" t="n">
        <v>-0.0020287518396572</v>
      </c>
      <c r="DF32" s="0" t="n">
        <v>0.0354045797297923</v>
      </c>
      <c r="DG32" s="0" t="n">
        <v>0.0002296954884841</v>
      </c>
      <c r="DH32" s="0" t="n">
        <v>-0.0087417023674418</v>
      </c>
      <c r="DI32" s="0" t="n">
        <v>0.0309421017393283</v>
      </c>
      <c r="DJ32" s="0" t="n">
        <v>0.0428163693395423</v>
      </c>
      <c r="DK32" s="0" t="n">
        <v>0.0277797831893902</v>
      </c>
      <c r="DL32" s="0" t="n">
        <v>-0.0136502326801032</v>
      </c>
      <c r="DM32" s="0" t="n">
        <v>0.0430292549209371</v>
      </c>
      <c r="DN32" s="0" t="n">
        <v>0.0388559216633564</v>
      </c>
      <c r="DO32" s="0" t="n">
        <v>-0.0025382450630718</v>
      </c>
      <c r="DP32" s="0" t="n">
        <v>0.0399673755129368</v>
      </c>
      <c r="DQ32" s="0" t="n">
        <v>-0.0160174609548044</v>
      </c>
      <c r="DR32" s="0" t="n">
        <v>-0.0009482446005857</v>
      </c>
      <c r="DS32" s="0" t="n">
        <v>0.0390734166424002</v>
      </c>
      <c r="DT32" s="0" t="n">
        <v>-0.0048818804031464</v>
      </c>
      <c r="DU32" s="0" t="n">
        <v>0.0190108940066488</v>
      </c>
      <c r="DV32" s="0" t="n">
        <v>0.0256026172267861</v>
      </c>
      <c r="DW32" s="0" t="n">
        <v>0.0487904525983428</v>
      </c>
      <c r="DX32" s="0" t="n">
        <v>-0.0154883987726621</v>
      </c>
      <c r="DY32" s="0" t="n">
        <v>0.0523175813039259</v>
      </c>
      <c r="DZ32" s="0" t="n">
        <v>0.012547930836451</v>
      </c>
      <c r="EA32" s="0" t="n">
        <v>0.005039051151641</v>
      </c>
      <c r="EB32" s="0" t="n">
        <v>0.0376422021130147</v>
      </c>
      <c r="EC32" s="0" t="n">
        <v>0.0030788610004181</v>
      </c>
      <c r="ED32" s="0" t="n">
        <v>0.0149549851383427</v>
      </c>
      <c r="EE32" s="0" t="n">
        <v>-0.017695657951705</v>
      </c>
      <c r="EF32" s="0" t="n">
        <v>0.0162908946436411</v>
      </c>
      <c r="EG32" s="0" t="n">
        <v>-0.0117673728092088</v>
      </c>
      <c r="EH32" s="0" t="n">
        <v>0.0383626913832282</v>
      </c>
      <c r="EI32" s="0" t="n">
        <v>-0.0270209446657904</v>
      </c>
      <c r="EJ32" s="0" t="n">
        <v>0.0182248633194396</v>
      </c>
      <c r="EK32" s="0" t="n">
        <v>-0.0019009258321017</v>
      </c>
      <c r="EL32" s="0" t="n">
        <v>-0.0149226351153806</v>
      </c>
      <c r="EM32" s="0" t="n">
        <v>0.0113861198749477</v>
      </c>
      <c r="EN32" s="0" t="n">
        <v>0.0249547878896717</v>
      </c>
      <c r="EO32" s="0" t="n">
        <v>0.0202784689252724</v>
      </c>
      <c r="EP32" s="72" t="n">
        <f aca="false">SUMPRODUCT(B32:EO32,$B$5:$EO$5)</f>
        <v>-0.0182204927301629</v>
      </c>
      <c r="EQ32" s="72" t="n">
        <f aca="false">SUMIF('Mi portafolio'!$A$8:$A$19,$A32,'Mi portafolio'!$B$8:$B$19)</f>
        <v>0</v>
      </c>
    </row>
    <row r="33" customFormat="false" ht="15" hidden="false" customHeight="false" outlineLevel="0" collapsed="false">
      <c r="A33" s="71" t="s">
        <v>253</v>
      </c>
      <c r="B33" s="0" t="n">
        <v>0.0017084425917233</v>
      </c>
      <c r="C33" s="0" t="n">
        <v>0.0018209528007549</v>
      </c>
      <c r="D33" s="0" t="n">
        <v>0.0037490689401075</v>
      </c>
      <c r="E33" s="0" t="n">
        <v>0.0144006268708994</v>
      </c>
      <c r="F33" s="0" t="n">
        <v>-0.0009293907194425</v>
      </c>
      <c r="G33" s="0" t="n">
        <v>0.0076531753748273</v>
      </c>
      <c r="H33" s="0" t="n">
        <v>0.0114223879765313</v>
      </c>
      <c r="I33" s="0" t="n">
        <v>0.0017745489009205</v>
      </c>
      <c r="J33" s="0" t="n">
        <v>-0.0067595507185604</v>
      </c>
      <c r="K33" s="0" t="n">
        <v>0.0023226650859666</v>
      </c>
      <c r="L33" s="0" t="n">
        <v>0.0059114283233908</v>
      </c>
      <c r="M33" s="0" t="n">
        <v>0.0056753737552747</v>
      </c>
      <c r="N33" s="0" t="n">
        <v>0.0019563994899129</v>
      </c>
      <c r="O33" s="0" t="n">
        <v>0.0166183903588331</v>
      </c>
      <c r="P33" s="0" t="n">
        <v>0.0010150627736023</v>
      </c>
      <c r="Q33" s="0" t="n">
        <v>0.0007370886853256</v>
      </c>
      <c r="R33" s="0" t="n">
        <v>0.0025646328610547</v>
      </c>
      <c r="S33" s="0" t="n">
        <v>0.0056837850027121</v>
      </c>
      <c r="T33" s="0" t="n">
        <v>0.0031505722465229</v>
      </c>
      <c r="U33" s="0" t="n">
        <v>0.0133129851535849</v>
      </c>
      <c r="V33" s="0" t="n">
        <v>0.0161702557689708</v>
      </c>
      <c r="W33" s="0" t="n">
        <v>0.0076414298955149</v>
      </c>
      <c r="X33" s="0" t="n">
        <v>0.0059914210678908</v>
      </c>
      <c r="Y33" s="0" t="n">
        <v>0.0028335822496566</v>
      </c>
      <c r="Z33" s="0" t="n">
        <v>0.0119516493676754</v>
      </c>
      <c r="AA33" s="0" t="n">
        <v>0.007954788608478</v>
      </c>
      <c r="AB33" s="0" t="n">
        <v>0.0013564708582783</v>
      </c>
      <c r="AC33" s="0" t="n">
        <v>0.0577197769976647</v>
      </c>
      <c r="AD33" s="0" t="n">
        <v>0.0112946477413195</v>
      </c>
      <c r="AE33" s="0" t="n">
        <v>0.0110436063096444</v>
      </c>
      <c r="AF33" s="0" t="n">
        <v>0.0103273040898998</v>
      </c>
      <c r="AG33" s="0" t="n">
        <v>-0.0022893279897198</v>
      </c>
      <c r="AH33" s="0" t="n">
        <v>-0.0033711631193443</v>
      </c>
      <c r="AI33" s="0" t="n">
        <v>0.0044677295645366</v>
      </c>
      <c r="AJ33" s="0" t="n">
        <v>0.006559866842815</v>
      </c>
      <c r="AK33" s="0" t="n">
        <v>0.0132956881016753</v>
      </c>
      <c r="AL33" s="0" t="n">
        <v>-0.0040713760446094</v>
      </c>
      <c r="AM33" s="0" t="n">
        <v>0.0103425669096954</v>
      </c>
      <c r="AN33" s="0" t="n">
        <v>0.0009076193589408</v>
      </c>
      <c r="AO33" s="0" t="n">
        <v>-0.0082462915665464</v>
      </c>
      <c r="AP33" s="0" t="n">
        <v>0.0017331037830045</v>
      </c>
      <c r="AQ33" s="0" t="n">
        <v>0.00506734184415</v>
      </c>
      <c r="AR33" s="0" t="n">
        <v>-0.0003977972286217</v>
      </c>
      <c r="AS33" s="0" t="n">
        <v>0.0052676762285264</v>
      </c>
      <c r="AT33" s="0" t="n">
        <v>0.0016151525256014</v>
      </c>
      <c r="AU33" s="0" t="n">
        <v>-0.0017283083395334</v>
      </c>
      <c r="AV33" s="0" t="n">
        <v>0.0173674475753924</v>
      </c>
      <c r="AW33" s="0" t="n">
        <v>0.0144140095112704</v>
      </c>
      <c r="AX33" s="0" t="n">
        <v>-0.0042597942838915</v>
      </c>
      <c r="AY33" s="0" t="n">
        <v>-0.000528181092356</v>
      </c>
      <c r="AZ33" s="0" t="n">
        <v>0.0089597406039296</v>
      </c>
      <c r="BA33" s="0" t="n">
        <v>0.0046168409840937</v>
      </c>
      <c r="BB33" s="0" t="n">
        <v>0.0045664402040937</v>
      </c>
      <c r="BC33" s="0" t="n">
        <v>0.015739909235686</v>
      </c>
      <c r="BD33" s="0" t="n">
        <v>0.0097517795974658</v>
      </c>
      <c r="BE33" s="0" t="n">
        <v>0.0001504887481169</v>
      </c>
      <c r="BF33" s="0" t="n">
        <v>0.0128797933038589</v>
      </c>
      <c r="BG33" s="0" t="n">
        <v>0.001212715714005</v>
      </c>
      <c r="BH33" s="0" t="n">
        <v>0.0190730353346534</v>
      </c>
      <c r="BI33" s="0" t="n">
        <v>0.0137538217811813</v>
      </c>
      <c r="BJ33" s="0" t="n">
        <v>0.0036650542686954</v>
      </c>
      <c r="BK33" s="0" t="n">
        <v>0.0102671005565728</v>
      </c>
      <c r="BL33" s="0" t="n">
        <v>-0.0001611001639779</v>
      </c>
      <c r="BM33" s="0" t="n">
        <v>-0.0015010353275102</v>
      </c>
      <c r="BN33" s="0" t="n">
        <v>-0.0014009564559091</v>
      </c>
      <c r="BO33" s="0" t="n">
        <v>0.0033391054730894</v>
      </c>
      <c r="BP33" s="0" t="n">
        <v>0.0060056433311268</v>
      </c>
      <c r="BQ33" s="0" t="n">
        <v>0.0091761453376051</v>
      </c>
      <c r="BR33" s="0" t="n">
        <v>-0.0048382006547028</v>
      </c>
      <c r="BS33" s="0" t="n">
        <v>0.0010419011005182</v>
      </c>
      <c r="BT33" s="0" t="n">
        <v>0.0089071938172952</v>
      </c>
      <c r="BU33" s="0" t="n">
        <v>0.0065868291008722</v>
      </c>
      <c r="BV33" s="0" t="n">
        <v>0.0011112706844798</v>
      </c>
      <c r="BW33" s="0" t="n">
        <v>0.0015672379981354</v>
      </c>
      <c r="BX33" s="0" t="n">
        <v>-0.0081858283245288</v>
      </c>
      <c r="BY33" s="0" t="n">
        <v>0.0085297501367306</v>
      </c>
      <c r="BZ33" s="0" t="n">
        <v>0.003190951459793</v>
      </c>
      <c r="CA33" s="0" t="n">
        <v>0.0244117208649554</v>
      </c>
      <c r="CB33" s="0" t="n">
        <v>-0.0032457827120609</v>
      </c>
      <c r="CC33" s="0" t="n">
        <v>-0.006385577884591</v>
      </c>
      <c r="CD33" s="0" t="n">
        <v>-0.0042421824621509</v>
      </c>
      <c r="CE33" s="0" t="n">
        <v>0.0064939885836353</v>
      </c>
      <c r="CF33" s="0" t="n">
        <v>-0.0037039742238645</v>
      </c>
      <c r="CG33" s="0" t="n">
        <v>-0.0071832417145267</v>
      </c>
      <c r="CH33" s="0" t="n">
        <v>0.0198568764489723</v>
      </c>
      <c r="CI33" s="0" t="n">
        <v>0.0003554336795516</v>
      </c>
      <c r="CJ33" s="0" t="n">
        <v>0.0069168807541404</v>
      </c>
      <c r="CK33" s="0" t="n">
        <v>-0.002452078787774</v>
      </c>
      <c r="CL33" s="0" t="n">
        <v>0.0040325818635725</v>
      </c>
      <c r="CM33" s="0" t="n">
        <v>-0.000959225057112</v>
      </c>
      <c r="CN33" s="0" t="n">
        <v>0.0160230017172709</v>
      </c>
      <c r="CO33" s="0" t="n">
        <v>-0.0047907294119482</v>
      </c>
      <c r="CP33" s="0" t="n">
        <v>-0.0023799849191099</v>
      </c>
      <c r="CQ33" s="0" t="n">
        <v>0.0051784653112232</v>
      </c>
      <c r="CR33" s="0" t="n">
        <v>0.0061245059161273</v>
      </c>
      <c r="CS33" s="0" t="n">
        <v>0.0105930395132899</v>
      </c>
      <c r="CT33" s="0" t="n">
        <v>0.0132242750970519</v>
      </c>
      <c r="CU33" s="0" t="n">
        <v>0.002933153358491</v>
      </c>
      <c r="CV33" s="0" t="n">
        <v>0.011062050795034</v>
      </c>
      <c r="CW33" s="0" t="n">
        <v>0.0105700688510066</v>
      </c>
      <c r="CX33" s="0" t="n">
        <v>0.0051825488003457</v>
      </c>
      <c r="CY33" s="0" t="n">
        <v>0.0087302523366123</v>
      </c>
      <c r="CZ33" s="0" t="n">
        <v>-0.0046893433837356</v>
      </c>
      <c r="DA33" s="0" t="n">
        <v>-0.0094344944263192</v>
      </c>
      <c r="DB33" s="0" t="n">
        <v>0.0166534223162502</v>
      </c>
      <c r="DC33" s="0" t="n">
        <v>0.0133038743705789</v>
      </c>
      <c r="DD33" s="0" t="n">
        <v>0.0085772153616211</v>
      </c>
      <c r="DE33" s="0" t="n">
        <v>0.0088387265914031</v>
      </c>
      <c r="DF33" s="0" t="n">
        <v>-0.0025928054466313</v>
      </c>
      <c r="DG33" s="0" t="n">
        <v>0.0142982885906213</v>
      </c>
      <c r="DH33" s="0" t="n">
        <v>0.0116439532994832</v>
      </c>
      <c r="DI33" s="0" t="n">
        <v>0.0141979333632416</v>
      </c>
      <c r="DJ33" s="0" t="n">
        <v>-0.000348247063724</v>
      </c>
      <c r="DK33" s="0" t="n">
        <v>0.0047836217111976</v>
      </c>
      <c r="DL33" s="0" t="n">
        <v>0.02642461784576</v>
      </c>
      <c r="DM33" s="0" t="n">
        <v>0.0136473124512095</v>
      </c>
      <c r="DN33" s="0" t="n">
        <v>-0.0010931025964053</v>
      </c>
      <c r="DO33" s="0" t="n">
        <v>0.0184376130376598</v>
      </c>
      <c r="DP33" s="0" t="n">
        <v>0.0066642167034247</v>
      </c>
      <c r="DQ33" s="0" t="n">
        <v>0.0101043528963609</v>
      </c>
      <c r="DR33" s="0" t="n">
        <v>0.0092907939240276</v>
      </c>
      <c r="DS33" s="0" t="n">
        <v>-0.0093733184444421</v>
      </c>
      <c r="DT33" s="0" t="n">
        <v>0.0168152044084666</v>
      </c>
      <c r="DU33" s="0" t="n">
        <v>0.0157035502877531</v>
      </c>
      <c r="DV33" s="0" t="n">
        <v>0.0077744689713198</v>
      </c>
      <c r="DW33" s="0" t="n">
        <v>-0.0057873289176594</v>
      </c>
      <c r="DX33" s="0" t="n">
        <v>0.0063697332157771</v>
      </c>
      <c r="DY33" s="0" t="n">
        <v>0.0013046535826469</v>
      </c>
      <c r="DZ33" s="0" t="n">
        <v>-0.0102978047694233</v>
      </c>
      <c r="EA33" s="0" t="n">
        <v>-0.0086894041719126</v>
      </c>
      <c r="EB33" s="0" t="n">
        <v>0.0065766400644223</v>
      </c>
      <c r="EC33" s="0" t="n">
        <v>0.0231392157286338</v>
      </c>
      <c r="ED33" s="0" t="n">
        <v>0.0099275285921313</v>
      </c>
      <c r="EE33" s="0" t="n">
        <v>0.0180010422561328</v>
      </c>
      <c r="EF33" s="0" t="n">
        <v>-0.0049405813335005</v>
      </c>
      <c r="EG33" s="0" t="n">
        <v>0.0040527703395027</v>
      </c>
      <c r="EH33" s="0" t="n">
        <v>-0.0172608988113435</v>
      </c>
      <c r="EI33" s="0" t="n">
        <v>0.0038648537178452</v>
      </c>
      <c r="EJ33" s="0" t="n">
        <v>0.0194535372825422</v>
      </c>
      <c r="EK33" s="0" t="n">
        <v>0.0298853816581458</v>
      </c>
      <c r="EL33" s="0" t="n">
        <v>0.0271152829766231</v>
      </c>
      <c r="EM33" s="0" t="n">
        <v>0.0002893246833278</v>
      </c>
      <c r="EN33" s="0" t="n">
        <v>0.0134769682997632</v>
      </c>
      <c r="EO33" s="0" t="n">
        <v>0.0012132358719568</v>
      </c>
      <c r="EP33" s="72" t="n">
        <f aca="false">SUMPRODUCT(B33:EO33,$B$5:$EO$5)</f>
        <v>0.00461302947115682</v>
      </c>
      <c r="EQ33" s="72" t="n">
        <f aca="false">SUMIF('Mi portafolio'!$A$8:$A$19,$A33,'Mi portafolio'!$B$8:$B$19)</f>
        <v>0</v>
      </c>
    </row>
    <row r="34" customFormat="false" ht="15" hidden="false" customHeight="false" outlineLevel="0" collapsed="false">
      <c r="A34" s="71" t="s">
        <v>254</v>
      </c>
      <c r="B34" s="0" t="n">
        <v>0.0029656435935115</v>
      </c>
      <c r="C34" s="0" t="n">
        <v>0.0081690384160866</v>
      </c>
      <c r="D34" s="0" t="n">
        <v>0.0008481213778559</v>
      </c>
      <c r="E34" s="0" t="n">
        <v>0.0114011216455575</v>
      </c>
      <c r="F34" s="0" t="n">
        <v>0.0068938967002724</v>
      </c>
      <c r="G34" s="0" t="n">
        <v>0.0016117733293743</v>
      </c>
      <c r="H34" s="0" t="n">
        <v>0.010603849369532</v>
      </c>
      <c r="I34" s="0" t="n">
        <v>0.0039296110708483</v>
      </c>
      <c r="J34" s="0" t="n">
        <v>0.0060789329372551</v>
      </c>
      <c r="K34" s="0" t="n">
        <v>0.0074676251414281</v>
      </c>
      <c r="L34" s="0" t="n">
        <v>0.0108851049494247</v>
      </c>
      <c r="M34" s="0" t="n">
        <v>0.0089953657116195</v>
      </c>
      <c r="N34" s="0" t="n">
        <v>0.0015119194154088</v>
      </c>
      <c r="O34" s="0" t="n">
        <v>0.0152829203247981</v>
      </c>
      <c r="P34" s="0" t="n">
        <v>0.0061213987178035</v>
      </c>
      <c r="Q34" s="0" t="n">
        <v>0.0016351140261968</v>
      </c>
      <c r="R34" s="0" t="n">
        <v>0.0041193006473486</v>
      </c>
      <c r="S34" s="0" t="n">
        <v>0.0148115095924633</v>
      </c>
      <c r="T34" s="0" t="n">
        <v>-0.0016812898874027</v>
      </c>
      <c r="U34" s="0" t="n">
        <v>0.0146967654094757</v>
      </c>
      <c r="V34" s="0" t="n">
        <v>0.0149429608395289</v>
      </c>
      <c r="W34" s="0" t="n">
        <v>0.0198137049420543</v>
      </c>
      <c r="X34" s="0" t="n">
        <v>0.0021400809632535</v>
      </c>
      <c r="Y34" s="0" t="n">
        <v>0.001679043278115</v>
      </c>
      <c r="Z34" s="0" t="n">
        <v>0.0152996328631176</v>
      </c>
      <c r="AA34" s="0" t="n">
        <v>0.011359823273087</v>
      </c>
      <c r="AB34" s="0" t="n">
        <v>-0.001229874329275</v>
      </c>
      <c r="AC34" s="0" t="n">
        <v>0.0112946477413195</v>
      </c>
      <c r="AD34" s="0" t="n">
        <v>0.0585038484755815</v>
      </c>
      <c r="AE34" s="0" t="n">
        <v>0.0169415104694188</v>
      </c>
      <c r="AF34" s="0" t="n">
        <v>0.0184486772659446</v>
      </c>
      <c r="AG34" s="0" t="n">
        <v>0.0079826729113057</v>
      </c>
      <c r="AH34" s="0" t="n">
        <v>0.0049035382466751</v>
      </c>
      <c r="AI34" s="0" t="n">
        <v>0.0023049526287171</v>
      </c>
      <c r="AJ34" s="0" t="n">
        <v>0.0094017747721674</v>
      </c>
      <c r="AK34" s="0" t="n">
        <v>0.017995683590104</v>
      </c>
      <c r="AL34" s="0" t="n">
        <v>0.0035677818073593</v>
      </c>
      <c r="AM34" s="0" t="n">
        <v>0.0082142657347348</v>
      </c>
      <c r="AN34" s="0" t="n">
        <v>0.0047959894566763</v>
      </c>
      <c r="AO34" s="0" t="n">
        <v>0.0011206647681789</v>
      </c>
      <c r="AP34" s="0" t="n">
        <v>-0.0017187610613979</v>
      </c>
      <c r="AQ34" s="0" t="n">
        <v>0.0036186221394799</v>
      </c>
      <c r="AR34" s="0" t="n">
        <v>-0.0011572794573704</v>
      </c>
      <c r="AS34" s="0" t="n">
        <v>0.0102913993530705</v>
      </c>
      <c r="AT34" s="0" t="n">
        <v>-0.0028670728457428</v>
      </c>
      <c r="AU34" s="0" t="n">
        <v>0.0038094090476715</v>
      </c>
      <c r="AV34" s="0" t="n">
        <v>0.0179031698026585</v>
      </c>
      <c r="AW34" s="0" t="n">
        <v>0.0219742119487803</v>
      </c>
      <c r="AX34" s="0" t="n">
        <v>0.0028799837717392</v>
      </c>
      <c r="AY34" s="0" t="n">
        <v>0.0065172665528367</v>
      </c>
      <c r="AZ34" s="0" t="n">
        <v>0.0121111926524906</v>
      </c>
      <c r="BA34" s="0" t="n">
        <v>0.0134357268118142</v>
      </c>
      <c r="BB34" s="0" t="n">
        <v>0.0007009010695715</v>
      </c>
      <c r="BC34" s="0" t="n">
        <v>0.0164040231059438</v>
      </c>
      <c r="BD34" s="0" t="n">
        <v>0.0193912094422535</v>
      </c>
      <c r="BE34" s="0" t="n">
        <v>0.0091163021592846</v>
      </c>
      <c r="BF34" s="0" t="n">
        <v>0.0145672008027758</v>
      </c>
      <c r="BG34" s="0" t="n">
        <v>2.79967025710721E-005</v>
      </c>
      <c r="BH34" s="0" t="n">
        <v>0.0145929914916096</v>
      </c>
      <c r="BI34" s="0" t="n">
        <v>0.0018357834049479</v>
      </c>
      <c r="BJ34" s="0" t="n">
        <v>0.0025294001071109</v>
      </c>
      <c r="BK34" s="0" t="n">
        <v>0.0160262118289114</v>
      </c>
      <c r="BL34" s="0" t="n">
        <v>0.0128465651213388</v>
      </c>
      <c r="BM34" s="0" t="n">
        <v>0.0024783151528938</v>
      </c>
      <c r="BN34" s="0" t="n">
        <v>0.0084129236971593</v>
      </c>
      <c r="BO34" s="0" t="n">
        <v>0.0059601686645262</v>
      </c>
      <c r="BP34" s="0" t="n">
        <v>-0.0046149313882795</v>
      </c>
      <c r="BQ34" s="0" t="n">
        <v>0.0262167196968372</v>
      </c>
      <c r="BR34" s="0" t="n">
        <v>0.0035493575248971</v>
      </c>
      <c r="BS34" s="0" t="n">
        <v>0.0057442123306284</v>
      </c>
      <c r="BT34" s="0" t="n">
        <v>0.0142118871376006</v>
      </c>
      <c r="BU34" s="0" t="n">
        <v>0.0167074179901283</v>
      </c>
      <c r="BV34" s="0" t="n">
        <v>0.0094979740387499</v>
      </c>
      <c r="BW34" s="0" t="n">
        <v>0.0049725318428551</v>
      </c>
      <c r="BX34" s="0" t="n">
        <v>0.0026682464951079</v>
      </c>
      <c r="BY34" s="0" t="n">
        <v>0.0070877468789282</v>
      </c>
      <c r="BZ34" s="0" t="n">
        <v>0.0087203119482645</v>
      </c>
      <c r="CA34" s="0" t="n">
        <v>0.0266878133127734</v>
      </c>
      <c r="CB34" s="0" t="n">
        <v>-0.0066470297160124</v>
      </c>
      <c r="CC34" s="0" t="n">
        <v>0.001524885339938</v>
      </c>
      <c r="CD34" s="0" t="n">
        <v>-0.0030870329397707</v>
      </c>
      <c r="CE34" s="0" t="n">
        <v>0.0066461200770932</v>
      </c>
      <c r="CF34" s="0" t="n">
        <v>0.0075452807398409</v>
      </c>
      <c r="CG34" s="0" t="n">
        <v>-0.0056412231538861</v>
      </c>
      <c r="CH34" s="0" t="n">
        <v>0.0223413415125381</v>
      </c>
      <c r="CI34" s="0" t="n">
        <v>0.0007087356092488</v>
      </c>
      <c r="CJ34" s="0" t="n">
        <v>0.0057596528833303</v>
      </c>
      <c r="CK34" s="0" t="n">
        <v>0.0037768095584902</v>
      </c>
      <c r="CL34" s="0" t="n">
        <v>0.0091350827969292</v>
      </c>
      <c r="CM34" s="0" t="n">
        <v>0.0005716132780039</v>
      </c>
      <c r="CN34" s="0" t="n">
        <v>0.0138175206456336</v>
      </c>
      <c r="CO34" s="0" t="n">
        <v>0.011988587158204</v>
      </c>
      <c r="CP34" s="0" t="n">
        <v>-0.0039450103763533</v>
      </c>
      <c r="CQ34" s="0" t="n">
        <v>0.006304070449407</v>
      </c>
      <c r="CR34" s="0" t="n">
        <v>0.0160503435696423</v>
      </c>
      <c r="CS34" s="0" t="n">
        <v>0.0199478353190242</v>
      </c>
      <c r="CT34" s="0" t="n">
        <v>0.0100158416769896</v>
      </c>
      <c r="CU34" s="0" t="n">
        <v>0.0058242082309026</v>
      </c>
      <c r="CV34" s="0" t="n">
        <v>0.0046392658057641</v>
      </c>
      <c r="CW34" s="0" t="n">
        <v>0.0121456000589217</v>
      </c>
      <c r="CX34" s="0" t="n">
        <v>0.0146890438101177</v>
      </c>
      <c r="CY34" s="0" t="n">
        <v>0.0099581809430504</v>
      </c>
      <c r="CZ34" s="0" t="n">
        <v>-0.004700710910065</v>
      </c>
      <c r="DA34" s="0" t="n">
        <v>-0.0005268773478206</v>
      </c>
      <c r="DB34" s="0" t="n">
        <v>0.013876183615457</v>
      </c>
      <c r="DC34" s="0" t="n">
        <v>0.0053842386494718</v>
      </c>
      <c r="DD34" s="0" t="n">
        <v>0.005073733729586</v>
      </c>
      <c r="DE34" s="0" t="n">
        <v>0.019811942777121</v>
      </c>
      <c r="DF34" s="0" t="n">
        <v>-0.0219591931315269</v>
      </c>
      <c r="DG34" s="0" t="n">
        <v>0.0124942967597596</v>
      </c>
      <c r="DH34" s="0" t="n">
        <v>0.0135475120409706</v>
      </c>
      <c r="DI34" s="0" t="n">
        <v>0.0083041411365388</v>
      </c>
      <c r="DJ34" s="0" t="n">
        <v>0.0071668954863387</v>
      </c>
      <c r="DK34" s="0" t="n">
        <v>0.0114923878927161</v>
      </c>
      <c r="DL34" s="0" t="n">
        <v>0.0137106219157173</v>
      </c>
      <c r="DM34" s="0" t="n">
        <v>0.0153823989488276</v>
      </c>
      <c r="DN34" s="0" t="n">
        <v>-0.0121568584349248</v>
      </c>
      <c r="DO34" s="0" t="n">
        <v>0.0153041586850931</v>
      </c>
      <c r="DP34" s="0" t="n">
        <v>0.0072443620038072</v>
      </c>
      <c r="DQ34" s="0" t="n">
        <v>0.0170739772236823</v>
      </c>
      <c r="DR34" s="0" t="n">
        <v>0.0102535430033631</v>
      </c>
      <c r="DS34" s="0" t="n">
        <v>-0.0086748420230087</v>
      </c>
      <c r="DT34" s="0" t="n">
        <v>-0.0144512845879817</v>
      </c>
      <c r="DU34" s="0" t="n">
        <v>0.011611287623205</v>
      </c>
      <c r="DV34" s="0" t="n">
        <v>-0.0069357814833252</v>
      </c>
      <c r="DW34" s="0" t="n">
        <v>-0.0149691830463222</v>
      </c>
      <c r="DX34" s="0" t="n">
        <v>0.0241041570945277</v>
      </c>
      <c r="DY34" s="0" t="n">
        <v>0.0072216604040622</v>
      </c>
      <c r="DZ34" s="0" t="n">
        <v>-0.005099006575764</v>
      </c>
      <c r="EA34" s="0" t="n">
        <v>0.0161291308866502</v>
      </c>
      <c r="EB34" s="0" t="n">
        <v>0.0010414330708536</v>
      </c>
      <c r="EC34" s="0" t="n">
        <v>0.0074941900148861</v>
      </c>
      <c r="ED34" s="0" t="n">
        <v>0.0096313066290849</v>
      </c>
      <c r="EE34" s="0" t="n">
        <v>0.0288337390037564</v>
      </c>
      <c r="EF34" s="0" t="n">
        <v>0.0143849894625028</v>
      </c>
      <c r="EG34" s="0" t="n">
        <v>0.0370758493757037</v>
      </c>
      <c r="EH34" s="0" t="n">
        <v>-0.0132258512568263</v>
      </c>
      <c r="EI34" s="0" t="n">
        <v>0.0227484601389598</v>
      </c>
      <c r="EJ34" s="0" t="n">
        <v>0.0263572348983788</v>
      </c>
      <c r="EK34" s="0" t="n">
        <v>0.0218722184490403</v>
      </c>
      <c r="EL34" s="0" t="n">
        <v>0.0333837862099349</v>
      </c>
      <c r="EM34" s="0" t="n">
        <v>0.0175578244334656</v>
      </c>
      <c r="EN34" s="0" t="n">
        <v>0.0041906844957739</v>
      </c>
      <c r="EO34" s="0" t="n">
        <v>-0.0158844280715483</v>
      </c>
      <c r="EP34" s="72" t="n">
        <f aca="false">SUMPRODUCT(B34:EO34,$B$5:$EO$5)</f>
        <v>0.0279150871112419</v>
      </c>
      <c r="EQ34" s="72" t="n">
        <f aca="false">SUMIF('Mi portafolio'!$A$8:$A$19,$A34,'Mi portafolio'!$B$8:$B$19)</f>
        <v>0</v>
      </c>
    </row>
    <row r="35" customFormat="false" ht="15" hidden="false" customHeight="false" outlineLevel="0" collapsed="false">
      <c r="A35" s="71" t="s">
        <v>255</v>
      </c>
      <c r="B35" s="0" t="n">
        <v>0.0002338052493478</v>
      </c>
      <c r="C35" s="0" t="n">
        <v>0.0084371544145253</v>
      </c>
      <c r="D35" s="0" t="n">
        <v>0.0087644809311399</v>
      </c>
      <c r="E35" s="0" t="n">
        <v>0.0091004738496786</v>
      </c>
      <c r="F35" s="0" t="n">
        <v>-0.0034207340384721</v>
      </c>
      <c r="G35" s="0" t="n">
        <v>0.0108385182417601</v>
      </c>
      <c r="H35" s="0" t="n">
        <v>0.0105633843329305</v>
      </c>
      <c r="I35" s="0" t="n">
        <v>0.0024040690621386</v>
      </c>
      <c r="J35" s="0" t="n">
        <v>-0.0041120867732157</v>
      </c>
      <c r="K35" s="0" t="n">
        <v>0.0022519851600188</v>
      </c>
      <c r="L35" s="0" t="n">
        <v>0.0124748689368553</v>
      </c>
      <c r="M35" s="0" t="n">
        <v>0.0124656150157041</v>
      </c>
      <c r="N35" s="0" t="n">
        <v>0.0002258135359705</v>
      </c>
      <c r="O35" s="0" t="n">
        <v>0.017353991483121</v>
      </c>
      <c r="P35" s="0" t="n">
        <v>0.0015793360425388</v>
      </c>
      <c r="Q35" s="0" t="n">
        <v>0.0039401644181122</v>
      </c>
      <c r="R35" s="0" t="n">
        <v>0.0013401908231616</v>
      </c>
      <c r="S35" s="0" t="n">
        <v>0.0127447821218423</v>
      </c>
      <c r="T35" s="0" t="n">
        <v>0.008950653489997</v>
      </c>
      <c r="U35" s="0" t="n">
        <v>0.0184929955390735</v>
      </c>
      <c r="V35" s="0" t="n">
        <v>0.0144457212372066</v>
      </c>
      <c r="W35" s="0" t="n">
        <v>0.0082435026110861</v>
      </c>
      <c r="X35" s="0" t="n">
        <v>0.0082890939258992</v>
      </c>
      <c r="Y35" s="0" t="n">
        <v>0.0080586478090215</v>
      </c>
      <c r="Z35" s="0" t="n">
        <v>0.0181614136680835</v>
      </c>
      <c r="AA35" s="0" t="n">
        <v>0.0164964464963555</v>
      </c>
      <c r="AB35" s="0" t="n">
        <v>0.0059402234567645</v>
      </c>
      <c r="AC35" s="0" t="n">
        <v>0.0110436063096444</v>
      </c>
      <c r="AD35" s="0" t="n">
        <v>0.0169415104694188</v>
      </c>
      <c r="AE35" s="0" t="n">
        <v>0.0601023070275044</v>
      </c>
      <c r="AF35" s="0" t="n">
        <v>0.027501624315273</v>
      </c>
      <c r="AG35" s="0" t="n">
        <v>-0.0048000714456296</v>
      </c>
      <c r="AH35" s="0" t="n">
        <v>-0.0031492934948042</v>
      </c>
      <c r="AI35" s="0" t="n">
        <v>-0.0170947556939752</v>
      </c>
      <c r="AJ35" s="0" t="n">
        <v>0.0145741561161346</v>
      </c>
      <c r="AK35" s="0" t="n">
        <v>0.0239998800996902</v>
      </c>
      <c r="AL35" s="0" t="n">
        <v>0.0069794209756779</v>
      </c>
      <c r="AM35" s="0" t="n">
        <v>0.0161210965209529</v>
      </c>
      <c r="AN35" s="0" t="n">
        <v>0.0140225932619615</v>
      </c>
      <c r="AO35" s="0" t="n">
        <v>-0.0019186426627431</v>
      </c>
      <c r="AP35" s="0" t="n">
        <v>0.0054225994071392</v>
      </c>
      <c r="AQ35" s="0" t="n">
        <v>-0.0155360983822699</v>
      </c>
      <c r="AR35" s="0" t="n">
        <v>0.0100627228790408</v>
      </c>
      <c r="AS35" s="0" t="n">
        <v>0.0247061698478758</v>
      </c>
      <c r="AT35" s="0" t="n">
        <v>0.0141325712139363</v>
      </c>
      <c r="AU35" s="0" t="n">
        <v>-0.0020337823613512</v>
      </c>
      <c r="AV35" s="0" t="n">
        <v>0.0217762378396992</v>
      </c>
      <c r="AW35" s="0" t="n">
        <v>0.0210462603377087</v>
      </c>
      <c r="AX35" s="0" t="n">
        <v>0.0039980812733842</v>
      </c>
      <c r="AY35" s="0" t="n">
        <v>0.0057226053014285</v>
      </c>
      <c r="AZ35" s="0" t="n">
        <v>0.0467594101239469</v>
      </c>
      <c r="BA35" s="0" t="n">
        <v>0.0154472776280804</v>
      </c>
      <c r="BB35" s="0" t="n">
        <v>0.018207736279035</v>
      </c>
      <c r="BC35" s="0" t="n">
        <v>0.0152545911576705</v>
      </c>
      <c r="BD35" s="0" t="n">
        <v>0.0301562541263115</v>
      </c>
      <c r="BE35" s="0" t="n">
        <v>0.0038879744432568</v>
      </c>
      <c r="BF35" s="0" t="n">
        <v>0.0235364350923976</v>
      </c>
      <c r="BG35" s="0" t="n">
        <v>0.008530740690777</v>
      </c>
      <c r="BH35" s="0" t="n">
        <v>0.0183746872496795</v>
      </c>
      <c r="BI35" s="0" t="n">
        <v>0.0102799468404442</v>
      </c>
      <c r="BJ35" s="0" t="n">
        <v>0.0063077779848056</v>
      </c>
      <c r="BK35" s="0" t="n">
        <v>0.0516099528750156</v>
      </c>
      <c r="BL35" s="0" t="n">
        <v>0.0119192617755148</v>
      </c>
      <c r="BM35" s="0" t="n">
        <v>0.0025772523383266</v>
      </c>
      <c r="BN35" s="0" t="n">
        <v>-0.0036106965950361</v>
      </c>
      <c r="BO35" s="0" t="n">
        <v>0.0114663964069991</v>
      </c>
      <c r="BP35" s="0" t="n">
        <v>0.0036648046991491</v>
      </c>
      <c r="BQ35" s="0" t="n">
        <v>0.0277465405850632</v>
      </c>
      <c r="BR35" s="0" t="n">
        <v>0.0126072169853566</v>
      </c>
      <c r="BS35" s="0" t="n">
        <v>-0.0182082105802207</v>
      </c>
      <c r="BT35" s="0" t="n">
        <v>0.0238549655038585</v>
      </c>
      <c r="BU35" s="0" t="n">
        <v>0.0229171438605101</v>
      </c>
      <c r="BV35" s="0" t="n">
        <v>0.0092908968025617</v>
      </c>
      <c r="BW35" s="0" t="n">
        <v>0.0118160374275354</v>
      </c>
      <c r="BX35" s="0" t="n">
        <v>-0.0022671061941799</v>
      </c>
      <c r="BY35" s="0" t="n">
        <v>0.0151217198646083</v>
      </c>
      <c r="BZ35" s="0" t="n">
        <v>0.0136155763405764</v>
      </c>
      <c r="CA35" s="0" t="n">
        <v>0.0246113192051104</v>
      </c>
      <c r="CB35" s="0" t="n">
        <v>-0.006053242009138</v>
      </c>
      <c r="CC35" s="0" t="n">
        <v>-0.0030094187848076</v>
      </c>
      <c r="CD35" s="0" t="n">
        <v>0.0096603527381904</v>
      </c>
      <c r="CE35" s="0" t="n">
        <v>0.0121588733418214</v>
      </c>
      <c r="CF35" s="0" t="n">
        <v>-0.0185092811644385</v>
      </c>
      <c r="CG35" s="0" t="n">
        <v>0.0110837072947517</v>
      </c>
      <c r="CH35" s="0" t="n">
        <v>0.0332581119919558</v>
      </c>
      <c r="CI35" s="0" t="n">
        <v>-0.0218204604134932</v>
      </c>
      <c r="CJ35" s="0" t="n">
        <v>-0.0005632188362873</v>
      </c>
      <c r="CK35" s="0" t="n">
        <v>0.0048477052879815</v>
      </c>
      <c r="CL35" s="0" t="n">
        <v>0.0097752499730498</v>
      </c>
      <c r="CM35" s="0" t="n">
        <v>0.0102925458894124</v>
      </c>
      <c r="CN35" s="0" t="n">
        <v>0.0128435076868196</v>
      </c>
      <c r="CO35" s="0" t="n">
        <v>0.01144101133601</v>
      </c>
      <c r="CP35" s="0" t="n">
        <v>-0.0011752323839973</v>
      </c>
      <c r="CQ35" s="0" t="n">
        <v>0.0220324919504608</v>
      </c>
      <c r="CR35" s="0" t="n">
        <v>0.0211715007030978</v>
      </c>
      <c r="CS35" s="0" t="n">
        <v>0.0249682558369126</v>
      </c>
      <c r="CT35" s="0" t="n">
        <v>0.0107280848425248</v>
      </c>
      <c r="CU35" s="0" t="n">
        <v>0.0129091568618836</v>
      </c>
      <c r="CV35" s="0" t="n">
        <v>0.0138948317577361</v>
      </c>
      <c r="CW35" s="0" t="n">
        <v>0.0150407420518326</v>
      </c>
      <c r="CX35" s="0" t="n">
        <v>0.021038584486675</v>
      </c>
      <c r="CY35" s="0" t="n">
        <v>0.0282249950718794</v>
      </c>
      <c r="CZ35" s="0" t="n">
        <v>0.0032073840240924</v>
      </c>
      <c r="DA35" s="0" t="n">
        <v>0.0022421394784302</v>
      </c>
      <c r="DB35" s="0" t="n">
        <v>0.0142330690178719</v>
      </c>
      <c r="DC35" s="0" t="n">
        <v>0.0486044100918619</v>
      </c>
      <c r="DD35" s="0" t="n">
        <v>0.0211092660595241</v>
      </c>
      <c r="DE35" s="0" t="n">
        <v>0.0335109669890431</v>
      </c>
      <c r="DF35" s="0" t="n">
        <v>-0.0154151570720513</v>
      </c>
      <c r="DG35" s="0" t="n">
        <v>0.025298470648216</v>
      </c>
      <c r="DH35" s="0" t="n">
        <v>0.0185255090191887</v>
      </c>
      <c r="DI35" s="0" t="n">
        <v>0.028172908219222</v>
      </c>
      <c r="DJ35" s="0" t="n">
        <v>0.0211489729933957</v>
      </c>
      <c r="DK35" s="0" t="n">
        <v>0.0322586857908445</v>
      </c>
      <c r="DL35" s="0" t="n">
        <v>0.0359790832224153</v>
      </c>
      <c r="DM35" s="0" t="n">
        <v>0.0373867431132033</v>
      </c>
      <c r="DN35" s="0" t="n">
        <v>-0.0075592066959844</v>
      </c>
      <c r="DO35" s="0" t="n">
        <v>0.0190358822958547</v>
      </c>
      <c r="DP35" s="0" t="n">
        <v>0.0293183911343909</v>
      </c>
      <c r="DQ35" s="0" t="n">
        <v>0.0156948494456315</v>
      </c>
      <c r="DR35" s="0" t="n">
        <v>0.0063685222770174</v>
      </c>
      <c r="DS35" s="0" t="n">
        <v>-0.0031247414094018</v>
      </c>
      <c r="DT35" s="0" t="n">
        <v>0.0064442775879161</v>
      </c>
      <c r="DU35" s="0" t="n">
        <v>0.0214071736728058</v>
      </c>
      <c r="DV35" s="0" t="n">
        <v>6.61047834931653E-005</v>
      </c>
      <c r="DW35" s="0" t="n">
        <v>0.0091401118713096</v>
      </c>
      <c r="DX35" s="0" t="n">
        <v>0.0335363344249029</v>
      </c>
      <c r="DY35" s="0" t="n">
        <v>0.0233532801107707</v>
      </c>
      <c r="DZ35" s="0" t="n">
        <v>-0.0048054765605773</v>
      </c>
      <c r="EA35" s="0" t="n">
        <v>0.024594206100351</v>
      </c>
      <c r="EB35" s="0" t="n">
        <v>0.0221657971552219</v>
      </c>
      <c r="EC35" s="0" t="n">
        <v>0.0215134434928434</v>
      </c>
      <c r="ED35" s="0" t="n">
        <v>0.0385429111678386</v>
      </c>
      <c r="EE35" s="0" t="n">
        <v>0.0287653403601041</v>
      </c>
      <c r="EF35" s="0" t="n">
        <v>0.0164290810987698</v>
      </c>
      <c r="EG35" s="0" t="n">
        <v>0.0256365889283187</v>
      </c>
      <c r="EH35" s="0" t="n">
        <v>-0.0101524263615367</v>
      </c>
      <c r="EI35" s="0" t="n">
        <v>0.0346963896041816</v>
      </c>
      <c r="EJ35" s="0" t="n">
        <v>0.0468527120273715</v>
      </c>
      <c r="EK35" s="0" t="n">
        <v>0.0219538193932569</v>
      </c>
      <c r="EL35" s="0" t="n">
        <v>0.0410282637503339</v>
      </c>
      <c r="EM35" s="0" t="n">
        <v>-0.0123471608023448</v>
      </c>
      <c r="EN35" s="0" t="n">
        <v>0.0173541136199052</v>
      </c>
      <c r="EO35" s="0" t="n">
        <v>0.0144197854166488</v>
      </c>
      <c r="EP35" s="72" t="n">
        <f aca="false">SUMPRODUCT(B35:EO35,$B$5:$EO$5)</f>
        <v>0.029887874290779</v>
      </c>
      <c r="EQ35" s="72" t="n">
        <f aca="false">SUMIF('Mi portafolio'!$A$8:$A$19,$A35,'Mi portafolio'!$B$8:$B$19)</f>
        <v>0</v>
      </c>
    </row>
    <row r="36" customFormat="false" ht="15" hidden="false" customHeight="false" outlineLevel="0" collapsed="false">
      <c r="A36" s="71" t="s">
        <v>106</v>
      </c>
      <c r="B36" s="0" t="n">
        <v>-0.0050386702734878</v>
      </c>
      <c r="C36" s="0" t="n">
        <v>0.0095502318315397</v>
      </c>
      <c r="D36" s="0" t="n">
        <v>0.008129958049531</v>
      </c>
      <c r="E36" s="0" t="n">
        <v>0.0163168385259444</v>
      </c>
      <c r="F36" s="0" t="n">
        <v>-0.0039380330140438</v>
      </c>
      <c r="G36" s="0" t="n">
        <v>0.0091764054995858</v>
      </c>
      <c r="H36" s="0" t="n">
        <v>0.0133711978707639</v>
      </c>
      <c r="I36" s="0" t="n">
        <v>0.0001289219744732</v>
      </c>
      <c r="J36" s="0" t="n">
        <v>0.000236322655674</v>
      </c>
      <c r="K36" s="0" t="n">
        <v>-0.00235542017414</v>
      </c>
      <c r="L36" s="0" t="n">
        <v>0.0145198594033059</v>
      </c>
      <c r="M36" s="0" t="n">
        <v>0.0071050167994166</v>
      </c>
      <c r="N36" s="0" t="n">
        <v>0.0005983105832377</v>
      </c>
      <c r="O36" s="0" t="n">
        <v>0.0238560824119532</v>
      </c>
      <c r="P36" s="0" t="n">
        <v>0.0010291096711461</v>
      </c>
      <c r="Q36" s="0" t="n">
        <v>0.0025598824703971</v>
      </c>
      <c r="R36" s="0" t="n">
        <v>-0.0006721667905748</v>
      </c>
      <c r="S36" s="0" t="n">
        <v>0.0167601397575407</v>
      </c>
      <c r="T36" s="0" t="n">
        <v>0.0054591855552336</v>
      </c>
      <c r="U36" s="0" t="n">
        <v>0.022820182062139</v>
      </c>
      <c r="V36" s="0" t="n">
        <v>0.0236171949810926</v>
      </c>
      <c r="W36" s="0" t="n">
        <v>0.0189291719191005</v>
      </c>
      <c r="X36" s="0" t="n">
        <v>0.008677752555352</v>
      </c>
      <c r="Y36" s="0" t="n">
        <v>-0.0001833490758548</v>
      </c>
      <c r="Z36" s="0" t="n">
        <v>0.0164049118017829</v>
      </c>
      <c r="AA36" s="0" t="n">
        <v>0.0183178263174198</v>
      </c>
      <c r="AB36" s="0" t="n">
        <v>-0.0024719988015898</v>
      </c>
      <c r="AC36" s="0" t="n">
        <v>0.0103273040898998</v>
      </c>
      <c r="AD36" s="0" t="n">
        <v>0.0184486772659446</v>
      </c>
      <c r="AE36" s="0" t="n">
        <v>0.027501624315273</v>
      </c>
      <c r="AF36" s="0" t="n">
        <v>0.0619957068482888</v>
      </c>
      <c r="AG36" s="0" t="n">
        <v>-0.0030067398148433</v>
      </c>
      <c r="AH36" s="0" t="n">
        <v>-0.0024723572733934</v>
      </c>
      <c r="AI36" s="0" t="n">
        <v>-0.0092791179661528</v>
      </c>
      <c r="AJ36" s="0" t="n">
        <v>0.0152844243044557</v>
      </c>
      <c r="AK36" s="0" t="n">
        <v>0.0305972318448917</v>
      </c>
      <c r="AL36" s="0" t="n">
        <v>0.002317846971704</v>
      </c>
      <c r="AM36" s="0" t="n">
        <v>0.0176462308193033</v>
      </c>
      <c r="AN36" s="0" t="n">
        <v>0.000751067722302</v>
      </c>
      <c r="AO36" s="0" t="n">
        <v>-0.0023619006248747</v>
      </c>
      <c r="AP36" s="0" t="n">
        <v>0.0032099831585304</v>
      </c>
      <c r="AQ36" s="0" t="n">
        <v>-0.0043523873023594</v>
      </c>
      <c r="AR36" s="0" t="n">
        <v>0.0056974422942071</v>
      </c>
      <c r="AS36" s="0" t="n">
        <v>0.0271689394205565</v>
      </c>
      <c r="AT36" s="0" t="n">
        <v>0.0039487204347022</v>
      </c>
      <c r="AU36" s="0" t="n">
        <v>0.0008064903524961</v>
      </c>
      <c r="AV36" s="0" t="n">
        <v>0.0221087994506928</v>
      </c>
      <c r="AW36" s="0" t="n">
        <v>0.0229683161079132</v>
      </c>
      <c r="AX36" s="0" t="n">
        <v>0.000675236114</v>
      </c>
      <c r="AY36" s="0" t="n">
        <v>0.0036222968093683</v>
      </c>
      <c r="AZ36" s="0" t="n">
        <v>0.0310236827293798</v>
      </c>
      <c r="BA36" s="0" t="n">
        <v>0.0059612790467904</v>
      </c>
      <c r="BB36" s="0" t="n">
        <v>0.012299330220968</v>
      </c>
      <c r="BC36" s="0" t="n">
        <v>0.0155936604580224</v>
      </c>
      <c r="BD36" s="0" t="n">
        <v>0.0244227284982334</v>
      </c>
      <c r="BE36" s="0" t="n">
        <v>0.0046215784066571</v>
      </c>
      <c r="BF36" s="0" t="n">
        <v>0.0219133341913092</v>
      </c>
      <c r="BG36" s="0" t="n">
        <v>0.0006877582514373</v>
      </c>
      <c r="BH36" s="0" t="n">
        <v>0.017911663040287</v>
      </c>
      <c r="BI36" s="0" t="n">
        <v>0.0166138086137546</v>
      </c>
      <c r="BJ36" s="0" t="n">
        <v>0.0091090536875287</v>
      </c>
      <c r="BK36" s="0" t="n">
        <v>0.0330035022919395</v>
      </c>
      <c r="BL36" s="0" t="n">
        <v>0.0104008266681768</v>
      </c>
      <c r="BM36" s="0" t="n">
        <v>0.0015227923530435</v>
      </c>
      <c r="BN36" s="0" t="n">
        <v>0.001962950009091</v>
      </c>
      <c r="BO36" s="0" t="n">
        <v>0.0057224335968778</v>
      </c>
      <c r="BP36" s="0" t="n">
        <v>0.0029061820540224</v>
      </c>
      <c r="BQ36" s="0" t="n">
        <v>0.0340602209526106</v>
      </c>
      <c r="BR36" s="0" t="n">
        <v>0.0102303331875066</v>
      </c>
      <c r="BS36" s="0" t="n">
        <v>-0.0083201894589599</v>
      </c>
      <c r="BT36" s="0" t="n">
        <v>0.0156530663729014</v>
      </c>
      <c r="BU36" s="0" t="n">
        <v>0.0219705094535371</v>
      </c>
      <c r="BV36" s="0" t="n">
        <v>0.0013581038103851</v>
      </c>
      <c r="BW36" s="0" t="n">
        <v>0.0136874735427727</v>
      </c>
      <c r="BX36" s="0" t="n">
        <v>-0.0041783973892447</v>
      </c>
      <c r="BY36" s="0" t="n">
        <v>0.0029599114929364</v>
      </c>
      <c r="BZ36" s="0" t="n">
        <v>0.0096244520529496</v>
      </c>
      <c r="CA36" s="0" t="n">
        <v>0.0331494461993489</v>
      </c>
      <c r="CB36" s="0" t="n">
        <v>-0.0049367921970702</v>
      </c>
      <c r="CC36" s="0" t="n">
        <v>0.0017079849940074</v>
      </c>
      <c r="CD36" s="0" t="n">
        <v>-0.0040206476010376</v>
      </c>
      <c r="CE36" s="0" t="n">
        <v>0.0076592764340126</v>
      </c>
      <c r="CF36" s="0" t="n">
        <v>-0.0073015325623324</v>
      </c>
      <c r="CG36" s="0" t="n">
        <v>-0.0022391628229288</v>
      </c>
      <c r="CH36" s="0" t="n">
        <v>0.0467270087443304</v>
      </c>
      <c r="CI36" s="0" t="n">
        <v>-0.0093134066401411</v>
      </c>
      <c r="CJ36" s="0" t="n">
        <v>-0.0084618538729712</v>
      </c>
      <c r="CK36" s="0" t="n">
        <v>-0.004075280993049</v>
      </c>
      <c r="CL36" s="0" t="n">
        <v>0.0017620660951011</v>
      </c>
      <c r="CM36" s="0" t="n">
        <v>0.012740331450071</v>
      </c>
      <c r="CN36" s="0" t="n">
        <v>0.0270674684686863</v>
      </c>
      <c r="CO36" s="0" t="n">
        <v>0.0210911005452853</v>
      </c>
      <c r="CP36" s="0" t="n">
        <v>0.0018712322308003</v>
      </c>
      <c r="CQ36" s="0" t="n">
        <v>0.0119339782938218</v>
      </c>
      <c r="CR36" s="0" t="n">
        <v>0.0127363343565822</v>
      </c>
      <c r="CS36" s="0" t="n">
        <v>0.024023237549059</v>
      </c>
      <c r="CT36" s="0" t="n">
        <v>0.0150716479456741</v>
      </c>
      <c r="CU36" s="0" t="n">
        <v>0.00861772773324</v>
      </c>
      <c r="CV36" s="0" t="n">
        <v>0.0180828441051467</v>
      </c>
      <c r="CW36" s="0" t="n">
        <v>0.0129025811420365</v>
      </c>
      <c r="CX36" s="0" t="n">
        <v>0.0189939242546724</v>
      </c>
      <c r="CY36" s="0" t="n">
        <v>0.0076214633449143</v>
      </c>
      <c r="CZ36" s="0" t="n">
        <v>0.010856494785315</v>
      </c>
      <c r="DA36" s="0" t="n">
        <v>-0.0121951373328742</v>
      </c>
      <c r="DB36" s="0" t="n">
        <v>0.030045980104324</v>
      </c>
      <c r="DC36" s="0" t="n">
        <v>0.031868505149559</v>
      </c>
      <c r="DD36" s="0" t="n">
        <v>0.0082832134662044</v>
      </c>
      <c r="DE36" s="0" t="n">
        <v>0.0362840834698344</v>
      </c>
      <c r="DF36" s="0" t="n">
        <v>-0.0080382479858982</v>
      </c>
      <c r="DG36" s="0" t="n">
        <v>0.0274676469155802</v>
      </c>
      <c r="DH36" s="0" t="n">
        <v>0.0137467820994496</v>
      </c>
      <c r="DI36" s="0" t="n">
        <v>0.0133887858726082</v>
      </c>
      <c r="DJ36" s="0" t="n">
        <v>-0.0004209202931368</v>
      </c>
      <c r="DK36" s="0" t="n">
        <v>0.016399466895087</v>
      </c>
      <c r="DL36" s="0" t="n">
        <v>0.0428621823048942</v>
      </c>
      <c r="DM36" s="0" t="n">
        <v>0.0120135905216841</v>
      </c>
      <c r="DN36" s="0" t="n">
        <v>-0.0013781033697652</v>
      </c>
      <c r="DO36" s="0" t="n">
        <v>0.0222743012777307</v>
      </c>
      <c r="DP36" s="0" t="n">
        <v>0.0018133498373969</v>
      </c>
      <c r="DQ36" s="0" t="n">
        <v>0.0111527813323994</v>
      </c>
      <c r="DR36" s="0" t="n">
        <v>0.0264622059019335</v>
      </c>
      <c r="DS36" s="0" t="n">
        <v>-0.0057599810021596</v>
      </c>
      <c r="DT36" s="0" t="n">
        <v>0.004284814230714</v>
      </c>
      <c r="DU36" s="0" t="n">
        <v>0.0222356311666461</v>
      </c>
      <c r="DV36" s="0" t="n">
        <v>0.0220953501751761</v>
      </c>
      <c r="DW36" s="0" t="n">
        <v>-0.0020030675842793</v>
      </c>
      <c r="DX36" s="0" t="n">
        <v>0.0321051138630861</v>
      </c>
      <c r="DY36" s="0" t="n">
        <v>0.0110329567722409</v>
      </c>
      <c r="DZ36" s="0" t="n">
        <v>0.0001649894961211</v>
      </c>
      <c r="EA36" s="0" t="n">
        <v>0.0179772021686719</v>
      </c>
      <c r="EB36" s="0" t="n">
        <v>0.01168889866785</v>
      </c>
      <c r="EC36" s="0" t="n">
        <v>0.0217707216687005</v>
      </c>
      <c r="ED36" s="0" t="n">
        <v>0.0312187812077684</v>
      </c>
      <c r="EE36" s="0" t="n">
        <v>0.0262877062071856</v>
      </c>
      <c r="EF36" s="0" t="n">
        <v>0.0260597745355667</v>
      </c>
      <c r="EG36" s="0" t="n">
        <v>0.0401597238003337</v>
      </c>
      <c r="EH36" s="0" t="n">
        <v>-0.0236585833731521</v>
      </c>
      <c r="EI36" s="0" t="n">
        <v>0.0231790112886129</v>
      </c>
      <c r="EJ36" s="0" t="n">
        <v>0.0279197151924319</v>
      </c>
      <c r="EK36" s="0" t="n">
        <v>0.0188613963643881</v>
      </c>
      <c r="EL36" s="0" t="n">
        <v>0.0366345971710481</v>
      </c>
      <c r="EM36" s="0" t="n">
        <v>0.0011595982182281</v>
      </c>
      <c r="EN36" s="0" t="n">
        <v>0.0101151343485319</v>
      </c>
      <c r="EO36" s="0" t="n">
        <v>-0.0281571537716865</v>
      </c>
      <c r="EP36" s="72" t="n">
        <f aca="false">SUMPRODUCT(B36:EO36,$B$5:$EO$5)</f>
        <v>0.0313621674878178</v>
      </c>
      <c r="EQ36" s="72" t="n">
        <f aca="false">SUMIF('Mi portafolio'!$A$8:$A$19,$A36,'Mi portafolio'!$B$8:$B$19)</f>
        <v>0.03</v>
      </c>
    </row>
    <row r="37" customFormat="false" ht="15" hidden="false" customHeight="false" outlineLevel="0" collapsed="false">
      <c r="A37" s="71" t="s">
        <v>256</v>
      </c>
      <c r="B37" s="0" t="n">
        <v>0.0114682763055474</v>
      </c>
      <c r="C37" s="0" t="n">
        <v>-0.0006083266470335</v>
      </c>
      <c r="D37" s="0" t="n">
        <v>-0.0009371543780076</v>
      </c>
      <c r="E37" s="0" t="n">
        <v>0.0039580820084028</v>
      </c>
      <c r="F37" s="0" t="n">
        <v>0.0209711393649693</v>
      </c>
      <c r="G37" s="0" t="n">
        <v>-0.0042424564908465</v>
      </c>
      <c r="H37" s="0" t="n">
        <v>-0.0012911751021395</v>
      </c>
      <c r="I37" s="0" t="n">
        <v>0.0168088224549251</v>
      </c>
      <c r="J37" s="0" t="n">
        <v>0.0158452371974792</v>
      </c>
      <c r="K37" s="0" t="n">
        <v>0.0192692101255222</v>
      </c>
      <c r="L37" s="0" t="n">
        <v>-0.0009303217385619</v>
      </c>
      <c r="M37" s="0" t="n">
        <v>0.0019761180540305</v>
      </c>
      <c r="N37" s="0" t="n">
        <v>0.0106129231598607</v>
      </c>
      <c r="O37" s="0" t="n">
        <v>0.0027907423581288</v>
      </c>
      <c r="P37" s="0" t="n">
        <v>0.0174704420550664</v>
      </c>
      <c r="Q37" s="0" t="n">
        <v>0.0008689821912116</v>
      </c>
      <c r="R37" s="0" t="n">
        <v>0.0215825516546611</v>
      </c>
      <c r="S37" s="0" t="n">
        <v>0.0066064809915141</v>
      </c>
      <c r="T37" s="0" t="n">
        <v>0.0041222280894339</v>
      </c>
      <c r="U37" s="0" t="n">
        <v>0.0042358448038283</v>
      </c>
      <c r="V37" s="0" t="n">
        <v>0.0004187426855488</v>
      </c>
      <c r="W37" s="0" t="n">
        <v>0.0051288259999607</v>
      </c>
      <c r="X37" s="0" t="n">
        <v>0.0075513660419538</v>
      </c>
      <c r="Y37" s="0" t="n">
        <v>0.0115394933345642</v>
      </c>
      <c r="Z37" s="0" t="n">
        <v>0.0012904016669034</v>
      </c>
      <c r="AA37" s="0" t="n">
        <v>0.0049486719226351</v>
      </c>
      <c r="AB37" s="0" t="n">
        <v>0.0118823263515358</v>
      </c>
      <c r="AC37" s="0" t="n">
        <v>-0.0022893279897198</v>
      </c>
      <c r="AD37" s="0" t="n">
        <v>0.0079826729113057</v>
      </c>
      <c r="AE37" s="0" t="n">
        <v>-0.0048000714456296</v>
      </c>
      <c r="AF37" s="0" t="n">
        <v>-0.0030067398148433</v>
      </c>
      <c r="AG37" s="0" t="n">
        <v>0.0660541654963677</v>
      </c>
      <c r="AH37" s="0" t="n">
        <v>0.0524186667374537</v>
      </c>
      <c r="AI37" s="0" t="n">
        <v>0.0234913231632895</v>
      </c>
      <c r="AJ37" s="0" t="n">
        <v>-0.0005010173560812</v>
      </c>
      <c r="AK37" s="0" t="n">
        <v>-0.0009801942430411</v>
      </c>
      <c r="AL37" s="0" t="n">
        <v>0.0098014045960023</v>
      </c>
      <c r="AM37" s="0" t="n">
        <v>0.0037017711426671</v>
      </c>
      <c r="AN37" s="0" t="n">
        <v>0.0123173464901577</v>
      </c>
      <c r="AO37" s="0" t="n">
        <v>0.0158902366048794</v>
      </c>
      <c r="AP37" s="0" t="n">
        <v>0.0122655788829804</v>
      </c>
      <c r="AQ37" s="0" t="n">
        <v>0.0198181263790768</v>
      </c>
      <c r="AR37" s="0" t="n">
        <v>0.0075589167804435</v>
      </c>
      <c r="AS37" s="0" t="n">
        <v>-0.0061435087457855</v>
      </c>
      <c r="AT37" s="0" t="n">
        <v>-0.0012414374474237</v>
      </c>
      <c r="AU37" s="0" t="n">
        <v>0.0180483428783375</v>
      </c>
      <c r="AV37" s="0" t="n">
        <v>0.00412997981954</v>
      </c>
      <c r="AW37" s="0" t="n">
        <v>-0.0015158352059497</v>
      </c>
      <c r="AX37" s="0" t="n">
        <v>0.0150435269084865</v>
      </c>
      <c r="AY37" s="0" t="n">
        <v>0.007607868485539</v>
      </c>
      <c r="AZ37" s="0" t="n">
        <v>-0.002490719799698</v>
      </c>
      <c r="BA37" s="0" t="n">
        <v>0.0140890862100898</v>
      </c>
      <c r="BB37" s="0" t="n">
        <v>-0.0030650947750289</v>
      </c>
      <c r="BC37" s="0" t="n">
        <v>0.0008175698754134</v>
      </c>
      <c r="BD37" s="0" t="n">
        <v>0.0028236118707594</v>
      </c>
      <c r="BE37" s="0" t="n">
        <v>0.0214226888695807</v>
      </c>
      <c r="BF37" s="0" t="n">
        <v>-0.002096790247965</v>
      </c>
      <c r="BG37" s="0" t="n">
        <v>-0.0007223012904332</v>
      </c>
      <c r="BH37" s="0" t="n">
        <v>-0.0015913367781529</v>
      </c>
      <c r="BI37" s="0" t="n">
        <v>-0.0046483360216108</v>
      </c>
      <c r="BJ37" s="0" t="n">
        <v>-0.001268043322764</v>
      </c>
      <c r="BK37" s="0" t="n">
        <v>-0.0025725865450657</v>
      </c>
      <c r="BL37" s="0" t="n">
        <v>0.0043993120526859</v>
      </c>
      <c r="BM37" s="0" t="n">
        <v>0.0253663415063162</v>
      </c>
      <c r="BN37" s="0" t="n">
        <v>0.0184852244474838</v>
      </c>
      <c r="BO37" s="0" t="n">
        <v>-0.0024105137593027</v>
      </c>
      <c r="BP37" s="0" t="n">
        <v>-0.0046862469444998</v>
      </c>
      <c r="BQ37" s="0" t="n">
        <v>-0.0040815746319398</v>
      </c>
      <c r="BR37" s="0" t="n">
        <v>0.0022827809153725</v>
      </c>
      <c r="BS37" s="0" t="n">
        <v>0.0189894796856672</v>
      </c>
      <c r="BT37" s="0" t="n">
        <v>-0.0051785562573645</v>
      </c>
      <c r="BU37" s="0" t="n">
        <v>-0.0030874974304274</v>
      </c>
      <c r="BV37" s="0" t="n">
        <v>0.0013698385486688</v>
      </c>
      <c r="BW37" s="0" t="n">
        <v>-0.0047122140663093</v>
      </c>
      <c r="BX37" s="0" t="n">
        <v>0.009529171527213</v>
      </c>
      <c r="BY37" s="0" t="n">
        <v>0.0084868336848481</v>
      </c>
      <c r="BZ37" s="0" t="n">
        <v>0.0034453301873785</v>
      </c>
      <c r="CA37" s="0" t="n">
        <v>-0.0023725521372107</v>
      </c>
      <c r="CB37" s="0" t="n">
        <v>0.0033421833679126</v>
      </c>
      <c r="CC37" s="0" t="n">
        <v>0.0103596711194782</v>
      </c>
      <c r="CD37" s="0" t="n">
        <v>0.000121858522349</v>
      </c>
      <c r="CE37" s="0" t="n">
        <v>-0.0018184338824358</v>
      </c>
      <c r="CF37" s="0" t="n">
        <v>0.0233021258921087</v>
      </c>
      <c r="CG37" s="0" t="n">
        <v>0.0046722106328285</v>
      </c>
      <c r="CH37" s="0" t="n">
        <v>-0.0113048844212824</v>
      </c>
      <c r="CI37" s="0" t="n">
        <v>0.0244597497575536</v>
      </c>
      <c r="CJ37" s="0" t="n">
        <v>0.0216152723933741</v>
      </c>
      <c r="CK37" s="0" t="n">
        <v>0.0134607217384864</v>
      </c>
      <c r="CL37" s="0" t="n">
        <v>0.0068488375123488</v>
      </c>
      <c r="CM37" s="0" t="n">
        <v>-0.0183925641764472</v>
      </c>
      <c r="CN37" s="0" t="n">
        <v>-0.0009522455074053</v>
      </c>
      <c r="CO37" s="0" t="n">
        <v>0.0008130307774309</v>
      </c>
      <c r="CP37" s="0" t="n">
        <v>-0.0057833593263014</v>
      </c>
      <c r="CQ37" s="0" t="n">
        <v>0.0046808242766979</v>
      </c>
      <c r="CR37" s="0" t="n">
        <v>-0.0227462697571758</v>
      </c>
      <c r="CS37" s="0" t="n">
        <v>-0.0074673036936598</v>
      </c>
      <c r="CT37" s="0" t="n">
        <v>0.0003622279804792</v>
      </c>
      <c r="CU37" s="0" t="n">
        <v>-0.0011617941639852</v>
      </c>
      <c r="CV37" s="0" t="n">
        <v>0.0010512702976271</v>
      </c>
      <c r="CW37" s="0" t="n">
        <v>0.0017062987967516</v>
      </c>
      <c r="CX37" s="0" t="n">
        <v>0.0044927444919339</v>
      </c>
      <c r="CY37" s="0" t="n">
        <v>0.0106408015928329</v>
      </c>
      <c r="CZ37" s="0" t="n">
        <v>0.0063841379812118</v>
      </c>
      <c r="DA37" s="0" t="n">
        <v>0.0105958796865325</v>
      </c>
      <c r="DB37" s="0" t="n">
        <v>-0.0095249041800864</v>
      </c>
      <c r="DC37" s="0" t="n">
        <v>-0.0145233473433167</v>
      </c>
      <c r="DD37" s="0" t="n">
        <v>-4.78334591208825E-005</v>
      </c>
      <c r="DE37" s="0" t="n">
        <v>-0.0171571377028918</v>
      </c>
      <c r="DF37" s="0" t="n">
        <v>0.0081437479247451</v>
      </c>
      <c r="DG37" s="0" t="n">
        <v>-0.013372435289781</v>
      </c>
      <c r="DH37" s="0" t="n">
        <v>-0.0168852197610824</v>
      </c>
      <c r="DI37" s="0" t="n">
        <v>0.0038932668357156</v>
      </c>
      <c r="DJ37" s="0" t="n">
        <v>0.0053363381812175</v>
      </c>
      <c r="DK37" s="0" t="n">
        <v>0.0003444973419617</v>
      </c>
      <c r="DL37" s="0" t="n">
        <v>-0.0188478166231373</v>
      </c>
      <c r="DM37" s="0" t="n">
        <v>0.0030141417313632</v>
      </c>
      <c r="DN37" s="0" t="n">
        <v>0.0074653298828146</v>
      </c>
      <c r="DO37" s="0" t="n">
        <v>-0.0011975930879235</v>
      </c>
      <c r="DP37" s="0" t="n">
        <v>0.0043432319035926</v>
      </c>
      <c r="DQ37" s="0" t="n">
        <v>0.0016035092307441</v>
      </c>
      <c r="DR37" s="0" t="n">
        <v>-0.0130397970558706</v>
      </c>
      <c r="DS37" s="0" t="n">
        <v>-9.2801603653387E-005</v>
      </c>
      <c r="DT37" s="0" t="n">
        <v>-0.0272449752447005</v>
      </c>
      <c r="DU37" s="0" t="n">
        <v>-0.0061293727047103</v>
      </c>
      <c r="DV37" s="0" t="n">
        <v>-0.0030307374027372</v>
      </c>
      <c r="DW37" s="0" t="n">
        <v>-0.005518923473687</v>
      </c>
      <c r="DX37" s="0" t="n">
        <v>-0.040862705302035</v>
      </c>
      <c r="DY37" s="0" t="n">
        <v>-0.008160250915042</v>
      </c>
      <c r="DZ37" s="0" t="n">
        <v>-0.0122092266436802</v>
      </c>
      <c r="EA37" s="0" t="n">
        <v>-0.0282009960459521</v>
      </c>
      <c r="EB37" s="0" t="n">
        <v>-0.0139790544221632</v>
      </c>
      <c r="EC37" s="0" t="n">
        <v>-0.0222963289094547</v>
      </c>
      <c r="ED37" s="0" t="n">
        <v>-0.0115843468133486</v>
      </c>
      <c r="EE37" s="0" t="n">
        <v>-0.0266689951172716</v>
      </c>
      <c r="EF37" s="0" t="n">
        <v>0.0016074491213167</v>
      </c>
      <c r="EG37" s="0" t="n">
        <v>-0.0414781282123147</v>
      </c>
      <c r="EH37" s="0" t="n">
        <v>0.0077854515544257</v>
      </c>
      <c r="EI37" s="0" t="n">
        <v>-0.0477951462512623</v>
      </c>
      <c r="EJ37" s="0" t="n">
        <v>-0.0059024914692768</v>
      </c>
      <c r="EK37" s="0" t="n">
        <v>-0.0100566334008265</v>
      </c>
      <c r="EL37" s="0" t="n">
        <v>-0.0421056894737585</v>
      </c>
      <c r="EM37" s="0" t="n">
        <v>-0.0206035069831792</v>
      </c>
      <c r="EN37" s="0" t="n">
        <v>-0.0064850708508303</v>
      </c>
      <c r="EO37" s="0" t="n">
        <v>-0.0499337191512392</v>
      </c>
      <c r="EP37" s="72" t="n">
        <f aca="false">SUMPRODUCT(B37:EO37,$B$5:$EO$5)</f>
        <v>-0.0409121605801367</v>
      </c>
      <c r="EQ37" s="72" t="n">
        <f aca="false">SUMIF('Mi portafolio'!$A$8:$A$19,$A37,'Mi portafolio'!$B$8:$B$19)</f>
        <v>0</v>
      </c>
    </row>
    <row r="38" customFormat="false" ht="15" hidden="false" customHeight="false" outlineLevel="0" collapsed="false">
      <c r="A38" s="71" t="s">
        <v>257</v>
      </c>
      <c r="B38" s="0" t="n">
        <v>0.0134828328499102</v>
      </c>
      <c r="C38" s="0" t="n">
        <v>4.79514902214591E-005</v>
      </c>
      <c r="D38" s="0" t="n">
        <v>-0.0014310136189672</v>
      </c>
      <c r="E38" s="0" t="n">
        <v>0.004442488035782</v>
      </c>
      <c r="F38" s="0" t="n">
        <v>0.0221139225233367</v>
      </c>
      <c r="G38" s="0" t="n">
        <v>-0.0043004519891318</v>
      </c>
      <c r="H38" s="0" t="n">
        <v>0.0005204806415924</v>
      </c>
      <c r="I38" s="0" t="n">
        <v>0.0166535641690819</v>
      </c>
      <c r="J38" s="0" t="n">
        <v>0.0152705805271569</v>
      </c>
      <c r="K38" s="0" t="n">
        <v>0.0199069213565937</v>
      </c>
      <c r="L38" s="0" t="n">
        <v>0.0005474787790242</v>
      </c>
      <c r="M38" s="0" t="n">
        <v>0.0029287183373366</v>
      </c>
      <c r="N38" s="0" t="n">
        <v>0.0138854476646452</v>
      </c>
      <c r="O38" s="0" t="n">
        <v>0.0043176969224726</v>
      </c>
      <c r="P38" s="0" t="n">
        <v>0.0163279170471188</v>
      </c>
      <c r="Q38" s="0" t="n">
        <v>0.0009105003494126</v>
      </c>
      <c r="R38" s="0" t="n">
        <v>0.025647681017132</v>
      </c>
      <c r="S38" s="0" t="n">
        <v>0.0048226402673458</v>
      </c>
      <c r="T38" s="0" t="n">
        <v>0.0044080791268102</v>
      </c>
      <c r="U38" s="0" t="n">
        <v>0.005702413442802</v>
      </c>
      <c r="V38" s="0" t="n">
        <v>-0.0052478002050357</v>
      </c>
      <c r="W38" s="0" t="n">
        <v>0.006240551823596</v>
      </c>
      <c r="X38" s="0" t="n">
        <v>0.0094400480603739</v>
      </c>
      <c r="Y38" s="0" t="n">
        <v>0.0080924489015801</v>
      </c>
      <c r="Z38" s="0" t="n">
        <v>-0.0014490425254923</v>
      </c>
      <c r="AA38" s="0" t="n">
        <v>0.0091898978659173</v>
      </c>
      <c r="AB38" s="0" t="n">
        <v>0.0092314988104096</v>
      </c>
      <c r="AC38" s="0" t="n">
        <v>-0.0033711631193443</v>
      </c>
      <c r="AD38" s="0" t="n">
        <v>0.0049035382466751</v>
      </c>
      <c r="AE38" s="0" t="n">
        <v>-0.0031492934948042</v>
      </c>
      <c r="AF38" s="0" t="n">
        <v>-0.0024723572733934</v>
      </c>
      <c r="AG38" s="0" t="n">
        <v>0.0524186667374537</v>
      </c>
      <c r="AH38" s="0" t="n">
        <v>0.0685000819350185</v>
      </c>
      <c r="AI38" s="0" t="n">
        <v>0.0246834329947376</v>
      </c>
      <c r="AJ38" s="0" t="n">
        <v>0.0010966464664094</v>
      </c>
      <c r="AK38" s="0" t="n">
        <v>-0.0065899431230087</v>
      </c>
      <c r="AL38" s="0" t="n">
        <v>0.00833224239243</v>
      </c>
      <c r="AM38" s="0" t="n">
        <v>-0.0009870827650939</v>
      </c>
      <c r="AN38" s="0" t="n">
        <v>0.0158143845713207</v>
      </c>
      <c r="AO38" s="0" t="n">
        <v>0.0172745008641928</v>
      </c>
      <c r="AP38" s="0" t="n">
        <v>0.0155973084306231</v>
      </c>
      <c r="AQ38" s="0" t="n">
        <v>0.0175114599098838</v>
      </c>
      <c r="AR38" s="0" t="n">
        <v>0.0077733884231977</v>
      </c>
      <c r="AS38" s="0" t="n">
        <v>-0.0044434298533508</v>
      </c>
      <c r="AT38" s="0" t="n">
        <v>0.0005655549591396</v>
      </c>
      <c r="AU38" s="0" t="n">
        <v>0.0188924925970013</v>
      </c>
      <c r="AV38" s="0" t="n">
        <v>0.005425678406277</v>
      </c>
      <c r="AW38" s="0" t="n">
        <v>-0.0048040513332416</v>
      </c>
      <c r="AX38" s="0" t="n">
        <v>0.0183087584740274</v>
      </c>
      <c r="AY38" s="0" t="n">
        <v>0.0083163339269165</v>
      </c>
      <c r="AZ38" s="0" t="n">
        <v>-0.003956058918531</v>
      </c>
      <c r="BA38" s="0" t="n">
        <v>0.0181975577935798</v>
      </c>
      <c r="BB38" s="0" t="n">
        <v>-0.0035439276212779</v>
      </c>
      <c r="BC38" s="0" t="n">
        <v>-0.0009909774644163</v>
      </c>
      <c r="BD38" s="0" t="n">
        <v>0.0029565170177909</v>
      </c>
      <c r="BE38" s="0" t="n">
        <v>0.0204129803172718</v>
      </c>
      <c r="BF38" s="0" t="n">
        <v>-0.0015621757256088</v>
      </c>
      <c r="BG38" s="0" t="n">
        <v>-0.0004795219618521</v>
      </c>
      <c r="BH38" s="0" t="n">
        <v>0.0012458122381749</v>
      </c>
      <c r="BI38" s="0" t="n">
        <v>-0.0032859474709791</v>
      </c>
      <c r="BJ38" s="0" t="n">
        <v>-0.0078222410543359</v>
      </c>
      <c r="BK38" s="0" t="n">
        <v>-0.0037679685407593</v>
      </c>
      <c r="BL38" s="0" t="n">
        <v>0.0032380629027867</v>
      </c>
      <c r="BM38" s="0" t="n">
        <v>0.0282374392604058</v>
      </c>
      <c r="BN38" s="0" t="n">
        <v>0.0169456375986191</v>
      </c>
      <c r="BO38" s="0" t="n">
        <v>0.0030237594401082</v>
      </c>
      <c r="BP38" s="0" t="n">
        <v>-0.0014743813039541</v>
      </c>
      <c r="BQ38" s="0" t="n">
        <v>-0.0026131414763434</v>
      </c>
      <c r="BR38" s="0" t="n">
        <v>0.0051750802466594</v>
      </c>
      <c r="BS38" s="0" t="n">
        <v>0.0184161143305303</v>
      </c>
      <c r="BT38" s="0" t="n">
        <v>0.0007776343385203</v>
      </c>
      <c r="BU38" s="0" t="n">
        <v>-0.0082252935894221</v>
      </c>
      <c r="BV38" s="0" t="n">
        <v>0.0028034604360728</v>
      </c>
      <c r="BW38" s="0" t="n">
        <v>0.0054645883474211</v>
      </c>
      <c r="BX38" s="0" t="n">
        <v>0.0133800316389905</v>
      </c>
      <c r="BY38" s="0" t="n">
        <v>0.0025603301167898</v>
      </c>
      <c r="BZ38" s="0" t="n">
        <v>0.0068952167763119</v>
      </c>
      <c r="CA38" s="0" t="n">
        <v>-0.0019371334654083</v>
      </c>
      <c r="CB38" s="0" t="n">
        <v>0.0043137687294367</v>
      </c>
      <c r="CC38" s="0" t="n">
        <v>0.0055335084240781</v>
      </c>
      <c r="CD38" s="0" t="n">
        <v>0.0043962632318122</v>
      </c>
      <c r="CE38" s="0" t="n">
        <v>-0.0029250684531682</v>
      </c>
      <c r="CF38" s="0" t="n">
        <v>0.0207643943448802</v>
      </c>
      <c r="CG38" s="0" t="n">
        <v>0.0049532696041449</v>
      </c>
      <c r="CH38" s="0" t="n">
        <v>-0.0122606738386062</v>
      </c>
      <c r="CI38" s="0" t="n">
        <v>0.0235220443180483</v>
      </c>
      <c r="CJ38" s="0" t="n">
        <v>0.023077206436908</v>
      </c>
      <c r="CK38" s="0" t="n">
        <v>0.0166847463817815</v>
      </c>
      <c r="CL38" s="0" t="n">
        <v>0.0083104769448974</v>
      </c>
      <c r="CM38" s="0" t="n">
        <v>-0.0182625957631018</v>
      </c>
      <c r="CN38" s="0" t="n">
        <v>0.0021707580810345</v>
      </c>
      <c r="CO38" s="0" t="n">
        <v>6.25290649717579E-005</v>
      </c>
      <c r="CP38" s="0" t="n">
        <v>0.0062445431131777</v>
      </c>
      <c r="CQ38" s="0" t="n">
        <v>0.005084671131849</v>
      </c>
      <c r="CR38" s="0" t="n">
        <v>-0.0250710195417313</v>
      </c>
      <c r="CS38" s="0" t="n">
        <v>-0.0007828719348972</v>
      </c>
      <c r="CT38" s="0" t="n">
        <v>-0.0003005180605831</v>
      </c>
      <c r="CU38" s="0" t="n">
        <v>-0.0035376946620639</v>
      </c>
      <c r="CV38" s="0" t="n">
        <v>-0.0045475661295203</v>
      </c>
      <c r="CW38" s="0" t="n">
        <v>0.0013786370579083</v>
      </c>
      <c r="CX38" s="0" t="n">
        <v>0.0004382014664929</v>
      </c>
      <c r="CY38" s="0" t="n">
        <v>0.0053150352670228</v>
      </c>
      <c r="CZ38" s="0" t="n">
        <v>0.0092015429045724</v>
      </c>
      <c r="DA38" s="0" t="n">
        <v>0.0060933148580971</v>
      </c>
      <c r="DB38" s="0" t="n">
        <v>-0.0025531229245173</v>
      </c>
      <c r="DC38" s="0" t="n">
        <v>-0.0117874541510358</v>
      </c>
      <c r="DD38" s="0" t="n">
        <v>0.0015171023283887</v>
      </c>
      <c r="DE38" s="0" t="n">
        <v>-0.0165335680178171</v>
      </c>
      <c r="DF38" s="0" t="n">
        <v>0.0134487668575365</v>
      </c>
      <c r="DG38" s="0" t="n">
        <v>-0.0187631747564861</v>
      </c>
      <c r="DH38" s="0" t="n">
        <v>-0.0165648929210102</v>
      </c>
      <c r="DI38" s="0" t="n">
        <v>0.0065201333599316</v>
      </c>
      <c r="DJ38" s="0" t="n">
        <v>-0.0001666242409325</v>
      </c>
      <c r="DK38" s="0" t="n">
        <v>0.0022737056804165</v>
      </c>
      <c r="DL38" s="0" t="n">
        <v>-0.0267892977434394</v>
      </c>
      <c r="DM38" s="0" t="n">
        <v>0.0024042228629567</v>
      </c>
      <c r="DN38" s="0" t="n">
        <v>0.0036085300253656</v>
      </c>
      <c r="DO38" s="0" t="n">
        <v>0.0029003243378799</v>
      </c>
      <c r="DP38" s="0" t="n">
        <v>0.0031962207610053</v>
      </c>
      <c r="DQ38" s="0" t="n">
        <v>0.0050729672446788</v>
      </c>
      <c r="DR38" s="0" t="n">
        <v>-0.0089725624654602</v>
      </c>
      <c r="DS38" s="0" t="n">
        <v>0.0006305765757543</v>
      </c>
      <c r="DT38" s="0" t="n">
        <v>-0.0206919077422201</v>
      </c>
      <c r="DU38" s="0" t="n">
        <v>-0.0085487792073527</v>
      </c>
      <c r="DV38" s="0" t="n">
        <v>-0.0024515096133094</v>
      </c>
      <c r="DW38" s="0" t="n">
        <v>-0.0168097304678196</v>
      </c>
      <c r="DX38" s="0" t="n">
        <v>-0.0383649777249199</v>
      </c>
      <c r="DY38" s="0" t="n">
        <v>-0.0067522094929137</v>
      </c>
      <c r="DZ38" s="0" t="n">
        <v>-0.0068216839208585</v>
      </c>
      <c r="EA38" s="0" t="n">
        <v>-0.0209816793017894</v>
      </c>
      <c r="EB38" s="0" t="n">
        <v>-0.0171527352472291</v>
      </c>
      <c r="EC38" s="0" t="n">
        <v>-0.038914297666103</v>
      </c>
      <c r="ED38" s="0" t="n">
        <v>-0.0083040869367589</v>
      </c>
      <c r="EE38" s="0" t="n">
        <v>-0.0313952842826155</v>
      </c>
      <c r="EF38" s="0" t="n">
        <v>0.0036893916515102</v>
      </c>
      <c r="EG38" s="0" t="n">
        <v>-0.0368478526309851</v>
      </c>
      <c r="EH38" s="0" t="n">
        <v>0.0009894112573017</v>
      </c>
      <c r="EI38" s="0" t="n">
        <v>-0.0444254988625721</v>
      </c>
      <c r="EJ38" s="0" t="n">
        <v>-0.0038316660756065</v>
      </c>
      <c r="EK38" s="0" t="n">
        <v>-0.0077599977374252</v>
      </c>
      <c r="EL38" s="0" t="n">
        <v>-0.0461649762557601</v>
      </c>
      <c r="EM38" s="0" t="n">
        <v>-0.0097770614790446</v>
      </c>
      <c r="EN38" s="0" t="n">
        <v>0.0070054011658828</v>
      </c>
      <c r="EO38" s="0" t="n">
        <v>-0.0218971099236739</v>
      </c>
      <c r="EP38" s="72" t="n">
        <f aca="false">SUMPRODUCT(B38:EO38,$B$5:$EO$5)</f>
        <v>-0.0376218505048348</v>
      </c>
      <c r="EQ38" s="72" t="n">
        <f aca="false">SUMIF('Mi portafolio'!$A$8:$A$19,$A38,'Mi portafolio'!$B$8:$B$19)</f>
        <v>0</v>
      </c>
    </row>
    <row r="39" customFormat="false" ht="15" hidden="false" customHeight="false" outlineLevel="0" collapsed="false">
      <c r="A39" s="71" t="s">
        <v>258</v>
      </c>
      <c r="B39" s="0" t="n">
        <v>0.0077070049712555</v>
      </c>
      <c r="C39" s="0" t="n">
        <v>-0.0004722816337322</v>
      </c>
      <c r="D39" s="0" t="n">
        <v>-0.0051088771131528</v>
      </c>
      <c r="E39" s="0" t="n">
        <v>0.0032846366040384</v>
      </c>
      <c r="F39" s="0" t="n">
        <v>0.0124738803305787</v>
      </c>
      <c r="G39" s="0" t="n">
        <v>-0.0029368680707038</v>
      </c>
      <c r="H39" s="0" t="n">
        <v>-0.0058515387789669</v>
      </c>
      <c r="I39" s="0" t="n">
        <v>0.006082911183482</v>
      </c>
      <c r="J39" s="0" t="n">
        <v>0.0113660929415668</v>
      </c>
      <c r="K39" s="0" t="n">
        <v>0.0042773057986848</v>
      </c>
      <c r="L39" s="0" t="n">
        <v>-0.001031200435706</v>
      </c>
      <c r="M39" s="0" t="n">
        <v>-0.0033180095933192</v>
      </c>
      <c r="N39" s="0" t="n">
        <v>0.0069572095958417</v>
      </c>
      <c r="O39" s="0" t="n">
        <v>-0.0018221365305534</v>
      </c>
      <c r="P39" s="0" t="n">
        <v>0.0148463111744193</v>
      </c>
      <c r="Q39" s="0" t="n">
        <v>0.0003620406064361</v>
      </c>
      <c r="R39" s="0" t="n">
        <v>0.0150774242139753</v>
      </c>
      <c r="S39" s="0" t="n">
        <v>-0.0050680171925182</v>
      </c>
      <c r="T39" s="0" t="n">
        <v>0.0025827753460634</v>
      </c>
      <c r="U39" s="0" t="n">
        <v>-0.0043654994985881</v>
      </c>
      <c r="V39" s="0" t="n">
        <v>-0.0098821721386405</v>
      </c>
      <c r="W39" s="0" t="n">
        <v>0.0021934798684317</v>
      </c>
      <c r="X39" s="0" t="n">
        <v>0.0043590292807828</v>
      </c>
      <c r="Y39" s="0" t="n">
        <v>0.0057308245737971</v>
      </c>
      <c r="Z39" s="0" t="n">
        <v>-0.003428884900508</v>
      </c>
      <c r="AA39" s="0" t="n">
        <v>-0.0058382989659908</v>
      </c>
      <c r="AB39" s="0" t="n">
        <v>0.0057600032988905</v>
      </c>
      <c r="AC39" s="0" t="n">
        <v>0.0044677295645366</v>
      </c>
      <c r="AD39" s="0" t="n">
        <v>0.0023049526287171</v>
      </c>
      <c r="AE39" s="0" t="n">
        <v>-0.0170947556939752</v>
      </c>
      <c r="AF39" s="0" t="n">
        <v>-0.0092791179661528</v>
      </c>
      <c r="AG39" s="0" t="n">
        <v>0.0234913231632895</v>
      </c>
      <c r="AH39" s="0" t="n">
        <v>0.0246834329947376</v>
      </c>
      <c r="AI39" s="0" t="n">
        <v>0.0661039760418106</v>
      </c>
      <c r="AJ39" s="0" t="n">
        <v>-0.0033350542559384</v>
      </c>
      <c r="AK39" s="0" t="n">
        <v>-0.010749083002547</v>
      </c>
      <c r="AL39" s="0" t="n">
        <v>0.0001987148471161</v>
      </c>
      <c r="AM39" s="0" t="n">
        <v>-0.0087506075950506</v>
      </c>
      <c r="AN39" s="0" t="n">
        <v>-0.0074923340811797</v>
      </c>
      <c r="AO39" s="0" t="n">
        <v>0.0072809608484472</v>
      </c>
      <c r="AP39" s="0" t="n">
        <v>-0.0030015432568813</v>
      </c>
      <c r="AQ39" s="0" t="n">
        <v>0.060345779772448</v>
      </c>
      <c r="AR39" s="0" t="n">
        <v>0.0073770906021438</v>
      </c>
      <c r="AS39" s="0" t="n">
        <v>-0.0147502892593457</v>
      </c>
      <c r="AT39" s="0" t="n">
        <v>-0.0019899362171611</v>
      </c>
      <c r="AU39" s="0" t="n">
        <v>0.0116743029490051</v>
      </c>
      <c r="AV39" s="0" t="n">
        <v>0.0024955749603091</v>
      </c>
      <c r="AW39" s="0" t="n">
        <v>-0.0073429344033728</v>
      </c>
      <c r="AX39" s="0" t="n">
        <v>0.0080035784869934</v>
      </c>
      <c r="AY39" s="0" t="n">
        <v>0.0042522699075024</v>
      </c>
      <c r="AZ39" s="0" t="n">
        <v>-0.0184039926665068</v>
      </c>
      <c r="BA39" s="0" t="n">
        <v>0.0007489255463156</v>
      </c>
      <c r="BB39" s="0" t="n">
        <v>-0.0061865068023367</v>
      </c>
      <c r="BC39" s="0" t="n">
        <v>-0.0016858251271757</v>
      </c>
      <c r="BD39" s="0" t="n">
        <v>-0.0135313518826828</v>
      </c>
      <c r="BE39" s="0" t="n">
        <v>0.011973265261688</v>
      </c>
      <c r="BF39" s="0" t="n">
        <v>-0.0048925874533078</v>
      </c>
      <c r="BG39" s="0" t="n">
        <v>0.0030365408819769</v>
      </c>
      <c r="BH39" s="0" t="n">
        <v>-0.0102009243260841</v>
      </c>
      <c r="BI39" s="0" t="n">
        <v>7.01204511986293E-005</v>
      </c>
      <c r="BJ39" s="0" t="n">
        <v>-0.0019191501778393</v>
      </c>
      <c r="BK39" s="0" t="n">
        <v>-0.0154167437490182</v>
      </c>
      <c r="BL39" s="0" t="n">
        <v>-0.0034340404781885</v>
      </c>
      <c r="BM39" s="0" t="n">
        <v>0.009078663306992</v>
      </c>
      <c r="BN39" s="0" t="n">
        <v>0.0109706273860557</v>
      </c>
      <c r="BO39" s="0" t="n">
        <v>-0.0104089570966583</v>
      </c>
      <c r="BP39" s="0" t="n">
        <v>-0.0005591554436238</v>
      </c>
      <c r="BQ39" s="0" t="n">
        <v>-0.0116308983929488</v>
      </c>
      <c r="BR39" s="0" t="n">
        <v>-0.0036228754587827</v>
      </c>
      <c r="BS39" s="0" t="n">
        <v>0.0619806617065904</v>
      </c>
      <c r="BT39" s="0" t="n">
        <v>-0.0191480972318168</v>
      </c>
      <c r="BU39" s="0" t="n">
        <v>-0.0097656262587068</v>
      </c>
      <c r="BV39" s="0" t="n">
        <v>-0.0036407478549672</v>
      </c>
      <c r="BW39" s="0" t="n">
        <v>0.0027429334598822</v>
      </c>
      <c r="BX39" s="0" t="n">
        <v>-0.0017746139621489</v>
      </c>
      <c r="BY39" s="0" t="n">
        <v>-0.0081235201933017</v>
      </c>
      <c r="BZ39" s="0" t="n">
        <v>-0.0162932492579607</v>
      </c>
      <c r="CA39" s="0" t="n">
        <v>-0.0078697674887735</v>
      </c>
      <c r="CB39" s="0" t="n">
        <v>0.0151198103381232</v>
      </c>
      <c r="CC39" s="0" t="n">
        <v>0.002932261565817</v>
      </c>
      <c r="CD39" s="0" t="n">
        <v>-0.00736748469033</v>
      </c>
      <c r="CE39" s="0" t="n">
        <v>0.0095928207619066</v>
      </c>
      <c r="CF39" s="0" t="n">
        <v>0.0684578798175019</v>
      </c>
      <c r="CG39" s="0" t="n">
        <v>-0.008806550454955</v>
      </c>
      <c r="CH39" s="0" t="n">
        <v>-0.0183885610038717</v>
      </c>
      <c r="CI39" s="0" t="n">
        <v>0.0719010550361533</v>
      </c>
      <c r="CJ39" s="0" t="n">
        <v>0.0108975626421002</v>
      </c>
      <c r="CK39" s="0" t="n">
        <v>0.0102592686316046</v>
      </c>
      <c r="CL39" s="0" t="n">
        <v>-0.0110366197996637</v>
      </c>
      <c r="CM39" s="0" t="n">
        <v>-0.0128635384517262</v>
      </c>
      <c r="CN39" s="0" t="n">
        <v>0.0004769903444596</v>
      </c>
      <c r="CO39" s="0" t="n">
        <v>-0.0093398101477584</v>
      </c>
      <c r="CP39" s="0" t="n">
        <v>0.0112640477450428</v>
      </c>
      <c r="CQ39" s="0" t="n">
        <v>-0.0225603478631</v>
      </c>
      <c r="CR39" s="0" t="n">
        <v>-0.020524561796132</v>
      </c>
      <c r="CS39" s="0" t="n">
        <v>-0.0038814581274517</v>
      </c>
      <c r="CT39" s="0" t="n">
        <v>-0.0042833885847508</v>
      </c>
      <c r="CU39" s="0" t="n">
        <v>0.0002524124870022</v>
      </c>
      <c r="CV39" s="0" t="n">
        <v>-0.0164347586703269</v>
      </c>
      <c r="CW39" s="0" t="n">
        <v>-0.005630356203804</v>
      </c>
      <c r="CX39" s="0" t="n">
        <v>-0.0096967213835136</v>
      </c>
      <c r="CY39" s="0" t="n">
        <v>-0.0297439756291745</v>
      </c>
      <c r="CZ39" s="0" t="n">
        <v>0.0110202685195053</v>
      </c>
      <c r="DA39" s="0" t="n">
        <v>0.0018957704209809</v>
      </c>
      <c r="DB39" s="0" t="n">
        <v>-0.0087867700385105</v>
      </c>
      <c r="DC39" s="0" t="n">
        <v>-0.0428110753682445</v>
      </c>
      <c r="DD39" s="0" t="n">
        <v>-0.0124847363115533</v>
      </c>
      <c r="DE39" s="0" t="n">
        <v>-0.0162551586441546</v>
      </c>
      <c r="DF39" s="0" t="n">
        <v>0.0158321837148377</v>
      </c>
      <c r="DG39" s="0" t="n">
        <v>-0.0167614889334575</v>
      </c>
      <c r="DH39" s="0" t="n">
        <v>-0.0100624712976351</v>
      </c>
      <c r="DI39" s="0" t="n">
        <v>-0.0375182989360387</v>
      </c>
      <c r="DJ39" s="0" t="n">
        <v>-0.0253799198285165</v>
      </c>
      <c r="DK39" s="0" t="n">
        <v>-0.0389663969732542</v>
      </c>
      <c r="DL39" s="0" t="n">
        <v>-0.029862356061341</v>
      </c>
      <c r="DM39" s="0" t="n">
        <v>-0.0335141532878614</v>
      </c>
      <c r="DN39" s="0" t="n">
        <v>-0.0022251579129427</v>
      </c>
      <c r="DO39" s="0" t="n">
        <v>-0.0029653208913294</v>
      </c>
      <c r="DP39" s="0" t="n">
        <v>-0.0358066544682304</v>
      </c>
      <c r="DQ39" s="0" t="n">
        <v>-0.00464151565619</v>
      </c>
      <c r="DR39" s="0" t="n">
        <v>0.0118008688769444</v>
      </c>
      <c r="DS39" s="0" t="n">
        <v>-0.0044489928597816</v>
      </c>
      <c r="DT39" s="0" t="n">
        <v>-0.0048420732130965</v>
      </c>
      <c r="DU39" s="0" t="n">
        <v>-0.0157450677956008</v>
      </c>
      <c r="DV39" s="0" t="n">
        <v>0.0034265847051187</v>
      </c>
      <c r="DW39" s="0" t="n">
        <v>-0.0248263803316059</v>
      </c>
      <c r="DX39" s="0" t="n">
        <v>-0.0235475392617542</v>
      </c>
      <c r="DY39" s="0" t="n">
        <v>-0.0230914727919212</v>
      </c>
      <c r="DZ39" s="0" t="n">
        <v>0.0047980325172062</v>
      </c>
      <c r="EA39" s="0" t="n">
        <v>-0.0276474025453737</v>
      </c>
      <c r="EB39" s="0" t="n">
        <v>-0.0173116523848</v>
      </c>
      <c r="EC39" s="0" t="n">
        <v>-0.0191442965347944</v>
      </c>
      <c r="ED39" s="0" t="n">
        <v>-0.011752507413692</v>
      </c>
      <c r="EE39" s="0" t="n">
        <v>-0.0286571645604212</v>
      </c>
      <c r="EF39" s="0" t="n">
        <v>0.0028918088123323</v>
      </c>
      <c r="EG39" s="0" t="n">
        <v>-0.0306975442908913</v>
      </c>
      <c r="EH39" s="0" t="n">
        <v>-0.0125068234581964</v>
      </c>
      <c r="EI39" s="0" t="n">
        <v>-0.0419336844025777</v>
      </c>
      <c r="EJ39" s="0" t="n">
        <v>-0.0060533148806747</v>
      </c>
      <c r="EK39" s="0" t="n">
        <v>0.0108366316215637</v>
      </c>
      <c r="EL39" s="0" t="n">
        <v>-0.0390318685935117</v>
      </c>
      <c r="EM39" s="0" t="n">
        <v>-0.0193766163430382</v>
      </c>
      <c r="EN39" s="0" t="n">
        <v>-0.0122632475437711</v>
      </c>
      <c r="EO39" s="0" t="n">
        <v>-0.0097860845575523</v>
      </c>
      <c r="EP39" s="72" t="n">
        <f aca="false">SUMPRODUCT(B39:EO39,$B$5:$EO$5)</f>
        <v>-0.0344161996174668</v>
      </c>
      <c r="EQ39" s="72" t="n">
        <f aca="false">SUMIF('Mi portafolio'!$A$8:$A$19,$A39,'Mi portafolio'!$B$8:$B$19)</f>
        <v>0</v>
      </c>
    </row>
    <row r="40" customFormat="false" ht="15" hidden="false" customHeight="false" outlineLevel="0" collapsed="false">
      <c r="A40" s="71" t="s">
        <v>259</v>
      </c>
      <c r="B40" s="0" t="n">
        <v>0.001825209148077</v>
      </c>
      <c r="C40" s="0" t="n">
        <v>0.0044477395861964</v>
      </c>
      <c r="D40" s="0" t="n">
        <v>0.0102209640103543</v>
      </c>
      <c r="E40" s="0" t="n">
        <v>0.0049452549558146</v>
      </c>
      <c r="F40" s="0" t="n">
        <v>-0.0010345811110917</v>
      </c>
      <c r="G40" s="0" t="n">
        <v>0.0041697806172937</v>
      </c>
      <c r="H40" s="0" t="n">
        <v>0.0141471731063855</v>
      </c>
      <c r="I40" s="0" t="n">
        <v>0.0025961509024674</v>
      </c>
      <c r="J40" s="0" t="n">
        <v>0.0008261427789262</v>
      </c>
      <c r="K40" s="0" t="n">
        <v>0.0025206562424026</v>
      </c>
      <c r="L40" s="0" t="n">
        <v>0.0118529221414865</v>
      </c>
      <c r="M40" s="0" t="n">
        <v>0.0014817826494739</v>
      </c>
      <c r="N40" s="0" t="n">
        <v>0.0089264049671152</v>
      </c>
      <c r="O40" s="0" t="n">
        <v>0.0142787884363544</v>
      </c>
      <c r="P40" s="0" t="n">
        <v>-0.0009574776434089</v>
      </c>
      <c r="Q40" s="0" t="n">
        <v>0.0009590540715204</v>
      </c>
      <c r="R40" s="0" t="n">
        <v>-0.0060869650334512</v>
      </c>
      <c r="S40" s="0" t="n">
        <v>0.0095617080893889</v>
      </c>
      <c r="T40" s="0" t="n">
        <v>-0.0018950420963775</v>
      </c>
      <c r="U40" s="0" t="n">
        <v>0.0173859035137588</v>
      </c>
      <c r="V40" s="0" t="n">
        <v>0.0107863962271793</v>
      </c>
      <c r="W40" s="0" t="n">
        <v>0.0074919142695831</v>
      </c>
      <c r="X40" s="0" t="n">
        <v>0.0029859838078204</v>
      </c>
      <c r="Y40" s="0" t="n">
        <v>-0.0031052628810282</v>
      </c>
      <c r="Z40" s="0" t="n">
        <v>0.0106013436689426</v>
      </c>
      <c r="AA40" s="0" t="n">
        <v>0.012363058840421</v>
      </c>
      <c r="AB40" s="0" t="n">
        <v>-0.0040961567588649</v>
      </c>
      <c r="AC40" s="0" t="n">
        <v>0.006559866842815</v>
      </c>
      <c r="AD40" s="0" t="n">
        <v>0.0094017747721674</v>
      </c>
      <c r="AE40" s="0" t="n">
        <v>0.0145741561161346</v>
      </c>
      <c r="AF40" s="0" t="n">
        <v>0.0152844243044557</v>
      </c>
      <c r="AG40" s="0" t="n">
        <v>-0.0005010173560812</v>
      </c>
      <c r="AH40" s="0" t="n">
        <v>0.0010966464664094</v>
      </c>
      <c r="AI40" s="0" t="n">
        <v>-0.0033350542559384</v>
      </c>
      <c r="AJ40" s="0" t="n">
        <v>0.0638939360691236</v>
      </c>
      <c r="AK40" s="0" t="n">
        <v>0.0103630202913192</v>
      </c>
      <c r="AL40" s="0" t="n">
        <v>0.0054332995242679</v>
      </c>
      <c r="AM40" s="0" t="n">
        <v>0.0101979435564492</v>
      </c>
      <c r="AN40" s="0" t="n">
        <v>-0.0003364191872138</v>
      </c>
      <c r="AO40" s="0" t="n">
        <v>-0.0018328877224277</v>
      </c>
      <c r="AP40" s="0" t="n">
        <v>0.0062346206101415</v>
      </c>
      <c r="AQ40" s="0" t="n">
        <v>-0.002760926114827</v>
      </c>
      <c r="AR40" s="0" t="n">
        <v>0.0015536761906438</v>
      </c>
      <c r="AS40" s="0" t="n">
        <v>0.0192837786992701</v>
      </c>
      <c r="AT40" s="0" t="n">
        <v>-0.0017254195660403</v>
      </c>
      <c r="AU40" s="0" t="n">
        <v>-0.0040589532267527</v>
      </c>
      <c r="AV40" s="0" t="n">
        <v>0.0151494068901363</v>
      </c>
      <c r="AW40" s="0" t="n">
        <v>0.0063354530760337</v>
      </c>
      <c r="AX40" s="0" t="n">
        <v>0.0059940216048369</v>
      </c>
      <c r="AY40" s="0" t="n">
        <v>-0.0019709889430667</v>
      </c>
      <c r="AZ40" s="0" t="n">
        <v>0.0153812801138297</v>
      </c>
      <c r="BA40" s="0" t="n">
        <v>0.0075210396329073</v>
      </c>
      <c r="BB40" s="0" t="n">
        <v>0.0067868829058748</v>
      </c>
      <c r="BC40" s="0" t="n">
        <v>0.0101662736529621</v>
      </c>
      <c r="BD40" s="0" t="n">
        <v>0.0216124002629</v>
      </c>
      <c r="BE40" s="0" t="n">
        <v>0.0048461260968728</v>
      </c>
      <c r="BF40" s="0" t="n">
        <v>0.0172812192638959</v>
      </c>
      <c r="BG40" s="0" t="n">
        <v>0.00174868683783</v>
      </c>
      <c r="BH40" s="0" t="n">
        <v>0.0123377378481355</v>
      </c>
      <c r="BI40" s="0" t="n">
        <v>0.0022749708671068</v>
      </c>
      <c r="BJ40" s="0" t="n">
        <v>0.0126093571109682</v>
      </c>
      <c r="BK40" s="0" t="n">
        <v>0.0156422394920871</v>
      </c>
      <c r="BL40" s="0" t="n">
        <v>0.0103998632447761</v>
      </c>
      <c r="BM40" s="0" t="n">
        <v>-0.0062083932051874</v>
      </c>
      <c r="BN40" s="0" t="n">
        <v>0.0012102363551877</v>
      </c>
      <c r="BO40" s="0" t="n">
        <v>0.00169422566976</v>
      </c>
      <c r="BP40" s="0" t="n">
        <v>0.0059278013119149</v>
      </c>
      <c r="BQ40" s="0" t="n">
        <v>0.0140034874032324</v>
      </c>
      <c r="BR40" s="0" t="n">
        <v>0.0101743889901586</v>
      </c>
      <c r="BS40" s="0" t="n">
        <v>-0.0052560153825285</v>
      </c>
      <c r="BT40" s="0" t="n">
        <v>0.0053204799006234</v>
      </c>
      <c r="BU40" s="0" t="n">
        <v>0.013550046214595</v>
      </c>
      <c r="BV40" s="0" t="n">
        <v>0.0020137040758525</v>
      </c>
      <c r="BW40" s="0" t="n">
        <v>0.0039530907864295</v>
      </c>
      <c r="BX40" s="0" t="n">
        <v>0.0034170825367144</v>
      </c>
      <c r="BY40" s="0" t="n">
        <v>-0.0011899311867516</v>
      </c>
      <c r="BZ40" s="0" t="n">
        <v>0.0095513927092796</v>
      </c>
      <c r="CA40" s="0" t="n">
        <v>0.0195956206551612</v>
      </c>
      <c r="CB40" s="0" t="n">
        <v>-0.00138623093581</v>
      </c>
      <c r="CC40" s="0" t="n">
        <v>-0.0025457982001882</v>
      </c>
      <c r="CD40" s="0" t="n">
        <v>-0.0059238015047113</v>
      </c>
      <c r="CE40" s="0" t="n">
        <v>0.0070389776067098</v>
      </c>
      <c r="CF40" s="0" t="n">
        <v>-0.0023669186580169</v>
      </c>
      <c r="CG40" s="0" t="n">
        <v>0.0061107608566402</v>
      </c>
      <c r="CH40" s="0" t="n">
        <v>0.0183508626688465</v>
      </c>
      <c r="CI40" s="0" t="n">
        <v>0.0004006777274248</v>
      </c>
      <c r="CJ40" s="0" t="n">
        <v>-0.0050419003377814</v>
      </c>
      <c r="CK40" s="0" t="n">
        <v>0.0040370362783774</v>
      </c>
      <c r="CL40" s="0" t="n">
        <v>0.0045914401398756</v>
      </c>
      <c r="CM40" s="0" t="n">
        <v>0.0018391653785232</v>
      </c>
      <c r="CN40" s="0" t="n">
        <v>0.0198345776486919</v>
      </c>
      <c r="CO40" s="0" t="n">
        <v>0.004870910685973</v>
      </c>
      <c r="CP40" s="0" t="n">
        <v>0.0038034545890002</v>
      </c>
      <c r="CQ40" s="0" t="n">
        <v>0.0115139094489105</v>
      </c>
      <c r="CR40" s="0" t="n">
        <v>0.0072015294001687</v>
      </c>
      <c r="CS40" s="0" t="n">
        <v>0.0085140262678571</v>
      </c>
      <c r="CT40" s="0" t="n">
        <v>0.0127830131499782</v>
      </c>
      <c r="CU40" s="0" t="n">
        <v>0.0077296823653026</v>
      </c>
      <c r="CV40" s="0" t="n">
        <v>-0.0078962768091832</v>
      </c>
      <c r="CW40" s="0" t="n">
        <v>0.0050253452007079</v>
      </c>
      <c r="CX40" s="0" t="n">
        <v>0.0015231797149154</v>
      </c>
      <c r="CY40" s="0" t="n">
        <v>0.0060903090134133</v>
      </c>
      <c r="CZ40" s="0" t="n">
        <v>0.0048250324939845</v>
      </c>
      <c r="DA40" s="0" t="n">
        <v>0.0010772813867193</v>
      </c>
      <c r="DB40" s="0" t="n">
        <v>0.0116700779047764</v>
      </c>
      <c r="DC40" s="0" t="n">
        <v>0.0331210965932649</v>
      </c>
      <c r="DD40" s="0" t="n">
        <v>0.0048295525445155</v>
      </c>
      <c r="DE40" s="0" t="n">
        <v>0.0137922388345221</v>
      </c>
      <c r="DF40" s="0" t="n">
        <v>0.0015174592362887</v>
      </c>
      <c r="DG40" s="0" t="n">
        <v>0.0248772166406902</v>
      </c>
      <c r="DH40" s="0" t="n">
        <v>0.0060995927149399</v>
      </c>
      <c r="DI40" s="0" t="n">
        <v>0.0054526532673411</v>
      </c>
      <c r="DJ40" s="0" t="n">
        <v>0.0019123922391786</v>
      </c>
      <c r="DK40" s="0" t="n">
        <v>0.0094783422718743</v>
      </c>
      <c r="DL40" s="0" t="n">
        <v>0.0353379069505486</v>
      </c>
      <c r="DM40" s="0" t="n">
        <v>0.015110949039697</v>
      </c>
      <c r="DN40" s="0" t="n">
        <v>0.0033736912308337</v>
      </c>
      <c r="DO40" s="0" t="n">
        <v>0.0185976010167974</v>
      </c>
      <c r="DP40" s="0" t="n">
        <v>0.0109428191706546</v>
      </c>
      <c r="DQ40" s="0" t="n">
        <v>0.0195466904304751</v>
      </c>
      <c r="DR40" s="0" t="n">
        <v>0.0104966265341592</v>
      </c>
      <c r="DS40" s="0" t="n">
        <v>-0.0163299201582544</v>
      </c>
      <c r="DT40" s="0" t="n">
        <v>0.0059154318889574</v>
      </c>
      <c r="DU40" s="0" t="n">
        <v>0.0116527022199737</v>
      </c>
      <c r="DV40" s="0" t="n">
        <v>-0.0076183925179139</v>
      </c>
      <c r="DW40" s="0" t="n">
        <v>0.0036174542695598</v>
      </c>
      <c r="DX40" s="0" t="n">
        <v>0.0197048900790911</v>
      </c>
      <c r="DY40" s="0" t="n">
        <v>-0.0026888085695939</v>
      </c>
      <c r="DZ40" s="0" t="n">
        <v>0.0063201234190028</v>
      </c>
      <c r="EA40" s="0" t="n">
        <v>0.0296027609642302</v>
      </c>
      <c r="EB40" s="0" t="n">
        <v>-0.0017633570747301</v>
      </c>
      <c r="EC40" s="0" t="n">
        <v>0.0050015608490734</v>
      </c>
      <c r="ED40" s="0" t="n">
        <v>0.0312418844250924</v>
      </c>
      <c r="EE40" s="0" t="n">
        <v>0.0136418134816645</v>
      </c>
      <c r="EF40" s="0" t="n">
        <v>0.016943234988564</v>
      </c>
      <c r="EG40" s="0" t="n">
        <v>0.0081290546558032</v>
      </c>
      <c r="EH40" s="0" t="n">
        <v>-0.0066987705703868</v>
      </c>
      <c r="EI40" s="0" t="n">
        <v>0.0136133031044542</v>
      </c>
      <c r="EJ40" s="0" t="n">
        <v>0.0131824468817956</v>
      </c>
      <c r="EK40" s="0" t="n">
        <v>0.0264206680504655</v>
      </c>
      <c r="EL40" s="0" t="n">
        <v>0.0380319419312406</v>
      </c>
      <c r="EM40" s="0" t="n">
        <v>0.0078628202226464</v>
      </c>
      <c r="EN40" s="0" t="n">
        <v>0.0385656392072998</v>
      </c>
      <c r="EO40" s="0" t="n">
        <v>0.0042962282013009</v>
      </c>
      <c r="EP40" s="72" t="n">
        <f aca="false">SUMPRODUCT(B40:EO40,$B$5:$EO$5)</f>
        <v>0.0112149256056731</v>
      </c>
      <c r="EQ40" s="72" t="n">
        <f aca="false">SUMIF('Mi portafolio'!$A$8:$A$19,$A40,'Mi portafolio'!$B$8:$B$19)</f>
        <v>0</v>
      </c>
    </row>
    <row r="41" customFormat="false" ht="15" hidden="false" customHeight="false" outlineLevel="0" collapsed="false">
      <c r="A41" s="71" t="s">
        <v>107</v>
      </c>
      <c r="B41" s="0" t="n">
        <v>-0.0008992166804791</v>
      </c>
      <c r="C41" s="0" t="n">
        <v>0.0094701046141209</v>
      </c>
      <c r="D41" s="0" t="n">
        <v>0.0011200067646515</v>
      </c>
      <c r="E41" s="0" t="n">
        <v>0.0151414200580355</v>
      </c>
      <c r="F41" s="0" t="n">
        <v>-0.0015874672033169</v>
      </c>
      <c r="G41" s="0" t="n">
        <v>0.0067199325050084</v>
      </c>
      <c r="H41" s="0" t="n">
        <v>0.0138568697535477</v>
      </c>
      <c r="I41" s="0" t="n">
        <v>0.0026210712624605</v>
      </c>
      <c r="J41" s="0" t="n">
        <v>0.0045071589785554</v>
      </c>
      <c r="K41" s="0" t="n">
        <v>0.0015838605149864</v>
      </c>
      <c r="L41" s="0" t="n">
        <v>0.0141345037540798</v>
      </c>
      <c r="M41" s="0" t="n">
        <v>0.0131472554117514</v>
      </c>
      <c r="N41" s="0" t="n">
        <v>0.0029761239933642</v>
      </c>
      <c r="O41" s="0" t="n">
        <v>0.0256922749621167</v>
      </c>
      <c r="P41" s="0" t="n">
        <v>0.0016057309371962</v>
      </c>
      <c r="Q41" s="0" t="n">
        <v>-0.0009094535431326</v>
      </c>
      <c r="R41" s="0" t="n">
        <v>0.0043932346564325</v>
      </c>
      <c r="S41" s="0" t="n">
        <v>0.0119851263445853</v>
      </c>
      <c r="T41" s="0" t="n">
        <v>0.0089464890198277</v>
      </c>
      <c r="U41" s="0" t="n">
        <v>0.0309409175224449</v>
      </c>
      <c r="V41" s="0" t="n">
        <v>0.0220461568141227</v>
      </c>
      <c r="W41" s="0" t="n">
        <v>0.0191285425840656</v>
      </c>
      <c r="X41" s="0" t="n">
        <v>0.0119682392612751</v>
      </c>
      <c r="Y41" s="0" t="n">
        <v>-0.0003181476226311</v>
      </c>
      <c r="Z41" s="0" t="n">
        <v>0.0238316914071746</v>
      </c>
      <c r="AA41" s="0" t="n">
        <v>0.0131254389623501</v>
      </c>
      <c r="AB41" s="0" t="n">
        <v>-0.0001885916514204</v>
      </c>
      <c r="AC41" s="0" t="n">
        <v>0.0132956881016753</v>
      </c>
      <c r="AD41" s="0" t="n">
        <v>0.017995683590104</v>
      </c>
      <c r="AE41" s="0" t="n">
        <v>0.0239998800996902</v>
      </c>
      <c r="AF41" s="0" t="n">
        <v>0.0305972318448917</v>
      </c>
      <c r="AG41" s="0" t="n">
        <v>-0.0009801942430411</v>
      </c>
      <c r="AH41" s="0" t="n">
        <v>-0.0065899431230087</v>
      </c>
      <c r="AI41" s="0" t="n">
        <v>-0.010749083002547</v>
      </c>
      <c r="AJ41" s="0" t="n">
        <v>0.0103630202913192</v>
      </c>
      <c r="AK41" s="0" t="n">
        <v>0.0664966469463521</v>
      </c>
      <c r="AL41" s="0" t="n">
        <v>0.0033940026594339</v>
      </c>
      <c r="AM41" s="0" t="n">
        <v>0.0231498139922632</v>
      </c>
      <c r="AN41" s="0" t="n">
        <v>0.0119309122049268</v>
      </c>
      <c r="AO41" s="0" t="n">
        <v>-0.0044259814318426</v>
      </c>
      <c r="AP41" s="0" t="n">
        <v>0.0092270516736108</v>
      </c>
      <c r="AQ41" s="0" t="n">
        <v>-0.0046942226160832</v>
      </c>
      <c r="AR41" s="0" t="n">
        <v>0.0048722075688594</v>
      </c>
      <c r="AS41" s="0" t="n">
        <v>0.0344726900945028</v>
      </c>
      <c r="AT41" s="0" t="n">
        <v>0.0078922818797221</v>
      </c>
      <c r="AU41" s="0" t="n">
        <v>0.0045713353700877</v>
      </c>
      <c r="AV41" s="0" t="n">
        <v>0.0229099307070685</v>
      </c>
      <c r="AW41" s="0" t="n">
        <v>0.0276410063077051</v>
      </c>
      <c r="AX41" s="0" t="n">
        <v>0.000717232530542</v>
      </c>
      <c r="AY41" s="0" t="n">
        <v>0.0066228406233398</v>
      </c>
      <c r="AZ41" s="0" t="n">
        <v>0.0262184681517539</v>
      </c>
      <c r="BA41" s="0" t="n">
        <v>0.0169049765316369</v>
      </c>
      <c r="BB41" s="0" t="n">
        <v>0.0151897885941446</v>
      </c>
      <c r="BC41" s="0" t="n">
        <v>0.0125026450907175</v>
      </c>
      <c r="BD41" s="0" t="n">
        <v>0.0405430508750672</v>
      </c>
      <c r="BE41" s="0" t="n">
        <v>0.0065008125425061</v>
      </c>
      <c r="BF41" s="0" t="n">
        <v>0.0194024197192622</v>
      </c>
      <c r="BG41" s="0" t="n">
        <v>0.0008739737355756</v>
      </c>
      <c r="BH41" s="0" t="n">
        <v>0.0234294245531758</v>
      </c>
      <c r="BI41" s="0" t="n">
        <v>0.0036189035923451</v>
      </c>
      <c r="BJ41" s="0" t="n">
        <v>0.0046659889722327</v>
      </c>
      <c r="BK41" s="0" t="n">
        <v>0.0240051580312361</v>
      </c>
      <c r="BL41" s="0" t="n">
        <v>0.0170316312321663</v>
      </c>
      <c r="BM41" s="0" t="n">
        <v>0.0039357659774428</v>
      </c>
      <c r="BN41" s="0" t="n">
        <v>0.0057074974957539</v>
      </c>
      <c r="BO41" s="0" t="n">
        <v>0.0093365927481453</v>
      </c>
      <c r="BP41" s="0" t="n">
        <v>-0.0048855934625409</v>
      </c>
      <c r="BQ41" s="0" t="n">
        <v>0.0328831235327535</v>
      </c>
      <c r="BR41" s="0" t="n">
        <v>0.0093393257931708</v>
      </c>
      <c r="BS41" s="0" t="n">
        <v>-0.0125799902591047</v>
      </c>
      <c r="BT41" s="0" t="n">
        <v>0.0229905668397878</v>
      </c>
      <c r="BU41" s="0" t="n">
        <v>0.032279444428479</v>
      </c>
      <c r="BV41" s="0" t="n">
        <v>0.0038753889351706</v>
      </c>
      <c r="BW41" s="0" t="n">
        <v>0.0072641479747444</v>
      </c>
      <c r="BX41" s="0" t="n">
        <v>-0.0033917068590119</v>
      </c>
      <c r="BY41" s="0" t="n">
        <v>0.0183452371443281</v>
      </c>
      <c r="BZ41" s="0" t="n">
        <v>0.0154855519187785</v>
      </c>
      <c r="CA41" s="0" t="n">
        <v>0.0294073059572022</v>
      </c>
      <c r="CB41" s="0" t="n">
        <v>0.0020204845412345</v>
      </c>
      <c r="CC41" s="0" t="n">
        <v>0.0047572375273211</v>
      </c>
      <c r="CD41" s="0" t="n">
        <v>-0.0022733373953514</v>
      </c>
      <c r="CE41" s="0" t="n">
        <v>0.0045209728211985</v>
      </c>
      <c r="CF41" s="0" t="n">
        <v>-0.0173302902034955</v>
      </c>
      <c r="CG41" s="0" t="n">
        <v>-0.0004872828317361</v>
      </c>
      <c r="CH41" s="0" t="n">
        <v>0.0476410046715396</v>
      </c>
      <c r="CI41" s="0" t="n">
        <v>-0.0168369535538172</v>
      </c>
      <c r="CJ41" s="0" t="n">
        <v>-0.0023388170809653</v>
      </c>
      <c r="CK41" s="0" t="n">
        <v>0.0067903835156382</v>
      </c>
      <c r="CL41" s="0" t="n">
        <v>0.0090707836196399</v>
      </c>
      <c r="CM41" s="0" t="n">
        <v>0.0125161160933579</v>
      </c>
      <c r="CN41" s="0" t="n">
        <v>0.0241214060032969</v>
      </c>
      <c r="CO41" s="0" t="n">
        <v>0.0146846956267963</v>
      </c>
      <c r="CP41" s="0" t="n">
        <v>-0.0041828274563718</v>
      </c>
      <c r="CQ41" s="0" t="n">
        <v>0.0182346820203512</v>
      </c>
      <c r="CR41" s="0" t="n">
        <v>0.0196559524515486</v>
      </c>
      <c r="CS41" s="0" t="n">
        <v>0.0251262089049931</v>
      </c>
      <c r="CT41" s="0" t="n">
        <v>0.0208771090652547</v>
      </c>
      <c r="CU41" s="0" t="n">
        <v>0.0101251114070703</v>
      </c>
      <c r="CV41" s="0" t="n">
        <v>0.0129737754572601</v>
      </c>
      <c r="CW41" s="0" t="n">
        <v>0.0075773821438238</v>
      </c>
      <c r="CX41" s="0" t="n">
        <v>0.0225263532334896</v>
      </c>
      <c r="CY41" s="0" t="n">
        <v>0.0260735907618507</v>
      </c>
      <c r="CZ41" s="0" t="n">
        <v>0.0018677056359668</v>
      </c>
      <c r="DA41" s="0" t="n">
        <v>-0.0093581093255241</v>
      </c>
      <c r="DB41" s="0" t="n">
        <v>0.021561904901441</v>
      </c>
      <c r="DC41" s="0" t="n">
        <v>0.0399305601087706</v>
      </c>
      <c r="DD41" s="0" t="n">
        <v>0.0045575409276444</v>
      </c>
      <c r="DE41" s="0" t="n">
        <v>0.0390697555131239</v>
      </c>
      <c r="DF41" s="0" t="n">
        <v>-0.0205564520643636</v>
      </c>
      <c r="DG41" s="0" t="n">
        <v>0.025684455180367</v>
      </c>
      <c r="DH41" s="0" t="n">
        <v>0.0094131187005181</v>
      </c>
      <c r="DI41" s="0" t="n">
        <v>0.0221794985445463</v>
      </c>
      <c r="DJ41" s="0" t="n">
        <v>0.0240821593026816</v>
      </c>
      <c r="DK41" s="0" t="n">
        <v>0.0237295051878254</v>
      </c>
      <c r="DL41" s="0" t="n">
        <v>0.0411509288938993</v>
      </c>
      <c r="DM41" s="0" t="n">
        <v>0.0347138770727628</v>
      </c>
      <c r="DN41" s="0" t="n">
        <v>0.0037626999095905</v>
      </c>
      <c r="DO41" s="0" t="n">
        <v>0.0189554124295174</v>
      </c>
      <c r="DP41" s="0" t="n">
        <v>0.0228999025434261</v>
      </c>
      <c r="DQ41" s="0" t="n">
        <v>0.0182165372108545</v>
      </c>
      <c r="DR41" s="0" t="n">
        <v>0.017629875665899</v>
      </c>
      <c r="DS41" s="0" t="n">
        <v>-0.0054792071239135</v>
      </c>
      <c r="DT41" s="0" t="n">
        <v>0.0019934479288715</v>
      </c>
      <c r="DU41" s="0" t="n">
        <v>0.0217019691958001</v>
      </c>
      <c r="DV41" s="0" t="n">
        <v>-0.0011000956984333</v>
      </c>
      <c r="DW41" s="0" t="n">
        <v>0.0103727255750856</v>
      </c>
      <c r="DX41" s="0" t="n">
        <v>0.0324319675962576</v>
      </c>
      <c r="DY41" s="0" t="n">
        <v>0.0056620895915715</v>
      </c>
      <c r="DZ41" s="0" t="n">
        <v>-0.0108666394390174</v>
      </c>
      <c r="EA41" s="0" t="n">
        <v>0.0164254888988133</v>
      </c>
      <c r="EB41" s="0" t="n">
        <v>0.0169937073724277</v>
      </c>
      <c r="EC41" s="0" t="n">
        <v>0.0396400129532635</v>
      </c>
      <c r="ED41" s="0" t="n">
        <v>0.0253933973182003</v>
      </c>
      <c r="EE41" s="0" t="n">
        <v>0.0342503799997007</v>
      </c>
      <c r="EF41" s="0" t="n">
        <v>0.0238773751661004</v>
      </c>
      <c r="EG41" s="0" t="n">
        <v>0.0400699736123905</v>
      </c>
      <c r="EH41" s="0" t="n">
        <v>-0.006757950623222</v>
      </c>
      <c r="EI41" s="0" t="n">
        <v>0.0341588245725533</v>
      </c>
      <c r="EJ41" s="0" t="n">
        <v>0.0294341087021659</v>
      </c>
      <c r="EK41" s="0" t="n">
        <v>0.0295935143250831</v>
      </c>
      <c r="EL41" s="0" t="n">
        <v>0.0608566762114431</v>
      </c>
      <c r="EM41" s="0" t="n">
        <v>0.0040778671409181</v>
      </c>
      <c r="EN41" s="0" t="n">
        <v>-0.0023502955447191</v>
      </c>
      <c r="EO41" s="0" t="n">
        <v>0.0388440683919435</v>
      </c>
      <c r="EP41" s="72" t="n">
        <f aca="false">SUMPRODUCT(B41:EO41,$B$5:$EO$5)</f>
        <v>0.037115412250862</v>
      </c>
      <c r="EQ41" s="72" t="n">
        <f aca="false">SUMIF('Mi portafolio'!$A$8:$A$19,$A41,'Mi portafolio'!$B$8:$B$19)</f>
        <v>0.03</v>
      </c>
    </row>
    <row r="42" customFormat="false" ht="15" hidden="false" customHeight="false" outlineLevel="0" collapsed="false">
      <c r="A42" s="71" t="s">
        <v>260</v>
      </c>
      <c r="B42" s="0" t="n">
        <v>0.012294531002405</v>
      </c>
      <c r="C42" s="0" t="n">
        <v>-7.46307044792246E-005</v>
      </c>
      <c r="D42" s="0" t="n">
        <v>0.0020954945056621</v>
      </c>
      <c r="E42" s="0" t="n">
        <v>0.0072209112394091</v>
      </c>
      <c r="F42" s="0" t="n">
        <v>0.0140819607564613</v>
      </c>
      <c r="G42" s="0" t="n">
        <v>-0.003092381264482</v>
      </c>
      <c r="H42" s="0" t="n">
        <v>0.0007262025945518</v>
      </c>
      <c r="I42" s="0" t="n">
        <v>0.0160213781826267</v>
      </c>
      <c r="J42" s="0" t="n">
        <v>0.0110306982165779</v>
      </c>
      <c r="K42" s="0" t="n">
        <v>0.0149985557180965</v>
      </c>
      <c r="L42" s="0" t="n">
        <v>0.0057801399464605</v>
      </c>
      <c r="M42" s="0" t="n">
        <v>0.0150567495088914</v>
      </c>
      <c r="N42" s="0" t="n">
        <v>0.017265822334053</v>
      </c>
      <c r="O42" s="0" t="n">
        <v>0.0061670977240971</v>
      </c>
      <c r="P42" s="0" t="n">
        <v>0.0134348092412754</v>
      </c>
      <c r="Q42" s="0" t="n">
        <v>0.0052948038266478</v>
      </c>
      <c r="R42" s="0" t="n">
        <v>0.0170699552090242</v>
      </c>
      <c r="S42" s="0" t="n">
        <v>0.0019052960130915</v>
      </c>
      <c r="T42" s="0" t="n">
        <v>0.0176516352487736</v>
      </c>
      <c r="U42" s="0" t="n">
        <v>0.006923196756971</v>
      </c>
      <c r="V42" s="0" t="n">
        <v>0.0027022868676838</v>
      </c>
      <c r="W42" s="0" t="n">
        <v>0.0015038748741143</v>
      </c>
      <c r="X42" s="0" t="n">
        <v>0.015644568466406</v>
      </c>
      <c r="Y42" s="0" t="n">
        <v>0.018419970186228</v>
      </c>
      <c r="Z42" s="0" t="n">
        <v>0.0028122280127065</v>
      </c>
      <c r="AA42" s="0" t="n">
        <v>0.0093522545842083</v>
      </c>
      <c r="AB42" s="0" t="n">
        <v>0.0173781471800609</v>
      </c>
      <c r="AC42" s="0" t="n">
        <v>-0.0040713760446094</v>
      </c>
      <c r="AD42" s="0" t="n">
        <v>0.0035677818073593</v>
      </c>
      <c r="AE42" s="0" t="n">
        <v>0.0069794209756779</v>
      </c>
      <c r="AF42" s="0" t="n">
        <v>0.002317846971704</v>
      </c>
      <c r="AG42" s="0" t="n">
        <v>0.0098014045960023</v>
      </c>
      <c r="AH42" s="0" t="n">
        <v>0.00833224239243</v>
      </c>
      <c r="AI42" s="0" t="n">
        <v>0.0001987148471161</v>
      </c>
      <c r="AJ42" s="0" t="n">
        <v>0.0054332995242679</v>
      </c>
      <c r="AK42" s="0" t="n">
        <v>0.0033940026594339</v>
      </c>
      <c r="AL42" s="0" t="n">
        <v>0.0662269942491168</v>
      </c>
      <c r="AM42" s="0" t="n">
        <v>0.0066730644050344</v>
      </c>
      <c r="AN42" s="0" t="n">
        <v>0.019270653688125</v>
      </c>
      <c r="AO42" s="0" t="n">
        <v>0.0144959203334669</v>
      </c>
      <c r="AP42" s="0" t="n">
        <v>0.02049333129098</v>
      </c>
      <c r="AQ42" s="0" t="n">
        <v>0.0004267569477011</v>
      </c>
      <c r="AR42" s="0" t="n">
        <v>0.0201150502959515</v>
      </c>
      <c r="AS42" s="0" t="n">
        <v>0.0085775345508187</v>
      </c>
      <c r="AT42" s="0" t="n">
        <v>0.020473779632321</v>
      </c>
      <c r="AU42" s="0" t="n">
        <v>0.0132563636213103</v>
      </c>
      <c r="AV42" s="0" t="n">
        <v>0.008692380451853</v>
      </c>
      <c r="AW42" s="0" t="n">
        <v>0.002828259975953</v>
      </c>
      <c r="AX42" s="0" t="n">
        <v>0.0175564578587945</v>
      </c>
      <c r="AY42" s="0" t="n">
        <v>0.0165982746136685</v>
      </c>
      <c r="AZ42" s="0" t="n">
        <v>0.0084608362803499</v>
      </c>
      <c r="BA42" s="0" t="n">
        <v>0.0141310698235146</v>
      </c>
      <c r="BB42" s="0" t="n">
        <v>0.0216669100966691</v>
      </c>
      <c r="BC42" s="0" t="n">
        <v>0.0076600672836614</v>
      </c>
      <c r="BD42" s="0" t="n">
        <v>0.0004948750881705</v>
      </c>
      <c r="BE42" s="0" t="n">
        <v>0.0204796097795332</v>
      </c>
      <c r="BF42" s="0" t="n">
        <v>0.010685441746376</v>
      </c>
      <c r="BG42" s="0" t="n">
        <v>0.0105939747052448</v>
      </c>
      <c r="BH42" s="0" t="n">
        <v>0.0047637257281771</v>
      </c>
      <c r="BI42" s="0" t="n">
        <v>0.0016159351650785</v>
      </c>
      <c r="BJ42" s="0" t="n">
        <v>-0.0060324793436597</v>
      </c>
      <c r="BK42" s="0" t="n">
        <v>0.0034164216187472</v>
      </c>
      <c r="BL42" s="0" t="n">
        <v>0.015943281019491</v>
      </c>
      <c r="BM42" s="0" t="n">
        <v>0.0205415588589429</v>
      </c>
      <c r="BN42" s="0" t="n">
        <v>0.0037673773016899</v>
      </c>
      <c r="BO42" s="0" t="n">
        <v>0.0195240417852564</v>
      </c>
      <c r="BP42" s="0" t="n">
        <v>0.0155953998503001</v>
      </c>
      <c r="BQ42" s="0" t="n">
        <v>0.0076709612797654</v>
      </c>
      <c r="BR42" s="0" t="n">
        <v>0.0249566792997976</v>
      </c>
      <c r="BS42" s="0" t="n">
        <v>-0.000535818000804</v>
      </c>
      <c r="BT42" s="0" t="n">
        <v>0.0203853399274185</v>
      </c>
      <c r="BU42" s="0" t="n">
        <v>0.007320822552261</v>
      </c>
      <c r="BV42" s="0" t="n">
        <v>0.0139498483974078</v>
      </c>
      <c r="BW42" s="0" t="n">
        <v>0.0211328020949309</v>
      </c>
      <c r="BX42" s="0" t="n">
        <v>0.0217936973839575</v>
      </c>
      <c r="BY42" s="0" t="n">
        <v>0.0245537540744471</v>
      </c>
      <c r="BZ42" s="0" t="n">
        <v>0.0242590267725524</v>
      </c>
      <c r="CA42" s="0" t="n">
        <v>0.0079703194435138</v>
      </c>
      <c r="CB42" s="0" t="n">
        <v>-0.0036662305469896</v>
      </c>
      <c r="CC42" s="0" t="n">
        <v>-0.0022523094042611</v>
      </c>
      <c r="CD42" s="0" t="n">
        <v>0.0174730120959891</v>
      </c>
      <c r="CE42" s="0" t="n">
        <v>0.0186831621434132</v>
      </c>
      <c r="CF42" s="0" t="n">
        <v>0.0012658841598176</v>
      </c>
      <c r="CG42" s="0" t="n">
        <v>0.0314460758914939</v>
      </c>
      <c r="CH42" s="0" t="n">
        <v>0.011224913718044</v>
      </c>
      <c r="CI42" s="0" t="n">
        <v>-0.0044845186663136</v>
      </c>
      <c r="CJ42" s="0" t="n">
        <v>0.021699051729975</v>
      </c>
      <c r="CK42" s="0" t="n">
        <v>0.0259626158092319</v>
      </c>
      <c r="CL42" s="0" t="n">
        <v>0.0248563215155037</v>
      </c>
      <c r="CM42" s="0" t="n">
        <v>0.0126527346471733</v>
      </c>
      <c r="CN42" s="0" t="n">
        <v>-0.001070937222797</v>
      </c>
      <c r="CO42" s="0" t="n">
        <v>0.005668566373259</v>
      </c>
      <c r="CP42" s="0" t="n">
        <v>0.0332161870433259</v>
      </c>
      <c r="CQ42" s="0" t="n">
        <v>0.0334084074330992</v>
      </c>
      <c r="CR42" s="0" t="n">
        <v>0.0179232722985172</v>
      </c>
      <c r="CS42" s="0" t="n">
        <v>0.0140287596794325</v>
      </c>
      <c r="CT42" s="0" t="n">
        <v>0.0227094687702709</v>
      </c>
      <c r="CU42" s="0" t="n">
        <v>0.0222878804757799</v>
      </c>
      <c r="CV42" s="0" t="n">
        <v>0.0172320381936142</v>
      </c>
      <c r="CW42" s="0" t="n">
        <v>0.0246896340954649</v>
      </c>
      <c r="CX42" s="0" t="n">
        <v>0.0197233026400451</v>
      </c>
      <c r="CY42" s="0" t="n">
        <v>0.0324435059424343</v>
      </c>
      <c r="CZ42" s="0" t="n">
        <v>0.0259039363758467</v>
      </c>
      <c r="DA42" s="0" t="n">
        <v>0.0310101368221107</v>
      </c>
      <c r="DB42" s="0" t="n">
        <v>0.0248680581598271</v>
      </c>
      <c r="DC42" s="0" t="n">
        <v>0.0107037926852379</v>
      </c>
      <c r="DD42" s="0" t="n">
        <v>0.0302079867974168</v>
      </c>
      <c r="DE42" s="0" t="n">
        <v>0.0187713515467179</v>
      </c>
      <c r="DF42" s="0" t="n">
        <v>0.0229247028403493</v>
      </c>
      <c r="DG42" s="0" t="n">
        <v>0.0210705289285215</v>
      </c>
      <c r="DH42" s="0" t="n">
        <v>0.0245580152675581</v>
      </c>
      <c r="DI42" s="0" t="n">
        <v>0.0367976621522366</v>
      </c>
      <c r="DJ42" s="0" t="n">
        <v>0.0343907628734355</v>
      </c>
      <c r="DK42" s="0" t="n">
        <v>0.0373697403720739</v>
      </c>
      <c r="DL42" s="0" t="n">
        <v>-0.0004293974379362</v>
      </c>
      <c r="DM42" s="0" t="n">
        <v>0.0409176140196069</v>
      </c>
      <c r="DN42" s="0" t="n">
        <v>0.0314871636622587</v>
      </c>
      <c r="DO42" s="0" t="n">
        <v>0.0373812965571742</v>
      </c>
      <c r="DP42" s="0" t="n">
        <v>0.041151031032855</v>
      </c>
      <c r="DQ42" s="0" t="n">
        <v>0.0261181150343826</v>
      </c>
      <c r="DR42" s="0" t="n">
        <v>0.0105248213294647</v>
      </c>
      <c r="DS42" s="0" t="n">
        <v>0.0345531605570354</v>
      </c>
      <c r="DT42" s="0" t="n">
        <v>0.0060981551835405</v>
      </c>
      <c r="DU42" s="0" t="n">
        <v>0.0295239610590047</v>
      </c>
      <c r="DV42" s="0" t="n">
        <v>0.0345521272594871</v>
      </c>
      <c r="DW42" s="0" t="n">
        <v>0.0383469860287666</v>
      </c>
      <c r="DX42" s="0" t="n">
        <v>-0.0040408626099955</v>
      </c>
      <c r="DY42" s="0" t="n">
        <v>0.0429274432937002</v>
      </c>
      <c r="DZ42" s="0" t="n">
        <v>0.0238906996698674</v>
      </c>
      <c r="EA42" s="0" t="n">
        <v>0.0360592279345662</v>
      </c>
      <c r="EB42" s="0" t="n">
        <v>0.0438240542798927</v>
      </c>
      <c r="EC42" s="0" t="n">
        <v>0.0003293977724295</v>
      </c>
      <c r="ED42" s="0" t="n">
        <v>0.0344468698589075</v>
      </c>
      <c r="EE42" s="0" t="n">
        <v>0.0205478861118464</v>
      </c>
      <c r="EF42" s="0" t="n">
        <v>0.0488072736618047</v>
      </c>
      <c r="EG42" s="0" t="n">
        <v>0.018678437787376</v>
      </c>
      <c r="EH42" s="0" t="n">
        <v>0.0437140068268138</v>
      </c>
      <c r="EI42" s="0" t="n">
        <v>-0.0002033483072052</v>
      </c>
      <c r="EJ42" s="0" t="n">
        <v>0.0432887483320202</v>
      </c>
      <c r="EK42" s="0" t="n">
        <v>0.0165468082193578</v>
      </c>
      <c r="EL42" s="0" t="n">
        <v>0.0216349498389263</v>
      </c>
      <c r="EM42" s="0" t="n">
        <v>0.0242169013759731</v>
      </c>
      <c r="EN42" s="0" t="n">
        <v>0.0770279611783842</v>
      </c>
      <c r="EO42" s="0" t="n">
        <v>0.0694569060672908</v>
      </c>
      <c r="EP42" s="72" t="n">
        <f aca="false">SUMPRODUCT(B42:EO42,$B$5:$EO$5)</f>
        <v>0.00792803276030673</v>
      </c>
      <c r="EQ42" s="72" t="n">
        <f aca="false">SUMIF('Mi portafolio'!$A$8:$A$19,$A42,'Mi portafolio'!$B$8:$B$19)</f>
        <v>0</v>
      </c>
    </row>
    <row r="43" customFormat="false" ht="15" hidden="false" customHeight="false" outlineLevel="0" collapsed="false">
      <c r="A43" s="71" t="s">
        <v>108</v>
      </c>
      <c r="B43" s="0" t="n">
        <v>0.0012768420284846</v>
      </c>
      <c r="C43" s="0" t="n">
        <v>0.0034747567905566</v>
      </c>
      <c r="D43" s="0" t="n">
        <v>0.0044966093985491</v>
      </c>
      <c r="E43" s="0" t="n">
        <v>0.008250931668383</v>
      </c>
      <c r="F43" s="0" t="n">
        <v>-0.0004002493063921</v>
      </c>
      <c r="G43" s="0" t="n">
        <v>0.0087290258736126</v>
      </c>
      <c r="H43" s="0" t="n">
        <v>0.0092742354632958</v>
      </c>
      <c r="I43" s="0" t="n">
        <v>0.0020501071522438</v>
      </c>
      <c r="J43" s="0" t="n">
        <v>0.0039312392413483</v>
      </c>
      <c r="K43" s="0" t="n">
        <v>0.0010418886815577</v>
      </c>
      <c r="L43" s="0" t="n">
        <v>0.0087112764455008</v>
      </c>
      <c r="M43" s="0" t="n">
        <v>0.010825970119429</v>
      </c>
      <c r="N43" s="0" t="n">
        <v>0.0061199389576149</v>
      </c>
      <c r="O43" s="0" t="n">
        <v>0.0153520295975536</v>
      </c>
      <c r="P43" s="0" t="n">
        <v>0.0041744322396824</v>
      </c>
      <c r="Q43" s="0" t="n">
        <v>0.0036824652371551</v>
      </c>
      <c r="R43" s="0" t="n">
        <v>0.0056146638571368</v>
      </c>
      <c r="S43" s="0" t="n">
        <v>0.0091301971561248</v>
      </c>
      <c r="T43" s="0" t="n">
        <v>0.0112784874626862</v>
      </c>
      <c r="U43" s="0" t="n">
        <v>0.0168857991786271</v>
      </c>
      <c r="V43" s="0" t="n">
        <v>0.0093973019164234</v>
      </c>
      <c r="W43" s="0" t="n">
        <v>0.0072983962225081</v>
      </c>
      <c r="X43" s="0" t="n">
        <v>0.0149663206135039</v>
      </c>
      <c r="Y43" s="0" t="n">
        <v>0.0071424406910707</v>
      </c>
      <c r="Z43" s="0" t="n">
        <v>0.0189500700503825</v>
      </c>
      <c r="AA43" s="0" t="n">
        <v>0.0155135894004311</v>
      </c>
      <c r="AB43" s="0" t="n">
        <v>0.0064806722699418</v>
      </c>
      <c r="AC43" s="0" t="n">
        <v>0.0103425669096954</v>
      </c>
      <c r="AD43" s="0" t="n">
        <v>0.0082142657347348</v>
      </c>
      <c r="AE43" s="0" t="n">
        <v>0.0161210965209529</v>
      </c>
      <c r="AF43" s="0" t="n">
        <v>0.0176462308193033</v>
      </c>
      <c r="AG43" s="0" t="n">
        <v>0.0037017711426671</v>
      </c>
      <c r="AH43" s="0" t="n">
        <v>-0.0009870827650939</v>
      </c>
      <c r="AI43" s="0" t="n">
        <v>-0.0087506075950506</v>
      </c>
      <c r="AJ43" s="0" t="n">
        <v>0.0101979435564492</v>
      </c>
      <c r="AK43" s="0" t="n">
        <v>0.0231498139922632</v>
      </c>
      <c r="AL43" s="0" t="n">
        <v>0.0066730644050344</v>
      </c>
      <c r="AM43" s="0" t="n">
        <v>0.0699537282421362</v>
      </c>
      <c r="AN43" s="0" t="n">
        <v>0.0068551286282714</v>
      </c>
      <c r="AO43" s="0" t="n">
        <v>0.0071322952465582</v>
      </c>
      <c r="AP43" s="0" t="n">
        <v>0.0083535796181904</v>
      </c>
      <c r="AQ43" s="0" t="n">
        <v>-0.0108600928983652</v>
      </c>
      <c r="AR43" s="0" t="n">
        <v>0.0097162081420577</v>
      </c>
      <c r="AS43" s="0" t="n">
        <v>0.0139655794904719</v>
      </c>
      <c r="AT43" s="0" t="n">
        <v>0.0091416928869984</v>
      </c>
      <c r="AU43" s="0" t="n">
        <v>0.0042564137188154</v>
      </c>
      <c r="AV43" s="0" t="n">
        <v>0.0095523981777931</v>
      </c>
      <c r="AW43" s="0" t="n">
        <v>0.012964462461601</v>
      </c>
      <c r="AX43" s="0" t="n">
        <v>0.0124434409447385</v>
      </c>
      <c r="AY43" s="0" t="n">
        <v>0.0045729082268407</v>
      </c>
      <c r="AZ43" s="0" t="n">
        <v>0.0159979037955156</v>
      </c>
      <c r="BA43" s="0" t="n">
        <v>0.0137199577714805</v>
      </c>
      <c r="BB43" s="0" t="n">
        <v>0.0160150030979172</v>
      </c>
      <c r="BC43" s="0" t="n">
        <v>0.0160316857791435</v>
      </c>
      <c r="BD43" s="0" t="n">
        <v>0.0240202073535907</v>
      </c>
      <c r="BE43" s="0" t="n">
        <v>0.0085086071620547</v>
      </c>
      <c r="BF43" s="0" t="n">
        <v>0.0186360280819358</v>
      </c>
      <c r="BG43" s="0" t="n">
        <v>0.0062633209073207</v>
      </c>
      <c r="BH43" s="0" t="n">
        <v>0.0134774897465378</v>
      </c>
      <c r="BI43" s="0" t="n">
        <v>0.0090847546037275</v>
      </c>
      <c r="BJ43" s="0" t="n">
        <v>0.001780815748374</v>
      </c>
      <c r="BK43" s="0" t="n">
        <v>0.0241301618125406</v>
      </c>
      <c r="BL43" s="0" t="n">
        <v>0.0077874886293548</v>
      </c>
      <c r="BM43" s="0" t="n">
        <v>0.0058594918285477</v>
      </c>
      <c r="BN43" s="0" t="n">
        <v>0.0117658884739847</v>
      </c>
      <c r="BO43" s="0" t="n">
        <v>0.0132190888840774</v>
      </c>
      <c r="BP43" s="0" t="n">
        <v>0.0047497429633926</v>
      </c>
      <c r="BQ43" s="0" t="n">
        <v>0.0244266334557369</v>
      </c>
      <c r="BR43" s="0" t="n">
        <v>0.0145137942549612</v>
      </c>
      <c r="BS43" s="0" t="n">
        <v>-0.0107857311846057</v>
      </c>
      <c r="BT43" s="0" t="n">
        <v>0.023568694819421</v>
      </c>
      <c r="BU43" s="0" t="n">
        <v>0.0258099230094266</v>
      </c>
      <c r="BV43" s="0" t="n">
        <v>0.007537445720964</v>
      </c>
      <c r="BW43" s="0" t="n">
        <v>0.0140775363311104</v>
      </c>
      <c r="BX43" s="0" t="n">
        <v>0.0028973525246158</v>
      </c>
      <c r="BY43" s="0" t="n">
        <v>0.0168599578673374</v>
      </c>
      <c r="BZ43" s="0" t="n">
        <v>0.0220185676771604</v>
      </c>
      <c r="CA43" s="0" t="n">
        <v>0.0226200432376066</v>
      </c>
      <c r="CB43" s="0" t="n">
        <v>-0.0057125611372969</v>
      </c>
      <c r="CC43" s="0" t="n">
        <v>0.0076705431027533</v>
      </c>
      <c r="CD43" s="0" t="n">
        <v>0.0184848082376963</v>
      </c>
      <c r="CE43" s="0" t="n">
        <v>0.0122745461056087</v>
      </c>
      <c r="CF43" s="0" t="n">
        <v>-0.0109119752395029</v>
      </c>
      <c r="CG43" s="0" t="n">
        <v>0.0110287279039656</v>
      </c>
      <c r="CH43" s="0" t="n">
        <v>0.0191884637095716</v>
      </c>
      <c r="CI43" s="0" t="n">
        <v>-0.0127668518062586</v>
      </c>
      <c r="CJ43" s="0" t="n">
        <v>0.008562946984558</v>
      </c>
      <c r="CK43" s="0" t="n">
        <v>-0.0042555505702152</v>
      </c>
      <c r="CL43" s="0" t="n">
        <v>0.0156903452983552</v>
      </c>
      <c r="CM43" s="0" t="n">
        <v>0.0081382115730363</v>
      </c>
      <c r="CN43" s="0" t="n">
        <v>0.0093041202828905</v>
      </c>
      <c r="CO43" s="0" t="n">
        <v>0.0057894742662051</v>
      </c>
      <c r="CP43" s="0" t="n">
        <v>0.0042361870250018</v>
      </c>
      <c r="CQ43" s="0" t="n">
        <v>0.0185565885075249</v>
      </c>
      <c r="CR43" s="0" t="n">
        <v>0.0146719869635185</v>
      </c>
      <c r="CS43" s="0" t="n">
        <v>0.016233415001844</v>
      </c>
      <c r="CT43" s="0" t="n">
        <v>0.0210898145726729</v>
      </c>
      <c r="CU43" s="0" t="n">
        <v>0.0175916713346087</v>
      </c>
      <c r="CV43" s="0" t="n">
        <v>0.0095543112642591</v>
      </c>
      <c r="CW43" s="0" t="n">
        <v>0.0142694159234055</v>
      </c>
      <c r="CX43" s="0" t="n">
        <v>0.0171463023903794</v>
      </c>
      <c r="CY43" s="0" t="n">
        <v>0.0141355297268023</v>
      </c>
      <c r="CZ43" s="0" t="n">
        <v>0.0193940435807417</v>
      </c>
      <c r="DA43" s="0" t="n">
        <v>0.0120793204066354</v>
      </c>
      <c r="DB43" s="0" t="n">
        <v>0.0200468276621864</v>
      </c>
      <c r="DC43" s="0" t="n">
        <v>0.0417090345622278</v>
      </c>
      <c r="DD43" s="0" t="n">
        <v>0.033103757462508</v>
      </c>
      <c r="DE43" s="0" t="n">
        <v>0.0164579777494504</v>
      </c>
      <c r="DF43" s="0" t="n">
        <v>0.0069408225724572</v>
      </c>
      <c r="DG43" s="0" t="n">
        <v>0.0129256181727855</v>
      </c>
      <c r="DH43" s="0" t="n">
        <v>0.0161838221100925</v>
      </c>
      <c r="DI43" s="0" t="n">
        <v>0.0210757451050952</v>
      </c>
      <c r="DJ43" s="0" t="n">
        <v>0.0154193832439856</v>
      </c>
      <c r="DK43" s="0" t="n">
        <v>0.0230730813940406</v>
      </c>
      <c r="DL43" s="0" t="n">
        <v>0.0153303875366997</v>
      </c>
      <c r="DM43" s="0" t="n">
        <v>0.0311065968812549</v>
      </c>
      <c r="DN43" s="0" t="n">
        <v>0.0114320563564023</v>
      </c>
      <c r="DO43" s="0" t="n">
        <v>0.0234203600911491</v>
      </c>
      <c r="DP43" s="0" t="n">
        <v>0.0249694302681412</v>
      </c>
      <c r="DQ43" s="0" t="n">
        <v>0.0349686295325934</v>
      </c>
      <c r="DR43" s="0" t="n">
        <v>0.0260762624901615</v>
      </c>
      <c r="DS43" s="0" t="n">
        <v>0.0171179736055915</v>
      </c>
      <c r="DT43" s="0" t="n">
        <v>0.0136347971246203</v>
      </c>
      <c r="DU43" s="0" t="n">
        <v>0.0303074316407711</v>
      </c>
      <c r="DV43" s="0" t="n">
        <v>0.0212688662289952</v>
      </c>
      <c r="DW43" s="0" t="n">
        <v>0.0226830157039413</v>
      </c>
      <c r="DX43" s="0" t="n">
        <v>0.0126850631098739</v>
      </c>
      <c r="DY43" s="0" t="n">
        <v>0.0200377764513079</v>
      </c>
      <c r="DZ43" s="0" t="n">
        <v>0.0274582105992838</v>
      </c>
      <c r="EA43" s="0" t="n">
        <v>0.0044977666334804</v>
      </c>
      <c r="EB43" s="0" t="n">
        <v>0.0329837049127029</v>
      </c>
      <c r="EC43" s="0" t="n">
        <v>0.0071553375366057</v>
      </c>
      <c r="ED43" s="0" t="n">
        <v>0.036585772265175</v>
      </c>
      <c r="EE43" s="0" t="n">
        <v>0.033665100060556</v>
      </c>
      <c r="EF43" s="0" t="n">
        <v>0.0239620362137654</v>
      </c>
      <c r="EG43" s="0" t="n">
        <v>0.0223538968273012</v>
      </c>
      <c r="EH43" s="0" t="n">
        <v>0.0095614811624073</v>
      </c>
      <c r="EI43" s="0" t="n">
        <v>0.0053656560421412</v>
      </c>
      <c r="EJ43" s="0" t="n">
        <v>0.0465704883546372</v>
      </c>
      <c r="EK43" s="0" t="n">
        <v>0.0354500284077958</v>
      </c>
      <c r="EL43" s="0" t="n">
        <v>0.0504653570203744</v>
      </c>
      <c r="EM43" s="0" t="n">
        <v>0.0307409205083773</v>
      </c>
      <c r="EN43" s="0" t="n">
        <v>0.0400951687390162</v>
      </c>
      <c r="EO43" s="0" t="n">
        <v>0.0299018937229238</v>
      </c>
      <c r="EP43" s="72" t="n">
        <f aca="false">SUMPRODUCT(B43:EO43,$B$5:$EO$5)</f>
        <v>0.0151704189118752</v>
      </c>
      <c r="EQ43" s="72" t="n">
        <f aca="false">SUMIF('Mi portafolio'!$A$8:$A$19,$A43,'Mi portafolio'!$B$8:$B$19)</f>
        <v>0.03</v>
      </c>
    </row>
    <row r="44" customFormat="false" ht="15" hidden="false" customHeight="false" outlineLevel="0" collapsed="false">
      <c r="A44" s="71" t="s">
        <v>262</v>
      </c>
      <c r="B44" s="0" t="n">
        <v>0.0160451570279362</v>
      </c>
      <c r="C44" s="0" t="n">
        <v>0.0009849440878936</v>
      </c>
      <c r="D44" s="0" t="n">
        <v>-0.0023641246786577</v>
      </c>
      <c r="E44" s="0" t="n">
        <v>0.0064718404842013</v>
      </c>
      <c r="F44" s="0" t="n">
        <v>0.0216082824460753</v>
      </c>
      <c r="G44" s="0" t="n">
        <v>-0.0012089458800632</v>
      </c>
      <c r="H44" s="0" t="n">
        <v>0.0077827648671325</v>
      </c>
      <c r="I44" s="0" t="n">
        <v>0.027016592847197</v>
      </c>
      <c r="J44" s="0" t="n">
        <v>0.0158292569441072</v>
      </c>
      <c r="K44" s="0" t="n">
        <v>0.0288381801630601</v>
      </c>
      <c r="L44" s="0" t="n">
        <v>0.0074525167789103</v>
      </c>
      <c r="M44" s="0" t="n">
        <v>0.0311868506725239</v>
      </c>
      <c r="N44" s="0" t="n">
        <v>0.0201996445831539</v>
      </c>
      <c r="O44" s="0" t="n">
        <v>0.007997905960175</v>
      </c>
      <c r="P44" s="0" t="n">
        <v>0.0206148933715264</v>
      </c>
      <c r="Q44" s="0" t="n">
        <v>0.0045302153237143</v>
      </c>
      <c r="R44" s="0" t="n">
        <v>0.0247851413802887</v>
      </c>
      <c r="S44" s="0" t="n">
        <v>0.0106278830689116</v>
      </c>
      <c r="T44" s="0" t="n">
        <v>0.0172263164896748</v>
      </c>
      <c r="U44" s="0" t="n">
        <v>0.0139952709053663</v>
      </c>
      <c r="V44" s="0" t="n">
        <v>0.0106273527139956</v>
      </c>
      <c r="W44" s="0" t="n">
        <v>0.0046860308129727</v>
      </c>
      <c r="X44" s="0" t="n">
        <v>0.0189083686831903</v>
      </c>
      <c r="Y44" s="0" t="n">
        <v>0.0206195724439473</v>
      </c>
      <c r="Z44" s="0" t="n">
        <v>0.0113657099569095</v>
      </c>
      <c r="AA44" s="0" t="n">
        <v>0.0140026588892092</v>
      </c>
      <c r="AB44" s="0" t="n">
        <v>0.0216593456278521</v>
      </c>
      <c r="AC44" s="0" t="n">
        <v>0.0009076193589408</v>
      </c>
      <c r="AD44" s="0" t="n">
        <v>0.0047959894566763</v>
      </c>
      <c r="AE44" s="0" t="n">
        <v>0.0140225932619615</v>
      </c>
      <c r="AF44" s="0" t="n">
        <v>0.000751067722302</v>
      </c>
      <c r="AG44" s="0" t="n">
        <v>0.0123173464901577</v>
      </c>
      <c r="AH44" s="0" t="n">
        <v>0.0158143845713207</v>
      </c>
      <c r="AI44" s="0" t="n">
        <v>-0.0074923340811797</v>
      </c>
      <c r="AJ44" s="0" t="n">
        <v>-0.0003364191872138</v>
      </c>
      <c r="AK44" s="0" t="n">
        <v>0.0119309122049268</v>
      </c>
      <c r="AL44" s="0" t="n">
        <v>0.019270653688125</v>
      </c>
      <c r="AM44" s="0" t="n">
        <v>0.0068551286282714</v>
      </c>
      <c r="AN44" s="0" t="n">
        <v>0.0717295219254068</v>
      </c>
      <c r="AO44" s="0" t="n">
        <v>0.0176097441638818</v>
      </c>
      <c r="AP44" s="0" t="n">
        <v>0.0303716916225952</v>
      </c>
      <c r="AQ44" s="0" t="n">
        <v>-0.0093089530735153</v>
      </c>
      <c r="AR44" s="0" t="n">
        <v>0.0188067169321772</v>
      </c>
      <c r="AS44" s="0" t="n">
        <v>0.0163947615125249</v>
      </c>
      <c r="AT44" s="0" t="n">
        <v>0.0245605936877538</v>
      </c>
      <c r="AU44" s="0" t="n">
        <v>0.0282366792411073</v>
      </c>
      <c r="AV44" s="0" t="n">
        <v>0.013036672716855</v>
      </c>
      <c r="AW44" s="0" t="n">
        <v>0.017404866583273</v>
      </c>
      <c r="AX44" s="0" t="n">
        <v>0.0261372995898633</v>
      </c>
      <c r="AY44" s="0" t="n">
        <v>0.028308530591973</v>
      </c>
      <c r="AZ44" s="0" t="n">
        <v>0.0186434448263831</v>
      </c>
      <c r="BA44" s="0" t="n">
        <v>0.0328787851805213</v>
      </c>
      <c r="BB44" s="0" t="n">
        <v>0.0197579915609527</v>
      </c>
      <c r="BC44" s="0" t="n">
        <v>0.0083755058984885</v>
      </c>
      <c r="BD44" s="0" t="n">
        <v>0.0137775508117532</v>
      </c>
      <c r="BE44" s="0" t="n">
        <v>0.0267044282444097</v>
      </c>
      <c r="BF44" s="0" t="n">
        <v>0.0151563374255065</v>
      </c>
      <c r="BG44" s="0" t="n">
        <v>0.0273950103154036</v>
      </c>
      <c r="BH44" s="0" t="n">
        <v>0.0159696782599112</v>
      </c>
      <c r="BI44" s="0" t="n">
        <v>0.0082227875479734</v>
      </c>
      <c r="BJ44" s="0" t="n">
        <v>-0.0046172876401554</v>
      </c>
      <c r="BK44" s="0" t="n">
        <v>0.0102500681096979</v>
      </c>
      <c r="BL44" s="0" t="n">
        <v>0.0252743905815511</v>
      </c>
      <c r="BM44" s="0" t="n">
        <v>0.0375638327555126</v>
      </c>
      <c r="BN44" s="0" t="n">
        <v>0.0114372802772311</v>
      </c>
      <c r="BO44" s="0" t="n">
        <v>0.0235136187007984</v>
      </c>
      <c r="BP44" s="0" t="n">
        <v>0.0073377248417259</v>
      </c>
      <c r="BQ44" s="0" t="n">
        <v>0.0225428438267669</v>
      </c>
      <c r="BR44" s="0" t="n">
        <v>0.0309594585127675</v>
      </c>
      <c r="BS44" s="0" t="n">
        <v>-0.0162128473154678</v>
      </c>
      <c r="BT44" s="0" t="n">
        <v>0.0386913766274869</v>
      </c>
      <c r="BU44" s="0" t="n">
        <v>0.0121973891926216</v>
      </c>
      <c r="BV44" s="0" t="n">
        <v>0.0281596400229888</v>
      </c>
      <c r="BW44" s="0" t="n">
        <v>0.0199148308357726</v>
      </c>
      <c r="BX44" s="0" t="n">
        <v>0.024675553392956</v>
      </c>
      <c r="BY44" s="0" t="n">
        <v>0.0377836755897074</v>
      </c>
      <c r="BZ44" s="0" t="n">
        <v>0.0360409503718466</v>
      </c>
      <c r="CA44" s="0" t="n">
        <v>0.0138596359197092</v>
      </c>
      <c r="CB44" s="0" t="n">
        <v>0.0010023508171343</v>
      </c>
      <c r="CC44" s="0" t="n">
        <v>0.0123220178801289</v>
      </c>
      <c r="CD44" s="0" t="n">
        <v>0.0287297058054218</v>
      </c>
      <c r="CE44" s="0" t="n">
        <v>0.0087526912535902</v>
      </c>
      <c r="CF44" s="0" t="n">
        <v>-0.0157812814774899</v>
      </c>
      <c r="CG44" s="0" t="n">
        <v>0.0418578686850204</v>
      </c>
      <c r="CH44" s="0" t="n">
        <v>0.0184541023818127</v>
      </c>
      <c r="CI44" s="0" t="n">
        <v>-0.0168673184130245</v>
      </c>
      <c r="CJ44" s="0" t="n">
        <v>0.0130232495622338</v>
      </c>
      <c r="CK44" s="0" t="n">
        <v>0.0446777894482964</v>
      </c>
      <c r="CL44" s="0" t="n">
        <v>0.0308920616486848</v>
      </c>
      <c r="CM44" s="0" t="n">
        <v>0.0057191490892346</v>
      </c>
      <c r="CN44" s="0" t="n">
        <v>0.0033719684225528</v>
      </c>
      <c r="CO44" s="0" t="n">
        <v>0.0133994329272452</v>
      </c>
      <c r="CP44" s="0" t="n">
        <v>0.0186981894529944</v>
      </c>
      <c r="CQ44" s="0" t="n">
        <v>0.0462828668091173</v>
      </c>
      <c r="CR44" s="0" t="n">
        <v>0.0202171676659346</v>
      </c>
      <c r="CS44" s="0" t="n">
        <v>0.0266640328749114</v>
      </c>
      <c r="CT44" s="0" t="n">
        <v>0.0268556487580094</v>
      </c>
      <c r="CU44" s="0" t="n">
        <v>0.009617236220761</v>
      </c>
      <c r="CV44" s="0" t="n">
        <v>0.0185817728548043</v>
      </c>
      <c r="CW44" s="0" t="n">
        <v>0.0375051856077479</v>
      </c>
      <c r="CX44" s="0" t="n">
        <v>0.0307710598469246</v>
      </c>
      <c r="CY44" s="0" t="n">
        <v>0.0528016614617679</v>
      </c>
      <c r="CZ44" s="0" t="n">
        <v>0.0165272609083071</v>
      </c>
      <c r="DA44" s="0" t="n">
        <v>0.0253103972055897</v>
      </c>
      <c r="DB44" s="0" t="n">
        <v>0.0211161451750978</v>
      </c>
      <c r="DC44" s="0" t="n">
        <v>0.0360659353727703</v>
      </c>
      <c r="DD44" s="0" t="n">
        <v>0.0421283839682273</v>
      </c>
      <c r="DE44" s="0" t="n">
        <v>0.0278444108343807</v>
      </c>
      <c r="DF44" s="0" t="n">
        <v>0.0080690761282004</v>
      </c>
      <c r="DG44" s="0" t="n">
        <v>0.0250274436631889</v>
      </c>
      <c r="DH44" s="0" t="n">
        <v>0.0073134154336391</v>
      </c>
      <c r="DI44" s="0" t="n">
        <v>0.0595384150398002</v>
      </c>
      <c r="DJ44" s="0" t="n">
        <v>0.0561576598521066</v>
      </c>
      <c r="DK44" s="0" t="n">
        <v>0.0615184130396875</v>
      </c>
      <c r="DL44" s="0" t="n">
        <v>0.0107259073447695</v>
      </c>
      <c r="DM44" s="0" t="n">
        <v>0.0678103720796488</v>
      </c>
      <c r="DN44" s="0" t="n">
        <v>0.0417543610669608</v>
      </c>
      <c r="DO44" s="0" t="n">
        <v>0.0214900269572314</v>
      </c>
      <c r="DP44" s="0" t="n">
        <v>0.0659809297061741</v>
      </c>
      <c r="DQ44" s="0" t="n">
        <v>0.0298575609948218</v>
      </c>
      <c r="DR44" s="0" t="n">
        <v>0.00610251919944</v>
      </c>
      <c r="DS44" s="0" t="n">
        <v>0.0224604388294723</v>
      </c>
      <c r="DT44" s="0" t="n">
        <v>-0.0014968914584654</v>
      </c>
      <c r="DU44" s="0" t="n">
        <v>0.0319041605602135</v>
      </c>
      <c r="DV44" s="0" t="n">
        <v>0.0144519323493269</v>
      </c>
      <c r="DW44" s="0" t="n">
        <v>0.0356219042745147</v>
      </c>
      <c r="DX44" s="0" t="n">
        <v>0.0207774220256288</v>
      </c>
      <c r="DY44" s="0" t="n">
        <v>0.0565221376184841</v>
      </c>
      <c r="DZ44" s="0" t="n">
        <v>0.0047656120030632</v>
      </c>
      <c r="EA44" s="0" t="n">
        <v>0.031141285909839</v>
      </c>
      <c r="EB44" s="0" t="n">
        <v>0.0546516728779227</v>
      </c>
      <c r="EC44" s="0" t="n">
        <v>-0.007442024021485</v>
      </c>
      <c r="ED44" s="0" t="n">
        <v>0.027079448985072</v>
      </c>
      <c r="EE44" s="0" t="n">
        <v>0.0142002552279849</v>
      </c>
      <c r="EF44" s="0" t="n">
        <v>0.0243152833713945</v>
      </c>
      <c r="EG44" s="0" t="n">
        <v>0.0162202764905005</v>
      </c>
      <c r="EH44" s="0" t="n">
        <v>0.0189179107232599</v>
      </c>
      <c r="EI44" s="0" t="n">
        <v>0.0016238142911527</v>
      </c>
      <c r="EJ44" s="0" t="n">
        <v>0.0382603228572887</v>
      </c>
      <c r="EK44" s="0" t="n">
        <v>0.0187134719299518</v>
      </c>
      <c r="EL44" s="0" t="n">
        <v>0.0275311513811826</v>
      </c>
      <c r="EM44" s="0" t="n">
        <v>0.0118047323298159</v>
      </c>
      <c r="EN44" s="0" t="n">
        <v>0.0840856974534107</v>
      </c>
      <c r="EO44" s="0" t="n">
        <v>0.0588188419002982</v>
      </c>
      <c r="EP44" s="72" t="n">
        <f aca="false">SUMPRODUCT(B44:EO44,$B$5:$EO$5)</f>
        <v>0.00804833376334656</v>
      </c>
      <c r="EQ44" s="72" t="n">
        <f aca="false">SUMIF('Mi portafolio'!$A$8:$A$19,$A44,'Mi portafolio'!$B$8:$B$19)</f>
        <v>0</v>
      </c>
    </row>
    <row r="45" customFormat="false" ht="15" hidden="false" customHeight="false" outlineLevel="0" collapsed="false">
      <c r="A45" s="71" t="s">
        <v>264</v>
      </c>
      <c r="B45" s="0" t="n">
        <v>0.0111068226108189</v>
      </c>
      <c r="C45" s="0" t="n">
        <v>0.0016575647409414</v>
      </c>
      <c r="D45" s="0" t="n">
        <v>0.0010619006691862</v>
      </c>
      <c r="E45" s="0" t="n">
        <v>0.005472929538878</v>
      </c>
      <c r="F45" s="0" t="n">
        <v>0.0210541399254666</v>
      </c>
      <c r="G45" s="0" t="n">
        <v>0.0015550434607026</v>
      </c>
      <c r="H45" s="0" t="n">
        <v>0.0001978734263928</v>
      </c>
      <c r="I45" s="0" t="n">
        <v>0.0197987249148646</v>
      </c>
      <c r="J45" s="0" t="n">
        <v>0.03063643516202</v>
      </c>
      <c r="K45" s="0" t="n">
        <v>0.0177942638948888</v>
      </c>
      <c r="L45" s="0" t="n">
        <v>0.0030317111834398</v>
      </c>
      <c r="M45" s="0" t="n">
        <v>0.0089137735842858</v>
      </c>
      <c r="N45" s="0" t="n">
        <v>0.023713393418862</v>
      </c>
      <c r="O45" s="0" t="n">
        <v>-6.54621252278468E-005</v>
      </c>
      <c r="P45" s="0" t="n">
        <v>0.0188516260336512</v>
      </c>
      <c r="Q45" s="0" t="n">
        <v>3.96003411289324E-006</v>
      </c>
      <c r="R45" s="0" t="n">
        <v>0.0168166925956834</v>
      </c>
      <c r="S45" s="0" t="n">
        <v>0.0059849539902675</v>
      </c>
      <c r="T45" s="0" t="n">
        <v>0.0078343789981736</v>
      </c>
      <c r="U45" s="0" t="n">
        <v>0.0059565881842376</v>
      </c>
      <c r="V45" s="0" t="n">
        <v>-0.0015171397876902</v>
      </c>
      <c r="W45" s="0" t="n">
        <v>0.0067351408521005</v>
      </c>
      <c r="X45" s="0" t="n">
        <v>0.0079348565876145</v>
      </c>
      <c r="Y45" s="0" t="n">
        <v>0.0210082224504445</v>
      </c>
      <c r="Z45" s="0" t="n">
        <v>0.0011364770825494</v>
      </c>
      <c r="AA45" s="0" t="n">
        <v>0.0115718105331183</v>
      </c>
      <c r="AB45" s="0" t="n">
        <v>0.0184052783328001</v>
      </c>
      <c r="AC45" s="0" t="n">
        <v>-0.0082462915665464</v>
      </c>
      <c r="AD45" s="0" t="n">
        <v>0.0011206647681789</v>
      </c>
      <c r="AE45" s="0" t="n">
        <v>-0.0019186426627431</v>
      </c>
      <c r="AF45" s="0" t="n">
        <v>-0.0023619006248747</v>
      </c>
      <c r="AG45" s="0" t="n">
        <v>0.0158902366048794</v>
      </c>
      <c r="AH45" s="0" t="n">
        <v>0.0172745008641928</v>
      </c>
      <c r="AI45" s="0" t="n">
        <v>0.0072809608484472</v>
      </c>
      <c r="AJ45" s="0" t="n">
        <v>-0.0018328877224277</v>
      </c>
      <c r="AK45" s="0" t="n">
        <v>-0.0044259814318426</v>
      </c>
      <c r="AL45" s="0" t="n">
        <v>0.0144959203334669</v>
      </c>
      <c r="AM45" s="0" t="n">
        <v>0.0071322952465582</v>
      </c>
      <c r="AN45" s="0" t="n">
        <v>0.0176097441638818</v>
      </c>
      <c r="AO45" s="0" t="n">
        <v>0.071040431875882</v>
      </c>
      <c r="AP45" s="0" t="n">
        <v>0.0096290898525738</v>
      </c>
      <c r="AQ45" s="0" t="n">
        <v>0.0085454290294396</v>
      </c>
      <c r="AR45" s="0" t="n">
        <v>0.0101494340119746</v>
      </c>
      <c r="AS45" s="0" t="n">
        <v>-0.0027019735701968</v>
      </c>
      <c r="AT45" s="0" t="n">
        <v>0.0082375037972518</v>
      </c>
      <c r="AU45" s="0" t="n">
        <v>0.0228223985946945</v>
      </c>
      <c r="AV45" s="0" t="n">
        <v>0.00751877822271</v>
      </c>
      <c r="AW45" s="0" t="n">
        <v>-0.0035105312596624</v>
      </c>
      <c r="AX45" s="0" t="n">
        <v>0.0409698007479546</v>
      </c>
      <c r="AY45" s="0" t="n">
        <v>0.0137200692758527</v>
      </c>
      <c r="AZ45" s="0" t="n">
        <v>-0.0005650459807784</v>
      </c>
      <c r="BA45" s="0" t="n">
        <v>0.0148105091452584</v>
      </c>
      <c r="BB45" s="0" t="n">
        <v>0.0035889724361996</v>
      </c>
      <c r="BC45" s="0" t="n">
        <v>0.0007363800021883</v>
      </c>
      <c r="BD45" s="0" t="n">
        <v>0.0025444935783455</v>
      </c>
      <c r="BE45" s="0" t="n">
        <v>0.0373568182368853</v>
      </c>
      <c r="BF45" s="0" t="n">
        <v>0.0059510895919371</v>
      </c>
      <c r="BG45" s="0" t="n">
        <v>0.0231009873191331</v>
      </c>
      <c r="BH45" s="0" t="n">
        <v>-0.0009041370798762</v>
      </c>
      <c r="BI45" s="0" t="n">
        <v>-0.0042836954356328</v>
      </c>
      <c r="BJ45" s="0" t="n">
        <v>-0.0052502632621067</v>
      </c>
      <c r="BK45" s="0" t="n">
        <v>-0.0018172722724213</v>
      </c>
      <c r="BL45" s="0" t="n">
        <v>0.0127173778004504</v>
      </c>
      <c r="BM45" s="0" t="n">
        <v>0.0182231827778461</v>
      </c>
      <c r="BN45" s="0" t="n">
        <v>0.0180989896711598</v>
      </c>
      <c r="BO45" s="0" t="n">
        <v>0.0052067560216168</v>
      </c>
      <c r="BP45" s="0" t="n">
        <v>-0.0047918663455099</v>
      </c>
      <c r="BQ45" s="0" t="n">
        <v>-0.0058626383049593</v>
      </c>
      <c r="BR45" s="0" t="n">
        <v>-0.0013932737206166</v>
      </c>
      <c r="BS45" s="0" t="n">
        <v>0.0056525358257304</v>
      </c>
      <c r="BT45" s="0" t="n">
        <v>0.0107142089059416</v>
      </c>
      <c r="BU45" s="0" t="n">
        <v>-0.0094699009100999</v>
      </c>
      <c r="BV45" s="0" t="n">
        <v>-0.0088503640264854</v>
      </c>
      <c r="BW45" s="0" t="n">
        <v>0.00612792438426</v>
      </c>
      <c r="BX45" s="0" t="n">
        <v>0.0391904180232475</v>
      </c>
      <c r="BY45" s="0" t="n">
        <v>0.0124883736753222</v>
      </c>
      <c r="BZ45" s="0" t="n">
        <v>0.0037243346202293</v>
      </c>
      <c r="CA45" s="0" t="n">
        <v>-0.0023793645387784</v>
      </c>
      <c r="CB45" s="0" t="n">
        <v>-0.0010990710880711</v>
      </c>
      <c r="CC45" s="0" t="n">
        <v>0.0171885511849486</v>
      </c>
      <c r="CD45" s="0" t="n">
        <v>0.0158771299302183</v>
      </c>
      <c r="CE45" s="0" t="n">
        <v>0.0079094649162241</v>
      </c>
      <c r="CF45" s="0" t="n">
        <v>0.0067774429264576</v>
      </c>
      <c r="CG45" s="0" t="n">
        <v>0.0109380585399243</v>
      </c>
      <c r="CH45" s="0" t="n">
        <v>0.0001248648652641</v>
      </c>
      <c r="CI45" s="0" t="n">
        <v>0.0096334082224638</v>
      </c>
      <c r="CJ45" s="0" t="n">
        <v>0.0184327264947033</v>
      </c>
      <c r="CK45" s="0" t="n">
        <v>0.0112622746838576</v>
      </c>
      <c r="CL45" s="0" t="n">
        <v>0.0144928606736896</v>
      </c>
      <c r="CM45" s="0" t="n">
        <v>-0.0103840590642352</v>
      </c>
      <c r="CN45" s="0" t="n">
        <v>-0.0006816796650798</v>
      </c>
      <c r="CO45" s="0" t="n">
        <v>-0.0090625158272077</v>
      </c>
      <c r="CP45" s="0" t="n">
        <v>0.013374760526935</v>
      </c>
      <c r="CQ45" s="0" t="n">
        <v>0.0126863000376649</v>
      </c>
      <c r="CR45" s="0" t="n">
        <v>-0.0078974009789156</v>
      </c>
      <c r="CS45" s="0" t="n">
        <v>0.004905590056438</v>
      </c>
      <c r="CT45" s="0" t="n">
        <v>0.0011659072359213</v>
      </c>
      <c r="CU45" s="0" t="n">
        <v>-0.0083179893048792</v>
      </c>
      <c r="CV45" s="0" t="n">
        <v>-0.004550913540828</v>
      </c>
      <c r="CW45" s="0" t="n">
        <v>0.0141634859155373</v>
      </c>
      <c r="CX45" s="0" t="n">
        <v>0.0134196863494308</v>
      </c>
      <c r="CY45" s="0" t="n">
        <v>0.0140557361549808</v>
      </c>
      <c r="CZ45" s="0" t="n">
        <v>0.0024341327609687</v>
      </c>
      <c r="DA45" s="0" t="n">
        <v>0.0208358781785968</v>
      </c>
      <c r="DB45" s="0" t="n">
        <v>-0.0055919450383506</v>
      </c>
      <c r="DC45" s="0" t="n">
        <v>0.0001438960414542</v>
      </c>
      <c r="DD45" s="0" t="n">
        <v>0.0123654764284622</v>
      </c>
      <c r="DE45" s="0" t="n">
        <v>-0.0007730418206304</v>
      </c>
      <c r="DF45" s="0" t="n">
        <v>0.0070161805255955</v>
      </c>
      <c r="DG45" s="0" t="n">
        <v>0.0055030863437237</v>
      </c>
      <c r="DH45" s="0" t="n">
        <v>-0.0159602262712045</v>
      </c>
      <c r="DI45" s="0" t="n">
        <v>0.0077728241592945</v>
      </c>
      <c r="DJ45" s="0" t="n">
        <v>0.0194757430179143</v>
      </c>
      <c r="DK45" s="0" t="n">
        <v>0.0105143601244627</v>
      </c>
      <c r="DL45" s="0" t="n">
        <v>-0.0095968199552996</v>
      </c>
      <c r="DM45" s="0" t="n">
        <v>0.0200001635292224</v>
      </c>
      <c r="DN45" s="0" t="n">
        <v>0.0159352211771301</v>
      </c>
      <c r="DO45" s="0" t="n">
        <v>-0.0008178004354603</v>
      </c>
      <c r="DP45" s="0" t="n">
        <v>0.0209178844350221</v>
      </c>
      <c r="DQ45" s="0" t="n">
        <v>-0.020325034399106</v>
      </c>
      <c r="DR45" s="0" t="n">
        <v>0.0057459933407134</v>
      </c>
      <c r="DS45" s="0" t="n">
        <v>-0.0008341583650824</v>
      </c>
      <c r="DT45" s="0" t="n">
        <v>-0.0240118950456245</v>
      </c>
      <c r="DU45" s="0" t="n">
        <v>-0.0138544445963654</v>
      </c>
      <c r="DV45" s="0" t="n">
        <v>-0.0031855995605189</v>
      </c>
      <c r="DW45" s="0" t="n">
        <v>0.0039721215545365</v>
      </c>
      <c r="DX45" s="0" t="n">
        <v>-0.0087449886298878</v>
      </c>
      <c r="DY45" s="0" t="n">
        <v>-0.0023533664841239</v>
      </c>
      <c r="DZ45" s="0" t="n">
        <v>-0.0032512575313364</v>
      </c>
      <c r="EA45" s="0" t="n">
        <v>0.018270215855078</v>
      </c>
      <c r="EB45" s="0" t="n">
        <v>0.0002372602655036</v>
      </c>
      <c r="EC45" s="0" t="n">
        <v>-0.0075649308558845</v>
      </c>
      <c r="ED45" s="0" t="n">
        <v>0.014827528580812</v>
      </c>
      <c r="EE45" s="0" t="n">
        <v>-0.0101919348070588</v>
      </c>
      <c r="EF45" s="0" t="n">
        <v>0.0022522883175705</v>
      </c>
      <c r="EG45" s="0" t="n">
        <v>-0.0161722191712466</v>
      </c>
      <c r="EH45" s="0" t="n">
        <v>0.0147034493615499</v>
      </c>
      <c r="EI45" s="0" t="n">
        <v>-0.0216456491079939</v>
      </c>
      <c r="EJ45" s="0" t="n">
        <v>0.0246043190488553</v>
      </c>
      <c r="EK45" s="0" t="n">
        <v>-0.0003388787031336</v>
      </c>
      <c r="EL45" s="0" t="n">
        <v>-0.0135109601946375</v>
      </c>
      <c r="EM45" s="0" t="n">
        <v>-0.0102412728205538</v>
      </c>
      <c r="EN45" s="0" t="n">
        <v>0.0970552124310096</v>
      </c>
      <c r="EO45" s="0" t="n">
        <v>0.0125986335333375</v>
      </c>
      <c r="EP45" s="72" t="n">
        <f aca="false">SUMPRODUCT(B45:EO45,$B$5:$EO$5)</f>
        <v>-0.0174431020185128</v>
      </c>
      <c r="EQ45" s="72" t="n">
        <f aca="false">SUMIF('Mi portafolio'!$A$8:$A$19,$A45,'Mi portafolio'!$B$8:$B$19)</f>
        <v>0</v>
      </c>
    </row>
    <row r="46" customFormat="false" ht="15" hidden="false" customHeight="false" outlineLevel="0" collapsed="false">
      <c r="A46" s="71" t="s">
        <v>265</v>
      </c>
      <c r="B46" s="0" t="n">
        <v>0.010805379172889</v>
      </c>
      <c r="C46" s="0" t="n">
        <v>-0.0023810421034027</v>
      </c>
      <c r="D46" s="0" t="n">
        <v>0.001457641176328</v>
      </c>
      <c r="E46" s="0" t="n">
        <v>0.0070695065406344</v>
      </c>
      <c r="F46" s="0" t="n">
        <v>0.0160300035793084</v>
      </c>
      <c r="G46" s="0" t="n">
        <v>0.0027276756456984</v>
      </c>
      <c r="H46" s="0" t="n">
        <v>0.0014529687305293</v>
      </c>
      <c r="I46" s="0" t="n">
        <v>0.0171650415438962</v>
      </c>
      <c r="J46" s="0" t="n">
        <v>0.0067723863762903</v>
      </c>
      <c r="K46" s="0" t="n">
        <v>0.0179581843403211</v>
      </c>
      <c r="L46" s="0" t="n">
        <v>0.0048164510484776</v>
      </c>
      <c r="M46" s="0" t="n">
        <v>0.0156857696446987</v>
      </c>
      <c r="N46" s="0" t="n">
        <v>0.0230797094091744</v>
      </c>
      <c r="O46" s="0" t="n">
        <v>0.0080868066329715</v>
      </c>
      <c r="P46" s="0" t="n">
        <v>0.0104025053392344</v>
      </c>
      <c r="Q46" s="0" t="n">
        <v>0.0049924571824948</v>
      </c>
      <c r="R46" s="0" t="n">
        <v>0.0211587135216697</v>
      </c>
      <c r="S46" s="0" t="n">
        <v>0.0058895554631505</v>
      </c>
      <c r="T46" s="0" t="n">
        <v>0.015603722571607</v>
      </c>
      <c r="U46" s="0" t="n">
        <v>0.0116028787820556</v>
      </c>
      <c r="V46" s="0" t="n">
        <v>0.0080904166923642</v>
      </c>
      <c r="W46" s="0" t="n">
        <v>0.0064179258423177</v>
      </c>
      <c r="X46" s="0" t="n">
        <v>0.0188629449353584</v>
      </c>
      <c r="Y46" s="0" t="n">
        <v>0.0190317192305411</v>
      </c>
      <c r="Z46" s="0" t="n">
        <v>0.0041869355051218</v>
      </c>
      <c r="AA46" s="0" t="n">
        <v>0.0135877783057016</v>
      </c>
      <c r="AB46" s="0" t="n">
        <v>0.0211524273142157</v>
      </c>
      <c r="AC46" s="0" t="n">
        <v>0.0017331037830045</v>
      </c>
      <c r="AD46" s="0" t="n">
        <v>-0.0017187610613979</v>
      </c>
      <c r="AE46" s="0" t="n">
        <v>0.0054225994071392</v>
      </c>
      <c r="AF46" s="0" t="n">
        <v>0.0032099831585304</v>
      </c>
      <c r="AG46" s="0" t="n">
        <v>0.0122655788829804</v>
      </c>
      <c r="AH46" s="0" t="n">
        <v>0.0155973084306231</v>
      </c>
      <c r="AI46" s="0" t="n">
        <v>-0.0030015432568813</v>
      </c>
      <c r="AJ46" s="0" t="n">
        <v>0.0062346206101415</v>
      </c>
      <c r="AK46" s="0" t="n">
        <v>0.0092270516736108</v>
      </c>
      <c r="AL46" s="0" t="n">
        <v>0.02049333129098</v>
      </c>
      <c r="AM46" s="0" t="n">
        <v>0.0083535796181904</v>
      </c>
      <c r="AN46" s="0" t="n">
        <v>0.0303716916225952</v>
      </c>
      <c r="AO46" s="0" t="n">
        <v>0.0096290898525738</v>
      </c>
      <c r="AP46" s="0" t="n">
        <v>0.0740738461350484</v>
      </c>
      <c r="AQ46" s="0" t="n">
        <v>-0.0043311057640656</v>
      </c>
      <c r="AR46" s="0" t="n">
        <v>0.0149820362590223</v>
      </c>
      <c r="AS46" s="0" t="n">
        <v>0.0092093439557077</v>
      </c>
      <c r="AT46" s="0" t="n">
        <v>0.0269615117059674</v>
      </c>
      <c r="AU46" s="0" t="n">
        <v>0.0105620305150738</v>
      </c>
      <c r="AV46" s="0" t="n">
        <v>0.0127965922477495</v>
      </c>
      <c r="AW46" s="0" t="n">
        <v>0.0101928828598836</v>
      </c>
      <c r="AX46" s="0" t="n">
        <v>0.0213265928058567</v>
      </c>
      <c r="AY46" s="0" t="n">
        <v>0.0202333787968796</v>
      </c>
      <c r="AZ46" s="0" t="n">
        <v>0.0060881011979652</v>
      </c>
      <c r="BA46" s="0" t="n">
        <v>0.0224653580897363</v>
      </c>
      <c r="BB46" s="0" t="n">
        <v>0.0208930577510458</v>
      </c>
      <c r="BC46" s="0" t="n">
        <v>0.0109481853941824</v>
      </c>
      <c r="BD46" s="0" t="n">
        <v>0.0104392554156963</v>
      </c>
      <c r="BE46" s="0" t="n">
        <v>0.0173640021571195</v>
      </c>
      <c r="BF46" s="0" t="n">
        <v>0.0099790708489401</v>
      </c>
      <c r="BG46" s="0" t="n">
        <v>0.0248830955721827</v>
      </c>
      <c r="BH46" s="0" t="n">
        <v>0.010097717033943</v>
      </c>
      <c r="BI46" s="0" t="n">
        <v>0.0088705744545828</v>
      </c>
      <c r="BJ46" s="0" t="n">
        <v>-0.0009855584278299</v>
      </c>
      <c r="BK46" s="0" t="n">
        <v>0.0046033700784935</v>
      </c>
      <c r="BL46" s="0" t="n">
        <v>0.0154295958487837</v>
      </c>
      <c r="BM46" s="0" t="n">
        <v>0.0246714110342562</v>
      </c>
      <c r="BN46" s="0" t="n">
        <v>0.0125638908723259</v>
      </c>
      <c r="BO46" s="0" t="n">
        <v>0.0240162082154169</v>
      </c>
      <c r="BP46" s="0" t="n">
        <v>0.0141094049657846</v>
      </c>
      <c r="BQ46" s="0" t="n">
        <v>0.0139495550304538</v>
      </c>
      <c r="BR46" s="0" t="n">
        <v>0.036311485273305</v>
      </c>
      <c r="BS46" s="0" t="n">
        <v>-0.0059765308062544</v>
      </c>
      <c r="BT46" s="0" t="n">
        <v>0.0232772380164647</v>
      </c>
      <c r="BU46" s="0" t="n">
        <v>0.0086854541014084</v>
      </c>
      <c r="BV46" s="0" t="n">
        <v>0.0213805302568047</v>
      </c>
      <c r="BW46" s="0" t="n">
        <v>0.0209339552486838</v>
      </c>
      <c r="BX46" s="0" t="n">
        <v>0.0199293794363124</v>
      </c>
      <c r="BY46" s="0" t="n">
        <v>0.0310322740489638</v>
      </c>
      <c r="BZ46" s="0" t="n">
        <v>0.0203269193810129</v>
      </c>
      <c r="CA46" s="0" t="n">
        <v>0.0064933934826902</v>
      </c>
      <c r="CB46" s="0" t="n">
        <v>0.0003587510978111</v>
      </c>
      <c r="CC46" s="0" t="n">
        <v>0.0144717207114407</v>
      </c>
      <c r="CD46" s="0" t="n">
        <v>0.0322792643488964</v>
      </c>
      <c r="CE46" s="0" t="n">
        <v>0.0001288525219123</v>
      </c>
      <c r="CF46" s="0" t="n">
        <v>-0.0090874612545629</v>
      </c>
      <c r="CG46" s="0" t="n">
        <v>0.037344299974034</v>
      </c>
      <c r="CH46" s="0" t="n">
        <v>0.0180923843615023</v>
      </c>
      <c r="CI46" s="0" t="n">
        <v>-0.0064160717419265</v>
      </c>
      <c r="CJ46" s="0" t="n">
        <v>0.0352471409988758</v>
      </c>
      <c r="CK46" s="0" t="n">
        <v>0.0411294407961958</v>
      </c>
      <c r="CL46" s="0" t="n">
        <v>0.0227674055026447</v>
      </c>
      <c r="CM46" s="0" t="n">
        <v>0.0136455652976879</v>
      </c>
      <c r="CN46" s="0" t="n">
        <v>0.0044459450478793</v>
      </c>
      <c r="CO46" s="0" t="n">
        <v>0.0176349812427674</v>
      </c>
      <c r="CP46" s="0" t="n">
        <v>0.0171364450446594</v>
      </c>
      <c r="CQ46" s="0" t="n">
        <v>0.0359551233418855</v>
      </c>
      <c r="CR46" s="0" t="n">
        <v>0.0107271456363067</v>
      </c>
      <c r="CS46" s="0" t="n">
        <v>0.0066716270120736</v>
      </c>
      <c r="CT46" s="0" t="n">
        <v>0.0409191478528957</v>
      </c>
      <c r="CU46" s="0" t="n">
        <v>0.0139328648309795</v>
      </c>
      <c r="CV46" s="0" t="n">
        <v>0.0193796511304528</v>
      </c>
      <c r="CW46" s="0" t="n">
        <v>0.0383808191977904</v>
      </c>
      <c r="CX46" s="0" t="n">
        <v>0.0299091436645932</v>
      </c>
      <c r="CY46" s="0" t="n">
        <v>0.0392631038866955</v>
      </c>
      <c r="CZ46" s="0" t="n">
        <v>0.0175914225855984</v>
      </c>
      <c r="DA46" s="0" t="n">
        <v>0.0359074184397082</v>
      </c>
      <c r="DB46" s="0" t="n">
        <v>0.0230163720889944</v>
      </c>
      <c r="DC46" s="0" t="n">
        <v>0.0220026590055745</v>
      </c>
      <c r="DD46" s="0" t="n">
        <v>0.0467498179946152</v>
      </c>
      <c r="DE46" s="0" t="n">
        <v>0.0182941155670259</v>
      </c>
      <c r="DF46" s="0" t="n">
        <v>0.0233689929524937</v>
      </c>
      <c r="DG46" s="0" t="n">
        <v>0.02532362330429</v>
      </c>
      <c r="DH46" s="0" t="n">
        <v>0.0050005634013563</v>
      </c>
      <c r="DI46" s="0" t="n">
        <v>0.0448872913646214</v>
      </c>
      <c r="DJ46" s="0" t="n">
        <v>0.0520579975033986</v>
      </c>
      <c r="DK46" s="0" t="n">
        <v>0.0437559361564671</v>
      </c>
      <c r="DL46" s="0" t="n">
        <v>0.0133075681755215</v>
      </c>
      <c r="DM46" s="0" t="n">
        <v>0.0561003203266142</v>
      </c>
      <c r="DN46" s="0" t="n">
        <v>0.0503122518459634</v>
      </c>
      <c r="DO46" s="0" t="n">
        <v>0.024846325025707</v>
      </c>
      <c r="DP46" s="0" t="n">
        <v>0.0504172243342046</v>
      </c>
      <c r="DQ46" s="0" t="n">
        <v>0.0087577310030903</v>
      </c>
      <c r="DR46" s="0" t="n">
        <v>0.0108915992945139</v>
      </c>
      <c r="DS46" s="0" t="n">
        <v>0.0231849499267189</v>
      </c>
      <c r="DT46" s="0" t="n">
        <v>0.0113144932661384</v>
      </c>
      <c r="DU46" s="0" t="n">
        <v>0.0444903028258448</v>
      </c>
      <c r="DV46" s="0" t="n">
        <v>0.0225089643012702</v>
      </c>
      <c r="DW46" s="0" t="n">
        <v>0.0477806752241286</v>
      </c>
      <c r="DX46" s="0" t="n">
        <v>-0.0057257512329337</v>
      </c>
      <c r="DY46" s="0" t="n">
        <v>0.056665465081452</v>
      </c>
      <c r="DZ46" s="0" t="n">
        <v>0.0156144238128972</v>
      </c>
      <c r="EA46" s="0" t="n">
        <v>0.046236126521334</v>
      </c>
      <c r="EB46" s="0" t="n">
        <v>0.0538995886956807</v>
      </c>
      <c r="EC46" s="0" t="n">
        <v>-0.0006916934212556</v>
      </c>
      <c r="ED46" s="0" t="n">
        <v>0.0463275345415181</v>
      </c>
      <c r="EE46" s="0" t="n">
        <v>0.0157582346639175</v>
      </c>
      <c r="EF46" s="0" t="n">
        <v>0.0238217632236665</v>
      </c>
      <c r="EG46" s="0" t="n">
        <v>0.0060031692860561</v>
      </c>
      <c r="EH46" s="0" t="n">
        <v>0.040935182005843</v>
      </c>
      <c r="EI46" s="0" t="n">
        <v>-0.0203058294778119</v>
      </c>
      <c r="EJ46" s="0" t="n">
        <v>0.0529547444470789</v>
      </c>
      <c r="EK46" s="0" t="n">
        <v>0.0340369858581939</v>
      </c>
      <c r="EL46" s="0" t="n">
        <v>0.0235041957310789</v>
      </c>
      <c r="EM46" s="0" t="n">
        <v>0.043842885149337</v>
      </c>
      <c r="EN46" s="0" t="n">
        <v>0.109219560766212</v>
      </c>
      <c r="EO46" s="0" t="n">
        <v>0.104754873228063</v>
      </c>
      <c r="EP46" s="72" t="n">
        <f aca="false">SUMPRODUCT(B46:EO46,$B$5:$EO$5)</f>
        <v>-0.007067896898113</v>
      </c>
      <c r="EQ46" s="72" t="n">
        <f aca="false">SUMIF('Mi portafolio'!$A$8:$A$19,$A46,'Mi portafolio'!$B$8:$B$19)</f>
        <v>0</v>
      </c>
    </row>
    <row r="47" customFormat="false" ht="15" hidden="false" customHeight="false" outlineLevel="0" collapsed="false">
      <c r="A47" s="71" t="s">
        <v>267</v>
      </c>
      <c r="B47" s="0" t="n">
        <v>0.0058575335438293</v>
      </c>
      <c r="C47" s="0" t="n">
        <v>0.0009148219124896</v>
      </c>
      <c r="D47" s="0" t="n">
        <v>-0.0049420718698999</v>
      </c>
      <c r="E47" s="0" t="n">
        <v>0.0056748937721122</v>
      </c>
      <c r="F47" s="0" t="n">
        <v>0.0141878599087817</v>
      </c>
      <c r="G47" s="0" t="n">
        <v>-0.0005340615663342</v>
      </c>
      <c r="H47" s="0" t="n">
        <v>-0.0042719600210786</v>
      </c>
      <c r="I47" s="0" t="n">
        <v>0.0079584524526385</v>
      </c>
      <c r="J47" s="0" t="n">
        <v>0.0117389821033912</v>
      </c>
      <c r="K47" s="0" t="n">
        <v>0.0044565197359145</v>
      </c>
      <c r="L47" s="0" t="n">
        <v>-0.0002018362730505</v>
      </c>
      <c r="M47" s="0" t="n">
        <v>-0.0064756889616908</v>
      </c>
      <c r="N47" s="0" t="n">
        <v>0.005238657184353</v>
      </c>
      <c r="O47" s="0" t="n">
        <v>-0.000629959731633</v>
      </c>
      <c r="P47" s="0" t="n">
        <v>0.0161745651717334</v>
      </c>
      <c r="Q47" s="0" t="n">
        <v>-0.0029093479236786</v>
      </c>
      <c r="R47" s="0" t="n">
        <v>0.0149964616746267</v>
      </c>
      <c r="S47" s="0" t="n">
        <v>-0.0075731038242624</v>
      </c>
      <c r="T47" s="0" t="n">
        <v>-0.0003497066198261</v>
      </c>
      <c r="U47" s="0" t="n">
        <v>-0.0063340449141216</v>
      </c>
      <c r="V47" s="0" t="n">
        <v>-0.003915105322393</v>
      </c>
      <c r="W47" s="0" t="n">
        <v>0.0036473082205505</v>
      </c>
      <c r="X47" s="0" t="n">
        <v>1.26037985557353E-005</v>
      </c>
      <c r="Y47" s="0" t="n">
        <v>0.0053696778532744</v>
      </c>
      <c r="Z47" s="0" t="n">
        <v>-0.0008872441356228</v>
      </c>
      <c r="AA47" s="0" t="n">
        <v>-0.005211672494362</v>
      </c>
      <c r="AB47" s="0" t="n">
        <v>0.0053330795228</v>
      </c>
      <c r="AC47" s="0" t="n">
        <v>0.00506734184415</v>
      </c>
      <c r="AD47" s="0" t="n">
        <v>0.0036186221394799</v>
      </c>
      <c r="AE47" s="0" t="n">
        <v>-0.0155360983822699</v>
      </c>
      <c r="AF47" s="0" t="n">
        <v>-0.0043523873023594</v>
      </c>
      <c r="AG47" s="0" t="n">
        <v>0.0198181263790768</v>
      </c>
      <c r="AH47" s="0" t="n">
        <v>0.0175114599098838</v>
      </c>
      <c r="AI47" s="0" t="n">
        <v>0.060345779772448</v>
      </c>
      <c r="AJ47" s="0" t="n">
        <v>-0.002760926114827</v>
      </c>
      <c r="AK47" s="0" t="n">
        <v>-0.0046942226160832</v>
      </c>
      <c r="AL47" s="0" t="n">
        <v>0.0004267569477011</v>
      </c>
      <c r="AM47" s="0" t="n">
        <v>-0.0108600928983652</v>
      </c>
      <c r="AN47" s="0" t="n">
        <v>-0.0093089530735153</v>
      </c>
      <c r="AO47" s="0" t="n">
        <v>0.0085454290294396</v>
      </c>
      <c r="AP47" s="0" t="n">
        <v>-0.0043311057640656</v>
      </c>
      <c r="AQ47" s="0" t="n">
        <v>0.0742133212658807</v>
      </c>
      <c r="AR47" s="0" t="n">
        <v>0.0018035640283065</v>
      </c>
      <c r="AS47" s="0" t="n">
        <v>-0.0079562614301021</v>
      </c>
      <c r="AT47" s="0" t="n">
        <v>-0.005725526710423</v>
      </c>
      <c r="AU47" s="0" t="n">
        <v>0.0132132618961902</v>
      </c>
      <c r="AV47" s="0" t="n">
        <v>0.0031929387095639</v>
      </c>
      <c r="AW47" s="0" t="n">
        <v>-0.0040639323259986</v>
      </c>
      <c r="AX47" s="0" t="n">
        <v>0.0037702094957548</v>
      </c>
      <c r="AY47" s="0" t="n">
        <v>0.0040622164309337</v>
      </c>
      <c r="AZ47" s="0" t="n">
        <v>-0.0155113248031503</v>
      </c>
      <c r="BA47" s="0" t="n">
        <v>-0.0016343439572246</v>
      </c>
      <c r="BB47" s="0" t="n">
        <v>-0.009831690926247</v>
      </c>
      <c r="BC47" s="0" t="n">
        <v>-0.0026581264086077</v>
      </c>
      <c r="BD47" s="0" t="n">
        <v>-0.0092231918948003</v>
      </c>
      <c r="BE47" s="0" t="n">
        <v>0.0096373917902826</v>
      </c>
      <c r="BF47" s="0" t="n">
        <v>0.0008805065701716</v>
      </c>
      <c r="BG47" s="0" t="n">
        <v>-0.0008082929576665</v>
      </c>
      <c r="BH47" s="0" t="n">
        <v>-0.0118692994478499</v>
      </c>
      <c r="BI47" s="0" t="n">
        <v>-0.0029068001262858</v>
      </c>
      <c r="BJ47" s="0" t="n">
        <v>-0.0015489406110861</v>
      </c>
      <c r="BK47" s="0" t="n">
        <v>-0.0124422300780445</v>
      </c>
      <c r="BL47" s="0" t="n">
        <v>-0.0038182945090983</v>
      </c>
      <c r="BM47" s="0" t="n">
        <v>0.0047749558686785</v>
      </c>
      <c r="BN47" s="0" t="n">
        <v>0.0101078891070503</v>
      </c>
      <c r="BO47" s="0" t="n">
        <v>-0.0147331840356903</v>
      </c>
      <c r="BP47" s="0" t="n">
        <v>-0.0060565381759814</v>
      </c>
      <c r="BQ47" s="0" t="n">
        <v>-0.0128464000249911</v>
      </c>
      <c r="BR47" s="0" t="n">
        <v>-0.0044999608723113</v>
      </c>
      <c r="BS47" s="0" t="n">
        <v>0.0679273421529076</v>
      </c>
      <c r="BT47" s="0" t="n">
        <v>-0.0222487808611769</v>
      </c>
      <c r="BU47" s="0" t="n">
        <v>-0.0056439039669965</v>
      </c>
      <c r="BV47" s="0" t="n">
        <v>-0.0161871161849909</v>
      </c>
      <c r="BW47" s="0" t="n">
        <v>0.0007931514703921</v>
      </c>
      <c r="BX47" s="0" t="n">
        <v>-0.0004911558671457</v>
      </c>
      <c r="BY47" s="0" t="n">
        <v>-0.0125346449254844</v>
      </c>
      <c r="BZ47" s="0" t="n">
        <v>-0.0187636048059403</v>
      </c>
      <c r="CA47" s="0" t="n">
        <v>-0.0093215492689513</v>
      </c>
      <c r="CB47" s="0" t="n">
        <v>0.0150850961621894</v>
      </c>
      <c r="CC47" s="0" t="n">
        <v>0.0012301248343567</v>
      </c>
      <c r="CD47" s="0" t="n">
        <v>-0.0080772521830001</v>
      </c>
      <c r="CE47" s="0" t="n">
        <v>0.0105865309796811</v>
      </c>
      <c r="CF47" s="0" t="n">
        <v>0.0752368580685236</v>
      </c>
      <c r="CG47" s="0" t="n">
        <v>-0.0149206650585884</v>
      </c>
      <c r="CH47" s="0" t="n">
        <v>-0.0117089700211967</v>
      </c>
      <c r="CI47" s="0" t="n">
        <v>0.0774376546624729</v>
      </c>
      <c r="CJ47" s="0" t="n">
        <v>0.0078395179139547</v>
      </c>
      <c r="CK47" s="0" t="n">
        <v>0.0076422224226778</v>
      </c>
      <c r="CL47" s="0" t="n">
        <v>-0.0179234584232777</v>
      </c>
      <c r="CM47" s="0" t="n">
        <v>-0.0144326145469568</v>
      </c>
      <c r="CN47" s="0" t="n">
        <v>0.0056650867917515</v>
      </c>
      <c r="CO47" s="0" t="n">
        <v>-0.0073694168263207</v>
      </c>
      <c r="CP47" s="0" t="n">
        <v>0.0082015775453547</v>
      </c>
      <c r="CQ47" s="0" t="n">
        <v>-0.028071349506803</v>
      </c>
      <c r="CR47" s="0" t="n">
        <v>-0.0195129127365509</v>
      </c>
      <c r="CS47" s="0" t="n">
        <v>-0.0034189615168357</v>
      </c>
      <c r="CT47" s="0" t="n">
        <v>-0.0091823189408527</v>
      </c>
      <c r="CU47" s="0" t="n">
        <v>-0.0019793608864369</v>
      </c>
      <c r="CV47" s="0" t="n">
        <v>-0.0202601319839048</v>
      </c>
      <c r="CW47" s="0" t="n">
        <v>-0.0118017082321466</v>
      </c>
      <c r="CX47" s="0" t="n">
        <v>-0.0144921088399269</v>
      </c>
      <c r="CY47" s="0" t="n">
        <v>-0.0317163523526402</v>
      </c>
      <c r="CZ47" s="0" t="n">
        <v>0.0020078454661233</v>
      </c>
      <c r="DA47" s="0" t="n">
        <v>-0.0065979061877884</v>
      </c>
      <c r="DB47" s="0" t="n">
        <v>-0.0149312132399026</v>
      </c>
      <c r="DC47" s="0" t="n">
        <v>-0.0453340602088155</v>
      </c>
      <c r="DD47" s="0" t="n">
        <v>-0.0199927204202648</v>
      </c>
      <c r="DE47" s="0" t="n">
        <v>-0.012035856074809</v>
      </c>
      <c r="DF47" s="0" t="n">
        <v>0.0036412723320311</v>
      </c>
      <c r="DG47" s="0" t="n">
        <v>-0.0120314369707791</v>
      </c>
      <c r="DH47" s="0" t="n">
        <v>-0.0145316961829573</v>
      </c>
      <c r="DI47" s="0" t="n">
        <v>-0.0462298658113165</v>
      </c>
      <c r="DJ47" s="0" t="n">
        <v>-0.0270261935676328</v>
      </c>
      <c r="DK47" s="0" t="n">
        <v>-0.0461811981308838</v>
      </c>
      <c r="DL47" s="0" t="n">
        <v>-0.0278870692203462</v>
      </c>
      <c r="DM47" s="0" t="n">
        <v>-0.0383916881354165</v>
      </c>
      <c r="DN47" s="0" t="n">
        <v>-0.0070513594468574</v>
      </c>
      <c r="DO47" s="0" t="n">
        <v>-0.0089344424585542</v>
      </c>
      <c r="DP47" s="0" t="n">
        <v>-0.0422577535299813</v>
      </c>
      <c r="DQ47" s="0" t="n">
        <v>-0.0106878644401315</v>
      </c>
      <c r="DR47" s="0" t="n">
        <v>0.0098990181837896</v>
      </c>
      <c r="DS47" s="0" t="n">
        <v>-0.0058009451222153</v>
      </c>
      <c r="DT47" s="0" t="n">
        <v>-0.0157935430084408</v>
      </c>
      <c r="DU47" s="0" t="n">
        <v>-0.0229982578822517</v>
      </c>
      <c r="DV47" s="0" t="n">
        <v>-0.0036115931157135</v>
      </c>
      <c r="DW47" s="0" t="n">
        <v>-0.0299665021405116</v>
      </c>
      <c r="DX47" s="0" t="n">
        <v>-0.0210856335752232</v>
      </c>
      <c r="DY47" s="0" t="n">
        <v>-0.02769579498728</v>
      </c>
      <c r="DZ47" s="0" t="n">
        <v>-0.0065635537406221</v>
      </c>
      <c r="EA47" s="0" t="n">
        <v>-0.0309037007936145</v>
      </c>
      <c r="EB47" s="0" t="n">
        <v>-0.022643914143666</v>
      </c>
      <c r="EC47" s="0" t="n">
        <v>0.0008725811907294</v>
      </c>
      <c r="ED47" s="0" t="n">
        <v>-0.0179597949756723</v>
      </c>
      <c r="EE47" s="0" t="n">
        <v>-0.0299883693233301</v>
      </c>
      <c r="EF47" s="0" t="n">
        <v>0.0028993101346208</v>
      </c>
      <c r="EG47" s="0" t="n">
        <v>-0.0308243565609445</v>
      </c>
      <c r="EH47" s="0" t="n">
        <v>-0.0144801242213813</v>
      </c>
      <c r="EI47" s="0" t="n">
        <v>-0.0348318280996568</v>
      </c>
      <c r="EJ47" s="0" t="n">
        <v>-0.0127622336181933</v>
      </c>
      <c r="EK47" s="0" t="n">
        <v>0.0046525601714377</v>
      </c>
      <c r="EL47" s="0" t="n">
        <v>-0.0333465750887586</v>
      </c>
      <c r="EM47" s="0" t="n">
        <v>-0.0173419923980389</v>
      </c>
      <c r="EN47" s="0" t="n">
        <v>-0.0302285164219145</v>
      </c>
      <c r="EO47" s="0" t="n">
        <v>-0.0082609968313805</v>
      </c>
      <c r="EP47" s="72" t="n">
        <f aca="false">SUMPRODUCT(B47:EO47,$B$5:$EO$5)</f>
        <v>-0.0306511013243199</v>
      </c>
      <c r="EQ47" s="72" t="n">
        <f aca="false">SUMIF('Mi portafolio'!$A$8:$A$19,$A47,'Mi portafolio'!$B$8:$B$19)</f>
        <v>0</v>
      </c>
    </row>
    <row r="48" customFormat="false" ht="15" hidden="false" customHeight="false" outlineLevel="0" collapsed="false">
      <c r="A48" s="71" t="s">
        <v>268</v>
      </c>
      <c r="B48" s="0" t="n">
        <v>0.0103446421509839</v>
      </c>
      <c r="C48" s="0" t="n">
        <v>-0.0001216141312649</v>
      </c>
      <c r="D48" s="0" t="n">
        <v>0.0031022174774398</v>
      </c>
      <c r="E48" s="0" t="n">
        <v>0.0039912139054791</v>
      </c>
      <c r="F48" s="0" t="n">
        <v>0.0033174935055587</v>
      </c>
      <c r="G48" s="0" t="n">
        <v>-0.000109778438544</v>
      </c>
      <c r="H48" s="0" t="n">
        <v>-0.0006448406934897</v>
      </c>
      <c r="I48" s="0" t="n">
        <v>0.0108100276024419</v>
      </c>
      <c r="J48" s="0" t="n">
        <v>0.0050126860515958</v>
      </c>
      <c r="K48" s="0" t="n">
        <v>0.0078393738905859</v>
      </c>
      <c r="L48" s="0" t="n">
        <v>-0.0004948811287606</v>
      </c>
      <c r="M48" s="0" t="n">
        <v>0.0144008852472551</v>
      </c>
      <c r="N48" s="0" t="n">
        <v>0.0114826480110749</v>
      </c>
      <c r="O48" s="0" t="n">
        <v>0.003587872849125</v>
      </c>
      <c r="P48" s="0" t="n">
        <v>0.0060522832912268</v>
      </c>
      <c r="Q48" s="0" t="n">
        <v>0.0017090587307867</v>
      </c>
      <c r="R48" s="0" t="n">
        <v>0.009385516932121</v>
      </c>
      <c r="S48" s="0" t="n">
        <v>0.0009741543094547</v>
      </c>
      <c r="T48" s="0" t="n">
        <v>0.0469925976145833</v>
      </c>
      <c r="U48" s="0" t="n">
        <v>0.0063985270119573</v>
      </c>
      <c r="V48" s="0" t="n">
        <v>-0.0027654081432216</v>
      </c>
      <c r="W48" s="0" t="n">
        <v>0.0062761845983874</v>
      </c>
      <c r="X48" s="0" t="n">
        <v>0.0455463164051281</v>
      </c>
      <c r="Y48" s="0" t="n">
        <v>0.0216542733775451</v>
      </c>
      <c r="Z48" s="0" t="n">
        <v>0.0016615619015328</v>
      </c>
      <c r="AA48" s="0" t="n">
        <v>0.0094678587694678</v>
      </c>
      <c r="AB48" s="0" t="n">
        <v>0.0231928826453175</v>
      </c>
      <c r="AC48" s="0" t="n">
        <v>-0.0003977972286217</v>
      </c>
      <c r="AD48" s="0" t="n">
        <v>-0.0011572794573704</v>
      </c>
      <c r="AE48" s="0" t="n">
        <v>0.0100627228790408</v>
      </c>
      <c r="AF48" s="0" t="n">
        <v>0.0056974422942071</v>
      </c>
      <c r="AG48" s="0" t="n">
        <v>0.0075589167804435</v>
      </c>
      <c r="AH48" s="0" t="n">
        <v>0.0077733884231977</v>
      </c>
      <c r="AI48" s="0" t="n">
        <v>0.0073770906021438</v>
      </c>
      <c r="AJ48" s="0" t="n">
        <v>0.0015536761906438</v>
      </c>
      <c r="AK48" s="0" t="n">
        <v>0.0048722075688594</v>
      </c>
      <c r="AL48" s="0" t="n">
        <v>0.0201150502959515</v>
      </c>
      <c r="AM48" s="0" t="n">
        <v>0.0097162081420577</v>
      </c>
      <c r="AN48" s="0" t="n">
        <v>0.0188067169321772</v>
      </c>
      <c r="AO48" s="0" t="n">
        <v>0.0101494340119746</v>
      </c>
      <c r="AP48" s="0" t="n">
        <v>0.0149820362590223</v>
      </c>
      <c r="AQ48" s="0" t="n">
        <v>0.0018035640283065</v>
      </c>
      <c r="AR48" s="0" t="n">
        <v>0.0693224002337089</v>
      </c>
      <c r="AS48" s="0" t="n">
        <v>0.0051497265840942</v>
      </c>
      <c r="AT48" s="0" t="n">
        <v>0.0407479662020852</v>
      </c>
      <c r="AU48" s="0" t="n">
        <v>0.0061585750574887</v>
      </c>
      <c r="AV48" s="0" t="n">
        <v>0.0083243550144979</v>
      </c>
      <c r="AW48" s="0" t="n">
        <v>0.0006125819773922</v>
      </c>
      <c r="AX48" s="0" t="n">
        <v>0.0201168768316798</v>
      </c>
      <c r="AY48" s="0" t="n">
        <v>0.0137336611229835</v>
      </c>
      <c r="AZ48" s="0" t="n">
        <v>0.0078621285519618</v>
      </c>
      <c r="BA48" s="0" t="n">
        <v>0.02439567066212</v>
      </c>
      <c r="BB48" s="0" t="n">
        <v>0.0540864805930704</v>
      </c>
      <c r="BC48" s="0" t="n">
        <v>0.0045763755125586</v>
      </c>
      <c r="BD48" s="0" t="n">
        <v>0.0118366896966903</v>
      </c>
      <c r="BE48" s="0" t="n">
        <v>0.0123967788058851</v>
      </c>
      <c r="BF48" s="0" t="n">
        <v>0.0094797612704979</v>
      </c>
      <c r="BG48" s="0" t="n">
        <v>0.0199288198153713</v>
      </c>
      <c r="BH48" s="0" t="n">
        <v>0.007333942576946</v>
      </c>
      <c r="BI48" s="0" t="n">
        <v>0.0081706509474946</v>
      </c>
      <c r="BJ48" s="0" t="n">
        <v>0.0066390679469875</v>
      </c>
      <c r="BK48" s="0" t="n">
        <v>0.0157374961974403</v>
      </c>
      <c r="BL48" s="0" t="n">
        <v>0.0264497176641554</v>
      </c>
      <c r="BM48" s="0" t="n">
        <v>0.0189077325391103</v>
      </c>
      <c r="BN48" s="0" t="n">
        <v>0.015018897175408</v>
      </c>
      <c r="BO48" s="0" t="n">
        <v>0.01825397586409</v>
      </c>
      <c r="BP48" s="0" t="n">
        <v>0.0141437357442996</v>
      </c>
      <c r="BQ48" s="0" t="n">
        <v>0.0210942559480929</v>
      </c>
      <c r="BR48" s="0" t="n">
        <v>0.0273233732025708</v>
      </c>
      <c r="BS48" s="0" t="n">
        <v>0.0029232246612586</v>
      </c>
      <c r="BT48" s="0" t="n">
        <v>0.034589737805503</v>
      </c>
      <c r="BU48" s="0" t="n">
        <v>0.0191374620892543</v>
      </c>
      <c r="BV48" s="0" t="n">
        <v>0.0226873864704423</v>
      </c>
      <c r="BW48" s="0" t="n">
        <v>0.0149647959007462</v>
      </c>
      <c r="BX48" s="0" t="n">
        <v>0.009823439850755</v>
      </c>
      <c r="BY48" s="0" t="n">
        <v>0.0265483231862468</v>
      </c>
      <c r="BZ48" s="0" t="n">
        <v>0.0293316156860793</v>
      </c>
      <c r="CA48" s="0" t="n">
        <v>-0.0030274375510127</v>
      </c>
      <c r="CB48" s="0" t="n">
        <v>0.0060854942054326</v>
      </c>
      <c r="CC48" s="0" t="n">
        <v>0.014841717706277</v>
      </c>
      <c r="CD48" s="0" t="n">
        <v>0.0190418713420838</v>
      </c>
      <c r="CE48" s="0" t="n">
        <v>0.026222978337085</v>
      </c>
      <c r="CF48" s="0" t="n">
        <v>0.0043469972474757</v>
      </c>
      <c r="CG48" s="0" t="n">
        <v>0.0316168529991885</v>
      </c>
      <c r="CH48" s="0" t="n">
        <v>0.0132102575173895</v>
      </c>
      <c r="CI48" s="0" t="n">
        <v>0.0036183776574506</v>
      </c>
      <c r="CJ48" s="0" t="n">
        <v>0.0078487524607669</v>
      </c>
      <c r="CK48" s="0" t="n">
        <v>0.0181566190479093</v>
      </c>
      <c r="CL48" s="0" t="n">
        <v>0.019526168868581</v>
      </c>
      <c r="CM48" s="0" t="n">
        <v>0.0142968427719554</v>
      </c>
      <c r="CN48" s="0" t="n">
        <v>0.0027023575234828</v>
      </c>
      <c r="CO48" s="0" t="n">
        <v>0.0028420346941539</v>
      </c>
      <c r="CP48" s="0" t="n">
        <v>0.0132374166747706</v>
      </c>
      <c r="CQ48" s="0" t="n">
        <v>0.0448954672520642</v>
      </c>
      <c r="CR48" s="0" t="n">
        <v>0.0169686476880596</v>
      </c>
      <c r="CS48" s="0" t="n">
        <v>0.0352894431456966</v>
      </c>
      <c r="CT48" s="0" t="n">
        <v>0.0227996265534084</v>
      </c>
      <c r="CU48" s="0" t="n">
        <v>0.0162162492513515</v>
      </c>
      <c r="CV48" s="0" t="n">
        <v>0.0310640075881403</v>
      </c>
      <c r="CW48" s="0" t="n">
        <v>0.0296749918085289</v>
      </c>
      <c r="CX48" s="0" t="n">
        <v>0.0410427821575724</v>
      </c>
      <c r="CY48" s="0" t="n">
        <v>0.0467950434638648</v>
      </c>
      <c r="CZ48" s="0" t="n">
        <v>0.0220321941014424</v>
      </c>
      <c r="DA48" s="0" t="n">
        <v>0.0191745620480843</v>
      </c>
      <c r="DB48" s="0" t="n">
        <v>0.0167452910007493</v>
      </c>
      <c r="DC48" s="0" t="n">
        <v>0.0279441612247294</v>
      </c>
      <c r="DD48" s="0" t="n">
        <v>0.0262153268055782</v>
      </c>
      <c r="DE48" s="0" t="n">
        <v>0.0249472333552804</v>
      </c>
      <c r="DF48" s="0" t="n">
        <v>0.0178473558482306</v>
      </c>
      <c r="DG48" s="0" t="n">
        <v>0.0194803608427617</v>
      </c>
      <c r="DH48" s="0" t="n">
        <v>0.0156166965661149</v>
      </c>
      <c r="DI48" s="0" t="n">
        <v>0.0441069306351569</v>
      </c>
      <c r="DJ48" s="0" t="n">
        <v>0.0454222417721014</v>
      </c>
      <c r="DK48" s="0" t="n">
        <v>0.0549782100237621</v>
      </c>
      <c r="DL48" s="0" t="n">
        <v>-0.0013541190223015</v>
      </c>
      <c r="DM48" s="0" t="n">
        <v>0.0513427676928856</v>
      </c>
      <c r="DN48" s="0" t="n">
        <v>0.0279760994371809</v>
      </c>
      <c r="DO48" s="0" t="n">
        <v>0.0296318824933656</v>
      </c>
      <c r="DP48" s="0" t="n">
        <v>0.0450173166683116</v>
      </c>
      <c r="DQ48" s="0" t="n">
        <v>0.0211312828612469</v>
      </c>
      <c r="DR48" s="0" t="n">
        <v>0.0323654485000314</v>
      </c>
      <c r="DS48" s="0" t="n">
        <v>0.023736352440076</v>
      </c>
      <c r="DT48" s="0" t="n">
        <v>0.0218571421670824</v>
      </c>
      <c r="DU48" s="0" t="n">
        <v>0.0474128678731317</v>
      </c>
      <c r="DV48" s="0" t="n">
        <v>0.0232329179401292</v>
      </c>
      <c r="DW48" s="0" t="n">
        <v>0.0379867938358712</v>
      </c>
      <c r="DX48" s="0" t="n">
        <v>0.0300813478057669</v>
      </c>
      <c r="DY48" s="0" t="n">
        <v>0.0457395754039393</v>
      </c>
      <c r="DZ48" s="0" t="n">
        <v>0.0181165473103035</v>
      </c>
      <c r="EA48" s="0" t="n">
        <v>0.020306953621477</v>
      </c>
      <c r="EB48" s="0" t="n">
        <v>0.0566971770687543</v>
      </c>
      <c r="EC48" s="0" t="n">
        <v>0.0012058419924491</v>
      </c>
      <c r="ED48" s="0" t="n">
        <v>0.0281762668327212</v>
      </c>
      <c r="EE48" s="0" t="n">
        <v>0.0253235219550993</v>
      </c>
      <c r="EF48" s="0" t="n">
        <v>0.0515932739796269</v>
      </c>
      <c r="EG48" s="0" t="n">
        <v>0.0169345192744769</v>
      </c>
      <c r="EH48" s="0" t="n">
        <v>0.0303488997577531</v>
      </c>
      <c r="EI48" s="0" t="n">
        <v>0.0061661956587108</v>
      </c>
      <c r="EJ48" s="0" t="n">
        <v>0.0493445469084179</v>
      </c>
      <c r="EK48" s="0" t="n">
        <v>0.0434153561312742</v>
      </c>
      <c r="EL48" s="0" t="n">
        <v>0.037025714840218</v>
      </c>
      <c r="EM48" s="0" t="n">
        <v>0.0271625410987758</v>
      </c>
      <c r="EN48" s="0" t="n">
        <v>0.002439348935454</v>
      </c>
      <c r="EO48" s="0" t="n">
        <v>0.0363771381516709</v>
      </c>
      <c r="EP48" s="72" t="n">
        <f aca="false">SUMPRODUCT(B48:EO48,$B$5:$EO$5)</f>
        <v>0.0106348264720447</v>
      </c>
      <c r="EQ48" s="72" t="n">
        <f aca="false">SUMIF('Mi portafolio'!$A$8:$A$19,$A48,'Mi portafolio'!$B$8:$B$19)</f>
        <v>0</v>
      </c>
    </row>
    <row r="49" customFormat="false" ht="15" hidden="false" customHeight="false" outlineLevel="0" collapsed="false">
      <c r="A49" s="71" t="s">
        <v>269</v>
      </c>
      <c r="B49" s="0" t="n">
        <v>-0.0054787023496679</v>
      </c>
      <c r="C49" s="0" t="n">
        <v>0.0053903591669759</v>
      </c>
      <c r="D49" s="0" t="n">
        <v>0.0064330827835177</v>
      </c>
      <c r="E49" s="0" t="n">
        <v>0.0098093780968189</v>
      </c>
      <c r="F49" s="0" t="n">
        <v>0.0004732029695798</v>
      </c>
      <c r="G49" s="0" t="n">
        <v>0.0082666626066361</v>
      </c>
      <c r="H49" s="0" t="n">
        <v>0.017762423403979</v>
      </c>
      <c r="I49" s="0" t="n">
        <v>-0.0004462976757659</v>
      </c>
      <c r="J49" s="0" t="n">
        <v>0.003307399938759</v>
      </c>
      <c r="K49" s="0" t="n">
        <v>0.0004206851791493</v>
      </c>
      <c r="L49" s="0" t="n">
        <v>0.0111111411971129</v>
      </c>
      <c r="M49" s="0" t="n">
        <v>0.0140603211548477</v>
      </c>
      <c r="N49" s="0" t="n">
        <v>0.003450842384346</v>
      </c>
      <c r="O49" s="0" t="n">
        <v>0.0144783324502594</v>
      </c>
      <c r="P49" s="0" t="n">
        <v>0.0026111867047104</v>
      </c>
      <c r="Q49" s="0" t="n">
        <v>0.0013888945370087</v>
      </c>
      <c r="R49" s="0" t="n">
        <v>0.0013308762618418</v>
      </c>
      <c r="S49" s="0" t="n">
        <v>0.0127594909221998</v>
      </c>
      <c r="T49" s="0" t="n">
        <v>0.0066415289551218</v>
      </c>
      <c r="U49" s="0" t="n">
        <v>0.0293493899477012</v>
      </c>
      <c r="V49" s="0" t="n">
        <v>0.0186524555922242</v>
      </c>
      <c r="W49" s="0" t="n">
        <v>0.0140678359261878</v>
      </c>
      <c r="X49" s="0" t="n">
        <v>0.0076194200182895</v>
      </c>
      <c r="Y49" s="0" t="n">
        <v>0.0030966825207626</v>
      </c>
      <c r="Z49" s="0" t="n">
        <v>0.0197877651861252</v>
      </c>
      <c r="AA49" s="0" t="n">
        <v>0.0156382297598941</v>
      </c>
      <c r="AB49" s="0" t="n">
        <v>-0.0017217026712176</v>
      </c>
      <c r="AC49" s="0" t="n">
        <v>0.0052676762285264</v>
      </c>
      <c r="AD49" s="0" t="n">
        <v>0.0102913993530705</v>
      </c>
      <c r="AE49" s="0" t="n">
        <v>0.0247061698478758</v>
      </c>
      <c r="AF49" s="0" t="n">
        <v>0.0271689394205565</v>
      </c>
      <c r="AG49" s="0" t="n">
        <v>-0.0061435087457855</v>
      </c>
      <c r="AH49" s="0" t="n">
        <v>-0.0044434298533508</v>
      </c>
      <c r="AI49" s="0" t="n">
        <v>-0.0147502892593457</v>
      </c>
      <c r="AJ49" s="0" t="n">
        <v>0.0192837786992701</v>
      </c>
      <c r="AK49" s="0" t="n">
        <v>0.0344726900945028</v>
      </c>
      <c r="AL49" s="0" t="n">
        <v>0.0085775345508187</v>
      </c>
      <c r="AM49" s="0" t="n">
        <v>0.0139655794904719</v>
      </c>
      <c r="AN49" s="0" t="n">
        <v>0.0163947615125249</v>
      </c>
      <c r="AO49" s="0" t="n">
        <v>-0.0027019735701968</v>
      </c>
      <c r="AP49" s="0" t="n">
        <v>0.0092093439557077</v>
      </c>
      <c r="AQ49" s="0" t="n">
        <v>-0.0079562614301021</v>
      </c>
      <c r="AR49" s="0" t="n">
        <v>0.0051497265840942</v>
      </c>
      <c r="AS49" s="0" t="n">
        <v>0.0761236376884221</v>
      </c>
      <c r="AT49" s="0" t="n">
        <v>0.0096273785585678</v>
      </c>
      <c r="AU49" s="0" t="n">
        <v>9.24027916034264E-005</v>
      </c>
      <c r="AV49" s="0" t="n">
        <v>0.0168611792193675</v>
      </c>
      <c r="AW49" s="0" t="n">
        <v>0.0220910418885531</v>
      </c>
      <c r="AX49" s="0" t="n">
        <v>0.0032019316424339</v>
      </c>
      <c r="AY49" s="0" t="n">
        <v>0.001290911903568</v>
      </c>
      <c r="AZ49" s="0" t="n">
        <v>0.0226821382443633</v>
      </c>
      <c r="BA49" s="0" t="n">
        <v>0.0114661233078043</v>
      </c>
      <c r="BB49" s="0" t="n">
        <v>0.0123750648020147</v>
      </c>
      <c r="BC49" s="0" t="n">
        <v>0.0106501856822818</v>
      </c>
      <c r="BD49" s="0" t="n">
        <v>0.0409822614962023</v>
      </c>
      <c r="BE49" s="0" t="n">
        <v>0.0040631097291492</v>
      </c>
      <c r="BF49" s="0" t="n">
        <v>0.0259434498155764</v>
      </c>
      <c r="BG49" s="0" t="n">
        <v>0.0077425319184925</v>
      </c>
      <c r="BH49" s="0" t="n">
        <v>0.0276683366115843</v>
      </c>
      <c r="BI49" s="0" t="n">
        <v>0.0035793462536378</v>
      </c>
      <c r="BJ49" s="0" t="n">
        <v>0.0058159967814584</v>
      </c>
      <c r="BK49" s="0" t="n">
        <v>0.0162392712156776</v>
      </c>
      <c r="BL49" s="0" t="n">
        <v>0.0219029461524676</v>
      </c>
      <c r="BM49" s="0" t="n">
        <v>0.0034885750059814</v>
      </c>
      <c r="BN49" s="0" t="n">
        <v>-0.0019831176468959</v>
      </c>
      <c r="BO49" s="0" t="n">
        <v>0.0168332175387064</v>
      </c>
      <c r="BP49" s="0" t="n">
        <v>0.0037494789282425</v>
      </c>
      <c r="BQ49" s="0" t="n">
        <v>0.0265996774879763</v>
      </c>
      <c r="BR49" s="0" t="n">
        <v>0.0120196488922801</v>
      </c>
      <c r="BS49" s="0" t="n">
        <v>-0.0133838455897639</v>
      </c>
      <c r="BT49" s="0" t="n">
        <v>0.0138265188894213</v>
      </c>
      <c r="BU49" s="0" t="n">
        <v>0.0254381648138507</v>
      </c>
      <c r="BV49" s="0" t="n">
        <v>0.0059649863729891</v>
      </c>
      <c r="BW49" s="0" t="n">
        <v>0.0246652682688799</v>
      </c>
      <c r="BX49" s="0" t="n">
        <v>-0.0011115869767127</v>
      </c>
      <c r="BY49" s="0" t="n">
        <v>0.0176649391445974</v>
      </c>
      <c r="BZ49" s="0" t="n">
        <v>0.0138411077820587</v>
      </c>
      <c r="CA49" s="0" t="n">
        <v>0.0324730351560925</v>
      </c>
      <c r="CB49" s="0" t="n">
        <v>0.0095198249901076</v>
      </c>
      <c r="CC49" s="0" t="n">
        <v>0.0011691862777341</v>
      </c>
      <c r="CD49" s="0" t="n">
        <v>0.0093308354567821</v>
      </c>
      <c r="CE49" s="0" t="n">
        <v>0.0074739667959912</v>
      </c>
      <c r="CF49" s="0" t="n">
        <v>-0.0155296944832336</v>
      </c>
      <c r="CG49" s="0" t="n">
        <v>0.00727063211018</v>
      </c>
      <c r="CH49" s="0" t="n">
        <v>0.0421317387454649</v>
      </c>
      <c r="CI49" s="0" t="n">
        <v>-0.0204700844008274</v>
      </c>
      <c r="CJ49" s="0" t="n">
        <v>0.0069583607940984</v>
      </c>
      <c r="CK49" s="0" t="n">
        <v>0.0043126854797265</v>
      </c>
      <c r="CL49" s="0" t="n">
        <v>0.0125083471577224</v>
      </c>
      <c r="CM49" s="0" t="n">
        <v>0.0155789126682489</v>
      </c>
      <c r="CN49" s="0" t="n">
        <v>0.0201761066049623</v>
      </c>
      <c r="CO49" s="0" t="n">
        <v>0.0219707687835959</v>
      </c>
      <c r="CP49" s="0" t="n">
        <v>0.0109068149206213</v>
      </c>
      <c r="CQ49" s="0" t="n">
        <v>0.0144623338279111</v>
      </c>
      <c r="CR49" s="0" t="n">
        <v>0.0200198073192322</v>
      </c>
      <c r="CS49" s="0" t="n">
        <v>0.0153706933803751</v>
      </c>
      <c r="CT49" s="0" t="n">
        <v>0.0286495968083924</v>
      </c>
      <c r="CU49" s="0" t="n">
        <v>0.0203537739437481</v>
      </c>
      <c r="CV49" s="0" t="n">
        <v>0.0078481722494344</v>
      </c>
      <c r="CW49" s="0" t="n">
        <v>0.0195262584983773</v>
      </c>
      <c r="CX49" s="0" t="n">
        <v>0.0213266367018682</v>
      </c>
      <c r="CY49" s="0" t="n">
        <v>0.0107357796625951</v>
      </c>
      <c r="CZ49" s="0" t="n">
        <v>0.0084246946586665</v>
      </c>
      <c r="DA49" s="0" t="n">
        <v>0.0093114014770214</v>
      </c>
      <c r="DB49" s="0" t="n">
        <v>0.0255486076245402</v>
      </c>
      <c r="DC49" s="0" t="n">
        <v>0.0343972111440111</v>
      </c>
      <c r="DD49" s="0" t="n">
        <v>0.0192482420629416</v>
      </c>
      <c r="DE49" s="0" t="n">
        <v>0.0317702362520027</v>
      </c>
      <c r="DF49" s="0" t="n">
        <v>-0.0010159262119357</v>
      </c>
      <c r="DG49" s="0" t="n">
        <v>0.0262204924165917</v>
      </c>
      <c r="DH49" s="0" t="n">
        <v>0.0074356044364094</v>
      </c>
      <c r="DI49" s="0" t="n">
        <v>0.0093168825369183</v>
      </c>
      <c r="DJ49" s="0" t="n">
        <v>0.0128282428911838</v>
      </c>
      <c r="DK49" s="0" t="n">
        <v>0.0189211835752519</v>
      </c>
      <c r="DL49" s="0" t="n">
        <v>0.040084135976726</v>
      </c>
      <c r="DM49" s="0" t="n">
        <v>0.0185191603243783</v>
      </c>
      <c r="DN49" s="0" t="n">
        <v>0.0118792624493994</v>
      </c>
      <c r="DO49" s="0" t="n">
        <v>0.0139490939033332</v>
      </c>
      <c r="DP49" s="0" t="n">
        <v>0.0223953038471831</v>
      </c>
      <c r="DQ49" s="0" t="n">
        <v>0.0111703745662637</v>
      </c>
      <c r="DR49" s="0" t="n">
        <v>0.0132996431637116</v>
      </c>
      <c r="DS49" s="0" t="n">
        <v>0.0024988606245899</v>
      </c>
      <c r="DT49" s="0" t="n">
        <v>0.0033219506840772</v>
      </c>
      <c r="DU49" s="0" t="n">
        <v>0.0205087940912772</v>
      </c>
      <c r="DV49" s="0" t="n">
        <v>0.0066950282652528</v>
      </c>
      <c r="DW49" s="0" t="n">
        <v>0.0107582372398106</v>
      </c>
      <c r="DX49" s="0" t="n">
        <v>0.0180242430379851</v>
      </c>
      <c r="DY49" s="0" t="n">
        <v>0.0114913841173227</v>
      </c>
      <c r="DZ49" s="0" t="n">
        <v>0.004544150130141</v>
      </c>
      <c r="EA49" s="0" t="n">
        <v>0.017726021403394</v>
      </c>
      <c r="EB49" s="0" t="n">
        <v>0.0162272029133564</v>
      </c>
      <c r="EC49" s="0" t="n">
        <v>0.0277240322314821</v>
      </c>
      <c r="ED49" s="0" t="n">
        <v>0.024327264537694</v>
      </c>
      <c r="EE49" s="0" t="n">
        <v>0.0211646014761462</v>
      </c>
      <c r="EF49" s="0" t="n">
        <v>0.0162776839330333</v>
      </c>
      <c r="EG49" s="0" t="n">
        <v>0.0264649986807726</v>
      </c>
      <c r="EH49" s="0" t="n">
        <v>-0.0056588931896633</v>
      </c>
      <c r="EI49" s="0" t="n">
        <v>0.0236124063117183</v>
      </c>
      <c r="EJ49" s="0" t="n">
        <v>0.0341133695557365</v>
      </c>
      <c r="EK49" s="0" t="n">
        <v>0.0202555380507803</v>
      </c>
      <c r="EL49" s="0" t="n">
        <v>0.0387718050983403</v>
      </c>
      <c r="EM49" s="0" t="n">
        <v>-0.0084930868694403</v>
      </c>
      <c r="EN49" s="0" t="n">
        <v>0.0279702639116763</v>
      </c>
      <c r="EO49" s="0" t="n">
        <v>0.0709774517082865</v>
      </c>
      <c r="EP49" s="72" t="n">
        <f aca="false">SUMPRODUCT(B49:EO49,$B$5:$EO$5)</f>
        <v>0.0249250688851419</v>
      </c>
      <c r="EQ49" s="72" t="n">
        <f aca="false">SUMIF('Mi portafolio'!$A$8:$A$19,$A49,'Mi portafolio'!$B$8:$B$19)</f>
        <v>0</v>
      </c>
    </row>
    <row r="50" customFormat="false" ht="15" hidden="false" customHeight="false" outlineLevel="0" collapsed="false">
      <c r="A50" s="71" t="s">
        <v>270</v>
      </c>
      <c r="B50" s="0" t="n">
        <v>0.0125992194096647</v>
      </c>
      <c r="C50" s="0" t="n">
        <v>0.0011376644244069</v>
      </c>
      <c r="D50" s="0" t="n">
        <v>0.0009429912311414</v>
      </c>
      <c r="E50" s="0" t="n">
        <v>0.0068608628793627</v>
      </c>
      <c r="F50" s="0" t="n">
        <v>0.0042231842408269</v>
      </c>
      <c r="G50" s="0" t="n">
        <v>-0.001029606735277</v>
      </c>
      <c r="H50" s="0" t="n">
        <v>-1.44074350913896E-005</v>
      </c>
      <c r="I50" s="0" t="n">
        <v>0.0129924442799923</v>
      </c>
      <c r="J50" s="0" t="n">
        <v>0.0018685581812222</v>
      </c>
      <c r="K50" s="0" t="n">
        <v>0.0092184303687943</v>
      </c>
      <c r="L50" s="0" t="n">
        <v>0.0030045785755802</v>
      </c>
      <c r="M50" s="0" t="n">
        <v>0.0216364567338876</v>
      </c>
      <c r="N50" s="0" t="n">
        <v>0.0136255399126568</v>
      </c>
      <c r="O50" s="0" t="n">
        <v>0.0026549651022269</v>
      </c>
      <c r="P50" s="0" t="n">
        <v>0.0064008257259964</v>
      </c>
      <c r="Q50" s="0" t="n">
        <v>-0.0036239810050143</v>
      </c>
      <c r="R50" s="0" t="n">
        <v>0.0064674829846225</v>
      </c>
      <c r="S50" s="0" t="n">
        <v>0.0009330402241673</v>
      </c>
      <c r="T50" s="0" t="n">
        <v>0.0365621587455245</v>
      </c>
      <c r="U50" s="0" t="n">
        <v>0.0070782605927713</v>
      </c>
      <c r="V50" s="0" t="n">
        <v>0.0035158616961846</v>
      </c>
      <c r="W50" s="0" t="n">
        <v>0.0070307349778151</v>
      </c>
      <c r="X50" s="0" t="n">
        <v>0.0367597293798781</v>
      </c>
      <c r="Y50" s="0" t="n">
        <v>0.0323920449695329</v>
      </c>
      <c r="Z50" s="0" t="n">
        <v>0.0057299443347337</v>
      </c>
      <c r="AA50" s="0" t="n">
        <v>0.0075961974602554</v>
      </c>
      <c r="AB50" s="0" t="n">
        <v>0.0332016408895398</v>
      </c>
      <c r="AC50" s="0" t="n">
        <v>0.0016151525256014</v>
      </c>
      <c r="AD50" s="0" t="n">
        <v>-0.0028670728457428</v>
      </c>
      <c r="AE50" s="0" t="n">
        <v>0.0141325712139363</v>
      </c>
      <c r="AF50" s="0" t="n">
        <v>0.0039487204347022</v>
      </c>
      <c r="AG50" s="0" t="n">
        <v>-0.0012414374474237</v>
      </c>
      <c r="AH50" s="0" t="n">
        <v>0.0005655549591396</v>
      </c>
      <c r="AI50" s="0" t="n">
        <v>-0.0019899362171611</v>
      </c>
      <c r="AJ50" s="0" t="n">
        <v>-0.0017254195660403</v>
      </c>
      <c r="AK50" s="0" t="n">
        <v>0.0078922818797221</v>
      </c>
      <c r="AL50" s="0" t="n">
        <v>0.020473779632321</v>
      </c>
      <c r="AM50" s="0" t="n">
        <v>0.0091416928869984</v>
      </c>
      <c r="AN50" s="0" t="n">
        <v>0.0245605936877538</v>
      </c>
      <c r="AO50" s="0" t="n">
        <v>0.0082375037972518</v>
      </c>
      <c r="AP50" s="0" t="n">
        <v>0.0269615117059674</v>
      </c>
      <c r="AQ50" s="0" t="n">
        <v>-0.005725526710423</v>
      </c>
      <c r="AR50" s="0" t="n">
        <v>0.0407479662020852</v>
      </c>
      <c r="AS50" s="0" t="n">
        <v>0.0096273785585678</v>
      </c>
      <c r="AT50" s="0" t="n">
        <v>0.0706246028501127</v>
      </c>
      <c r="AU50" s="0" t="n">
        <v>0.0022865182279031</v>
      </c>
      <c r="AV50" s="0" t="n">
        <v>0.0126908218085988</v>
      </c>
      <c r="AW50" s="0" t="n">
        <v>0.0078221432218122</v>
      </c>
      <c r="AX50" s="0" t="n">
        <v>0.0193965128248016</v>
      </c>
      <c r="AY50" s="0" t="n">
        <v>0.0274321988952273</v>
      </c>
      <c r="AZ50" s="0" t="n">
        <v>0.0142199637258784</v>
      </c>
      <c r="BA50" s="0" t="n">
        <v>0.0243408839246503</v>
      </c>
      <c r="BB50" s="0" t="n">
        <v>0.0481919093750391</v>
      </c>
      <c r="BC50" s="0" t="n">
        <v>0.008318082237064</v>
      </c>
      <c r="BD50" s="0" t="n">
        <v>0.0087346131911194</v>
      </c>
      <c r="BE50" s="0" t="n">
        <v>0.0113125469997821</v>
      </c>
      <c r="BF50" s="0" t="n">
        <v>0.0086131595139868</v>
      </c>
      <c r="BG50" s="0" t="n">
        <v>0.0329329767552994</v>
      </c>
      <c r="BH50" s="0" t="n">
        <v>0.0109616597850157</v>
      </c>
      <c r="BI50" s="0" t="n">
        <v>0.0098034122969967</v>
      </c>
      <c r="BJ50" s="0" t="n">
        <v>-0.0017087383581737</v>
      </c>
      <c r="BK50" s="0" t="n">
        <v>0.0137880809710022</v>
      </c>
      <c r="BL50" s="0" t="n">
        <v>0.0224107482657218</v>
      </c>
      <c r="BM50" s="0" t="n">
        <v>0.0224600349737905</v>
      </c>
      <c r="BN50" s="0" t="n">
        <v>0.0116985150987262</v>
      </c>
      <c r="BO50" s="0" t="n">
        <v>0.0307535590692011</v>
      </c>
      <c r="BP50" s="0" t="n">
        <v>0.024470983341013</v>
      </c>
      <c r="BQ50" s="0" t="n">
        <v>0.0191862342805534</v>
      </c>
      <c r="BR50" s="0" t="n">
        <v>0.0313230244096197</v>
      </c>
      <c r="BS50" s="0" t="n">
        <v>-0.0075838038549903</v>
      </c>
      <c r="BT50" s="0" t="n">
        <v>0.0289883371149785</v>
      </c>
      <c r="BU50" s="0" t="n">
        <v>0.0082363263406925</v>
      </c>
      <c r="BV50" s="0" t="n">
        <v>0.0304487782504515</v>
      </c>
      <c r="BW50" s="0" t="n">
        <v>0.0278650235776455</v>
      </c>
      <c r="BX50" s="0" t="n">
        <v>0.0107368115403112</v>
      </c>
      <c r="BY50" s="0" t="n">
        <v>0.0381356888189437</v>
      </c>
      <c r="BZ50" s="0" t="n">
        <v>0.0306748950762635</v>
      </c>
      <c r="CA50" s="0" t="n">
        <v>0.001030864343724</v>
      </c>
      <c r="CB50" s="0" t="n">
        <v>0.0041820523820263</v>
      </c>
      <c r="CC50" s="0" t="n">
        <v>0.0236394073987363</v>
      </c>
      <c r="CD50" s="0" t="n">
        <v>0.0318933226927893</v>
      </c>
      <c r="CE50" s="0" t="n">
        <v>0.0209735084811916</v>
      </c>
      <c r="CF50" s="0" t="n">
        <v>-0.0057513141411227</v>
      </c>
      <c r="CG50" s="0" t="n">
        <v>0.0420193145891899</v>
      </c>
      <c r="CH50" s="0" t="n">
        <v>0.0153189554251863</v>
      </c>
      <c r="CI50" s="0" t="n">
        <v>-0.0053535918225</v>
      </c>
      <c r="CJ50" s="0" t="n">
        <v>0.0107325119241178</v>
      </c>
      <c r="CK50" s="0" t="n">
        <v>0.0371172897212483</v>
      </c>
      <c r="CL50" s="0" t="n">
        <v>0.0297408592677372</v>
      </c>
      <c r="CM50" s="0" t="n">
        <v>0.0185897146452989</v>
      </c>
      <c r="CN50" s="0" t="n">
        <v>0.0067028453032409</v>
      </c>
      <c r="CO50" s="0" t="n">
        <v>0.0245528255122584</v>
      </c>
      <c r="CP50" s="0" t="n">
        <v>0.0142897907017496</v>
      </c>
      <c r="CQ50" s="0" t="n">
        <v>0.0566036325697142</v>
      </c>
      <c r="CR50" s="0" t="n">
        <v>0.0246639984573413</v>
      </c>
      <c r="CS50" s="0" t="n">
        <v>0.0284364963851806</v>
      </c>
      <c r="CT50" s="0" t="n">
        <v>0.0346976852898566</v>
      </c>
      <c r="CU50" s="0" t="n">
        <v>0.0126841199635992</v>
      </c>
      <c r="CV50" s="0" t="n">
        <v>0.0315154554103181</v>
      </c>
      <c r="CW50" s="0" t="n">
        <v>0.036063601835486</v>
      </c>
      <c r="CX50" s="0" t="n">
        <v>0.0454852641044567</v>
      </c>
      <c r="CY50" s="0" t="n">
        <v>0.0547639280342088</v>
      </c>
      <c r="CZ50" s="0" t="n">
        <v>0.0234592416056067</v>
      </c>
      <c r="DA50" s="0" t="n">
        <v>0.034346317406918</v>
      </c>
      <c r="DB50" s="0" t="n">
        <v>0.0361956102530681</v>
      </c>
      <c r="DC50" s="0" t="n">
        <v>0.0366860709791403</v>
      </c>
      <c r="DD50" s="0" t="n">
        <v>0.0479658295392478</v>
      </c>
      <c r="DE50" s="0" t="n">
        <v>0.0296683631894988</v>
      </c>
      <c r="DF50" s="0" t="n">
        <v>0.0289887306595813</v>
      </c>
      <c r="DG50" s="0" t="n">
        <v>0.0188099501245702</v>
      </c>
      <c r="DH50" s="0" t="n">
        <v>0.0215921962125508</v>
      </c>
      <c r="DI50" s="0" t="n">
        <v>0.0601562061335721</v>
      </c>
      <c r="DJ50" s="0" t="n">
        <v>0.0588824020583976</v>
      </c>
      <c r="DK50" s="0" t="n">
        <v>0.0657708134254959</v>
      </c>
      <c r="DL50" s="0" t="n">
        <v>-0.002708224349661</v>
      </c>
      <c r="DM50" s="0" t="n">
        <v>0.0640488436472115</v>
      </c>
      <c r="DN50" s="0" t="n">
        <v>0.04542841433857</v>
      </c>
      <c r="DO50" s="0" t="n">
        <v>0.0390201188990757</v>
      </c>
      <c r="DP50" s="0" t="n">
        <v>0.0632318469303084</v>
      </c>
      <c r="DQ50" s="0" t="n">
        <v>0.0258880079606103</v>
      </c>
      <c r="DR50" s="0" t="n">
        <v>0.0234201985553012</v>
      </c>
      <c r="DS50" s="0" t="n">
        <v>0.0430309178572001</v>
      </c>
      <c r="DT50" s="0" t="n">
        <v>0.034204906332551</v>
      </c>
      <c r="DU50" s="0" t="n">
        <v>0.0704025664379053</v>
      </c>
      <c r="DV50" s="0" t="n">
        <v>0.0391300526535264</v>
      </c>
      <c r="DW50" s="0" t="n">
        <v>0.066460586511622</v>
      </c>
      <c r="DX50" s="0" t="n">
        <v>0.028986228402454</v>
      </c>
      <c r="DY50" s="0" t="n">
        <v>0.0922896252264115</v>
      </c>
      <c r="DZ50" s="0" t="n">
        <v>0.023115527615963</v>
      </c>
      <c r="EA50" s="0" t="n">
        <v>0.0445555126431242</v>
      </c>
      <c r="EB50" s="0" t="n">
        <v>0.0930402758361981</v>
      </c>
      <c r="EC50" s="0" t="n">
        <v>0.0043410432604127</v>
      </c>
      <c r="ED50" s="0" t="n">
        <v>0.0480427401677778</v>
      </c>
      <c r="EE50" s="0" t="n">
        <v>0.0280244386166067</v>
      </c>
      <c r="EF50" s="0" t="n">
        <v>0.0287804301445856</v>
      </c>
      <c r="EG50" s="0" t="n">
        <v>0.0226063153609865</v>
      </c>
      <c r="EH50" s="0" t="n">
        <v>0.0561530451461159</v>
      </c>
      <c r="EI50" s="0" t="n">
        <v>0.0174155581495628</v>
      </c>
      <c r="EJ50" s="0" t="n">
        <v>0.072246080130751</v>
      </c>
      <c r="EK50" s="0" t="n">
        <v>0.0517684929677505</v>
      </c>
      <c r="EL50" s="0" t="n">
        <v>0.0455189966380698</v>
      </c>
      <c r="EM50" s="0" t="n">
        <v>0.0413349929824796</v>
      </c>
      <c r="EN50" s="0" t="n">
        <v>0.0723392585013744</v>
      </c>
      <c r="EO50" s="0" t="n">
        <v>0.0714138049763667</v>
      </c>
      <c r="EP50" s="72" t="n">
        <f aca="false">SUMPRODUCT(B50:EO50,$B$5:$EO$5)</f>
        <v>0.0186058492288285</v>
      </c>
      <c r="EQ50" s="72" t="n">
        <f aca="false">SUMIF('Mi portafolio'!$A$8:$A$19,$A50,'Mi portafolio'!$B$8:$B$19)</f>
        <v>0</v>
      </c>
    </row>
    <row r="51" customFormat="false" ht="15" hidden="false" customHeight="false" outlineLevel="0" collapsed="false">
      <c r="A51" s="71" t="s">
        <v>272</v>
      </c>
      <c r="B51" s="0" t="n">
        <v>0.0138439618175645</v>
      </c>
      <c r="C51" s="0" t="n">
        <v>0.002568444830424</v>
      </c>
      <c r="D51" s="0" t="n">
        <v>-0.002042568339336</v>
      </c>
      <c r="E51" s="0" t="n">
        <v>0.0048354080760252</v>
      </c>
      <c r="F51" s="0" t="n">
        <v>0.0229534042289355</v>
      </c>
      <c r="G51" s="0" t="n">
        <v>-0.0009467520271134</v>
      </c>
      <c r="H51" s="0" t="n">
        <v>0.0013327767297432</v>
      </c>
      <c r="I51" s="0" t="n">
        <v>0.0239519407512948</v>
      </c>
      <c r="J51" s="0" t="n">
        <v>0.0242641523942542</v>
      </c>
      <c r="K51" s="0" t="n">
        <v>0.0247022723490128</v>
      </c>
      <c r="L51" s="0" t="n">
        <v>0.005703477156646</v>
      </c>
      <c r="M51" s="0" t="n">
        <v>0.0143650269577779</v>
      </c>
      <c r="N51" s="0" t="n">
        <v>0.0128156709285487</v>
      </c>
      <c r="O51" s="0" t="n">
        <v>0.0056688128433308</v>
      </c>
      <c r="P51" s="0" t="n">
        <v>0.0397690824444749</v>
      </c>
      <c r="Q51" s="0" t="n">
        <v>0.0010570520371807</v>
      </c>
      <c r="R51" s="0" t="n">
        <v>0.0268637914618588</v>
      </c>
      <c r="S51" s="0" t="n">
        <v>0.0048647957357211</v>
      </c>
      <c r="T51" s="0" t="n">
        <v>0.004564746775786</v>
      </c>
      <c r="U51" s="0" t="n">
        <v>0.0053322154739705</v>
      </c>
      <c r="V51" s="0" t="n">
        <v>0.001616916749705</v>
      </c>
      <c r="W51" s="0" t="n">
        <v>0.0091952004453262</v>
      </c>
      <c r="X51" s="0" t="n">
        <v>0.0055500897569931</v>
      </c>
      <c r="Y51" s="0" t="n">
        <v>0.012867721873421</v>
      </c>
      <c r="Z51" s="0" t="n">
        <v>0.0074632235713313</v>
      </c>
      <c r="AA51" s="0" t="n">
        <v>0.0096845463989624</v>
      </c>
      <c r="AB51" s="0" t="n">
        <v>0.0114057970651472</v>
      </c>
      <c r="AC51" s="0" t="n">
        <v>-0.0017283083395334</v>
      </c>
      <c r="AD51" s="0" t="n">
        <v>0.0038094090476715</v>
      </c>
      <c r="AE51" s="0" t="n">
        <v>-0.0020337823613512</v>
      </c>
      <c r="AF51" s="0" t="n">
        <v>0.0008064903524961</v>
      </c>
      <c r="AG51" s="0" t="n">
        <v>0.0180483428783375</v>
      </c>
      <c r="AH51" s="0" t="n">
        <v>0.0188924925970013</v>
      </c>
      <c r="AI51" s="0" t="n">
        <v>0.0116743029490051</v>
      </c>
      <c r="AJ51" s="0" t="n">
        <v>-0.0040589532267527</v>
      </c>
      <c r="AK51" s="0" t="n">
        <v>0.0045713353700877</v>
      </c>
      <c r="AL51" s="0" t="n">
        <v>0.0132563636213103</v>
      </c>
      <c r="AM51" s="0" t="n">
        <v>0.0042564137188154</v>
      </c>
      <c r="AN51" s="0" t="n">
        <v>0.0282366792411073</v>
      </c>
      <c r="AO51" s="0" t="n">
        <v>0.0228223985946945</v>
      </c>
      <c r="AP51" s="0" t="n">
        <v>0.0105620305150738</v>
      </c>
      <c r="AQ51" s="0" t="n">
        <v>0.0132132618961902</v>
      </c>
      <c r="AR51" s="0" t="n">
        <v>0.0061585750574887</v>
      </c>
      <c r="AS51" s="0" t="n">
        <v>9.24027916034264E-005</v>
      </c>
      <c r="AT51" s="0" t="n">
        <v>0.0022865182279031</v>
      </c>
      <c r="AU51" s="0" t="n">
        <v>0.0750995672007245</v>
      </c>
      <c r="AV51" s="0" t="n">
        <v>0.0112889946432003</v>
      </c>
      <c r="AW51" s="0" t="n">
        <v>0.0103608455607934</v>
      </c>
      <c r="AX51" s="0" t="n">
        <v>0.0266336495758581</v>
      </c>
      <c r="AY51" s="0" t="n">
        <v>0.0186183880722642</v>
      </c>
      <c r="AZ51" s="0" t="n">
        <v>0.0011114987168666</v>
      </c>
      <c r="BA51" s="0" t="n">
        <v>0.0161443867897108</v>
      </c>
      <c r="BB51" s="0" t="n">
        <v>0.0002555758336413</v>
      </c>
      <c r="BC51" s="0" t="n">
        <v>0.0034456352693333</v>
      </c>
      <c r="BD51" s="0" t="n">
        <v>-0.0042900196626088</v>
      </c>
      <c r="BE51" s="0" t="n">
        <v>0.0221735648688887</v>
      </c>
      <c r="BF51" s="0" t="n">
        <v>0.0020092491613114</v>
      </c>
      <c r="BG51" s="0" t="n">
        <v>0.0014579231305468</v>
      </c>
      <c r="BH51" s="0" t="n">
        <v>-0.0010940556064084</v>
      </c>
      <c r="BI51" s="0" t="n">
        <v>-0.0025679776167053</v>
      </c>
      <c r="BJ51" s="0" t="n">
        <v>-0.0055614634232022</v>
      </c>
      <c r="BK51" s="0" t="n">
        <v>-0.0009670523767756</v>
      </c>
      <c r="BL51" s="0" t="n">
        <v>0.006440339543191</v>
      </c>
      <c r="BM51" s="0" t="n">
        <v>0.0309058760428966</v>
      </c>
      <c r="BN51" s="0" t="n">
        <v>0.0181240669202467</v>
      </c>
      <c r="BO51" s="0" t="n">
        <v>0.0113614541641698</v>
      </c>
      <c r="BP51" s="0" t="n">
        <v>-0.0044977879930467</v>
      </c>
      <c r="BQ51" s="0" t="n">
        <v>0.0022994635309518</v>
      </c>
      <c r="BR51" s="0" t="n">
        <v>0.0116729212696657</v>
      </c>
      <c r="BS51" s="0" t="n">
        <v>0.0109961581777804</v>
      </c>
      <c r="BT51" s="0" t="n">
        <v>0.0099884679091228</v>
      </c>
      <c r="BU51" s="0" t="n">
        <v>-0.0011534101979222</v>
      </c>
      <c r="BV51" s="0" t="n">
        <v>0.0010211638133507</v>
      </c>
      <c r="BW51" s="0" t="n">
        <v>0.0133013692760662</v>
      </c>
      <c r="BX51" s="0" t="n">
        <v>0.026368823937941</v>
      </c>
      <c r="BY51" s="0" t="n">
        <v>0.0132014794663373</v>
      </c>
      <c r="BZ51" s="0" t="n">
        <v>0.0171086827011409</v>
      </c>
      <c r="CA51" s="0" t="n">
        <v>0.0095913282815579</v>
      </c>
      <c r="CB51" s="0" t="n">
        <v>0.0007897136751259</v>
      </c>
      <c r="CC51" s="0" t="n">
        <v>0.0123289732527491</v>
      </c>
      <c r="CD51" s="0" t="n">
        <v>0.00512253972632</v>
      </c>
      <c r="CE51" s="0" t="n">
        <v>0.0033370620244337</v>
      </c>
      <c r="CF51" s="0" t="n">
        <v>0.0133830643359693</v>
      </c>
      <c r="CG51" s="0" t="n">
        <v>0.0081867136291627</v>
      </c>
      <c r="CH51" s="0" t="n">
        <v>0.0007074170794999</v>
      </c>
      <c r="CI51" s="0" t="n">
        <v>0.0106731215529623</v>
      </c>
      <c r="CJ51" s="0" t="n">
        <v>0.0100320263908298</v>
      </c>
      <c r="CK51" s="0" t="n">
        <v>0.0196220381397148</v>
      </c>
      <c r="CL51" s="0" t="n">
        <v>0.0091131912377186</v>
      </c>
      <c r="CM51" s="0" t="n">
        <v>-0.0080611142533494</v>
      </c>
      <c r="CN51" s="0" t="n">
        <v>0.0011966509679368</v>
      </c>
      <c r="CO51" s="0" t="n">
        <v>-0.0048837541432562</v>
      </c>
      <c r="CP51" s="0" t="n">
        <v>0.0159760356466066</v>
      </c>
      <c r="CQ51" s="0" t="n">
        <v>0.0108242889979293</v>
      </c>
      <c r="CR51" s="0" t="n">
        <v>-0.0034871184056385</v>
      </c>
      <c r="CS51" s="0" t="n">
        <v>0.0160831332389049</v>
      </c>
      <c r="CT51" s="0" t="n">
        <v>0.0018942877303703</v>
      </c>
      <c r="CU51" s="0" t="n">
        <v>0.0037681768522875</v>
      </c>
      <c r="CV51" s="0" t="n">
        <v>-0.0018200046973959</v>
      </c>
      <c r="CW51" s="0" t="n">
        <v>-0.0029727829140271</v>
      </c>
      <c r="CX51" s="0" t="n">
        <v>0.004166453353739</v>
      </c>
      <c r="CY51" s="0" t="n">
        <v>0.0101410659920291</v>
      </c>
      <c r="CZ51" s="0" t="n">
        <v>0.0073950411213603</v>
      </c>
      <c r="DA51" s="0" t="n">
        <v>-0.0012779655808919</v>
      </c>
      <c r="DB51" s="0" t="n">
        <v>-0.002518499415105</v>
      </c>
      <c r="DC51" s="0" t="n">
        <v>-0.0010470313191109</v>
      </c>
      <c r="DD51" s="0" t="n">
        <v>0.0060906265221798</v>
      </c>
      <c r="DE51" s="0" t="n">
        <v>-0.0060754392584776</v>
      </c>
      <c r="DF51" s="0" t="n">
        <v>-0.0010334880435161</v>
      </c>
      <c r="DG51" s="0" t="n">
        <v>-0.003966142682399</v>
      </c>
      <c r="DH51" s="0" t="n">
        <v>-0.0086036787391044</v>
      </c>
      <c r="DI51" s="0" t="n">
        <v>0.008112802883446</v>
      </c>
      <c r="DJ51" s="0" t="n">
        <v>0.0160073943985861</v>
      </c>
      <c r="DK51" s="0" t="n">
        <v>0.0111961240780305</v>
      </c>
      <c r="DL51" s="0" t="n">
        <v>-0.0034172423277965</v>
      </c>
      <c r="DM51" s="0" t="n">
        <v>0.0211913968257503</v>
      </c>
      <c r="DN51" s="0" t="n">
        <v>0.0188021553183526</v>
      </c>
      <c r="DO51" s="0" t="n">
        <v>-0.0073083030578379</v>
      </c>
      <c r="DP51" s="0" t="n">
        <v>0.0179320606148315</v>
      </c>
      <c r="DQ51" s="0" t="n">
        <v>-0.0017700755304479</v>
      </c>
      <c r="DR51" s="0" t="n">
        <v>-0.0021931631556297</v>
      </c>
      <c r="DS51" s="0" t="n">
        <v>-0.0030605194634009</v>
      </c>
      <c r="DT51" s="0" t="n">
        <v>-0.0199540996094006</v>
      </c>
      <c r="DU51" s="0" t="n">
        <v>-0.0170573819262155</v>
      </c>
      <c r="DV51" s="0" t="n">
        <v>0.0010913020068853</v>
      </c>
      <c r="DW51" s="0" t="n">
        <v>-0.0029963776848114</v>
      </c>
      <c r="DX51" s="0" t="n">
        <v>-0.010463694494057</v>
      </c>
      <c r="DY51" s="0" t="n">
        <v>-0.0120251279535567</v>
      </c>
      <c r="DZ51" s="0" t="n">
        <v>-0.0001365298019313</v>
      </c>
      <c r="EA51" s="0" t="n">
        <v>0.0025430743656125</v>
      </c>
      <c r="EB51" s="0" t="n">
        <v>-0.0005461807678667</v>
      </c>
      <c r="EC51" s="0" t="n">
        <v>-0.0177597570929726</v>
      </c>
      <c r="ED51" s="0" t="n">
        <v>0.0020167357203178</v>
      </c>
      <c r="EE51" s="0" t="n">
        <v>-0.0104758013513916</v>
      </c>
      <c r="EF51" s="0" t="n">
        <v>-0.0010803325799648</v>
      </c>
      <c r="EG51" s="0" t="n">
        <v>-0.0046186453115423</v>
      </c>
      <c r="EH51" s="0" t="n">
        <v>0.0010277102644185</v>
      </c>
      <c r="EI51" s="0" t="n">
        <v>-0.0354765661812413</v>
      </c>
      <c r="EJ51" s="0" t="n">
        <v>-0.001230644068801</v>
      </c>
      <c r="EK51" s="0" t="n">
        <v>-0.0039024514187587</v>
      </c>
      <c r="EL51" s="0" t="n">
        <v>-0.0052150899265369</v>
      </c>
      <c r="EM51" s="0" t="n">
        <v>-0.0168965289579172</v>
      </c>
      <c r="EN51" s="0" t="n">
        <v>0.0175334271941169</v>
      </c>
      <c r="EO51" s="0" t="n">
        <v>-0.0095886318877008</v>
      </c>
      <c r="EP51" s="72" t="n">
        <f aca="false">SUMPRODUCT(B51:EO51,$B$5:$EO$5)</f>
        <v>-0.019342900485111</v>
      </c>
      <c r="EQ51" s="72" t="n">
        <f aca="false">SUMIF('Mi portafolio'!$A$8:$A$19,$A51,'Mi portafolio'!$B$8:$B$19)</f>
        <v>0</v>
      </c>
    </row>
    <row r="52" customFormat="false" ht="15" hidden="false" customHeight="false" outlineLevel="0" collapsed="false">
      <c r="A52" s="71" t="s">
        <v>274</v>
      </c>
      <c r="B52" s="0" t="n">
        <v>0.0038111600023353</v>
      </c>
      <c r="C52" s="0" t="n">
        <v>0.0132802825354154</v>
      </c>
      <c r="D52" s="0" t="n">
        <v>0.0050982040720463</v>
      </c>
      <c r="E52" s="0" t="n">
        <v>0.0242685391014506</v>
      </c>
      <c r="F52" s="0" t="n">
        <v>0.0049941369331404</v>
      </c>
      <c r="G52" s="0" t="n">
        <v>0.0028429690478652</v>
      </c>
      <c r="H52" s="0" t="n">
        <v>0.0106777461841932</v>
      </c>
      <c r="I52" s="0" t="n">
        <v>0.0078521701380609</v>
      </c>
      <c r="J52" s="0" t="n">
        <v>0.002140350119135</v>
      </c>
      <c r="K52" s="0" t="n">
        <v>0.0051260625983627</v>
      </c>
      <c r="L52" s="0" t="n">
        <v>0.016667057354375</v>
      </c>
      <c r="M52" s="0" t="n">
        <v>0.0112663342108955</v>
      </c>
      <c r="N52" s="0" t="n">
        <v>0.0102611036539999</v>
      </c>
      <c r="O52" s="0" t="n">
        <v>0.0205170444884294</v>
      </c>
      <c r="P52" s="0" t="n">
        <v>0.0112152183155664</v>
      </c>
      <c r="Q52" s="0" t="n">
        <v>0.0035285606881391</v>
      </c>
      <c r="R52" s="0" t="n">
        <v>0.0095298455558736</v>
      </c>
      <c r="S52" s="0" t="n">
        <v>0.0174196150605449</v>
      </c>
      <c r="T52" s="0" t="n">
        <v>0.0089191649706983</v>
      </c>
      <c r="U52" s="0" t="n">
        <v>0.0227606430069176</v>
      </c>
      <c r="V52" s="0" t="n">
        <v>0.0156046686150383</v>
      </c>
      <c r="W52" s="0" t="n">
        <v>0.0244741550906616</v>
      </c>
      <c r="X52" s="0" t="n">
        <v>0.009937770271806</v>
      </c>
      <c r="Y52" s="0" t="n">
        <v>0.0076611438223974</v>
      </c>
      <c r="Z52" s="0" t="n">
        <v>0.0169571675444742</v>
      </c>
      <c r="AA52" s="0" t="n">
        <v>0.0114189542741194</v>
      </c>
      <c r="AB52" s="0" t="n">
        <v>0.0022795584534259</v>
      </c>
      <c r="AC52" s="0" t="n">
        <v>0.0173674475753924</v>
      </c>
      <c r="AD52" s="0" t="n">
        <v>0.0179031698026585</v>
      </c>
      <c r="AE52" s="0" t="n">
        <v>0.0217762378396992</v>
      </c>
      <c r="AF52" s="0" t="n">
        <v>0.0221087994506928</v>
      </c>
      <c r="AG52" s="0" t="n">
        <v>0.00412997981954</v>
      </c>
      <c r="AH52" s="0" t="n">
        <v>0.005425678406277</v>
      </c>
      <c r="AI52" s="0" t="n">
        <v>0.0024955749603091</v>
      </c>
      <c r="AJ52" s="0" t="n">
        <v>0.0151494068901363</v>
      </c>
      <c r="AK52" s="0" t="n">
        <v>0.0229099307070685</v>
      </c>
      <c r="AL52" s="0" t="n">
        <v>0.008692380451853</v>
      </c>
      <c r="AM52" s="0" t="n">
        <v>0.0095523981777931</v>
      </c>
      <c r="AN52" s="0" t="n">
        <v>0.013036672716855</v>
      </c>
      <c r="AO52" s="0" t="n">
        <v>0.00751877822271</v>
      </c>
      <c r="AP52" s="0" t="n">
        <v>0.0127965922477495</v>
      </c>
      <c r="AQ52" s="0" t="n">
        <v>0.0031929387095639</v>
      </c>
      <c r="AR52" s="0" t="n">
        <v>0.0083243550144979</v>
      </c>
      <c r="AS52" s="0" t="n">
        <v>0.0168611792193675</v>
      </c>
      <c r="AT52" s="0" t="n">
        <v>0.0126908218085988</v>
      </c>
      <c r="AU52" s="0" t="n">
        <v>0.0112889946432003</v>
      </c>
      <c r="AV52" s="0" t="n">
        <v>0.0761515177561887</v>
      </c>
      <c r="AW52" s="0" t="n">
        <v>0.028269264684173</v>
      </c>
      <c r="AX52" s="0" t="n">
        <v>0.013387367573887</v>
      </c>
      <c r="AY52" s="0" t="n">
        <v>0.0112753720239108</v>
      </c>
      <c r="AZ52" s="0" t="n">
        <v>0.0154196428592782</v>
      </c>
      <c r="BA52" s="0" t="n">
        <v>0.0152646299756291</v>
      </c>
      <c r="BB52" s="0" t="n">
        <v>0.0128721527356826</v>
      </c>
      <c r="BC52" s="0" t="n">
        <v>0.0183290536356076</v>
      </c>
      <c r="BD52" s="0" t="n">
        <v>0.0201852322114092</v>
      </c>
      <c r="BE52" s="0" t="n">
        <v>0.0068306326385074</v>
      </c>
      <c r="BF52" s="0" t="n">
        <v>0.0227276180317328</v>
      </c>
      <c r="BG52" s="0" t="n">
        <v>0.0091195908804572</v>
      </c>
      <c r="BH52" s="0" t="n">
        <v>0.0269270591457452</v>
      </c>
      <c r="BI52" s="0" t="n">
        <v>0.0178369514877268</v>
      </c>
      <c r="BJ52" s="0" t="n">
        <v>0.009998554614001</v>
      </c>
      <c r="BK52" s="0" t="n">
        <v>0.0186295147396377</v>
      </c>
      <c r="BL52" s="0" t="n">
        <v>0.0104222328782418</v>
      </c>
      <c r="BM52" s="0" t="n">
        <v>0.0111856703336029</v>
      </c>
      <c r="BN52" s="0" t="n">
        <v>0.0037440054807158</v>
      </c>
      <c r="BO52" s="0" t="n">
        <v>0.015119817339895</v>
      </c>
      <c r="BP52" s="0" t="n">
        <v>0.0097896829617931</v>
      </c>
      <c r="BQ52" s="0" t="n">
        <v>0.0235938072290632</v>
      </c>
      <c r="BR52" s="0" t="n">
        <v>0.0151744644837997</v>
      </c>
      <c r="BS52" s="0" t="n">
        <v>-0.0021682233210373</v>
      </c>
      <c r="BT52" s="0" t="n">
        <v>0.009160867910236</v>
      </c>
      <c r="BU52" s="0" t="n">
        <v>0.0084021624933792</v>
      </c>
      <c r="BV52" s="0" t="n">
        <v>0.0078050682443711</v>
      </c>
      <c r="BW52" s="0" t="n">
        <v>0.0146489552073671</v>
      </c>
      <c r="BX52" s="0" t="n">
        <v>0.0121382552739372</v>
      </c>
      <c r="BY52" s="0" t="n">
        <v>0.0079685126448502</v>
      </c>
      <c r="BZ52" s="0" t="n">
        <v>0.0114244424836509</v>
      </c>
      <c r="CA52" s="0" t="n">
        <v>0.0319265907964462</v>
      </c>
      <c r="CB52" s="0" t="n">
        <v>-0.0007165668740472</v>
      </c>
      <c r="CC52" s="0" t="n">
        <v>0.0068235776788681</v>
      </c>
      <c r="CD52" s="0" t="n">
        <v>-0.0016157754252413</v>
      </c>
      <c r="CE52" s="0" t="n">
        <v>0.0050854412128203</v>
      </c>
      <c r="CF52" s="0" t="n">
        <v>-0.0041274475237829</v>
      </c>
      <c r="CG52" s="0" t="n">
        <v>0.0081900171352889</v>
      </c>
      <c r="CH52" s="0" t="n">
        <v>0.0301133929063563</v>
      </c>
      <c r="CI52" s="0" t="n">
        <v>-0.0028295437864041</v>
      </c>
      <c r="CJ52" s="0" t="n">
        <v>0.0065334157286326</v>
      </c>
      <c r="CK52" s="0" t="n">
        <v>0.012956235679926</v>
      </c>
      <c r="CL52" s="0" t="n">
        <v>0.0061371134853821</v>
      </c>
      <c r="CM52" s="0" t="n">
        <v>0.0055476006345497</v>
      </c>
      <c r="CN52" s="0" t="n">
        <v>0.0175625689955762</v>
      </c>
      <c r="CO52" s="0" t="n">
        <v>0.016981473622097</v>
      </c>
      <c r="CP52" s="0" t="n">
        <v>0.010839759488209</v>
      </c>
      <c r="CQ52" s="0" t="n">
        <v>0.0120890304091093</v>
      </c>
      <c r="CR52" s="0" t="n">
        <v>0.0145545438158752</v>
      </c>
      <c r="CS52" s="0" t="n">
        <v>0.0190070636946596</v>
      </c>
      <c r="CT52" s="0" t="n">
        <v>0.0138546437152042</v>
      </c>
      <c r="CU52" s="0" t="n">
        <v>0.0179719227218951</v>
      </c>
      <c r="CV52" s="0" t="n">
        <v>0.0035171852462325</v>
      </c>
      <c r="CW52" s="0" t="n">
        <v>0.0169949428076948</v>
      </c>
      <c r="CX52" s="0" t="n">
        <v>0.0114145367232164</v>
      </c>
      <c r="CY52" s="0" t="n">
        <v>0.0159802501849153</v>
      </c>
      <c r="CZ52" s="0" t="n">
        <v>0.0035522413831738</v>
      </c>
      <c r="DA52" s="0" t="n">
        <v>0.004871770480817</v>
      </c>
      <c r="DB52" s="0" t="n">
        <v>0.0294865176728144</v>
      </c>
      <c r="DC52" s="0" t="n">
        <v>0.0269842000854675</v>
      </c>
      <c r="DD52" s="0" t="n">
        <v>0.0098597088808785</v>
      </c>
      <c r="DE52" s="0" t="n">
        <v>0.0226091199632619</v>
      </c>
      <c r="DF52" s="0" t="n">
        <v>0.0018430591065159</v>
      </c>
      <c r="DG52" s="0" t="n">
        <v>0.0161487778462586</v>
      </c>
      <c r="DH52" s="0" t="n">
        <v>0.0231195364351073</v>
      </c>
      <c r="DI52" s="0" t="n">
        <v>0.0184873100133635</v>
      </c>
      <c r="DJ52" s="0" t="n">
        <v>0.0035445236233225</v>
      </c>
      <c r="DK52" s="0" t="n">
        <v>0.0170246628401341</v>
      </c>
      <c r="DL52" s="0" t="n">
        <v>0.0235071327687525</v>
      </c>
      <c r="DM52" s="0" t="n">
        <v>0.0126470146607645</v>
      </c>
      <c r="DN52" s="0" t="n">
        <v>0.0030588897946208</v>
      </c>
      <c r="DO52" s="0" t="n">
        <v>0.0239970425963735</v>
      </c>
      <c r="DP52" s="0" t="n">
        <v>0.0060711467739502</v>
      </c>
      <c r="DQ52" s="0" t="n">
        <v>-0.002026235044241</v>
      </c>
      <c r="DR52" s="0" t="n">
        <v>0.0162893870474155</v>
      </c>
      <c r="DS52" s="0" t="n">
        <v>-0.0090719629606056</v>
      </c>
      <c r="DT52" s="0" t="n">
        <v>0.0114986621454137</v>
      </c>
      <c r="DU52" s="0" t="n">
        <v>0.0257769314240849</v>
      </c>
      <c r="DV52" s="0" t="n">
        <v>0.0240536196598476</v>
      </c>
      <c r="DW52" s="0" t="n">
        <v>0.0192519774670506</v>
      </c>
      <c r="DX52" s="0" t="n">
        <v>0.01601669849929</v>
      </c>
      <c r="DY52" s="0" t="n">
        <v>0.020887109847859</v>
      </c>
      <c r="DZ52" s="0" t="n">
        <v>0.003080883469952</v>
      </c>
      <c r="EA52" s="0" t="n">
        <v>0.0164844049199667</v>
      </c>
      <c r="EB52" s="0" t="n">
        <v>0.027618292495313</v>
      </c>
      <c r="EC52" s="0" t="n">
        <v>0.0067147051945025</v>
      </c>
      <c r="ED52" s="0" t="n">
        <v>0.0372822444665039</v>
      </c>
      <c r="EE52" s="0" t="n">
        <v>0.0171254222652216</v>
      </c>
      <c r="EF52" s="0" t="n">
        <v>0.0204417563746525</v>
      </c>
      <c r="EG52" s="0" t="n">
        <v>0.022399926960295</v>
      </c>
      <c r="EH52" s="0" t="n">
        <v>0.0095641859284631</v>
      </c>
      <c r="EI52" s="0" t="n">
        <v>0.0001367377702636</v>
      </c>
      <c r="EJ52" s="0" t="n">
        <v>0.0397606913393625</v>
      </c>
      <c r="EK52" s="0" t="n">
        <v>0.0407394012809907</v>
      </c>
      <c r="EL52" s="0" t="n">
        <v>0.0430025113750599</v>
      </c>
      <c r="EM52" s="0" t="n">
        <v>0.0112780296760127</v>
      </c>
      <c r="EN52" s="0" t="n">
        <v>0.0046462723699355</v>
      </c>
      <c r="EO52" s="0" t="n">
        <v>0.0318266763477784</v>
      </c>
      <c r="EP52" s="72" t="n">
        <f aca="false">SUMPRODUCT(B52:EO52,$B$5:$EO$5)</f>
        <v>0.0108894727889194</v>
      </c>
      <c r="EQ52" s="72" t="n">
        <f aca="false">SUMIF('Mi portafolio'!$A$8:$A$19,$A52,'Mi portafolio'!$B$8:$B$19)</f>
        <v>0</v>
      </c>
    </row>
    <row r="53" customFormat="false" ht="15" hidden="false" customHeight="false" outlineLevel="0" collapsed="false">
      <c r="A53" s="71" t="s">
        <v>162</v>
      </c>
      <c r="B53" s="0" t="n">
        <v>3.86983150031541E-005</v>
      </c>
      <c r="C53" s="0" t="n">
        <v>0.0091843956802168</v>
      </c>
      <c r="D53" s="0" t="n">
        <v>0.0022730151177527</v>
      </c>
      <c r="E53" s="0" t="n">
        <v>0.009085590377709</v>
      </c>
      <c r="F53" s="0" t="n">
        <v>-0.0017656755723665</v>
      </c>
      <c r="G53" s="0" t="n">
        <v>0.0061019201235447</v>
      </c>
      <c r="H53" s="0" t="n">
        <v>0.0204577656772446</v>
      </c>
      <c r="I53" s="0" t="n">
        <v>0.0020311781546366</v>
      </c>
      <c r="J53" s="0" t="n">
        <v>0.0015306889398518</v>
      </c>
      <c r="K53" s="0" t="n">
        <v>0.0020454226278557</v>
      </c>
      <c r="L53" s="0" t="n">
        <v>0.0094007593104589</v>
      </c>
      <c r="M53" s="0" t="n">
        <v>0.0149380611380344</v>
      </c>
      <c r="N53" s="0" t="n">
        <v>0.0039348968223939</v>
      </c>
      <c r="O53" s="0" t="n">
        <v>0.015974886302864</v>
      </c>
      <c r="P53" s="0" t="n">
        <v>0.0075964666413749</v>
      </c>
      <c r="Q53" s="0" t="n">
        <v>0.0078067112008891</v>
      </c>
      <c r="R53" s="0" t="n">
        <v>0.0029393397882803</v>
      </c>
      <c r="S53" s="0" t="n">
        <v>0.0201282765678274</v>
      </c>
      <c r="T53" s="0" t="n">
        <v>0.0052407577206442</v>
      </c>
      <c r="U53" s="0" t="n">
        <v>0.022080006271271</v>
      </c>
      <c r="V53" s="0" t="n">
        <v>0.0221574168897227</v>
      </c>
      <c r="W53" s="0" t="n">
        <v>0.0156073401067</v>
      </c>
      <c r="X53" s="0" t="n">
        <v>0.0065481493806268</v>
      </c>
      <c r="Y53" s="0" t="n">
        <v>0.0036486891248879</v>
      </c>
      <c r="Z53" s="0" t="n">
        <v>0.0247719406749939</v>
      </c>
      <c r="AA53" s="0" t="n">
        <v>0.0036533951940534</v>
      </c>
      <c r="AB53" s="0" t="n">
        <v>-0.0001750187816437</v>
      </c>
      <c r="AC53" s="0" t="n">
        <v>0.0144140095112704</v>
      </c>
      <c r="AD53" s="0" t="n">
        <v>0.0219742119487803</v>
      </c>
      <c r="AE53" s="0" t="n">
        <v>0.0210462603377087</v>
      </c>
      <c r="AF53" s="0" t="n">
        <v>0.0229683161079132</v>
      </c>
      <c r="AG53" s="0" t="n">
        <v>-0.0015158352059497</v>
      </c>
      <c r="AH53" s="0" t="n">
        <v>-0.0048040513332416</v>
      </c>
      <c r="AI53" s="0" t="n">
        <v>-0.0073429344033728</v>
      </c>
      <c r="AJ53" s="0" t="n">
        <v>0.0063354530760337</v>
      </c>
      <c r="AK53" s="0" t="n">
        <v>0.0276410063077051</v>
      </c>
      <c r="AL53" s="0" t="n">
        <v>0.002828259975953</v>
      </c>
      <c r="AM53" s="0" t="n">
        <v>0.012964462461601</v>
      </c>
      <c r="AN53" s="0" t="n">
        <v>0.017404866583273</v>
      </c>
      <c r="AO53" s="0" t="n">
        <v>-0.0035105312596624</v>
      </c>
      <c r="AP53" s="0" t="n">
        <v>0.0101928828598836</v>
      </c>
      <c r="AQ53" s="0" t="n">
        <v>-0.0040639323259986</v>
      </c>
      <c r="AR53" s="0" t="n">
        <v>0.0006125819773922</v>
      </c>
      <c r="AS53" s="0" t="n">
        <v>0.0220910418885531</v>
      </c>
      <c r="AT53" s="0" t="n">
        <v>0.0078221432218122</v>
      </c>
      <c r="AU53" s="0" t="n">
        <v>0.0103608455607934</v>
      </c>
      <c r="AV53" s="0" t="n">
        <v>0.028269264684173</v>
      </c>
      <c r="AW53" s="0" t="n">
        <v>0.0802890719633114</v>
      </c>
      <c r="AX53" s="0" t="n">
        <v>0.0074397175583134</v>
      </c>
      <c r="AY53" s="0" t="n">
        <v>0.0126801333739201</v>
      </c>
      <c r="AZ53" s="0" t="n">
        <v>0.0248234121263399</v>
      </c>
      <c r="BA53" s="0" t="n">
        <v>0.018308716601394</v>
      </c>
      <c r="BB53" s="0" t="n">
        <v>0.009362206773008</v>
      </c>
      <c r="BC53" s="0" t="n">
        <v>0.0175990438587365</v>
      </c>
      <c r="BD53" s="0" t="n">
        <v>0.0285890984885038</v>
      </c>
      <c r="BE53" s="0" t="n">
        <v>0.0090148531756765</v>
      </c>
      <c r="BF53" s="0" t="n">
        <v>0.0302669862875885</v>
      </c>
      <c r="BG53" s="0" t="n">
        <v>0.0100676912788271</v>
      </c>
      <c r="BH53" s="0" t="n">
        <v>0.0304418823451551</v>
      </c>
      <c r="BI53" s="0" t="n">
        <v>0.0105927801950444</v>
      </c>
      <c r="BJ53" s="0" t="n">
        <v>0.0057908151873624</v>
      </c>
      <c r="BK53" s="0" t="n">
        <v>0.0174883825730935</v>
      </c>
      <c r="BL53" s="0" t="n">
        <v>0.021991948779943</v>
      </c>
      <c r="BM53" s="0" t="n">
        <v>0.0025578065679466</v>
      </c>
      <c r="BN53" s="0" t="n">
        <v>0.0046735229403172</v>
      </c>
      <c r="BO53" s="0" t="n">
        <v>0.0084976453259163</v>
      </c>
      <c r="BP53" s="0" t="n">
        <v>-0.0014354969048351</v>
      </c>
      <c r="BQ53" s="0" t="n">
        <v>0.0440693230438067</v>
      </c>
      <c r="BR53" s="0" t="n">
        <v>0.0121923534588384</v>
      </c>
      <c r="BS53" s="0" t="n">
        <v>-0.0060594823077064</v>
      </c>
      <c r="BT53" s="0" t="n">
        <v>0.0201812780704931</v>
      </c>
      <c r="BU53" s="0" t="n">
        <v>0.0279537356393904</v>
      </c>
      <c r="BV53" s="0" t="n">
        <v>0.0068654577882353</v>
      </c>
      <c r="BW53" s="0" t="n">
        <v>0.0182759638568074</v>
      </c>
      <c r="BX53" s="0" t="n">
        <v>0.0068224152817047</v>
      </c>
      <c r="BY53" s="0" t="n">
        <v>0.0139859170733839</v>
      </c>
      <c r="BZ53" s="0" t="n">
        <v>0.0180961041749494</v>
      </c>
      <c r="CA53" s="0" t="n">
        <v>0.027336410464551</v>
      </c>
      <c r="CB53" s="0" t="n">
        <v>-0.0021925673608518</v>
      </c>
      <c r="CC53" s="0" t="n">
        <v>0.0109824197013733</v>
      </c>
      <c r="CD53" s="0" t="n">
        <v>0.0097485064142088</v>
      </c>
      <c r="CE53" s="0" t="n">
        <v>0.0143371454692093</v>
      </c>
      <c r="CF53" s="0" t="n">
        <v>-0.0073526471958501</v>
      </c>
      <c r="CG53" s="0" t="n">
        <v>0.01255141585943</v>
      </c>
      <c r="CH53" s="0" t="n">
        <v>0.0436742615470662</v>
      </c>
      <c r="CI53" s="0" t="n">
        <v>-0.0064807064962539</v>
      </c>
      <c r="CJ53" s="0" t="n">
        <v>-0.0030581472843508</v>
      </c>
      <c r="CK53" s="0" t="n">
        <v>0.0192464196335087</v>
      </c>
      <c r="CL53" s="0" t="n">
        <v>0.0132050382372158</v>
      </c>
      <c r="CM53" s="0" t="n">
        <v>0.0141759794167281</v>
      </c>
      <c r="CN53" s="0" t="n">
        <v>0.0265606694070825</v>
      </c>
      <c r="CO53" s="0" t="n">
        <v>0.0220983114392577</v>
      </c>
      <c r="CP53" s="0" t="n">
        <v>0.002638806019421</v>
      </c>
      <c r="CQ53" s="0" t="n">
        <v>0.0114477682828773</v>
      </c>
      <c r="CR53" s="0" t="n">
        <v>0.0160744483782989</v>
      </c>
      <c r="CS53" s="0" t="n">
        <v>0.0272100224370074</v>
      </c>
      <c r="CT53" s="0" t="n">
        <v>0.0173802107281383</v>
      </c>
      <c r="CU53" s="0" t="n">
        <v>0.0096566252179497</v>
      </c>
      <c r="CV53" s="0" t="n">
        <v>0.0027419462547822</v>
      </c>
      <c r="CW53" s="0" t="n">
        <v>0.0127615242269473</v>
      </c>
      <c r="CX53" s="0" t="n">
        <v>0.0157618380068347</v>
      </c>
      <c r="CY53" s="0" t="n">
        <v>0.0114410735469273</v>
      </c>
      <c r="CZ53" s="0" t="n">
        <v>0.0160559623827372</v>
      </c>
      <c r="DA53" s="0" t="n">
        <v>0.0044285309095719</v>
      </c>
      <c r="DB53" s="0" t="n">
        <v>0.0324478094587639</v>
      </c>
      <c r="DC53" s="0" t="n">
        <v>0.0256890748763342</v>
      </c>
      <c r="DD53" s="0" t="n">
        <v>0.0225205808049824</v>
      </c>
      <c r="DE53" s="0" t="n">
        <v>0.0387720974487382</v>
      </c>
      <c r="DF53" s="0" t="n">
        <v>-0.0052295069166806</v>
      </c>
      <c r="DG53" s="0" t="n">
        <v>0.0323449978715331</v>
      </c>
      <c r="DH53" s="0" t="n">
        <v>0.0146111920123335</v>
      </c>
      <c r="DI53" s="0" t="n">
        <v>0.0165678533745579</v>
      </c>
      <c r="DJ53" s="0" t="n">
        <v>0.006551722639392</v>
      </c>
      <c r="DK53" s="0" t="n">
        <v>0.0227730462426915</v>
      </c>
      <c r="DL53" s="0" t="n">
        <v>0.0458134580421237</v>
      </c>
      <c r="DM53" s="0" t="n">
        <v>0.0160617743658543</v>
      </c>
      <c r="DN53" s="0" t="n">
        <v>0.0095133212313674</v>
      </c>
      <c r="DO53" s="0" t="n">
        <v>0.0276750681942908</v>
      </c>
      <c r="DP53" s="0" t="n">
        <v>0.0150522014707199</v>
      </c>
      <c r="DQ53" s="0" t="n">
        <v>0.021020097209732</v>
      </c>
      <c r="DR53" s="0" t="n">
        <v>0.0267350780865606</v>
      </c>
      <c r="DS53" s="0" t="n">
        <v>-0.0087392780857641</v>
      </c>
      <c r="DT53" s="0" t="n">
        <v>0.0093990406178472</v>
      </c>
      <c r="DU53" s="0" t="n">
        <v>0.0171702107637789</v>
      </c>
      <c r="DV53" s="0" t="n">
        <v>0.0064406101349251</v>
      </c>
      <c r="DW53" s="0" t="n">
        <v>0.0074035474212475</v>
      </c>
      <c r="DX53" s="0" t="n">
        <v>0.0336348543414471</v>
      </c>
      <c r="DY53" s="0" t="n">
        <v>0.0209641825525885</v>
      </c>
      <c r="DZ53" s="0" t="n">
        <v>0.0051763931129946</v>
      </c>
      <c r="EA53" s="0" t="n">
        <v>0.0145224503316686</v>
      </c>
      <c r="EB53" s="0" t="n">
        <v>0.0184618798645793</v>
      </c>
      <c r="EC53" s="0" t="n">
        <v>0.0322959785656447</v>
      </c>
      <c r="ED53" s="0" t="n">
        <v>0.0405346415358468</v>
      </c>
      <c r="EE53" s="0" t="n">
        <v>0.0311185175643104</v>
      </c>
      <c r="EF53" s="0" t="n">
        <v>0.0307505344966034</v>
      </c>
      <c r="EG53" s="0" t="n">
        <v>0.0465170463959958</v>
      </c>
      <c r="EH53" s="0" t="n">
        <v>-0.0072285812943489</v>
      </c>
      <c r="EI53" s="0" t="n">
        <v>0.0316033879410622</v>
      </c>
      <c r="EJ53" s="0" t="n">
        <v>0.034172500014098</v>
      </c>
      <c r="EK53" s="0" t="n">
        <v>0.0306147851120067</v>
      </c>
      <c r="EL53" s="0" t="n">
        <v>0.0403206289434379</v>
      </c>
      <c r="EM53" s="0" t="n">
        <v>0.0143984764907693</v>
      </c>
      <c r="EN53" s="0" t="n">
        <v>0.0285863458257014</v>
      </c>
      <c r="EO53" s="0" t="n">
        <v>0.007270513673681</v>
      </c>
      <c r="EP53" s="72" t="n">
        <f aca="false">SUMPRODUCT(B53:EO53,$B$5:$EO$5)</f>
        <v>0.036780896539206</v>
      </c>
      <c r="EQ53" s="72" t="n">
        <f aca="false">SUMIF('Mi portafolio'!$A$8:$A$19,$A53,'Mi portafolio'!$B$8:$B$19)</f>
        <v>0</v>
      </c>
    </row>
    <row r="54" customFormat="false" ht="15" hidden="false" customHeight="false" outlineLevel="0" collapsed="false">
      <c r="A54" s="71" t="s">
        <v>276</v>
      </c>
      <c r="B54" s="0" t="n">
        <v>0.0160109927334345</v>
      </c>
      <c r="C54" s="0" t="n">
        <v>-0.0002068908046035</v>
      </c>
      <c r="D54" s="0" t="n">
        <v>0.0051243089397564</v>
      </c>
      <c r="E54" s="0" t="n">
        <v>0.0074884622861615</v>
      </c>
      <c r="F54" s="0" t="n">
        <v>0.020934587214139</v>
      </c>
      <c r="G54" s="0" t="n">
        <v>0.0027585297057585</v>
      </c>
      <c r="H54" s="0" t="n">
        <v>0.0037042399013117</v>
      </c>
      <c r="I54" s="0" t="n">
        <v>0.0246783953202633</v>
      </c>
      <c r="J54" s="0" t="n">
        <v>0.030494666231555</v>
      </c>
      <c r="K54" s="0" t="n">
        <v>0.0235607044595331</v>
      </c>
      <c r="L54" s="0" t="n">
        <v>0.0088934576466998</v>
      </c>
      <c r="M54" s="0" t="n">
        <v>0.0168766235164381</v>
      </c>
      <c r="N54" s="0" t="n">
        <v>0.0388234550852948</v>
      </c>
      <c r="O54" s="0" t="n">
        <v>0.0058297791962926</v>
      </c>
      <c r="P54" s="0" t="n">
        <v>0.019865220368812</v>
      </c>
      <c r="Q54" s="0" t="n">
        <v>-0.0002510990835929</v>
      </c>
      <c r="R54" s="0" t="n">
        <v>0.0240175190224124</v>
      </c>
      <c r="S54" s="0" t="n">
        <v>0.0103830007968138</v>
      </c>
      <c r="T54" s="0" t="n">
        <v>0.0146561225161556</v>
      </c>
      <c r="U54" s="0" t="n">
        <v>0.0096896288624775</v>
      </c>
      <c r="V54" s="0" t="n">
        <v>0.0020546910919656</v>
      </c>
      <c r="W54" s="0" t="n">
        <v>0.0095686373997042</v>
      </c>
      <c r="X54" s="0" t="n">
        <v>0.0188554734571008</v>
      </c>
      <c r="Y54" s="0" t="n">
        <v>0.0187050534273724</v>
      </c>
      <c r="Z54" s="0" t="n">
        <v>0.0068728410677192</v>
      </c>
      <c r="AA54" s="0" t="n">
        <v>0.015951146391051</v>
      </c>
      <c r="AB54" s="0" t="n">
        <v>0.0189992442246155</v>
      </c>
      <c r="AC54" s="0" t="n">
        <v>-0.0042597942838915</v>
      </c>
      <c r="AD54" s="0" t="n">
        <v>0.0028799837717392</v>
      </c>
      <c r="AE54" s="0" t="n">
        <v>0.0039980812733842</v>
      </c>
      <c r="AF54" s="0" t="n">
        <v>0.000675236114</v>
      </c>
      <c r="AG54" s="0" t="n">
        <v>0.0150435269084865</v>
      </c>
      <c r="AH54" s="0" t="n">
        <v>0.0183087584740274</v>
      </c>
      <c r="AI54" s="0" t="n">
        <v>0.0080035784869934</v>
      </c>
      <c r="AJ54" s="0" t="n">
        <v>0.0059940216048369</v>
      </c>
      <c r="AK54" s="0" t="n">
        <v>0.000717232530542</v>
      </c>
      <c r="AL54" s="0" t="n">
        <v>0.0175564578587945</v>
      </c>
      <c r="AM54" s="0" t="n">
        <v>0.0124434409447385</v>
      </c>
      <c r="AN54" s="0" t="n">
        <v>0.0261372995898633</v>
      </c>
      <c r="AO54" s="0" t="n">
        <v>0.0409698007479546</v>
      </c>
      <c r="AP54" s="0" t="n">
        <v>0.0213265928058567</v>
      </c>
      <c r="AQ54" s="0" t="n">
        <v>0.0037702094957548</v>
      </c>
      <c r="AR54" s="0" t="n">
        <v>0.0201168768316798</v>
      </c>
      <c r="AS54" s="0" t="n">
        <v>0.0032019316424339</v>
      </c>
      <c r="AT54" s="0" t="n">
        <v>0.0193965128248016</v>
      </c>
      <c r="AU54" s="0" t="n">
        <v>0.0266336495758581</v>
      </c>
      <c r="AV54" s="0" t="n">
        <v>0.013387367573887</v>
      </c>
      <c r="AW54" s="0" t="n">
        <v>0.0074397175583134</v>
      </c>
      <c r="AX54" s="0" t="n">
        <v>0.0824021695340318</v>
      </c>
      <c r="AY54" s="0" t="n">
        <v>0.0184505184826415</v>
      </c>
      <c r="AZ54" s="0" t="n">
        <v>0.0029747903868708</v>
      </c>
      <c r="BA54" s="0" t="n">
        <v>0.0297002565382758</v>
      </c>
      <c r="BB54" s="0" t="n">
        <v>0.0192233779919362</v>
      </c>
      <c r="BC54" s="0" t="n">
        <v>0.0089763596105072</v>
      </c>
      <c r="BD54" s="0" t="n">
        <v>0.0088277425510276</v>
      </c>
      <c r="BE54" s="0" t="n">
        <v>0.0444979907377193</v>
      </c>
      <c r="BF54" s="0" t="n">
        <v>0.0107031056866904</v>
      </c>
      <c r="BG54" s="0" t="n">
        <v>0.0195022637628776</v>
      </c>
      <c r="BH54" s="0" t="n">
        <v>0.0091340096443969</v>
      </c>
      <c r="BI54" s="0" t="n">
        <v>0.0043666405943383</v>
      </c>
      <c r="BJ54" s="0" t="n">
        <v>0.0068164474332677</v>
      </c>
      <c r="BK54" s="0" t="n">
        <v>0.0041581267948814</v>
      </c>
      <c r="BL54" s="0" t="n">
        <v>0.0112759800819082</v>
      </c>
      <c r="BM54" s="0" t="n">
        <v>0.0254632813456197</v>
      </c>
      <c r="BN54" s="0" t="n">
        <v>0.012632989855413</v>
      </c>
      <c r="BO54" s="0" t="n">
        <v>0.0242812792468927</v>
      </c>
      <c r="BP54" s="0" t="n">
        <v>0.0080950031068056</v>
      </c>
      <c r="BQ54" s="0" t="n">
        <v>0.0052988464595673</v>
      </c>
      <c r="BR54" s="0" t="n">
        <v>0.0194141536450784</v>
      </c>
      <c r="BS54" s="0" t="n">
        <v>0.0017449010546751</v>
      </c>
      <c r="BT54" s="0" t="n">
        <v>0.0231520392141726</v>
      </c>
      <c r="BU54" s="0" t="n">
        <v>0.0010669176988134</v>
      </c>
      <c r="BV54" s="0" t="n">
        <v>0.0135558523707241</v>
      </c>
      <c r="BW54" s="0" t="n">
        <v>0.0183048560567268</v>
      </c>
      <c r="BX54" s="0" t="n">
        <v>0.0447547631691568</v>
      </c>
      <c r="BY54" s="0" t="n">
        <v>0.0209178525301879</v>
      </c>
      <c r="BZ54" s="0" t="n">
        <v>0.0136223057580856</v>
      </c>
      <c r="CA54" s="0" t="n">
        <v>0.0047918336818405</v>
      </c>
      <c r="CB54" s="0" t="n">
        <v>-0.0003354209236095</v>
      </c>
      <c r="CC54" s="0" t="n">
        <v>0.0114702919220607</v>
      </c>
      <c r="CD54" s="0" t="n">
        <v>0.0202571184456274</v>
      </c>
      <c r="CE54" s="0" t="n">
        <v>0.0112068579794108</v>
      </c>
      <c r="CF54" s="0" t="n">
        <v>0.0066869885155583</v>
      </c>
      <c r="CG54" s="0" t="n">
        <v>0.0223203645477802</v>
      </c>
      <c r="CH54" s="0" t="n">
        <v>0.0065958724302979</v>
      </c>
      <c r="CI54" s="0" t="n">
        <v>0.0088115912225969</v>
      </c>
      <c r="CJ54" s="0" t="n">
        <v>0.0240183639900706</v>
      </c>
      <c r="CK54" s="0" t="n">
        <v>0.0188551097934759</v>
      </c>
      <c r="CL54" s="0" t="n">
        <v>0.019597516421025</v>
      </c>
      <c r="CM54" s="0" t="n">
        <v>-0.0080996037681802</v>
      </c>
      <c r="CN54" s="0" t="n">
        <v>0.0035617262203915</v>
      </c>
      <c r="CO54" s="0" t="n">
        <v>-0.003775963696659</v>
      </c>
      <c r="CP54" s="0" t="n">
        <v>0.0120488811872079</v>
      </c>
      <c r="CQ54" s="0" t="n">
        <v>0.0326818784484521</v>
      </c>
      <c r="CR54" s="0" t="n">
        <v>0.0013950209915445</v>
      </c>
      <c r="CS54" s="0" t="n">
        <v>0.017285840708571</v>
      </c>
      <c r="CT54" s="0" t="n">
        <v>0.0102276693266219</v>
      </c>
      <c r="CU54" s="0" t="n">
        <v>0.0024360650922864</v>
      </c>
      <c r="CV54" s="0" t="n">
        <v>-0.0127067994320647</v>
      </c>
      <c r="CW54" s="0" t="n">
        <v>0.0090777058229338</v>
      </c>
      <c r="CX54" s="0" t="n">
        <v>0.0124375750750507</v>
      </c>
      <c r="CY54" s="0" t="n">
        <v>0.03002178374802</v>
      </c>
      <c r="CZ54" s="0" t="n">
        <v>0.0135296229695896</v>
      </c>
      <c r="DA54" s="0" t="n">
        <v>0.0250964152737657</v>
      </c>
      <c r="DB54" s="0" t="n">
        <v>0.0122348919334069</v>
      </c>
      <c r="DC54" s="0" t="n">
        <v>0.0148973141486826</v>
      </c>
      <c r="DD54" s="0" t="n">
        <v>0.021805478199149</v>
      </c>
      <c r="DE54" s="0" t="n">
        <v>0.0072342621568589</v>
      </c>
      <c r="DF54" s="0" t="n">
        <v>0.0156267453547811</v>
      </c>
      <c r="DG54" s="0" t="n">
        <v>0.0183458210954585</v>
      </c>
      <c r="DH54" s="0" t="n">
        <v>-0.0080583914368673</v>
      </c>
      <c r="DI54" s="0" t="n">
        <v>0.0352947160465089</v>
      </c>
      <c r="DJ54" s="0" t="n">
        <v>0.0363026658958174</v>
      </c>
      <c r="DK54" s="0" t="n">
        <v>0.0327814888929049</v>
      </c>
      <c r="DL54" s="0" t="n">
        <v>0.0053454943841279</v>
      </c>
      <c r="DM54" s="0" t="n">
        <v>0.0407150522519755</v>
      </c>
      <c r="DN54" s="0" t="n">
        <v>0.0254368602760522</v>
      </c>
      <c r="DO54" s="0" t="n">
        <v>0.0137428978856489</v>
      </c>
      <c r="DP54" s="0" t="n">
        <v>0.0405001955348294</v>
      </c>
      <c r="DQ54" s="0" t="n">
        <v>-0.0012900318239566</v>
      </c>
      <c r="DR54" s="0" t="n">
        <v>0.0129744676946028</v>
      </c>
      <c r="DS54" s="0" t="n">
        <v>0.0041623148429343</v>
      </c>
      <c r="DT54" s="0" t="n">
        <v>-0.0150244632704239</v>
      </c>
      <c r="DU54" s="0" t="n">
        <v>0.010939846371597</v>
      </c>
      <c r="DV54" s="0" t="n">
        <v>0.0123613301903044</v>
      </c>
      <c r="DW54" s="0" t="n">
        <v>0.0001124368599009</v>
      </c>
      <c r="DX54" s="0" t="n">
        <v>0.0039362938995756</v>
      </c>
      <c r="DY54" s="0" t="n">
        <v>0.009199868394412</v>
      </c>
      <c r="DZ54" s="0" t="n">
        <v>0.0056653557791794</v>
      </c>
      <c r="EA54" s="0" t="n">
        <v>0.0198006749379429</v>
      </c>
      <c r="EB54" s="0" t="n">
        <v>0.0188805957343419</v>
      </c>
      <c r="EC54" s="0" t="n">
        <v>-0.0232313709528198</v>
      </c>
      <c r="ED54" s="0" t="n">
        <v>0.0370262188090183</v>
      </c>
      <c r="EE54" s="0" t="n">
        <v>-0.00457336582061</v>
      </c>
      <c r="EF54" s="0" t="n">
        <v>-0.0051160004637592</v>
      </c>
      <c r="EG54" s="0" t="n">
        <v>-0.0081287929565376</v>
      </c>
      <c r="EH54" s="0" t="n">
        <v>0.0067845074505592</v>
      </c>
      <c r="EI54" s="0" t="n">
        <v>-0.024166776090974</v>
      </c>
      <c r="EJ54" s="0" t="n">
        <v>0.0567715994750337</v>
      </c>
      <c r="EK54" s="0" t="n">
        <v>0.0284187889731736</v>
      </c>
      <c r="EL54" s="0" t="n">
        <v>0.0006022355840361</v>
      </c>
      <c r="EM54" s="0" t="n">
        <v>0.0081961022633738</v>
      </c>
      <c r="EN54" s="0" t="n">
        <v>0.10427170154986</v>
      </c>
      <c r="EO54" s="0" t="n">
        <v>0.0445469332657614</v>
      </c>
      <c r="EP54" s="72" t="n">
        <f aca="false">SUMPRODUCT(B54:EO54,$B$5:$EO$5)</f>
        <v>-0.015001115869989</v>
      </c>
      <c r="EQ54" s="72" t="n">
        <f aca="false">SUMIF('Mi portafolio'!$A$8:$A$19,$A54,'Mi portafolio'!$B$8:$B$19)</f>
        <v>0</v>
      </c>
    </row>
    <row r="55" customFormat="false" ht="15" hidden="false" customHeight="false" outlineLevel="0" collapsed="false">
      <c r="A55" s="71" t="s">
        <v>277</v>
      </c>
      <c r="B55" s="0" t="n">
        <v>0.0118996678480278</v>
      </c>
      <c r="C55" s="0" t="n">
        <v>0.0061870270596022</v>
      </c>
      <c r="D55" s="0" t="n">
        <v>-0.0014955838539547</v>
      </c>
      <c r="E55" s="0" t="n">
        <v>0.0059553717585924</v>
      </c>
      <c r="F55" s="0" t="n">
        <v>0.0187391186086196</v>
      </c>
      <c r="G55" s="0" t="n">
        <v>0.0019609550119317</v>
      </c>
      <c r="H55" s="0" t="n">
        <v>0.0004996390132559</v>
      </c>
      <c r="I55" s="0" t="n">
        <v>0.0214066380125674</v>
      </c>
      <c r="J55" s="0" t="n">
        <v>0.0110159585414736</v>
      </c>
      <c r="K55" s="0" t="n">
        <v>0.015576260322208</v>
      </c>
      <c r="L55" s="0" t="n">
        <v>0.015945677969002</v>
      </c>
      <c r="M55" s="0" t="n">
        <v>0.022208106037345</v>
      </c>
      <c r="N55" s="0" t="n">
        <v>0.0161333921340197</v>
      </c>
      <c r="O55" s="0" t="n">
        <v>0.0014138306815644</v>
      </c>
      <c r="P55" s="0" t="n">
        <v>0.0186612545415115</v>
      </c>
      <c r="Q55" s="0" t="n">
        <v>-0.0038988646808627</v>
      </c>
      <c r="R55" s="0" t="n">
        <v>0.0183947752159033</v>
      </c>
      <c r="S55" s="0" t="n">
        <v>0.0029725212644283</v>
      </c>
      <c r="T55" s="0" t="n">
        <v>0.0153866783539178</v>
      </c>
      <c r="U55" s="0" t="n">
        <v>0.0028793861970782</v>
      </c>
      <c r="V55" s="0" t="n">
        <v>0.0053341038119155</v>
      </c>
      <c r="W55" s="0" t="n">
        <v>0.010064643651671</v>
      </c>
      <c r="X55" s="0" t="n">
        <v>0.0172117605585807</v>
      </c>
      <c r="Y55" s="0" t="n">
        <v>0.0300562060227998</v>
      </c>
      <c r="Z55" s="0" t="n">
        <v>0.0020082192949348</v>
      </c>
      <c r="AA55" s="0" t="n">
        <v>0.009205024473598</v>
      </c>
      <c r="AB55" s="0" t="n">
        <v>0.0260262615118708</v>
      </c>
      <c r="AC55" s="0" t="n">
        <v>-0.000528181092356</v>
      </c>
      <c r="AD55" s="0" t="n">
        <v>0.0065172665528367</v>
      </c>
      <c r="AE55" s="0" t="n">
        <v>0.0057226053014285</v>
      </c>
      <c r="AF55" s="0" t="n">
        <v>0.0036222968093683</v>
      </c>
      <c r="AG55" s="0" t="n">
        <v>0.007607868485539</v>
      </c>
      <c r="AH55" s="0" t="n">
        <v>0.0083163339269165</v>
      </c>
      <c r="AI55" s="0" t="n">
        <v>0.0042522699075024</v>
      </c>
      <c r="AJ55" s="0" t="n">
        <v>-0.0019709889430667</v>
      </c>
      <c r="AK55" s="0" t="n">
        <v>0.0066228406233398</v>
      </c>
      <c r="AL55" s="0" t="n">
        <v>0.0165982746136685</v>
      </c>
      <c r="AM55" s="0" t="n">
        <v>0.0045729082268407</v>
      </c>
      <c r="AN55" s="0" t="n">
        <v>0.028308530591973</v>
      </c>
      <c r="AO55" s="0" t="n">
        <v>0.0137200692758527</v>
      </c>
      <c r="AP55" s="0" t="n">
        <v>0.0202333787968796</v>
      </c>
      <c r="AQ55" s="0" t="n">
        <v>0.0040622164309337</v>
      </c>
      <c r="AR55" s="0" t="n">
        <v>0.0137336611229835</v>
      </c>
      <c r="AS55" s="0" t="n">
        <v>0.001290911903568</v>
      </c>
      <c r="AT55" s="0" t="n">
        <v>0.0274321988952273</v>
      </c>
      <c r="AU55" s="0" t="n">
        <v>0.0186183880722642</v>
      </c>
      <c r="AV55" s="0" t="n">
        <v>0.0112753720239108</v>
      </c>
      <c r="AW55" s="0" t="n">
        <v>0.0126801333739201</v>
      </c>
      <c r="AX55" s="0" t="n">
        <v>0.0184505184826415</v>
      </c>
      <c r="AY55" s="0" t="n">
        <v>0.0796409578176134</v>
      </c>
      <c r="AZ55" s="0" t="n">
        <v>0.014192326335816</v>
      </c>
      <c r="BA55" s="0" t="n">
        <v>0.0235465936346021</v>
      </c>
      <c r="BB55" s="0" t="n">
        <v>0.0202046407616986</v>
      </c>
      <c r="BC55" s="0" t="n">
        <v>0.0040555752778135</v>
      </c>
      <c r="BD55" s="0" t="n">
        <v>0.0026127902198399</v>
      </c>
      <c r="BE55" s="0" t="n">
        <v>0.0218728183507934</v>
      </c>
      <c r="BF55" s="0" t="n">
        <v>0.0031680250038472</v>
      </c>
      <c r="BG55" s="0" t="n">
        <v>0.0187369918299947</v>
      </c>
      <c r="BH55" s="0" t="n">
        <v>0.0066497221444171</v>
      </c>
      <c r="BI55" s="0" t="n">
        <v>0.0012324815821338</v>
      </c>
      <c r="BJ55" s="0" t="n">
        <v>-0.0058816733388205</v>
      </c>
      <c r="BK55" s="0" t="n">
        <v>0.0069006486440479</v>
      </c>
      <c r="BL55" s="0" t="n">
        <v>0.0144478296197459</v>
      </c>
      <c r="BM55" s="0" t="n">
        <v>0.0370119273914592</v>
      </c>
      <c r="BN55" s="0" t="n">
        <v>0.0185570522016482</v>
      </c>
      <c r="BO55" s="0" t="n">
        <v>0.012674498335548</v>
      </c>
      <c r="BP55" s="0" t="n">
        <v>0.0134248694175442</v>
      </c>
      <c r="BQ55" s="0" t="n">
        <v>0.0191326267871746</v>
      </c>
      <c r="BR55" s="0" t="n">
        <v>0.0326903604153302</v>
      </c>
      <c r="BS55" s="0" t="n">
        <v>0.0001805463723888</v>
      </c>
      <c r="BT55" s="0" t="n">
        <v>0.0202426454200109</v>
      </c>
      <c r="BU55" s="0" t="n">
        <v>0.0059837791416135</v>
      </c>
      <c r="BV55" s="0" t="n">
        <v>0.0194395401124681</v>
      </c>
      <c r="BW55" s="0" t="n">
        <v>0.0255806660798903</v>
      </c>
      <c r="BX55" s="0" t="n">
        <v>0.0160028114790066</v>
      </c>
      <c r="BY55" s="0" t="n">
        <v>0.0255907919625496</v>
      </c>
      <c r="BZ55" s="0" t="n">
        <v>0.0201881619264547</v>
      </c>
      <c r="CA55" s="0" t="n">
        <v>0.0012185454403581</v>
      </c>
      <c r="CB55" s="0" t="n">
        <v>-0.0017171154904971</v>
      </c>
      <c r="CC55" s="0" t="n">
        <v>0.0257238776054479</v>
      </c>
      <c r="CD55" s="0" t="n">
        <v>0.0215937007947527</v>
      </c>
      <c r="CE55" s="0" t="n">
        <v>0.0173067041445677</v>
      </c>
      <c r="CF55" s="0" t="n">
        <v>0.0047584569886704</v>
      </c>
      <c r="CG55" s="0" t="n">
        <v>0.0317424900759689</v>
      </c>
      <c r="CH55" s="0" t="n">
        <v>0.0161582855191464</v>
      </c>
      <c r="CI55" s="0" t="n">
        <v>0.0067427670882583</v>
      </c>
      <c r="CJ55" s="0" t="n">
        <v>0.0125336300793266</v>
      </c>
      <c r="CK55" s="0" t="n">
        <v>0.0315645436686595</v>
      </c>
      <c r="CL55" s="0" t="n">
        <v>0.0211373702171868</v>
      </c>
      <c r="CM55" s="0" t="n">
        <v>0.0036594875621714</v>
      </c>
      <c r="CN55" s="0" t="n">
        <v>0.0063717037954622</v>
      </c>
      <c r="CO55" s="0" t="n">
        <v>0.0151767488849613</v>
      </c>
      <c r="CP55" s="0" t="n">
        <v>0.0148390741669426</v>
      </c>
      <c r="CQ55" s="0" t="n">
        <v>0.041862544594558</v>
      </c>
      <c r="CR55" s="0" t="n">
        <v>0.0174917802717343</v>
      </c>
      <c r="CS55" s="0" t="n">
        <v>0.0230074995497207</v>
      </c>
      <c r="CT55" s="0" t="n">
        <v>0.0217305966758126</v>
      </c>
      <c r="CU55" s="0" t="n">
        <v>0.0033545753544479</v>
      </c>
      <c r="CV55" s="0" t="n">
        <v>0.015043552679074</v>
      </c>
      <c r="CW55" s="0" t="n">
        <v>0.0228331269153796</v>
      </c>
      <c r="CX55" s="0" t="n">
        <v>0.0235816167649807</v>
      </c>
      <c r="CY55" s="0" t="n">
        <v>0.036836348539491</v>
      </c>
      <c r="CZ55" s="0" t="n">
        <v>0.0184677121172619</v>
      </c>
      <c r="DA55" s="0" t="n">
        <v>0.0204425461525458</v>
      </c>
      <c r="DB55" s="0" t="n">
        <v>0.0127552199654941</v>
      </c>
      <c r="DC55" s="0" t="n">
        <v>0.0161509664141477</v>
      </c>
      <c r="DD55" s="0" t="n">
        <v>0.0375570878635373</v>
      </c>
      <c r="DE55" s="0" t="n">
        <v>0.019234050414957</v>
      </c>
      <c r="DF55" s="0" t="n">
        <v>0.010038250568388</v>
      </c>
      <c r="DG55" s="0" t="n">
        <v>0.0131206354799656</v>
      </c>
      <c r="DH55" s="0" t="n">
        <v>0.0189715372843001</v>
      </c>
      <c r="DI55" s="0" t="n">
        <v>0.0460289945016888</v>
      </c>
      <c r="DJ55" s="0" t="n">
        <v>0.0453993304259344</v>
      </c>
      <c r="DK55" s="0" t="n">
        <v>0.0509832548798022</v>
      </c>
      <c r="DL55" s="0" t="n">
        <v>-0.001240005571752</v>
      </c>
      <c r="DM55" s="0" t="n">
        <v>0.0522574985603144</v>
      </c>
      <c r="DN55" s="0" t="n">
        <v>0.050110204898754</v>
      </c>
      <c r="DO55" s="0" t="n">
        <v>0.0195185755885498</v>
      </c>
      <c r="DP55" s="0" t="n">
        <v>0.0518142984654874</v>
      </c>
      <c r="DQ55" s="0" t="n">
        <v>0.0068075728153586</v>
      </c>
      <c r="DR55" s="0" t="n">
        <v>0.0138565096066215</v>
      </c>
      <c r="DS55" s="0" t="n">
        <v>0.0121198440448739</v>
      </c>
      <c r="DT55" s="0" t="n">
        <v>-0.0030033943465651</v>
      </c>
      <c r="DU55" s="0" t="n">
        <v>0.0177601091867349</v>
      </c>
      <c r="DV55" s="0" t="n">
        <v>0.02389246796895</v>
      </c>
      <c r="DW55" s="0" t="n">
        <v>0.0328221159972819</v>
      </c>
      <c r="DX55" s="0" t="n">
        <v>0.0269753080099836</v>
      </c>
      <c r="DY55" s="0" t="n">
        <v>0.0527048660056976</v>
      </c>
      <c r="DZ55" s="0" t="n">
        <v>0.007137473557188</v>
      </c>
      <c r="EA55" s="0" t="n">
        <v>0.0359688016670858</v>
      </c>
      <c r="EB55" s="0" t="n">
        <v>0.0381651299592073</v>
      </c>
      <c r="EC55" s="0" t="n">
        <v>-0.0070604789365065</v>
      </c>
      <c r="ED55" s="0" t="n">
        <v>0.0300485187423641</v>
      </c>
      <c r="EE55" s="0" t="n">
        <v>0.0185108559696485</v>
      </c>
      <c r="EF55" s="0" t="n">
        <v>0.0351643989367596</v>
      </c>
      <c r="EG55" s="0" t="n">
        <v>0.0400710200810127</v>
      </c>
      <c r="EH55" s="0" t="n">
        <v>0.0331218062944681</v>
      </c>
      <c r="EI55" s="0" t="n">
        <v>0.0203774457526754</v>
      </c>
      <c r="EJ55" s="0" t="n">
        <v>0.0333480435938762</v>
      </c>
      <c r="EK55" s="0" t="n">
        <v>0.0337331092271006</v>
      </c>
      <c r="EL55" s="0" t="n">
        <v>0.0309951950061897</v>
      </c>
      <c r="EM55" s="0" t="n">
        <v>0.0237665437015368</v>
      </c>
      <c r="EN55" s="0" t="n">
        <v>0.0274736738394547</v>
      </c>
      <c r="EO55" s="0" t="n">
        <v>0.0209278093365897</v>
      </c>
      <c r="EP55" s="72" t="n">
        <f aca="false">SUMPRODUCT(B55:EO55,$B$5:$EO$5)</f>
        <v>0.0270623824793394</v>
      </c>
      <c r="EQ55" s="72" t="n">
        <f aca="false">SUMIF('Mi portafolio'!$A$8:$A$19,$A55,'Mi portafolio'!$B$8:$B$19)</f>
        <v>0</v>
      </c>
    </row>
    <row r="56" customFormat="false" ht="15" hidden="false" customHeight="false" outlineLevel="0" collapsed="false">
      <c r="A56" s="71" t="s">
        <v>278</v>
      </c>
      <c r="B56" s="0" t="n">
        <v>0.000781717821465</v>
      </c>
      <c r="C56" s="0" t="n">
        <v>0.0043594102880055</v>
      </c>
      <c r="D56" s="0" t="n">
        <v>0.0115890750278153</v>
      </c>
      <c r="E56" s="0" t="n">
        <v>0.0135054127902565</v>
      </c>
      <c r="F56" s="0" t="n">
        <v>-0.0019185666362796</v>
      </c>
      <c r="G56" s="0" t="n">
        <v>0.006607973413804</v>
      </c>
      <c r="H56" s="0" t="n">
        <v>0.0166017021456864</v>
      </c>
      <c r="I56" s="0" t="n">
        <v>0.0043084981337253</v>
      </c>
      <c r="J56" s="0" t="n">
        <v>-0.0030361794161628</v>
      </c>
      <c r="K56" s="0" t="n">
        <v>0.0025192774767711</v>
      </c>
      <c r="L56" s="0" t="n">
        <v>0.0157415635740203</v>
      </c>
      <c r="M56" s="0" t="n">
        <v>0.0162386587760374</v>
      </c>
      <c r="N56" s="0" t="n">
        <v>0.0071556824037549</v>
      </c>
      <c r="O56" s="0" t="n">
        <v>0.0176236806385512</v>
      </c>
      <c r="P56" s="0" t="n">
        <v>0.0037145144296828</v>
      </c>
      <c r="Q56" s="0" t="n">
        <v>0.0062833509512909</v>
      </c>
      <c r="R56" s="0" t="n">
        <v>-0.0001490614965277</v>
      </c>
      <c r="S56" s="0" t="n">
        <v>0.0179013443603217</v>
      </c>
      <c r="T56" s="0" t="n">
        <v>0.0082128182123331</v>
      </c>
      <c r="U56" s="0" t="n">
        <v>0.0192388825535592</v>
      </c>
      <c r="V56" s="0" t="n">
        <v>0.0183914021607772</v>
      </c>
      <c r="W56" s="0" t="n">
        <v>0.0084605077154873</v>
      </c>
      <c r="X56" s="0" t="n">
        <v>0.0099110940350348</v>
      </c>
      <c r="Y56" s="0" t="n">
        <v>0.0097326993492746</v>
      </c>
      <c r="Z56" s="0" t="n">
        <v>0.01740732520152</v>
      </c>
      <c r="AA56" s="0" t="n">
        <v>0.0207477673945363</v>
      </c>
      <c r="AB56" s="0" t="n">
        <v>0.005055052844802</v>
      </c>
      <c r="AC56" s="0" t="n">
        <v>0.0089597406039296</v>
      </c>
      <c r="AD56" s="0" t="n">
        <v>0.0121111926524906</v>
      </c>
      <c r="AE56" s="0" t="n">
        <v>0.0467594101239469</v>
      </c>
      <c r="AF56" s="0" t="n">
        <v>0.0310236827293798</v>
      </c>
      <c r="AG56" s="0" t="n">
        <v>-0.002490719799698</v>
      </c>
      <c r="AH56" s="0" t="n">
        <v>-0.003956058918531</v>
      </c>
      <c r="AI56" s="0" t="n">
        <v>-0.0184039926665068</v>
      </c>
      <c r="AJ56" s="0" t="n">
        <v>0.0153812801138297</v>
      </c>
      <c r="AK56" s="0" t="n">
        <v>0.0262184681517539</v>
      </c>
      <c r="AL56" s="0" t="n">
        <v>0.0084608362803499</v>
      </c>
      <c r="AM56" s="0" t="n">
        <v>0.0159979037955156</v>
      </c>
      <c r="AN56" s="0" t="n">
        <v>0.0186434448263831</v>
      </c>
      <c r="AO56" s="0" t="n">
        <v>-0.0005650459807784</v>
      </c>
      <c r="AP56" s="0" t="n">
        <v>0.0060881011979652</v>
      </c>
      <c r="AQ56" s="0" t="n">
        <v>-0.0155113248031503</v>
      </c>
      <c r="AR56" s="0" t="n">
        <v>0.0078621285519618</v>
      </c>
      <c r="AS56" s="0" t="n">
        <v>0.0226821382443633</v>
      </c>
      <c r="AT56" s="0" t="n">
        <v>0.0142199637258784</v>
      </c>
      <c r="AU56" s="0" t="n">
        <v>0.0011114987168666</v>
      </c>
      <c r="AV56" s="0" t="n">
        <v>0.0154196428592782</v>
      </c>
      <c r="AW56" s="0" t="n">
        <v>0.0248234121263399</v>
      </c>
      <c r="AX56" s="0" t="n">
        <v>0.0029747903868708</v>
      </c>
      <c r="AY56" s="0" t="n">
        <v>0.014192326335816</v>
      </c>
      <c r="AZ56" s="0" t="n">
        <v>0.0856114463568329</v>
      </c>
      <c r="BA56" s="0" t="n">
        <v>0.0162288966697151</v>
      </c>
      <c r="BB56" s="0" t="n">
        <v>0.0189992218264701</v>
      </c>
      <c r="BC56" s="0" t="n">
        <v>0.015736960447983</v>
      </c>
      <c r="BD56" s="0" t="n">
        <v>0.0331094488606484</v>
      </c>
      <c r="BE56" s="0" t="n">
        <v>0.0096308113452715</v>
      </c>
      <c r="BF56" s="0" t="n">
        <v>0.0231925448764642</v>
      </c>
      <c r="BG56" s="0" t="n">
        <v>0.0095683486676581</v>
      </c>
      <c r="BH56" s="0" t="n">
        <v>0.0176303091903794</v>
      </c>
      <c r="BI56" s="0" t="n">
        <v>0.0157131533035902</v>
      </c>
      <c r="BJ56" s="0" t="n">
        <v>0.0098024633852622</v>
      </c>
      <c r="BK56" s="0" t="n">
        <v>0.063013717549756</v>
      </c>
      <c r="BL56" s="0" t="n">
        <v>0.0143533056393212</v>
      </c>
      <c r="BM56" s="0" t="n">
        <v>0.0087313878840112</v>
      </c>
      <c r="BN56" s="0" t="n">
        <v>-0.0044247874581656</v>
      </c>
      <c r="BO56" s="0" t="n">
        <v>0.0076958009980887</v>
      </c>
      <c r="BP56" s="0" t="n">
        <v>0.0034091343554719</v>
      </c>
      <c r="BQ56" s="0" t="n">
        <v>0.0321192185319845</v>
      </c>
      <c r="BR56" s="0" t="n">
        <v>0.0166082528398762</v>
      </c>
      <c r="BS56" s="0" t="n">
        <v>-0.0196774270146213</v>
      </c>
      <c r="BT56" s="0" t="n">
        <v>0.0218822721197598</v>
      </c>
      <c r="BU56" s="0" t="n">
        <v>0.0246461012418403</v>
      </c>
      <c r="BV56" s="0" t="n">
        <v>0.009723711445331</v>
      </c>
      <c r="BW56" s="0" t="n">
        <v>0.0083941504615151</v>
      </c>
      <c r="BX56" s="0" t="n">
        <v>5.13413414789026E-005</v>
      </c>
      <c r="BY56" s="0" t="n">
        <v>0.0152849801085566</v>
      </c>
      <c r="BZ56" s="0" t="n">
        <v>0.0164540787702917</v>
      </c>
      <c r="CA56" s="0" t="n">
        <v>0.0341842238411476</v>
      </c>
      <c r="CB56" s="0" t="n">
        <v>-0.0007304727859122</v>
      </c>
      <c r="CC56" s="0" t="n">
        <v>-0.0033283708981506</v>
      </c>
      <c r="CD56" s="0" t="n">
        <v>0.0075047796064204</v>
      </c>
      <c r="CE56" s="0" t="n">
        <v>0.0157953943250233</v>
      </c>
      <c r="CF56" s="0" t="n">
        <v>-0.0180569687449763</v>
      </c>
      <c r="CG56" s="0" t="n">
        <v>0.0172544604533659</v>
      </c>
      <c r="CH56" s="0" t="n">
        <v>0.0386587290263015</v>
      </c>
      <c r="CI56" s="0" t="n">
        <v>-0.022394414472761</v>
      </c>
      <c r="CJ56" s="0" t="n">
        <v>-0.0076222576275958</v>
      </c>
      <c r="CK56" s="0" t="n">
        <v>0.0099000356786727</v>
      </c>
      <c r="CL56" s="0" t="n">
        <v>0.0138428589869461</v>
      </c>
      <c r="CM56" s="0" t="n">
        <v>0.0173318077031177</v>
      </c>
      <c r="CN56" s="0" t="n">
        <v>0.0154486213451386</v>
      </c>
      <c r="CO56" s="0" t="n">
        <v>0.019508917602289</v>
      </c>
      <c r="CP56" s="0" t="n">
        <v>0.0048837222211227</v>
      </c>
      <c r="CQ56" s="0" t="n">
        <v>0.0341424898929145</v>
      </c>
      <c r="CR56" s="0" t="n">
        <v>0.0292130885527699</v>
      </c>
      <c r="CS56" s="0" t="n">
        <v>0.0328328290175089</v>
      </c>
      <c r="CT56" s="0" t="n">
        <v>0.0115494772306605</v>
      </c>
      <c r="CU56" s="0" t="n">
        <v>0.0086880990813378</v>
      </c>
      <c r="CV56" s="0" t="n">
        <v>0.0209215007499044</v>
      </c>
      <c r="CW56" s="0" t="n">
        <v>0.0154791674455188</v>
      </c>
      <c r="CX56" s="0" t="n">
        <v>0.021986190833893</v>
      </c>
      <c r="CY56" s="0" t="n">
        <v>0.0379796216957215</v>
      </c>
      <c r="CZ56" s="0" t="n">
        <v>0.0151232878523702</v>
      </c>
      <c r="DA56" s="0" t="n">
        <v>0.0104786931020759</v>
      </c>
      <c r="DB56" s="0" t="n">
        <v>0.0224577811799655</v>
      </c>
      <c r="DC56" s="0" t="n">
        <v>0.057006067250562</v>
      </c>
      <c r="DD56" s="0" t="n">
        <v>0.0301070002733683</v>
      </c>
      <c r="DE56" s="0" t="n">
        <v>0.0411071034590672</v>
      </c>
      <c r="DF56" s="0" t="n">
        <v>-0.0107737700183678</v>
      </c>
      <c r="DG56" s="0" t="n">
        <v>0.0339496196767851</v>
      </c>
      <c r="DH56" s="0" t="n">
        <v>0.0324978399530747</v>
      </c>
      <c r="DI56" s="0" t="n">
        <v>0.0381849547182807</v>
      </c>
      <c r="DJ56" s="0" t="n">
        <v>0.024596941372774</v>
      </c>
      <c r="DK56" s="0" t="n">
        <v>0.0460292773221816</v>
      </c>
      <c r="DL56" s="0" t="n">
        <v>0.033521189973804</v>
      </c>
      <c r="DM56" s="0" t="n">
        <v>0.039132258577193</v>
      </c>
      <c r="DN56" s="0" t="n">
        <v>0.0115649433343235</v>
      </c>
      <c r="DO56" s="0" t="n">
        <v>0.037110329217773</v>
      </c>
      <c r="DP56" s="0" t="n">
        <v>0.0318435620198775</v>
      </c>
      <c r="DQ56" s="0" t="n">
        <v>0.0278684198730988</v>
      </c>
      <c r="DR56" s="0" t="n">
        <v>0.0097840277382448</v>
      </c>
      <c r="DS56" s="0" t="n">
        <v>-0.0133931639643453</v>
      </c>
      <c r="DT56" s="0" t="n">
        <v>0.0015344431375133</v>
      </c>
      <c r="DU56" s="0" t="n">
        <v>0.0252936747899734</v>
      </c>
      <c r="DV56" s="0" t="n">
        <v>0.0095906355275365</v>
      </c>
      <c r="DW56" s="0" t="n">
        <v>0.01960981184192</v>
      </c>
      <c r="DX56" s="0" t="n">
        <v>0.0582178569448558</v>
      </c>
      <c r="DY56" s="0" t="n">
        <v>0.0280368201129215</v>
      </c>
      <c r="DZ56" s="0" t="n">
        <v>0.002024658106414</v>
      </c>
      <c r="EA56" s="0" t="n">
        <v>0.0386737845781491</v>
      </c>
      <c r="EB56" s="0" t="n">
        <v>0.026577144728082</v>
      </c>
      <c r="EC56" s="0" t="n">
        <v>0.0185191042560089</v>
      </c>
      <c r="ED56" s="0" t="n">
        <v>0.0594151399600044</v>
      </c>
      <c r="EE56" s="0" t="n">
        <v>0.0468113424513031</v>
      </c>
      <c r="EF56" s="0" t="n">
        <v>0.0276864288517437</v>
      </c>
      <c r="EG56" s="0" t="n">
        <v>0.0543798369020838</v>
      </c>
      <c r="EH56" s="0" t="n">
        <v>-0.0018767978597068</v>
      </c>
      <c r="EI56" s="0" t="n">
        <v>0.0640312488847352</v>
      </c>
      <c r="EJ56" s="0" t="n">
        <v>0.0499821722508011</v>
      </c>
      <c r="EK56" s="0" t="n">
        <v>0.0345338712390851</v>
      </c>
      <c r="EL56" s="0" t="n">
        <v>0.0583402069080456</v>
      </c>
      <c r="EM56" s="0" t="n">
        <v>-0.0073681872161776</v>
      </c>
      <c r="EN56" s="0" t="n">
        <v>0.0458614395604256</v>
      </c>
      <c r="EO56" s="0" t="n">
        <v>-0.0395004988122958</v>
      </c>
      <c r="EP56" s="72" t="n">
        <f aca="false">SUMPRODUCT(B56:EO56,$B$5:$EO$5)</f>
        <v>0.0565085592125214</v>
      </c>
      <c r="EQ56" s="72" t="n">
        <f aca="false">SUMIF('Mi portafolio'!$A$8:$A$19,$A56,'Mi portafolio'!$B$8:$B$19)</f>
        <v>0</v>
      </c>
    </row>
    <row r="57" customFormat="false" ht="15" hidden="false" customHeight="false" outlineLevel="0" collapsed="false">
      <c r="A57" s="71" t="s">
        <v>279</v>
      </c>
      <c r="B57" s="0" t="n">
        <v>0.0091305064899558</v>
      </c>
      <c r="C57" s="0" t="n">
        <v>0.0031022719811185</v>
      </c>
      <c r="D57" s="0" t="n">
        <v>-0.0015306201260748</v>
      </c>
      <c r="E57" s="0" t="n">
        <v>0.0101861824046379</v>
      </c>
      <c r="F57" s="0" t="n">
        <v>0.0125588719674924</v>
      </c>
      <c r="G57" s="0" t="n">
        <v>0.0006944349893371</v>
      </c>
      <c r="H57" s="0" t="n">
        <v>0.0047540698745349</v>
      </c>
      <c r="I57" s="0" t="n">
        <v>0.0132504205504324</v>
      </c>
      <c r="J57" s="0" t="n">
        <v>0.0117762374683401</v>
      </c>
      <c r="K57" s="0" t="n">
        <v>0.0177503077544534</v>
      </c>
      <c r="L57" s="0" t="n">
        <v>0.0142796276848011</v>
      </c>
      <c r="M57" s="0" t="n">
        <v>0.0229274882942761</v>
      </c>
      <c r="N57" s="0" t="n">
        <v>0.0179438714604945</v>
      </c>
      <c r="O57" s="0" t="n">
        <v>0.0136010955951789</v>
      </c>
      <c r="P57" s="0" t="n">
        <v>0.0104117177272932</v>
      </c>
      <c r="Q57" s="0" t="n">
        <v>0.0018152990573548</v>
      </c>
      <c r="R57" s="0" t="n">
        <v>0.0187422173891494</v>
      </c>
      <c r="S57" s="0" t="n">
        <v>0.0072588494100164</v>
      </c>
      <c r="T57" s="0" t="n">
        <v>0.0205369294504583</v>
      </c>
      <c r="U57" s="0" t="n">
        <v>0.0139132008638754</v>
      </c>
      <c r="V57" s="0" t="n">
        <v>0.005920394833048</v>
      </c>
      <c r="W57" s="0" t="n">
        <v>0.0045784688980875</v>
      </c>
      <c r="X57" s="0" t="n">
        <v>0.025627621519597</v>
      </c>
      <c r="Y57" s="0" t="n">
        <v>0.011887502960011</v>
      </c>
      <c r="Z57" s="0" t="n">
        <v>0.0127774991273966</v>
      </c>
      <c r="AA57" s="0" t="n">
        <v>0.0145706994626545</v>
      </c>
      <c r="AB57" s="0" t="n">
        <v>0.0113147626744928</v>
      </c>
      <c r="AC57" s="0" t="n">
        <v>0.0046168409840937</v>
      </c>
      <c r="AD57" s="0" t="n">
        <v>0.0134357268118142</v>
      </c>
      <c r="AE57" s="0" t="n">
        <v>0.0154472776280804</v>
      </c>
      <c r="AF57" s="0" t="n">
        <v>0.0059612790467904</v>
      </c>
      <c r="AG57" s="0" t="n">
        <v>0.0140890862100898</v>
      </c>
      <c r="AH57" s="0" t="n">
        <v>0.0181975577935798</v>
      </c>
      <c r="AI57" s="0" t="n">
        <v>0.0007489255463156</v>
      </c>
      <c r="AJ57" s="0" t="n">
        <v>0.0075210396329073</v>
      </c>
      <c r="AK57" s="0" t="n">
        <v>0.0169049765316369</v>
      </c>
      <c r="AL57" s="0" t="n">
        <v>0.0141310698235146</v>
      </c>
      <c r="AM57" s="0" t="n">
        <v>0.0137199577714805</v>
      </c>
      <c r="AN57" s="0" t="n">
        <v>0.0328787851805213</v>
      </c>
      <c r="AO57" s="0" t="n">
        <v>0.0148105091452584</v>
      </c>
      <c r="AP57" s="0" t="n">
        <v>0.0224653580897363</v>
      </c>
      <c r="AQ57" s="0" t="n">
        <v>-0.0016343439572246</v>
      </c>
      <c r="AR57" s="0" t="n">
        <v>0.02439567066212</v>
      </c>
      <c r="AS57" s="0" t="n">
        <v>0.0114661233078043</v>
      </c>
      <c r="AT57" s="0" t="n">
        <v>0.0243408839246503</v>
      </c>
      <c r="AU57" s="0" t="n">
        <v>0.0161443867897108</v>
      </c>
      <c r="AV57" s="0" t="n">
        <v>0.0152646299756291</v>
      </c>
      <c r="AW57" s="0" t="n">
        <v>0.018308716601394</v>
      </c>
      <c r="AX57" s="0" t="n">
        <v>0.0297002565382758</v>
      </c>
      <c r="AY57" s="0" t="n">
        <v>0.0235465936346021</v>
      </c>
      <c r="AZ57" s="0" t="n">
        <v>0.0162288966697151</v>
      </c>
      <c r="BA57" s="0" t="n">
        <v>0.0828404752300513</v>
      </c>
      <c r="BB57" s="0" t="n">
        <v>0.0295649630949432</v>
      </c>
      <c r="BC57" s="0" t="n">
        <v>0.012709216189554</v>
      </c>
      <c r="BD57" s="0" t="n">
        <v>0.0235945317104982</v>
      </c>
      <c r="BE57" s="0" t="n">
        <v>0.0239054905242632</v>
      </c>
      <c r="BF57" s="0" t="n">
        <v>0.0127689375055469</v>
      </c>
      <c r="BG57" s="0" t="n">
        <v>0.0191469514161749</v>
      </c>
      <c r="BH57" s="0" t="n">
        <v>0.0085859836349</v>
      </c>
      <c r="BI57" s="0" t="n">
        <v>0.0075369418514149</v>
      </c>
      <c r="BJ57" s="0" t="n">
        <v>0.0025977041119127</v>
      </c>
      <c r="BK57" s="0" t="n">
        <v>0.013035423192848</v>
      </c>
      <c r="BL57" s="0" t="n">
        <v>0.03243493923111</v>
      </c>
      <c r="BM57" s="0" t="n">
        <v>0.0260411698342236</v>
      </c>
      <c r="BN57" s="0" t="n">
        <v>0.0253565565133924</v>
      </c>
      <c r="BO57" s="0" t="n">
        <v>0.0238298986462626</v>
      </c>
      <c r="BP57" s="0" t="n">
        <v>0.0003999376304715</v>
      </c>
      <c r="BQ57" s="0" t="n">
        <v>0.0307985159740298</v>
      </c>
      <c r="BR57" s="0" t="n">
        <v>0.0278506585303063</v>
      </c>
      <c r="BS57" s="0" t="n">
        <v>-0.0028636851588193</v>
      </c>
      <c r="BT57" s="0" t="n">
        <v>0.0327876353115405</v>
      </c>
      <c r="BU57" s="0" t="n">
        <v>0.0165388373838463</v>
      </c>
      <c r="BV57" s="0" t="n">
        <v>0.0180396944584179</v>
      </c>
      <c r="BW57" s="0" t="n">
        <v>0.0239431019871825</v>
      </c>
      <c r="BX57" s="0" t="n">
        <v>0.018147329113477</v>
      </c>
      <c r="BY57" s="0" t="n">
        <v>0.0433516774262478</v>
      </c>
      <c r="BZ57" s="0" t="n">
        <v>0.0229292366386522</v>
      </c>
      <c r="CA57" s="0" t="n">
        <v>0.0052250724278679</v>
      </c>
      <c r="CB57" s="0" t="n">
        <v>0.0009460672025412</v>
      </c>
      <c r="CC57" s="0" t="n">
        <v>0.0100390693088657</v>
      </c>
      <c r="CD57" s="0" t="n">
        <v>0.0212229125311685</v>
      </c>
      <c r="CE57" s="0" t="n">
        <v>0.0181220223074332</v>
      </c>
      <c r="CF57" s="0" t="n">
        <v>-0.0014405024827323</v>
      </c>
      <c r="CG57" s="0" t="n">
        <v>0.0277223285521998</v>
      </c>
      <c r="CH57" s="0" t="n">
        <v>0.0288524491056491</v>
      </c>
      <c r="CI57" s="0" t="n">
        <v>-0.0014012972775914</v>
      </c>
      <c r="CJ57" s="0" t="n">
        <v>0.0056859593140513</v>
      </c>
      <c r="CK57" s="0" t="n">
        <v>0.0328722324179719</v>
      </c>
      <c r="CL57" s="0" t="n">
        <v>0.0380599884571235</v>
      </c>
      <c r="CM57" s="0" t="n">
        <v>0.0132232963480101</v>
      </c>
      <c r="CN57" s="0" t="n">
        <v>0.0031374775106846</v>
      </c>
      <c r="CO57" s="0" t="n">
        <v>0.0118750479320574</v>
      </c>
      <c r="CP57" s="0" t="n">
        <v>0.0116594171581986</v>
      </c>
      <c r="CQ57" s="0" t="n">
        <v>0.0479263611128458</v>
      </c>
      <c r="CR57" s="0" t="n">
        <v>0.026164782397653</v>
      </c>
      <c r="CS57" s="0" t="n">
        <v>0.0490905008687031</v>
      </c>
      <c r="CT57" s="0" t="n">
        <v>0.020676768472321</v>
      </c>
      <c r="CU57" s="0" t="n">
        <v>0.0035908927845545</v>
      </c>
      <c r="CV57" s="0" t="n">
        <v>0.0066271134011361</v>
      </c>
      <c r="CW57" s="0" t="n">
        <v>0.0186633963947107</v>
      </c>
      <c r="CX57" s="0" t="n">
        <v>0.0273593567028979</v>
      </c>
      <c r="CY57" s="0" t="n">
        <v>0.0508283041187163</v>
      </c>
      <c r="CZ57" s="0" t="n">
        <v>0.006193152780475</v>
      </c>
      <c r="DA57" s="0" t="n">
        <v>0.0082381419153506</v>
      </c>
      <c r="DB57" s="0" t="n">
        <v>0.0219956414406734</v>
      </c>
      <c r="DC57" s="0" t="n">
        <v>0.0302032187022794</v>
      </c>
      <c r="DD57" s="0" t="n">
        <v>0.0252249528355417</v>
      </c>
      <c r="DE57" s="0" t="n">
        <v>0.0314965675738797</v>
      </c>
      <c r="DF57" s="0" t="n">
        <v>0.0018693756157796</v>
      </c>
      <c r="DG57" s="0" t="n">
        <v>0.0257963159385699</v>
      </c>
      <c r="DH57" s="0" t="n">
        <v>0.0179041659122195</v>
      </c>
      <c r="DI57" s="0" t="n">
        <v>0.0480940875000842</v>
      </c>
      <c r="DJ57" s="0" t="n">
        <v>0.0452783845535906</v>
      </c>
      <c r="DK57" s="0" t="n">
        <v>0.0614759419942107</v>
      </c>
      <c r="DL57" s="0" t="n">
        <v>0.0163260245902667</v>
      </c>
      <c r="DM57" s="0" t="n">
        <v>0.0627383920804931</v>
      </c>
      <c r="DN57" s="0" t="n">
        <v>0.0351515644801231</v>
      </c>
      <c r="DO57" s="0" t="n">
        <v>0.0433512414115782</v>
      </c>
      <c r="DP57" s="0" t="n">
        <v>0.0597416163472902</v>
      </c>
      <c r="DQ57" s="0" t="n">
        <v>0.0418211550964644</v>
      </c>
      <c r="DR57" s="0" t="n">
        <v>0.0215071878306203</v>
      </c>
      <c r="DS57" s="0" t="n">
        <v>0.0022450932432296</v>
      </c>
      <c r="DT57" s="0" t="n">
        <v>0.0070783633283079</v>
      </c>
      <c r="DU57" s="0" t="n">
        <v>0.0284621149870213</v>
      </c>
      <c r="DV57" s="0" t="n">
        <v>0.0115964186425779</v>
      </c>
      <c r="DW57" s="0" t="n">
        <v>0.0176881543120266</v>
      </c>
      <c r="DX57" s="0" t="n">
        <v>0.0479521960026407</v>
      </c>
      <c r="DY57" s="0" t="n">
        <v>0.0364596957970229</v>
      </c>
      <c r="DZ57" s="0" t="n">
        <v>0.0011586644466974</v>
      </c>
      <c r="EA57" s="0" t="n">
        <v>0.0334759918702634</v>
      </c>
      <c r="EB57" s="0" t="n">
        <v>0.0438750691860433</v>
      </c>
      <c r="EC57" s="0" t="n">
        <v>0.0006412797200796</v>
      </c>
      <c r="ED57" s="0" t="n">
        <v>0.0382590763345611</v>
      </c>
      <c r="EE57" s="0" t="n">
        <v>0.0349647169243225</v>
      </c>
      <c r="EF57" s="0" t="n">
        <v>0.0368311467845331</v>
      </c>
      <c r="EG57" s="0" t="n">
        <v>0.0400202115952665</v>
      </c>
      <c r="EH57" s="0" t="n">
        <v>0.0015243952011548</v>
      </c>
      <c r="EI57" s="0" t="n">
        <v>0.0452042946247852</v>
      </c>
      <c r="EJ57" s="0" t="n">
        <v>0.0388927653506312</v>
      </c>
      <c r="EK57" s="0" t="n">
        <v>0.0428692017524119</v>
      </c>
      <c r="EL57" s="0" t="n">
        <v>0.041451089252449</v>
      </c>
      <c r="EM57" s="0" t="n">
        <v>0.0539557579656335</v>
      </c>
      <c r="EN57" s="0" t="n">
        <v>0.0240935714191662</v>
      </c>
      <c r="EO57" s="0" t="n">
        <v>0.0641723453872355</v>
      </c>
      <c r="EP57" s="72" t="n">
        <f aca="false">SUMPRODUCT(B57:EO57,$B$5:$EO$5)</f>
        <v>0.0401080204669491</v>
      </c>
      <c r="EQ57" s="72" t="n">
        <f aca="false">SUMIF('Mi portafolio'!$A$8:$A$19,$A57,'Mi portafolio'!$B$8:$B$19)</f>
        <v>0</v>
      </c>
    </row>
    <row r="58" customFormat="false" ht="15" hidden="false" customHeight="false" outlineLevel="0" collapsed="false">
      <c r="A58" s="71" t="s">
        <v>280</v>
      </c>
      <c r="B58" s="0" t="n">
        <v>0.0077153487121201</v>
      </c>
      <c r="C58" s="0" t="n">
        <v>-0.0032932671077175</v>
      </c>
      <c r="D58" s="0" t="n">
        <v>0.002644230832367</v>
      </c>
      <c r="E58" s="0" t="n">
        <v>0.0070773880258883</v>
      </c>
      <c r="F58" s="0" t="n">
        <v>-0.0044744582672119</v>
      </c>
      <c r="G58" s="0" t="n">
        <v>0.0050479664663316</v>
      </c>
      <c r="H58" s="0" t="n">
        <v>0.0020529898257415</v>
      </c>
      <c r="I58" s="0" t="n">
        <v>0.0053736743302843</v>
      </c>
      <c r="J58" s="0" t="n">
        <v>0.000847043299603</v>
      </c>
      <c r="K58" s="0" t="n">
        <v>0.0002289779452785</v>
      </c>
      <c r="L58" s="0" t="n">
        <v>0.003082544563843</v>
      </c>
      <c r="M58" s="0" t="n">
        <v>0.0211979556198156</v>
      </c>
      <c r="N58" s="0" t="n">
        <v>0.0118719034193338</v>
      </c>
      <c r="O58" s="0" t="n">
        <v>0.0054497406650275</v>
      </c>
      <c r="P58" s="0" t="n">
        <v>0.0001139220330257</v>
      </c>
      <c r="Q58" s="0" t="n">
        <v>0.0034998709436243</v>
      </c>
      <c r="R58" s="0" t="n">
        <v>-0.0002206275407728</v>
      </c>
      <c r="S58" s="0" t="n">
        <v>-0.001136095105525</v>
      </c>
      <c r="T58" s="0" t="n">
        <v>0.0478699954455324</v>
      </c>
      <c r="U58" s="0" t="n">
        <v>0.0119782221548964</v>
      </c>
      <c r="V58" s="0" t="n">
        <v>0.0031797033712855</v>
      </c>
      <c r="W58" s="0" t="n">
        <v>0.0060942605692699</v>
      </c>
      <c r="X58" s="0" t="n">
        <v>0.0474080231067744</v>
      </c>
      <c r="Y58" s="0" t="n">
        <v>0.0198245412952358</v>
      </c>
      <c r="Z58" s="0" t="n">
        <v>0.0056617637048703</v>
      </c>
      <c r="AA58" s="0" t="n">
        <v>0.0090689058724762</v>
      </c>
      <c r="AB58" s="0" t="n">
        <v>0.0209888446452134</v>
      </c>
      <c r="AC58" s="0" t="n">
        <v>0.0045664402040937</v>
      </c>
      <c r="AD58" s="0" t="n">
        <v>0.0007009010695715</v>
      </c>
      <c r="AE58" s="0" t="n">
        <v>0.018207736279035</v>
      </c>
      <c r="AF58" s="0" t="n">
        <v>0.012299330220968</v>
      </c>
      <c r="AG58" s="0" t="n">
        <v>-0.0030650947750289</v>
      </c>
      <c r="AH58" s="0" t="n">
        <v>-0.0035439276212779</v>
      </c>
      <c r="AI58" s="0" t="n">
        <v>-0.0061865068023367</v>
      </c>
      <c r="AJ58" s="0" t="n">
        <v>0.0067868829058748</v>
      </c>
      <c r="AK58" s="0" t="n">
        <v>0.0151897885941446</v>
      </c>
      <c r="AL58" s="0" t="n">
        <v>0.0216669100966691</v>
      </c>
      <c r="AM58" s="0" t="n">
        <v>0.0160150030979172</v>
      </c>
      <c r="AN58" s="0" t="n">
        <v>0.0197579915609527</v>
      </c>
      <c r="AO58" s="0" t="n">
        <v>0.0035889724361996</v>
      </c>
      <c r="AP58" s="0" t="n">
        <v>0.0208930577510458</v>
      </c>
      <c r="AQ58" s="0" t="n">
        <v>-0.009831690926247</v>
      </c>
      <c r="AR58" s="0" t="n">
        <v>0.0540864805930704</v>
      </c>
      <c r="AS58" s="0" t="n">
        <v>0.0123750648020147</v>
      </c>
      <c r="AT58" s="0" t="n">
        <v>0.0481919093750391</v>
      </c>
      <c r="AU58" s="0" t="n">
        <v>0.0002555758336413</v>
      </c>
      <c r="AV58" s="0" t="n">
        <v>0.0128721527356826</v>
      </c>
      <c r="AW58" s="0" t="n">
        <v>0.009362206773008</v>
      </c>
      <c r="AX58" s="0" t="n">
        <v>0.0192233779919362</v>
      </c>
      <c r="AY58" s="0" t="n">
        <v>0.0202046407616986</v>
      </c>
      <c r="AZ58" s="0" t="n">
        <v>0.0189992218264701</v>
      </c>
      <c r="BA58" s="0" t="n">
        <v>0.0295649630949432</v>
      </c>
      <c r="BB58" s="0" t="n">
        <v>0.0863172952409764</v>
      </c>
      <c r="BC58" s="0" t="n">
        <v>0.0134361450414789</v>
      </c>
      <c r="BD58" s="0" t="n">
        <v>0.0138413466645289</v>
      </c>
      <c r="BE58" s="0" t="n">
        <v>0.0090394999980923</v>
      </c>
      <c r="BF58" s="0" t="n">
        <v>0.0167542673568391</v>
      </c>
      <c r="BG58" s="0" t="n">
        <v>0.0227662278950456</v>
      </c>
      <c r="BH58" s="0" t="n">
        <v>0.012452570467839</v>
      </c>
      <c r="BI58" s="0" t="n">
        <v>0.0093908599348534</v>
      </c>
      <c r="BJ58" s="0" t="n">
        <v>0.0013665509098268</v>
      </c>
      <c r="BK58" s="0" t="n">
        <v>0.0233297421801592</v>
      </c>
      <c r="BL58" s="0" t="n">
        <v>0.0339062973803188</v>
      </c>
      <c r="BM58" s="0" t="n">
        <v>0.0136598617854612</v>
      </c>
      <c r="BN58" s="0" t="n">
        <v>0.0117516922351248</v>
      </c>
      <c r="BO58" s="0" t="n">
        <v>0.0260376999135644</v>
      </c>
      <c r="BP58" s="0" t="n">
        <v>0.0231840821299734</v>
      </c>
      <c r="BQ58" s="0" t="n">
        <v>0.0298083408485559</v>
      </c>
      <c r="BR58" s="0" t="n">
        <v>0.0396595708199013</v>
      </c>
      <c r="BS58" s="0" t="n">
        <v>-0.0096197229833004</v>
      </c>
      <c r="BT58" s="0" t="n">
        <v>0.0518583530058016</v>
      </c>
      <c r="BU58" s="0" t="n">
        <v>0.0190738787984759</v>
      </c>
      <c r="BV58" s="0" t="n">
        <v>0.0265996201549996</v>
      </c>
      <c r="BW58" s="0" t="n">
        <v>0.025546961299558</v>
      </c>
      <c r="BX58" s="0" t="n">
        <v>0.0058102802805406</v>
      </c>
      <c r="BY58" s="0" t="n">
        <v>0.0376949531745432</v>
      </c>
      <c r="BZ58" s="0" t="n">
        <v>0.0371896247014162</v>
      </c>
      <c r="CA58" s="0" t="n">
        <v>0.0085558634634205</v>
      </c>
      <c r="CB58" s="0" t="n">
        <v>0.0003439262425894</v>
      </c>
      <c r="CC58" s="0" t="n">
        <v>0.0174611213152057</v>
      </c>
      <c r="CD58" s="0" t="n">
        <v>0.022901677423584</v>
      </c>
      <c r="CE58" s="0" t="n">
        <v>0.0404456039826186</v>
      </c>
      <c r="CF58" s="0" t="n">
        <v>-0.0135477705730967</v>
      </c>
      <c r="CG58" s="0" t="n">
        <v>0.0409606309157646</v>
      </c>
      <c r="CH58" s="0" t="n">
        <v>0.0306661300197469</v>
      </c>
      <c r="CI58" s="0" t="n">
        <v>-0.0138238984468765</v>
      </c>
      <c r="CJ58" s="0" t="n">
        <v>0.007589374025485</v>
      </c>
      <c r="CK58" s="0" t="n">
        <v>0.0212107036204248</v>
      </c>
      <c r="CL58" s="0" t="n">
        <v>0.0239731728412714</v>
      </c>
      <c r="CM58" s="0" t="n">
        <v>0.0399527483874376</v>
      </c>
      <c r="CN58" s="0" t="n">
        <v>0.007829945311331</v>
      </c>
      <c r="CO58" s="0" t="n">
        <v>0.0164493425834857</v>
      </c>
      <c r="CP58" s="0" t="n">
        <v>0.0158082582695902</v>
      </c>
      <c r="CQ58" s="0" t="n">
        <v>0.07293577570788</v>
      </c>
      <c r="CR58" s="0" t="n">
        <v>0.047748546338057</v>
      </c>
      <c r="CS58" s="0" t="n">
        <v>0.0535969359498757</v>
      </c>
      <c r="CT58" s="0" t="n">
        <v>0.0370304835486681</v>
      </c>
      <c r="CU58" s="0" t="n">
        <v>0.014919365900482</v>
      </c>
      <c r="CV58" s="0" t="n">
        <v>0.0334159826744623</v>
      </c>
      <c r="CW58" s="0" t="n">
        <v>0.03240468248291</v>
      </c>
      <c r="CX58" s="0" t="n">
        <v>0.04974140793693</v>
      </c>
      <c r="CY58" s="0" t="n">
        <v>0.0689388124540477</v>
      </c>
      <c r="CZ58" s="0" t="n">
        <v>0.0235025844176446</v>
      </c>
      <c r="DA58" s="0" t="n">
        <v>0.0211747178795971</v>
      </c>
      <c r="DB58" s="0" t="n">
        <v>0.0491360730741923</v>
      </c>
      <c r="DC58" s="0" t="n">
        <v>0.0542872922511296</v>
      </c>
      <c r="DD58" s="0" t="n">
        <v>0.0516320695049176</v>
      </c>
      <c r="DE58" s="0" t="n">
        <v>0.0487503282693753</v>
      </c>
      <c r="DF58" s="0" t="n">
        <v>0.0143467722001132</v>
      </c>
      <c r="DG58" s="0" t="n">
        <v>0.0353591392391519</v>
      </c>
      <c r="DH58" s="0" t="n">
        <v>0.0445518403625046</v>
      </c>
      <c r="DI58" s="0" t="n">
        <v>0.0761347895807369</v>
      </c>
      <c r="DJ58" s="0" t="n">
        <v>0.059236225198458</v>
      </c>
      <c r="DK58" s="0" t="n">
        <v>0.0851186564630095</v>
      </c>
      <c r="DL58" s="0" t="n">
        <v>0.0131393865292512</v>
      </c>
      <c r="DM58" s="0" t="n">
        <v>0.0744608442366591</v>
      </c>
      <c r="DN58" s="0" t="n">
        <v>0.039003608635714</v>
      </c>
      <c r="DO58" s="0" t="n">
        <v>0.0538176701334665</v>
      </c>
      <c r="DP58" s="0" t="n">
        <v>0.0679665780827104</v>
      </c>
      <c r="DQ58" s="0" t="n">
        <v>0.0395521155140997</v>
      </c>
      <c r="DR58" s="0" t="n">
        <v>0.0465671469333078</v>
      </c>
      <c r="DS58" s="0" t="n">
        <v>0.0383619510472038</v>
      </c>
      <c r="DT58" s="0" t="n">
        <v>0.0507015599903435</v>
      </c>
      <c r="DU58" s="0" t="n">
        <v>0.0793698124630277</v>
      </c>
      <c r="DV58" s="0" t="n">
        <v>0.0441484511524538</v>
      </c>
      <c r="DW58" s="0" t="n">
        <v>0.0524610832902346</v>
      </c>
      <c r="DX58" s="0" t="n">
        <v>0.0742710661861037</v>
      </c>
      <c r="DY58" s="0" t="n">
        <v>0.07826795056449</v>
      </c>
      <c r="DZ58" s="0" t="n">
        <v>0.0349481136010774</v>
      </c>
      <c r="EA58" s="0" t="n">
        <v>0.0379144916220444</v>
      </c>
      <c r="EB58" s="0" t="n">
        <v>0.0994683977867028</v>
      </c>
      <c r="EC58" s="0" t="n">
        <v>0.0204157084545119</v>
      </c>
      <c r="ED58" s="0" t="n">
        <v>0.0598110708202786</v>
      </c>
      <c r="EE58" s="0" t="n">
        <v>0.0624351284959373</v>
      </c>
      <c r="EF58" s="0" t="n">
        <v>0.0661983703997638</v>
      </c>
      <c r="EG58" s="0" t="n">
        <v>0.0631260675055566</v>
      </c>
      <c r="EH58" s="0" t="n">
        <v>0.0474095687606196</v>
      </c>
      <c r="EI58" s="0" t="n">
        <v>0.0640589563744874</v>
      </c>
      <c r="EJ58" s="0" t="n">
        <v>0.0654690195798792</v>
      </c>
      <c r="EK58" s="0" t="n">
        <v>0.0865199640600569</v>
      </c>
      <c r="EL58" s="0" t="n">
        <v>0.0983174528998135</v>
      </c>
      <c r="EM58" s="0" t="n">
        <v>0.0478219377253876</v>
      </c>
      <c r="EN58" s="0" t="n">
        <v>0.0037643120291647</v>
      </c>
      <c r="EO58" s="0" t="n">
        <v>0.0592671150496324</v>
      </c>
      <c r="EP58" s="72" t="n">
        <f aca="false">SUMPRODUCT(B58:EO58,$B$5:$EO$5)</f>
        <v>0.0592162895219128</v>
      </c>
      <c r="EQ58" s="72" t="n">
        <f aca="false">SUMIF('Mi portafolio'!$A$8:$A$19,$A58,'Mi portafolio'!$B$8:$B$19)</f>
        <v>0</v>
      </c>
    </row>
    <row r="59" customFormat="false" ht="15" hidden="false" customHeight="false" outlineLevel="0" collapsed="false">
      <c r="A59" s="71" t="s">
        <v>281</v>
      </c>
      <c r="B59" s="0" t="n">
        <v>0.0053842900735254</v>
      </c>
      <c r="C59" s="0" t="n">
        <v>0.0008417484818694</v>
      </c>
      <c r="D59" s="0" t="n">
        <v>0.003229323834039</v>
      </c>
      <c r="E59" s="0" t="n">
        <v>0.0126348268006362</v>
      </c>
      <c r="F59" s="0" t="n">
        <v>0.0046512905192628</v>
      </c>
      <c r="G59" s="0" t="n">
        <v>0.0015029633424071</v>
      </c>
      <c r="H59" s="0" t="n">
        <v>0.0095120355219289</v>
      </c>
      <c r="I59" s="0" t="n">
        <v>0.0074618793832854</v>
      </c>
      <c r="J59" s="0" t="n">
        <v>-8.75536451143606E-005</v>
      </c>
      <c r="K59" s="0" t="n">
        <v>0.0017953511499301</v>
      </c>
      <c r="L59" s="0" t="n">
        <v>0.0066115318486141</v>
      </c>
      <c r="M59" s="0" t="n">
        <v>0.009326682300423</v>
      </c>
      <c r="N59" s="0" t="n">
        <v>0.0046359274212918</v>
      </c>
      <c r="O59" s="0" t="n">
        <v>0.0174581365867063</v>
      </c>
      <c r="P59" s="0" t="n">
        <v>0.003883246094229</v>
      </c>
      <c r="Q59" s="0" t="n">
        <v>-0.0055779535671508</v>
      </c>
      <c r="R59" s="0" t="n">
        <v>0.0035468274723277</v>
      </c>
      <c r="S59" s="0" t="n">
        <v>0.012294931627953</v>
      </c>
      <c r="T59" s="0" t="n">
        <v>0.0044920812891658</v>
      </c>
      <c r="U59" s="0" t="n">
        <v>0.0108608309668826</v>
      </c>
      <c r="V59" s="0" t="n">
        <v>0.0083528043792364</v>
      </c>
      <c r="W59" s="0" t="n">
        <v>0.0077303521900562</v>
      </c>
      <c r="X59" s="0" t="n">
        <v>0.0096200884264347</v>
      </c>
      <c r="Y59" s="0" t="n">
        <v>0.0045236448692114</v>
      </c>
      <c r="Z59" s="0" t="n">
        <v>0.0125371578862667</v>
      </c>
      <c r="AA59" s="0" t="n">
        <v>0.0110143736994995</v>
      </c>
      <c r="AB59" s="0" t="n">
        <v>-4.51205576337931E-005</v>
      </c>
      <c r="AC59" s="0" t="n">
        <v>0.015739909235686</v>
      </c>
      <c r="AD59" s="0" t="n">
        <v>0.0164040231059438</v>
      </c>
      <c r="AE59" s="0" t="n">
        <v>0.0152545911576705</v>
      </c>
      <c r="AF59" s="0" t="n">
        <v>0.0155936604580224</v>
      </c>
      <c r="AG59" s="0" t="n">
        <v>0.0008175698754134</v>
      </c>
      <c r="AH59" s="0" t="n">
        <v>-0.0009909774644163</v>
      </c>
      <c r="AI59" s="0" t="n">
        <v>-0.0016858251271757</v>
      </c>
      <c r="AJ59" s="0" t="n">
        <v>0.0101662736529621</v>
      </c>
      <c r="AK59" s="0" t="n">
        <v>0.0125026450907175</v>
      </c>
      <c r="AL59" s="0" t="n">
        <v>0.0076600672836614</v>
      </c>
      <c r="AM59" s="0" t="n">
        <v>0.0160316857791435</v>
      </c>
      <c r="AN59" s="0" t="n">
        <v>0.0083755058984885</v>
      </c>
      <c r="AO59" s="0" t="n">
        <v>0.0007363800021883</v>
      </c>
      <c r="AP59" s="0" t="n">
        <v>0.0109481853941824</v>
      </c>
      <c r="AQ59" s="0" t="n">
        <v>-0.0026581264086077</v>
      </c>
      <c r="AR59" s="0" t="n">
        <v>0.0045763755125586</v>
      </c>
      <c r="AS59" s="0" t="n">
        <v>0.0106501856822818</v>
      </c>
      <c r="AT59" s="0" t="n">
        <v>0.008318082237064</v>
      </c>
      <c r="AU59" s="0" t="n">
        <v>0.0034456352693333</v>
      </c>
      <c r="AV59" s="0" t="n">
        <v>0.0183290536356076</v>
      </c>
      <c r="AW59" s="0" t="n">
        <v>0.0175990438587365</v>
      </c>
      <c r="AX59" s="0" t="n">
        <v>0.0089763596105072</v>
      </c>
      <c r="AY59" s="0" t="n">
        <v>0.0040555752778135</v>
      </c>
      <c r="AZ59" s="0" t="n">
        <v>0.015736960447983</v>
      </c>
      <c r="BA59" s="0" t="n">
        <v>0.012709216189554</v>
      </c>
      <c r="BB59" s="0" t="n">
        <v>0.0134361450414789</v>
      </c>
      <c r="BC59" s="0" t="n">
        <v>0.0835470650675038</v>
      </c>
      <c r="BD59" s="0" t="n">
        <v>0.0197663409737831</v>
      </c>
      <c r="BE59" s="0" t="n">
        <v>0.0076236917698363</v>
      </c>
      <c r="BF59" s="0" t="n">
        <v>0.0168639775119177</v>
      </c>
      <c r="BG59" s="0" t="n">
        <v>0.009308342940722</v>
      </c>
      <c r="BH59" s="0" t="n">
        <v>0.018273844314146</v>
      </c>
      <c r="BI59" s="0" t="n">
        <v>0.0076229024455028</v>
      </c>
      <c r="BJ59" s="0" t="n">
        <v>0.0048085180202704</v>
      </c>
      <c r="BK59" s="0" t="n">
        <v>0.0220941239361121</v>
      </c>
      <c r="BL59" s="0" t="n">
        <v>0.0051944291691185</v>
      </c>
      <c r="BM59" s="0" t="n">
        <v>-0.0052764711314975</v>
      </c>
      <c r="BN59" s="0" t="n">
        <v>0.0095717190734839</v>
      </c>
      <c r="BO59" s="0" t="n">
        <v>0.013807715107871</v>
      </c>
      <c r="BP59" s="0" t="n">
        <v>0.0116035657580555</v>
      </c>
      <c r="BQ59" s="0" t="n">
        <v>0.020675267119222</v>
      </c>
      <c r="BR59" s="0" t="n">
        <v>0.0168643860390367</v>
      </c>
      <c r="BS59" s="0" t="n">
        <v>-0.0044495689708553</v>
      </c>
      <c r="BT59" s="0" t="n">
        <v>0.0199857778228043</v>
      </c>
      <c r="BU59" s="0" t="n">
        <v>0.013299201095767</v>
      </c>
      <c r="BV59" s="0" t="n">
        <v>0.0001226502986343</v>
      </c>
      <c r="BW59" s="0" t="n">
        <v>0.0210287563594493</v>
      </c>
      <c r="BX59" s="0" t="n">
        <v>0.0112835792371809</v>
      </c>
      <c r="BY59" s="0" t="n">
        <v>0.0126165297186628</v>
      </c>
      <c r="BZ59" s="0" t="n">
        <v>0.0098989884874423</v>
      </c>
      <c r="CA59" s="0" t="n">
        <v>0.0203535975329671</v>
      </c>
      <c r="CB59" s="0" t="n">
        <v>-0.0043282132518364</v>
      </c>
      <c r="CC59" s="0" t="n">
        <v>0.0068169992645792</v>
      </c>
      <c r="CD59" s="0" t="n">
        <v>0.0008548968905667</v>
      </c>
      <c r="CE59" s="0" t="n">
        <v>0.0066566949621424</v>
      </c>
      <c r="CF59" s="0" t="n">
        <v>-0.0027843222068241</v>
      </c>
      <c r="CG59" s="0" t="n">
        <v>0.0127035113874932</v>
      </c>
      <c r="CH59" s="0" t="n">
        <v>0.0142011894161316</v>
      </c>
      <c r="CI59" s="0" t="n">
        <v>-0.0041102840400101</v>
      </c>
      <c r="CJ59" s="0" t="n">
        <v>-0.0060162907432914</v>
      </c>
      <c r="CK59" s="0" t="n">
        <v>0.0043004498234152</v>
      </c>
      <c r="CL59" s="0" t="n">
        <v>0.007420136296445</v>
      </c>
      <c r="CM59" s="0" t="n">
        <v>0.0108137632327794</v>
      </c>
      <c r="CN59" s="0" t="n">
        <v>0.0020722723383922</v>
      </c>
      <c r="CO59" s="0" t="n">
        <v>0.0169092806282532</v>
      </c>
      <c r="CP59" s="0" t="n">
        <v>0.0058696971508882</v>
      </c>
      <c r="CQ59" s="0" t="n">
        <v>0.0167557700619613</v>
      </c>
      <c r="CR59" s="0" t="n">
        <v>0.0171155341439206</v>
      </c>
      <c r="CS59" s="0" t="n">
        <v>0.0186497157163967</v>
      </c>
      <c r="CT59" s="0" t="n">
        <v>0.0185465682282402</v>
      </c>
      <c r="CU59" s="0" t="n">
        <v>0.0122508522056161</v>
      </c>
      <c r="CV59" s="0" t="n">
        <v>0.000471045336707</v>
      </c>
      <c r="CW59" s="0" t="n">
        <v>0.0165397870289228</v>
      </c>
      <c r="CX59" s="0" t="n">
        <v>0.0100274441853625</v>
      </c>
      <c r="CY59" s="0" t="n">
        <v>0.0113414471478208</v>
      </c>
      <c r="CZ59" s="0" t="n">
        <v>0.0157224382422482</v>
      </c>
      <c r="DA59" s="0" t="n">
        <v>0.0051207188115357</v>
      </c>
      <c r="DB59" s="0" t="n">
        <v>0.0230245721434519</v>
      </c>
      <c r="DC59" s="0" t="n">
        <v>0.0169775420615816</v>
      </c>
      <c r="DD59" s="0" t="n">
        <v>0.0191850735654924</v>
      </c>
      <c r="DE59" s="0" t="n">
        <v>0.0021349880133144</v>
      </c>
      <c r="DF59" s="0" t="n">
        <v>0.0086308228609783</v>
      </c>
      <c r="DG59" s="0" t="n">
        <v>0.0131555346696446</v>
      </c>
      <c r="DH59" s="0" t="n">
        <v>0.028425369388489</v>
      </c>
      <c r="DI59" s="0" t="n">
        <v>0.026916777799454</v>
      </c>
      <c r="DJ59" s="0" t="n">
        <v>-0.0009043415868191</v>
      </c>
      <c r="DK59" s="0" t="n">
        <v>0.0259732812103321</v>
      </c>
      <c r="DL59" s="0" t="n">
        <v>0.0234926894490364</v>
      </c>
      <c r="DM59" s="0" t="n">
        <v>0.0151415741649749</v>
      </c>
      <c r="DN59" s="0" t="n">
        <v>0.008159304156635</v>
      </c>
      <c r="DO59" s="0" t="n">
        <v>0.0119413464870935</v>
      </c>
      <c r="DP59" s="0" t="n">
        <v>0.0111577327022512</v>
      </c>
      <c r="DQ59" s="0" t="n">
        <v>0.0154104218292767</v>
      </c>
      <c r="DR59" s="0" t="n">
        <v>-0.0025132879105872</v>
      </c>
      <c r="DS59" s="0" t="n">
        <v>-0.0125916242197148</v>
      </c>
      <c r="DT59" s="0" t="n">
        <v>0.0099824970831341</v>
      </c>
      <c r="DU59" s="0" t="n">
        <v>0.0325909813657623</v>
      </c>
      <c r="DV59" s="0" t="n">
        <v>0.022432362121524</v>
      </c>
      <c r="DW59" s="0" t="n">
        <v>0.0171975319884392</v>
      </c>
      <c r="DX59" s="0" t="n">
        <v>0.0199785042780449</v>
      </c>
      <c r="DY59" s="0" t="n">
        <v>0.017260252905676</v>
      </c>
      <c r="DZ59" s="0" t="n">
        <v>0.0094772416541651</v>
      </c>
      <c r="EA59" s="0" t="n">
        <v>0.0156127134451562</v>
      </c>
      <c r="EB59" s="0" t="n">
        <v>0.0108192783706559</v>
      </c>
      <c r="EC59" s="0" t="n">
        <v>0.0063200257609156</v>
      </c>
      <c r="ED59" s="0" t="n">
        <v>0.0349117676092588</v>
      </c>
      <c r="EE59" s="0" t="n">
        <v>0.0216951451558454</v>
      </c>
      <c r="EF59" s="0" t="n">
        <v>0.007041490050801</v>
      </c>
      <c r="EG59" s="0" t="n">
        <v>0.0191337674505647</v>
      </c>
      <c r="EH59" s="0" t="n">
        <v>0.0088844410505001</v>
      </c>
      <c r="EI59" s="0" t="n">
        <v>0.0169584716695336</v>
      </c>
      <c r="EJ59" s="0" t="n">
        <v>0.0313505335073085</v>
      </c>
      <c r="EK59" s="0" t="n">
        <v>0.0450953704302044</v>
      </c>
      <c r="EL59" s="0" t="n">
        <v>0.0412981221645148</v>
      </c>
      <c r="EM59" s="0" t="n">
        <v>0.016187216582503</v>
      </c>
      <c r="EN59" s="0" t="n">
        <v>0.0035570383596311</v>
      </c>
      <c r="EO59" s="0" t="n">
        <v>-0.0394988850237994</v>
      </c>
      <c r="EP59" s="72" t="n">
        <f aca="false">SUMPRODUCT(B59:EO59,$B$5:$EO$5)</f>
        <v>0.0176479202293348</v>
      </c>
      <c r="EQ59" s="72" t="n">
        <f aca="false">SUMIF('Mi portafolio'!$A$8:$A$19,$A59,'Mi portafolio'!$B$8:$B$19)</f>
        <v>0</v>
      </c>
    </row>
    <row r="60" customFormat="false" ht="15" hidden="false" customHeight="false" outlineLevel="0" collapsed="false">
      <c r="A60" s="71" t="s">
        <v>282</v>
      </c>
      <c r="B60" s="0" t="n">
        <v>0.0004162177188452</v>
      </c>
      <c r="C60" s="0" t="n">
        <v>0.0080978458585678</v>
      </c>
      <c r="D60" s="0" t="n">
        <v>0.0090750123539081</v>
      </c>
      <c r="E60" s="0" t="n">
        <v>0.0128189775089522</v>
      </c>
      <c r="F60" s="0" t="n">
        <v>0.0006048972222143</v>
      </c>
      <c r="G60" s="0" t="n">
        <v>0.0091739876472147</v>
      </c>
      <c r="H60" s="0" t="n">
        <v>0.014216921072511</v>
      </c>
      <c r="I60" s="0" t="n">
        <v>0.002215415317561</v>
      </c>
      <c r="J60" s="0" t="n">
        <v>0.0025082477992612</v>
      </c>
      <c r="K60" s="0" t="n">
        <v>0.0060262869256421</v>
      </c>
      <c r="L60" s="0" t="n">
        <v>0.0128086082334258</v>
      </c>
      <c r="M60" s="0" t="n">
        <v>0.0109993160555316</v>
      </c>
      <c r="N60" s="0" t="n">
        <v>0.0053609669324029</v>
      </c>
      <c r="O60" s="0" t="n">
        <v>0.0210421749882762</v>
      </c>
      <c r="P60" s="0" t="n">
        <v>0.0025803791224355</v>
      </c>
      <c r="Q60" s="0" t="n">
        <v>0.0032571613498271</v>
      </c>
      <c r="R60" s="0" t="n">
        <v>0.0030815009830377</v>
      </c>
      <c r="S60" s="0" t="n">
        <v>0.0215114511369341</v>
      </c>
      <c r="T60" s="0" t="n">
        <v>0.005969501608576</v>
      </c>
      <c r="U60" s="0" t="n">
        <v>0.0320243367649599</v>
      </c>
      <c r="V60" s="0" t="n">
        <v>0.0144682705241016</v>
      </c>
      <c r="W60" s="0" t="n">
        <v>0.017472987819584</v>
      </c>
      <c r="X60" s="0" t="n">
        <v>0.0106221531645444</v>
      </c>
      <c r="Y60" s="0" t="n">
        <v>0.0058093523346128</v>
      </c>
      <c r="Z60" s="0" t="n">
        <v>0.0216435167418639</v>
      </c>
      <c r="AA60" s="0" t="n">
        <v>0.0170525706263357</v>
      </c>
      <c r="AB60" s="0" t="n">
        <v>0.0039105811663188</v>
      </c>
      <c r="AC60" s="0" t="n">
        <v>0.0097517795974658</v>
      </c>
      <c r="AD60" s="0" t="n">
        <v>0.0193912094422535</v>
      </c>
      <c r="AE60" s="0" t="n">
        <v>0.0301562541263115</v>
      </c>
      <c r="AF60" s="0" t="n">
        <v>0.0244227284982334</v>
      </c>
      <c r="AG60" s="0" t="n">
        <v>0.0028236118707594</v>
      </c>
      <c r="AH60" s="0" t="n">
        <v>0.0029565170177909</v>
      </c>
      <c r="AI60" s="0" t="n">
        <v>-0.0135313518826828</v>
      </c>
      <c r="AJ60" s="0" t="n">
        <v>0.0216124002629</v>
      </c>
      <c r="AK60" s="0" t="n">
        <v>0.0405430508750672</v>
      </c>
      <c r="AL60" s="0" t="n">
        <v>0.0004948750881705</v>
      </c>
      <c r="AM60" s="0" t="n">
        <v>0.0240202073535907</v>
      </c>
      <c r="AN60" s="0" t="n">
        <v>0.0137775508117532</v>
      </c>
      <c r="AO60" s="0" t="n">
        <v>0.0025444935783455</v>
      </c>
      <c r="AP60" s="0" t="n">
        <v>0.0104392554156963</v>
      </c>
      <c r="AQ60" s="0" t="n">
        <v>-0.0092231918948003</v>
      </c>
      <c r="AR60" s="0" t="n">
        <v>0.0118366896966903</v>
      </c>
      <c r="AS60" s="0" t="n">
        <v>0.0409822614962023</v>
      </c>
      <c r="AT60" s="0" t="n">
        <v>0.0087346131911194</v>
      </c>
      <c r="AU60" s="0" t="n">
        <v>-0.0042900196626088</v>
      </c>
      <c r="AV60" s="0" t="n">
        <v>0.0201852322114092</v>
      </c>
      <c r="AW60" s="0" t="n">
        <v>0.0285890984885038</v>
      </c>
      <c r="AX60" s="0" t="n">
        <v>0.0088277425510276</v>
      </c>
      <c r="AY60" s="0" t="n">
        <v>0.0026127902198399</v>
      </c>
      <c r="AZ60" s="0" t="n">
        <v>0.0331094488606484</v>
      </c>
      <c r="BA60" s="0" t="n">
        <v>0.0235945317104982</v>
      </c>
      <c r="BB60" s="0" t="n">
        <v>0.0138413466645289</v>
      </c>
      <c r="BC60" s="0" t="n">
        <v>0.0197663409737831</v>
      </c>
      <c r="BD60" s="0" t="n">
        <v>0.0836677100220399</v>
      </c>
      <c r="BE60" s="0" t="n">
        <v>0.0068716583909324</v>
      </c>
      <c r="BF60" s="0" t="n">
        <v>0.0283716038610339</v>
      </c>
      <c r="BG60" s="0" t="n">
        <v>0.0067821262431174</v>
      </c>
      <c r="BH60" s="0" t="n">
        <v>0.0304794268419982</v>
      </c>
      <c r="BI60" s="0" t="n">
        <v>0.0034799975493582</v>
      </c>
      <c r="BJ60" s="0" t="n">
        <v>0.0059057102859541</v>
      </c>
      <c r="BK60" s="0" t="n">
        <v>0.0314539073084029</v>
      </c>
      <c r="BL60" s="0" t="n">
        <v>0.0219884887268038</v>
      </c>
      <c r="BM60" s="0" t="n">
        <v>0.000644245938374</v>
      </c>
      <c r="BN60" s="0" t="n">
        <v>0.0091149640013889</v>
      </c>
      <c r="BO60" s="0" t="n">
        <v>0.0158963358489628</v>
      </c>
      <c r="BP60" s="0" t="n">
        <v>0.0094089932398478</v>
      </c>
      <c r="BQ60" s="0" t="n">
        <v>0.0341414077664202</v>
      </c>
      <c r="BR60" s="0" t="n">
        <v>0.0099322319138998</v>
      </c>
      <c r="BS60" s="0" t="n">
        <v>-0.01267103582673</v>
      </c>
      <c r="BT60" s="0" t="n">
        <v>0.0148286073429467</v>
      </c>
      <c r="BU60" s="0" t="n">
        <v>0.0341939993502952</v>
      </c>
      <c r="BV60" s="0" t="n">
        <v>0.011911553143217</v>
      </c>
      <c r="BW60" s="0" t="n">
        <v>0.0164999879657366</v>
      </c>
      <c r="BX60" s="0" t="n">
        <v>0.0064366253124624</v>
      </c>
      <c r="BY60" s="0" t="n">
        <v>0.0185266859202697</v>
      </c>
      <c r="BZ60" s="0" t="n">
        <v>0.0216547761594333</v>
      </c>
      <c r="CA60" s="0" t="n">
        <v>0.026186852973332</v>
      </c>
      <c r="CB60" s="0" t="n">
        <v>0.0017815202938566</v>
      </c>
      <c r="CC60" s="0" t="n">
        <v>0.0091025151045017</v>
      </c>
      <c r="CD60" s="0" t="n">
        <v>0.0084008830779658</v>
      </c>
      <c r="CE60" s="0" t="n">
        <v>0.0128099988777785</v>
      </c>
      <c r="CF60" s="0" t="n">
        <v>-0.0134924287845786</v>
      </c>
      <c r="CG60" s="0" t="n">
        <v>0.0106206877368153</v>
      </c>
      <c r="CH60" s="0" t="n">
        <v>0.0375139787103252</v>
      </c>
      <c r="CI60" s="0" t="n">
        <v>-0.0193625872460279</v>
      </c>
      <c r="CJ60" s="0" t="n">
        <v>0.0076441619945052</v>
      </c>
      <c r="CK60" s="0" t="n">
        <v>0.0040260238516212</v>
      </c>
      <c r="CL60" s="0" t="n">
        <v>0.004189872257855</v>
      </c>
      <c r="CM60" s="0" t="n">
        <v>0.0130317496903549</v>
      </c>
      <c r="CN60" s="0" t="n">
        <v>0.024809444427883</v>
      </c>
      <c r="CO60" s="0" t="n">
        <v>0.0231110773713349</v>
      </c>
      <c r="CP60" s="0" t="n">
        <v>0.0044712047969086</v>
      </c>
      <c r="CQ60" s="0" t="n">
        <v>0.0156138582260626</v>
      </c>
      <c r="CR60" s="0" t="n">
        <v>0.0172764011780384</v>
      </c>
      <c r="CS60" s="0" t="n">
        <v>0.0237289264146231</v>
      </c>
      <c r="CT60" s="0" t="n">
        <v>0.0196033245330422</v>
      </c>
      <c r="CU60" s="0" t="n">
        <v>0.0151834816942916</v>
      </c>
      <c r="CV60" s="0" t="n">
        <v>0.0060696569083614</v>
      </c>
      <c r="CW60" s="0" t="n">
        <v>0.0219891044516108</v>
      </c>
      <c r="CX60" s="0" t="n">
        <v>0.0272518628061549</v>
      </c>
      <c r="CY60" s="0" t="n">
        <v>0.0192629078039827</v>
      </c>
      <c r="CZ60" s="0" t="n">
        <v>0.0192751835063778</v>
      </c>
      <c r="DA60" s="0" t="n">
        <v>0.0115947645687227</v>
      </c>
      <c r="DB60" s="0" t="n">
        <v>0.0225709928193542</v>
      </c>
      <c r="DC60" s="0" t="n">
        <v>0.0507604608897664</v>
      </c>
      <c r="DD60" s="0" t="n">
        <v>0.0185787400773069</v>
      </c>
      <c r="DE60" s="0" t="n">
        <v>0.031650239265067</v>
      </c>
      <c r="DF60" s="0" t="n">
        <v>-0.0014553564371937</v>
      </c>
      <c r="DG60" s="0" t="n">
        <v>0.0311309014140797</v>
      </c>
      <c r="DH60" s="0" t="n">
        <v>0.010794692773882</v>
      </c>
      <c r="DI60" s="0" t="n">
        <v>0.0224129025211297</v>
      </c>
      <c r="DJ60" s="0" t="n">
        <v>0.0128484276698955</v>
      </c>
      <c r="DK60" s="0" t="n">
        <v>0.0241832856106776</v>
      </c>
      <c r="DL60" s="0" t="n">
        <v>0.0455892015180293</v>
      </c>
      <c r="DM60" s="0" t="n">
        <v>0.030028431636043</v>
      </c>
      <c r="DN60" s="0" t="n">
        <v>0.0055181093970004</v>
      </c>
      <c r="DO60" s="0" t="n">
        <v>0.016277675180686</v>
      </c>
      <c r="DP60" s="0" t="n">
        <v>0.0244302670215752</v>
      </c>
      <c r="DQ60" s="0" t="n">
        <v>0.0174255795534277</v>
      </c>
      <c r="DR60" s="0" t="n">
        <v>0.0117112006080643</v>
      </c>
      <c r="DS60" s="0" t="n">
        <v>-0.0141357101291446</v>
      </c>
      <c r="DT60" s="0" t="n">
        <v>0.0049836015360095</v>
      </c>
      <c r="DU60" s="0" t="n">
        <v>0.0326323412218271</v>
      </c>
      <c r="DV60" s="0" t="n">
        <v>-0.0066161779122693</v>
      </c>
      <c r="DW60" s="0" t="n">
        <v>0.0144244972501402</v>
      </c>
      <c r="DX60" s="0" t="n">
        <v>0.022983748254871</v>
      </c>
      <c r="DY60" s="0" t="n">
        <v>0.0126704818621605</v>
      </c>
      <c r="DZ60" s="0" t="n">
        <v>0.0121047028919624</v>
      </c>
      <c r="EA60" s="0" t="n">
        <v>0.0198058603444774</v>
      </c>
      <c r="EB60" s="0" t="n">
        <v>0.007065042598678</v>
      </c>
      <c r="EC60" s="0" t="n">
        <v>0.0202853446868186</v>
      </c>
      <c r="ED60" s="0" t="n">
        <v>0.0306781254833638</v>
      </c>
      <c r="EE60" s="0" t="n">
        <v>0.0336125746816156</v>
      </c>
      <c r="EF60" s="0" t="n">
        <v>0.0169376569998571</v>
      </c>
      <c r="EG60" s="0" t="n">
        <v>0.0288451633818649</v>
      </c>
      <c r="EH60" s="0" t="n">
        <v>0.0133992787965009</v>
      </c>
      <c r="EI60" s="0" t="n">
        <v>0.0221793327365067</v>
      </c>
      <c r="EJ60" s="0" t="n">
        <v>0.0390335877712254</v>
      </c>
      <c r="EK60" s="0" t="n">
        <v>0.038048466609925</v>
      </c>
      <c r="EL60" s="0" t="n">
        <v>0.0595247482455887</v>
      </c>
      <c r="EM60" s="0" t="n">
        <v>0.0222464486113819</v>
      </c>
      <c r="EN60" s="0" t="n">
        <v>0.0149628100874725</v>
      </c>
      <c r="EO60" s="0" t="n">
        <v>0.0763135797600907</v>
      </c>
      <c r="EP60" s="72" t="n">
        <f aca="false">SUMPRODUCT(B60:EO60,$B$5:$EO$5)</f>
        <v>0.0255857629566247</v>
      </c>
      <c r="EQ60" s="72" t="n">
        <f aca="false">SUMIF('Mi portafolio'!$A$8:$A$19,$A60,'Mi portafolio'!$B$8:$B$19)</f>
        <v>0</v>
      </c>
    </row>
    <row r="61" customFormat="false" ht="15" hidden="false" customHeight="false" outlineLevel="0" collapsed="false">
      <c r="A61" s="71" t="s">
        <v>283</v>
      </c>
      <c r="B61" s="0" t="n">
        <v>0.0143507565964569</v>
      </c>
      <c r="C61" s="0" t="n">
        <v>0.0038045883493384</v>
      </c>
      <c r="D61" s="0" t="n">
        <v>-0.0010971723755052</v>
      </c>
      <c r="E61" s="0" t="n">
        <v>0.0054055363514406</v>
      </c>
      <c r="F61" s="0" t="n">
        <v>0.0250005468604975</v>
      </c>
      <c r="G61" s="0" t="n">
        <v>-0.001656943509449</v>
      </c>
      <c r="H61" s="0" t="n">
        <v>0.0054608421227622</v>
      </c>
      <c r="I61" s="0" t="n">
        <v>0.022071477876057</v>
      </c>
      <c r="J61" s="0" t="n">
        <v>0.0344001526214962</v>
      </c>
      <c r="K61" s="0" t="n">
        <v>0.0251500466968353</v>
      </c>
      <c r="L61" s="0" t="n">
        <v>0.0070607628729233</v>
      </c>
      <c r="M61" s="0" t="n">
        <v>0.0187556246155383</v>
      </c>
      <c r="N61" s="0" t="n">
        <v>0.0330204028331729</v>
      </c>
      <c r="O61" s="0" t="n">
        <v>0.0075457005494029</v>
      </c>
      <c r="P61" s="0" t="n">
        <v>0.0190404086247328</v>
      </c>
      <c r="Q61" s="0" t="n">
        <v>-0.0052004546507719</v>
      </c>
      <c r="R61" s="0" t="n">
        <v>0.0243010099904777</v>
      </c>
      <c r="S61" s="0" t="n">
        <v>0.0106587691074383</v>
      </c>
      <c r="T61" s="0" t="n">
        <v>0.0109281207785669</v>
      </c>
      <c r="U61" s="0" t="n">
        <v>0.0153929220249684</v>
      </c>
      <c r="V61" s="0" t="n">
        <v>0.0021097210658069</v>
      </c>
      <c r="W61" s="0" t="n">
        <v>0.0072974842937347</v>
      </c>
      <c r="X61" s="0" t="n">
        <v>0.0146928991995585</v>
      </c>
      <c r="Y61" s="0" t="n">
        <v>0.0185988575654617</v>
      </c>
      <c r="Z61" s="0" t="n">
        <v>0.0065798862828504</v>
      </c>
      <c r="AA61" s="0" t="n">
        <v>0.0118857476887244</v>
      </c>
      <c r="AB61" s="0" t="n">
        <v>0.0183666213319293</v>
      </c>
      <c r="AC61" s="0" t="n">
        <v>0.0001504887481169</v>
      </c>
      <c r="AD61" s="0" t="n">
        <v>0.0091163021592846</v>
      </c>
      <c r="AE61" s="0" t="n">
        <v>0.0038879744432568</v>
      </c>
      <c r="AF61" s="0" t="n">
        <v>0.0046215784066571</v>
      </c>
      <c r="AG61" s="0" t="n">
        <v>0.0214226888695807</v>
      </c>
      <c r="AH61" s="0" t="n">
        <v>0.0204129803172718</v>
      </c>
      <c r="AI61" s="0" t="n">
        <v>0.011973265261688</v>
      </c>
      <c r="AJ61" s="0" t="n">
        <v>0.0048461260968728</v>
      </c>
      <c r="AK61" s="0" t="n">
        <v>0.0065008125425061</v>
      </c>
      <c r="AL61" s="0" t="n">
        <v>0.0204796097795332</v>
      </c>
      <c r="AM61" s="0" t="n">
        <v>0.0085086071620547</v>
      </c>
      <c r="AN61" s="0" t="n">
        <v>0.0267044282444097</v>
      </c>
      <c r="AO61" s="0" t="n">
        <v>0.0373568182368853</v>
      </c>
      <c r="AP61" s="0" t="n">
        <v>0.0173640021571195</v>
      </c>
      <c r="AQ61" s="0" t="n">
        <v>0.0096373917902826</v>
      </c>
      <c r="AR61" s="0" t="n">
        <v>0.0123967788058851</v>
      </c>
      <c r="AS61" s="0" t="n">
        <v>0.0040631097291492</v>
      </c>
      <c r="AT61" s="0" t="n">
        <v>0.0113125469997821</v>
      </c>
      <c r="AU61" s="0" t="n">
        <v>0.0221735648688887</v>
      </c>
      <c r="AV61" s="0" t="n">
        <v>0.0068306326385074</v>
      </c>
      <c r="AW61" s="0" t="n">
        <v>0.0090148531756765</v>
      </c>
      <c r="AX61" s="0" t="n">
        <v>0.0444979907377193</v>
      </c>
      <c r="AY61" s="0" t="n">
        <v>0.0218728183507934</v>
      </c>
      <c r="AZ61" s="0" t="n">
        <v>0.0096308113452715</v>
      </c>
      <c r="BA61" s="0" t="n">
        <v>0.0239054905242632</v>
      </c>
      <c r="BB61" s="0" t="n">
        <v>0.0090394999980923</v>
      </c>
      <c r="BC61" s="0" t="n">
        <v>0.0076236917698363</v>
      </c>
      <c r="BD61" s="0" t="n">
        <v>0.0068716583909324</v>
      </c>
      <c r="BE61" s="0" t="n">
        <v>0.091730565373291</v>
      </c>
      <c r="BF61" s="0" t="n">
        <v>0.0050976735146432</v>
      </c>
      <c r="BG61" s="0" t="n">
        <v>0.0238404392955093</v>
      </c>
      <c r="BH61" s="0" t="n">
        <v>0.0076447699477293</v>
      </c>
      <c r="BI61" s="0" t="n">
        <v>0.0080025540652998</v>
      </c>
      <c r="BJ61" s="0" t="n">
        <v>0.0018296058981256</v>
      </c>
      <c r="BK61" s="0" t="n">
        <v>0.0031640793770178</v>
      </c>
      <c r="BL61" s="0" t="n">
        <v>0.0160795679890996</v>
      </c>
      <c r="BM61" s="0" t="n">
        <v>0.0280681378766464</v>
      </c>
      <c r="BN61" s="0" t="n">
        <v>0.0180425659256319</v>
      </c>
      <c r="BO61" s="0" t="n">
        <v>0.0092752392063869</v>
      </c>
      <c r="BP61" s="0" t="n">
        <v>-0.008790528065881</v>
      </c>
      <c r="BQ61" s="0" t="n">
        <v>0.0131310604545416</v>
      </c>
      <c r="BR61" s="0" t="n">
        <v>0.0108003639364259</v>
      </c>
      <c r="BS61" s="0" t="n">
        <v>0.0055125048677057</v>
      </c>
      <c r="BT61" s="0" t="n">
        <v>0.0228303095580503</v>
      </c>
      <c r="BU61" s="0" t="n">
        <v>0.0055863179575872</v>
      </c>
      <c r="BV61" s="0" t="n">
        <v>0.0078048929767129</v>
      </c>
      <c r="BW61" s="0" t="n">
        <v>0.0155398774995979</v>
      </c>
      <c r="BX61" s="0" t="n">
        <v>0.0466960240723611</v>
      </c>
      <c r="BY61" s="0" t="n">
        <v>0.0247782801342566</v>
      </c>
      <c r="BZ61" s="0" t="n">
        <v>0.0150771159523381</v>
      </c>
      <c r="CA61" s="0" t="n">
        <v>0.0077136483967923</v>
      </c>
      <c r="CB61" s="0" t="n">
        <v>-0.0005032715381086</v>
      </c>
      <c r="CC61" s="0" t="n">
        <v>0.0144984425559087</v>
      </c>
      <c r="CD61" s="0" t="n">
        <v>0.012696793312529</v>
      </c>
      <c r="CE61" s="0" t="n">
        <v>0.0065791587315553</v>
      </c>
      <c r="CF61" s="0" t="n">
        <v>0.0106294376745896</v>
      </c>
      <c r="CG61" s="0" t="n">
        <v>0.0131318474336132</v>
      </c>
      <c r="CH61" s="0" t="n">
        <v>0.0152776505112224</v>
      </c>
      <c r="CI61" s="0" t="n">
        <v>0.0082035164778549</v>
      </c>
      <c r="CJ61" s="0" t="n">
        <v>0.0231413255831724</v>
      </c>
      <c r="CK61" s="0" t="n">
        <v>0.0210979732895025</v>
      </c>
      <c r="CL61" s="0" t="n">
        <v>0.0361436517434427</v>
      </c>
      <c r="CM61" s="0" t="n">
        <v>-0.0127632603804515</v>
      </c>
      <c r="CN61" s="0" t="n">
        <v>0.0050558979085156</v>
      </c>
      <c r="CO61" s="0" t="n">
        <v>0.0049329382199294</v>
      </c>
      <c r="CP61" s="0" t="n">
        <v>0.0103000692239233</v>
      </c>
      <c r="CQ61" s="0" t="n">
        <v>0.0260880819390186</v>
      </c>
      <c r="CR61" s="0" t="n">
        <v>0.0055382561491246</v>
      </c>
      <c r="CS61" s="0" t="n">
        <v>0.0183410557357839</v>
      </c>
      <c r="CT61" s="0" t="n">
        <v>0.0060993907025089</v>
      </c>
      <c r="CU61" s="0" t="n">
        <v>-0.0010115067783895</v>
      </c>
      <c r="CV61" s="0" t="n">
        <v>0.0047518614791654</v>
      </c>
      <c r="CW61" s="0" t="n">
        <v>0.0197382655234238</v>
      </c>
      <c r="CX61" s="0" t="n">
        <v>0.01785110611862</v>
      </c>
      <c r="CY61" s="0" t="n">
        <v>0.0274026758989208</v>
      </c>
      <c r="CZ61" s="0" t="n">
        <v>0.0161320046496057</v>
      </c>
      <c r="DA61" s="0" t="n">
        <v>0.0182374580973564</v>
      </c>
      <c r="DB61" s="0" t="n">
        <v>0.0051084514372989</v>
      </c>
      <c r="DC61" s="0" t="n">
        <v>0.0117028390624328</v>
      </c>
      <c r="DD61" s="0" t="n">
        <v>0.0141352824059179</v>
      </c>
      <c r="DE61" s="0" t="n">
        <v>0.0177294263563357</v>
      </c>
      <c r="DF61" s="0" t="n">
        <v>-0.0023545165525117</v>
      </c>
      <c r="DG61" s="0" t="n">
        <v>0.0256074245453828</v>
      </c>
      <c r="DH61" s="0" t="n">
        <v>-0.0156449520368283</v>
      </c>
      <c r="DI61" s="0" t="n">
        <v>0.0214921236405424</v>
      </c>
      <c r="DJ61" s="0" t="n">
        <v>0.0323751287666137</v>
      </c>
      <c r="DK61" s="0" t="n">
        <v>0.0280995626054308</v>
      </c>
      <c r="DL61" s="0" t="n">
        <v>0.0082457622767335</v>
      </c>
      <c r="DM61" s="0" t="n">
        <v>0.0346121222295602</v>
      </c>
      <c r="DN61" s="0" t="n">
        <v>0.0197487912533534</v>
      </c>
      <c r="DO61" s="0" t="n">
        <v>0.0089909441535352</v>
      </c>
      <c r="DP61" s="0" t="n">
        <v>0.0357740566456854</v>
      </c>
      <c r="DQ61" s="0" t="n">
        <v>0.0150218267504712</v>
      </c>
      <c r="DR61" s="0" t="n">
        <v>0.0216650780236765</v>
      </c>
      <c r="DS61" s="0" t="n">
        <v>-0.0034088502089293</v>
      </c>
      <c r="DT61" s="0" t="n">
        <v>-0.0218200769944752</v>
      </c>
      <c r="DU61" s="0" t="n">
        <v>0.0062007837577838</v>
      </c>
      <c r="DV61" s="0" t="n">
        <v>-0.0056524409283556</v>
      </c>
      <c r="DW61" s="0" t="n">
        <v>-0.0003512486370464</v>
      </c>
      <c r="DX61" s="0" t="n">
        <v>0.0033989986809378</v>
      </c>
      <c r="DY61" s="0" t="n">
        <v>0.009601002120922</v>
      </c>
      <c r="DZ61" s="0" t="n">
        <v>-0.0062766640377393</v>
      </c>
      <c r="EA61" s="0" t="n">
        <v>0.0271077616081257</v>
      </c>
      <c r="EB61" s="0" t="n">
        <v>0.024415994375404</v>
      </c>
      <c r="EC61" s="0" t="n">
        <v>-0.0046809025632823</v>
      </c>
      <c r="ED61" s="0" t="n">
        <v>0.0237236543740341</v>
      </c>
      <c r="EE61" s="0" t="n">
        <v>-0.0134818782048462</v>
      </c>
      <c r="EF61" s="0" t="n">
        <v>0.0269121476015826</v>
      </c>
      <c r="EG61" s="0" t="n">
        <v>0.0008065581465958</v>
      </c>
      <c r="EH61" s="0" t="n">
        <v>0.0199016144910337</v>
      </c>
      <c r="EI61" s="0" t="n">
        <v>-0.0052692891027977</v>
      </c>
      <c r="EJ61" s="0" t="n">
        <v>0.046732680611629</v>
      </c>
      <c r="EK61" s="0" t="n">
        <v>0.0245641730770235</v>
      </c>
      <c r="EL61" s="0" t="n">
        <v>0.0154396685840528</v>
      </c>
      <c r="EM61" s="0" t="n">
        <v>0.0185374635873676</v>
      </c>
      <c r="EN61" s="0" t="n">
        <v>0.279397685803676</v>
      </c>
      <c r="EO61" s="0" t="n">
        <v>0.0444933909617711</v>
      </c>
      <c r="EP61" s="72" t="n">
        <f aca="false">SUMPRODUCT(B61:EO61,$B$5:$EO$5)</f>
        <v>-0.00171502576795804</v>
      </c>
      <c r="EQ61" s="72" t="n">
        <f aca="false">SUMIF('Mi portafolio'!$A$8:$A$19,$A61,'Mi portafolio'!$B$8:$B$19)</f>
        <v>0</v>
      </c>
    </row>
    <row r="62" customFormat="false" ht="15" hidden="false" customHeight="false" outlineLevel="0" collapsed="false">
      <c r="A62" s="71" t="s">
        <v>284</v>
      </c>
      <c r="B62" s="0" t="n">
        <v>0.002144249469226</v>
      </c>
      <c r="C62" s="0" t="n">
        <v>-0.0003113530836013</v>
      </c>
      <c r="D62" s="0" t="n">
        <v>0.0077821938698185</v>
      </c>
      <c r="E62" s="0" t="n">
        <v>0.0189067187247863</v>
      </c>
      <c r="F62" s="0" t="n">
        <v>0.0020357656673164</v>
      </c>
      <c r="G62" s="0" t="n">
        <v>0.0132281959087388</v>
      </c>
      <c r="H62" s="0" t="n">
        <v>0.0145258250174546</v>
      </c>
      <c r="I62" s="0" t="n">
        <v>0.005732343845416</v>
      </c>
      <c r="J62" s="0" t="n">
        <v>0.0025930618586715</v>
      </c>
      <c r="K62" s="0" t="n">
        <v>0.0061071321109643</v>
      </c>
      <c r="L62" s="0" t="n">
        <v>0.0104290623317968</v>
      </c>
      <c r="M62" s="0" t="n">
        <v>0.0172938669210682</v>
      </c>
      <c r="N62" s="0" t="n">
        <v>0.0108604830980533</v>
      </c>
      <c r="O62" s="0" t="n">
        <v>0.017069776802265</v>
      </c>
      <c r="P62" s="0" t="n">
        <v>0.005455148257717</v>
      </c>
      <c r="Q62" s="0" t="n">
        <v>0.0046238136759949</v>
      </c>
      <c r="R62" s="0" t="n">
        <v>0.0044396528443294</v>
      </c>
      <c r="S62" s="0" t="n">
        <v>0.0145860121881478</v>
      </c>
      <c r="T62" s="0" t="n">
        <v>0.010691362637875</v>
      </c>
      <c r="U62" s="0" t="n">
        <v>0.0214934247525249</v>
      </c>
      <c r="V62" s="0" t="n">
        <v>0.0186479535996864</v>
      </c>
      <c r="W62" s="0" t="n">
        <v>0.0154493600800448</v>
      </c>
      <c r="X62" s="0" t="n">
        <v>0.0082555149499492</v>
      </c>
      <c r="Y62" s="0" t="n">
        <v>-0.001777658173438</v>
      </c>
      <c r="Z62" s="0" t="n">
        <v>0.0322106888955251</v>
      </c>
      <c r="AA62" s="0" t="n">
        <v>0.0144653728762843</v>
      </c>
      <c r="AB62" s="0" t="n">
        <v>-0.0017499784742364</v>
      </c>
      <c r="AC62" s="0" t="n">
        <v>0.0128797933038589</v>
      </c>
      <c r="AD62" s="0" t="n">
        <v>0.0145672008027758</v>
      </c>
      <c r="AE62" s="0" t="n">
        <v>0.0235364350923976</v>
      </c>
      <c r="AF62" s="0" t="n">
        <v>0.0219133341913092</v>
      </c>
      <c r="AG62" s="0" t="n">
        <v>-0.002096790247965</v>
      </c>
      <c r="AH62" s="0" t="n">
        <v>-0.0015621757256088</v>
      </c>
      <c r="AI62" s="0" t="n">
        <v>-0.0048925874533078</v>
      </c>
      <c r="AJ62" s="0" t="n">
        <v>0.0172812192638959</v>
      </c>
      <c r="AK62" s="0" t="n">
        <v>0.0194024197192622</v>
      </c>
      <c r="AL62" s="0" t="n">
        <v>0.010685441746376</v>
      </c>
      <c r="AM62" s="0" t="n">
        <v>0.0186360280819358</v>
      </c>
      <c r="AN62" s="0" t="n">
        <v>0.0151563374255065</v>
      </c>
      <c r="AO62" s="0" t="n">
        <v>0.0059510895919371</v>
      </c>
      <c r="AP62" s="0" t="n">
        <v>0.0099790708489401</v>
      </c>
      <c r="AQ62" s="0" t="n">
        <v>0.0008805065701716</v>
      </c>
      <c r="AR62" s="0" t="n">
        <v>0.0094797612704979</v>
      </c>
      <c r="AS62" s="0" t="n">
        <v>0.0259434498155764</v>
      </c>
      <c r="AT62" s="0" t="n">
        <v>0.0086131595139868</v>
      </c>
      <c r="AU62" s="0" t="n">
        <v>0.0020092491613114</v>
      </c>
      <c r="AV62" s="0" t="n">
        <v>0.0227276180317328</v>
      </c>
      <c r="AW62" s="0" t="n">
        <v>0.0302669862875885</v>
      </c>
      <c r="AX62" s="0" t="n">
        <v>0.0107031056866904</v>
      </c>
      <c r="AY62" s="0" t="n">
        <v>0.0031680250038472</v>
      </c>
      <c r="AZ62" s="0" t="n">
        <v>0.0231925448764642</v>
      </c>
      <c r="BA62" s="0" t="n">
        <v>0.0127689375055469</v>
      </c>
      <c r="BB62" s="0" t="n">
        <v>0.0167542673568391</v>
      </c>
      <c r="BC62" s="0" t="n">
        <v>0.0168639775119177</v>
      </c>
      <c r="BD62" s="0" t="n">
        <v>0.0283716038610339</v>
      </c>
      <c r="BE62" s="0" t="n">
        <v>0.0050976735146432</v>
      </c>
      <c r="BF62" s="0" t="n">
        <v>0.0911090203709218</v>
      </c>
      <c r="BG62" s="0" t="n">
        <v>0.0170123529945244</v>
      </c>
      <c r="BH62" s="0" t="n">
        <v>0.0229842921491798</v>
      </c>
      <c r="BI62" s="0" t="n">
        <v>0.0154987200320881</v>
      </c>
      <c r="BJ62" s="0" t="n">
        <v>0.0005759297364728</v>
      </c>
      <c r="BK62" s="0" t="n">
        <v>0.0314049671799046</v>
      </c>
      <c r="BL62" s="0" t="n">
        <v>0.0216353594632161</v>
      </c>
      <c r="BM62" s="0" t="n">
        <v>0.0013133672629937</v>
      </c>
      <c r="BN62" s="0" t="n">
        <v>0.0044254291078191</v>
      </c>
      <c r="BO62" s="0" t="n">
        <v>0.0061159903725652</v>
      </c>
      <c r="BP62" s="0" t="n">
        <v>-0.0021213313260991</v>
      </c>
      <c r="BQ62" s="0" t="n">
        <v>0.0249198946929876</v>
      </c>
      <c r="BR62" s="0" t="n">
        <v>0.0192009767911898</v>
      </c>
      <c r="BS62" s="0" t="n">
        <v>-0.0001936851085677</v>
      </c>
      <c r="BT62" s="0" t="n">
        <v>0.0222378714139996</v>
      </c>
      <c r="BU62" s="0" t="n">
        <v>0.0200394849021355</v>
      </c>
      <c r="BV62" s="0" t="n">
        <v>0.0010138406123703</v>
      </c>
      <c r="BW62" s="0" t="n">
        <v>0.0151682526463918</v>
      </c>
      <c r="BX62" s="0" t="n">
        <v>0.0110152104795259</v>
      </c>
      <c r="BY62" s="0" t="n">
        <v>0.0111143987658174</v>
      </c>
      <c r="BZ62" s="0" t="n">
        <v>0.0203304931454084</v>
      </c>
      <c r="CA62" s="0" t="n">
        <v>0.0247576389135602</v>
      </c>
      <c r="CB62" s="0" t="n">
        <v>-0.0090096291739178</v>
      </c>
      <c r="CC62" s="0" t="n">
        <v>0.0093372076631868</v>
      </c>
      <c r="CD62" s="0" t="n">
        <v>0.0129036503616429</v>
      </c>
      <c r="CE62" s="0" t="n">
        <v>0.0051950009917259</v>
      </c>
      <c r="CF62" s="0" t="n">
        <v>0.0024426421009227</v>
      </c>
      <c r="CG62" s="0" t="n">
        <v>0.0111929554588008</v>
      </c>
      <c r="CH62" s="0" t="n">
        <v>0.0263896563253617</v>
      </c>
      <c r="CI62" s="0" t="n">
        <v>-0.0046537333552093</v>
      </c>
      <c r="CJ62" s="0" t="n">
        <v>-0.0004045993948774</v>
      </c>
      <c r="CK62" s="0" t="n">
        <v>0.0136680054828447</v>
      </c>
      <c r="CL62" s="0" t="n">
        <v>0.0039494682002961</v>
      </c>
      <c r="CM62" s="0" t="n">
        <v>0.0043572403834742</v>
      </c>
      <c r="CN62" s="0" t="n">
        <v>0.0267787864256368</v>
      </c>
      <c r="CO62" s="0" t="n">
        <v>0.024208023511185</v>
      </c>
      <c r="CP62" s="0" t="n">
        <v>0.0175233718845006</v>
      </c>
      <c r="CQ62" s="0" t="n">
        <v>0.0233451395398149</v>
      </c>
      <c r="CR62" s="0" t="n">
        <v>0.0192239809789359</v>
      </c>
      <c r="CS62" s="0" t="n">
        <v>0.0236418643626462</v>
      </c>
      <c r="CT62" s="0" t="n">
        <v>0.0295379564015337</v>
      </c>
      <c r="CU62" s="0" t="n">
        <v>0.0214274171371412</v>
      </c>
      <c r="CV62" s="0" t="n">
        <v>0.0108672757839149</v>
      </c>
      <c r="CW62" s="0" t="n">
        <v>0.0155656013680744</v>
      </c>
      <c r="CX62" s="0" t="n">
        <v>0.0211674700542411</v>
      </c>
      <c r="CY62" s="0" t="n">
        <v>0.022536492314238</v>
      </c>
      <c r="CZ62" s="0" t="n">
        <v>0.009768790621409</v>
      </c>
      <c r="DA62" s="0" t="n">
        <v>0.0125472968517712</v>
      </c>
      <c r="DB62" s="0" t="n">
        <v>0.0320179758665802</v>
      </c>
      <c r="DC62" s="0" t="n">
        <v>0.0374906447032416</v>
      </c>
      <c r="DD62" s="0" t="n">
        <v>0.0168067292253692</v>
      </c>
      <c r="DE62" s="0" t="n">
        <v>0.0285421990461051</v>
      </c>
      <c r="DF62" s="0" t="n">
        <v>-0.0078923860093887</v>
      </c>
      <c r="DG62" s="0" t="n">
        <v>0.0316368038116501</v>
      </c>
      <c r="DH62" s="0" t="n">
        <v>0.00565486839765</v>
      </c>
      <c r="DI62" s="0" t="n">
        <v>0.0158113482211842</v>
      </c>
      <c r="DJ62" s="0" t="n">
        <v>0.0179707903259081</v>
      </c>
      <c r="DK62" s="0" t="n">
        <v>0.0232007543873862</v>
      </c>
      <c r="DL62" s="0" t="n">
        <v>0.034049345898118</v>
      </c>
      <c r="DM62" s="0" t="n">
        <v>0.0295702613374367</v>
      </c>
      <c r="DN62" s="0" t="n">
        <v>0.0055084686516061</v>
      </c>
      <c r="DO62" s="0" t="n">
        <v>0.0263724483630903</v>
      </c>
      <c r="DP62" s="0" t="n">
        <v>0.0298337917284351</v>
      </c>
      <c r="DQ62" s="0" t="n">
        <v>0.0186444856335353</v>
      </c>
      <c r="DR62" s="0" t="n">
        <v>0.0219942815066714</v>
      </c>
      <c r="DS62" s="0" t="n">
        <v>0.0042809488307537</v>
      </c>
      <c r="DT62" s="0" t="n">
        <v>-0.0011935299899371</v>
      </c>
      <c r="DU62" s="0" t="n">
        <v>0.0190665595151579</v>
      </c>
      <c r="DV62" s="0" t="n">
        <v>0.0087405395724033</v>
      </c>
      <c r="DW62" s="0" t="n">
        <v>0.0085737970373251</v>
      </c>
      <c r="DX62" s="0" t="n">
        <v>0.0247845553015916</v>
      </c>
      <c r="DY62" s="0" t="n">
        <v>0.0200849064701162</v>
      </c>
      <c r="DZ62" s="0" t="n">
        <v>0.0124935768171564</v>
      </c>
      <c r="EA62" s="0" t="n">
        <v>0.0190903342900093</v>
      </c>
      <c r="EB62" s="0" t="n">
        <v>0.0256043654040245</v>
      </c>
      <c r="EC62" s="0" t="n">
        <v>0.0165309817987847</v>
      </c>
      <c r="ED62" s="0" t="n">
        <v>0.0439851718433975</v>
      </c>
      <c r="EE62" s="0" t="n">
        <v>0.0394942857450183</v>
      </c>
      <c r="EF62" s="0" t="n">
        <v>0.0289092541366149</v>
      </c>
      <c r="EG62" s="0" t="n">
        <v>0.0311539055554554</v>
      </c>
      <c r="EH62" s="0" t="n">
        <v>0.0014793003710055</v>
      </c>
      <c r="EI62" s="0" t="n">
        <v>0.0220226367527303</v>
      </c>
      <c r="EJ62" s="0" t="n">
        <v>0.0519669921161523</v>
      </c>
      <c r="EK62" s="0" t="n">
        <v>0.0378722273026053</v>
      </c>
      <c r="EL62" s="0" t="n">
        <v>0.044143756727456</v>
      </c>
      <c r="EM62" s="0" t="n">
        <v>-0.0093624579824177</v>
      </c>
      <c r="EN62" s="0" t="n">
        <v>0.0257909212541351</v>
      </c>
      <c r="EO62" s="0" t="n">
        <v>0.0666075709564402</v>
      </c>
      <c r="EP62" s="72" t="n">
        <f aca="false">SUMPRODUCT(B62:EO62,$B$5:$EO$5)</f>
        <v>0.0255829731138771</v>
      </c>
      <c r="EQ62" s="72" t="n">
        <f aca="false">SUMIF('Mi portafolio'!$A$8:$A$19,$A62,'Mi portafolio'!$B$8:$B$19)</f>
        <v>0</v>
      </c>
    </row>
    <row r="63" customFormat="false" ht="15" hidden="false" customHeight="false" outlineLevel="0" collapsed="false">
      <c r="A63" s="71" t="s">
        <v>285</v>
      </c>
      <c r="B63" s="0" t="n">
        <v>0.0102539977034017</v>
      </c>
      <c r="C63" s="0" t="n">
        <v>0.0007962834557755</v>
      </c>
      <c r="D63" s="0" t="n">
        <v>0.0021033378608118</v>
      </c>
      <c r="E63" s="0" t="n">
        <v>-0.0003842613529996</v>
      </c>
      <c r="F63" s="0" t="n">
        <v>0.0063875638221539</v>
      </c>
      <c r="G63" s="0" t="n">
        <v>-0.001208680433874</v>
      </c>
      <c r="H63" s="0" t="n">
        <v>0.0022881140232817</v>
      </c>
      <c r="I63" s="0" t="n">
        <v>0.0094524768464417</v>
      </c>
      <c r="J63" s="0" t="n">
        <v>0.0118404105582622</v>
      </c>
      <c r="K63" s="0" t="n">
        <v>0.0086303945318519</v>
      </c>
      <c r="L63" s="0" t="n">
        <v>0.0006021062375581</v>
      </c>
      <c r="M63" s="0" t="n">
        <v>0.0219215424362906</v>
      </c>
      <c r="N63" s="0" t="n">
        <v>0.0223101619221276</v>
      </c>
      <c r="O63" s="0" t="n">
        <v>-0.0075777565796984</v>
      </c>
      <c r="P63" s="0" t="n">
        <v>0.004190335115989</v>
      </c>
      <c r="Q63" s="0" t="n">
        <v>0.0017816218130372</v>
      </c>
      <c r="R63" s="0" t="n">
        <v>0.0088967976233157</v>
      </c>
      <c r="S63" s="0" t="n">
        <v>0.0053342606244519</v>
      </c>
      <c r="T63" s="0" t="n">
        <v>0.0200830166751328</v>
      </c>
      <c r="U63" s="0" t="n">
        <v>0.0043386343186153</v>
      </c>
      <c r="V63" s="0" t="n">
        <v>-0.0020724013147621</v>
      </c>
      <c r="W63" s="0" t="n">
        <v>-0.0060487616183883</v>
      </c>
      <c r="X63" s="0" t="n">
        <v>0.0184447009261828</v>
      </c>
      <c r="Y63" s="0" t="n">
        <v>0.0226665971135592</v>
      </c>
      <c r="Z63" s="0" t="n">
        <v>0.0041669038335122</v>
      </c>
      <c r="AA63" s="0" t="n">
        <v>-0.0006447055117308</v>
      </c>
      <c r="AB63" s="0" t="n">
        <v>0.0235944092699679</v>
      </c>
      <c r="AC63" s="0" t="n">
        <v>0.001212715714005</v>
      </c>
      <c r="AD63" s="0" t="n">
        <v>2.79967025710721E-005</v>
      </c>
      <c r="AE63" s="0" t="n">
        <v>0.008530740690777</v>
      </c>
      <c r="AF63" s="0" t="n">
        <v>0.0006877582514373</v>
      </c>
      <c r="AG63" s="0" t="n">
        <v>-0.0007223012904332</v>
      </c>
      <c r="AH63" s="0" t="n">
        <v>-0.0004795219618521</v>
      </c>
      <c r="AI63" s="0" t="n">
        <v>0.0030365408819769</v>
      </c>
      <c r="AJ63" s="0" t="n">
        <v>0.00174868683783</v>
      </c>
      <c r="AK63" s="0" t="n">
        <v>0.0008739737355756</v>
      </c>
      <c r="AL63" s="0" t="n">
        <v>0.0105939747052448</v>
      </c>
      <c r="AM63" s="0" t="n">
        <v>0.0062633209073207</v>
      </c>
      <c r="AN63" s="0" t="n">
        <v>0.0273950103154036</v>
      </c>
      <c r="AO63" s="0" t="n">
        <v>0.0231009873191331</v>
      </c>
      <c r="AP63" s="0" t="n">
        <v>0.0248830955721827</v>
      </c>
      <c r="AQ63" s="0" t="n">
        <v>-0.0008082929576665</v>
      </c>
      <c r="AR63" s="0" t="n">
        <v>0.0199288198153713</v>
      </c>
      <c r="AS63" s="0" t="n">
        <v>0.0077425319184925</v>
      </c>
      <c r="AT63" s="0" t="n">
        <v>0.0329329767552994</v>
      </c>
      <c r="AU63" s="0" t="n">
        <v>0.0014579231305468</v>
      </c>
      <c r="AV63" s="0" t="n">
        <v>0.0091195908804572</v>
      </c>
      <c r="AW63" s="0" t="n">
        <v>0.0100676912788271</v>
      </c>
      <c r="AX63" s="0" t="n">
        <v>0.0195022637628776</v>
      </c>
      <c r="AY63" s="0" t="n">
        <v>0.0187369918299947</v>
      </c>
      <c r="AZ63" s="0" t="n">
        <v>0.0095683486676581</v>
      </c>
      <c r="BA63" s="0" t="n">
        <v>0.0191469514161749</v>
      </c>
      <c r="BB63" s="0" t="n">
        <v>0.0227662278950456</v>
      </c>
      <c r="BC63" s="0" t="n">
        <v>0.009308342940722</v>
      </c>
      <c r="BD63" s="0" t="n">
        <v>0.0067821262431174</v>
      </c>
      <c r="BE63" s="0" t="n">
        <v>0.0238404392955093</v>
      </c>
      <c r="BF63" s="0" t="n">
        <v>0.0170123529945244</v>
      </c>
      <c r="BG63" s="0" t="n">
        <v>0.0928228167430502</v>
      </c>
      <c r="BH63" s="0" t="n">
        <v>0.0092937798637173</v>
      </c>
      <c r="BI63" s="0" t="n">
        <v>0.0157980267298785</v>
      </c>
      <c r="BJ63" s="0" t="n">
        <v>-0.0004472082362397</v>
      </c>
      <c r="BK63" s="0" t="n">
        <v>0.0087508600817938</v>
      </c>
      <c r="BL63" s="0" t="n">
        <v>0.0284339358008243</v>
      </c>
      <c r="BM63" s="0" t="n">
        <v>0.0181353370201094</v>
      </c>
      <c r="BN63" s="0" t="n">
        <v>0.0017525465130459</v>
      </c>
      <c r="BO63" s="0" t="n">
        <v>0.0151169653636476</v>
      </c>
      <c r="BP63" s="0" t="n">
        <v>0.0201826931269564</v>
      </c>
      <c r="BQ63" s="0" t="n">
        <v>0.003112520050111</v>
      </c>
      <c r="BR63" s="0" t="n">
        <v>0.0342034382523678</v>
      </c>
      <c r="BS63" s="0" t="n">
        <v>-0.0032786037863822</v>
      </c>
      <c r="BT63" s="0" t="n">
        <v>0.0229544006208556</v>
      </c>
      <c r="BU63" s="0" t="n">
        <v>0.0073685186937987</v>
      </c>
      <c r="BV63" s="0" t="n">
        <v>0.0210035892214858</v>
      </c>
      <c r="BW63" s="0" t="n">
        <v>0.0381191369882223</v>
      </c>
      <c r="BX63" s="0" t="n">
        <v>0.0334902544760105</v>
      </c>
      <c r="BY63" s="0" t="n">
        <v>0.0300617962036031</v>
      </c>
      <c r="BZ63" s="0" t="n">
        <v>0.0206214180499231</v>
      </c>
      <c r="CA63" s="0" t="n">
        <v>0.0039010579752235</v>
      </c>
      <c r="CB63" s="0" t="n">
        <v>-0.0033453039801173</v>
      </c>
      <c r="CC63" s="0" t="n">
        <v>0.0174686805781593</v>
      </c>
      <c r="CD63" s="0" t="n">
        <v>0.0282793103898488</v>
      </c>
      <c r="CE63" s="0" t="n">
        <v>0.00829211618776</v>
      </c>
      <c r="CF63" s="0" t="n">
        <v>-0.0036903305537235</v>
      </c>
      <c r="CG63" s="0" t="n">
        <v>0.038177339519448</v>
      </c>
      <c r="CH63" s="0" t="n">
        <v>0.0124537528217529</v>
      </c>
      <c r="CI63" s="0" t="n">
        <v>-0.0006987715040027</v>
      </c>
      <c r="CJ63" s="0" t="n">
        <v>0.0158296819915399</v>
      </c>
      <c r="CK63" s="0" t="n">
        <v>0.031150231784269</v>
      </c>
      <c r="CL63" s="0" t="n">
        <v>0.0239997202500297</v>
      </c>
      <c r="CM63" s="0" t="n">
        <v>0.0169856450324297</v>
      </c>
      <c r="CN63" s="0" t="n">
        <v>0.0016833236737584</v>
      </c>
      <c r="CO63" s="0" t="n">
        <v>0.0113947094200947</v>
      </c>
      <c r="CP63" s="0" t="n">
        <v>0.0264081010462695</v>
      </c>
      <c r="CQ63" s="0" t="n">
        <v>0.0403727961607025</v>
      </c>
      <c r="CR63" s="0" t="n">
        <v>0.018267523654171</v>
      </c>
      <c r="CS63" s="0" t="n">
        <v>0.0133185083541859</v>
      </c>
      <c r="CT63" s="0" t="n">
        <v>0.0282600703977178</v>
      </c>
      <c r="CU63" s="0" t="n">
        <v>0.0098710626919445</v>
      </c>
      <c r="CV63" s="0" t="n">
        <v>0.0228689943013253</v>
      </c>
      <c r="CW63" s="0" t="n">
        <v>0.0477437231663313</v>
      </c>
      <c r="CX63" s="0" t="n">
        <v>0.0328789137656784</v>
      </c>
      <c r="CY63" s="0" t="n">
        <v>0.0316620851598784</v>
      </c>
      <c r="CZ63" s="0" t="n">
        <v>0.0213607999210523</v>
      </c>
      <c r="DA63" s="0" t="n">
        <v>0.0460057934692169</v>
      </c>
      <c r="DB63" s="0" t="n">
        <v>0.0077388189923102</v>
      </c>
      <c r="DC63" s="0" t="n">
        <v>0.0187944668437073</v>
      </c>
      <c r="DD63" s="0" t="n">
        <v>0.0531173148480571</v>
      </c>
      <c r="DE63" s="0" t="n">
        <v>0.0382690156605197</v>
      </c>
      <c r="DF63" s="0" t="n">
        <v>0.0308194069445714</v>
      </c>
      <c r="DG63" s="0" t="n">
        <v>0.0286897972191842</v>
      </c>
      <c r="DH63" s="0" t="n">
        <v>0.0128228472019167</v>
      </c>
      <c r="DI63" s="0" t="n">
        <v>0.0337399229882458</v>
      </c>
      <c r="DJ63" s="0" t="n">
        <v>0.0444489601071481</v>
      </c>
      <c r="DK63" s="0" t="n">
        <v>0.0464699504317511</v>
      </c>
      <c r="DL63" s="0" t="n">
        <v>0.0097690353428421</v>
      </c>
      <c r="DM63" s="0" t="n">
        <v>0.0464189952428486</v>
      </c>
      <c r="DN63" s="0" t="n">
        <v>0.0421259266483435</v>
      </c>
      <c r="DO63" s="0" t="n">
        <v>0.0229803153458683</v>
      </c>
      <c r="DP63" s="0" t="n">
        <v>0.0472419720207105</v>
      </c>
      <c r="DQ63" s="0" t="n">
        <v>0.0137527841043926</v>
      </c>
      <c r="DR63" s="0" t="n">
        <v>0.0260930914591282</v>
      </c>
      <c r="DS63" s="0" t="n">
        <v>0.0329958479301272</v>
      </c>
      <c r="DT63" s="0" t="n">
        <v>0.0238249985623123</v>
      </c>
      <c r="DU63" s="0" t="n">
        <v>0.0479450281994752</v>
      </c>
      <c r="DV63" s="0" t="n">
        <v>0.0355493156029244</v>
      </c>
      <c r="DW63" s="0" t="n">
        <v>0.0581474937870406</v>
      </c>
      <c r="DX63" s="0" t="n">
        <v>0.0182611473348395</v>
      </c>
      <c r="DY63" s="0" t="n">
        <v>0.0669112019947326</v>
      </c>
      <c r="DZ63" s="0" t="n">
        <v>0.044703412295124</v>
      </c>
      <c r="EA63" s="0" t="n">
        <v>0.0438179500214467</v>
      </c>
      <c r="EB63" s="0" t="n">
        <v>0.0750750039164144</v>
      </c>
      <c r="EC63" s="0" t="n">
        <v>-0.0096338411573983</v>
      </c>
      <c r="ED63" s="0" t="n">
        <v>0.0347627694269359</v>
      </c>
      <c r="EE63" s="0" t="n">
        <v>0.0180682511778793</v>
      </c>
      <c r="EF63" s="0" t="n">
        <v>0.0405741888303036</v>
      </c>
      <c r="EG63" s="0" t="n">
        <v>0.0148797859144733</v>
      </c>
      <c r="EH63" s="0" t="n">
        <v>0.0451500428466506</v>
      </c>
      <c r="EI63" s="0" t="n">
        <v>0.0125184373034004</v>
      </c>
      <c r="EJ63" s="0" t="n">
        <v>0.0557156490182961</v>
      </c>
      <c r="EK63" s="0" t="n">
        <v>0.0491983194577646</v>
      </c>
      <c r="EL63" s="0" t="n">
        <v>0.0440634164512882</v>
      </c>
      <c r="EM63" s="0" t="n">
        <v>0.0463732747101994</v>
      </c>
      <c r="EN63" s="0" t="n">
        <v>0.126491394178013</v>
      </c>
      <c r="EO63" s="0" t="n">
        <v>0.0986708273217583</v>
      </c>
      <c r="EP63" s="72" t="n">
        <f aca="false">SUMPRODUCT(B63:EO63,$B$5:$EO$5)</f>
        <v>0.0125946824634643</v>
      </c>
      <c r="EQ63" s="72" t="n">
        <f aca="false">SUMIF('Mi portafolio'!$A$8:$A$19,$A63,'Mi portafolio'!$B$8:$B$19)</f>
        <v>0</v>
      </c>
    </row>
    <row r="64" customFormat="false" ht="15" hidden="false" customHeight="false" outlineLevel="0" collapsed="false">
      <c r="A64" s="71" t="s">
        <v>164</v>
      </c>
      <c r="B64" s="0" t="n">
        <v>0.0025216197404143</v>
      </c>
      <c r="C64" s="0" t="n">
        <v>0.0026586430946375</v>
      </c>
      <c r="D64" s="0" t="n">
        <v>0.0063982500563838</v>
      </c>
      <c r="E64" s="0" t="n">
        <v>0.0127885496884206</v>
      </c>
      <c r="F64" s="0" t="n">
        <v>-0.0001331986258575</v>
      </c>
      <c r="G64" s="0" t="n">
        <v>0.0018310592674094</v>
      </c>
      <c r="H64" s="0" t="n">
        <v>0.0187055784330482</v>
      </c>
      <c r="I64" s="0" t="n">
        <v>0.002174127150449</v>
      </c>
      <c r="J64" s="0" t="n">
        <v>-0.0018491170658642</v>
      </c>
      <c r="K64" s="0" t="n">
        <v>0.0020515071021675</v>
      </c>
      <c r="L64" s="0" t="n">
        <v>0.0159189941772343</v>
      </c>
      <c r="M64" s="0" t="n">
        <v>0.0105491127494283</v>
      </c>
      <c r="N64" s="0" t="n">
        <v>0.0099975079507523</v>
      </c>
      <c r="O64" s="0" t="n">
        <v>0.0119453719940695</v>
      </c>
      <c r="P64" s="0" t="n">
        <v>-0.001529384391831</v>
      </c>
      <c r="Q64" s="0" t="n">
        <v>-0.0033133614964339</v>
      </c>
      <c r="R64" s="0" t="n">
        <v>0.0052032123306995</v>
      </c>
      <c r="S64" s="0" t="n">
        <v>0.0159545166137368</v>
      </c>
      <c r="T64" s="0" t="n">
        <v>0.0068625070752458</v>
      </c>
      <c r="U64" s="0" t="n">
        <v>0.0238659626138036</v>
      </c>
      <c r="V64" s="0" t="n">
        <v>0.0163414249579771</v>
      </c>
      <c r="W64" s="0" t="n">
        <v>0.0115630818786677</v>
      </c>
      <c r="X64" s="0" t="n">
        <v>0.0102913408295688</v>
      </c>
      <c r="Y64" s="0" t="n">
        <v>0.0023776312868203</v>
      </c>
      <c r="Z64" s="0" t="n">
        <v>0.0233648442547021</v>
      </c>
      <c r="AA64" s="0" t="n">
        <v>0.0049012697977937</v>
      </c>
      <c r="AB64" s="0" t="n">
        <v>0.0006806164610058</v>
      </c>
      <c r="AC64" s="0" t="n">
        <v>0.0190730353346534</v>
      </c>
      <c r="AD64" s="0" t="n">
        <v>0.0145929914916096</v>
      </c>
      <c r="AE64" s="0" t="n">
        <v>0.0183746872496795</v>
      </c>
      <c r="AF64" s="0" t="n">
        <v>0.017911663040287</v>
      </c>
      <c r="AG64" s="0" t="n">
        <v>-0.0015913367781529</v>
      </c>
      <c r="AH64" s="0" t="n">
        <v>0.0012458122381749</v>
      </c>
      <c r="AI64" s="0" t="n">
        <v>-0.0102009243260841</v>
      </c>
      <c r="AJ64" s="0" t="n">
        <v>0.0123377378481355</v>
      </c>
      <c r="AK64" s="0" t="n">
        <v>0.0234294245531758</v>
      </c>
      <c r="AL64" s="0" t="n">
        <v>0.0047637257281771</v>
      </c>
      <c r="AM64" s="0" t="n">
        <v>0.0134774897465378</v>
      </c>
      <c r="AN64" s="0" t="n">
        <v>0.0159696782599112</v>
      </c>
      <c r="AO64" s="0" t="n">
        <v>-0.0009041370798762</v>
      </c>
      <c r="AP64" s="0" t="n">
        <v>0.010097717033943</v>
      </c>
      <c r="AQ64" s="0" t="n">
        <v>-0.0118692994478499</v>
      </c>
      <c r="AR64" s="0" t="n">
        <v>0.007333942576946</v>
      </c>
      <c r="AS64" s="0" t="n">
        <v>0.0276683366115843</v>
      </c>
      <c r="AT64" s="0" t="n">
        <v>0.0109616597850157</v>
      </c>
      <c r="AU64" s="0" t="n">
        <v>-0.0010940556064084</v>
      </c>
      <c r="AV64" s="0" t="n">
        <v>0.0269270591457452</v>
      </c>
      <c r="AW64" s="0" t="n">
        <v>0.0304418823451551</v>
      </c>
      <c r="AX64" s="0" t="n">
        <v>0.0091340096443969</v>
      </c>
      <c r="AY64" s="0" t="n">
        <v>0.0066497221444171</v>
      </c>
      <c r="AZ64" s="0" t="n">
        <v>0.0176303091903794</v>
      </c>
      <c r="BA64" s="0" t="n">
        <v>0.0085859836349</v>
      </c>
      <c r="BB64" s="0" t="n">
        <v>0.012452570467839</v>
      </c>
      <c r="BC64" s="0" t="n">
        <v>0.018273844314146</v>
      </c>
      <c r="BD64" s="0" t="n">
        <v>0.0304794268419982</v>
      </c>
      <c r="BE64" s="0" t="n">
        <v>0.0076447699477293</v>
      </c>
      <c r="BF64" s="0" t="n">
        <v>0.0229842921491798</v>
      </c>
      <c r="BG64" s="0" t="n">
        <v>0.0092937798637173</v>
      </c>
      <c r="BH64" s="0" t="n">
        <v>0.0911683244368918</v>
      </c>
      <c r="BI64" s="0" t="n">
        <v>0.0149776238877259</v>
      </c>
      <c r="BJ64" s="0" t="n">
        <v>-0.0064843460705147</v>
      </c>
      <c r="BK64" s="0" t="n">
        <v>0.0150957075301887</v>
      </c>
      <c r="BL64" s="0" t="n">
        <v>0.0110082717277086</v>
      </c>
      <c r="BM64" s="0" t="n">
        <v>0.0117630946593161</v>
      </c>
      <c r="BN64" s="0" t="n">
        <v>0.0015724595180825</v>
      </c>
      <c r="BO64" s="0" t="n">
        <v>0.02104493914216</v>
      </c>
      <c r="BP64" s="0" t="n">
        <v>0.014855195120852</v>
      </c>
      <c r="BQ64" s="0" t="n">
        <v>0.0226454616541246</v>
      </c>
      <c r="BR64" s="0" t="n">
        <v>0.0081742135277463</v>
      </c>
      <c r="BS64" s="0" t="n">
        <v>-0.0157158732024063</v>
      </c>
      <c r="BT64" s="0" t="n">
        <v>0.0225211357383515</v>
      </c>
      <c r="BU64" s="0" t="n">
        <v>0.0285440268580063</v>
      </c>
      <c r="BV64" s="0" t="n">
        <v>0.0143510939909965</v>
      </c>
      <c r="BW64" s="0" t="n">
        <v>0.0164512158162787</v>
      </c>
      <c r="BX64" s="0" t="n">
        <v>0.0022438398429332</v>
      </c>
      <c r="BY64" s="0" t="n">
        <v>0.0112007074538865</v>
      </c>
      <c r="BZ64" s="0" t="n">
        <v>0.0166227923702984</v>
      </c>
      <c r="CA64" s="0" t="n">
        <v>0.024210970212024</v>
      </c>
      <c r="CB64" s="0" t="n">
        <v>-6.10255804939097E-005</v>
      </c>
      <c r="CC64" s="0" t="n">
        <v>0.0065889118722698</v>
      </c>
      <c r="CD64" s="0" t="n">
        <v>0.0118867478516226</v>
      </c>
      <c r="CE64" s="0" t="n">
        <v>0.0112852193718448</v>
      </c>
      <c r="CF64" s="0" t="n">
        <v>-0.0182980619575482</v>
      </c>
      <c r="CG64" s="0" t="n">
        <v>0.0174681721947805</v>
      </c>
      <c r="CH64" s="0" t="n">
        <v>0.0308095474425058</v>
      </c>
      <c r="CI64" s="0" t="n">
        <v>-0.016641392413632</v>
      </c>
      <c r="CJ64" s="0" t="n">
        <v>0.0180598685862559</v>
      </c>
      <c r="CK64" s="0" t="n">
        <v>0.0115934697845766</v>
      </c>
      <c r="CL64" s="0" t="n">
        <v>0.0122378548027117</v>
      </c>
      <c r="CM64" s="0" t="n">
        <v>0.0152305809702168</v>
      </c>
      <c r="CN64" s="0" t="n">
        <v>0.0171582168842976</v>
      </c>
      <c r="CO64" s="0" t="n">
        <v>0.0201446788534845</v>
      </c>
      <c r="CP64" s="0" t="n">
        <v>0.013179620297357</v>
      </c>
      <c r="CQ64" s="0" t="n">
        <v>0.0172407218945635</v>
      </c>
      <c r="CR64" s="0" t="n">
        <v>0.0174100946681046</v>
      </c>
      <c r="CS64" s="0" t="n">
        <v>0.0153356874066404</v>
      </c>
      <c r="CT64" s="0" t="n">
        <v>0.0219368723297712</v>
      </c>
      <c r="CU64" s="0" t="n">
        <v>0.0257171871393531</v>
      </c>
      <c r="CV64" s="0" t="n">
        <v>0.0218216093957368</v>
      </c>
      <c r="CW64" s="0" t="n">
        <v>0.0183009811229956</v>
      </c>
      <c r="CX64" s="0" t="n">
        <v>0.0127783413336121</v>
      </c>
      <c r="CY64" s="0" t="n">
        <v>0.0125677635809537</v>
      </c>
      <c r="CZ64" s="0" t="n">
        <v>0.0048598905112042</v>
      </c>
      <c r="DA64" s="0" t="n">
        <v>0.0162712498505488</v>
      </c>
      <c r="DB64" s="0" t="n">
        <v>0.0372392124785026</v>
      </c>
      <c r="DC64" s="0" t="n">
        <v>0.0291681910204306</v>
      </c>
      <c r="DD64" s="0" t="n">
        <v>0.0273429691167523</v>
      </c>
      <c r="DE64" s="0" t="n">
        <v>0.0286801057301788</v>
      </c>
      <c r="DF64" s="0" t="n">
        <v>0.0120889810828469</v>
      </c>
      <c r="DG64" s="0" t="n">
        <v>0.0252519537474947</v>
      </c>
      <c r="DH64" s="0" t="n">
        <v>0.0294034290494583</v>
      </c>
      <c r="DI64" s="0" t="n">
        <v>0.0225474344787444</v>
      </c>
      <c r="DJ64" s="0" t="n">
        <v>0.012427650964889</v>
      </c>
      <c r="DK64" s="0" t="n">
        <v>0.0282795992160956</v>
      </c>
      <c r="DL64" s="0" t="n">
        <v>0.0330676980100957</v>
      </c>
      <c r="DM64" s="0" t="n">
        <v>0.0189535970164617</v>
      </c>
      <c r="DN64" s="0" t="n">
        <v>0.0129534713626949</v>
      </c>
      <c r="DO64" s="0" t="n">
        <v>0.0130012026195765</v>
      </c>
      <c r="DP64" s="0" t="n">
        <v>0.023051899702944</v>
      </c>
      <c r="DQ64" s="0" t="n">
        <v>0.0025558042780725</v>
      </c>
      <c r="DR64" s="0" t="n">
        <v>0.0269507464092803</v>
      </c>
      <c r="DS64" s="0" t="n">
        <v>0.00254169448558</v>
      </c>
      <c r="DT64" s="0" t="n">
        <v>0.0253631047317051</v>
      </c>
      <c r="DU64" s="0" t="n">
        <v>0.0335136608705806</v>
      </c>
      <c r="DV64" s="0" t="n">
        <v>0.0291805733728122</v>
      </c>
      <c r="DW64" s="0" t="n">
        <v>0.0411533925358657</v>
      </c>
      <c r="DX64" s="0" t="n">
        <v>0.0133154055796645</v>
      </c>
      <c r="DY64" s="0" t="n">
        <v>0.0233387582660841</v>
      </c>
      <c r="DZ64" s="0" t="n">
        <v>0.0215312241687953</v>
      </c>
      <c r="EA64" s="0" t="n">
        <v>0.0239704676381684</v>
      </c>
      <c r="EB64" s="0" t="n">
        <v>0.0266387350052882</v>
      </c>
      <c r="EC64" s="0" t="n">
        <v>0.0056513311298318</v>
      </c>
      <c r="ED64" s="0" t="n">
        <v>0.0428074158780666</v>
      </c>
      <c r="EE64" s="0" t="n">
        <v>0.0289238381839842</v>
      </c>
      <c r="EF64" s="0" t="n">
        <v>0.0158062667673495</v>
      </c>
      <c r="EG64" s="0" t="n">
        <v>0.0177600772830637</v>
      </c>
      <c r="EH64" s="0" t="n">
        <v>0.0053621460443053</v>
      </c>
      <c r="EI64" s="0" t="n">
        <v>0.0167399763472635</v>
      </c>
      <c r="EJ64" s="0" t="n">
        <v>0.0343234132441842</v>
      </c>
      <c r="EK64" s="0" t="n">
        <v>0.044510123738869</v>
      </c>
      <c r="EL64" s="0" t="n">
        <v>0.0436407701770207</v>
      </c>
      <c r="EM64" s="0" t="n">
        <v>0.0333570987233353</v>
      </c>
      <c r="EN64" s="0" t="n">
        <v>0.014689270551734</v>
      </c>
      <c r="EO64" s="0" t="n">
        <v>0.0313821945471368</v>
      </c>
      <c r="EP64" s="72" t="n">
        <f aca="false">SUMPRODUCT(B64:EO64,$B$5:$EO$5)</f>
        <v>0.0172961771798879</v>
      </c>
      <c r="EQ64" s="72" t="n">
        <f aca="false">SUMIF('Mi portafolio'!$A$8:$A$19,$A64,'Mi portafolio'!$B$8:$B$19)</f>
        <v>0</v>
      </c>
    </row>
    <row r="65" customFormat="false" ht="15" hidden="false" customHeight="false" outlineLevel="0" collapsed="false">
      <c r="A65" s="71" t="s">
        <v>286</v>
      </c>
      <c r="B65" s="0" t="n">
        <v>0.0046883372737516</v>
      </c>
      <c r="C65" s="0" t="n">
        <v>-0.0007734938470816</v>
      </c>
      <c r="D65" s="0" t="n">
        <v>0.0067578897067923</v>
      </c>
      <c r="E65" s="0" t="n">
        <v>0.0122286428369423</v>
      </c>
      <c r="F65" s="0" t="n">
        <v>-0.0043413348228941</v>
      </c>
      <c r="G65" s="0" t="n">
        <v>0.0061156625426041</v>
      </c>
      <c r="H65" s="0" t="n">
        <v>0.0088441798766546</v>
      </c>
      <c r="I65" s="0" t="n">
        <v>0.0020855591171472</v>
      </c>
      <c r="J65" s="0" t="n">
        <v>-0.0006944466803333</v>
      </c>
      <c r="K65" s="0" t="n">
        <v>0.0026129510717191</v>
      </c>
      <c r="L65" s="0" t="n">
        <v>0.0111546264659466</v>
      </c>
      <c r="M65" s="0" t="n">
        <v>0.0085959361431927</v>
      </c>
      <c r="N65" s="0" t="n">
        <v>0.0035352523042909</v>
      </c>
      <c r="O65" s="0" t="n">
        <v>0.0166197555761531</v>
      </c>
      <c r="P65" s="0" t="n">
        <v>-0.0014869038112751</v>
      </c>
      <c r="Q65" s="0" t="n">
        <v>0.0044764700743217</v>
      </c>
      <c r="R65" s="0" t="n">
        <v>0.0044553583445911</v>
      </c>
      <c r="S65" s="0" t="n">
        <v>0.0118685468573702</v>
      </c>
      <c r="T65" s="0" t="n">
        <v>0.0087899257174387</v>
      </c>
      <c r="U65" s="0" t="n">
        <v>0.0098068160708999</v>
      </c>
      <c r="V65" s="0" t="n">
        <v>0.0156060551619867</v>
      </c>
      <c r="W65" s="0" t="n">
        <v>0.0042109941968707</v>
      </c>
      <c r="X65" s="0" t="n">
        <v>0.008523829108732</v>
      </c>
      <c r="Y65" s="0" t="n">
        <v>0.0024248451766842</v>
      </c>
      <c r="Z65" s="0" t="n">
        <v>0.009695155825419</v>
      </c>
      <c r="AA65" s="0" t="n">
        <v>0.0015755671248214</v>
      </c>
      <c r="AB65" s="0" t="n">
        <v>0.0056645680837737</v>
      </c>
      <c r="AC65" s="0" t="n">
        <v>0.0137538217811813</v>
      </c>
      <c r="AD65" s="0" t="n">
        <v>0.0018357834049479</v>
      </c>
      <c r="AE65" s="0" t="n">
        <v>0.0102799468404442</v>
      </c>
      <c r="AF65" s="0" t="n">
        <v>0.0166138086137546</v>
      </c>
      <c r="AG65" s="0" t="n">
        <v>-0.0046483360216108</v>
      </c>
      <c r="AH65" s="0" t="n">
        <v>-0.0032859474709791</v>
      </c>
      <c r="AI65" s="0" t="n">
        <v>7.01204511986293E-005</v>
      </c>
      <c r="AJ65" s="0" t="n">
        <v>0.0022749708671068</v>
      </c>
      <c r="AK65" s="0" t="n">
        <v>0.0036189035923451</v>
      </c>
      <c r="AL65" s="0" t="n">
        <v>0.0016159351650785</v>
      </c>
      <c r="AM65" s="0" t="n">
        <v>0.0090847546037275</v>
      </c>
      <c r="AN65" s="0" t="n">
        <v>0.0082227875479734</v>
      </c>
      <c r="AO65" s="0" t="n">
        <v>-0.0042836954356328</v>
      </c>
      <c r="AP65" s="0" t="n">
        <v>0.0088705744545828</v>
      </c>
      <c r="AQ65" s="0" t="n">
        <v>-0.0029068001262858</v>
      </c>
      <c r="AR65" s="0" t="n">
        <v>0.0081706509474946</v>
      </c>
      <c r="AS65" s="0" t="n">
        <v>0.0035793462536378</v>
      </c>
      <c r="AT65" s="0" t="n">
        <v>0.0098034122969967</v>
      </c>
      <c r="AU65" s="0" t="n">
        <v>-0.0025679776167053</v>
      </c>
      <c r="AV65" s="0" t="n">
        <v>0.0178369514877268</v>
      </c>
      <c r="AW65" s="0" t="n">
        <v>0.0105927801950444</v>
      </c>
      <c r="AX65" s="0" t="n">
        <v>0.0043666405943383</v>
      </c>
      <c r="AY65" s="0" t="n">
        <v>0.0012324815821338</v>
      </c>
      <c r="AZ65" s="0" t="n">
        <v>0.0157131533035902</v>
      </c>
      <c r="BA65" s="0" t="n">
        <v>0.0075369418514149</v>
      </c>
      <c r="BB65" s="0" t="n">
        <v>0.0093908599348534</v>
      </c>
      <c r="BC65" s="0" t="n">
        <v>0.0076229024455028</v>
      </c>
      <c r="BD65" s="0" t="n">
        <v>0.0034799975493582</v>
      </c>
      <c r="BE65" s="0" t="n">
        <v>0.0080025540652998</v>
      </c>
      <c r="BF65" s="0" t="n">
        <v>0.0154987200320881</v>
      </c>
      <c r="BG65" s="0" t="n">
        <v>0.0157980267298785</v>
      </c>
      <c r="BH65" s="0" t="n">
        <v>0.0149776238877259</v>
      </c>
      <c r="BI65" s="0" t="n">
        <v>0.0909489622645581</v>
      </c>
      <c r="BJ65" s="0" t="n">
        <v>0.0073496313620202</v>
      </c>
      <c r="BK65" s="0" t="n">
        <v>0.0147730508142131</v>
      </c>
      <c r="BL65" s="0" t="n">
        <v>0.0121548681934605</v>
      </c>
      <c r="BM65" s="0" t="n">
        <v>0.0085369068881643</v>
      </c>
      <c r="BN65" s="0" t="n">
        <v>0.0014287484419234</v>
      </c>
      <c r="BO65" s="0" t="n">
        <v>0.0121034151236638</v>
      </c>
      <c r="BP65" s="0" t="n">
        <v>0.0050354412395399</v>
      </c>
      <c r="BQ65" s="0" t="n">
        <v>0.0133773888300784</v>
      </c>
      <c r="BR65" s="0" t="n">
        <v>0.0179512265266648</v>
      </c>
      <c r="BS65" s="0" t="n">
        <v>-0.0034291439070593</v>
      </c>
      <c r="BT65" s="0" t="n">
        <v>0.0117995307389242</v>
      </c>
      <c r="BU65" s="0" t="n">
        <v>0.0088158509939321</v>
      </c>
      <c r="BV65" s="0" t="n">
        <v>0.0182964763801452</v>
      </c>
      <c r="BW65" s="0" t="n">
        <v>0.0240758596626344</v>
      </c>
      <c r="BX65" s="0" t="n">
        <v>0.0030585429428075</v>
      </c>
      <c r="BY65" s="0" t="n">
        <v>-0.0007694281768415</v>
      </c>
      <c r="BZ65" s="0" t="n">
        <v>0.0120693702675376</v>
      </c>
      <c r="CA65" s="0" t="n">
        <v>0.0185478092903424</v>
      </c>
      <c r="CB65" s="0" t="n">
        <v>-0.0024769656527363</v>
      </c>
      <c r="CC65" s="0" t="n">
        <v>0.0074094469587681</v>
      </c>
      <c r="CD65" s="0" t="n">
        <v>0.0081187845300481</v>
      </c>
      <c r="CE65" s="0" t="n">
        <v>0.0013541152853388</v>
      </c>
      <c r="CF65" s="0" t="n">
        <v>0.0016234187896562</v>
      </c>
      <c r="CG65" s="0" t="n">
        <v>0.0098040750607788</v>
      </c>
      <c r="CH65" s="0" t="n">
        <v>0.0175564026846849</v>
      </c>
      <c r="CI65" s="0" t="n">
        <v>0.0004994236491572</v>
      </c>
      <c r="CJ65" s="0" t="n">
        <v>-0.0034086033485485</v>
      </c>
      <c r="CK65" s="0" t="n">
        <v>0.0083426063982502</v>
      </c>
      <c r="CL65" s="0" t="n">
        <v>0.0023002325908467</v>
      </c>
      <c r="CM65" s="0" t="n">
        <v>-0.0062012027227945</v>
      </c>
      <c r="CN65" s="0" t="n">
        <v>-0.0022717386837893</v>
      </c>
      <c r="CO65" s="0" t="n">
        <v>0.0142235965964136</v>
      </c>
      <c r="CP65" s="0" t="n">
        <v>0.0174233519369073</v>
      </c>
      <c r="CQ65" s="0" t="n">
        <v>0.0158276077752666</v>
      </c>
      <c r="CR65" s="0" t="n">
        <v>0.0040837569064199</v>
      </c>
      <c r="CS65" s="0" t="n">
        <v>-0.0010529276106047</v>
      </c>
      <c r="CT65" s="0" t="n">
        <v>0.0149621401714604</v>
      </c>
      <c r="CU65" s="0" t="n">
        <v>0.0114441140786847</v>
      </c>
      <c r="CV65" s="0" t="n">
        <v>0.019209506079854</v>
      </c>
      <c r="CW65" s="0" t="n">
        <v>0.0098021551935905</v>
      </c>
      <c r="CX65" s="0" t="n">
        <v>0.0080204968948225</v>
      </c>
      <c r="CY65" s="0" t="n">
        <v>0.0012581886611198</v>
      </c>
      <c r="CZ65" s="0" t="n">
        <v>0.0101730011452316</v>
      </c>
      <c r="DA65" s="0" t="n">
        <v>0.000462964700828</v>
      </c>
      <c r="DB65" s="0" t="n">
        <v>0.0197993929418018</v>
      </c>
      <c r="DC65" s="0" t="n">
        <v>0.0228813518427024</v>
      </c>
      <c r="DD65" s="0" t="n">
        <v>0.0220386454440327</v>
      </c>
      <c r="DE65" s="0" t="n">
        <v>0.0108827279779095</v>
      </c>
      <c r="DF65" s="0" t="n">
        <v>0.0069436511675505</v>
      </c>
      <c r="DG65" s="0" t="n">
        <v>0.0182409372002491</v>
      </c>
      <c r="DH65" s="0" t="n">
        <v>0.0032310828953644</v>
      </c>
      <c r="DI65" s="0" t="n">
        <v>0.0300577680448093</v>
      </c>
      <c r="DJ65" s="0" t="n">
        <v>0.0129091135101003</v>
      </c>
      <c r="DK65" s="0" t="n">
        <v>0.0240437507250478</v>
      </c>
      <c r="DL65" s="0" t="n">
        <v>0.0145238755026971</v>
      </c>
      <c r="DM65" s="0" t="n">
        <v>0.0138158362086754</v>
      </c>
      <c r="DN65" s="0" t="n">
        <v>0.0285490720347131</v>
      </c>
      <c r="DO65" s="0" t="n">
        <v>0.0200531056186934</v>
      </c>
      <c r="DP65" s="0" t="n">
        <v>0.0157422112540261</v>
      </c>
      <c r="DQ65" s="0" t="n">
        <v>0.0233800267742043</v>
      </c>
      <c r="DR65" s="0" t="n">
        <v>0.0270395738279727</v>
      </c>
      <c r="DS65" s="0" t="n">
        <v>0.013956698581101</v>
      </c>
      <c r="DT65" s="0" t="n">
        <v>0.018246431807577</v>
      </c>
      <c r="DU65" s="0" t="n">
        <v>0.017368503657456</v>
      </c>
      <c r="DV65" s="0" t="n">
        <v>0.0247867683205858</v>
      </c>
      <c r="DW65" s="0" t="n">
        <v>0.0133025559394101</v>
      </c>
      <c r="DX65" s="0" t="n">
        <v>0.008189619762555</v>
      </c>
      <c r="DY65" s="0" t="n">
        <v>0.0352976212478951</v>
      </c>
      <c r="DZ65" s="0" t="n">
        <v>0.0156886461277921</v>
      </c>
      <c r="EA65" s="0" t="n">
        <v>-0.0047199489322167</v>
      </c>
      <c r="EB65" s="0" t="n">
        <v>0.0273200501038096</v>
      </c>
      <c r="EC65" s="0" t="n">
        <v>0.0063043039788004</v>
      </c>
      <c r="ED65" s="0" t="n">
        <v>0.0273841342262382</v>
      </c>
      <c r="EE65" s="0" t="n">
        <v>0.0008778182031727</v>
      </c>
      <c r="EF65" s="0" t="n">
        <v>0.0126127427341447</v>
      </c>
      <c r="EG65" s="0" t="n">
        <v>0.0136429361445769</v>
      </c>
      <c r="EH65" s="0" t="n">
        <v>-0.0123070906182115</v>
      </c>
      <c r="EI65" s="0" t="n">
        <v>0.0038499133152193</v>
      </c>
      <c r="EJ65" s="0" t="n">
        <v>0.0271906006433352</v>
      </c>
      <c r="EK65" s="0" t="n">
        <v>0.0055649978304147</v>
      </c>
      <c r="EL65" s="0" t="n">
        <v>0.0257079472727009</v>
      </c>
      <c r="EM65" s="0" t="n">
        <v>0.0273460260432309</v>
      </c>
      <c r="EN65" s="0" t="n">
        <v>0.0176064611431051</v>
      </c>
      <c r="EO65" s="0" t="n">
        <v>-0.0510295215371017</v>
      </c>
      <c r="EP65" s="72" t="n">
        <f aca="false">SUMPRODUCT(B65:EO65,$B$5:$EO$5)</f>
        <v>0.00839808448118099</v>
      </c>
      <c r="EQ65" s="72" t="n">
        <f aca="false">SUMIF('Mi portafolio'!$A$8:$A$19,$A65,'Mi portafolio'!$B$8:$B$19)</f>
        <v>0</v>
      </c>
    </row>
    <row r="66" customFormat="false" ht="15" hidden="false" customHeight="false" outlineLevel="0" collapsed="false">
      <c r="A66" s="71" t="s">
        <v>287</v>
      </c>
      <c r="B66" s="0" t="n">
        <v>-0.0011281494206193</v>
      </c>
      <c r="C66" s="0" t="n">
        <v>0.000826301449237</v>
      </c>
      <c r="D66" s="0" t="n">
        <v>0.0042582529961322</v>
      </c>
      <c r="E66" s="0" t="n">
        <v>0.0034659124622486</v>
      </c>
      <c r="F66" s="0" t="n">
        <v>-0.0052139680476319</v>
      </c>
      <c r="G66" s="0" t="n">
        <v>0.0028745156865541</v>
      </c>
      <c r="H66" s="0" t="n">
        <v>-0.0052973676439071</v>
      </c>
      <c r="I66" s="0" t="n">
        <v>0.0008869274201185</v>
      </c>
      <c r="J66" s="0" t="n">
        <v>-0.0018780392131248</v>
      </c>
      <c r="K66" s="0" t="n">
        <v>-0.0029687304993317</v>
      </c>
      <c r="L66" s="0" t="n">
        <v>0.0007872685471407</v>
      </c>
      <c r="M66" s="0" t="n">
        <v>-0.0071740910495186</v>
      </c>
      <c r="N66" s="0" t="n">
        <v>-0.0011292287786131</v>
      </c>
      <c r="O66" s="0" t="n">
        <v>-0.000340136453863</v>
      </c>
      <c r="P66" s="0" t="n">
        <v>-0.003465917338538</v>
      </c>
      <c r="Q66" s="0" t="n">
        <v>-0.0007106309281563</v>
      </c>
      <c r="R66" s="0" t="n">
        <v>-0.0065558166585575</v>
      </c>
      <c r="S66" s="0" t="n">
        <v>0.0067161686109019</v>
      </c>
      <c r="T66" s="0" t="n">
        <v>0.002916435388734</v>
      </c>
      <c r="U66" s="0" t="n">
        <v>0.0046119324362276</v>
      </c>
      <c r="V66" s="0" t="n">
        <v>-0.0006866475942851</v>
      </c>
      <c r="W66" s="0" t="n">
        <v>0.0001799721617004</v>
      </c>
      <c r="X66" s="0" t="n">
        <v>-1.77030955365841E-005</v>
      </c>
      <c r="Y66" s="0" t="n">
        <v>0.0025267480093558</v>
      </c>
      <c r="Z66" s="0" t="n">
        <v>-0.0080703575909996</v>
      </c>
      <c r="AA66" s="0" t="n">
        <v>-0.0012301535472201</v>
      </c>
      <c r="AB66" s="0" t="n">
        <v>0.0020006966319226</v>
      </c>
      <c r="AC66" s="0" t="n">
        <v>0.0036650542686954</v>
      </c>
      <c r="AD66" s="0" t="n">
        <v>0.0025294001071109</v>
      </c>
      <c r="AE66" s="0" t="n">
        <v>0.0063077779848056</v>
      </c>
      <c r="AF66" s="0" t="n">
        <v>0.0091090536875287</v>
      </c>
      <c r="AG66" s="0" t="n">
        <v>-0.001268043322764</v>
      </c>
      <c r="AH66" s="0" t="n">
        <v>-0.0078222410543359</v>
      </c>
      <c r="AI66" s="0" t="n">
        <v>-0.0019191501778393</v>
      </c>
      <c r="AJ66" s="0" t="n">
        <v>0.0126093571109682</v>
      </c>
      <c r="AK66" s="0" t="n">
        <v>0.0046659889722327</v>
      </c>
      <c r="AL66" s="0" t="n">
        <v>-0.0060324793436597</v>
      </c>
      <c r="AM66" s="0" t="n">
        <v>0.001780815748374</v>
      </c>
      <c r="AN66" s="0" t="n">
        <v>-0.0046172876401554</v>
      </c>
      <c r="AO66" s="0" t="n">
        <v>-0.0052502632621067</v>
      </c>
      <c r="AP66" s="0" t="n">
        <v>-0.0009855584278299</v>
      </c>
      <c r="AQ66" s="0" t="n">
        <v>-0.0015489406110861</v>
      </c>
      <c r="AR66" s="0" t="n">
        <v>0.0066390679469875</v>
      </c>
      <c r="AS66" s="0" t="n">
        <v>0.0058159967814584</v>
      </c>
      <c r="AT66" s="0" t="n">
        <v>-0.0017087383581737</v>
      </c>
      <c r="AU66" s="0" t="n">
        <v>-0.0055614634232022</v>
      </c>
      <c r="AV66" s="0" t="n">
        <v>0.009998554614001</v>
      </c>
      <c r="AW66" s="0" t="n">
        <v>0.0057908151873624</v>
      </c>
      <c r="AX66" s="0" t="n">
        <v>0.0068164474332677</v>
      </c>
      <c r="AY66" s="0" t="n">
        <v>-0.0058816733388205</v>
      </c>
      <c r="AZ66" s="0" t="n">
        <v>0.0098024633852622</v>
      </c>
      <c r="BA66" s="0" t="n">
        <v>0.0025977041119127</v>
      </c>
      <c r="BB66" s="0" t="n">
        <v>0.0013665509098268</v>
      </c>
      <c r="BC66" s="0" t="n">
        <v>0.0048085180202704</v>
      </c>
      <c r="BD66" s="0" t="n">
        <v>0.0059057102859541</v>
      </c>
      <c r="BE66" s="0" t="n">
        <v>0.0018296058981256</v>
      </c>
      <c r="BF66" s="0" t="n">
        <v>0.0005759297364728</v>
      </c>
      <c r="BG66" s="0" t="n">
        <v>-0.0004472082362397</v>
      </c>
      <c r="BH66" s="0" t="n">
        <v>-0.0064843460705147</v>
      </c>
      <c r="BI66" s="0" t="n">
        <v>0.0073496313620202</v>
      </c>
      <c r="BJ66" s="0" t="n">
        <v>0.0954108975802704</v>
      </c>
      <c r="BK66" s="0" t="n">
        <v>0.0100800506225465</v>
      </c>
      <c r="BL66" s="0" t="n">
        <v>0.0025911747204993</v>
      </c>
      <c r="BM66" s="0" t="n">
        <v>-0.0103783560028611</v>
      </c>
      <c r="BN66" s="0" t="n">
        <v>-0.0073379721916481</v>
      </c>
      <c r="BO66" s="0" t="n">
        <v>0.0001114686510104</v>
      </c>
      <c r="BP66" s="0" t="n">
        <v>-0.0017159545576066</v>
      </c>
      <c r="BQ66" s="0" t="n">
        <v>0.001608859813547</v>
      </c>
      <c r="BR66" s="0" t="n">
        <v>0.0065321753966165</v>
      </c>
      <c r="BS66" s="0" t="n">
        <v>0.0072330583204564</v>
      </c>
      <c r="BT66" s="0" t="n">
        <v>0.004625296127328</v>
      </c>
      <c r="BU66" s="0" t="n">
        <v>0.0009776665507692</v>
      </c>
      <c r="BV66" s="0" t="n">
        <v>0.0036048706877521</v>
      </c>
      <c r="BW66" s="0" t="n">
        <v>0.0008155254175567</v>
      </c>
      <c r="BX66" s="0" t="n">
        <v>-0.0036430587752575</v>
      </c>
      <c r="BY66" s="0" t="n">
        <v>-0.0129309130699345</v>
      </c>
      <c r="BZ66" s="0" t="n">
        <v>-0.0064368231359854</v>
      </c>
      <c r="CA66" s="0" t="n">
        <v>0.0071334283242187</v>
      </c>
      <c r="CB66" s="0" t="n">
        <v>0.0008915312556274</v>
      </c>
      <c r="CC66" s="0" t="n">
        <v>0.0005262291241983</v>
      </c>
      <c r="CD66" s="0" t="n">
        <v>-0.0057310171716326</v>
      </c>
      <c r="CE66" s="0" t="n">
        <v>-0.0055254247085028</v>
      </c>
      <c r="CF66" s="0" t="n">
        <v>0.0031796265701354</v>
      </c>
      <c r="CG66" s="0" t="n">
        <v>-0.0034561989434564</v>
      </c>
      <c r="CH66" s="0" t="n">
        <v>0.015252271658892</v>
      </c>
      <c r="CI66" s="0" t="n">
        <v>0.0054485630447328</v>
      </c>
      <c r="CJ66" s="0" t="n">
        <v>-0.0044273436598015</v>
      </c>
      <c r="CK66" s="0" t="n">
        <v>-0.0054960131851527</v>
      </c>
      <c r="CL66" s="0" t="n">
        <v>-0.014489009582939</v>
      </c>
      <c r="CM66" s="0" t="n">
        <v>-0.0076291390626177</v>
      </c>
      <c r="CN66" s="0" t="n">
        <v>-0.0002322294190137</v>
      </c>
      <c r="CO66" s="0" t="n">
        <v>-0.0095645897612368</v>
      </c>
      <c r="CP66" s="0" t="n">
        <v>-0.0061735867661356</v>
      </c>
      <c r="CQ66" s="0" t="n">
        <v>-0.0029011642674209</v>
      </c>
      <c r="CR66" s="0" t="n">
        <v>0.0031430535294504</v>
      </c>
      <c r="CS66" s="0" t="n">
        <v>0.0064711564056097</v>
      </c>
      <c r="CT66" s="0" t="n">
        <v>-0.0043926371690058</v>
      </c>
      <c r="CU66" s="0" t="n">
        <v>-0.0015732393736406</v>
      </c>
      <c r="CV66" s="0" t="n">
        <v>-0.0069239429047642</v>
      </c>
      <c r="CW66" s="0" t="n">
        <v>0.0060632146562007</v>
      </c>
      <c r="CX66" s="0" t="n">
        <v>0.0021577437345791</v>
      </c>
      <c r="CY66" s="0" t="n">
        <v>-0.0044493173134788</v>
      </c>
      <c r="CZ66" s="0" t="n">
        <v>-0.002697564502024</v>
      </c>
      <c r="DA66" s="0" t="n">
        <v>-0.013355428657851</v>
      </c>
      <c r="DB66" s="0" t="n">
        <v>0.0075890537603474</v>
      </c>
      <c r="DC66" s="0" t="n">
        <v>0.0163391814810391</v>
      </c>
      <c r="DD66" s="0" t="n">
        <v>-0.0004037866196811</v>
      </c>
      <c r="DE66" s="0" t="n">
        <v>0.0016364084720031</v>
      </c>
      <c r="DF66" s="0" t="n">
        <v>-0.0093740421471978</v>
      </c>
      <c r="DG66" s="0" t="n">
        <v>0.0164653989200872</v>
      </c>
      <c r="DH66" s="0" t="n">
        <v>0.0082891857878644</v>
      </c>
      <c r="DI66" s="0" t="n">
        <v>-0.0086241125758044</v>
      </c>
      <c r="DJ66" s="0" t="n">
        <v>-0.0103803151663575</v>
      </c>
      <c r="DK66" s="0" t="n">
        <v>-0.0017632494228899</v>
      </c>
      <c r="DL66" s="0" t="n">
        <v>0.02402390367681</v>
      </c>
      <c r="DM66" s="0" t="n">
        <v>-0.0103559772567335</v>
      </c>
      <c r="DN66" s="0" t="n">
        <v>-0.0175257970212999</v>
      </c>
      <c r="DO66" s="0" t="n">
        <v>0.0081128458681511</v>
      </c>
      <c r="DP66" s="0" t="n">
        <v>-0.0107077492255992</v>
      </c>
      <c r="DQ66" s="0" t="n">
        <v>0.0005949626390372</v>
      </c>
      <c r="DR66" s="0" t="n">
        <v>0.0001063884157367</v>
      </c>
      <c r="DS66" s="0" t="n">
        <v>-0.0167602978813573</v>
      </c>
      <c r="DT66" s="0" t="n">
        <v>-0.0066065675667825</v>
      </c>
      <c r="DU66" s="0" t="n">
        <v>0.0028069885127246</v>
      </c>
      <c r="DV66" s="0" t="n">
        <v>-0.0143603517873856</v>
      </c>
      <c r="DW66" s="0" t="n">
        <v>-0.0105626444579103</v>
      </c>
      <c r="DX66" s="0" t="n">
        <v>0.0147093344944111</v>
      </c>
      <c r="DY66" s="0" t="n">
        <v>-0.0059865580531646</v>
      </c>
      <c r="DZ66" s="0" t="n">
        <v>-0.0054425136390654</v>
      </c>
      <c r="EA66" s="0" t="n">
        <v>0.0102299977088231</v>
      </c>
      <c r="EB66" s="0" t="n">
        <v>-0.0133428495803433</v>
      </c>
      <c r="EC66" s="0" t="n">
        <v>-0.0060475291690279</v>
      </c>
      <c r="ED66" s="0" t="n">
        <v>-0.0036841851772254</v>
      </c>
      <c r="EE66" s="0" t="n">
        <v>0.0071998301092919</v>
      </c>
      <c r="EF66" s="0" t="n">
        <v>0.009809900446322</v>
      </c>
      <c r="EG66" s="0" t="n">
        <v>0.0140296799664496</v>
      </c>
      <c r="EH66" s="0" t="n">
        <v>-0.0255125134865114</v>
      </c>
      <c r="EI66" s="0" t="n">
        <v>0.019531429253073</v>
      </c>
      <c r="EJ66" s="0" t="n">
        <v>-0.0039248412632853</v>
      </c>
      <c r="EK66" s="0" t="n">
        <v>0.0153601026282316</v>
      </c>
      <c r="EL66" s="0" t="n">
        <v>0.0316500766285671</v>
      </c>
      <c r="EM66" s="0" t="n">
        <v>0.0088445373682716</v>
      </c>
      <c r="EN66" s="0" t="n">
        <v>0.0169746862120233</v>
      </c>
      <c r="EO66" s="0" t="n">
        <v>-0.0197615476962367</v>
      </c>
      <c r="EP66" s="72" t="n">
        <f aca="false">SUMPRODUCT(B66:EO66,$B$5:$EO$5)</f>
        <v>0.0159845591650249</v>
      </c>
      <c r="EQ66" s="72" t="n">
        <f aca="false">SUMIF('Mi portafolio'!$A$8:$A$19,$A66,'Mi portafolio'!$B$8:$B$19)</f>
        <v>0</v>
      </c>
    </row>
    <row r="67" customFormat="false" ht="15" hidden="false" customHeight="false" outlineLevel="0" collapsed="false">
      <c r="A67" s="71" t="s">
        <v>289</v>
      </c>
      <c r="B67" s="0" t="n">
        <v>0.0007865466342791</v>
      </c>
      <c r="C67" s="0" t="n">
        <v>0.0030498034963666</v>
      </c>
      <c r="D67" s="0" t="n">
        <v>0.0133050800897302</v>
      </c>
      <c r="E67" s="0" t="n">
        <v>0.0113439034110053</v>
      </c>
      <c r="F67" s="0" t="n">
        <v>-0.0037900690095318</v>
      </c>
      <c r="G67" s="0" t="n">
        <v>0.0104397486690825</v>
      </c>
      <c r="H67" s="0" t="n">
        <v>0.0123154758528285</v>
      </c>
      <c r="I67" s="0" t="n">
        <v>-7.09151677458386E-005</v>
      </c>
      <c r="J67" s="0" t="n">
        <v>-0.0041462363204827</v>
      </c>
      <c r="K67" s="0" t="n">
        <v>0.0014508861425</v>
      </c>
      <c r="L67" s="0" t="n">
        <v>0.0131912454041552</v>
      </c>
      <c r="M67" s="0" t="n">
        <v>0.011482594809615</v>
      </c>
      <c r="N67" s="0" t="n">
        <v>0.0009206016378037</v>
      </c>
      <c r="O67" s="0" t="n">
        <v>0.0167679040101198</v>
      </c>
      <c r="P67" s="0" t="n">
        <v>0.0041059664117918</v>
      </c>
      <c r="Q67" s="0" t="n">
        <v>0.0118773397748251</v>
      </c>
      <c r="R67" s="0" t="n">
        <v>0.0016114395671919</v>
      </c>
      <c r="S67" s="0" t="n">
        <v>0.0155224471214297</v>
      </c>
      <c r="T67" s="0" t="n">
        <v>0.0126735807233458</v>
      </c>
      <c r="U67" s="0" t="n">
        <v>0.0172820779089967</v>
      </c>
      <c r="V67" s="0" t="n">
        <v>0.0130681588685942</v>
      </c>
      <c r="W67" s="0" t="n">
        <v>0.0113280720859302</v>
      </c>
      <c r="X67" s="0" t="n">
        <v>0.009621764378087</v>
      </c>
      <c r="Y67" s="0" t="n">
        <v>0.0069357585131271</v>
      </c>
      <c r="Z67" s="0" t="n">
        <v>0.0218727055570634</v>
      </c>
      <c r="AA67" s="0" t="n">
        <v>0.0179255910887858</v>
      </c>
      <c r="AB67" s="0" t="n">
        <v>0.0048674346016003</v>
      </c>
      <c r="AC67" s="0" t="n">
        <v>0.0102671005565728</v>
      </c>
      <c r="AD67" s="0" t="n">
        <v>0.0160262118289114</v>
      </c>
      <c r="AE67" s="0" t="n">
        <v>0.0516099528750156</v>
      </c>
      <c r="AF67" s="0" t="n">
        <v>0.0330035022919395</v>
      </c>
      <c r="AG67" s="0" t="n">
        <v>-0.0025725865450657</v>
      </c>
      <c r="AH67" s="0" t="n">
        <v>-0.0037679685407593</v>
      </c>
      <c r="AI67" s="0" t="n">
        <v>-0.0154167437490182</v>
      </c>
      <c r="AJ67" s="0" t="n">
        <v>0.0156422394920871</v>
      </c>
      <c r="AK67" s="0" t="n">
        <v>0.0240051580312361</v>
      </c>
      <c r="AL67" s="0" t="n">
        <v>0.0034164216187472</v>
      </c>
      <c r="AM67" s="0" t="n">
        <v>0.0241301618125406</v>
      </c>
      <c r="AN67" s="0" t="n">
        <v>0.0102500681096979</v>
      </c>
      <c r="AO67" s="0" t="n">
        <v>-0.0018172722724213</v>
      </c>
      <c r="AP67" s="0" t="n">
        <v>0.0046033700784935</v>
      </c>
      <c r="AQ67" s="0" t="n">
        <v>-0.0124422300780445</v>
      </c>
      <c r="AR67" s="0" t="n">
        <v>0.0157374961974403</v>
      </c>
      <c r="AS67" s="0" t="n">
        <v>0.0162392712156776</v>
      </c>
      <c r="AT67" s="0" t="n">
        <v>0.0137880809710022</v>
      </c>
      <c r="AU67" s="0" t="n">
        <v>-0.0009670523767756</v>
      </c>
      <c r="AV67" s="0" t="n">
        <v>0.0186295147396377</v>
      </c>
      <c r="AW67" s="0" t="n">
        <v>0.0174883825730935</v>
      </c>
      <c r="AX67" s="0" t="n">
        <v>0.0041581267948814</v>
      </c>
      <c r="AY67" s="0" t="n">
        <v>0.0069006486440479</v>
      </c>
      <c r="AZ67" s="0" t="n">
        <v>0.063013717549756</v>
      </c>
      <c r="BA67" s="0" t="n">
        <v>0.013035423192848</v>
      </c>
      <c r="BB67" s="0" t="n">
        <v>0.0233297421801592</v>
      </c>
      <c r="BC67" s="0" t="n">
        <v>0.0220941239361121</v>
      </c>
      <c r="BD67" s="0" t="n">
        <v>0.0314539073084029</v>
      </c>
      <c r="BE67" s="0" t="n">
        <v>0.0031640793770178</v>
      </c>
      <c r="BF67" s="0" t="n">
        <v>0.0314049671799046</v>
      </c>
      <c r="BG67" s="0" t="n">
        <v>0.0087508600817938</v>
      </c>
      <c r="BH67" s="0" t="n">
        <v>0.0150957075301887</v>
      </c>
      <c r="BI67" s="0" t="n">
        <v>0.0147730508142131</v>
      </c>
      <c r="BJ67" s="0" t="n">
        <v>0.0100800506225465</v>
      </c>
      <c r="BK67" s="0" t="n">
        <v>0.10095611823417</v>
      </c>
      <c r="BL67" s="0" t="n">
        <v>0.009361017533367</v>
      </c>
      <c r="BM67" s="0" t="n">
        <v>0.0040008173374042</v>
      </c>
      <c r="BN67" s="0" t="n">
        <v>0.0021728091678038</v>
      </c>
      <c r="BO67" s="0" t="n">
        <v>0.0098598255345229</v>
      </c>
      <c r="BP67" s="0" t="n">
        <v>0.0044941036223372</v>
      </c>
      <c r="BQ67" s="0" t="n">
        <v>0.0334453798628064</v>
      </c>
      <c r="BR67" s="0" t="n">
        <v>0.0163258930730925</v>
      </c>
      <c r="BS67" s="0" t="n">
        <v>-0.0133325858542996</v>
      </c>
      <c r="BT67" s="0" t="n">
        <v>0.0175459891081238</v>
      </c>
      <c r="BU67" s="0" t="n">
        <v>0.023570388049991</v>
      </c>
      <c r="BV67" s="0" t="n">
        <v>0.0056486835468993</v>
      </c>
      <c r="BW67" s="0" t="n">
        <v>0.0063512949090369</v>
      </c>
      <c r="BX67" s="0" t="n">
        <v>-4.88154814264246E-005</v>
      </c>
      <c r="BY67" s="0" t="n">
        <v>0.0052796888346333</v>
      </c>
      <c r="BZ67" s="0" t="n">
        <v>0.0108143150941978</v>
      </c>
      <c r="CA67" s="0" t="n">
        <v>0.0235112301289675</v>
      </c>
      <c r="CB67" s="0" t="n">
        <v>0.0003057151565872</v>
      </c>
      <c r="CC67" s="0" t="n">
        <v>0.008290580201164</v>
      </c>
      <c r="CD67" s="0" t="n">
        <v>0.0100837140494135</v>
      </c>
      <c r="CE67" s="0" t="n">
        <v>0.0207230746512547</v>
      </c>
      <c r="CF67" s="0" t="n">
        <v>-0.0108709464497866</v>
      </c>
      <c r="CG67" s="0" t="n">
        <v>0.0095254158660717</v>
      </c>
      <c r="CH67" s="0" t="n">
        <v>0.0284088383901956</v>
      </c>
      <c r="CI67" s="0" t="n">
        <v>-0.0159010896132878</v>
      </c>
      <c r="CJ67" s="0" t="n">
        <v>-0.0127580652787768</v>
      </c>
      <c r="CK67" s="0" t="n">
        <v>0.0036498704811851</v>
      </c>
      <c r="CL67" s="0" t="n">
        <v>0.0067022408563933</v>
      </c>
      <c r="CM67" s="0" t="n">
        <v>0.0118596744983696</v>
      </c>
      <c r="CN67" s="0" t="n">
        <v>0.0193383643448055</v>
      </c>
      <c r="CO67" s="0" t="n">
        <v>0.0219715759358054</v>
      </c>
      <c r="CP67" s="0" t="n">
        <v>0.0065374563818387</v>
      </c>
      <c r="CQ67" s="0" t="n">
        <v>0.026307595365952</v>
      </c>
      <c r="CR67" s="0" t="n">
        <v>0.0257727596014915</v>
      </c>
      <c r="CS67" s="0" t="n">
        <v>0.0332477719324186</v>
      </c>
      <c r="CT67" s="0" t="n">
        <v>0.0140954979488963</v>
      </c>
      <c r="CU67" s="0" t="n">
        <v>0.0149197272914902</v>
      </c>
      <c r="CV67" s="0" t="n">
        <v>0.0236916156188195</v>
      </c>
      <c r="CW67" s="0" t="n">
        <v>0.0147102456023485</v>
      </c>
      <c r="CX67" s="0" t="n">
        <v>0.0214482053751998</v>
      </c>
      <c r="CY67" s="0" t="n">
        <v>0.0278794117817239</v>
      </c>
      <c r="CZ67" s="0" t="n">
        <v>0.0066371326798075</v>
      </c>
      <c r="DA67" s="0" t="n">
        <v>0.0007629216976151</v>
      </c>
      <c r="DB67" s="0" t="n">
        <v>0.0268283796305208</v>
      </c>
      <c r="DC67" s="0" t="n">
        <v>0.0521702525628955</v>
      </c>
      <c r="DD67" s="0" t="n">
        <v>0.0207400684622807</v>
      </c>
      <c r="DE67" s="0" t="n">
        <v>0.0241921996559805</v>
      </c>
      <c r="DF67" s="0" t="n">
        <v>-0.0194783559017634</v>
      </c>
      <c r="DG67" s="0" t="n">
        <v>0.0257447711662734</v>
      </c>
      <c r="DH67" s="0" t="n">
        <v>0.0288005398688336</v>
      </c>
      <c r="DI67" s="0" t="n">
        <v>0.034923671406432</v>
      </c>
      <c r="DJ67" s="0" t="n">
        <v>0.0207032805771849</v>
      </c>
      <c r="DK67" s="0" t="n">
        <v>0.0353373306318317</v>
      </c>
      <c r="DL67" s="0" t="n">
        <v>0.0269223580180878</v>
      </c>
      <c r="DM67" s="0" t="n">
        <v>0.0326637287034552</v>
      </c>
      <c r="DN67" s="0" t="n">
        <v>-0.0125364205615719</v>
      </c>
      <c r="DO67" s="0" t="n">
        <v>0.030345237519329</v>
      </c>
      <c r="DP67" s="0" t="n">
        <v>0.0221867450113734</v>
      </c>
      <c r="DQ67" s="0" t="n">
        <v>0.0169178869662575</v>
      </c>
      <c r="DR67" s="0" t="n">
        <v>0.0130013901292914</v>
      </c>
      <c r="DS67" s="0" t="n">
        <v>-0.0002289518358007</v>
      </c>
      <c r="DT67" s="0" t="n">
        <v>-0.0044547214856693</v>
      </c>
      <c r="DU67" s="0" t="n">
        <v>0.028702321437851</v>
      </c>
      <c r="DV67" s="0" t="n">
        <v>0.0088022804051193</v>
      </c>
      <c r="DW67" s="0" t="n">
        <v>0.0159430895330078</v>
      </c>
      <c r="DX67" s="0" t="n">
        <v>0.0415387939039574</v>
      </c>
      <c r="DY67" s="0" t="n">
        <v>0.0259016161848112</v>
      </c>
      <c r="DZ67" s="0" t="n">
        <v>0.0083522650768972</v>
      </c>
      <c r="EA67" s="0" t="n">
        <v>0.0394250960675087</v>
      </c>
      <c r="EB67" s="0" t="n">
        <v>0.0352717332018427</v>
      </c>
      <c r="EC67" s="0" t="n">
        <v>0.0052187351254638</v>
      </c>
      <c r="ED67" s="0" t="n">
        <v>0.0387070879231624</v>
      </c>
      <c r="EE67" s="0" t="n">
        <v>0.0488639514580646</v>
      </c>
      <c r="EF67" s="0" t="n">
        <v>0.0249675539828797</v>
      </c>
      <c r="EG67" s="0" t="n">
        <v>0.0389591960989697</v>
      </c>
      <c r="EH67" s="0" t="n">
        <v>-0.01273717390927</v>
      </c>
      <c r="EI67" s="0" t="n">
        <v>0.0405306205124399</v>
      </c>
      <c r="EJ67" s="0" t="n">
        <v>0.0473124944207036</v>
      </c>
      <c r="EK67" s="0" t="n">
        <v>0.0399227464910388</v>
      </c>
      <c r="EL67" s="0" t="n">
        <v>0.0569200504220922</v>
      </c>
      <c r="EM67" s="0" t="n">
        <v>-0.0176759268842604</v>
      </c>
      <c r="EN67" s="0" t="n">
        <v>0.028905200159695</v>
      </c>
      <c r="EO67" s="0" t="n">
        <v>-0.0871699428692598</v>
      </c>
      <c r="EP67" s="72" t="n">
        <f aca="false">SUMPRODUCT(B67:EO67,$B$5:$EO$5)</f>
        <v>0.038672745320869</v>
      </c>
      <c r="EQ67" s="72" t="n">
        <f aca="false">SUMIF('Mi portafolio'!$A$8:$A$19,$A67,'Mi portafolio'!$B$8:$B$19)</f>
        <v>0</v>
      </c>
    </row>
    <row r="68" customFormat="false" ht="15" hidden="false" customHeight="false" outlineLevel="0" collapsed="false">
      <c r="A68" s="71" t="s">
        <v>290</v>
      </c>
      <c r="B68" s="0" t="n">
        <v>0.0047766057258676</v>
      </c>
      <c r="C68" s="0" t="n">
        <v>-4.97597993576549E-005</v>
      </c>
      <c r="D68" s="0" t="n">
        <v>-0.0032796004603577</v>
      </c>
      <c r="E68" s="0" t="n">
        <v>0.0065424047326628</v>
      </c>
      <c r="F68" s="0" t="n">
        <v>0.0070662462784</v>
      </c>
      <c r="G68" s="0" t="n">
        <v>0.0051718805706116</v>
      </c>
      <c r="H68" s="0" t="n">
        <v>0.0083581279373152</v>
      </c>
      <c r="I68" s="0" t="n">
        <v>0.0080769055656285</v>
      </c>
      <c r="J68" s="0" t="n">
        <v>0.011413529762344</v>
      </c>
      <c r="K68" s="0" t="n">
        <v>0.0133912776124654</v>
      </c>
      <c r="L68" s="0" t="n">
        <v>0.0056717139709316</v>
      </c>
      <c r="M68" s="0" t="n">
        <v>0.0252492534670574</v>
      </c>
      <c r="N68" s="0" t="n">
        <v>0.0140622664222109</v>
      </c>
      <c r="O68" s="0" t="n">
        <v>0.0108632206853044</v>
      </c>
      <c r="P68" s="0" t="n">
        <v>-0.0013379385350156</v>
      </c>
      <c r="Q68" s="0" t="n">
        <v>0.0027379807819202</v>
      </c>
      <c r="R68" s="0" t="n">
        <v>0.0090306946316318</v>
      </c>
      <c r="S68" s="0" t="n">
        <v>0.0048436458675159</v>
      </c>
      <c r="T68" s="0" t="n">
        <v>0.0215930520216383</v>
      </c>
      <c r="U68" s="0" t="n">
        <v>0.0136027865735189</v>
      </c>
      <c r="V68" s="0" t="n">
        <v>0.0107786218471773</v>
      </c>
      <c r="W68" s="0" t="n">
        <v>0.0036059872976642</v>
      </c>
      <c r="X68" s="0" t="n">
        <v>0.0247862191896141</v>
      </c>
      <c r="Y68" s="0" t="n">
        <v>0.0020422082987582</v>
      </c>
      <c r="Z68" s="0" t="n">
        <v>0.0133941781750984</v>
      </c>
      <c r="AA68" s="0" t="n">
        <v>0.0085160563374039</v>
      </c>
      <c r="AB68" s="0" t="n">
        <v>0.0007423096756726</v>
      </c>
      <c r="AC68" s="0" t="n">
        <v>-0.0001611001639779</v>
      </c>
      <c r="AD68" s="0" t="n">
        <v>0.0128465651213388</v>
      </c>
      <c r="AE68" s="0" t="n">
        <v>0.0119192617755148</v>
      </c>
      <c r="AF68" s="0" t="n">
        <v>0.0104008266681768</v>
      </c>
      <c r="AG68" s="0" t="n">
        <v>0.0043993120526859</v>
      </c>
      <c r="AH68" s="0" t="n">
        <v>0.0032380629027867</v>
      </c>
      <c r="AI68" s="0" t="n">
        <v>-0.0034340404781885</v>
      </c>
      <c r="AJ68" s="0" t="n">
        <v>0.0103998632447761</v>
      </c>
      <c r="AK68" s="0" t="n">
        <v>0.0170316312321663</v>
      </c>
      <c r="AL68" s="0" t="n">
        <v>0.015943281019491</v>
      </c>
      <c r="AM68" s="0" t="n">
        <v>0.0077874886293548</v>
      </c>
      <c r="AN68" s="0" t="n">
        <v>0.0252743905815511</v>
      </c>
      <c r="AO68" s="0" t="n">
        <v>0.0127173778004504</v>
      </c>
      <c r="AP68" s="0" t="n">
        <v>0.0154295958487837</v>
      </c>
      <c r="AQ68" s="0" t="n">
        <v>-0.0038182945090983</v>
      </c>
      <c r="AR68" s="0" t="n">
        <v>0.0264497176641554</v>
      </c>
      <c r="AS68" s="0" t="n">
        <v>0.0219029461524676</v>
      </c>
      <c r="AT68" s="0" t="n">
        <v>0.0224107482657218</v>
      </c>
      <c r="AU68" s="0" t="n">
        <v>0.006440339543191</v>
      </c>
      <c r="AV68" s="0" t="n">
        <v>0.0104222328782418</v>
      </c>
      <c r="AW68" s="0" t="n">
        <v>0.021991948779943</v>
      </c>
      <c r="AX68" s="0" t="n">
        <v>0.0112759800819082</v>
      </c>
      <c r="AY68" s="0" t="n">
        <v>0.0144478296197459</v>
      </c>
      <c r="AZ68" s="0" t="n">
        <v>0.0143533056393212</v>
      </c>
      <c r="BA68" s="0" t="n">
        <v>0.03243493923111</v>
      </c>
      <c r="BB68" s="0" t="n">
        <v>0.0339062973803188</v>
      </c>
      <c r="BC68" s="0" t="n">
        <v>0.0051944291691185</v>
      </c>
      <c r="BD68" s="0" t="n">
        <v>0.0219884887268038</v>
      </c>
      <c r="BE68" s="0" t="n">
        <v>0.0160795679890996</v>
      </c>
      <c r="BF68" s="0" t="n">
        <v>0.0216353594632161</v>
      </c>
      <c r="BG68" s="0" t="n">
        <v>0.0284339358008243</v>
      </c>
      <c r="BH68" s="0" t="n">
        <v>0.0110082717277086</v>
      </c>
      <c r="BI68" s="0" t="n">
        <v>0.0121548681934605</v>
      </c>
      <c r="BJ68" s="0" t="n">
        <v>0.0025911747204993</v>
      </c>
      <c r="BK68" s="0" t="n">
        <v>0.009361017533367</v>
      </c>
      <c r="BL68" s="0" t="n">
        <v>0.100650579753539</v>
      </c>
      <c r="BM68" s="0" t="n">
        <v>0.0200289617707536</v>
      </c>
      <c r="BN68" s="0" t="n">
        <v>0.0121646808295677</v>
      </c>
      <c r="BO68" s="0" t="n">
        <v>0.0180175753832304</v>
      </c>
      <c r="BP68" s="0" t="n">
        <v>0.0031070646769309</v>
      </c>
      <c r="BQ68" s="0" t="n">
        <v>0.0334839183587705</v>
      </c>
      <c r="BR68" s="0" t="n">
        <v>0.0246366944123564</v>
      </c>
      <c r="BS68" s="0" t="n">
        <v>-0.0017218969911766</v>
      </c>
      <c r="BT68" s="0" t="n">
        <v>0.0379447764917488</v>
      </c>
      <c r="BU68" s="0" t="n">
        <v>0.0146161279752122</v>
      </c>
      <c r="BV68" s="0" t="n">
        <v>0.0196905248120959</v>
      </c>
      <c r="BW68" s="0" t="n">
        <v>0.0229676230940081</v>
      </c>
      <c r="BX68" s="0" t="n">
        <v>0.0129865083048989</v>
      </c>
      <c r="BY68" s="0" t="n">
        <v>0.0393277381706568</v>
      </c>
      <c r="BZ68" s="0" t="n">
        <v>0.0405243517148154</v>
      </c>
      <c r="CA68" s="0" t="n">
        <v>0.007028932807646</v>
      </c>
      <c r="CB68" s="0" t="n">
        <v>-0.0030957977057489</v>
      </c>
      <c r="CC68" s="0" t="n">
        <v>0.0146922368300262</v>
      </c>
      <c r="CD68" s="0" t="n">
        <v>0.0221654503363983</v>
      </c>
      <c r="CE68" s="0" t="n">
        <v>0.025848707339566</v>
      </c>
      <c r="CF68" s="0" t="n">
        <v>-0.0025044833171632</v>
      </c>
      <c r="CG68" s="0" t="n">
        <v>0.0268384730231542</v>
      </c>
      <c r="CH68" s="0" t="n">
        <v>0.0501530388903624</v>
      </c>
      <c r="CI68" s="0" t="n">
        <v>-0.0004595544202524</v>
      </c>
      <c r="CJ68" s="0" t="n">
        <v>0.0026598115135067</v>
      </c>
      <c r="CK68" s="0" t="n">
        <v>0.0191396480838589</v>
      </c>
      <c r="CL68" s="0" t="n">
        <v>0.0345630205812913</v>
      </c>
      <c r="CM68" s="0" t="n">
        <v>0.0382330024548796</v>
      </c>
      <c r="CN68" s="0" t="n">
        <v>0.0075039465848427</v>
      </c>
      <c r="CO68" s="0" t="n">
        <v>0.013278379352106</v>
      </c>
      <c r="CP68" s="0" t="n">
        <v>0.0215427696787519</v>
      </c>
      <c r="CQ68" s="0" t="n">
        <v>0.042683545655073</v>
      </c>
      <c r="CR68" s="0" t="n">
        <v>0.049161802417179</v>
      </c>
      <c r="CS68" s="0" t="n">
        <v>0.0490367795468852</v>
      </c>
      <c r="CT68" s="0" t="n">
        <v>0.0306199668752278</v>
      </c>
      <c r="CU68" s="0" t="n">
        <v>0.0334889374086855</v>
      </c>
      <c r="CV68" s="0" t="n">
        <v>0.0150154189566031</v>
      </c>
      <c r="CW68" s="0" t="n">
        <v>0.0252271959693846</v>
      </c>
      <c r="CX68" s="0" t="n">
        <v>0.0434130597835717</v>
      </c>
      <c r="CY68" s="0" t="n">
        <v>0.0473582934251771</v>
      </c>
      <c r="CZ68" s="0" t="n">
        <v>0.0124893355308308</v>
      </c>
      <c r="DA68" s="0" t="n">
        <v>0.0132521261597673</v>
      </c>
      <c r="DB68" s="0" t="n">
        <v>0.0375829660136969</v>
      </c>
      <c r="DC68" s="0" t="n">
        <v>0.0340171889916193</v>
      </c>
      <c r="DD68" s="0" t="n">
        <v>0.0324398256854239</v>
      </c>
      <c r="DE68" s="0" t="n">
        <v>0.078825682830621</v>
      </c>
      <c r="DF68" s="0" t="n">
        <v>0.0024834564056691</v>
      </c>
      <c r="DG68" s="0" t="n">
        <v>0.0687481662262588</v>
      </c>
      <c r="DH68" s="0" t="n">
        <v>0.0339994590537143</v>
      </c>
      <c r="DI68" s="0" t="n">
        <v>0.0426845755149481</v>
      </c>
      <c r="DJ68" s="0" t="n">
        <v>0.0572770644292796</v>
      </c>
      <c r="DK68" s="0" t="n">
        <v>0.0569027154853517</v>
      </c>
      <c r="DL68" s="0" t="n">
        <v>0.0432337826768934</v>
      </c>
      <c r="DM68" s="0" t="n">
        <v>0.0603842051935192</v>
      </c>
      <c r="DN68" s="0" t="n">
        <v>0.0356570820975913</v>
      </c>
      <c r="DO68" s="0" t="n">
        <v>0.0616642962400108</v>
      </c>
      <c r="DP68" s="0" t="n">
        <v>0.0589723981227029</v>
      </c>
      <c r="DQ68" s="0" t="n">
        <v>0.0484048885837233</v>
      </c>
      <c r="DR68" s="0" t="n">
        <v>0.0778147148315237</v>
      </c>
      <c r="DS68" s="0" t="n">
        <v>0.0040367624652539</v>
      </c>
      <c r="DT68" s="0" t="n">
        <v>0.0361615003279394</v>
      </c>
      <c r="DU68" s="0" t="n">
        <v>0.0419189350341889</v>
      </c>
      <c r="DV68" s="0" t="n">
        <v>0.0146552614409251</v>
      </c>
      <c r="DW68" s="0" t="n">
        <v>0.0225621725106065</v>
      </c>
      <c r="DX68" s="0" t="n">
        <v>0.0673027886627489</v>
      </c>
      <c r="DY68" s="0" t="n">
        <v>0.0377786548094518</v>
      </c>
      <c r="DZ68" s="0" t="n">
        <v>0.0259845333988981</v>
      </c>
      <c r="EA68" s="0" t="n">
        <v>0.0662878955762236</v>
      </c>
      <c r="EB68" s="0" t="n">
        <v>0.0359569419112003</v>
      </c>
      <c r="EC68" s="0" t="n">
        <v>0.0281095034592774</v>
      </c>
      <c r="ED68" s="0" t="n">
        <v>0.0332486754440524</v>
      </c>
      <c r="EE68" s="0" t="n">
        <v>0.0857848507985526</v>
      </c>
      <c r="EF68" s="0" t="n">
        <v>0.102816485557716</v>
      </c>
      <c r="EG68" s="0" t="n">
        <v>0.0833272803128067</v>
      </c>
      <c r="EH68" s="0" t="n">
        <v>0.0055900372787988</v>
      </c>
      <c r="EI68" s="0" t="n">
        <v>0.0821615658133286</v>
      </c>
      <c r="EJ68" s="0" t="n">
        <v>0.0402638361565525</v>
      </c>
      <c r="EK68" s="0" t="n">
        <v>0.0807771323467672</v>
      </c>
      <c r="EL68" s="0" t="n">
        <v>0.0969547509489786</v>
      </c>
      <c r="EM68" s="0" t="n">
        <v>0.0361901617193383</v>
      </c>
      <c r="EN68" s="0" t="n">
        <v>0.0552559174447508</v>
      </c>
      <c r="EO68" s="0" t="n">
        <v>0.0800001835297448</v>
      </c>
      <c r="EP68" s="72" t="n">
        <f aca="false">SUMPRODUCT(B68:EO68,$B$5:$EO$5)</f>
        <v>0.076301566230806</v>
      </c>
      <c r="EQ68" s="72" t="n">
        <f aca="false">SUMIF('Mi portafolio'!$A$8:$A$19,$A68,'Mi portafolio'!$B$8:$B$19)</f>
        <v>0</v>
      </c>
    </row>
    <row r="69" customFormat="false" ht="15" hidden="false" customHeight="false" outlineLevel="0" collapsed="false">
      <c r="A69" s="71" t="s">
        <v>291</v>
      </c>
      <c r="B69" s="0" t="n">
        <v>0.0092512754192947</v>
      </c>
      <c r="C69" s="0" t="n">
        <v>0.0021436366413609</v>
      </c>
      <c r="D69" s="0" t="n">
        <v>0.0029661152213403</v>
      </c>
      <c r="E69" s="0" t="n">
        <v>0.0138075387183388</v>
      </c>
      <c r="F69" s="0" t="n">
        <v>0.0236433358318223</v>
      </c>
      <c r="G69" s="0" t="n">
        <v>-0.0046675525388053</v>
      </c>
      <c r="H69" s="0" t="n">
        <v>0.0036283340432188</v>
      </c>
      <c r="I69" s="0" t="n">
        <v>0.0228374990424049</v>
      </c>
      <c r="J69" s="0" t="n">
        <v>0.0135211680097525</v>
      </c>
      <c r="K69" s="0" t="n">
        <v>0.0225242906985903</v>
      </c>
      <c r="L69" s="0" t="n">
        <v>0.008609450727661</v>
      </c>
      <c r="M69" s="0" t="n">
        <v>0.0223076834498351</v>
      </c>
      <c r="N69" s="0" t="n">
        <v>0.017172445965329</v>
      </c>
      <c r="O69" s="0" t="n">
        <v>0.0035127389526963</v>
      </c>
      <c r="P69" s="0" t="n">
        <v>0.0285747251987285</v>
      </c>
      <c r="Q69" s="0" t="n">
        <v>0.0005281087559303</v>
      </c>
      <c r="R69" s="0" t="n">
        <v>0.0299308909787125</v>
      </c>
      <c r="S69" s="0" t="n">
        <v>0.0080540574776296</v>
      </c>
      <c r="T69" s="0" t="n">
        <v>0.0154105815908535</v>
      </c>
      <c r="U69" s="0" t="n">
        <v>0.0121453337457175</v>
      </c>
      <c r="V69" s="0" t="n">
        <v>0.0084551682568116</v>
      </c>
      <c r="W69" s="0" t="n">
        <v>0.0063140228295667</v>
      </c>
      <c r="X69" s="0" t="n">
        <v>0.0146078424724716</v>
      </c>
      <c r="Y69" s="0" t="n">
        <v>0.0155873277266876</v>
      </c>
      <c r="Z69" s="0" t="n">
        <v>0.002592987098011</v>
      </c>
      <c r="AA69" s="0" t="n">
        <v>0.0130491946973099</v>
      </c>
      <c r="AB69" s="0" t="n">
        <v>0.0178221790269975</v>
      </c>
      <c r="AC69" s="0" t="n">
        <v>-0.0015010353275102</v>
      </c>
      <c r="AD69" s="0" t="n">
        <v>0.0024783151528938</v>
      </c>
      <c r="AE69" s="0" t="n">
        <v>0.0025772523383266</v>
      </c>
      <c r="AF69" s="0" t="n">
        <v>0.0015227923530435</v>
      </c>
      <c r="AG69" s="0" t="n">
        <v>0.0253663415063162</v>
      </c>
      <c r="AH69" s="0" t="n">
        <v>0.0282374392604058</v>
      </c>
      <c r="AI69" s="0" t="n">
        <v>0.009078663306992</v>
      </c>
      <c r="AJ69" s="0" t="n">
        <v>-0.0062083932051874</v>
      </c>
      <c r="AK69" s="0" t="n">
        <v>0.0039357659774428</v>
      </c>
      <c r="AL69" s="0" t="n">
        <v>0.0205415588589429</v>
      </c>
      <c r="AM69" s="0" t="n">
        <v>0.0058594918285477</v>
      </c>
      <c r="AN69" s="0" t="n">
        <v>0.0375638327555126</v>
      </c>
      <c r="AO69" s="0" t="n">
        <v>0.0182231827778461</v>
      </c>
      <c r="AP69" s="0" t="n">
        <v>0.0246714110342562</v>
      </c>
      <c r="AQ69" s="0" t="n">
        <v>0.0047749558686785</v>
      </c>
      <c r="AR69" s="0" t="n">
        <v>0.0189077325391103</v>
      </c>
      <c r="AS69" s="0" t="n">
        <v>0.0034885750059814</v>
      </c>
      <c r="AT69" s="0" t="n">
        <v>0.0224600349737905</v>
      </c>
      <c r="AU69" s="0" t="n">
        <v>0.0309058760428966</v>
      </c>
      <c r="AV69" s="0" t="n">
        <v>0.0111856703336029</v>
      </c>
      <c r="AW69" s="0" t="n">
        <v>0.0025578065679466</v>
      </c>
      <c r="AX69" s="0" t="n">
        <v>0.0254632813456197</v>
      </c>
      <c r="AY69" s="0" t="n">
        <v>0.0370119273914592</v>
      </c>
      <c r="AZ69" s="0" t="n">
        <v>0.0087313878840112</v>
      </c>
      <c r="BA69" s="0" t="n">
        <v>0.0260411698342236</v>
      </c>
      <c r="BB69" s="0" t="n">
        <v>0.0136598617854612</v>
      </c>
      <c r="BC69" s="0" t="n">
        <v>-0.0052764711314975</v>
      </c>
      <c r="BD69" s="0" t="n">
        <v>0.000644245938374</v>
      </c>
      <c r="BE69" s="0" t="n">
        <v>0.0280681378766464</v>
      </c>
      <c r="BF69" s="0" t="n">
        <v>0.0013133672629937</v>
      </c>
      <c r="BG69" s="0" t="n">
        <v>0.0181353370201094</v>
      </c>
      <c r="BH69" s="0" t="n">
        <v>0.0117630946593161</v>
      </c>
      <c r="BI69" s="0" t="n">
        <v>0.0085369068881643</v>
      </c>
      <c r="BJ69" s="0" t="n">
        <v>-0.0103783560028611</v>
      </c>
      <c r="BK69" s="0" t="n">
        <v>0.0040008173374042</v>
      </c>
      <c r="BL69" s="0" t="n">
        <v>0.0200289617707536</v>
      </c>
      <c r="BM69" s="0" t="n">
        <v>0.102812843090175</v>
      </c>
      <c r="BN69" s="0" t="n">
        <v>0.0176348023214003</v>
      </c>
      <c r="BO69" s="0" t="n">
        <v>0.0137461459516767</v>
      </c>
      <c r="BP69" s="0" t="n">
        <v>0.0126591686683536</v>
      </c>
      <c r="BQ69" s="0" t="n">
        <v>0.0093813933594405</v>
      </c>
      <c r="BR69" s="0" t="n">
        <v>0.0336904727326547</v>
      </c>
      <c r="BS69" s="0" t="n">
        <v>0.0058796439097059</v>
      </c>
      <c r="BT69" s="0" t="n">
        <v>0.0142365174339332</v>
      </c>
      <c r="BU69" s="0" t="n">
        <v>0.0076033650823977</v>
      </c>
      <c r="BV69" s="0" t="n">
        <v>0.0208564580575163</v>
      </c>
      <c r="BW69" s="0" t="n">
        <v>0.0257417857421817</v>
      </c>
      <c r="BX69" s="0" t="n">
        <v>0.0180814615626616</v>
      </c>
      <c r="BY69" s="0" t="n">
        <v>0.0351767674849828</v>
      </c>
      <c r="BZ69" s="0" t="n">
        <v>0.019610665446944</v>
      </c>
      <c r="CA69" s="0" t="n">
        <v>0.0035834713654024</v>
      </c>
      <c r="CB69" s="0" t="n">
        <v>7.11528803761895E-005</v>
      </c>
      <c r="CC69" s="0" t="n">
        <v>0.0172974041379442</v>
      </c>
      <c r="CD69" s="0" t="n">
        <v>0.0291747764941139</v>
      </c>
      <c r="CE69" s="0" t="n">
        <v>0.0150944047110253</v>
      </c>
      <c r="CF69" s="0" t="n">
        <v>0.0055158084140909</v>
      </c>
      <c r="CG69" s="0" t="n">
        <v>0.0348333008513058</v>
      </c>
      <c r="CH69" s="0" t="n">
        <v>0.0033716350967072</v>
      </c>
      <c r="CI69" s="0" t="n">
        <v>0.0081097557173429</v>
      </c>
      <c r="CJ69" s="0" t="n">
        <v>0.0227355978158168</v>
      </c>
      <c r="CK69" s="0" t="n">
        <v>0.0469910324751278</v>
      </c>
      <c r="CL69" s="0" t="n">
        <v>0.033628294249171</v>
      </c>
      <c r="CM69" s="0" t="n">
        <v>0.0037394112551416</v>
      </c>
      <c r="CN69" s="0" t="n">
        <v>-0.0050375791666304</v>
      </c>
      <c r="CO69" s="0" t="n">
        <v>0.0174509413187135</v>
      </c>
      <c r="CP69" s="0" t="n">
        <v>0.0197803541403771</v>
      </c>
      <c r="CQ69" s="0" t="n">
        <v>0.0419897102809986</v>
      </c>
      <c r="CR69" s="0" t="n">
        <v>0.0079305646644846</v>
      </c>
      <c r="CS69" s="0" t="n">
        <v>0.011957659433916</v>
      </c>
      <c r="CT69" s="0" t="n">
        <v>0.0230254926730623</v>
      </c>
      <c r="CU69" s="0" t="n">
        <v>0.0134475632313307</v>
      </c>
      <c r="CV69" s="0" t="n">
        <v>0.0155250275381761</v>
      </c>
      <c r="CW69" s="0" t="n">
        <v>0.025713918573065</v>
      </c>
      <c r="CX69" s="0" t="n">
        <v>0.0181934757719566</v>
      </c>
      <c r="CY69" s="0" t="n">
        <v>0.0412979944536536</v>
      </c>
      <c r="CZ69" s="0" t="n">
        <v>0.0211500830774548</v>
      </c>
      <c r="DA69" s="0" t="n">
        <v>0.0323476975279483</v>
      </c>
      <c r="DB69" s="0" t="n">
        <v>0.0097193529421196</v>
      </c>
      <c r="DC69" s="0" t="n">
        <v>0.01707535512356</v>
      </c>
      <c r="DD69" s="0" t="n">
        <v>0.030600002937178</v>
      </c>
      <c r="DE69" s="0" t="n">
        <v>0.0128108111955317</v>
      </c>
      <c r="DF69" s="0" t="n">
        <v>0.0223504377191092</v>
      </c>
      <c r="DG69" s="0" t="n">
        <v>0.0028372501139555</v>
      </c>
      <c r="DH69" s="0" t="n">
        <v>0.0040119490311029</v>
      </c>
      <c r="DI69" s="0" t="n">
        <v>0.0439790249550482</v>
      </c>
      <c r="DJ69" s="0" t="n">
        <v>0.0506001530636626</v>
      </c>
      <c r="DK69" s="0" t="n">
        <v>0.0475807196044368</v>
      </c>
      <c r="DL69" s="0" t="n">
        <v>-0.0114193528159005</v>
      </c>
      <c r="DM69" s="0" t="n">
        <v>0.0483751569182118</v>
      </c>
      <c r="DN69" s="0" t="n">
        <v>0.0535223184574015</v>
      </c>
      <c r="DO69" s="0" t="n">
        <v>0.0175084755510221</v>
      </c>
      <c r="DP69" s="0" t="n">
        <v>0.0500939935893596</v>
      </c>
      <c r="DQ69" s="0" t="n">
        <v>0.0160206693014755</v>
      </c>
      <c r="DR69" s="0" t="n">
        <v>0.0127339847104927</v>
      </c>
      <c r="DS69" s="0" t="n">
        <v>0.0264324776999812</v>
      </c>
      <c r="DT69" s="0" t="n">
        <v>-0.0024981411878084</v>
      </c>
      <c r="DU69" s="0" t="n">
        <v>0.0319801465294725</v>
      </c>
      <c r="DV69" s="0" t="n">
        <v>0.0155978402547814</v>
      </c>
      <c r="DW69" s="0" t="n">
        <v>0.0311044933197932</v>
      </c>
      <c r="DX69" s="0" t="n">
        <v>-0.000400814690674</v>
      </c>
      <c r="DY69" s="0" t="n">
        <v>0.0491320535311885</v>
      </c>
      <c r="DZ69" s="0" t="n">
        <v>0.0062032887375681</v>
      </c>
      <c r="EA69" s="0" t="n">
        <v>0.0130012595838933</v>
      </c>
      <c r="EB69" s="0" t="n">
        <v>0.0547295809343074</v>
      </c>
      <c r="EC69" s="0" t="n">
        <v>-0.0317872028513454</v>
      </c>
      <c r="ED69" s="0" t="n">
        <v>0.0383454572765249</v>
      </c>
      <c r="EE69" s="0" t="n">
        <v>0.0008452381921608</v>
      </c>
      <c r="EF69" s="0" t="n">
        <v>0.0214575752448848</v>
      </c>
      <c r="EG69" s="0" t="n">
        <v>0.0003629750398859</v>
      </c>
      <c r="EH69" s="0" t="n">
        <v>0.0345144749842333</v>
      </c>
      <c r="EI69" s="0" t="n">
        <v>-0.0193892826622303</v>
      </c>
      <c r="EJ69" s="0" t="n">
        <v>0.0348324166476838</v>
      </c>
      <c r="EK69" s="0" t="n">
        <v>0.0314582276920735</v>
      </c>
      <c r="EL69" s="0" t="n">
        <v>0.018963886929949</v>
      </c>
      <c r="EM69" s="0" t="n">
        <v>0.0229326368046619</v>
      </c>
      <c r="EN69" s="0" t="n">
        <v>0.0838947418288174</v>
      </c>
      <c r="EO69" s="0" t="n">
        <v>0.116779085236018</v>
      </c>
      <c r="EP69" s="72" t="n">
        <f aca="false">SUMPRODUCT(B69:EO69,$B$5:$EO$5)</f>
        <v>-0.00920628005999091</v>
      </c>
      <c r="EQ69" s="72" t="n">
        <f aca="false">SUMIF('Mi portafolio'!$A$8:$A$19,$A69,'Mi portafolio'!$B$8:$B$19)</f>
        <v>0</v>
      </c>
    </row>
    <row r="70" customFormat="false" ht="15" hidden="false" customHeight="false" outlineLevel="0" collapsed="false">
      <c r="A70" s="71" t="s">
        <v>293</v>
      </c>
      <c r="B70" s="0" t="n">
        <v>0.014713886405607</v>
      </c>
      <c r="C70" s="0" t="n">
        <v>0.0018080973810833</v>
      </c>
      <c r="D70" s="0" t="n">
        <v>-0.0070730078105696</v>
      </c>
      <c r="E70" s="0" t="n">
        <v>0.0051297722473202</v>
      </c>
      <c r="F70" s="0" t="n">
        <v>0.0135738539591776</v>
      </c>
      <c r="G70" s="0" t="n">
        <v>0.001435399069115</v>
      </c>
      <c r="H70" s="0" t="n">
        <v>-0.0051304744609975</v>
      </c>
      <c r="I70" s="0" t="n">
        <v>0.008986719289922</v>
      </c>
      <c r="J70" s="0" t="n">
        <v>0.0135494319300446</v>
      </c>
      <c r="K70" s="0" t="n">
        <v>0.0154572789640539</v>
      </c>
      <c r="L70" s="0" t="n">
        <v>0.0064942084541122</v>
      </c>
      <c r="M70" s="0" t="n">
        <v>0.0020544750403171</v>
      </c>
      <c r="N70" s="0" t="n">
        <v>0.0044328597560667</v>
      </c>
      <c r="O70" s="0" t="n">
        <v>0.0087337719538989</v>
      </c>
      <c r="P70" s="0" t="n">
        <v>0.0175214984109144</v>
      </c>
      <c r="Q70" s="0" t="n">
        <v>0.0022823999394652</v>
      </c>
      <c r="R70" s="0" t="n">
        <v>0.0123291543325517</v>
      </c>
      <c r="S70" s="0" t="n">
        <v>0.0075110083001064</v>
      </c>
      <c r="T70" s="0" t="n">
        <v>0.0094038868523004</v>
      </c>
      <c r="U70" s="0" t="n">
        <v>0.0038477918717737</v>
      </c>
      <c r="V70" s="0" t="n">
        <v>0.0011508249984377</v>
      </c>
      <c r="W70" s="0" t="n">
        <v>0.0124718762045586</v>
      </c>
      <c r="X70" s="0" t="n">
        <v>0.0148946242118062</v>
      </c>
      <c r="Y70" s="0" t="n">
        <v>0.0163022609351304</v>
      </c>
      <c r="Z70" s="0" t="n">
        <v>0.0006664705417822</v>
      </c>
      <c r="AA70" s="0" t="n">
        <v>0.0015452239257961</v>
      </c>
      <c r="AB70" s="0" t="n">
        <v>0.0150238136997645</v>
      </c>
      <c r="AC70" s="0" t="n">
        <v>-0.0014009564559091</v>
      </c>
      <c r="AD70" s="0" t="n">
        <v>0.0084129236971593</v>
      </c>
      <c r="AE70" s="0" t="n">
        <v>-0.0036106965950361</v>
      </c>
      <c r="AF70" s="0" t="n">
        <v>0.001962950009091</v>
      </c>
      <c r="AG70" s="0" t="n">
        <v>0.0184852244474838</v>
      </c>
      <c r="AH70" s="0" t="n">
        <v>0.0169456375986191</v>
      </c>
      <c r="AI70" s="0" t="n">
        <v>0.0109706273860557</v>
      </c>
      <c r="AJ70" s="0" t="n">
        <v>0.0012102363551877</v>
      </c>
      <c r="AK70" s="0" t="n">
        <v>0.0057074974957539</v>
      </c>
      <c r="AL70" s="0" t="n">
        <v>0.0037673773016899</v>
      </c>
      <c r="AM70" s="0" t="n">
        <v>0.0117658884739847</v>
      </c>
      <c r="AN70" s="0" t="n">
        <v>0.0114372802772311</v>
      </c>
      <c r="AO70" s="0" t="n">
        <v>0.0180989896711598</v>
      </c>
      <c r="AP70" s="0" t="n">
        <v>0.0125638908723259</v>
      </c>
      <c r="AQ70" s="0" t="n">
        <v>0.0101078891070503</v>
      </c>
      <c r="AR70" s="0" t="n">
        <v>0.015018897175408</v>
      </c>
      <c r="AS70" s="0" t="n">
        <v>-0.0019831176468959</v>
      </c>
      <c r="AT70" s="0" t="n">
        <v>0.0116985150987262</v>
      </c>
      <c r="AU70" s="0" t="n">
        <v>0.0181240669202467</v>
      </c>
      <c r="AV70" s="0" t="n">
        <v>0.0037440054807158</v>
      </c>
      <c r="AW70" s="0" t="n">
        <v>0.0046735229403172</v>
      </c>
      <c r="AX70" s="0" t="n">
        <v>0.012632989855413</v>
      </c>
      <c r="AY70" s="0" t="n">
        <v>0.0185570522016482</v>
      </c>
      <c r="AZ70" s="0" t="n">
        <v>-0.0044247874581656</v>
      </c>
      <c r="BA70" s="0" t="n">
        <v>0.0253565565133924</v>
      </c>
      <c r="BB70" s="0" t="n">
        <v>0.0117516922351248</v>
      </c>
      <c r="BC70" s="0" t="n">
        <v>0.0095717190734839</v>
      </c>
      <c r="BD70" s="0" t="n">
        <v>0.0091149640013889</v>
      </c>
      <c r="BE70" s="0" t="n">
        <v>0.0180425659256319</v>
      </c>
      <c r="BF70" s="0" t="n">
        <v>0.0044254291078191</v>
      </c>
      <c r="BG70" s="0" t="n">
        <v>0.0017525465130459</v>
      </c>
      <c r="BH70" s="0" t="n">
        <v>0.0015724595180825</v>
      </c>
      <c r="BI70" s="0" t="n">
        <v>0.0014287484419234</v>
      </c>
      <c r="BJ70" s="0" t="n">
        <v>-0.0073379721916481</v>
      </c>
      <c r="BK70" s="0" t="n">
        <v>0.0021728091678038</v>
      </c>
      <c r="BL70" s="0" t="n">
        <v>0.0121646808295677</v>
      </c>
      <c r="BM70" s="0" t="n">
        <v>0.0176348023214003</v>
      </c>
      <c r="BN70" s="0" t="n">
        <v>0.102292005643498</v>
      </c>
      <c r="BO70" s="0" t="n">
        <v>0.0110584165053541</v>
      </c>
      <c r="BP70" s="0" t="n">
        <v>-0.0031259342237622</v>
      </c>
      <c r="BQ70" s="0" t="n">
        <v>0.0121666717410411</v>
      </c>
      <c r="BR70" s="0" t="n">
        <v>0.0001581140961384</v>
      </c>
      <c r="BS70" s="0" t="n">
        <v>0.0057261072868379</v>
      </c>
      <c r="BT70" s="0" t="n">
        <v>0.0131225197346139</v>
      </c>
      <c r="BU70" s="0" t="n">
        <v>-0.0009951106006857</v>
      </c>
      <c r="BV70" s="0" t="n">
        <v>0.0054521067043398</v>
      </c>
      <c r="BW70" s="0" t="n">
        <v>0.0135681955171195</v>
      </c>
      <c r="BX70" s="0" t="n">
        <v>0.0100231945721438</v>
      </c>
      <c r="BY70" s="0" t="n">
        <v>0.0054668039302904</v>
      </c>
      <c r="BZ70" s="0" t="n">
        <v>0.0236857159391657</v>
      </c>
      <c r="CA70" s="0" t="n">
        <v>0.0013586274091691</v>
      </c>
      <c r="CB70" s="0" t="n">
        <v>0.0055464893942541</v>
      </c>
      <c r="CC70" s="0" t="n">
        <v>0.0723365274749473</v>
      </c>
      <c r="CD70" s="0" t="n">
        <v>0.0137591226680416</v>
      </c>
      <c r="CE70" s="0" t="n">
        <v>0.0056256918395101</v>
      </c>
      <c r="CF70" s="0" t="n">
        <v>0.007771357688253</v>
      </c>
      <c r="CG70" s="0" t="n">
        <v>0.0115507998279865</v>
      </c>
      <c r="CH70" s="0" t="n">
        <v>0.0061272196129627</v>
      </c>
      <c r="CI70" s="0" t="n">
        <v>0.0081996237398256</v>
      </c>
      <c r="CJ70" s="0" t="n">
        <v>0.0177784486542272</v>
      </c>
      <c r="CK70" s="0" t="n">
        <v>0.0140602475274917</v>
      </c>
      <c r="CL70" s="0" t="n">
        <v>0.0139549160228031</v>
      </c>
      <c r="CM70" s="0" t="n">
        <v>0.0039418315942401</v>
      </c>
      <c r="CN70" s="0" t="n">
        <v>0.0012921200195455</v>
      </c>
      <c r="CO70" s="0" t="n">
        <v>-0.0019514057398434</v>
      </c>
      <c r="CP70" s="0" t="n">
        <v>0.0065664044503175</v>
      </c>
      <c r="CQ70" s="0" t="n">
        <v>0.0205973179231886</v>
      </c>
      <c r="CR70" s="0" t="n">
        <v>0.0034929044099479</v>
      </c>
      <c r="CS70" s="0" t="n">
        <v>0.0182649939218207</v>
      </c>
      <c r="CT70" s="0" t="n">
        <v>0.0181250289446349</v>
      </c>
      <c r="CU70" s="0" t="n">
        <v>0.0078785536555234</v>
      </c>
      <c r="CV70" s="0" t="n">
        <v>0.0125946573366896</v>
      </c>
      <c r="CW70" s="0" t="n">
        <v>-0.0068988525326003</v>
      </c>
      <c r="CX70" s="0" t="n">
        <v>0.0132549733405142</v>
      </c>
      <c r="CY70" s="0" t="n">
        <v>0.0191924297892485</v>
      </c>
      <c r="CZ70" s="0" t="n">
        <v>-0.0064672785455423</v>
      </c>
      <c r="DA70" s="0" t="n">
        <v>0.0102811600155253</v>
      </c>
      <c r="DB70" s="0" t="n">
        <v>0.0066994881190355</v>
      </c>
      <c r="DC70" s="0" t="n">
        <v>-0.0052000312256249</v>
      </c>
      <c r="DD70" s="0" t="n">
        <v>0.0142914031520308</v>
      </c>
      <c r="DE70" s="0" t="n">
        <v>-0.0038241069352619</v>
      </c>
      <c r="DF70" s="0" t="n">
        <v>-0.0134120636905087</v>
      </c>
      <c r="DG70" s="0" t="n">
        <v>0.005531871904347</v>
      </c>
      <c r="DH70" s="0" t="n">
        <v>-0.0056117779863694</v>
      </c>
      <c r="DI70" s="0" t="n">
        <v>0.0289558789858167</v>
      </c>
      <c r="DJ70" s="0" t="n">
        <v>0.0176831738164951</v>
      </c>
      <c r="DK70" s="0" t="n">
        <v>0.0268926057037009</v>
      </c>
      <c r="DL70" s="0" t="n">
        <v>-0.0019741167690738</v>
      </c>
      <c r="DM70" s="0" t="n">
        <v>0.0169031146643107</v>
      </c>
      <c r="DN70" s="0" t="n">
        <v>0.0290801237130477</v>
      </c>
      <c r="DO70" s="0" t="n">
        <v>0.0108558116994473</v>
      </c>
      <c r="DP70" s="0" t="n">
        <v>0.0173499443326315</v>
      </c>
      <c r="DQ70" s="0" t="n">
        <v>0.0245172629751917</v>
      </c>
      <c r="DR70" s="0" t="n">
        <v>0.0016910042745106</v>
      </c>
      <c r="DS70" s="0" t="n">
        <v>0.0093453927708145</v>
      </c>
      <c r="DT70" s="0" t="n">
        <v>-0.0119531784666058</v>
      </c>
      <c r="DU70" s="0" t="n">
        <v>0.0029893731931506</v>
      </c>
      <c r="DV70" s="0" t="n">
        <v>-0.0043552979348336</v>
      </c>
      <c r="DW70" s="0" t="n">
        <v>-0.0173891106696305</v>
      </c>
      <c r="DX70" s="0" t="n">
        <v>0.0098010455723009</v>
      </c>
      <c r="DY70" s="0" t="n">
        <v>-0.0100870972861276</v>
      </c>
      <c r="DZ70" s="0" t="n">
        <v>-0.0104392854488262</v>
      </c>
      <c r="EA70" s="0" t="n">
        <v>0.007107925144372</v>
      </c>
      <c r="EB70" s="0" t="n">
        <v>-0.0073647419052319</v>
      </c>
      <c r="EC70" s="0" t="n">
        <v>-0.0013435783523195</v>
      </c>
      <c r="ED70" s="0" t="n">
        <v>0.0081704637434034</v>
      </c>
      <c r="EE70" s="0" t="n">
        <v>0.0269076344670095</v>
      </c>
      <c r="EF70" s="0" t="n">
        <v>0.0226757796056358</v>
      </c>
      <c r="EG70" s="0" t="n">
        <v>0.014230246496092</v>
      </c>
      <c r="EH70" s="0" t="n">
        <v>-0.0103938130218519</v>
      </c>
      <c r="EI70" s="0" t="n">
        <v>0.0090606797093306</v>
      </c>
      <c r="EJ70" s="0" t="n">
        <v>0.0068051278617887</v>
      </c>
      <c r="EK70" s="0" t="n">
        <v>0.0161607845792288</v>
      </c>
      <c r="EL70" s="0" t="n">
        <v>-0.0054501925211681</v>
      </c>
      <c r="EM70" s="0" t="n">
        <v>-0.0001326511695388</v>
      </c>
      <c r="EN70" s="0" t="n">
        <v>0.0004271331523278</v>
      </c>
      <c r="EO70" s="0" t="n">
        <v>0.0262701847083021</v>
      </c>
      <c r="EP70" s="72" t="n">
        <f aca="false">SUMPRODUCT(B70:EO70,$B$5:$EO$5)</f>
        <v>0.0109478309974279</v>
      </c>
      <c r="EQ70" s="72" t="n">
        <f aca="false">SUMIF('Mi portafolio'!$A$8:$A$19,$A70,'Mi portafolio'!$B$8:$B$19)</f>
        <v>0</v>
      </c>
    </row>
    <row r="71" customFormat="false" ht="15" hidden="false" customHeight="false" outlineLevel="0" collapsed="false">
      <c r="A71" s="71" t="s">
        <v>168</v>
      </c>
      <c r="B71" s="0" t="n">
        <v>0.0078230093159741</v>
      </c>
      <c r="C71" s="0" t="n">
        <v>-0.0008748339476948</v>
      </c>
      <c r="D71" s="0" t="n">
        <v>0.0049512207441482</v>
      </c>
      <c r="E71" s="0" t="n">
        <v>0.0050428387640052</v>
      </c>
      <c r="F71" s="0" t="n">
        <v>0.0051798106994672</v>
      </c>
      <c r="G71" s="0" t="n">
        <v>0.0047580201021069</v>
      </c>
      <c r="H71" s="0" t="n">
        <v>0.0122791390796765</v>
      </c>
      <c r="I71" s="0" t="n">
        <v>0.014136414252014</v>
      </c>
      <c r="J71" s="0" t="n">
        <v>0.0095748456461734</v>
      </c>
      <c r="K71" s="0" t="n">
        <v>0.0141245260781496</v>
      </c>
      <c r="L71" s="0" t="n">
        <v>0.0059617611600436</v>
      </c>
      <c r="M71" s="0" t="n">
        <v>0.0224925583156427</v>
      </c>
      <c r="N71" s="0" t="n">
        <v>0.0128338720250827</v>
      </c>
      <c r="O71" s="0" t="n">
        <v>0.0048685768292993</v>
      </c>
      <c r="P71" s="0" t="n">
        <v>0.010689639284435</v>
      </c>
      <c r="Q71" s="0" t="n">
        <v>0.0050719502506271</v>
      </c>
      <c r="R71" s="0" t="n">
        <v>0.0090592571427572</v>
      </c>
      <c r="S71" s="0" t="n">
        <v>0.0093865828826554</v>
      </c>
      <c r="T71" s="0" t="n">
        <v>0.0172399019798007</v>
      </c>
      <c r="U71" s="0" t="n">
        <v>0.0120547396811744</v>
      </c>
      <c r="V71" s="0" t="n">
        <v>-0.0029628940194493</v>
      </c>
      <c r="W71" s="0" t="n">
        <v>0.0101541503422636</v>
      </c>
      <c r="X71" s="0" t="n">
        <v>0.0196711063222902</v>
      </c>
      <c r="Y71" s="0" t="n">
        <v>0.0155002215936997</v>
      </c>
      <c r="Z71" s="0" t="n">
        <v>0.004113017818055</v>
      </c>
      <c r="AA71" s="0" t="n">
        <v>0.0045275164413358</v>
      </c>
      <c r="AB71" s="0" t="n">
        <v>0.0137086594924882</v>
      </c>
      <c r="AC71" s="0" t="n">
        <v>0.0033391054730894</v>
      </c>
      <c r="AD71" s="0" t="n">
        <v>0.0059601686645262</v>
      </c>
      <c r="AE71" s="0" t="n">
        <v>0.0114663964069991</v>
      </c>
      <c r="AF71" s="0" t="n">
        <v>0.0057224335968778</v>
      </c>
      <c r="AG71" s="0" t="n">
        <v>-0.0024105137593027</v>
      </c>
      <c r="AH71" s="0" t="n">
        <v>0.0030237594401082</v>
      </c>
      <c r="AI71" s="0" t="n">
        <v>-0.0104089570966583</v>
      </c>
      <c r="AJ71" s="0" t="n">
        <v>0.00169422566976</v>
      </c>
      <c r="AK71" s="0" t="n">
        <v>0.0093365927481453</v>
      </c>
      <c r="AL71" s="0" t="n">
        <v>0.0195240417852564</v>
      </c>
      <c r="AM71" s="0" t="n">
        <v>0.0132190888840774</v>
      </c>
      <c r="AN71" s="0" t="n">
        <v>0.0235136187007984</v>
      </c>
      <c r="AO71" s="0" t="n">
        <v>0.0052067560216168</v>
      </c>
      <c r="AP71" s="0" t="n">
        <v>0.0240162082154169</v>
      </c>
      <c r="AQ71" s="0" t="n">
        <v>-0.0147331840356903</v>
      </c>
      <c r="AR71" s="0" t="n">
        <v>0.01825397586409</v>
      </c>
      <c r="AS71" s="0" t="n">
        <v>0.0168332175387064</v>
      </c>
      <c r="AT71" s="0" t="n">
        <v>0.0307535590692011</v>
      </c>
      <c r="AU71" s="0" t="n">
        <v>0.0113614541641698</v>
      </c>
      <c r="AV71" s="0" t="n">
        <v>0.015119817339895</v>
      </c>
      <c r="AW71" s="0" t="n">
        <v>0.0084976453259163</v>
      </c>
      <c r="AX71" s="0" t="n">
        <v>0.0242812792468927</v>
      </c>
      <c r="AY71" s="0" t="n">
        <v>0.012674498335548</v>
      </c>
      <c r="AZ71" s="0" t="n">
        <v>0.0076958009980887</v>
      </c>
      <c r="BA71" s="0" t="n">
        <v>0.0238298986462626</v>
      </c>
      <c r="BB71" s="0" t="n">
        <v>0.0260376999135644</v>
      </c>
      <c r="BC71" s="0" t="n">
        <v>0.013807715107871</v>
      </c>
      <c r="BD71" s="0" t="n">
        <v>0.0158963358489628</v>
      </c>
      <c r="BE71" s="0" t="n">
        <v>0.0092752392063869</v>
      </c>
      <c r="BF71" s="0" t="n">
        <v>0.0061159903725652</v>
      </c>
      <c r="BG71" s="0" t="n">
        <v>0.0151169653636476</v>
      </c>
      <c r="BH71" s="0" t="n">
        <v>0.02104493914216</v>
      </c>
      <c r="BI71" s="0" t="n">
        <v>0.0121034151236638</v>
      </c>
      <c r="BJ71" s="0" t="n">
        <v>0.0001114686510104</v>
      </c>
      <c r="BK71" s="0" t="n">
        <v>0.0098598255345229</v>
      </c>
      <c r="BL71" s="0" t="n">
        <v>0.0180175753832304</v>
      </c>
      <c r="BM71" s="0" t="n">
        <v>0.0137461459516767</v>
      </c>
      <c r="BN71" s="0" t="n">
        <v>0.0110584165053541</v>
      </c>
      <c r="BO71" s="0" t="n">
        <v>0.106737952665154</v>
      </c>
      <c r="BP71" s="0" t="n">
        <v>0.0212377836049025</v>
      </c>
      <c r="BQ71" s="0" t="n">
        <v>0.0201956912887337</v>
      </c>
      <c r="BR71" s="0" t="n">
        <v>0.0235947329231874</v>
      </c>
      <c r="BS71" s="0" t="n">
        <v>-0.0115954926654224</v>
      </c>
      <c r="BT71" s="0" t="n">
        <v>0.0383371182154508</v>
      </c>
      <c r="BU71" s="0" t="n">
        <v>0.0152485693785589</v>
      </c>
      <c r="BV71" s="0" t="n">
        <v>0.0650949259117763</v>
      </c>
      <c r="BW71" s="0" t="n">
        <v>0.0231826014392678</v>
      </c>
      <c r="BX71" s="0" t="n">
        <v>0.028745039459157</v>
      </c>
      <c r="BY71" s="0" t="n">
        <v>0.0272313863877683</v>
      </c>
      <c r="BZ71" s="0" t="n">
        <v>0.0329186977587784</v>
      </c>
      <c r="CA71" s="0" t="n">
        <v>0.011727419108131</v>
      </c>
      <c r="CB71" s="0" t="n">
        <v>-0.0026883674309375</v>
      </c>
      <c r="CC71" s="0" t="n">
        <v>0.0105483225043411</v>
      </c>
      <c r="CD71" s="0" t="n">
        <v>0.036815868312293</v>
      </c>
      <c r="CE71" s="0" t="n">
        <v>0.0199399313306505</v>
      </c>
      <c r="CF71" s="0" t="n">
        <v>-0.0142006237378046</v>
      </c>
      <c r="CG71" s="0" t="n">
        <v>0.0384672627139921</v>
      </c>
      <c r="CH71" s="0" t="n">
        <v>0.0277278192914313</v>
      </c>
      <c r="CI71" s="0" t="n">
        <v>-0.0167868179395097</v>
      </c>
      <c r="CJ71" s="0" t="n">
        <v>0.0247040978933154</v>
      </c>
      <c r="CK71" s="0" t="n">
        <v>0.020994834042553</v>
      </c>
      <c r="CL71" s="0" t="n">
        <v>0.0295176760411077</v>
      </c>
      <c r="CM71" s="0" t="n">
        <v>0.0339873995464904</v>
      </c>
      <c r="CN71" s="0" t="n">
        <v>-0.0016049652122388</v>
      </c>
      <c r="CO71" s="0" t="n">
        <v>0.0202490016903992</v>
      </c>
      <c r="CP71" s="0" t="n">
        <v>0.0245596041699149</v>
      </c>
      <c r="CQ71" s="0" t="n">
        <v>0.0457708832185878</v>
      </c>
      <c r="CR71" s="0" t="n">
        <v>0.0433903376500662</v>
      </c>
      <c r="CS71" s="0" t="n">
        <v>0.0439263198400551</v>
      </c>
      <c r="CT71" s="0" t="n">
        <v>0.0433152547528629</v>
      </c>
      <c r="CU71" s="0" t="n">
        <v>0.0500202740968259</v>
      </c>
      <c r="CV71" s="0" t="n">
        <v>0.0421614952533603</v>
      </c>
      <c r="CW71" s="0" t="n">
        <v>0.0407341686499369</v>
      </c>
      <c r="CX71" s="0" t="n">
        <v>0.0454511293157961</v>
      </c>
      <c r="CY71" s="0" t="n">
        <v>0.0500977342016971</v>
      </c>
      <c r="CZ71" s="0" t="n">
        <v>0.0304063026150603</v>
      </c>
      <c r="DA71" s="0" t="n">
        <v>0.0260829166022783</v>
      </c>
      <c r="DB71" s="0" t="n">
        <v>0.062594518403172</v>
      </c>
      <c r="DC71" s="0" t="n">
        <v>0.0290386768852062</v>
      </c>
      <c r="DD71" s="0" t="n">
        <v>0.0488823829399505</v>
      </c>
      <c r="DE71" s="0" t="n">
        <v>0.0316269137409622</v>
      </c>
      <c r="DF71" s="0" t="n">
        <v>0.0174672066169639</v>
      </c>
      <c r="DG71" s="0" t="n">
        <v>0.0300797266691491</v>
      </c>
      <c r="DH71" s="0" t="n">
        <v>0.0508996959190039</v>
      </c>
      <c r="DI71" s="0" t="n">
        <v>0.058625959036544</v>
      </c>
      <c r="DJ71" s="0" t="n">
        <v>0.0531247811080586</v>
      </c>
      <c r="DK71" s="0" t="n">
        <v>0.0543036892948237</v>
      </c>
      <c r="DL71" s="0" t="n">
        <v>0.013353310129505</v>
      </c>
      <c r="DM71" s="0" t="n">
        <v>0.0585763484995391</v>
      </c>
      <c r="DN71" s="0" t="n">
        <v>0.0347376259725636</v>
      </c>
      <c r="DO71" s="0" t="n">
        <v>0.0535634978165326</v>
      </c>
      <c r="DP71" s="0" t="n">
        <v>0.0615215089749277</v>
      </c>
      <c r="DQ71" s="0" t="n">
        <v>0.0514287924094457</v>
      </c>
      <c r="DR71" s="0" t="n">
        <v>0.0186209612067972</v>
      </c>
      <c r="DS71" s="0" t="n">
        <v>0.044228196094101</v>
      </c>
      <c r="DT71" s="0" t="n">
        <v>0.0453409553591435</v>
      </c>
      <c r="DU71" s="0" t="n">
        <v>0.0611971672966096</v>
      </c>
      <c r="DV71" s="0" t="n">
        <v>0.0552539869308113</v>
      </c>
      <c r="DW71" s="0" t="n">
        <v>0.0537171806766405</v>
      </c>
      <c r="DX71" s="0" t="n">
        <v>0.0410827211442398</v>
      </c>
      <c r="DY71" s="0" t="n">
        <v>0.0608286186894423</v>
      </c>
      <c r="DZ71" s="0" t="n">
        <v>0.0343729164680088</v>
      </c>
      <c r="EA71" s="0" t="n">
        <v>0.0417102907692734</v>
      </c>
      <c r="EB71" s="0" t="n">
        <v>0.0641580272138834</v>
      </c>
      <c r="EC71" s="0" t="n">
        <v>-0.0052032523918233</v>
      </c>
      <c r="ED71" s="0" t="n">
        <v>0.0482470020858089</v>
      </c>
      <c r="EE71" s="0" t="n">
        <v>0.0577430153964428</v>
      </c>
      <c r="EF71" s="0" t="n">
        <v>0.0163315399720474</v>
      </c>
      <c r="EG71" s="0" t="n">
        <v>0.0582366067489447</v>
      </c>
      <c r="EH71" s="0" t="n">
        <v>0.0542713931429167</v>
      </c>
      <c r="EI71" s="0" t="n">
        <v>0.0427193514169059</v>
      </c>
      <c r="EJ71" s="0" t="n">
        <v>0.0667818741793094</v>
      </c>
      <c r="EK71" s="0" t="n">
        <v>0.0578203770107372</v>
      </c>
      <c r="EL71" s="0" t="n">
        <v>0.0566887282174982</v>
      </c>
      <c r="EM71" s="0" t="n">
        <v>0.0494029740334065</v>
      </c>
      <c r="EN71" s="0" t="n">
        <v>0.0605543562932456</v>
      </c>
      <c r="EO71" s="0" t="n">
        <v>0.0473232370677973</v>
      </c>
      <c r="EP71" s="72" t="n">
        <f aca="false">SUMPRODUCT(B71:EO71,$B$5:$EO$5)</f>
        <v>0.0460850279323933</v>
      </c>
      <c r="EQ71" s="72" t="n">
        <f aca="false">SUMIF('Mi portafolio'!$A$8:$A$19,$A71,'Mi portafolio'!$B$8:$B$19)</f>
        <v>0</v>
      </c>
    </row>
    <row r="72" customFormat="false" ht="15" hidden="false" customHeight="false" outlineLevel="0" collapsed="false">
      <c r="A72" s="71" t="s">
        <v>167</v>
      </c>
      <c r="B72" s="0" t="n">
        <v>0.0066320878842574</v>
      </c>
      <c r="C72" s="0" t="n">
        <v>-0.0034330663407485</v>
      </c>
      <c r="D72" s="0" t="n">
        <v>0.004999315985655</v>
      </c>
      <c r="E72" s="0" t="n">
        <v>0.0050123713459853</v>
      </c>
      <c r="F72" s="0" t="n">
        <v>-0.001027926830493</v>
      </c>
      <c r="G72" s="0" t="n">
        <v>-0.0017651865263333</v>
      </c>
      <c r="H72" s="0" t="n">
        <v>0.0017393241715383</v>
      </c>
      <c r="I72" s="0" t="n">
        <v>0.0075658653371448</v>
      </c>
      <c r="J72" s="0" t="n">
        <v>-0.0100393757837087</v>
      </c>
      <c r="K72" s="0" t="n">
        <v>-0.0029775815849975</v>
      </c>
      <c r="L72" s="0" t="n">
        <v>0.012150120409765</v>
      </c>
      <c r="M72" s="0" t="n">
        <v>0.0116258693572709</v>
      </c>
      <c r="N72" s="0" t="n">
        <v>0.0048049092965958</v>
      </c>
      <c r="O72" s="0" t="n">
        <v>0.0005751929068359</v>
      </c>
      <c r="P72" s="0" t="n">
        <v>0.0040507187406937</v>
      </c>
      <c r="Q72" s="0" t="n">
        <v>-0.0017263145986335</v>
      </c>
      <c r="R72" s="0" t="n">
        <v>0.000408345714914</v>
      </c>
      <c r="S72" s="0" t="n">
        <v>0.006806834896478</v>
      </c>
      <c r="T72" s="0" t="n">
        <v>0.0109870517314393</v>
      </c>
      <c r="U72" s="0" t="n">
        <v>0.0091897280865085</v>
      </c>
      <c r="V72" s="0" t="n">
        <v>0.0017751297052934</v>
      </c>
      <c r="W72" s="0" t="n">
        <v>0.0041653314395321</v>
      </c>
      <c r="X72" s="0" t="n">
        <v>0.0096236338060433</v>
      </c>
      <c r="Y72" s="0" t="n">
        <v>0.0192560664290001</v>
      </c>
      <c r="Z72" s="0" t="n">
        <v>0.0020579637801645</v>
      </c>
      <c r="AA72" s="0" t="n">
        <v>0.0063530850451688</v>
      </c>
      <c r="AB72" s="0" t="n">
        <v>0.024228118917841</v>
      </c>
      <c r="AC72" s="0" t="n">
        <v>0.0060056433311268</v>
      </c>
      <c r="AD72" s="0" t="n">
        <v>-0.0046149313882795</v>
      </c>
      <c r="AE72" s="0" t="n">
        <v>0.0036648046991491</v>
      </c>
      <c r="AF72" s="0" t="n">
        <v>0.0029061820540224</v>
      </c>
      <c r="AG72" s="0" t="n">
        <v>-0.0046862469444998</v>
      </c>
      <c r="AH72" s="0" t="n">
        <v>-0.0014743813039541</v>
      </c>
      <c r="AI72" s="0" t="n">
        <v>-0.0005591554436238</v>
      </c>
      <c r="AJ72" s="0" t="n">
        <v>0.0059278013119149</v>
      </c>
      <c r="AK72" s="0" t="n">
        <v>-0.0048855934625409</v>
      </c>
      <c r="AL72" s="0" t="n">
        <v>0.0155953998503001</v>
      </c>
      <c r="AM72" s="0" t="n">
        <v>0.0047497429633926</v>
      </c>
      <c r="AN72" s="0" t="n">
        <v>0.0073377248417259</v>
      </c>
      <c r="AO72" s="0" t="n">
        <v>-0.0047918663455099</v>
      </c>
      <c r="AP72" s="0" t="n">
        <v>0.0141094049657846</v>
      </c>
      <c r="AQ72" s="0" t="n">
        <v>-0.0060565381759814</v>
      </c>
      <c r="AR72" s="0" t="n">
        <v>0.0141437357442996</v>
      </c>
      <c r="AS72" s="0" t="n">
        <v>0.0037494789282425</v>
      </c>
      <c r="AT72" s="0" t="n">
        <v>0.024470983341013</v>
      </c>
      <c r="AU72" s="0" t="n">
        <v>-0.0044977879930467</v>
      </c>
      <c r="AV72" s="0" t="n">
        <v>0.0097896829617931</v>
      </c>
      <c r="AW72" s="0" t="n">
        <v>-0.0014354969048351</v>
      </c>
      <c r="AX72" s="0" t="n">
        <v>0.0080950031068056</v>
      </c>
      <c r="AY72" s="0" t="n">
        <v>0.0134248694175442</v>
      </c>
      <c r="AZ72" s="0" t="n">
        <v>0.0034091343554719</v>
      </c>
      <c r="BA72" s="0" t="n">
        <v>0.0003999376304715</v>
      </c>
      <c r="BB72" s="0" t="n">
        <v>0.0231840821299734</v>
      </c>
      <c r="BC72" s="0" t="n">
        <v>0.0116035657580555</v>
      </c>
      <c r="BD72" s="0" t="n">
        <v>0.0094089932398478</v>
      </c>
      <c r="BE72" s="0" t="n">
        <v>-0.008790528065881</v>
      </c>
      <c r="BF72" s="0" t="n">
        <v>-0.0021213313260991</v>
      </c>
      <c r="BG72" s="0" t="n">
        <v>0.0201826931269564</v>
      </c>
      <c r="BH72" s="0" t="n">
        <v>0.014855195120852</v>
      </c>
      <c r="BI72" s="0" t="n">
        <v>0.0050354412395399</v>
      </c>
      <c r="BJ72" s="0" t="n">
        <v>-0.0017159545576066</v>
      </c>
      <c r="BK72" s="0" t="n">
        <v>0.0044941036223372</v>
      </c>
      <c r="BL72" s="0" t="n">
        <v>0.0031070646769309</v>
      </c>
      <c r="BM72" s="0" t="n">
        <v>0.0126591686683536</v>
      </c>
      <c r="BN72" s="0" t="n">
        <v>-0.0031259342237622</v>
      </c>
      <c r="BO72" s="0" t="n">
        <v>0.0212377836049025</v>
      </c>
      <c r="BP72" s="0" t="n">
        <v>0.109816160647478</v>
      </c>
      <c r="BQ72" s="0" t="n">
        <v>0.0061410085378517</v>
      </c>
      <c r="BR72" s="0" t="n">
        <v>0.0226225313024154</v>
      </c>
      <c r="BS72" s="0" t="n">
        <v>-0.0044795623335645</v>
      </c>
      <c r="BT72" s="0" t="n">
        <v>0.0084266693643231</v>
      </c>
      <c r="BU72" s="0" t="n">
        <v>-0.0034991186445272</v>
      </c>
      <c r="BV72" s="0" t="n">
        <v>0.0475295160651556</v>
      </c>
      <c r="BW72" s="0" t="n">
        <v>0.0384645611003057</v>
      </c>
      <c r="BX72" s="0" t="n">
        <v>-0.0031331206983995</v>
      </c>
      <c r="BY72" s="0" t="n">
        <v>0.0115389897753585</v>
      </c>
      <c r="BZ72" s="0" t="n">
        <v>0.0322848072284431</v>
      </c>
      <c r="CA72" s="0" t="n">
        <v>-0.000286537701614</v>
      </c>
      <c r="CB72" s="0" t="n">
        <v>-0.0064697936904361</v>
      </c>
      <c r="CC72" s="0" t="n">
        <v>0.0082031442251968</v>
      </c>
      <c r="CD72" s="0" t="n">
        <v>0.0348411358405916</v>
      </c>
      <c r="CE72" s="0" t="n">
        <v>0.0093153819306962</v>
      </c>
      <c r="CF72" s="0" t="n">
        <v>-0.0057074868862006</v>
      </c>
      <c r="CG72" s="0" t="n">
        <v>0.036502374901368</v>
      </c>
      <c r="CH72" s="0" t="n">
        <v>0.0013002742471623</v>
      </c>
      <c r="CI72" s="0" t="n">
        <v>-0.0019975023142394</v>
      </c>
      <c r="CJ72" s="0" t="n">
        <v>0.033174712020144</v>
      </c>
      <c r="CK72" s="0" t="n">
        <v>0.0207640559588249</v>
      </c>
      <c r="CL72" s="0" t="n">
        <v>0.0051405928512245</v>
      </c>
      <c r="CM72" s="0" t="n">
        <v>0.0345729085936842</v>
      </c>
      <c r="CN72" s="0" t="n">
        <v>0.0034160770886082</v>
      </c>
      <c r="CO72" s="0" t="n">
        <v>0.0114968803450342</v>
      </c>
      <c r="CP72" s="0" t="n">
        <v>0.0224738699323887</v>
      </c>
      <c r="CQ72" s="0" t="n">
        <v>0.0218472981834054</v>
      </c>
      <c r="CR72" s="0" t="n">
        <v>0.0254728972160004</v>
      </c>
      <c r="CS72" s="0" t="n">
        <v>-0.0132767628042672</v>
      </c>
      <c r="CT72" s="0" t="n">
        <v>0.0348861665418099</v>
      </c>
      <c r="CU72" s="0" t="n">
        <v>0.0191210896051874</v>
      </c>
      <c r="CV72" s="0" t="n">
        <v>0.0248109342201151</v>
      </c>
      <c r="CW72" s="0" t="n">
        <v>0.0437337897555109</v>
      </c>
      <c r="CX72" s="0" t="n">
        <v>0.0358355302334124</v>
      </c>
      <c r="CY72" s="0" t="n">
        <v>0.0016807516625756</v>
      </c>
      <c r="CZ72" s="0" t="n">
        <v>0.0583477717385065</v>
      </c>
      <c r="DA72" s="0" t="n">
        <v>0.0458802860169107</v>
      </c>
      <c r="DB72" s="0" t="n">
        <v>0.038178416345741</v>
      </c>
      <c r="DC72" s="0" t="n">
        <v>0.0087035506862205</v>
      </c>
      <c r="DD72" s="0" t="n">
        <v>0.0522016908820852</v>
      </c>
      <c r="DE72" s="0" t="n">
        <v>0.0141845664960682</v>
      </c>
      <c r="DF72" s="0" t="n">
        <v>0.0741976641341593</v>
      </c>
      <c r="DG72" s="0" t="n">
        <v>0.0211524854226805</v>
      </c>
      <c r="DH72" s="0" t="n">
        <v>0.0374837621755889</v>
      </c>
      <c r="DI72" s="0" t="n">
        <v>0.0287699205516501</v>
      </c>
      <c r="DJ72" s="0" t="n">
        <v>0.0048054433521864</v>
      </c>
      <c r="DK72" s="0" t="n">
        <v>0.0300585973696071</v>
      </c>
      <c r="DL72" s="0" t="n">
        <v>0.0051872875271505</v>
      </c>
      <c r="DM72" s="0" t="n">
        <v>0.0160165279216307</v>
      </c>
      <c r="DN72" s="0" t="n">
        <v>0.0393830342058452</v>
      </c>
      <c r="DO72" s="0" t="n">
        <v>0.0168383868447499</v>
      </c>
      <c r="DP72" s="0" t="n">
        <v>0.0026068768872376</v>
      </c>
      <c r="DQ72" s="0" t="n">
        <v>0.02836605411223</v>
      </c>
      <c r="DR72" s="0" t="n">
        <v>0.0176375295335887</v>
      </c>
      <c r="DS72" s="0" t="n">
        <v>0.0555048161978052</v>
      </c>
      <c r="DT72" s="0" t="n">
        <v>0.0880816170739818</v>
      </c>
      <c r="DU72" s="0" t="n">
        <v>0.0792121880612617</v>
      </c>
      <c r="DV72" s="0" t="n">
        <v>0.0875113272001537</v>
      </c>
      <c r="DW72" s="0" t="n">
        <v>0.065895930910743</v>
      </c>
      <c r="DX72" s="0" t="n">
        <v>0.0062143927164573</v>
      </c>
      <c r="DY72" s="0" t="n">
        <v>0.0753064127472376</v>
      </c>
      <c r="DZ72" s="0" t="n">
        <v>0.0679074932305376</v>
      </c>
      <c r="EA72" s="0" t="n">
        <v>0.0216203631281813</v>
      </c>
      <c r="EB72" s="0" t="n">
        <v>0.0774288245919384</v>
      </c>
      <c r="EC72" s="0" t="n">
        <v>-0.0065354831348958</v>
      </c>
      <c r="ED72" s="0" t="n">
        <v>0.0446743391233161</v>
      </c>
      <c r="EE72" s="0" t="n">
        <v>0.0404744030259195</v>
      </c>
      <c r="EF72" s="0" t="n">
        <v>0.0155897032019352</v>
      </c>
      <c r="EG72" s="0" t="n">
        <v>0.0133821475186757</v>
      </c>
      <c r="EH72" s="0" t="n">
        <v>0.0693515695209331</v>
      </c>
      <c r="EI72" s="0" t="n">
        <v>0.0164784253088354</v>
      </c>
      <c r="EJ72" s="0" t="n">
        <v>0.0494072706834445</v>
      </c>
      <c r="EK72" s="0" t="n">
        <v>0.0783583501892425</v>
      </c>
      <c r="EL72" s="0" t="n">
        <v>0.0723813021275397</v>
      </c>
      <c r="EM72" s="0" t="n">
        <v>0.106843342261965</v>
      </c>
      <c r="EN72" s="0" t="n">
        <v>0.036708278000849</v>
      </c>
      <c r="EO72" s="0" t="n">
        <v>0.0599831478275853</v>
      </c>
      <c r="EP72" s="72" t="n">
        <f aca="false">SUMPRODUCT(B72:EO72,$B$5:$EO$5)</f>
        <v>0.013809003083721</v>
      </c>
      <c r="EQ72" s="72" t="n">
        <f aca="false">SUMIF('Mi portafolio'!$A$8:$A$19,$A72,'Mi portafolio'!$B$8:$B$19)</f>
        <v>0</v>
      </c>
    </row>
    <row r="73" customFormat="false" ht="15" hidden="false" customHeight="false" outlineLevel="0" collapsed="false">
      <c r="A73" s="71" t="s">
        <v>163</v>
      </c>
      <c r="B73" s="0" t="n">
        <v>-0.0025214978069334</v>
      </c>
      <c r="C73" s="0" t="n">
        <v>0.0107943073822139</v>
      </c>
      <c r="D73" s="0" t="n">
        <v>0.0064127961606841</v>
      </c>
      <c r="E73" s="0" t="n">
        <v>0.0093970513242182</v>
      </c>
      <c r="F73" s="0" t="n">
        <v>-0.0025835267312673</v>
      </c>
      <c r="G73" s="0" t="n">
        <v>0.0059737724285287</v>
      </c>
      <c r="H73" s="0" t="n">
        <v>0.0185788047409231</v>
      </c>
      <c r="I73" s="0" t="n">
        <v>0.0013930332099688</v>
      </c>
      <c r="J73" s="0" t="n">
        <v>-0.0018174482099332</v>
      </c>
      <c r="K73" s="0" t="n">
        <v>0.0068668069964008</v>
      </c>
      <c r="L73" s="0" t="n">
        <v>0.0154510068253483</v>
      </c>
      <c r="M73" s="0" t="n">
        <v>0.0229414376607827</v>
      </c>
      <c r="N73" s="0" t="n">
        <v>0.0028337818753909</v>
      </c>
      <c r="O73" s="0" t="n">
        <v>0.0255660798180791</v>
      </c>
      <c r="P73" s="0" t="n">
        <v>-0.0008361989925032</v>
      </c>
      <c r="Q73" s="0" t="n">
        <v>0.0077091868648769</v>
      </c>
      <c r="R73" s="0" t="n">
        <v>0.0003838801477013</v>
      </c>
      <c r="S73" s="0" t="n">
        <v>0.0220127451363783</v>
      </c>
      <c r="T73" s="0" t="n">
        <v>0.0190447044250213</v>
      </c>
      <c r="U73" s="0" t="n">
        <v>0.0248983252453365</v>
      </c>
      <c r="V73" s="0" t="n">
        <v>0.0207120037377492</v>
      </c>
      <c r="W73" s="0" t="n">
        <v>0.0230850176541097</v>
      </c>
      <c r="X73" s="0" t="n">
        <v>0.0232001177382798</v>
      </c>
      <c r="Y73" s="0" t="n">
        <v>0.003301100707772</v>
      </c>
      <c r="Z73" s="0" t="n">
        <v>0.0292650538020351</v>
      </c>
      <c r="AA73" s="0" t="n">
        <v>0.0201728785653991</v>
      </c>
      <c r="AB73" s="0" t="n">
        <v>-0.0011910327078662</v>
      </c>
      <c r="AC73" s="0" t="n">
        <v>0.0091761453376051</v>
      </c>
      <c r="AD73" s="0" t="n">
        <v>0.0262167196968372</v>
      </c>
      <c r="AE73" s="0" t="n">
        <v>0.0277465405850632</v>
      </c>
      <c r="AF73" s="0" t="n">
        <v>0.0340602209526106</v>
      </c>
      <c r="AG73" s="0" t="n">
        <v>-0.0040815746319398</v>
      </c>
      <c r="AH73" s="0" t="n">
        <v>-0.0026131414763434</v>
      </c>
      <c r="AI73" s="0" t="n">
        <v>-0.0116308983929488</v>
      </c>
      <c r="AJ73" s="0" t="n">
        <v>0.0140034874032324</v>
      </c>
      <c r="AK73" s="0" t="n">
        <v>0.0328831235327535</v>
      </c>
      <c r="AL73" s="0" t="n">
        <v>0.0076709612797654</v>
      </c>
      <c r="AM73" s="0" t="n">
        <v>0.0244266334557369</v>
      </c>
      <c r="AN73" s="0" t="n">
        <v>0.0225428438267669</v>
      </c>
      <c r="AO73" s="0" t="n">
        <v>-0.0058626383049593</v>
      </c>
      <c r="AP73" s="0" t="n">
        <v>0.0139495550304538</v>
      </c>
      <c r="AQ73" s="0" t="n">
        <v>-0.0128464000249911</v>
      </c>
      <c r="AR73" s="0" t="n">
        <v>0.0210942559480929</v>
      </c>
      <c r="AS73" s="0" t="n">
        <v>0.0265996774879763</v>
      </c>
      <c r="AT73" s="0" t="n">
        <v>0.0191862342805534</v>
      </c>
      <c r="AU73" s="0" t="n">
        <v>0.0022994635309518</v>
      </c>
      <c r="AV73" s="0" t="n">
        <v>0.0235938072290632</v>
      </c>
      <c r="AW73" s="0" t="n">
        <v>0.0440693230438067</v>
      </c>
      <c r="AX73" s="0" t="n">
        <v>0.0052988464595673</v>
      </c>
      <c r="AY73" s="0" t="n">
        <v>0.0191326267871746</v>
      </c>
      <c r="AZ73" s="0" t="n">
        <v>0.0321192185319845</v>
      </c>
      <c r="BA73" s="0" t="n">
        <v>0.0307985159740298</v>
      </c>
      <c r="BB73" s="0" t="n">
        <v>0.0298083408485559</v>
      </c>
      <c r="BC73" s="0" t="n">
        <v>0.020675267119222</v>
      </c>
      <c r="BD73" s="0" t="n">
        <v>0.0341414077664202</v>
      </c>
      <c r="BE73" s="0" t="n">
        <v>0.0131310604545416</v>
      </c>
      <c r="BF73" s="0" t="n">
        <v>0.0249198946929876</v>
      </c>
      <c r="BG73" s="0" t="n">
        <v>0.003112520050111</v>
      </c>
      <c r="BH73" s="0" t="n">
        <v>0.0226454616541246</v>
      </c>
      <c r="BI73" s="0" t="n">
        <v>0.0133773888300784</v>
      </c>
      <c r="BJ73" s="0" t="n">
        <v>0.001608859813547</v>
      </c>
      <c r="BK73" s="0" t="n">
        <v>0.0334453798628064</v>
      </c>
      <c r="BL73" s="0" t="n">
        <v>0.0334839183587705</v>
      </c>
      <c r="BM73" s="0" t="n">
        <v>0.0093813933594405</v>
      </c>
      <c r="BN73" s="0" t="n">
        <v>0.0121666717410411</v>
      </c>
      <c r="BO73" s="0" t="n">
        <v>0.0201956912887337</v>
      </c>
      <c r="BP73" s="0" t="n">
        <v>0.0061410085378517</v>
      </c>
      <c r="BQ73" s="0" t="n">
        <v>0.109598823068315</v>
      </c>
      <c r="BR73" s="0" t="n">
        <v>0.0254632127818072</v>
      </c>
      <c r="BS73" s="0" t="n">
        <v>-0.018863925698808</v>
      </c>
      <c r="BT73" s="0" t="n">
        <v>0.0350922078351099</v>
      </c>
      <c r="BU73" s="0" t="n">
        <v>0.0308428801300838</v>
      </c>
      <c r="BV73" s="0" t="n">
        <v>0.0227495371103962</v>
      </c>
      <c r="BW73" s="0" t="n">
        <v>0.0127962291683394</v>
      </c>
      <c r="BX73" s="0" t="n">
        <v>-0.0008841582801136</v>
      </c>
      <c r="BY73" s="0" t="n">
        <v>0.0242638537307071</v>
      </c>
      <c r="BZ73" s="0" t="n">
        <v>0.030706118080698</v>
      </c>
      <c r="CA73" s="0" t="n">
        <v>0.0299015352997089</v>
      </c>
      <c r="CB73" s="0" t="n">
        <v>-0.016125623645494</v>
      </c>
      <c r="CC73" s="0" t="n">
        <v>0.0121797026150626</v>
      </c>
      <c r="CD73" s="0" t="n">
        <v>0.0175390479738225</v>
      </c>
      <c r="CE73" s="0" t="n">
        <v>0.0211050747718692</v>
      </c>
      <c r="CF73" s="0" t="n">
        <v>-0.022149456931461</v>
      </c>
      <c r="CG73" s="0" t="n">
        <v>0.0181428034572149</v>
      </c>
      <c r="CH73" s="0" t="n">
        <v>0.0568237791942491</v>
      </c>
      <c r="CI73" s="0" t="n">
        <v>-0.0210248619400807</v>
      </c>
      <c r="CJ73" s="0" t="n">
        <v>-0.0051265584830542</v>
      </c>
      <c r="CK73" s="0" t="n">
        <v>0.0150477338001263</v>
      </c>
      <c r="CL73" s="0" t="n">
        <v>0.0352393309786323</v>
      </c>
      <c r="CM73" s="0" t="n">
        <v>0.0293380400786567</v>
      </c>
      <c r="CN73" s="0" t="n">
        <v>0.0250966207849013</v>
      </c>
      <c r="CO73" s="0" t="n">
        <v>0.0285089487000301</v>
      </c>
      <c r="CP73" s="0" t="n">
        <v>0.0060181608454432</v>
      </c>
      <c r="CQ73" s="0" t="n">
        <v>0.0392660623400578</v>
      </c>
      <c r="CR73" s="0" t="n">
        <v>0.0381559138356914</v>
      </c>
      <c r="CS73" s="0" t="n">
        <v>0.0533137801132795</v>
      </c>
      <c r="CT73" s="0" t="n">
        <v>0.0341225735176618</v>
      </c>
      <c r="CU73" s="0" t="n">
        <v>0.0204119761126412</v>
      </c>
      <c r="CV73" s="0" t="n">
        <v>0.0221336084380574</v>
      </c>
      <c r="CW73" s="0" t="n">
        <v>0.0255432880219705</v>
      </c>
      <c r="CX73" s="0" t="n">
        <v>0.0454716544900785</v>
      </c>
      <c r="CY73" s="0" t="n">
        <v>0.0317963666180664</v>
      </c>
      <c r="CZ73" s="0" t="n">
        <v>0.0104042553358016</v>
      </c>
      <c r="DA73" s="0" t="n">
        <v>0.0142040882058883</v>
      </c>
      <c r="DB73" s="0" t="n">
        <v>0.0482900790704548</v>
      </c>
      <c r="DC73" s="0" t="n">
        <v>0.0487983626439834</v>
      </c>
      <c r="DD73" s="0" t="n">
        <v>0.0304567216297487</v>
      </c>
      <c r="DE73" s="0" t="n">
        <v>0.0591393568701147</v>
      </c>
      <c r="DF73" s="0" t="n">
        <v>-0.0189961239598173</v>
      </c>
      <c r="DG73" s="0" t="n">
        <v>0.0593600775965984</v>
      </c>
      <c r="DH73" s="0" t="n">
        <v>0.0331193739037246</v>
      </c>
      <c r="DI73" s="0" t="n">
        <v>0.0401971272092741</v>
      </c>
      <c r="DJ73" s="0" t="n">
        <v>0.0304755024474654</v>
      </c>
      <c r="DK73" s="0" t="n">
        <v>0.0545154217525475</v>
      </c>
      <c r="DL73" s="0" t="n">
        <v>0.0517127479320023</v>
      </c>
      <c r="DM73" s="0" t="n">
        <v>0.0540727305586617</v>
      </c>
      <c r="DN73" s="0" t="n">
        <v>0.0102838863335083</v>
      </c>
      <c r="DO73" s="0" t="n">
        <v>0.0373805471450081</v>
      </c>
      <c r="DP73" s="0" t="n">
        <v>0.0414537641290529</v>
      </c>
      <c r="DQ73" s="0" t="n">
        <v>0.0469532373282852</v>
      </c>
      <c r="DR73" s="0" t="n">
        <v>0.0367758541662599</v>
      </c>
      <c r="DS73" s="0" t="n">
        <v>-0.0108502237775822</v>
      </c>
      <c r="DT73" s="0" t="n">
        <v>0.0333589800906681</v>
      </c>
      <c r="DU73" s="0" t="n">
        <v>0.0513771606549805</v>
      </c>
      <c r="DV73" s="0" t="n">
        <v>0.0090137759463826</v>
      </c>
      <c r="DW73" s="0" t="n">
        <v>0.0242506379311096</v>
      </c>
      <c r="DX73" s="0" t="n">
        <v>0.0641924748694493</v>
      </c>
      <c r="DY73" s="0" t="n">
        <v>0.0381464236698429</v>
      </c>
      <c r="DZ73" s="0" t="n">
        <v>-0.001419342036718</v>
      </c>
      <c r="EA73" s="0" t="n">
        <v>0.0388878480584126</v>
      </c>
      <c r="EB73" s="0" t="n">
        <v>0.0304142744165975</v>
      </c>
      <c r="EC73" s="0" t="n">
        <v>0.0367755761689736</v>
      </c>
      <c r="ED73" s="0" t="n">
        <v>0.05537225646211</v>
      </c>
      <c r="EE73" s="0" t="n">
        <v>0.0648930273984347</v>
      </c>
      <c r="EF73" s="0" t="n">
        <v>0.0563988319265918</v>
      </c>
      <c r="EG73" s="0" t="n">
        <v>0.0658304089187257</v>
      </c>
      <c r="EH73" s="0" t="n">
        <v>0.0038932900953026</v>
      </c>
      <c r="EI73" s="0" t="n">
        <v>0.0674691763199671</v>
      </c>
      <c r="EJ73" s="0" t="n">
        <v>0.050158914146475</v>
      </c>
      <c r="EK73" s="0" t="n">
        <v>0.074466672705556</v>
      </c>
      <c r="EL73" s="0" t="n">
        <v>0.0919483968486697</v>
      </c>
      <c r="EM73" s="0" t="n">
        <v>0.0454358356210775</v>
      </c>
      <c r="EN73" s="0" t="n">
        <v>0.0193882016932598</v>
      </c>
      <c r="EO73" s="0" t="n">
        <v>-0.0295534705210616</v>
      </c>
      <c r="EP73" s="72" t="n">
        <f aca="false">SUMPRODUCT(B73:EO73,$B$5:$EO$5)</f>
        <v>0.0634661551548941</v>
      </c>
      <c r="EQ73" s="72" t="n">
        <f aca="false">SUMIF('Mi portafolio'!$A$8:$A$19,$A73,'Mi portafolio'!$B$8:$B$19)</f>
        <v>0</v>
      </c>
    </row>
    <row r="74" customFormat="false" ht="15" hidden="false" customHeight="false" outlineLevel="0" collapsed="false">
      <c r="A74" s="71" t="s">
        <v>294</v>
      </c>
      <c r="B74" s="0" t="n">
        <v>0.0117297415332593</v>
      </c>
      <c r="C74" s="0" t="n">
        <v>-0.0035318448023471</v>
      </c>
      <c r="D74" s="0" t="n">
        <v>0.0023746478484044</v>
      </c>
      <c r="E74" s="0" t="n">
        <v>0.0047362689550421</v>
      </c>
      <c r="F74" s="0" t="n">
        <v>0.0095470167100709</v>
      </c>
      <c r="G74" s="0" t="n">
        <v>0.0003279769146607</v>
      </c>
      <c r="H74" s="0" t="n">
        <v>0.0079151182951515</v>
      </c>
      <c r="I74" s="0" t="n">
        <v>0.0163979623960597</v>
      </c>
      <c r="J74" s="0" t="n">
        <v>0.006026978880906</v>
      </c>
      <c r="K74" s="0" t="n">
        <v>0.0096859179022391</v>
      </c>
      <c r="L74" s="0" t="n">
        <v>0.0067612483298325</v>
      </c>
      <c r="M74" s="0" t="n">
        <v>0.0246960601087042</v>
      </c>
      <c r="N74" s="0" t="n">
        <v>0.0193714457417645</v>
      </c>
      <c r="O74" s="0" t="n">
        <v>0.0037456563026144</v>
      </c>
      <c r="P74" s="0" t="n">
        <v>0.0108982885349024</v>
      </c>
      <c r="Q74" s="0" t="n">
        <v>0.003511424228854</v>
      </c>
      <c r="R74" s="0" t="n">
        <v>0.0151239398506679</v>
      </c>
      <c r="S74" s="0" t="n">
        <v>0.0064893640684285</v>
      </c>
      <c r="T74" s="0" t="n">
        <v>0.0266325964659462</v>
      </c>
      <c r="U74" s="0" t="n">
        <v>0.0096764875307782</v>
      </c>
      <c r="V74" s="0" t="n">
        <v>0.0067408274115207</v>
      </c>
      <c r="W74" s="0" t="n">
        <v>0.006256673642819</v>
      </c>
      <c r="X74" s="0" t="n">
        <v>0.0233403834773955</v>
      </c>
      <c r="Y74" s="0" t="n">
        <v>0.0133949865186424</v>
      </c>
      <c r="Z74" s="0" t="n">
        <v>0.0033947534012106</v>
      </c>
      <c r="AA74" s="0" t="n">
        <v>0.0138812884581685</v>
      </c>
      <c r="AB74" s="0" t="n">
        <v>0.0178305799776979</v>
      </c>
      <c r="AC74" s="0" t="n">
        <v>-0.0048382006547028</v>
      </c>
      <c r="AD74" s="0" t="n">
        <v>0.0035493575248971</v>
      </c>
      <c r="AE74" s="0" t="n">
        <v>0.0126072169853566</v>
      </c>
      <c r="AF74" s="0" t="n">
        <v>0.0102303331875066</v>
      </c>
      <c r="AG74" s="0" t="n">
        <v>0.0022827809153725</v>
      </c>
      <c r="AH74" s="0" t="n">
        <v>0.0051750802466594</v>
      </c>
      <c r="AI74" s="0" t="n">
        <v>-0.0036228754587827</v>
      </c>
      <c r="AJ74" s="0" t="n">
        <v>0.0101743889901586</v>
      </c>
      <c r="AK74" s="0" t="n">
        <v>0.0093393257931708</v>
      </c>
      <c r="AL74" s="0" t="n">
        <v>0.0249566792997976</v>
      </c>
      <c r="AM74" s="0" t="n">
        <v>0.0145137942549612</v>
      </c>
      <c r="AN74" s="0" t="n">
        <v>0.0309594585127675</v>
      </c>
      <c r="AO74" s="0" t="n">
        <v>-0.0013932737206166</v>
      </c>
      <c r="AP74" s="0" t="n">
        <v>0.036311485273305</v>
      </c>
      <c r="AQ74" s="0" t="n">
        <v>-0.0044999608723113</v>
      </c>
      <c r="AR74" s="0" t="n">
        <v>0.0273233732025708</v>
      </c>
      <c r="AS74" s="0" t="n">
        <v>0.0120196488922801</v>
      </c>
      <c r="AT74" s="0" t="n">
        <v>0.0313230244096197</v>
      </c>
      <c r="AU74" s="0" t="n">
        <v>0.0116729212696657</v>
      </c>
      <c r="AV74" s="0" t="n">
        <v>0.0151744644837997</v>
      </c>
      <c r="AW74" s="0" t="n">
        <v>0.0121923534588384</v>
      </c>
      <c r="AX74" s="0" t="n">
        <v>0.0194141536450784</v>
      </c>
      <c r="AY74" s="0" t="n">
        <v>0.0326903604153302</v>
      </c>
      <c r="AZ74" s="0" t="n">
        <v>0.0166082528398762</v>
      </c>
      <c r="BA74" s="0" t="n">
        <v>0.0278506585303063</v>
      </c>
      <c r="BB74" s="0" t="n">
        <v>0.0396595708199013</v>
      </c>
      <c r="BC74" s="0" t="n">
        <v>0.0168643860390367</v>
      </c>
      <c r="BD74" s="0" t="n">
        <v>0.0099322319138998</v>
      </c>
      <c r="BE74" s="0" t="n">
        <v>0.0108003639364259</v>
      </c>
      <c r="BF74" s="0" t="n">
        <v>0.0192009767911898</v>
      </c>
      <c r="BG74" s="0" t="n">
        <v>0.0342034382523678</v>
      </c>
      <c r="BH74" s="0" t="n">
        <v>0.0081742135277463</v>
      </c>
      <c r="BI74" s="0" t="n">
        <v>0.0179512265266648</v>
      </c>
      <c r="BJ74" s="0" t="n">
        <v>0.0065321753966165</v>
      </c>
      <c r="BK74" s="0" t="n">
        <v>0.0163258930730925</v>
      </c>
      <c r="BL74" s="0" t="n">
        <v>0.0246366944123564</v>
      </c>
      <c r="BM74" s="0" t="n">
        <v>0.0336904727326547</v>
      </c>
      <c r="BN74" s="0" t="n">
        <v>0.0001581140961384</v>
      </c>
      <c r="BO74" s="0" t="n">
        <v>0.0235947329231874</v>
      </c>
      <c r="BP74" s="0" t="n">
        <v>0.0226225313024154</v>
      </c>
      <c r="BQ74" s="0" t="n">
        <v>0.0254632127818072</v>
      </c>
      <c r="BR74" s="0" t="n">
        <v>0.106391434290004</v>
      </c>
      <c r="BS74" s="0" t="n">
        <v>0.0051378856341261</v>
      </c>
      <c r="BT74" s="0" t="n">
        <v>0.0356836932383232</v>
      </c>
      <c r="BU74" s="0" t="n">
        <v>0.0164143340032315</v>
      </c>
      <c r="BV74" s="0" t="n">
        <v>0.027284551403175</v>
      </c>
      <c r="BW74" s="0" t="n">
        <v>0.0705423403517318</v>
      </c>
      <c r="BX74" s="0" t="n">
        <v>0.0252648738082547</v>
      </c>
      <c r="BY74" s="0" t="n">
        <v>0.0360439400147223</v>
      </c>
      <c r="BZ74" s="0" t="n">
        <v>0.0322623012607357</v>
      </c>
      <c r="CA74" s="0" t="n">
        <v>0.0055613996109512</v>
      </c>
      <c r="CB74" s="0" t="n">
        <v>-0.0003215941134233</v>
      </c>
      <c r="CC74" s="0" t="n">
        <v>0.0076847248259445</v>
      </c>
      <c r="CD74" s="0" t="n">
        <v>0.0332059171323451</v>
      </c>
      <c r="CE74" s="0" t="n">
        <v>0.0218171022993819</v>
      </c>
      <c r="CF74" s="0" t="n">
        <v>0.0049198276913855</v>
      </c>
      <c r="CG74" s="0" t="n">
        <v>0.0489171837998108</v>
      </c>
      <c r="CH74" s="0" t="n">
        <v>0.0179486173910893</v>
      </c>
      <c r="CI74" s="0" t="n">
        <v>0.0009014907668764</v>
      </c>
      <c r="CJ74" s="0" t="n">
        <v>0.0232211266062245</v>
      </c>
      <c r="CK74" s="0" t="n">
        <v>0.0445592461216847</v>
      </c>
      <c r="CL74" s="0" t="n">
        <v>0.0298708536485554</v>
      </c>
      <c r="CM74" s="0" t="n">
        <v>0.019158914766235</v>
      </c>
      <c r="CN74" s="0" t="n">
        <v>-0.0040179834052118</v>
      </c>
      <c r="CO74" s="0" t="n">
        <v>0.0183424605227712</v>
      </c>
      <c r="CP74" s="0" t="n">
        <v>0.0329828617009674</v>
      </c>
      <c r="CQ74" s="0" t="n">
        <v>0.0678591937066525</v>
      </c>
      <c r="CR74" s="0" t="n">
        <v>0.0376529177844525</v>
      </c>
      <c r="CS74" s="0" t="n">
        <v>0.0334775602317596</v>
      </c>
      <c r="CT74" s="0" t="n">
        <v>0.0399721075000162</v>
      </c>
      <c r="CU74" s="0" t="n">
        <v>0.0370716466385332</v>
      </c>
      <c r="CV74" s="0" t="n">
        <v>0.018115130421174</v>
      </c>
      <c r="CW74" s="0" t="n">
        <v>0.0465617633338918</v>
      </c>
      <c r="CX74" s="0" t="n">
        <v>0.0409860944873771</v>
      </c>
      <c r="CY74" s="0" t="n">
        <v>0.0487013123740044</v>
      </c>
      <c r="CZ74" s="0" t="n">
        <v>0.0274915627622208</v>
      </c>
      <c r="DA74" s="0" t="n">
        <v>0.022883550240915</v>
      </c>
      <c r="DB74" s="0" t="n">
        <v>0.0226794998470639</v>
      </c>
      <c r="DC74" s="0" t="n">
        <v>0.0415608991613766</v>
      </c>
      <c r="DD74" s="0" t="n">
        <v>0.0419041496437768</v>
      </c>
      <c r="DE74" s="0" t="n">
        <v>0.0314493815096593</v>
      </c>
      <c r="DF74" s="0" t="n">
        <v>0.0179929127187698</v>
      </c>
      <c r="DG74" s="0" t="n">
        <v>0.0321785716109571</v>
      </c>
      <c r="DH74" s="0" t="n">
        <v>0.0300975724382427</v>
      </c>
      <c r="DI74" s="0" t="n">
        <v>0.0737926679690237</v>
      </c>
      <c r="DJ74" s="0" t="n">
        <v>0.0530698039254744</v>
      </c>
      <c r="DK74" s="0" t="n">
        <v>0.0817839595982161</v>
      </c>
      <c r="DL74" s="0" t="n">
        <v>0.0056992757055726</v>
      </c>
      <c r="DM74" s="0" t="n">
        <v>0.0712722292934355</v>
      </c>
      <c r="DN74" s="0" t="n">
        <v>0.0478343379095044</v>
      </c>
      <c r="DO74" s="0" t="n">
        <v>0.0340272668860954</v>
      </c>
      <c r="DP74" s="0" t="n">
        <v>0.066966983784898</v>
      </c>
      <c r="DQ74" s="0" t="n">
        <v>0.0432384256011426</v>
      </c>
      <c r="DR74" s="0" t="n">
        <v>0.034020901319957</v>
      </c>
      <c r="DS74" s="0" t="n">
        <v>0.0259527609369977</v>
      </c>
      <c r="DT74" s="0" t="n">
        <v>0.0195974057183737</v>
      </c>
      <c r="DU74" s="0" t="n">
        <v>0.0565667822173251</v>
      </c>
      <c r="DV74" s="0" t="n">
        <v>0.0286895152740155</v>
      </c>
      <c r="DW74" s="0" t="n">
        <v>0.0559886541071665</v>
      </c>
      <c r="DX74" s="0" t="n">
        <v>0.0397038348807535</v>
      </c>
      <c r="DY74" s="0" t="n">
        <v>0.0671794507501163</v>
      </c>
      <c r="DZ74" s="0" t="n">
        <v>0.0387377742133969</v>
      </c>
      <c r="EA74" s="0" t="n">
        <v>0.0411562437850428</v>
      </c>
      <c r="EB74" s="0" t="n">
        <v>0.0713446160732306</v>
      </c>
      <c r="EC74" s="0" t="n">
        <v>-0.001100128383594</v>
      </c>
      <c r="ED74" s="0" t="n">
        <v>0.0746135902339955</v>
      </c>
      <c r="EE74" s="0" t="n">
        <v>0.0380577666699898</v>
      </c>
      <c r="EF74" s="0" t="n">
        <v>0.0587038837189818</v>
      </c>
      <c r="EG74" s="0" t="n">
        <v>0.0457661955514583</v>
      </c>
      <c r="EH74" s="0" t="n">
        <v>0.0566161212644261</v>
      </c>
      <c r="EI74" s="0" t="n">
        <v>0.0408889289935211</v>
      </c>
      <c r="EJ74" s="0" t="n">
        <v>0.0500247858817819</v>
      </c>
      <c r="EK74" s="0" t="n">
        <v>0.0689192045374867</v>
      </c>
      <c r="EL74" s="0" t="n">
        <v>0.0804229526972317</v>
      </c>
      <c r="EM74" s="0" t="n">
        <v>0.0686783240112158</v>
      </c>
      <c r="EN74" s="0" t="n">
        <v>0.0135657529909409</v>
      </c>
      <c r="EO74" s="0" t="n">
        <v>0.0809137612692988</v>
      </c>
      <c r="EP74" s="72" t="n">
        <f aca="false">SUMPRODUCT(B74:EO74,$B$5:$EO$5)</f>
        <v>0.0402311082699276</v>
      </c>
      <c r="EQ74" s="72" t="n">
        <f aca="false">SUMIF('Mi portafolio'!$A$8:$A$19,$A74,'Mi portafolio'!$B$8:$B$19)</f>
        <v>0</v>
      </c>
    </row>
    <row r="75" customFormat="false" ht="15" hidden="false" customHeight="false" outlineLevel="0" collapsed="false">
      <c r="A75" s="71" t="s">
        <v>296</v>
      </c>
      <c r="B75" s="0" t="n">
        <v>0.0017739665332266</v>
      </c>
      <c r="C75" s="0" t="n">
        <v>-0.001477843681885</v>
      </c>
      <c r="D75" s="0" t="n">
        <v>-0.0038508674734842</v>
      </c>
      <c r="E75" s="0" t="n">
        <v>0.0020711103855854</v>
      </c>
      <c r="F75" s="0" t="n">
        <v>0.0103730438950156</v>
      </c>
      <c r="G75" s="0" t="n">
        <v>0.0001467598040338</v>
      </c>
      <c r="H75" s="0" t="n">
        <v>-0.0062182653791494</v>
      </c>
      <c r="I75" s="0" t="n">
        <v>0.0015301397819856</v>
      </c>
      <c r="J75" s="0" t="n">
        <v>0.0082043212867358</v>
      </c>
      <c r="K75" s="0" t="n">
        <v>-0.0033824867480837</v>
      </c>
      <c r="L75" s="0" t="n">
        <v>-0.0043839215734675</v>
      </c>
      <c r="M75" s="0" t="n">
        <v>-0.0062622122632747</v>
      </c>
      <c r="N75" s="0" t="n">
        <v>0.0032820452629575</v>
      </c>
      <c r="O75" s="0" t="n">
        <v>-0.0043726248956927</v>
      </c>
      <c r="P75" s="0" t="n">
        <v>0.0127377060113419</v>
      </c>
      <c r="Q75" s="0" t="n">
        <v>-0.0037494941389353</v>
      </c>
      <c r="R75" s="0" t="n">
        <v>0.0109248067158671</v>
      </c>
      <c r="S75" s="0" t="n">
        <v>-0.0087454068841035</v>
      </c>
      <c r="T75" s="0" t="n">
        <v>-0.000219467138868</v>
      </c>
      <c r="U75" s="0" t="n">
        <v>-0.0069944903094265</v>
      </c>
      <c r="V75" s="0" t="n">
        <v>-0.0064764965173974</v>
      </c>
      <c r="W75" s="0" t="n">
        <v>-0.002912833238967</v>
      </c>
      <c r="X75" s="0" t="n">
        <v>-0.0008996935228341</v>
      </c>
      <c r="Y75" s="0" t="n">
        <v>-0.0005955470385485</v>
      </c>
      <c r="Z75" s="0" t="n">
        <v>-0.0083962379589687</v>
      </c>
      <c r="AA75" s="0" t="n">
        <v>-0.0105563776441851</v>
      </c>
      <c r="AB75" s="0" t="n">
        <v>0.0001759300341691</v>
      </c>
      <c r="AC75" s="0" t="n">
        <v>0.0010419011005182</v>
      </c>
      <c r="AD75" s="0" t="n">
        <v>0.0057442123306284</v>
      </c>
      <c r="AE75" s="0" t="n">
        <v>-0.0182082105802207</v>
      </c>
      <c r="AF75" s="0" t="n">
        <v>-0.0083201894589599</v>
      </c>
      <c r="AG75" s="0" t="n">
        <v>0.0189894796856672</v>
      </c>
      <c r="AH75" s="0" t="n">
        <v>0.0184161143305303</v>
      </c>
      <c r="AI75" s="0" t="n">
        <v>0.0619806617065904</v>
      </c>
      <c r="AJ75" s="0" t="n">
        <v>-0.0052560153825285</v>
      </c>
      <c r="AK75" s="0" t="n">
        <v>-0.0125799902591047</v>
      </c>
      <c r="AL75" s="0" t="n">
        <v>-0.000535818000804</v>
      </c>
      <c r="AM75" s="0" t="n">
        <v>-0.0107857311846057</v>
      </c>
      <c r="AN75" s="0" t="n">
        <v>-0.0162128473154678</v>
      </c>
      <c r="AO75" s="0" t="n">
        <v>0.0056525358257304</v>
      </c>
      <c r="AP75" s="0" t="n">
        <v>-0.0059765308062544</v>
      </c>
      <c r="AQ75" s="0" t="n">
        <v>0.0679273421529076</v>
      </c>
      <c r="AR75" s="0" t="n">
        <v>0.0029232246612586</v>
      </c>
      <c r="AS75" s="0" t="n">
        <v>-0.0133838455897639</v>
      </c>
      <c r="AT75" s="0" t="n">
        <v>-0.0075838038549903</v>
      </c>
      <c r="AU75" s="0" t="n">
        <v>0.0109961581777804</v>
      </c>
      <c r="AV75" s="0" t="n">
        <v>-0.0021682233210373</v>
      </c>
      <c r="AW75" s="0" t="n">
        <v>-0.0060594823077064</v>
      </c>
      <c r="AX75" s="0" t="n">
        <v>0.0017449010546751</v>
      </c>
      <c r="AY75" s="0" t="n">
        <v>0.0001805463723888</v>
      </c>
      <c r="AZ75" s="0" t="n">
        <v>-0.0196774270146213</v>
      </c>
      <c r="BA75" s="0" t="n">
        <v>-0.0028636851588193</v>
      </c>
      <c r="BB75" s="0" t="n">
        <v>-0.0096197229833004</v>
      </c>
      <c r="BC75" s="0" t="n">
        <v>-0.0044495689708553</v>
      </c>
      <c r="BD75" s="0" t="n">
        <v>-0.01267103582673</v>
      </c>
      <c r="BE75" s="0" t="n">
        <v>0.0055125048677057</v>
      </c>
      <c r="BF75" s="0" t="n">
        <v>-0.0001936851085677</v>
      </c>
      <c r="BG75" s="0" t="n">
        <v>-0.0032786037863822</v>
      </c>
      <c r="BH75" s="0" t="n">
        <v>-0.0157158732024063</v>
      </c>
      <c r="BI75" s="0" t="n">
        <v>-0.0034291439070593</v>
      </c>
      <c r="BJ75" s="0" t="n">
        <v>0.0072330583204564</v>
      </c>
      <c r="BK75" s="0" t="n">
        <v>-0.0133325858542996</v>
      </c>
      <c r="BL75" s="0" t="n">
        <v>-0.0017218969911766</v>
      </c>
      <c r="BM75" s="0" t="n">
        <v>0.0058796439097059</v>
      </c>
      <c r="BN75" s="0" t="n">
        <v>0.0057261072868379</v>
      </c>
      <c r="BO75" s="0" t="n">
        <v>-0.0115954926654224</v>
      </c>
      <c r="BP75" s="0" t="n">
        <v>-0.0044795623335645</v>
      </c>
      <c r="BQ75" s="0" t="n">
        <v>-0.018863925698808</v>
      </c>
      <c r="BR75" s="0" t="n">
        <v>0.0051378856341261</v>
      </c>
      <c r="BS75" s="0" t="n">
        <v>0.113036647972489</v>
      </c>
      <c r="BT75" s="0" t="n">
        <v>-0.0260084479967424</v>
      </c>
      <c r="BU75" s="0" t="n">
        <v>-0.0098996314403336</v>
      </c>
      <c r="BV75" s="0" t="n">
        <v>-0.0034755253767739</v>
      </c>
      <c r="BW75" s="0" t="n">
        <v>0.0041217110177562</v>
      </c>
      <c r="BX75" s="0" t="n">
        <v>0.0010557953633141</v>
      </c>
      <c r="BY75" s="0" t="n">
        <v>-0.0034954092734052</v>
      </c>
      <c r="BZ75" s="0" t="n">
        <v>-0.0168035324512764</v>
      </c>
      <c r="CA75" s="0" t="n">
        <v>-0.0100217478520746</v>
      </c>
      <c r="CB75" s="0" t="n">
        <v>0.0150160703452128</v>
      </c>
      <c r="CC75" s="0" t="n">
        <v>-0.0001893208149018</v>
      </c>
      <c r="CD75" s="0" t="n">
        <v>0.0010370868545857</v>
      </c>
      <c r="CE75" s="0" t="n">
        <v>0.0142902991548025</v>
      </c>
      <c r="CF75" s="0" t="n">
        <v>0.100156184160616</v>
      </c>
      <c r="CG75" s="0" t="n">
        <v>-0.0088510431995737</v>
      </c>
      <c r="CH75" s="0" t="n">
        <v>-0.0172361039197122</v>
      </c>
      <c r="CI75" s="0" t="n">
        <v>0.0992264511602666</v>
      </c>
      <c r="CJ75" s="0" t="n">
        <v>0.0151961330577991</v>
      </c>
      <c r="CK75" s="0" t="n">
        <v>0.0054510610718856</v>
      </c>
      <c r="CL75" s="0" t="n">
        <v>-0.0053072200683069</v>
      </c>
      <c r="CM75" s="0" t="n">
        <v>-0.0063794447727464</v>
      </c>
      <c r="CN75" s="0" t="n">
        <v>-0.0004191762003629</v>
      </c>
      <c r="CO75" s="0" t="n">
        <v>-0.0145694228274044</v>
      </c>
      <c r="CP75" s="0" t="n">
        <v>0.0087714307854589</v>
      </c>
      <c r="CQ75" s="0" t="n">
        <v>-0.0287108887422294</v>
      </c>
      <c r="CR75" s="0" t="n">
        <v>-0.0103356673100567</v>
      </c>
      <c r="CS75" s="0" t="n">
        <v>0.0024262616951934</v>
      </c>
      <c r="CT75" s="0" t="n">
        <v>-0.0093437384510319</v>
      </c>
      <c r="CU75" s="0" t="n">
        <v>0.0056079858310136</v>
      </c>
      <c r="CV75" s="0" t="n">
        <v>-0.0165049602587239</v>
      </c>
      <c r="CW75" s="0" t="n">
        <v>-0.01058942342511</v>
      </c>
      <c r="CX75" s="0" t="n">
        <v>-0.0142756717605875</v>
      </c>
      <c r="CY75" s="0" t="n">
        <v>-0.037306302946759</v>
      </c>
      <c r="CZ75" s="0" t="n">
        <v>0.0111823070249102</v>
      </c>
      <c r="DA75" s="0" t="n">
        <v>0.0017633760993487</v>
      </c>
      <c r="DB75" s="0" t="n">
        <v>-0.0068570684151539</v>
      </c>
      <c r="DC75" s="0" t="n">
        <v>-0.0435123248904268</v>
      </c>
      <c r="DD75" s="0" t="n">
        <v>-0.008766867757648</v>
      </c>
      <c r="DE75" s="0" t="n">
        <v>-0.0152083428533933</v>
      </c>
      <c r="DF75" s="0" t="n">
        <v>0.0089355268467956</v>
      </c>
      <c r="DG75" s="0" t="n">
        <v>-0.012955123770444</v>
      </c>
      <c r="DH75" s="0" t="n">
        <v>0.0010898493272278</v>
      </c>
      <c r="DI75" s="0" t="n">
        <v>-0.0511624930678814</v>
      </c>
      <c r="DJ75" s="0" t="n">
        <v>-0.0221136277908795</v>
      </c>
      <c r="DK75" s="0" t="n">
        <v>-0.0495418314645269</v>
      </c>
      <c r="DL75" s="0" t="n">
        <v>-0.0321263680841046</v>
      </c>
      <c r="DM75" s="0" t="n">
        <v>-0.0407156066558873</v>
      </c>
      <c r="DN75" s="0" t="n">
        <v>-0.0057664039154591</v>
      </c>
      <c r="DO75" s="0" t="n">
        <v>0.0048261188565892</v>
      </c>
      <c r="DP75" s="0" t="n">
        <v>-0.037459927887374</v>
      </c>
      <c r="DQ75" s="0" t="n">
        <v>0.00842759015136</v>
      </c>
      <c r="DR75" s="0" t="n">
        <v>0.0107832383648023</v>
      </c>
      <c r="DS75" s="0" t="n">
        <v>0.0002453657687736</v>
      </c>
      <c r="DT75" s="0" t="n">
        <v>-0.0066251942521387</v>
      </c>
      <c r="DU75" s="0" t="n">
        <v>-0.0239230465442639</v>
      </c>
      <c r="DV75" s="0" t="n">
        <v>-0.0059813660014232</v>
      </c>
      <c r="DW75" s="0" t="n">
        <v>-0.0275585551515347</v>
      </c>
      <c r="DX75" s="0" t="n">
        <v>-0.0122095530797755</v>
      </c>
      <c r="DY75" s="0" t="n">
        <v>-0.031013363431182</v>
      </c>
      <c r="DZ75" s="0" t="n">
        <v>0.0154790379147798</v>
      </c>
      <c r="EA75" s="0" t="n">
        <v>-0.0372274181716667</v>
      </c>
      <c r="EB75" s="0" t="n">
        <v>-0.0204651453605841</v>
      </c>
      <c r="EC75" s="0" t="n">
        <v>-0.0145788321091527</v>
      </c>
      <c r="ED75" s="0" t="n">
        <v>-0.0057844111162299</v>
      </c>
      <c r="EE75" s="0" t="n">
        <v>-0.0136382677817455</v>
      </c>
      <c r="EF75" s="0" t="n">
        <v>0.0054701735018721</v>
      </c>
      <c r="EG75" s="0" t="n">
        <v>-0.0158916429701966</v>
      </c>
      <c r="EH75" s="0" t="n">
        <v>-0.0127629864442012</v>
      </c>
      <c r="EI75" s="0" t="n">
        <v>-0.0080822318396786</v>
      </c>
      <c r="EJ75" s="0" t="n">
        <v>0.0059198237641066</v>
      </c>
      <c r="EK75" s="0" t="n">
        <v>0.0234874172128529</v>
      </c>
      <c r="EL75" s="0" t="n">
        <v>-0.0275128158924544</v>
      </c>
      <c r="EM75" s="0" t="n">
        <v>-0.0080856208028682</v>
      </c>
      <c r="EN75" s="0" t="n">
        <v>-0.027212360212858</v>
      </c>
      <c r="EO75" s="0" t="n">
        <v>0.0077745738019404</v>
      </c>
      <c r="EP75" s="72" t="n">
        <f aca="false">SUMPRODUCT(B75:EO75,$B$5:$EO$5)</f>
        <v>-0.0115072668647</v>
      </c>
      <c r="EQ75" s="72" t="n">
        <f aca="false">SUMIF('Mi portafolio'!$A$8:$A$19,$A75,'Mi portafolio'!$B$8:$B$19)</f>
        <v>0</v>
      </c>
    </row>
    <row r="76" customFormat="false" ht="15" hidden="false" customHeight="false" outlineLevel="0" collapsed="false">
      <c r="A76" s="71" t="s">
        <v>298</v>
      </c>
      <c r="B76" s="0" t="n">
        <v>0.010472434584292</v>
      </c>
      <c r="C76" s="0" t="n">
        <v>0.0024040845746327</v>
      </c>
      <c r="D76" s="0" t="n">
        <v>0.0031810264526943</v>
      </c>
      <c r="E76" s="0" t="n">
        <v>0.00376157386468</v>
      </c>
      <c r="F76" s="0" t="n">
        <v>0.0056576273293797</v>
      </c>
      <c r="G76" s="0" t="n">
        <v>0.0008699556760018</v>
      </c>
      <c r="H76" s="0" t="n">
        <v>0.0127730364759202</v>
      </c>
      <c r="I76" s="0" t="n">
        <v>0.0130788760374046</v>
      </c>
      <c r="J76" s="0" t="n">
        <v>0.0139040405829878</v>
      </c>
      <c r="K76" s="0" t="n">
        <v>0.0126505362960681</v>
      </c>
      <c r="L76" s="0" t="n">
        <v>0.0093231180150214</v>
      </c>
      <c r="M76" s="0" t="n">
        <v>0.0260060978207081</v>
      </c>
      <c r="N76" s="0" t="n">
        <v>0.0147289998479238</v>
      </c>
      <c r="O76" s="0" t="n">
        <v>0.0138918260473776</v>
      </c>
      <c r="P76" s="0" t="n">
        <v>0.0020657733527305</v>
      </c>
      <c r="Q76" s="0" t="n">
        <v>0.001312711627807</v>
      </c>
      <c r="R76" s="0" t="n">
        <v>0.0066336687093437</v>
      </c>
      <c r="S76" s="0" t="n">
        <v>0.0127312878415917</v>
      </c>
      <c r="T76" s="0" t="n">
        <v>0.035089411230151</v>
      </c>
      <c r="U76" s="0" t="n">
        <v>0.0150341698110507</v>
      </c>
      <c r="V76" s="0" t="n">
        <v>0.0044404904919534</v>
      </c>
      <c r="W76" s="0" t="n">
        <v>0.0049171007219844</v>
      </c>
      <c r="X76" s="0" t="n">
        <v>0.0370464017513926</v>
      </c>
      <c r="Y76" s="0" t="n">
        <v>0.0134754832512137</v>
      </c>
      <c r="Z76" s="0" t="n">
        <v>0.0097334495848899</v>
      </c>
      <c r="AA76" s="0" t="n">
        <v>0.0113504787916857</v>
      </c>
      <c r="AB76" s="0" t="n">
        <v>0.014191391807805</v>
      </c>
      <c r="AC76" s="0" t="n">
        <v>0.0089071938172952</v>
      </c>
      <c r="AD76" s="0" t="n">
        <v>0.0142118871376006</v>
      </c>
      <c r="AE76" s="0" t="n">
        <v>0.0238549655038585</v>
      </c>
      <c r="AF76" s="0" t="n">
        <v>0.0156530663729014</v>
      </c>
      <c r="AG76" s="0" t="n">
        <v>-0.0051785562573645</v>
      </c>
      <c r="AH76" s="0" t="n">
        <v>0.0007776343385203</v>
      </c>
      <c r="AI76" s="0" t="n">
        <v>-0.0191480972318168</v>
      </c>
      <c r="AJ76" s="0" t="n">
        <v>0.0053204799006234</v>
      </c>
      <c r="AK76" s="0" t="n">
        <v>0.0229905668397878</v>
      </c>
      <c r="AL76" s="0" t="n">
        <v>0.0203853399274185</v>
      </c>
      <c r="AM76" s="0" t="n">
        <v>0.023568694819421</v>
      </c>
      <c r="AN76" s="0" t="n">
        <v>0.0386913766274869</v>
      </c>
      <c r="AO76" s="0" t="n">
        <v>0.0107142089059416</v>
      </c>
      <c r="AP76" s="0" t="n">
        <v>0.0232772380164647</v>
      </c>
      <c r="AQ76" s="0" t="n">
        <v>-0.0222487808611769</v>
      </c>
      <c r="AR76" s="0" t="n">
        <v>0.034589737805503</v>
      </c>
      <c r="AS76" s="0" t="n">
        <v>0.0138265188894213</v>
      </c>
      <c r="AT76" s="0" t="n">
        <v>0.0289883371149785</v>
      </c>
      <c r="AU76" s="0" t="n">
        <v>0.0099884679091228</v>
      </c>
      <c r="AV76" s="0" t="n">
        <v>0.009160867910236</v>
      </c>
      <c r="AW76" s="0" t="n">
        <v>0.0201812780704931</v>
      </c>
      <c r="AX76" s="0" t="n">
        <v>0.0231520392141726</v>
      </c>
      <c r="AY76" s="0" t="n">
        <v>0.0202426454200109</v>
      </c>
      <c r="AZ76" s="0" t="n">
        <v>0.0218822721197598</v>
      </c>
      <c r="BA76" s="0" t="n">
        <v>0.0327876353115405</v>
      </c>
      <c r="BB76" s="0" t="n">
        <v>0.0518583530058016</v>
      </c>
      <c r="BC76" s="0" t="n">
        <v>0.0199857778228043</v>
      </c>
      <c r="BD76" s="0" t="n">
        <v>0.0148286073429467</v>
      </c>
      <c r="BE76" s="0" t="n">
        <v>0.0228303095580503</v>
      </c>
      <c r="BF76" s="0" t="n">
        <v>0.0222378714139996</v>
      </c>
      <c r="BG76" s="0" t="n">
        <v>0.0229544006208556</v>
      </c>
      <c r="BH76" s="0" t="n">
        <v>0.0225211357383515</v>
      </c>
      <c r="BI76" s="0" t="n">
        <v>0.0117995307389242</v>
      </c>
      <c r="BJ76" s="0" t="n">
        <v>0.004625296127328</v>
      </c>
      <c r="BK76" s="0" t="n">
        <v>0.0175459891081238</v>
      </c>
      <c r="BL76" s="0" t="n">
        <v>0.0379447764917488</v>
      </c>
      <c r="BM76" s="0" t="n">
        <v>0.0142365174339332</v>
      </c>
      <c r="BN76" s="0" t="n">
        <v>0.0131225197346139</v>
      </c>
      <c r="BO76" s="0" t="n">
        <v>0.0383371182154508</v>
      </c>
      <c r="BP76" s="0" t="n">
        <v>0.0084266693643231</v>
      </c>
      <c r="BQ76" s="0" t="n">
        <v>0.0350922078351099</v>
      </c>
      <c r="BR76" s="0" t="n">
        <v>0.0356836932383232</v>
      </c>
      <c r="BS76" s="0" t="n">
        <v>-0.0260084479967424</v>
      </c>
      <c r="BT76" s="0" t="n">
        <v>0.115386009804586</v>
      </c>
      <c r="BU76" s="0" t="n">
        <v>0.0256578970752764</v>
      </c>
      <c r="BV76" s="0" t="n">
        <v>0.0300829314214268</v>
      </c>
      <c r="BW76" s="0" t="n">
        <v>0.0224273030770531</v>
      </c>
      <c r="BX76" s="0" t="n">
        <v>0.022779764057675</v>
      </c>
      <c r="BY76" s="0" t="n">
        <v>0.0422946620051016</v>
      </c>
      <c r="BZ76" s="0" t="n">
        <v>0.0590610908824282</v>
      </c>
      <c r="CA76" s="0" t="n">
        <v>0.0172528580429373</v>
      </c>
      <c r="CB76" s="0" t="n">
        <v>-0.0056704590760222</v>
      </c>
      <c r="CC76" s="0" t="n">
        <v>0.0033507981330459</v>
      </c>
      <c r="CD76" s="0" t="n">
        <v>0.0337631073656173</v>
      </c>
      <c r="CE76" s="0" t="n">
        <v>0.0166740057083661</v>
      </c>
      <c r="CF76" s="0" t="n">
        <v>-0.0332890640060056</v>
      </c>
      <c r="CG76" s="0" t="n">
        <v>0.0306942913272191</v>
      </c>
      <c r="CH76" s="0" t="n">
        <v>0.0402373835653575</v>
      </c>
      <c r="CI76" s="0" t="n">
        <v>-0.0318664726462453</v>
      </c>
      <c r="CJ76" s="0" t="n">
        <v>0.0147471195469146</v>
      </c>
      <c r="CK76" s="0" t="n">
        <v>0.0198056622177721</v>
      </c>
      <c r="CL76" s="0" t="n">
        <v>0.0376891215543556</v>
      </c>
      <c r="CM76" s="0" t="n">
        <v>0.0387280117484332</v>
      </c>
      <c r="CN76" s="0" t="n">
        <v>0.0086729711326708</v>
      </c>
      <c r="CO76" s="0" t="n">
        <v>0.008749077661976</v>
      </c>
      <c r="CP76" s="0" t="n">
        <v>0.0072512173029462</v>
      </c>
      <c r="CQ76" s="0" t="n">
        <v>0.0691615350937402</v>
      </c>
      <c r="CR76" s="0" t="n">
        <v>0.0521084994883654</v>
      </c>
      <c r="CS76" s="0" t="n">
        <v>0.0682471100376247</v>
      </c>
      <c r="CT76" s="0" t="n">
        <v>0.0340896212821212</v>
      </c>
      <c r="CU76" s="0" t="n">
        <v>0.0236862601963327</v>
      </c>
      <c r="CV76" s="0" t="n">
        <v>0.0261367713297499</v>
      </c>
      <c r="CW76" s="0" t="n">
        <v>0.037133563333688</v>
      </c>
      <c r="CX76" s="0" t="n">
        <v>0.0543939014127919</v>
      </c>
      <c r="CY76" s="0" t="n">
        <v>0.0737294896844589</v>
      </c>
      <c r="CZ76" s="0" t="n">
        <v>-0.0004009273583003</v>
      </c>
      <c r="DA76" s="0" t="n">
        <v>0.0200941258115486</v>
      </c>
      <c r="DB76" s="0" t="n">
        <v>0.0385052283363838</v>
      </c>
      <c r="DC76" s="0" t="n">
        <v>0.0489340201360575</v>
      </c>
      <c r="DD76" s="0" t="n">
        <v>0.0475238175665234</v>
      </c>
      <c r="DE76" s="0" t="n">
        <v>0.0504702083771683</v>
      </c>
      <c r="DF76" s="0" t="n">
        <v>-0.0221801381841885</v>
      </c>
      <c r="DG76" s="0" t="n">
        <v>0.0468202185333072</v>
      </c>
      <c r="DH76" s="0" t="n">
        <v>0.0373328648288521</v>
      </c>
      <c r="DI76" s="0" t="n">
        <v>0.0799025616690728</v>
      </c>
      <c r="DJ76" s="0" t="n">
        <v>0.0727490131494565</v>
      </c>
      <c r="DK76" s="0" t="n">
        <v>0.0915017279093648</v>
      </c>
      <c r="DL76" s="0" t="n">
        <v>0.0286540149824711</v>
      </c>
      <c r="DM76" s="0" t="n">
        <v>0.0916503159331312</v>
      </c>
      <c r="DN76" s="0" t="n">
        <v>0.0286637762413487</v>
      </c>
      <c r="DO76" s="0" t="n">
        <v>0.0487963925496435</v>
      </c>
      <c r="DP76" s="0" t="n">
        <v>0.0960288699438742</v>
      </c>
      <c r="DQ76" s="0" t="n">
        <v>0.0542586925327178</v>
      </c>
      <c r="DR76" s="0" t="n">
        <v>0.0380934493173736</v>
      </c>
      <c r="DS76" s="0" t="n">
        <v>0.0245213862748182</v>
      </c>
      <c r="DT76" s="0" t="n">
        <v>0.0291202246018165</v>
      </c>
      <c r="DU76" s="0" t="n">
        <v>0.069804670945142</v>
      </c>
      <c r="DV76" s="0" t="n">
        <v>0.0296512721981415</v>
      </c>
      <c r="DW76" s="0" t="n">
        <v>0.0375516027635409</v>
      </c>
      <c r="DX76" s="0" t="n">
        <v>0.0752067857985514</v>
      </c>
      <c r="DY76" s="0" t="n">
        <v>0.0597548748534367</v>
      </c>
      <c r="DZ76" s="0" t="n">
        <v>0.001651701566171</v>
      </c>
      <c r="EA76" s="0" t="n">
        <v>0.0582091472665562</v>
      </c>
      <c r="EB76" s="0" t="n">
        <v>0.0653840400233531</v>
      </c>
      <c r="EC76" s="0" t="n">
        <v>0.0143731382496147</v>
      </c>
      <c r="ED76" s="0" t="n">
        <v>0.0529312721185341</v>
      </c>
      <c r="EE76" s="0" t="n">
        <v>0.073816202792857</v>
      </c>
      <c r="EF76" s="0" t="n">
        <v>0.0707106363351928</v>
      </c>
      <c r="EG76" s="0" t="n">
        <v>0.0674268897734239</v>
      </c>
      <c r="EH76" s="0" t="n">
        <v>0.026128654331961</v>
      </c>
      <c r="EI76" s="0" t="n">
        <v>0.0746518481391613</v>
      </c>
      <c r="EJ76" s="0" t="n">
        <v>0.0673550014078475</v>
      </c>
      <c r="EK76" s="0" t="n">
        <v>0.0778655034656713</v>
      </c>
      <c r="EL76" s="0" t="n">
        <v>0.118781624079631</v>
      </c>
      <c r="EM76" s="0" t="n">
        <v>0.0682019235710304</v>
      </c>
      <c r="EN76" s="0" t="n">
        <v>-0.0109447484585551</v>
      </c>
      <c r="EO76" s="0" t="n">
        <v>0.081738440500322</v>
      </c>
      <c r="EP76" s="72" t="n">
        <f aca="false">SUMPRODUCT(B76:EO76,$B$5:$EO$5)</f>
        <v>0.0668373187176478</v>
      </c>
      <c r="EQ76" s="72" t="n">
        <f aca="false">SUMIF('Mi portafolio'!$A$8:$A$19,$A76,'Mi portafolio'!$B$8:$B$19)</f>
        <v>0</v>
      </c>
    </row>
    <row r="77" customFormat="false" ht="15" hidden="false" customHeight="false" outlineLevel="0" collapsed="false">
      <c r="A77" s="71" t="s">
        <v>299</v>
      </c>
      <c r="B77" s="0" t="n">
        <v>-0.0039311534067826</v>
      </c>
      <c r="C77" s="0" t="n">
        <v>0.0035045606276751</v>
      </c>
      <c r="D77" s="0" t="n">
        <v>0.0065650349074907</v>
      </c>
      <c r="E77" s="0" t="n">
        <v>0.0113903343646284</v>
      </c>
      <c r="F77" s="0" t="n">
        <v>-0.0041550580927723</v>
      </c>
      <c r="G77" s="0" t="n">
        <v>-0.0007217338725258</v>
      </c>
      <c r="H77" s="0" t="n">
        <v>0.0129676182154995</v>
      </c>
      <c r="I77" s="0" t="n">
        <v>-0.0039911832969387</v>
      </c>
      <c r="J77" s="0" t="n">
        <v>0.0018312688034391</v>
      </c>
      <c r="K77" s="0" t="n">
        <v>-0.0027858690050975</v>
      </c>
      <c r="L77" s="0" t="n">
        <v>0.0054794563503903</v>
      </c>
      <c r="M77" s="0" t="n">
        <v>0.0092167774680191</v>
      </c>
      <c r="N77" s="0" t="n">
        <v>0.0031776394885069</v>
      </c>
      <c r="O77" s="0" t="n">
        <v>0.0135795089892188</v>
      </c>
      <c r="P77" s="0" t="n">
        <v>0.0027257688668771</v>
      </c>
      <c r="Q77" s="0" t="n">
        <v>-0.0017873549573418</v>
      </c>
      <c r="R77" s="0" t="n">
        <v>0.0010942639360742</v>
      </c>
      <c r="S77" s="0" t="n">
        <v>0.014968338810671</v>
      </c>
      <c r="T77" s="0" t="n">
        <v>0.012415237960264</v>
      </c>
      <c r="U77" s="0" t="n">
        <v>0.0222611883538048</v>
      </c>
      <c r="V77" s="0" t="n">
        <v>0.0085167739863605</v>
      </c>
      <c r="W77" s="0" t="n">
        <v>0.010618173381341</v>
      </c>
      <c r="X77" s="0" t="n">
        <v>0.0145535685568338</v>
      </c>
      <c r="Y77" s="0" t="n">
        <v>-0.0010923943339302</v>
      </c>
      <c r="Z77" s="0" t="n">
        <v>0.0223891549632497</v>
      </c>
      <c r="AA77" s="0" t="n">
        <v>0.0096211302533223</v>
      </c>
      <c r="AB77" s="0" t="n">
        <v>-0.0013449576793255</v>
      </c>
      <c r="AC77" s="0" t="n">
        <v>0.0065868291008722</v>
      </c>
      <c r="AD77" s="0" t="n">
        <v>0.0167074179901283</v>
      </c>
      <c r="AE77" s="0" t="n">
        <v>0.0229171438605101</v>
      </c>
      <c r="AF77" s="0" t="n">
        <v>0.0219705094535371</v>
      </c>
      <c r="AG77" s="0" t="n">
        <v>-0.0030874974304274</v>
      </c>
      <c r="AH77" s="0" t="n">
        <v>-0.0082252935894221</v>
      </c>
      <c r="AI77" s="0" t="n">
        <v>-0.0097656262587068</v>
      </c>
      <c r="AJ77" s="0" t="n">
        <v>0.013550046214595</v>
      </c>
      <c r="AK77" s="0" t="n">
        <v>0.032279444428479</v>
      </c>
      <c r="AL77" s="0" t="n">
        <v>0.007320822552261</v>
      </c>
      <c r="AM77" s="0" t="n">
        <v>0.0258099230094266</v>
      </c>
      <c r="AN77" s="0" t="n">
        <v>0.0121973891926216</v>
      </c>
      <c r="AO77" s="0" t="n">
        <v>-0.0094699009100999</v>
      </c>
      <c r="AP77" s="0" t="n">
        <v>0.0086854541014084</v>
      </c>
      <c r="AQ77" s="0" t="n">
        <v>-0.0056439039669965</v>
      </c>
      <c r="AR77" s="0" t="n">
        <v>0.0191374620892543</v>
      </c>
      <c r="AS77" s="0" t="n">
        <v>0.0254381648138507</v>
      </c>
      <c r="AT77" s="0" t="n">
        <v>0.0082363263406925</v>
      </c>
      <c r="AU77" s="0" t="n">
        <v>-0.0011534101979222</v>
      </c>
      <c r="AV77" s="0" t="n">
        <v>0.0084021624933792</v>
      </c>
      <c r="AW77" s="0" t="n">
        <v>0.0279537356393904</v>
      </c>
      <c r="AX77" s="0" t="n">
        <v>0.0010669176988134</v>
      </c>
      <c r="AY77" s="0" t="n">
        <v>0.0059837791416135</v>
      </c>
      <c r="AZ77" s="0" t="n">
        <v>0.0246461012418403</v>
      </c>
      <c r="BA77" s="0" t="n">
        <v>0.0165388373838463</v>
      </c>
      <c r="BB77" s="0" t="n">
        <v>0.0190738787984759</v>
      </c>
      <c r="BC77" s="0" t="n">
        <v>0.013299201095767</v>
      </c>
      <c r="BD77" s="0" t="n">
        <v>0.0341939993502952</v>
      </c>
      <c r="BE77" s="0" t="n">
        <v>0.0055863179575872</v>
      </c>
      <c r="BF77" s="0" t="n">
        <v>0.0200394849021355</v>
      </c>
      <c r="BG77" s="0" t="n">
        <v>0.0073685186937987</v>
      </c>
      <c r="BH77" s="0" t="n">
        <v>0.0285440268580063</v>
      </c>
      <c r="BI77" s="0" t="n">
        <v>0.0088158509939321</v>
      </c>
      <c r="BJ77" s="0" t="n">
        <v>0.0009776665507692</v>
      </c>
      <c r="BK77" s="0" t="n">
        <v>0.023570388049991</v>
      </c>
      <c r="BL77" s="0" t="n">
        <v>0.0146161279752122</v>
      </c>
      <c r="BM77" s="0" t="n">
        <v>0.0076033650823977</v>
      </c>
      <c r="BN77" s="0" t="n">
        <v>-0.0009951106006857</v>
      </c>
      <c r="BO77" s="0" t="n">
        <v>0.0152485693785589</v>
      </c>
      <c r="BP77" s="0" t="n">
        <v>-0.0034991186445272</v>
      </c>
      <c r="BQ77" s="0" t="n">
        <v>0.0308428801300838</v>
      </c>
      <c r="BR77" s="0" t="n">
        <v>0.0164143340032315</v>
      </c>
      <c r="BS77" s="0" t="n">
        <v>-0.0098996314403336</v>
      </c>
      <c r="BT77" s="0" t="n">
        <v>0.0256578970752764</v>
      </c>
      <c r="BU77" s="0" t="n">
        <v>0.115565334210434</v>
      </c>
      <c r="BV77" s="0" t="n">
        <v>0.0127412027395602</v>
      </c>
      <c r="BW77" s="0" t="n">
        <v>0.0094511673714758</v>
      </c>
      <c r="BX77" s="0" t="n">
        <v>0.0099976931476473</v>
      </c>
      <c r="BY77" s="0" t="n">
        <v>0.0146768382009543</v>
      </c>
      <c r="BZ77" s="0" t="n">
        <v>0.0182472025899921</v>
      </c>
      <c r="CA77" s="0" t="n">
        <v>0.0132131809589126</v>
      </c>
      <c r="CB77" s="0" t="n">
        <v>-0.0010970631623069</v>
      </c>
      <c r="CC77" s="0" t="n">
        <v>-0.0017768182179167</v>
      </c>
      <c r="CD77" s="0" t="n">
        <v>0.0099987875712976</v>
      </c>
      <c r="CE77" s="0" t="n">
        <v>0.013260961171391</v>
      </c>
      <c r="CF77" s="0" t="n">
        <v>-0.014343237069211</v>
      </c>
      <c r="CG77" s="0" t="n">
        <v>0.0200972952230828</v>
      </c>
      <c r="CH77" s="0" t="n">
        <v>0.031309550625005</v>
      </c>
      <c r="CI77" s="0" t="n">
        <v>-0.013111647134107</v>
      </c>
      <c r="CJ77" s="0" t="n">
        <v>-0.0036777870316798</v>
      </c>
      <c r="CK77" s="0" t="n">
        <v>0.0141974745989814</v>
      </c>
      <c r="CL77" s="0" t="n">
        <v>0.0164439351740971</v>
      </c>
      <c r="CM77" s="0" t="n">
        <v>0.0228688094621237</v>
      </c>
      <c r="CN77" s="0" t="n">
        <v>0.022379123043315</v>
      </c>
      <c r="CO77" s="0" t="n">
        <v>-0.0019409513522835</v>
      </c>
      <c r="CP77" s="0" t="n">
        <v>-0.0067271636743889</v>
      </c>
      <c r="CQ77" s="0" t="n">
        <v>0.0195861757378767</v>
      </c>
      <c r="CR77" s="0" t="n">
        <v>0.0122245235719242</v>
      </c>
      <c r="CS77" s="0" t="n">
        <v>0.0202572221461951</v>
      </c>
      <c r="CT77" s="0" t="n">
        <v>0.0079095274046393</v>
      </c>
      <c r="CU77" s="0" t="n">
        <v>0.0205661220174628</v>
      </c>
      <c r="CV77" s="0" t="n">
        <v>0.0147806190519573</v>
      </c>
      <c r="CW77" s="0" t="n">
        <v>0.0186828696765911</v>
      </c>
      <c r="CX77" s="0" t="n">
        <v>0.0253139811257156</v>
      </c>
      <c r="CY77" s="0" t="n">
        <v>0.0210930473193774</v>
      </c>
      <c r="CZ77" s="0" t="n">
        <v>0.0236623644377702</v>
      </c>
      <c r="DA77" s="0" t="n">
        <v>-0.002558846239285</v>
      </c>
      <c r="DB77" s="0" t="n">
        <v>0.0184730146226824</v>
      </c>
      <c r="DC77" s="0" t="n">
        <v>0.0375441008039396</v>
      </c>
      <c r="DD77" s="0" t="n">
        <v>0.0217635398808815</v>
      </c>
      <c r="DE77" s="0" t="n">
        <v>0.0378800541536297</v>
      </c>
      <c r="DF77" s="0" t="n">
        <v>0.0040833000109406</v>
      </c>
      <c r="DG77" s="0" t="n">
        <v>0.030421228128671</v>
      </c>
      <c r="DH77" s="0" t="n">
        <v>0.0169508754979896</v>
      </c>
      <c r="DI77" s="0" t="n">
        <v>0.022017603083477</v>
      </c>
      <c r="DJ77" s="0" t="n">
        <v>0.0228561865890247</v>
      </c>
      <c r="DK77" s="0" t="n">
        <v>0.0228223011784495</v>
      </c>
      <c r="DL77" s="0" t="n">
        <v>0.0448468649151265</v>
      </c>
      <c r="DM77" s="0" t="n">
        <v>0.0361914226262255</v>
      </c>
      <c r="DN77" s="0" t="n">
        <v>0.0090738569506252</v>
      </c>
      <c r="DO77" s="0" t="n">
        <v>0.0020449442342559</v>
      </c>
      <c r="DP77" s="0" t="n">
        <v>0.0214167990285178</v>
      </c>
      <c r="DQ77" s="0" t="n">
        <v>0.0375131309347449</v>
      </c>
      <c r="DR77" s="0" t="n">
        <v>0.0329809735820821</v>
      </c>
      <c r="DS77" s="0" t="n">
        <v>-0.0010644160161561</v>
      </c>
      <c r="DT77" s="0" t="n">
        <v>0.0175248346635235</v>
      </c>
      <c r="DU77" s="0" t="n">
        <v>0.0361583864198093</v>
      </c>
      <c r="DV77" s="0" t="n">
        <v>0.0239989540788191</v>
      </c>
      <c r="DW77" s="0" t="n">
        <v>0.0287063295558955</v>
      </c>
      <c r="DX77" s="0" t="n">
        <v>0.027831270917375</v>
      </c>
      <c r="DY77" s="0" t="n">
        <v>0.0202546821593948</v>
      </c>
      <c r="DZ77" s="0" t="n">
        <v>0.0101321690548759</v>
      </c>
      <c r="EA77" s="0" t="n">
        <v>0.0202061577637645</v>
      </c>
      <c r="EB77" s="0" t="n">
        <v>0.0320459107757321</v>
      </c>
      <c r="EC77" s="0" t="n">
        <v>0.0197559523526596</v>
      </c>
      <c r="ED77" s="0" t="n">
        <v>0.0347811813749432</v>
      </c>
      <c r="EE77" s="0" t="n">
        <v>0.0174798798186369</v>
      </c>
      <c r="EF77" s="0" t="n">
        <v>0.010022435600247</v>
      </c>
      <c r="EG77" s="0" t="n">
        <v>0.0092449258009755</v>
      </c>
      <c r="EH77" s="0" t="n">
        <v>-0.0130681210361789</v>
      </c>
      <c r="EI77" s="0" t="n">
        <v>0.0169793561879151</v>
      </c>
      <c r="EJ77" s="0" t="n">
        <v>0.0318470814814087</v>
      </c>
      <c r="EK77" s="0" t="n">
        <v>0.0021591540562957</v>
      </c>
      <c r="EL77" s="0" t="n">
        <v>0.029541751716328</v>
      </c>
      <c r="EM77" s="0" t="n">
        <v>0.0294663177537698</v>
      </c>
      <c r="EN77" s="0" t="n">
        <v>0.0533417517631607</v>
      </c>
      <c r="EO77" s="0" t="n">
        <v>0.036762510130608</v>
      </c>
      <c r="EP77" s="72" t="n">
        <f aca="false">SUMPRODUCT(B77:EO77,$B$5:$EO$5)</f>
        <v>0.0146818939791008</v>
      </c>
      <c r="EQ77" s="72" t="n">
        <f aca="false">SUMIF('Mi portafolio'!$A$8:$A$19,$A77,'Mi portafolio'!$B$8:$B$19)</f>
        <v>0</v>
      </c>
    </row>
    <row r="78" customFormat="false" ht="15" hidden="false" customHeight="false" outlineLevel="0" collapsed="false">
      <c r="A78" s="71" t="s">
        <v>300</v>
      </c>
      <c r="B78" s="0" t="n">
        <v>0.0078437442985784</v>
      </c>
      <c r="C78" s="0" t="n">
        <v>-0.0012456841196283</v>
      </c>
      <c r="D78" s="0" t="n">
        <v>0.0022521666850199</v>
      </c>
      <c r="E78" s="0" t="n">
        <v>-0.0020030329019955</v>
      </c>
      <c r="F78" s="0" t="n">
        <v>0.0015573801378042</v>
      </c>
      <c r="G78" s="0" t="n">
        <v>0.0012244596589174</v>
      </c>
      <c r="H78" s="0" t="n">
        <v>0.0047304720685343</v>
      </c>
      <c r="I78" s="0" t="n">
        <v>0.0102855567933403</v>
      </c>
      <c r="J78" s="0" t="n">
        <v>-0.0010391638082563</v>
      </c>
      <c r="K78" s="0" t="n">
        <v>0.0104398112823858</v>
      </c>
      <c r="L78" s="0" t="n">
        <v>0.0081748148147751</v>
      </c>
      <c r="M78" s="0" t="n">
        <v>0.0243173203955694</v>
      </c>
      <c r="N78" s="0" t="n">
        <v>0.0118939721992303</v>
      </c>
      <c r="O78" s="0" t="n">
        <v>0.0075809770300251</v>
      </c>
      <c r="P78" s="0" t="n">
        <v>0.0081186839980411</v>
      </c>
      <c r="Q78" s="0" t="n">
        <v>0.0018194334509382</v>
      </c>
      <c r="R78" s="0" t="n">
        <v>0.002954640966503</v>
      </c>
      <c r="S78" s="0" t="n">
        <v>0.005482163418625</v>
      </c>
      <c r="T78" s="0" t="n">
        <v>0.0193169912846335</v>
      </c>
      <c r="U78" s="0" t="n">
        <v>0.0127105333241087</v>
      </c>
      <c r="V78" s="0" t="n">
        <v>0.0037117324510126</v>
      </c>
      <c r="W78" s="0" t="n">
        <v>0.0017570512674962</v>
      </c>
      <c r="X78" s="0" t="n">
        <v>0.0181686428667868</v>
      </c>
      <c r="Y78" s="0" t="n">
        <v>0.0196276364437314</v>
      </c>
      <c r="Z78" s="0" t="n">
        <v>0.0008907682773655</v>
      </c>
      <c r="AA78" s="0" t="n">
        <v>0.0019573853230527</v>
      </c>
      <c r="AB78" s="0" t="n">
        <v>0.0224301285889828</v>
      </c>
      <c r="AC78" s="0" t="n">
        <v>0.0011112706844798</v>
      </c>
      <c r="AD78" s="0" t="n">
        <v>0.0094979740387499</v>
      </c>
      <c r="AE78" s="0" t="n">
        <v>0.0092908968025617</v>
      </c>
      <c r="AF78" s="0" t="n">
        <v>0.0013581038103851</v>
      </c>
      <c r="AG78" s="0" t="n">
        <v>0.0013698385486688</v>
      </c>
      <c r="AH78" s="0" t="n">
        <v>0.0028034604360728</v>
      </c>
      <c r="AI78" s="0" t="n">
        <v>-0.0036407478549672</v>
      </c>
      <c r="AJ78" s="0" t="n">
        <v>0.0020137040758525</v>
      </c>
      <c r="AK78" s="0" t="n">
        <v>0.0038753889351706</v>
      </c>
      <c r="AL78" s="0" t="n">
        <v>0.0139498483974078</v>
      </c>
      <c r="AM78" s="0" t="n">
        <v>0.007537445720964</v>
      </c>
      <c r="AN78" s="0" t="n">
        <v>0.0281596400229888</v>
      </c>
      <c r="AO78" s="0" t="n">
        <v>-0.0088503640264854</v>
      </c>
      <c r="AP78" s="0" t="n">
        <v>0.0213805302568047</v>
      </c>
      <c r="AQ78" s="0" t="n">
        <v>-0.0161871161849909</v>
      </c>
      <c r="AR78" s="0" t="n">
        <v>0.0226873864704423</v>
      </c>
      <c r="AS78" s="0" t="n">
        <v>0.0059649863729891</v>
      </c>
      <c r="AT78" s="0" t="n">
        <v>0.0304487782504515</v>
      </c>
      <c r="AU78" s="0" t="n">
        <v>0.0010211638133507</v>
      </c>
      <c r="AV78" s="0" t="n">
        <v>0.0078050682443711</v>
      </c>
      <c r="AW78" s="0" t="n">
        <v>0.0068654577882353</v>
      </c>
      <c r="AX78" s="0" t="n">
        <v>0.0135558523707241</v>
      </c>
      <c r="AY78" s="0" t="n">
        <v>0.0194395401124681</v>
      </c>
      <c r="AZ78" s="0" t="n">
        <v>0.009723711445331</v>
      </c>
      <c r="BA78" s="0" t="n">
        <v>0.0180396944584179</v>
      </c>
      <c r="BB78" s="0" t="n">
        <v>0.0265996201549996</v>
      </c>
      <c r="BC78" s="0" t="n">
        <v>0.0001226502986343</v>
      </c>
      <c r="BD78" s="0" t="n">
        <v>0.011911553143217</v>
      </c>
      <c r="BE78" s="0" t="n">
        <v>0.0078048929767129</v>
      </c>
      <c r="BF78" s="0" t="n">
        <v>0.0010138406123703</v>
      </c>
      <c r="BG78" s="0" t="n">
        <v>0.0210035892214858</v>
      </c>
      <c r="BH78" s="0" t="n">
        <v>0.0143510939909965</v>
      </c>
      <c r="BI78" s="0" t="n">
        <v>0.0182964763801452</v>
      </c>
      <c r="BJ78" s="0" t="n">
        <v>0.0036048706877521</v>
      </c>
      <c r="BK78" s="0" t="n">
        <v>0.0056486835468993</v>
      </c>
      <c r="BL78" s="0" t="n">
        <v>0.0196905248120959</v>
      </c>
      <c r="BM78" s="0" t="n">
        <v>0.0208564580575163</v>
      </c>
      <c r="BN78" s="0" t="n">
        <v>0.0054521067043398</v>
      </c>
      <c r="BO78" s="0" t="n">
        <v>0.0650949259117763</v>
      </c>
      <c r="BP78" s="0" t="n">
        <v>0.0475295160651556</v>
      </c>
      <c r="BQ78" s="0" t="n">
        <v>0.0227495371103962</v>
      </c>
      <c r="BR78" s="0" t="n">
        <v>0.027284551403175</v>
      </c>
      <c r="BS78" s="0" t="n">
        <v>-0.0034755253767739</v>
      </c>
      <c r="BT78" s="0" t="n">
        <v>0.0300829314214268</v>
      </c>
      <c r="BU78" s="0" t="n">
        <v>0.0127412027395602</v>
      </c>
      <c r="BV78" s="0" t="n">
        <v>0.121214167107672</v>
      </c>
      <c r="BW78" s="0" t="n">
        <v>0.0228071829792657</v>
      </c>
      <c r="BX78" s="0" t="n">
        <v>0.0105751630840193</v>
      </c>
      <c r="BY78" s="0" t="n">
        <v>0.0369446311178305</v>
      </c>
      <c r="BZ78" s="0" t="n">
        <v>0.0336068294030145</v>
      </c>
      <c r="CA78" s="0" t="n">
        <v>0.0128846816495189</v>
      </c>
      <c r="CB78" s="0" t="n">
        <v>-0.0048989782215871</v>
      </c>
      <c r="CC78" s="0" t="n">
        <v>0.0072990551098656</v>
      </c>
      <c r="CD78" s="0" t="n">
        <v>0.0392972422621714</v>
      </c>
      <c r="CE78" s="0" t="n">
        <v>0.0252372965180982</v>
      </c>
      <c r="CF78" s="0" t="n">
        <v>-0.0081075838300603</v>
      </c>
      <c r="CG78" s="0" t="n">
        <v>0.0472106146226861</v>
      </c>
      <c r="CH78" s="0" t="n">
        <v>0.0146782968348406</v>
      </c>
      <c r="CI78" s="0" t="n">
        <v>-0.0102298172783059</v>
      </c>
      <c r="CJ78" s="0" t="n">
        <v>0.0328457306195405</v>
      </c>
      <c r="CK78" s="0" t="n">
        <v>0.0275539262675122</v>
      </c>
      <c r="CL78" s="0" t="n">
        <v>0.0288166335193998</v>
      </c>
      <c r="CM78" s="0" t="n">
        <v>0.03571877549041</v>
      </c>
      <c r="CN78" s="0" t="n">
        <v>0.0007054087487507</v>
      </c>
      <c r="CO78" s="0" t="n">
        <v>0.0141152343019483</v>
      </c>
      <c r="CP78" s="0" t="n">
        <v>0.0161063541021727</v>
      </c>
      <c r="CQ78" s="0" t="n">
        <v>0.0425124660531517</v>
      </c>
      <c r="CR78" s="0" t="n">
        <v>0.0425915633201055</v>
      </c>
      <c r="CS78" s="0" t="n">
        <v>0.0229581923047967</v>
      </c>
      <c r="CT78" s="0" t="n">
        <v>0.0505066209818026</v>
      </c>
      <c r="CU78" s="0" t="n">
        <v>0.0427838252340629</v>
      </c>
      <c r="CV78" s="0" t="n">
        <v>0.0574778783541578</v>
      </c>
      <c r="CW78" s="0" t="n">
        <v>0.0496522433142442</v>
      </c>
      <c r="CX78" s="0" t="n">
        <v>0.0458479814073348</v>
      </c>
      <c r="CY78" s="0" t="n">
        <v>0.0416447775654614</v>
      </c>
      <c r="CZ78" s="0" t="n">
        <v>0.0434926074952793</v>
      </c>
      <c r="DA78" s="0" t="n">
        <v>0.0408905367396051</v>
      </c>
      <c r="DB78" s="0" t="n">
        <v>0.0603624080336463</v>
      </c>
      <c r="DC78" s="0" t="n">
        <v>0.0289278174357349</v>
      </c>
      <c r="DD78" s="0" t="n">
        <v>0.0619740235108428</v>
      </c>
      <c r="DE78" s="0" t="n">
        <v>0.0309742970275648</v>
      </c>
      <c r="DF78" s="0" t="n">
        <v>0.0265627962824419</v>
      </c>
      <c r="DG78" s="0" t="n">
        <v>0.0253686703442546</v>
      </c>
      <c r="DH78" s="0" t="n">
        <v>0.0420024307152825</v>
      </c>
      <c r="DI78" s="0" t="n">
        <v>0.0510829180088684</v>
      </c>
      <c r="DJ78" s="0" t="n">
        <v>0.0415830175092054</v>
      </c>
      <c r="DK78" s="0" t="n">
        <v>0.052121707536856</v>
      </c>
      <c r="DL78" s="0" t="n">
        <v>0.0116837143014009</v>
      </c>
      <c r="DM78" s="0" t="n">
        <v>0.055823598818143</v>
      </c>
      <c r="DN78" s="0" t="n">
        <v>0.039625104778829</v>
      </c>
      <c r="DO78" s="0" t="n">
        <v>0.0458324166990113</v>
      </c>
      <c r="DP78" s="0" t="n">
        <v>0.0571118473412827</v>
      </c>
      <c r="DQ78" s="0" t="n">
        <v>0.0641193465262799</v>
      </c>
      <c r="DR78" s="0" t="n">
        <v>0.0256742494808065</v>
      </c>
      <c r="DS78" s="0" t="n">
        <v>0.04830054049288</v>
      </c>
      <c r="DT78" s="0" t="n">
        <v>0.0523489461592717</v>
      </c>
      <c r="DU78" s="0" t="n">
        <v>0.0668325620802395</v>
      </c>
      <c r="DV78" s="0" t="n">
        <v>0.0566405657445851</v>
      </c>
      <c r="DW78" s="0" t="n">
        <v>0.0536361274678537</v>
      </c>
      <c r="DX78" s="0" t="n">
        <v>0.0444821598956152</v>
      </c>
      <c r="DY78" s="0" t="n">
        <v>0.0920991822711804</v>
      </c>
      <c r="DZ78" s="0" t="n">
        <v>0.0484659412311248</v>
      </c>
      <c r="EA78" s="0" t="n">
        <v>0.0266583487379267</v>
      </c>
      <c r="EB78" s="0" t="n">
        <v>0.0842896866293537</v>
      </c>
      <c r="EC78" s="0" t="n">
        <v>-0.0103133097722453</v>
      </c>
      <c r="ED78" s="0" t="n">
        <v>0.036251734352434</v>
      </c>
      <c r="EE78" s="0" t="n">
        <v>0.0610872823344233</v>
      </c>
      <c r="EF78" s="0" t="n">
        <v>0.024976918730531</v>
      </c>
      <c r="EG78" s="0" t="n">
        <v>0.0556258940016707</v>
      </c>
      <c r="EH78" s="0" t="n">
        <v>0.0692970739627053</v>
      </c>
      <c r="EI78" s="0" t="n">
        <v>0.0471091175597803</v>
      </c>
      <c r="EJ78" s="0" t="n">
        <v>0.0525268703812439</v>
      </c>
      <c r="EK78" s="0" t="n">
        <v>0.0680383217146745</v>
      </c>
      <c r="EL78" s="0" t="n">
        <v>0.0622248320974391</v>
      </c>
      <c r="EM78" s="0" t="n">
        <v>0.0622536831561301</v>
      </c>
      <c r="EN78" s="0" t="n">
        <v>0.0835527114681967</v>
      </c>
      <c r="EO78" s="0" t="n">
        <v>0.120701179883323</v>
      </c>
      <c r="EP78" s="72" t="n">
        <f aca="false">SUMPRODUCT(B78:EO78,$B$5:$EO$5)</f>
        <v>0.0467443034745707</v>
      </c>
      <c r="EQ78" s="72" t="n">
        <f aca="false">SUMIF('Mi portafolio'!$A$8:$A$19,$A78,'Mi portafolio'!$B$8:$B$19)</f>
        <v>0</v>
      </c>
    </row>
    <row r="79" customFormat="false" ht="15" hidden="false" customHeight="false" outlineLevel="0" collapsed="false">
      <c r="A79" s="71" t="s">
        <v>301</v>
      </c>
      <c r="B79" s="0" t="n">
        <v>0.0094185362271718</v>
      </c>
      <c r="C79" s="0" t="n">
        <v>-0.0022645440488722</v>
      </c>
      <c r="D79" s="0" t="n">
        <v>0.0017838832560494</v>
      </c>
      <c r="E79" s="0" t="n">
        <v>0.0083747451717786</v>
      </c>
      <c r="F79" s="0" t="n">
        <v>0.0113722371673875</v>
      </c>
      <c r="G79" s="0" t="n">
        <v>0.0056734615646255</v>
      </c>
      <c r="H79" s="0" t="n">
        <v>0.006773394079983</v>
      </c>
      <c r="I79" s="0" t="n">
        <v>0.0139566947281773</v>
      </c>
      <c r="J79" s="0" t="n">
        <v>0.0103110444178375</v>
      </c>
      <c r="K79" s="0" t="n">
        <v>0.0079594655158349</v>
      </c>
      <c r="L79" s="0" t="n">
        <v>0.0096989346961262</v>
      </c>
      <c r="M79" s="0" t="n">
        <v>0.0200698501672104</v>
      </c>
      <c r="N79" s="0" t="n">
        <v>0.0147772728866236</v>
      </c>
      <c r="O79" s="0" t="n">
        <v>0.0025823126182597</v>
      </c>
      <c r="P79" s="0" t="n">
        <v>0.0131946051485708</v>
      </c>
      <c r="Q79" s="0" t="n">
        <v>0.0030360685901598</v>
      </c>
      <c r="R79" s="0" t="n">
        <v>0.0171902132466982</v>
      </c>
      <c r="S79" s="0" t="n">
        <v>0.0074690550907</v>
      </c>
      <c r="T79" s="0" t="n">
        <v>0.0173379507952078</v>
      </c>
      <c r="U79" s="0" t="n">
        <v>0.0100720072914192</v>
      </c>
      <c r="V79" s="0" t="n">
        <v>0.0028417718432038</v>
      </c>
      <c r="W79" s="0" t="n">
        <v>0.0089557446518908</v>
      </c>
      <c r="X79" s="0" t="n">
        <v>0.0133265217556478</v>
      </c>
      <c r="Y79" s="0" t="n">
        <v>0.0166672862375775</v>
      </c>
      <c r="Z79" s="0" t="n">
        <v>0.0065147220279827</v>
      </c>
      <c r="AA79" s="0" t="n">
        <v>0.0112023764476974</v>
      </c>
      <c r="AB79" s="0" t="n">
        <v>0.0171301750804171</v>
      </c>
      <c r="AC79" s="0" t="n">
        <v>0.0015672379981354</v>
      </c>
      <c r="AD79" s="0" t="n">
        <v>0.0049725318428551</v>
      </c>
      <c r="AE79" s="0" t="n">
        <v>0.0118160374275354</v>
      </c>
      <c r="AF79" s="0" t="n">
        <v>0.0136874735427727</v>
      </c>
      <c r="AG79" s="0" t="n">
        <v>-0.0047122140663093</v>
      </c>
      <c r="AH79" s="0" t="n">
        <v>0.0054645883474211</v>
      </c>
      <c r="AI79" s="0" t="n">
        <v>0.0027429334598822</v>
      </c>
      <c r="AJ79" s="0" t="n">
        <v>0.0039530907864295</v>
      </c>
      <c r="AK79" s="0" t="n">
        <v>0.0072641479747444</v>
      </c>
      <c r="AL79" s="0" t="n">
        <v>0.0211328020949309</v>
      </c>
      <c r="AM79" s="0" t="n">
        <v>0.0140775363311104</v>
      </c>
      <c r="AN79" s="0" t="n">
        <v>0.0199148308357726</v>
      </c>
      <c r="AO79" s="0" t="n">
        <v>0.00612792438426</v>
      </c>
      <c r="AP79" s="0" t="n">
        <v>0.0209339552486838</v>
      </c>
      <c r="AQ79" s="0" t="n">
        <v>0.0007931514703921</v>
      </c>
      <c r="AR79" s="0" t="n">
        <v>0.0149647959007462</v>
      </c>
      <c r="AS79" s="0" t="n">
        <v>0.0246652682688799</v>
      </c>
      <c r="AT79" s="0" t="n">
        <v>0.0278650235776455</v>
      </c>
      <c r="AU79" s="0" t="n">
        <v>0.0133013692760662</v>
      </c>
      <c r="AV79" s="0" t="n">
        <v>0.0146489552073671</v>
      </c>
      <c r="AW79" s="0" t="n">
        <v>0.0182759638568074</v>
      </c>
      <c r="AX79" s="0" t="n">
        <v>0.0183048560567268</v>
      </c>
      <c r="AY79" s="0" t="n">
        <v>0.0255806660798903</v>
      </c>
      <c r="AZ79" s="0" t="n">
        <v>0.0083941504615151</v>
      </c>
      <c r="BA79" s="0" t="n">
        <v>0.0239431019871825</v>
      </c>
      <c r="BB79" s="0" t="n">
        <v>0.025546961299558</v>
      </c>
      <c r="BC79" s="0" t="n">
        <v>0.0210287563594493</v>
      </c>
      <c r="BD79" s="0" t="n">
        <v>0.0164999879657366</v>
      </c>
      <c r="BE79" s="0" t="n">
        <v>0.0155398774995979</v>
      </c>
      <c r="BF79" s="0" t="n">
        <v>0.0151682526463918</v>
      </c>
      <c r="BG79" s="0" t="n">
        <v>0.0381191369882223</v>
      </c>
      <c r="BH79" s="0" t="n">
        <v>0.0164512158162787</v>
      </c>
      <c r="BI79" s="0" t="n">
        <v>0.0240758596626344</v>
      </c>
      <c r="BJ79" s="0" t="n">
        <v>0.0008155254175567</v>
      </c>
      <c r="BK79" s="0" t="n">
        <v>0.0063512949090369</v>
      </c>
      <c r="BL79" s="0" t="n">
        <v>0.0229676230940081</v>
      </c>
      <c r="BM79" s="0" t="n">
        <v>0.0257417857421817</v>
      </c>
      <c r="BN79" s="0" t="n">
        <v>0.0135681955171195</v>
      </c>
      <c r="BO79" s="0" t="n">
        <v>0.0231826014392678</v>
      </c>
      <c r="BP79" s="0" t="n">
        <v>0.0384645611003057</v>
      </c>
      <c r="BQ79" s="0" t="n">
        <v>0.0127962291683394</v>
      </c>
      <c r="BR79" s="0" t="n">
        <v>0.0705423403517318</v>
      </c>
      <c r="BS79" s="0" t="n">
        <v>0.0041217110177562</v>
      </c>
      <c r="BT79" s="0" t="n">
        <v>0.0224273030770531</v>
      </c>
      <c r="BU79" s="0" t="n">
        <v>0.0094511673714758</v>
      </c>
      <c r="BV79" s="0" t="n">
        <v>0.0228071829792657</v>
      </c>
      <c r="BW79" s="0" t="n">
        <v>0.114752694923065</v>
      </c>
      <c r="BX79" s="0" t="n">
        <v>0.0214272915907904</v>
      </c>
      <c r="BY79" s="0" t="n">
        <v>0.0295692363364125</v>
      </c>
      <c r="BZ79" s="0" t="n">
        <v>0.0208453863071773</v>
      </c>
      <c r="CA79" s="0" t="n">
        <v>0.0082571632961514</v>
      </c>
      <c r="CB79" s="0" t="n">
        <v>0.0038855742142161</v>
      </c>
      <c r="CC79" s="0" t="n">
        <v>0.016947487247563</v>
      </c>
      <c r="CD79" s="0" t="n">
        <v>0.0351773978785703</v>
      </c>
      <c r="CE79" s="0" t="n">
        <v>0.0140018181374109</v>
      </c>
      <c r="CF79" s="0" t="n">
        <v>0.0087796909735559</v>
      </c>
      <c r="CG79" s="0" t="n">
        <v>0.0344494594247674</v>
      </c>
      <c r="CH79" s="0" t="n">
        <v>0.0138847170567845</v>
      </c>
      <c r="CI79" s="0" t="n">
        <v>0.0016809671817202</v>
      </c>
      <c r="CJ79" s="0" t="n">
        <v>0.025784872395</v>
      </c>
      <c r="CK79" s="0" t="n">
        <v>0.0355553473000164</v>
      </c>
      <c r="CL79" s="0" t="n">
        <v>0.0236343171375464</v>
      </c>
      <c r="CM79" s="0" t="n">
        <v>0.0146806642828277</v>
      </c>
      <c r="CN79" s="0" t="n">
        <v>-0.0077904460054437</v>
      </c>
      <c r="CO79" s="0" t="n">
        <v>0.0202902436306075</v>
      </c>
      <c r="CP79" s="0" t="n">
        <v>0.0444362791273662</v>
      </c>
      <c r="CQ79" s="0" t="n">
        <v>0.0375918825012745</v>
      </c>
      <c r="CR79" s="0" t="n">
        <v>0.029816184062761</v>
      </c>
      <c r="CS79" s="0" t="n">
        <v>0.0147212131754323</v>
      </c>
      <c r="CT79" s="0" t="n">
        <v>0.0369081375000843</v>
      </c>
      <c r="CU79" s="0" t="n">
        <v>0.0308905587345834</v>
      </c>
      <c r="CV79" s="0" t="n">
        <v>0.0008589915356596</v>
      </c>
      <c r="CW79" s="0" t="n">
        <v>0.0465001318414172</v>
      </c>
      <c r="CX79" s="0" t="n">
        <v>0.0430748163661475</v>
      </c>
      <c r="CY79" s="0" t="n">
        <v>0.0052327392792226</v>
      </c>
      <c r="CZ79" s="0" t="n">
        <v>0.0343757091976375</v>
      </c>
      <c r="DA79" s="0" t="n">
        <v>0.0190506703269482</v>
      </c>
      <c r="DB79" s="0" t="n">
        <v>0.0265874772115768</v>
      </c>
      <c r="DC79" s="0" t="n">
        <v>0.0223655545746432</v>
      </c>
      <c r="DD79" s="0" t="n">
        <v>0.0420766088321834</v>
      </c>
      <c r="DE79" s="0" t="n">
        <v>0.0289593612719539</v>
      </c>
      <c r="DF79" s="0" t="n">
        <v>0.0279444312140268</v>
      </c>
      <c r="DG79" s="0" t="n">
        <v>0.0280436426824649</v>
      </c>
      <c r="DH79" s="0" t="n">
        <v>0.016992421009447</v>
      </c>
      <c r="DI79" s="0" t="n">
        <v>0.0503398925442514</v>
      </c>
      <c r="DJ79" s="0" t="n">
        <v>0.0126748014007391</v>
      </c>
      <c r="DK79" s="0" t="n">
        <v>0.0513070341659782</v>
      </c>
      <c r="DL79" s="0" t="n">
        <v>0.0100769710899281</v>
      </c>
      <c r="DM79" s="0" t="n">
        <v>0.0337073153847454</v>
      </c>
      <c r="DN79" s="0" t="n">
        <v>0.0357505820552234</v>
      </c>
      <c r="DO79" s="0" t="n">
        <v>0.0228638613396389</v>
      </c>
      <c r="DP79" s="0" t="n">
        <v>0.0306412298967951</v>
      </c>
      <c r="DQ79" s="0" t="n">
        <v>0.0429323037088876</v>
      </c>
      <c r="DR79" s="0" t="n">
        <v>0.0391664759731148</v>
      </c>
      <c r="DS79" s="0" t="n">
        <v>0.0372834079897787</v>
      </c>
      <c r="DT79" s="0" t="n">
        <v>0.0288728056820193</v>
      </c>
      <c r="DU79" s="0" t="n">
        <v>0.0461411125713914</v>
      </c>
      <c r="DV79" s="0" t="n">
        <v>0.0390155815104362</v>
      </c>
      <c r="DW79" s="0" t="n">
        <v>0.0387142581289959</v>
      </c>
      <c r="DX79" s="0" t="n">
        <v>0.0159246355589542</v>
      </c>
      <c r="DY79" s="0" t="n">
        <v>0.0605750109804287</v>
      </c>
      <c r="DZ79" s="0" t="n">
        <v>0.0426423644271231</v>
      </c>
      <c r="EA79" s="0" t="n">
        <v>0.0277561914194503</v>
      </c>
      <c r="EB79" s="0" t="n">
        <v>0.0542589001080679</v>
      </c>
      <c r="EC79" s="0" t="n">
        <v>0.0053550032015617</v>
      </c>
      <c r="ED79" s="0" t="n">
        <v>0.0566110601643762</v>
      </c>
      <c r="EE79" s="0" t="n">
        <v>0.0312104115123116</v>
      </c>
      <c r="EF79" s="0" t="n">
        <v>0.0354674332370357</v>
      </c>
      <c r="EG79" s="0" t="n">
        <v>0.0258480490131937</v>
      </c>
      <c r="EH79" s="0" t="n">
        <v>0.0488162647063049</v>
      </c>
      <c r="EI79" s="0" t="n">
        <v>0.0326825624306331</v>
      </c>
      <c r="EJ79" s="0" t="n">
        <v>0.0441602609655569</v>
      </c>
      <c r="EK79" s="0" t="n">
        <v>0.049333331312749</v>
      </c>
      <c r="EL79" s="0" t="n">
        <v>0.0556842596659721</v>
      </c>
      <c r="EM79" s="0" t="n">
        <v>0.0637833670691543</v>
      </c>
      <c r="EN79" s="0" t="n">
        <v>0.0738168167320665</v>
      </c>
      <c r="EO79" s="0" t="n">
        <v>0.0897574129769108</v>
      </c>
      <c r="EP79" s="72" t="n">
        <f aca="false">SUMPRODUCT(B79:EO79,$B$5:$EO$5)</f>
        <v>0.0279898560461848</v>
      </c>
      <c r="EQ79" s="72" t="n">
        <f aca="false">SUMIF('Mi portafolio'!$A$8:$A$19,$A79,'Mi portafolio'!$B$8:$B$19)</f>
        <v>0</v>
      </c>
    </row>
    <row r="80" customFormat="false" ht="15" hidden="false" customHeight="false" outlineLevel="0" collapsed="false">
      <c r="A80" s="71" t="s">
        <v>302</v>
      </c>
      <c r="B80" s="0" t="n">
        <v>0.0158406852750652</v>
      </c>
      <c r="C80" s="0" t="n">
        <v>-0.0041435656999974</v>
      </c>
      <c r="D80" s="0" t="n">
        <v>0.0053765909723826</v>
      </c>
      <c r="E80" s="0" t="n">
        <v>0.0018646093570777</v>
      </c>
      <c r="F80" s="0" t="n">
        <v>0.0154606826339847</v>
      </c>
      <c r="G80" s="0" t="n">
        <v>-0.0007448071931139</v>
      </c>
      <c r="H80" s="0" t="n">
        <v>0.0042240626445829</v>
      </c>
      <c r="I80" s="0" t="n">
        <v>0.0238916224018261</v>
      </c>
      <c r="J80" s="0" t="n">
        <v>0.0360099308473525</v>
      </c>
      <c r="K80" s="0" t="n">
        <v>0.0180316083669914</v>
      </c>
      <c r="L80" s="0" t="n">
        <v>-0.0026079615445991</v>
      </c>
      <c r="M80" s="0" t="n">
        <v>0.0107277354385968</v>
      </c>
      <c r="N80" s="0" t="n">
        <v>0.0343042827809261</v>
      </c>
      <c r="O80" s="0" t="n">
        <v>-0.0022770814831101</v>
      </c>
      <c r="P80" s="0" t="n">
        <v>0.0175666354030484</v>
      </c>
      <c r="Q80" s="0" t="n">
        <v>0.0059609938226064</v>
      </c>
      <c r="R80" s="0" t="n">
        <v>0.0165992533882549</v>
      </c>
      <c r="S80" s="0" t="n">
        <v>0.0135484606715202</v>
      </c>
      <c r="T80" s="0" t="n">
        <v>0.0103931021232042</v>
      </c>
      <c r="U80" s="0" t="n">
        <v>0.0046085488893062</v>
      </c>
      <c r="V80" s="0" t="n">
        <v>-0.0075530567470979</v>
      </c>
      <c r="W80" s="0" t="n">
        <v>0.0034493524226722</v>
      </c>
      <c r="X80" s="0" t="n">
        <v>0.0131681964389593</v>
      </c>
      <c r="Y80" s="0" t="n">
        <v>0.0091321136742611</v>
      </c>
      <c r="Z80" s="0" t="n">
        <v>-0.0007060188523982</v>
      </c>
      <c r="AA80" s="0" t="n">
        <v>0.0024023190102878</v>
      </c>
      <c r="AB80" s="0" t="n">
        <v>0.0064229442928622</v>
      </c>
      <c r="AC80" s="0" t="n">
        <v>-0.0081858283245288</v>
      </c>
      <c r="AD80" s="0" t="n">
        <v>0.0026682464951079</v>
      </c>
      <c r="AE80" s="0" t="n">
        <v>-0.0022671061941799</v>
      </c>
      <c r="AF80" s="0" t="n">
        <v>-0.0041783973892447</v>
      </c>
      <c r="AG80" s="0" t="n">
        <v>0.009529171527213</v>
      </c>
      <c r="AH80" s="0" t="n">
        <v>0.0133800316389905</v>
      </c>
      <c r="AI80" s="0" t="n">
        <v>-0.0017746139621489</v>
      </c>
      <c r="AJ80" s="0" t="n">
        <v>0.0034170825367144</v>
      </c>
      <c r="AK80" s="0" t="n">
        <v>-0.0033917068590119</v>
      </c>
      <c r="AL80" s="0" t="n">
        <v>0.0217936973839575</v>
      </c>
      <c r="AM80" s="0" t="n">
        <v>0.0028973525246158</v>
      </c>
      <c r="AN80" s="0" t="n">
        <v>0.024675553392956</v>
      </c>
      <c r="AO80" s="0" t="n">
        <v>0.0391904180232475</v>
      </c>
      <c r="AP80" s="0" t="n">
        <v>0.0199293794363124</v>
      </c>
      <c r="AQ80" s="0" t="n">
        <v>-0.0004911558671457</v>
      </c>
      <c r="AR80" s="0" t="n">
        <v>0.009823439850755</v>
      </c>
      <c r="AS80" s="0" t="n">
        <v>-0.0011115869767127</v>
      </c>
      <c r="AT80" s="0" t="n">
        <v>0.0107368115403112</v>
      </c>
      <c r="AU80" s="0" t="n">
        <v>0.026368823937941</v>
      </c>
      <c r="AV80" s="0" t="n">
        <v>0.0121382552739372</v>
      </c>
      <c r="AW80" s="0" t="n">
        <v>0.0068224152817047</v>
      </c>
      <c r="AX80" s="0" t="n">
        <v>0.0447547631691568</v>
      </c>
      <c r="AY80" s="0" t="n">
        <v>0.0160028114790066</v>
      </c>
      <c r="AZ80" s="0" t="n">
        <v>5.13413414789026E-005</v>
      </c>
      <c r="BA80" s="0" t="n">
        <v>0.018147329113477</v>
      </c>
      <c r="BB80" s="0" t="n">
        <v>0.0058102802805406</v>
      </c>
      <c r="BC80" s="0" t="n">
        <v>0.0112835792371809</v>
      </c>
      <c r="BD80" s="0" t="n">
        <v>0.0064366253124624</v>
      </c>
      <c r="BE80" s="0" t="n">
        <v>0.0466960240723611</v>
      </c>
      <c r="BF80" s="0" t="n">
        <v>0.0110152104795259</v>
      </c>
      <c r="BG80" s="0" t="n">
        <v>0.0334902544760105</v>
      </c>
      <c r="BH80" s="0" t="n">
        <v>0.0022438398429332</v>
      </c>
      <c r="BI80" s="0" t="n">
        <v>0.0030585429428075</v>
      </c>
      <c r="BJ80" s="0" t="n">
        <v>-0.0036430587752575</v>
      </c>
      <c r="BK80" s="0" t="n">
        <v>-4.88154814264246E-005</v>
      </c>
      <c r="BL80" s="0" t="n">
        <v>0.0129865083048989</v>
      </c>
      <c r="BM80" s="0" t="n">
        <v>0.0180814615626616</v>
      </c>
      <c r="BN80" s="0" t="n">
        <v>0.0100231945721438</v>
      </c>
      <c r="BO80" s="0" t="n">
        <v>0.028745039459157</v>
      </c>
      <c r="BP80" s="0" t="n">
        <v>-0.0031331206983995</v>
      </c>
      <c r="BQ80" s="0" t="n">
        <v>-0.0008841582801136</v>
      </c>
      <c r="BR80" s="0" t="n">
        <v>0.0252648738082547</v>
      </c>
      <c r="BS80" s="0" t="n">
        <v>0.0010557953633141</v>
      </c>
      <c r="BT80" s="0" t="n">
        <v>0.022779764057675</v>
      </c>
      <c r="BU80" s="0" t="n">
        <v>0.0099976931476473</v>
      </c>
      <c r="BV80" s="0" t="n">
        <v>0.0105751630840193</v>
      </c>
      <c r="BW80" s="0" t="n">
        <v>0.0214272915907904</v>
      </c>
      <c r="BX80" s="0" t="n">
        <v>0.123958269671188</v>
      </c>
      <c r="BY80" s="0" t="n">
        <v>0.0177141041636432</v>
      </c>
      <c r="BZ80" s="0" t="n">
        <v>0.0222410289331366</v>
      </c>
      <c r="CA80" s="0" t="n">
        <v>-0.0016061588252898</v>
      </c>
      <c r="CB80" s="0" t="n">
        <v>0.000482381209063</v>
      </c>
      <c r="CC80" s="0" t="n">
        <v>0.0195874405658176</v>
      </c>
      <c r="CD80" s="0" t="n">
        <v>0.012136597258362</v>
      </c>
      <c r="CE80" s="0" t="n">
        <v>0.0005455233595687</v>
      </c>
      <c r="CF80" s="0" t="n">
        <v>0.0022758311954846</v>
      </c>
      <c r="CG80" s="0" t="n">
        <v>0.0237785417145784</v>
      </c>
      <c r="CH80" s="0" t="n">
        <v>-0.0040189390271668</v>
      </c>
      <c r="CI80" s="0" t="n">
        <v>0.0049327442038792</v>
      </c>
      <c r="CJ80" s="0" t="n">
        <v>0.0181194331663755</v>
      </c>
      <c r="CK80" s="0" t="n">
        <v>0.0246592440747597</v>
      </c>
      <c r="CL80" s="0" t="n">
        <v>0.0207771667417447</v>
      </c>
      <c r="CM80" s="0" t="n">
        <v>-0.0057990423847996</v>
      </c>
      <c r="CN80" s="0" t="n">
        <v>0.0085026647541177</v>
      </c>
      <c r="CO80" s="0" t="n">
        <v>0.0046358701970915</v>
      </c>
      <c r="CP80" s="0" t="n">
        <v>0.0229180798589969</v>
      </c>
      <c r="CQ80" s="0" t="n">
        <v>0.0189660028143805</v>
      </c>
      <c r="CR80" s="0" t="n">
        <v>-0.0032816380615126</v>
      </c>
      <c r="CS80" s="0" t="n">
        <v>0.0147101434888797</v>
      </c>
      <c r="CT80" s="0" t="n">
        <v>0.0163735089676937</v>
      </c>
      <c r="CU80" s="0" t="n">
        <v>0.0006080015318142</v>
      </c>
      <c r="CV80" s="0" t="n">
        <v>-0.0065100218752264</v>
      </c>
      <c r="CW80" s="0" t="n">
        <v>0.0150203840297958</v>
      </c>
      <c r="CX80" s="0" t="n">
        <v>0.0091690192445284</v>
      </c>
      <c r="CY80" s="0" t="n">
        <v>0.0207925513997686</v>
      </c>
      <c r="CZ80" s="0" t="n">
        <v>0.0216378683085065</v>
      </c>
      <c r="DA80" s="0" t="n">
        <v>0.0240147053143399</v>
      </c>
      <c r="DB80" s="0" t="n">
        <v>0.010357379913422</v>
      </c>
      <c r="DC80" s="0" t="n">
        <v>0.012771593419101</v>
      </c>
      <c r="DD80" s="0" t="n">
        <v>0.0335372111595294</v>
      </c>
      <c r="DE80" s="0" t="n">
        <v>0.0054076247952713</v>
      </c>
      <c r="DF80" s="0" t="n">
        <v>0.0136634696099448</v>
      </c>
      <c r="DG80" s="0" t="n">
        <v>0.0272928452271049</v>
      </c>
      <c r="DH80" s="0" t="n">
        <v>-0.005767887263716</v>
      </c>
      <c r="DI80" s="0" t="n">
        <v>0.0274012329182258</v>
      </c>
      <c r="DJ80" s="0" t="n">
        <v>0.0437047489443405</v>
      </c>
      <c r="DK80" s="0" t="n">
        <v>0.0244563268981653</v>
      </c>
      <c r="DL80" s="0" t="n">
        <v>0.0090804270618716</v>
      </c>
      <c r="DM80" s="0" t="n">
        <v>0.0407038509628039</v>
      </c>
      <c r="DN80" s="0" t="n">
        <v>0.0026878016866463</v>
      </c>
      <c r="DO80" s="0" t="n">
        <v>0.0231083011364743</v>
      </c>
      <c r="DP80" s="0" t="n">
        <v>0.0432713151134304</v>
      </c>
      <c r="DQ80" s="0" t="n">
        <v>0.0160276295821203</v>
      </c>
      <c r="DR80" s="0" t="n">
        <v>0.0125411297542715</v>
      </c>
      <c r="DS80" s="0" t="n">
        <v>0.0086933183425435</v>
      </c>
      <c r="DT80" s="0" t="n">
        <v>-0.0101695637230166</v>
      </c>
      <c r="DU80" s="0" t="n">
        <v>0.0154143629709276</v>
      </c>
      <c r="DV80" s="0" t="n">
        <v>0.0017097908365909</v>
      </c>
      <c r="DW80" s="0" t="n">
        <v>0.0205859627606128</v>
      </c>
      <c r="DX80" s="0" t="n">
        <v>-0.0096797619830436</v>
      </c>
      <c r="DY80" s="0" t="n">
        <v>0.0180968299366813</v>
      </c>
      <c r="DZ80" s="0" t="n">
        <v>0.0369301423338109</v>
      </c>
      <c r="EA80" s="0" t="n">
        <v>0.0242036634661521</v>
      </c>
      <c r="EB80" s="0" t="n">
        <v>0.0263542609234583</v>
      </c>
      <c r="EC80" s="0" t="n">
        <v>-0.0105075741073921</v>
      </c>
      <c r="ED80" s="0" t="n">
        <v>0.0355813892998114</v>
      </c>
      <c r="EE80" s="0" t="n">
        <v>-0.0202890924249943</v>
      </c>
      <c r="EF80" s="0" t="n">
        <v>0.0015783820274924</v>
      </c>
      <c r="EG80" s="0" t="n">
        <v>-0.0057000502678134</v>
      </c>
      <c r="EH80" s="0" t="n">
        <v>0.0395106323233803</v>
      </c>
      <c r="EI80" s="0" t="n">
        <v>-0.0074246470212813</v>
      </c>
      <c r="EJ80" s="0" t="n">
        <v>0.0560608741262361</v>
      </c>
      <c r="EK80" s="0" t="n">
        <v>0.0203627219879937</v>
      </c>
      <c r="EL80" s="0" t="n">
        <v>0.0175674820206732</v>
      </c>
      <c r="EM80" s="0" t="n">
        <v>0.0349711631801251</v>
      </c>
      <c r="EN80" s="0" t="n">
        <v>0.141783583307019</v>
      </c>
      <c r="EO80" s="0" t="n">
        <v>0.0178958629440217</v>
      </c>
      <c r="EP80" s="72" t="n">
        <f aca="false">SUMPRODUCT(B80:EO80,$B$5:$EO$5)</f>
        <v>-0.00618952667215337</v>
      </c>
      <c r="EQ80" s="72" t="n">
        <f aca="false">SUMIF('Mi portafolio'!$A$8:$A$19,$A80,'Mi portafolio'!$B$8:$B$19)</f>
        <v>0</v>
      </c>
    </row>
    <row r="81" customFormat="false" ht="15" hidden="false" customHeight="false" outlineLevel="0" collapsed="false">
      <c r="A81" s="71" t="s">
        <v>303</v>
      </c>
      <c r="B81" s="0" t="n">
        <v>0.0092361697226902</v>
      </c>
      <c r="C81" s="0" t="n">
        <v>-0.0012217548640581</v>
      </c>
      <c r="D81" s="0" t="n">
        <v>-0.0032192584977909</v>
      </c>
      <c r="E81" s="0" t="n">
        <v>0.0038974031719159</v>
      </c>
      <c r="F81" s="0" t="n">
        <v>0.0184245217628277</v>
      </c>
      <c r="G81" s="0" t="n">
        <v>0.0024696079776453</v>
      </c>
      <c r="H81" s="0" t="n">
        <v>0.0093244475347066</v>
      </c>
      <c r="I81" s="0" t="n">
        <v>0.0169345122920713</v>
      </c>
      <c r="J81" s="0" t="n">
        <v>0.0057699746742897</v>
      </c>
      <c r="K81" s="0" t="n">
        <v>0.0156860903923711</v>
      </c>
      <c r="L81" s="0" t="n">
        <v>0.0039222143289872</v>
      </c>
      <c r="M81" s="0" t="n">
        <v>0.0308813461136211</v>
      </c>
      <c r="N81" s="0" t="n">
        <v>0.0192943558431002</v>
      </c>
      <c r="O81" s="0" t="n">
        <v>0.0061421030183542</v>
      </c>
      <c r="P81" s="0" t="n">
        <v>0.0101158985708512</v>
      </c>
      <c r="Q81" s="0" t="n">
        <v>-0.0051800263125023</v>
      </c>
      <c r="R81" s="0" t="n">
        <v>0.0185054733690617</v>
      </c>
      <c r="S81" s="0" t="n">
        <v>-0.000445959331323</v>
      </c>
      <c r="T81" s="0" t="n">
        <v>0.022319440725036</v>
      </c>
      <c r="U81" s="0" t="n">
        <v>0.0116910500800587</v>
      </c>
      <c r="V81" s="0" t="n">
        <v>0.0120296023923966</v>
      </c>
      <c r="W81" s="0" t="n">
        <v>0.0016900008194692</v>
      </c>
      <c r="X81" s="0" t="n">
        <v>0.0250991302716195</v>
      </c>
      <c r="Y81" s="0" t="n">
        <v>0.0144817742151023</v>
      </c>
      <c r="Z81" s="0" t="n">
        <v>0.0119329933877735</v>
      </c>
      <c r="AA81" s="0" t="n">
        <v>0.0171166209018172</v>
      </c>
      <c r="AB81" s="0" t="n">
        <v>0.0179781667561505</v>
      </c>
      <c r="AC81" s="0" t="n">
        <v>0.0085297501367306</v>
      </c>
      <c r="AD81" s="0" t="n">
        <v>0.0070877468789282</v>
      </c>
      <c r="AE81" s="0" t="n">
        <v>0.0151217198646083</v>
      </c>
      <c r="AF81" s="0" t="n">
        <v>0.0029599114929364</v>
      </c>
      <c r="AG81" s="0" t="n">
        <v>0.0084868336848481</v>
      </c>
      <c r="AH81" s="0" t="n">
        <v>0.0025603301167898</v>
      </c>
      <c r="AI81" s="0" t="n">
        <v>-0.0081235201933017</v>
      </c>
      <c r="AJ81" s="0" t="n">
        <v>-0.0011899311867516</v>
      </c>
      <c r="AK81" s="0" t="n">
        <v>0.0183452371443281</v>
      </c>
      <c r="AL81" s="0" t="n">
        <v>0.0245537540744471</v>
      </c>
      <c r="AM81" s="0" t="n">
        <v>0.0168599578673374</v>
      </c>
      <c r="AN81" s="0" t="n">
        <v>0.0377836755897074</v>
      </c>
      <c r="AO81" s="0" t="n">
        <v>0.0124883736753222</v>
      </c>
      <c r="AP81" s="0" t="n">
        <v>0.0310322740489638</v>
      </c>
      <c r="AQ81" s="0" t="n">
        <v>-0.0125346449254844</v>
      </c>
      <c r="AR81" s="0" t="n">
        <v>0.0265483231862468</v>
      </c>
      <c r="AS81" s="0" t="n">
        <v>0.0176649391445974</v>
      </c>
      <c r="AT81" s="0" t="n">
        <v>0.0381356888189437</v>
      </c>
      <c r="AU81" s="0" t="n">
        <v>0.0132014794663373</v>
      </c>
      <c r="AV81" s="0" t="n">
        <v>0.0079685126448502</v>
      </c>
      <c r="AW81" s="0" t="n">
        <v>0.0139859170733839</v>
      </c>
      <c r="AX81" s="0" t="n">
        <v>0.0209178525301879</v>
      </c>
      <c r="AY81" s="0" t="n">
        <v>0.0255907919625496</v>
      </c>
      <c r="AZ81" s="0" t="n">
        <v>0.0152849801085566</v>
      </c>
      <c r="BA81" s="0" t="n">
        <v>0.0433516774262478</v>
      </c>
      <c r="BB81" s="0" t="n">
        <v>0.0376949531745432</v>
      </c>
      <c r="BC81" s="0" t="n">
        <v>0.0126165297186628</v>
      </c>
      <c r="BD81" s="0" t="n">
        <v>0.0185266859202697</v>
      </c>
      <c r="BE81" s="0" t="n">
        <v>0.0247782801342566</v>
      </c>
      <c r="BF81" s="0" t="n">
        <v>0.0111143987658174</v>
      </c>
      <c r="BG81" s="0" t="n">
        <v>0.0300617962036031</v>
      </c>
      <c r="BH81" s="0" t="n">
        <v>0.0112007074538865</v>
      </c>
      <c r="BI81" s="0" t="n">
        <v>-0.0007694281768415</v>
      </c>
      <c r="BJ81" s="0" t="n">
        <v>-0.0129309130699345</v>
      </c>
      <c r="BK81" s="0" t="n">
        <v>0.0052796888346333</v>
      </c>
      <c r="BL81" s="0" t="n">
        <v>0.0393277381706568</v>
      </c>
      <c r="BM81" s="0" t="n">
        <v>0.0351767674849828</v>
      </c>
      <c r="BN81" s="0" t="n">
        <v>0.0054668039302904</v>
      </c>
      <c r="BO81" s="0" t="n">
        <v>0.0272313863877683</v>
      </c>
      <c r="BP81" s="0" t="n">
        <v>0.0115389897753585</v>
      </c>
      <c r="BQ81" s="0" t="n">
        <v>0.0242638537307071</v>
      </c>
      <c r="BR81" s="0" t="n">
        <v>0.0360439400147223</v>
      </c>
      <c r="BS81" s="0" t="n">
        <v>-0.0034954092734052</v>
      </c>
      <c r="BT81" s="0" t="n">
        <v>0.0422946620051016</v>
      </c>
      <c r="BU81" s="0" t="n">
        <v>0.0146768382009543</v>
      </c>
      <c r="BV81" s="0" t="n">
        <v>0.0369446311178305</v>
      </c>
      <c r="BW81" s="0" t="n">
        <v>0.0295692363364125</v>
      </c>
      <c r="BX81" s="0" t="n">
        <v>0.0177141041636432</v>
      </c>
      <c r="BY81" s="0" t="n">
        <v>0.128972186085087</v>
      </c>
      <c r="BZ81" s="0" t="n">
        <v>0.0358777012652478</v>
      </c>
      <c r="CA81" s="0" t="n">
        <v>0.0022675597438697</v>
      </c>
      <c r="CB81" s="0" t="n">
        <v>-0.0139796916369928</v>
      </c>
      <c r="CC81" s="0" t="n">
        <v>-9.4875107627528E-005</v>
      </c>
      <c r="CD81" s="0" t="n">
        <v>0.0221979355548009</v>
      </c>
      <c r="CE81" s="0" t="n">
        <v>0.024980993697808</v>
      </c>
      <c r="CF81" s="0" t="n">
        <v>-0.0127926043042036</v>
      </c>
      <c r="CG81" s="0" t="n">
        <v>0.0437908139625074</v>
      </c>
      <c r="CH81" s="0" t="n">
        <v>0.0285850264077436</v>
      </c>
      <c r="CI81" s="0" t="n">
        <v>-0.0121945391855822</v>
      </c>
      <c r="CJ81" s="0" t="n">
        <v>0.0080003549437792</v>
      </c>
      <c r="CK81" s="0" t="n">
        <v>0.041281348161367</v>
      </c>
      <c r="CL81" s="0" t="n">
        <v>0.0827103858420564</v>
      </c>
      <c r="CM81" s="0" t="n">
        <v>0.0273312787372266</v>
      </c>
      <c r="CN81" s="0" t="n">
        <v>0.0002808969409041</v>
      </c>
      <c r="CO81" s="0" t="n">
        <v>0.0116827795114395</v>
      </c>
      <c r="CP81" s="0" t="n">
        <v>0.0100638404136676</v>
      </c>
      <c r="CQ81" s="0" t="n">
        <v>0.0679795208974337</v>
      </c>
      <c r="CR81" s="0" t="n">
        <v>0.0388882185911487</v>
      </c>
      <c r="CS81" s="0" t="n">
        <v>0.0419503098455633</v>
      </c>
      <c r="CT81" s="0" t="n">
        <v>0.0358050967827722</v>
      </c>
      <c r="CU81" s="0" t="n">
        <v>0.0203073431714687</v>
      </c>
      <c r="CV81" s="0" t="n">
        <v>0.036957850575509</v>
      </c>
      <c r="CW81" s="0" t="n">
        <v>0.0448870787212117</v>
      </c>
      <c r="CX81" s="0" t="n">
        <v>0.0532900328144107</v>
      </c>
      <c r="CY81" s="0" t="n">
        <v>0.0672243296552977</v>
      </c>
      <c r="CZ81" s="0" t="n">
        <v>0.0254561207308912</v>
      </c>
      <c r="DA81" s="0" t="n">
        <v>0.0286860099061209</v>
      </c>
      <c r="DB81" s="0" t="n">
        <v>0.0418981853912461</v>
      </c>
      <c r="DC81" s="0" t="n">
        <v>0.0415878405328487</v>
      </c>
      <c r="DD81" s="0" t="n">
        <v>0.0486319784789939</v>
      </c>
      <c r="DE81" s="0" t="n">
        <v>0.0412057077240031</v>
      </c>
      <c r="DF81" s="0" t="n">
        <v>0.0218466021645446</v>
      </c>
      <c r="DG81" s="0" t="n">
        <v>0.0239156772341526</v>
      </c>
      <c r="DH81" s="0" t="n">
        <v>0.0251898677892819</v>
      </c>
      <c r="DI81" s="0" t="n">
        <v>0.0748263890067968</v>
      </c>
      <c r="DJ81" s="0" t="n">
        <v>0.0704104710526967</v>
      </c>
      <c r="DK81" s="0" t="n">
        <v>0.078042384479158</v>
      </c>
      <c r="DL81" s="0" t="n">
        <v>0.016246213318572</v>
      </c>
      <c r="DM81" s="0" t="n">
        <v>0.0874234111523853</v>
      </c>
      <c r="DN81" s="0" t="n">
        <v>0.0367766045638864</v>
      </c>
      <c r="DO81" s="0" t="n">
        <v>0.045869164532587</v>
      </c>
      <c r="DP81" s="0" t="n">
        <v>0.0846725986064382</v>
      </c>
      <c r="DQ81" s="0" t="n">
        <v>0.0460865046992162</v>
      </c>
      <c r="DR81" s="0" t="n">
        <v>0.0291516078362013</v>
      </c>
      <c r="DS81" s="0" t="n">
        <v>0.0186026128694103</v>
      </c>
      <c r="DT81" s="0" t="n">
        <v>0.0254618603845952</v>
      </c>
      <c r="DU81" s="0" t="n">
        <v>0.0543051272776074</v>
      </c>
      <c r="DV81" s="0" t="n">
        <v>0.0313993897341</v>
      </c>
      <c r="DW81" s="0" t="n">
        <v>0.0566450387697769</v>
      </c>
      <c r="DX81" s="0" t="n">
        <v>0.0347485139398769</v>
      </c>
      <c r="DY81" s="0" t="n">
        <v>0.0672199481499202</v>
      </c>
      <c r="DZ81" s="0" t="n">
        <v>0.0155078027907865</v>
      </c>
      <c r="EA81" s="0" t="n">
        <v>0.0448797370038662</v>
      </c>
      <c r="EB81" s="0" t="n">
        <v>0.0746010354941212</v>
      </c>
      <c r="EC81" s="0" t="n">
        <v>0.0039924620211394</v>
      </c>
      <c r="ED81" s="0" t="n">
        <v>0.0757385634504003</v>
      </c>
      <c r="EE81" s="0" t="n">
        <v>0.0476829844955914</v>
      </c>
      <c r="EF81" s="0" t="n">
        <v>0.0298830771687146</v>
      </c>
      <c r="EG81" s="0" t="n">
        <v>0.0395253476620202</v>
      </c>
      <c r="EH81" s="0" t="n">
        <v>0.0345652963933993</v>
      </c>
      <c r="EI81" s="0" t="n">
        <v>0.045860870005662</v>
      </c>
      <c r="EJ81" s="0" t="n">
        <v>0.0813509893768787</v>
      </c>
      <c r="EK81" s="0" t="n">
        <v>0.0724377532766398</v>
      </c>
      <c r="EL81" s="0" t="n">
        <v>0.0671098254762904</v>
      </c>
      <c r="EM81" s="0" t="n">
        <v>0.0331034865734506</v>
      </c>
      <c r="EN81" s="0" t="n">
        <v>0.0725321860859177</v>
      </c>
      <c r="EO81" s="0" t="n">
        <v>0.25998949888148</v>
      </c>
      <c r="EP81" s="72" t="n">
        <f aca="false">SUMPRODUCT(B81:EO81,$B$5:$EO$5)</f>
        <v>0.0402807807393973</v>
      </c>
      <c r="EQ81" s="72" t="n">
        <f aca="false">SUMIF('Mi portafolio'!$A$8:$A$19,$A81,'Mi portafolio'!$B$8:$B$19)</f>
        <v>0</v>
      </c>
    </row>
    <row r="82" customFormat="false" ht="15" hidden="false" customHeight="false" outlineLevel="0" collapsed="false">
      <c r="A82" s="71" t="s">
        <v>304</v>
      </c>
      <c r="B82" s="0" t="n">
        <v>0.0124155739935279</v>
      </c>
      <c r="C82" s="0" t="n">
        <v>0.007041892235438</v>
      </c>
      <c r="D82" s="0" t="n">
        <v>-0.0007154775309091</v>
      </c>
      <c r="E82" s="0" t="n">
        <v>0.0087840740370646</v>
      </c>
      <c r="F82" s="0" t="n">
        <v>0.0059991786052102</v>
      </c>
      <c r="G82" s="0" t="n">
        <v>-0.0062121043985122</v>
      </c>
      <c r="H82" s="0" t="n">
        <v>0.0090449359860109</v>
      </c>
      <c r="I82" s="0" t="n">
        <v>0.0145599008441716</v>
      </c>
      <c r="J82" s="0" t="n">
        <v>0.0075294250025964</v>
      </c>
      <c r="K82" s="0" t="n">
        <v>0.0126114711771916</v>
      </c>
      <c r="L82" s="0" t="n">
        <v>0.010359096626478</v>
      </c>
      <c r="M82" s="0" t="n">
        <v>0.0315713642942423</v>
      </c>
      <c r="N82" s="0" t="n">
        <v>0.0168927437211552</v>
      </c>
      <c r="O82" s="0" t="n">
        <v>0.0133477020871335</v>
      </c>
      <c r="P82" s="0" t="n">
        <v>0.0143352289384084</v>
      </c>
      <c r="Q82" s="0" t="n">
        <v>0.0026002748645945</v>
      </c>
      <c r="R82" s="0" t="n">
        <v>0.0116164706256241</v>
      </c>
      <c r="S82" s="0" t="n">
        <v>0.0083046619411128</v>
      </c>
      <c r="T82" s="0" t="n">
        <v>0.0245348379648132</v>
      </c>
      <c r="U82" s="0" t="n">
        <v>0.0156945721386018</v>
      </c>
      <c r="V82" s="0" t="n">
        <v>0.0057933840767646</v>
      </c>
      <c r="W82" s="0" t="n">
        <v>0.0095068172320825</v>
      </c>
      <c r="X82" s="0" t="n">
        <v>0.0263507300017824</v>
      </c>
      <c r="Y82" s="0" t="n">
        <v>0.0094084736005251</v>
      </c>
      <c r="Z82" s="0" t="n">
        <v>0.0091417166419563</v>
      </c>
      <c r="AA82" s="0" t="n">
        <v>0.0142577443998727</v>
      </c>
      <c r="AB82" s="0" t="n">
        <v>0.0123748578969935</v>
      </c>
      <c r="AC82" s="0" t="n">
        <v>0.003190951459793</v>
      </c>
      <c r="AD82" s="0" t="n">
        <v>0.0087203119482645</v>
      </c>
      <c r="AE82" s="0" t="n">
        <v>0.0136155763405764</v>
      </c>
      <c r="AF82" s="0" t="n">
        <v>0.0096244520529496</v>
      </c>
      <c r="AG82" s="0" t="n">
        <v>0.0034453301873785</v>
      </c>
      <c r="AH82" s="0" t="n">
        <v>0.0068952167763119</v>
      </c>
      <c r="AI82" s="0" t="n">
        <v>-0.0162932492579607</v>
      </c>
      <c r="AJ82" s="0" t="n">
        <v>0.0095513927092796</v>
      </c>
      <c r="AK82" s="0" t="n">
        <v>0.0154855519187785</v>
      </c>
      <c r="AL82" s="0" t="n">
        <v>0.0242590267725524</v>
      </c>
      <c r="AM82" s="0" t="n">
        <v>0.0220185676771604</v>
      </c>
      <c r="AN82" s="0" t="n">
        <v>0.0360409503718466</v>
      </c>
      <c r="AO82" s="0" t="n">
        <v>0.0037243346202293</v>
      </c>
      <c r="AP82" s="0" t="n">
        <v>0.0203269193810129</v>
      </c>
      <c r="AQ82" s="0" t="n">
        <v>-0.0187636048059403</v>
      </c>
      <c r="AR82" s="0" t="n">
        <v>0.0293316156860793</v>
      </c>
      <c r="AS82" s="0" t="n">
        <v>0.0138411077820587</v>
      </c>
      <c r="AT82" s="0" t="n">
        <v>0.0306748950762635</v>
      </c>
      <c r="AU82" s="0" t="n">
        <v>0.0171086827011409</v>
      </c>
      <c r="AV82" s="0" t="n">
        <v>0.0114244424836509</v>
      </c>
      <c r="AW82" s="0" t="n">
        <v>0.0180961041749494</v>
      </c>
      <c r="AX82" s="0" t="n">
        <v>0.0136223057580856</v>
      </c>
      <c r="AY82" s="0" t="n">
        <v>0.0201881619264547</v>
      </c>
      <c r="AZ82" s="0" t="n">
        <v>0.0164540787702917</v>
      </c>
      <c r="BA82" s="0" t="n">
        <v>0.0229292366386522</v>
      </c>
      <c r="BB82" s="0" t="n">
        <v>0.0371896247014162</v>
      </c>
      <c r="BC82" s="0" t="n">
        <v>0.0098989884874423</v>
      </c>
      <c r="BD82" s="0" t="n">
        <v>0.0216547761594333</v>
      </c>
      <c r="BE82" s="0" t="n">
        <v>0.0150771159523381</v>
      </c>
      <c r="BF82" s="0" t="n">
        <v>0.0203304931454084</v>
      </c>
      <c r="BG82" s="0" t="n">
        <v>0.0206214180499231</v>
      </c>
      <c r="BH82" s="0" t="n">
        <v>0.0166227923702984</v>
      </c>
      <c r="BI82" s="0" t="n">
        <v>0.0120693702675376</v>
      </c>
      <c r="BJ82" s="0" t="n">
        <v>-0.0064368231359854</v>
      </c>
      <c r="BK82" s="0" t="n">
        <v>0.0108143150941978</v>
      </c>
      <c r="BL82" s="0" t="n">
        <v>0.0405243517148154</v>
      </c>
      <c r="BM82" s="0" t="n">
        <v>0.019610665446944</v>
      </c>
      <c r="BN82" s="0" t="n">
        <v>0.0236857159391657</v>
      </c>
      <c r="BO82" s="0" t="n">
        <v>0.0329186977587784</v>
      </c>
      <c r="BP82" s="0" t="n">
        <v>0.0322848072284431</v>
      </c>
      <c r="BQ82" s="0" t="n">
        <v>0.030706118080698</v>
      </c>
      <c r="BR82" s="0" t="n">
        <v>0.0322623012607357</v>
      </c>
      <c r="BS82" s="0" t="n">
        <v>-0.0168035324512764</v>
      </c>
      <c r="BT82" s="0" t="n">
        <v>0.0590610908824282</v>
      </c>
      <c r="BU82" s="0" t="n">
        <v>0.0182472025899921</v>
      </c>
      <c r="BV82" s="0" t="n">
        <v>0.0336068294030145</v>
      </c>
      <c r="BW82" s="0" t="n">
        <v>0.0208453863071773</v>
      </c>
      <c r="BX82" s="0" t="n">
        <v>0.0222410289331366</v>
      </c>
      <c r="BY82" s="0" t="n">
        <v>0.0358777012652478</v>
      </c>
      <c r="BZ82" s="0" t="n">
        <v>0.124097196343997</v>
      </c>
      <c r="CA82" s="0" t="n">
        <v>0.0080178615203236</v>
      </c>
      <c r="CB82" s="0" t="n">
        <v>7.52131983826051E-005</v>
      </c>
      <c r="CC82" s="0" t="n">
        <v>0.0235466284549972</v>
      </c>
      <c r="CD82" s="0" t="n">
        <v>0.0346218563226781</v>
      </c>
      <c r="CE82" s="0" t="n">
        <v>0.0137076994738506</v>
      </c>
      <c r="CF82" s="0" t="n">
        <v>-0.0171675326465461</v>
      </c>
      <c r="CG82" s="0" t="n">
        <v>0.036334518977952</v>
      </c>
      <c r="CH82" s="0" t="n">
        <v>0.0235287918001159</v>
      </c>
      <c r="CI82" s="0" t="n">
        <v>-0.0239620399371475</v>
      </c>
      <c r="CJ82" s="0" t="n">
        <v>0.0239526019087061</v>
      </c>
      <c r="CK82" s="0" t="n">
        <v>0.0226933146787215</v>
      </c>
      <c r="CL82" s="0" t="n">
        <v>0.0357997541182221</v>
      </c>
      <c r="CM82" s="0" t="n">
        <v>0.0339740607389947</v>
      </c>
      <c r="CN82" s="0" t="n">
        <v>0.0100967707567206</v>
      </c>
      <c r="CO82" s="0" t="n">
        <v>0.0075434217745541</v>
      </c>
      <c r="CP82" s="0" t="n">
        <v>0.0153431372061929</v>
      </c>
      <c r="CQ82" s="0" t="n">
        <v>0.0601505900603243</v>
      </c>
      <c r="CR82" s="0" t="n">
        <v>0.0425540022831896</v>
      </c>
      <c r="CS82" s="0" t="n">
        <v>0.0402655891601589</v>
      </c>
      <c r="CT82" s="0" t="n">
        <v>0.0404732769527613</v>
      </c>
      <c r="CU82" s="0" t="n">
        <v>0.029026637031958</v>
      </c>
      <c r="CV82" s="0" t="n">
        <v>0.0341817372801272</v>
      </c>
      <c r="CW82" s="0" t="n">
        <v>0.0408835997879367</v>
      </c>
      <c r="CX82" s="0" t="n">
        <v>0.0531269746660773</v>
      </c>
      <c r="CY82" s="0" t="n">
        <v>0.0540736783486183</v>
      </c>
      <c r="CZ82" s="0" t="n">
        <v>0.022879629450299</v>
      </c>
      <c r="DA82" s="0" t="n">
        <v>0.0342159787515327</v>
      </c>
      <c r="DB82" s="0" t="n">
        <v>0.0470341654417498</v>
      </c>
      <c r="DC82" s="0" t="n">
        <v>0.0503197008950836</v>
      </c>
      <c r="DD82" s="0" t="n">
        <v>0.0519027648945393</v>
      </c>
      <c r="DE82" s="0" t="n">
        <v>0.0413820587671865</v>
      </c>
      <c r="DF82" s="0" t="n">
        <v>0.0110362850506172</v>
      </c>
      <c r="DG82" s="0" t="n">
        <v>0.0463205262447678</v>
      </c>
      <c r="DH82" s="0" t="n">
        <v>0.0296368174292352</v>
      </c>
      <c r="DI82" s="0" t="n">
        <v>0.0703406052437987</v>
      </c>
      <c r="DJ82" s="0" t="n">
        <v>0.0532068748443835</v>
      </c>
      <c r="DK82" s="0" t="n">
        <v>0.0821331355774804</v>
      </c>
      <c r="DL82" s="0" t="n">
        <v>0.0194878392660702</v>
      </c>
      <c r="DM82" s="0" t="n">
        <v>0.0726645055501617</v>
      </c>
      <c r="DN82" s="0" t="n">
        <v>0.0524307875003425</v>
      </c>
      <c r="DO82" s="0" t="n">
        <v>0.055269104251447</v>
      </c>
      <c r="DP82" s="0" t="n">
        <v>0.0669702130536155</v>
      </c>
      <c r="DQ82" s="0" t="n">
        <v>0.0683410336771481</v>
      </c>
      <c r="DR82" s="0" t="n">
        <v>0.0444155424948761</v>
      </c>
      <c r="DS82" s="0" t="n">
        <v>0.0367281889658198</v>
      </c>
      <c r="DT82" s="0" t="n">
        <v>0.0502785175007707</v>
      </c>
      <c r="DU82" s="0" t="n">
        <v>0.0829293760551189</v>
      </c>
      <c r="DV82" s="0" t="n">
        <v>0.0469250255185931</v>
      </c>
      <c r="DW82" s="0" t="n">
        <v>0.0412198630395047</v>
      </c>
      <c r="DX82" s="0" t="n">
        <v>0.0517562460548505</v>
      </c>
      <c r="DY82" s="0" t="n">
        <v>0.0748595551947811</v>
      </c>
      <c r="DZ82" s="0" t="n">
        <v>0.0274834916350517</v>
      </c>
      <c r="EA82" s="0" t="n">
        <v>0.0400725905258335</v>
      </c>
      <c r="EB82" s="0" t="n">
        <v>0.0820501961134589</v>
      </c>
      <c r="EC82" s="0" t="n">
        <v>-0.0064681619470358</v>
      </c>
      <c r="ED82" s="0" t="n">
        <v>0.0625855345151584</v>
      </c>
      <c r="EE82" s="0" t="n">
        <v>0.0674429084140212</v>
      </c>
      <c r="EF82" s="0" t="n">
        <v>0.0680317788482762</v>
      </c>
      <c r="EG82" s="0" t="n">
        <v>0.0730329939299445</v>
      </c>
      <c r="EH82" s="0" t="n">
        <v>0.0514571876261285</v>
      </c>
      <c r="EI82" s="0" t="n">
        <v>0.0670958472698976</v>
      </c>
      <c r="EJ82" s="0" t="n">
        <v>0.0782396351691574</v>
      </c>
      <c r="EK82" s="0" t="n">
        <v>0.0837526150511708</v>
      </c>
      <c r="EL82" s="0" t="n">
        <v>0.0935770416217759</v>
      </c>
      <c r="EM82" s="0" t="n">
        <v>0.0971080483546217</v>
      </c>
      <c r="EN82" s="0" t="n">
        <v>0.0650208049307713</v>
      </c>
      <c r="EO82" s="0" t="n">
        <v>0.098332644365254</v>
      </c>
      <c r="EP82" s="72" t="n">
        <f aca="false">SUMPRODUCT(B82:EO82,$B$5:$EO$5)</f>
        <v>0.0649053082956927</v>
      </c>
      <c r="EQ82" s="72" t="n">
        <f aca="false">SUMIF('Mi portafolio'!$A$8:$A$19,$A82,'Mi portafolio'!$B$8:$B$19)</f>
        <v>0</v>
      </c>
    </row>
    <row r="83" customFormat="false" ht="15" hidden="false" customHeight="false" outlineLevel="0" collapsed="false">
      <c r="A83" s="71" t="s">
        <v>305</v>
      </c>
      <c r="B83" s="0" t="n">
        <v>0.0028859244056553</v>
      </c>
      <c r="C83" s="0" t="n">
        <v>0.0087279892815178</v>
      </c>
      <c r="D83" s="0" t="n">
        <v>0.0100867307292187</v>
      </c>
      <c r="E83" s="0" t="n">
        <v>0.0176429919607935</v>
      </c>
      <c r="F83" s="0" t="n">
        <v>0.0035882701695902</v>
      </c>
      <c r="G83" s="0" t="n">
        <v>0.0083391038859009</v>
      </c>
      <c r="H83" s="0" t="n">
        <v>0.0198800945336582</v>
      </c>
      <c r="I83" s="0" t="n">
        <v>0.0046061683901599</v>
      </c>
      <c r="J83" s="0" t="n">
        <v>0.0014495763384196</v>
      </c>
      <c r="K83" s="0" t="n">
        <v>0.0103906457344649</v>
      </c>
      <c r="L83" s="0" t="n">
        <v>0.012701162725662</v>
      </c>
      <c r="M83" s="0" t="n">
        <v>0.0174120264863048</v>
      </c>
      <c r="N83" s="0" t="n">
        <v>0.0046439339924965</v>
      </c>
      <c r="O83" s="0" t="n">
        <v>0.0249163440959662</v>
      </c>
      <c r="P83" s="0" t="n">
        <v>0.008480518454088</v>
      </c>
      <c r="Q83" s="0" t="n">
        <v>-0.004233561919946</v>
      </c>
      <c r="R83" s="0" t="n">
        <v>0.0022513148463935</v>
      </c>
      <c r="S83" s="0" t="n">
        <v>0.0180521300148043</v>
      </c>
      <c r="T83" s="0" t="n">
        <v>0.0042190381509971</v>
      </c>
      <c r="U83" s="0" t="n">
        <v>0.0346058569610447</v>
      </c>
      <c r="V83" s="0" t="n">
        <v>0.0343531191921751</v>
      </c>
      <c r="W83" s="0" t="n">
        <v>0.0141437097325306</v>
      </c>
      <c r="X83" s="0" t="n">
        <v>0.0044466875512644</v>
      </c>
      <c r="Y83" s="0" t="n">
        <v>0.0024353952034334</v>
      </c>
      <c r="Z83" s="0" t="n">
        <v>0.0173845477487221</v>
      </c>
      <c r="AA83" s="0" t="n">
        <v>0.0177214408407403</v>
      </c>
      <c r="AB83" s="0" t="n">
        <v>-0.0036837942849508</v>
      </c>
      <c r="AC83" s="0" t="n">
        <v>0.0244117208649554</v>
      </c>
      <c r="AD83" s="0" t="n">
        <v>0.0266878133127734</v>
      </c>
      <c r="AE83" s="0" t="n">
        <v>0.0246113192051104</v>
      </c>
      <c r="AF83" s="0" t="n">
        <v>0.0331494461993489</v>
      </c>
      <c r="AG83" s="0" t="n">
        <v>-0.0023725521372107</v>
      </c>
      <c r="AH83" s="0" t="n">
        <v>-0.0019371334654083</v>
      </c>
      <c r="AI83" s="0" t="n">
        <v>-0.0078697674887735</v>
      </c>
      <c r="AJ83" s="0" t="n">
        <v>0.0195956206551612</v>
      </c>
      <c r="AK83" s="0" t="n">
        <v>0.0294073059572022</v>
      </c>
      <c r="AL83" s="0" t="n">
        <v>0.0079703194435138</v>
      </c>
      <c r="AM83" s="0" t="n">
        <v>0.0226200432376066</v>
      </c>
      <c r="AN83" s="0" t="n">
        <v>0.0138596359197092</v>
      </c>
      <c r="AO83" s="0" t="n">
        <v>-0.0023793645387784</v>
      </c>
      <c r="AP83" s="0" t="n">
        <v>0.0064933934826902</v>
      </c>
      <c r="AQ83" s="0" t="n">
        <v>-0.0093215492689513</v>
      </c>
      <c r="AR83" s="0" t="n">
        <v>-0.0030274375510127</v>
      </c>
      <c r="AS83" s="0" t="n">
        <v>0.0324730351560925</v>
      </c>
      <c r="AT83" s="0" t="n">
        <v>0.001030864343724</v>
      </c>
      <c r="AU83" s="0" t="n">
        <v>0.0095913282815579</v>
      </c>
      <c r="AV83" s="0" t="n">
        <v>0.0319265907964462</v>
      </c>
      <c r="AW83" s="0" t="n">
        <v>0.027336410464551</v>
      </c>
      <c r="AX83" s="0" t="n">
        <v>0.0047918336818405</v>
      </c>
      <c r="AY83" s="0" t="n">
        <v>0.0012185454403581</v>
      </c>
      <c r="AZ83" s="0" t="n">
        <v>0.0341842238411476</v>
      </c>
      <c r="BA83" s="0" t="n">
        <v>0.0052250724278679</v>
      </c>
      <c r="BB83" s="0" t="n">
        <v>0.0085558634634205</v>
      </c>
      <c r="BC83" s="0" t="n">
        <v>0.0203535975329671</v>
      </c>
      <c r="BD83" s="0" t="n">
        <v>0.026186852973332</v>
      </c>
      <c r="BE83" s="0" t="n">
        <v>0.0077136483967923</v>
      </c>
      <c r="BF83" s="0" t="n">
        <v>0.0247576389135602</v>
      </c>
      <c r="BG83" s="0" t="n">
        <v>0.0039010579752235</v>
      </c>
      <c r="BH83" s="0" t="n">
        <v>0.024210970212024</v>
      </c>
      <c r="BI83" s="0" t="n">
        <v>0.0185478092903424</v>
      </c>
      <c r="BJ83" s="0" t="n">
        <v>0.0071334283242187</v>
      </c>
      <c r="BK83" s="0" t="n">
        <v>0.0235112301289675</v>
      </c>
      <c r="BL83" s="0" t="n">
        <v>0.007028932807646</v>
      </c>
      <c r="BM83" s="0" t="n">
        <v>0.0035834713654024</v>
      </c>
      <c r="BN83" s="0" t="n">
        <v>0.0013586274091691</v>
      </c>
      <c r="BO83" s="0" t="n">
        <v>0.011727419108131</v>
      </c>
      <c r="BP83" s="0" t="n">
        <v>-0.000286537701614</v>
      </c>
      <c r="BQ83" s="0" t="n">
        <v>0.0299015352997089</v>
      </c>
      <c r="BR83" s="0" t="n">
        <v>0.0055613996109512</v>
      </c>
      <c r="BS83" s="0" t="n">
        <v>-0.0100217478520746</v>
      </c>
      <c r="BT83" s="0" t="n">
        <v>0.0172528580429373</v>
      </c>
      <c r="BU83" s="0" t="n">
        <v>0.0132131809589126</v>
      </c>
      <c r="BV83" s="0" t="n">
        <v>0.0128846816495189</v>
      </c>
      <c r="BW83" s="0" t="n">
        <v>0.0082571632961514</v>
      </c>
      <c r="BX83" s="0" t="n">
        <v>-0.0016061588252898</v>
      </c>
      <c r="BY83" s="0" t="n">
        <v>0.0022675597438697</v>
      </c>
      <c r="BZ83" s="0" t="n">
        <v>0.0080178615203236</v>
      </c>
      <c r="CA83" s="0" t="n">
        <v>0.118105925104671</v>
      </c>
      <c r="CB83" s="0" t="n">
        <v>-0.0020819849416891</v>
      </c>
      <c r="CC83" s="0" t="n">
        <v>0.0016232158102959</v>
      </c>
      <c r="CD83" s="0" t="n">
        <v>-0.001996572137015</v>
      </c>
      <c r="CE83" s="0" t="n">
        <v>0.0085069589695611</v>
      </c>
      <c r="CF83" s="0" t="n">
        <v>-0.0081101778472475</v>
      </c>
      <c r="CG83" s="0" t="n">
        <v>0.005945769217649</v>
      </c>
      <c r="CH83" s="0" t="n">
        <v>0.0449738369044481</v>
      </c>
      <c r="CI83" s="0" t="n">
        <v>-0.0124750637364722</v>
      </c>
      <c r="CJ83" s="0" t="n">
        <v>0.0034597013400612</v>
      </c>
      <c r="CK83" s="0" t="n">
        <v>0.0058100936487965</v>
      </c>
      <c r="CL83" s="0" t="n">
        <v>0.0119800166653759</v>
      </c>
      <c r="CM83" s="0" t="n">
        <v>0.0088691038279142</v>
      </c>
      <c r="CN83" s="0" t="n">
        <v>0.0215023765708771</v>
      </c>
      <c r="CO83" s="0" t="n">
        <v>0.0228018645580804</v>
      </c>
      <c r="CP83" s="0" t="n">
        <v>-0.0023706004764387</v>
      </c>
      <c r="CQ83" s="0" t="n">
        <v>0.0079882032483452</v>
      </c>
      <c r="CR83" s="0" t="n">
        <v>0.0171091703226245</v>
      </c>
      <c r="CS83" s="0" t="n">
        <v>0.0198757127759193</v>
      </c>
      <c r="CT83" s="0" t="n">
        <v>0.0164442328155131</v>
      </c>
      <c r="CU83" s="0" t="n">
        <v>0.0064507721457965</v>
      </c>
      <c r="CV83" s="0" t="n">
        <v>0.0124282019238133</v>
      </c>
      <c r="CW83" s="0" t="n">
        <v>0.0184940975942755</v>
      </c>
      <c r="CX83" s="0" t="n">
        <v>0.0059938853562161</v>
      </c>
      <c r="CY83" s="0" t="n">
        <v>0.0119820190551549</v>
      </c>
      <c r="CZ83" s="0" t="n">
        <v>0.0046209328396975</v>
      </c>
      <c r="DA83" s="0" t="n">
        <v>0.0114646765042723</v>
      </c>
      <c r="DB83" s="0" t="n">
        <v>0.0271506159529786</v>
      </c>
      <c r="DC83" s="0" t="n">
        <v>0.0380360355271376</v>
      </c>
      <c r="DD83" s="0" t="n">
        <v>0.0218892353466788</v>
      </c>
      <c r="DE83" s="0" t="n">
        <v>0.0260719059570465</v>
      </c>
      <c r="DF83" s="0" t="n">
        <v>-0.0048355207847084</v>
      </c>
      <c r="DG83" s="0" t="n">
        <v>0.026088685404758</v>
      </c>
      <c r="DH83" s="0" t="n">
        <v>0.0250385533351253</v>
      </c>
      <c r="DI83" s="0" t="n">
        <v>0.0129828574503881</v>
      </c>
      <c r="DJ83" s="0" t="n">
        <v>0.0079815288175158</v>
      </c>
      <c r="DK83" s="0" t="n">
        <v>0.0094894812394926</v>
      </c>
      <c r="DL83" s="0" t="n">
        <v>0.0503263016623628</v>
      </c>
      <c r="DM83" s="0" t="n">
        <v>0.0204612358823208</v>
      </c>
      <c r="DN83" s="0" t="n">
        <v>0.0128107148183473</v>
      </c>
      <c r="DO83" s="0" t="n">
        <v>0.0332973511952579</v>
      </c>
      <c r="DP83" s="0" t="n">
        <v>0.0217303349042632</v>
      </c>
      <c r="DQ83" s="0" t="n">
        <v>0.0130746381027275</v>
      </c>
      <c r="DR83" s="0" t="n">
        <v>0.00513317657237</v>
      </c>
      <c r="DS83" s="0" t="n">
        <v>-0.0127559962156949</v>
      </c>
      <c r="DT83" s="0" t="n">
        <v>0.0069493443223477</v>
      </c>
      <c r="DU83" s="0" t="n">
        <v>0.0226835991264116</v>
      </c>
      <c r="DV83" s="0" t="n">
        <v>0.0180148827441818</v>
      </c>
      <c r="DW83" s="0" t="n">
        <v>-0.0033732590640841</v>
      </c>
      <c r="DX83" s="0" t="n">
        <v>0.0265918456865898</v>
      </c>
      <c r="DY83" s="0" t="n">
        <v>0.0080812095377043</v>
      </c>
      <c r="DZ83" s="0" t="n">
        <v>-0.0077977658300843</v>
      </c>
      <c r="EA83" s="0" t="n">
        <v>0.0220158761953866</v>
      </c>
      <c r="EB83" s="0" t="n">
        <v>0.0194715172798181</v>
      </c>
      <c r="EC83" s="0" t="n">
        <v>0.0097284890513713</v>
      </c>
      <c r="ED83" s="0" t="n">
        <v>0.038703719643367</v>
      </c>
      <c r="EE83" s="0" t="n">
        <v>0.0200196476854271</v>
      </c>
      <c r="EF83" s="0" t="n">
        <v>0.018004122679265</v>
      </c>
      <c r="EG83" s="0" t="n">
        <v>0.0291171911169236</v>
      </c>
      <c r="EH83" s="0" t="n">
        <v>-0.0299371910913208</v>
      </c>
      <c r="EI83" s="0" t="n">
        <v>0.0113558219317101</v>
      </c>
      <c r="EJ83" s="0" t="n">
        <v>0.0410645788165268</v>
      </c>
      <c r="EK83" s="0" t="n">
        <v>0.0328608951453173</v>
      </c>
      <c r="EL83" s="0" t="n">
        <v>0.0547530524780529</v>
      </c>
      <c r="EM83" s="0" t="n">
        <v>-0.0130454477821989</v>
      </c>
      <c r="EN83" s="0" t="n">
        <v>0.0382737901592971</v>
      </c>
      <c r="EO83" s="0" t="n">
        <v>-0.0239423335101446</v>
      </c>
      <c r="EP83" s="72" t="n">
        <f aca="false">SUMPRODUCT(B83:EO83,$B$5:$EO$5)</f>
        <v>0.0201712631856185</v>
      </c>
      <c r="EQ83" s="72" t="n">
        <f aca="false">SUMIF('Mi portafolio'!$A$8:$A$19,$A83,'Mi portafolio'!$B$8:$B$19)</f>
        <v>0</v>
      </c>
    </row>
    <row r="84" customFormat="false" ht="15" hidden="false" customHeight="false" outlineLevel="0" collapsed="false">
      <c r="A84" s="71" t="s">
        <v>306</v>
      </c>
      <c r="B84" s="0" t="n">
        <v>0.0024958821805745</v>
      </c>
      <c r="C84" s="0" t="n">
        <v>0.0056272919910716</v>
      </c>
      <c r="D84" s="0" t="n">
        <v>-0.004267735931087</v>
      </c>
      <c r="E84" s="0" t="n">
        <v>0.0010891463008141</v>
      </c>
      <c r="F84" s="0" t="n">
        <v>0.0049700297298369</v>
      </c>
      <c r="G84" s="0" t="n">
        <v>-0.001515550752928</v>
      </c>
      <c r="H84" s="0" t="n">
        <v>-0.007086964200284</v>
      </c>
      <c r="I84" s="0" t="n">
        <v>0.0008259515404317</v>
      </c>
      <c r="J84" s="0" t="n">
        <v>0.0081883286892615</v>
      </c>
      <c r="K84" s="0" t="n">
        <v>-0.0014474406039455</v>
      </c>
      <c r="L84" s="0" t="n">
        <v>-0.0056918052937596</v>
      </c>
      <c r="M84" s="0" t="n">
        <v>-0.0029304374325355</v>
      </c>
      <c r="N84" s="0" t="n">
        <v>0.006311215053095</v>
      </c>
      <c r="O84" s="0" t="n">
        <v>-0.0008305165980219</v>
      </c>
      <c r="P84" s="0" t="n">
        <v>0.005043556710504</v>
      </c>
      <c r="Q84" s="0" t="n">
        <v>-0.0016957222460539</v>
      </c>
      <c r="R84" s="0" t="n">
        <v>0.0052260470070374</v>
      </c>
      <c r="S84" s="0" t="n">
        <v>-0.006913189430602</v>
      </c>
      <c r="T84" s="0" t="n">
        <v>0.001217990879403</v>
      </c>
      <c r="U84" s="0" t="n">
        <v>0.0008859982782422</v>
      </c>
      <c r="V84" s="0" t="n">
        <v>-0.0096555418218761</v>
      </c>
      <c r="W84" s="0" t="n">
        <v>0.0012445974305115</v>
      </c>
      <c r="X84" s="0" t="n">
        <v>0.000402534354746</v>
      </c>
      <c r="Y84" s="0" t="n">
        <v>0.0083664659475269</v>
      </c>
      <c r="Z84" s="0" t="n">
        <v>-0.0088916395813871</v>
      </c>
      <c r="AA84" s="0" t="n">
        <v>-0.007025356075167</v>
      </c>
      <c r="AB84" s="0" t="n">
        <v>0.0034567605318903</v>
      </c>
      <c r="AC84" s="0" t="n">
        <v>-0.0032457827120609</v>
      </c>
      <c r="AD84" s="0" t="n">
        <v>-0.0066470297160124</v>
      </c>
      <c r="AE84" s="0" t="n">
        <v>-0.006053242009138</v>
      </c>
      <c r="AF84" s="0" t="n">
        <v>-0.0049367921970702</v>
      </c>
      <c r="AG84" s="0" t="n">
        <v>0.0033421833679126</v>
      </c>
      <c r="AH84" s="0" t="n">
        <v>0.0043137687294367</v>
      </c>
      <c r="AI84" s="0" t="n">
        <v>0.0151198103381232</v>
      </c>
      <c r="AJ84" s="0" t="n">
        <v>-0.00138623093581</v>
      </c>
      <c r="AK84" s="0" t="n">
        <v>0.0020204845412345</v>
      </c>
      <c r="AL84" s="0" t="n">
        <v>-0.0036662305469896</v>
      </c>
      <c r="AM84" s="0" t="n">
        <v>-0.0057125611372969</v>
      </c>
      <c r="AN84" s="0" t="n">
        <v>0.0010023508171343</v>
      </c>
      <c r="AO84" s="0" t="n">
        <v>-0.0010990710880711</v>
      </c>
      <c r="AP84" s="0" t="n">
        <v>0.0003587510978111</v>
      </c>
      <c r="AQ84" s="0" t="n">
        <v>0.0150850961621894</v>
      </c>
      <c r="AR84" s="0" t="n">
        <v>0.0060854942054326</v>
      </c>
      <c r="AS84" s="0" t="n">
        <v>0.0095198249901076</v>
      </c>
      <c r="AT84" s="0" t="n">
        <v>0.0041820523820263</v>
      </c>
      <c r="AU84" s="0" t="n">
        <v>0.0007897136751259</v>
      </c>
      <c r="AV84" s="0" t="n">
        <v>-0.0007165668740472</v>
      </c>
      <c r="AW84" s="0" t="n">
        <v>-0.0021925673608518</v>
      </c>
      <c r="AX84" s="0" t="n">
        <v>-0.0003354209236095</v>
      </c>
      <c r="AY84" s="0" t="n">
        <v>-0.0017171154904971</v>
      </c>
      <c r="AZ84" s="0" t="n">
        <v>-0.0007304727859122</v>
      </c>
      <c r="BA84" s="0" t="n">
        <v>0.0009460672025412</v>
      </c>
      <c r="BB84" s="0" t="n">
        <v>0.0003439262425894</v>
      </c>
      <c r="BC84" s="0" t="n">
        <v>-0.0043282132518364</v>
      </c>
      <c r="BD84" s="0" t="n">
        <v>0.0017815202938566</v>
      </c>
      <c r="BE84" s="0" t="n">
        <v>-0.0005032715381086</v>
      </c>
      <c r="BF84" s="0" t="n">
        <v>-0.0090096291739178</v>
      </c>
      <c r="BG84" s="0" t="n">
        <v>-0.0033453039801173</v>
      </c>
      <c r="BH84" s="0" t="n">
        <v>-6.10255804939097E-005</v>
      </c>
      <c r="BI84" s="0" t="n">
        <v>-0.0024769656527363</v>
      </c>
      <c r="BJ84" s="0" t="n">
        <v>0.0008915312556274</v>
      </c>
      <c r="BK84" s="0" t="n">
        <v>0.0003057151565872</v>
      </c>
      <c r="BL84" s="0" t="n">
        <v>-0.0030957977057489</v>
      </c>
      <c r="BM84" s="0" t="n">
        <v>7.11528803761895E-005</v>
      </c>
      <c r="BN84" s="0" t="n">
        <v>0.0055464893942541</v>
      </c>
      <c r="BO84" s="0" t="n">
        <v>-0.0026883674309375</v>
      </c>
      <c r="BP84" s="0" t="n">
        <v>-0.0064697936904361</v>
      </c>
      <c r="BQ84" s="0" t="n">
        <v>-0.016125623645494</v>
      </c>
      <c r="BR84" s="0" t="n">
        <v>-0.0003215941134233</v>
      </c>
      <c r="BS84" s="0" t="n">
        <v>0.0150160703452128</v>
      </c>
      <c r="BT84" s="0" t="n">
        <v>-0.0056704590760222</v>
      </c>
      <c r="BU84" s="0" t="n">
        <v>-0.0010970631623069</v>
      </c>
      <c r="BV84" s="0" t="n">
        <v>-0.0048989782215871</v>
      </c>
      <c r="BW84" s="0" t="n">
        <v>0.0038855742142161</v>
      </c>
      <c r="BX84" s="0" t="n">
        <v>0.000482381209063</v>
      </c>
      <c r="BY84" s="0" t="n">
        <v>-0.0139796916369928</v>
      </c>
      <c r="BZ84" s="0" t="n">
        <v>7.52131983826051E-005</v>
      </c>
      <c r="CA84" s="0" t="n">
        <v>-0.0020819849416891</v>
      </c>
      <c r="CB84" s="0" t="n">
        <v>0.123122940563048</v>
      </c>
      <c r="CC84" s="0" t="n">
        <v>0.0123641247653888</v>
      </c>
      <c r="CD84" s="0" t="n">
        <v>0.0022236502936351</v>
      </c>
      <c r="CE84" s="0" t="n">
        <v>-0.0102379626553303</v>
      </c>
      <c r="CF84" s="0" t="n">
        <v>0.0190755348081004</v>
      </c>
      <c r="CG84" s="0" t="n">
        <v>-0.0068449318925184</v>
      </c>
      <c r="CH84" s="0" t="n">
        <v>-0.0095126324840379</v>
      </c>
      <c r="CI84" s="0" t="n">
        <v>0.0198769035544344</v>
      </c>
      <c r="CJ84" s="0" t="n">
        <v>0.0111004733896879</v>
      </c>
      <c r="CK84" s="0" t="n">
        <v>0.0154181078723982</v>
      </c>
      <c r="CL84" s="0" t="n">
        <v>-0.0096589061169996</v>
      </c>
      <c r="CM84" s="0" t="n">
        <v>-0.0152109248146999</v>
      </c>
      <c r="CN84" s="0" t="n">
        <v>0.0138742000678265</v>
      </c>
      <c r="CO84" s="0" t="n">
        <v>0.002366459399712</v>
      </c>
      <c r="CP84" s="0" t="n">
        <v>0.0067543463250766</v>
      </c>
      <c r="CQ84" s="0" t="n">
        <v>-0.0033928066852048</v>
      </c>
      <c r="CR84" s="0" t="n">
        <v>-0.0114358436165869</v>
      </c>
      <c r="CS84" s="0" t="n">
        <v>-0.0092969958018054</v>
      </c>
      <c r="CT84" s="0" t="n">
        <v>-0.0130895855154393</v>
      </c>
      <c r="CU84" s="0" t="n">
        <v>-0.007014422289796</v>
      </c>
      <c r="CV84" s="0" t="n">
        <v>-0.0064649326624674</v>
      </c>
      <c r="CW84" s="0" t="n">
        <v>0.0021379222337741</v>
      </c>
      <c r="CX84" s="0" t="n">
        <v>-0.0044051873882395</v>
      </c>
      <c r="CY84" s="0" t="n">
        <v>-0.0050043185471319</v>
      </c>
      <c r="CZ84" s="0" t="n">
        <v>0.0053784062049891</v>
      </c>
      <c r="DA84" s="0" t="n">
        <v>-0.0021575586649264</v>
      </c>
      <c r="DB84" s="0" t="n">
        <v>6.04913035309613E-005</v>
      </c>
      <c r="DC84" s="0" t="n">
        <v>-0.0121572718028785</v>
      </c>
      <c r="DD84" s="0" t="n">
        <v>-0.0041807880964058</v>
      </c>
      <c r="DE84" s="0" t="n">
        <v>-0.0252251926485326</v>
      </c>
      <c r="DF84" s="0" t="n">
        <v>0.0071093584600282</v>
      </c>
      <c r="DG84" s="0" t="n">
        <v>-0.0243412496331723</v>
      </c>
      <c r="DH84" s="0" t="n">
        <v>-0.0094512791971738</v>
      </c>
      <c r="DI84" s="0" t="n">
        <v>-0.0081956412452782</v>
      </c>
      <c r="DJ84" s="0" t="n">
        <v>-0.0128621891688697</v>
      </c>
      <c r="DK84" s="0" t="n">
        <v>-0.0098790320628106</v>
      </c>
      <c r="DL84" s="0" t="n">
        <v>-0.02271295667969</v>
      </c>
      <c r="DM84" s="0" t="n">
        <v>-0.029785418829373</v>
      </c>
      <c r="DN84" s="0" t="n">
        <v>0.009183948969176</v>
      </c>
      <c r="DO84" s="0" t="n">
        <v>-0.0074015319868797</v>
      </c>
      <c r="DP84" s="0" t="n">
        <v>-0.0177704142603638</v>
      </c>
      <c r="DQ84" s="0" t="n">
        <v>0.0015696129955515</v>
      </c>
      <c r="DR84" s="0" t="n">
        <v>-0.0031729285040406</v>
      </c>
      <c r="DS84" s="0" t="n">
        <v>0.0050778215005211</v>
      </c>
      <c r="DT84" s="0" t="n">
        <v>-0.0177617933004993</v>
      </c>
      <c r="DU84" s="0" t="n">
        <v>-0.0036048235551805</v>
      </c>
      <c r="DV84" s="0" t="n">
        <v>-0.0109194171484433</v>
      </c>
      <c r="DW84" s="0" t="n">
        <v>-0.0166136885225463</v>
      </c>
      <c r="DX84" s="0" t="n">
        <v>-0.012916023597361</v>
      </c>
      <c r="DY84" s="0" t="n">
        <v>0.0002955147184422</v>
      </c>
      <c r="DZ84" s="0" t="n">
        <v>-0.003827192175139</v>
      </c>
      <c r="EA84" s="0" t="n">
        <v>-0.0185359395860861</v>
      </c>
      <c r="EB84" s="0" t="n">
        <v>0.0002856107143145</v>
      </c>
      <c r="EC84" s="0" t="n">
        <v>-0.0327485099635521</v>
      </c>
      <c r="ED84" s="0" t="n">
        <v>-0.0159937676698305</v>
      </c>
      <c r="EE84" s="0" t="n">
        <v>-0.0165596100234963</v>
      </c>
      <c r="EF84" s="0" t="n">
        <v>0.0081887228236089</v>
      </c>
      <c r="EG84" s="0" t="n">
        <v>-0.0079948139512299</v>
      </c>
      <c r="EH84" s="0" t="n">
        <v>-0.0003611631411699</v>
      </c>
      <c r="EI84" s="0" t="n">
        <v>-0.0058283684947765</v>
      </c>
      <c r="EJ84" s="0" t="n">
        <v>0.0085084511587941</v>
      </c>
      <c r="EK84" s="0" t="n">
        <v>0.0047651168681542</v>
      </c>
      <c r="EL84" s="0" t="n">
        <v>-0.0222522203040689</v>
      </c>
      <c r="EM84" s="0" t="n">
        <v>-0.0104681832856473</v>
      </c>
      <c r="EN84" s="0" t="n">
        <v>-0.0377402168918117</v>
      </c>
      <c r="EO84" s="0" t="n">
        <v>-0.0541554343977696</v>
      </c>
      <c r="EP84" s="72" t="n">
        <f aca="false">SUMPRODUCT(B84:EO84,$B$5:$EO$5)</f>
        <v>-0.00645092403118649</v>
      </c>
      <c r="EQ84" s="72" t="n">
        <f aca="false">SUMIF('Mi portafolio'!$A$8:$A$19,$A84,'Mi portafolio'!$B$8:$B$19)</f>
        <v>0</v>
      </c>
    </row>
    <row r="85" customFormat="false" ht="15" hidden="false" customHeight="false" outlineLevel="0" collapsed="false">
      <c r="A85" s="71" t="s">
        <v>307</v>
      </c>
      <c r="B85" s="0" t="n">
        <v>0.01233382327316</v>
      </c>
      <c r="C85" s="0" t="n">
        <v>-0.0013601515558888</v>
      </c>
      <c r="D85" s="0" t="n">
        <v>-0.0005965715026142</v>
      </c>
      <c r="E85" s="0" t="n">
        <v>0.0043462520301483</v>
      </c>
      <c r="F85" s="0" t="n">
        <v>0.0054772880869357</v>
      </c>
      <c r="G85" s="0" t="n">
        <v>0.0028193526046572</v>
      </c>
      <c r="H85" s="0" t="n">
        <v>-0.0040199491061531</v>
      </c>
      <c r="I85" s="0" t="n">
        <v>0.0085877785194125</v>
      </c>
      <c r="J85" s="0" t="n">
        <v>0.0078177133088149</v>
      </c>
      <c r="K85" s="0" t="n">
        <v>0.0107271799217318</v>
      </c>
      <c r="L85" s="0" t="n">
        <v>0.0005788400493723</v>
      </c>
      <c r="M85" s="0" t="n">
        <v>0.0060027031299158</v>
      </c>
      <c r="N85" s="0" t="n">
        <v>0.0047608821541702</v>
      </c>
      <c r="O85" s="0" t="n">
        <v>0.0034229272047761</v>
      </c>
      <c r="P85" s="0" t="n">
        <v>0.0157541706993227</v>
      </c>
      <c r="Q85" s="0" t="n">
        <v>0.0043778008166707</v>
      </c>
      <c r="R85" s="0" t="n">
        <v>0.0030249723877255</v>
      </c>
      <c r="S85" s="0" t="n">
        <v>0.0078550048398998</v>
      </c>
      <c r="T85" s="0" t="n">
        <v>0.0122313308283224</v>
      </c>
      <c r="U85" s="0" t="n">
        <v>0.005532148987997</v>
      </c>
      <c r="V85" s="0" t="n">
        <v>-0.0022333363139134</v>
      </c>
      <c r="W85" s="0" t="n">
        <v>0.0120171885525805</v>
      </c>
      <c r="X85" s="0" t="n">
        <v>0.0164450766790627</v>
      </c>
      <c r="Y85" s="0" t="n">
        <v>0.0203781167622007</v>
      </c>
      <c r="Z85" s="0" t="n">
        <v>0.0013761144685598</v>
      </c>
      <c r="AA85" s="0" t="n">
        <v>-5.2987860743916E-005</v>
      </c>
      <c r="AB85" s="0" t="n">
        <v>0.0223441383528347</v>
      </c>
      <c r="AC85" s="0" t="n">
        <v>-0.006385577884591</v>
      </c>
      <c r="AD85" s="0" t="n">
        <v>0.001524885339938</v>
      </c>
      <c r="AE85" s="0" t="n">
        <v>-0.0030094187848076</v>
      </c>
      <c r="AF85" s="0" t="n">
        <v>0.0017079849940074</v>
      </c>
      <c r="AG85" s="0" t="n">
        <v>0.0103596711194782</v>
      </c>
      <c r="AH85" s="0" t="n">
        <v>0.0055335084240781</v>
      </c>
      <c r="AI85" s="0" t="n">
        <v>0.002932261565817</v>
      </c>
      <c r="AJ85" s="0" t="n">
        <v>-0.0025457982001882</v>
      </c>
      <c r="AK85" s="0" t="n">
        <v>0.0047572375273211</v>
      </c>
      <c r="AL85" s="0" t="n">
        <v>-0.0022523094042611</v>
      </c>
      <c r="AM85" s="0" t="n">
        <v>0.0076705431027533</v>
      </c>
      <c r="AN85" s="0" t="n">
        <v>0.0123220178801289</v>
      </c>
      <c r="AO85" s="0" t="n">
        <v>0.0171885511849486</v>
      </c>
      <c r="AP85" s="0" t="n">
        <v>0.0144717207114407</v>
      </c>
      <c r="AQ85" s="0" t="n">
        <v>0.0012301248343567</v>
      </c>
      <c r="AR85" s="0" t="n">
        <v>0.014841717706277</v>
      </c>
      <c r="AS85" s="0" t="n">
        <v>0.0011691862777341</v>
      </c>
      <c r="AT85" s="0" t="n">
        <v>0.0236394073987363</v>
      </c>
      <c r="AU85" s="0" t="n">
        <v>0.0123289732527491</v>
      </c>
      <c r="AV85" s="0" t="n">
        <v>0.0068235776788681</v>
      </c>
      <c r="AW85" s="0" t="n">
        <v>0.0109824197013733</v>
      </c>
      <c r="AX85" s="0" t="n">
        <v>0.0114702919220607</v>
      </c>
      <c r="AY85" s="0" t="n">
        <v>0.0257238776054479</v>
      </c>
      <c r="AZ85" s="0" t="n">
        <v>-0.0033283708981506</v>
      </c>
      <c r="BA85" s="0" t="n">
        <v>0.0100390693088657</v>
      </c>
      <c r="BB85" s="0" t="n">
        <v>0.0174611213152057</v>
      </c>
      <c r="BC85" s="0" t="n">
        <v>0.0068169992645792</v>
      </c>
      <c r="BD85" s="0" t="n">
        <v>0.0091025151045017</v>
      </c>
      <c r="BE85" s="0" t="n">
        <v>0.0144984425559087</v>
      </c>
      <c r="BF85" s="0" t="n">
        <v>0.0093372076631868</v>
      </c>
      <c r="BG85" s="0" t="n">
        <v>0.0174686805781593</v>
      </c>
      <c r="BH85" s="0" t="n">
        <v>0.0065889118722698</v>
      </c>
      <c r="BI85" s="0" t="n">
        <v>0.0074094469587681</v>
      </c>
      <c r="BJ85" s="0" t="n">
        <v>0.0005262291241983</v>
      </c>
      <c r="BK85" s="0" t="n">
        <v>0.008290580201164</v>
      </c>
      <c r="BL85" s="0" t="n">
        <v>0.0146922368300262</v>
      </c>
      <c r="BM85" s="0" t="n">
        <v>0.0172974041379442</v>
      </c>
      <c r="BN85" s="0" t="n">
        <v>0.0723365274749473</v>
      </c>
      <c r="BO85" s="0" t="n">
        <v>0.0105483225043411</v>
      </c>
      <c r="BP85" s="0" t="n">
        <v>0.0082031442251968</v>
      </c>
      <c r="BQ85" s="0" t="n">
        <v>0.0121797026150626</v>
      </c>
      <c r="BR85" s="0" t="n">
        <v>0.0076847248259445</v>
      </c>
      <c r="BS85" s="0" t="n">
        <v>-0.0001893208149018</v>
      </c>
      <c r="BT85" s="0" t="n">
        <v>0.0033507981330459</v>
      </c>
      <c r="BU85" s="0" t="n">
        <v>-0.0017768182179167</v>
      </c>
      <c r="BV85" s="0" t="n">
        <v>0.0072990551098656</v>
      </c>
      <c r="BW85" s="0" t="n">
        <v>0.016947487247563</v>
      </c>
      <c r="BX85" s="0" t="n">
        <v>0.0195874405658176</v>
      </c>
      <c r="BY85" s="0" t="n">
        <v>-9.4875107627528E-005</v>
      </c>
      <c r="BZ85" s="0" t="n">
        <v>0.0235466284549972</v>
      </c>
      <c r="CA85" s="0" t="n">
        <v>0.0016232158102959</v>
      </c>
      <c r="CB85" s="0" t="n">
        <v>0.0123641247653888</v>
      </c>
      <c r="CC85" s="0" t="n">
        <v>0.117314585709996</v>
      </c>
      <c r="CD85" s="0" t="n">
        <v>0.0196008329988414</v>
      </c>
      <c r="CE85" s="0" t="n">
        <v>0.0069060338871725</v>
      </c>
      <c r="CF85" s="0" t="n">
        <v>0.0027196473402591</v>
      </c>
      <c r="CG85" s="0" t="n">
        <v>0.0233063722552212</v>
      </c>
      <c r="CH85" s="0" t="n">
        <v>0.0112784479170832</v>
      </c>
      <c r="CI85" s="0" t="n">
        <v>0.0058446446942161</v>
      </c>
      <c r="CJ85" s="0" t="n">
        <v>0.0136635309440115</v>
      </c>
      <c r="CK85" s="0" t="n">
        <v>0.0220631731281244</v>
      </c>
      <c r="CL85" s="0" t="n">
        <v>0.0081914090940163</v>
      </c>
      <c r="CM85" s="0" t="n">
        <v>0.0039546017357427</v>
      </c>
      <c r="CN85" s="0" t="n">
        <v>0.0030409068007993</v>
      </c>
      <c r="CO85" s="0" t="n">
        <v>0.0162660343011313</v>
      </c>
      <c r="CP85" s="0" t="n">
        <v>0.0073146228119105</v>
      </c>
      <c r="CQ85" s="0" t="n">
        <v>0.0226361105178066</v>
      </c>
      <c r="CR85" s="0" t="n">
        <v>0.0092497880149431</v>
      </c>
      <c r="CS85" s="0" t="n">
        <v>0.0124407215795275</v>
      </c>
      <c r="CT85" s="0" t="n">
        <v>0.0235116499588999</v>
      </c>
      <c r="CU85" s="0" t="n">
        <v>0.0015583958779796</v>
      </c>
      <c r="CV85" s="0" t="n">
        <v>0.0172933559812281</v>
      </c>
      <c r="CW85" s="0" t="n">
        <v>0.0097822519418907</v>
      </c>
      <c r="CX85" s="0" t="n">
        <v>0.0203984488219295</v>
      </c>
      <c r="CY85" s="0" t="n">
        <v>0.0190323767026947</v>
      </c>
      <c r="CZ85" s="0" t="n">
        <v>0.0164402670297345</v>
      </c>
      <c r="DA85" s="0" t="n">
        <v>0.0213013125190798</v>
      </c>
      <c r="DB85" s="0" t="n">
        <v>0.0183937084357944</v>
      </c>
      <c r="DC85" s="0" t="n">
        <v>0.0030686587466593</v>
      </c>
      <c r="DD85" s="0" t="n">
        <v>0.0346958273587147</v>
      </c>
      <c r="DE85" s="0" t="n">
        <v>0.0093518878622652</v>
      </c>
      <c r="DF85" s="0" t="n">
        <v>0.0103185881985163</v>
      </c>
      <c r="DG85" s="0" t="n">
        <v>0.0093413230155454</v>
      </c>
      <c r="DH85" s="0" t="n">
        <v>-0.0037711134212887</v>
      </c>
      <c r="DI85" s="0" t="n">
        <v>0.0293356747858393</v>
      </c>
      <c r="DJ85" s="0" t="n">
        <v>0.0222134454525002</v>
      </c>
      <c r="DK85" s="0" t="n">
        <v>0.0282163838755397</v>
      </c>
      <c r="DL85" s="0" t="n">
        <v>0.0048215616235925</v>
      </c>
      <c r="DM85" s="0" t="n">
        <v>0.0173283540737559</v>
      </c>
      <c r="DN85" s="0" t="n">
        <v>0.030696259919063</v>
      </c>
      <c r="DO85" s="0" t="n">
        <v>0.0123678445895962</v>
      </c>
      <c r="DP85" s="0" t="n">
        <v>0.0204241750241747</v>
      </c>
      <c r="DQ85" s="0" t="n">
        <v>0.0011890089058045</v>
      </c>
      <c r="DR85" s="0" t="n">
        <v>0.0235562302339729</v>
      </c>
      <c r="DS85" s="0" t="n">
        <v>0.0311786694323483</v>
      </c>
      <c r="DT85" s="0" t="n">
        <v>0.0158592749032171</v>
      </c>
      <c r="DU85" s="0" t="n">
        <v>0.0302107824417462</v>
      </c>
      <c r="DV85" s="0" t="n">
        <v>0.0146887525354963</v>
      </c>
      <c r="DW85" s="0" t="n">
        <v>0.0233338170563164</v>
      </c>
      <c r="DX85" s="0" t="n">
        <v>0.0069969370124861</v>
      </c>
      <c r="DY85" s="0" t="n">
        <v>0.0212027862398042</v>
      </c>
      <c r="DZ85" s="0" t="n">
        <v>0.0168232534453536</v>
      </c>
      <c r="EA85" s="0" t="n">
        <v>0.0172130806083581</v>
      </c>
      <c r="EB85" s="0" t="n">
        <v>0.0330267122121589</v>
      </c>
      <c r="EC85" s="0" t="n">
        <v>0.0125703675460969</v>
      </c>
      <c r="ED85" s="0" t="n">
        <v>0.0283073967844805</v>
      </c>
      <c r="EE85" s="0" t="n">
        <v>0.0224176584619367</v>
      </c>
      <c r="EF85" s="0" t="n">
        <v>0.0198021574993113</v>
      </c>
      <c r="EG85" s="0" t="n">
        <v>0.0237358276940415</v>
      </c>
      <c r="EH85" s="0" t="n">
        <v>0.0338362340840497</v>
      </c>
      <c r="EI85" s="0" t="n">
        <v>0.006976136672788</v>
      </c>
      <c r="EJ85" s="0" t="n">
        <v>0.0352559168763777</v>
      </c>
      <c r="EK85" s="0" t="n">
        <v>0.046055679747771</v>
      </c>
      <c r="EL85" s="0" t="n">
        <v>0.0142396125677125</v>
      </c>
      <c r="EM85" s="0" t="n">
        <v>0.0220362538213396</v>
      </c>
      <c r="EN85" s="0" t="n">
        <v>0.0351158714698264</v>
      </c>
      <c r="EO85" s="0" t="n">
        <v>0.0600166532412444</v>
      </c>
      <c r="EP85" s="72" t="n">
        <f aca="false">SUMPRODUCT(B85:EO85,$B$5:$EO$5)</f>
        <v>0.0136438306596735</v>
      </c>
      <c r="EQ85" s="72" t="n">
        <f aca="false">SUMIF('Mi portafolio'!$A$8:$A$19,$A85,'Mi portafolio'!$B$8:$B$19)</f>
        <v>0</v>
      </c>
    </row>
    <row r="86" customFormat="false" ht="15" hidden="false" customHeight="false" outlineLevel="0" collapsed="false">
      <c r="A86" s="71" t="s">
        <v>308</v>
      </c>
      <c r="B86" s="0" t="n">
        <v>0.0106281008190494</v>
      </c>
      <c r="C86" s="0" t="n">
        <v>-0.0023240797111897</v>
      </c>
      <c r="D86" s="0" t="n">
        <v>0.002900436137648</v>
      </c>
      <c r="E86" s="0" t="n">
        <v>0.00380981356593</v>
      </c>
      <c r="F86" s="0" t="n">
        <v>0.0121053417831517</v>
      </c>
      <c r="G86" s="0" t="n">
        <v>0.0016437551455494</v>
      </c>
      <c r="H86" s="0" t="n">
        <v>0.0039736589478781</v>
      </c>
      <c r="I86" s="0" t="n">
        <v>0.0167854072821133</v>
      </c>
      <c r="J86" s="0" t="n">
        <v>0.0063893930363996</v>
      </c>
      <c r="K86" s="0" t="n">
        <v>0.0089094886995524</v>
      </c>
      <c r="L86" s="0" t="n">
        <v>0.0109059389380146</v>
      </c>
      <c r="M86" s="0" t="n">
        <v>0.0218394900365275</v>
      </c>
      <c r="N86" s="0" t="n">
        <v>0.0185611220583305</v>
      </c>
      <c r="O86" s="0" t="n">
        <v>0.0025766591124108</v>
      </c>
      <c r="P86" s="0" t="n">
        <v>0.0150333469209111</v>
      </c>
      <c r="Q86" s="0" t="n">
        <v>0.0033654172387605</v>
      </c>
      <c r="R86" s="0" t="n">
        <v>0.0120356049753655</v>
      </c>
      <c r="S86" s="0" t="n">
        <v>0.0090789364543975</v>
      </c>
      <c r="T86" s="0" t="n">
        <v>0.0196972690391062</v>
      </c>
      <c r="U86" s="0" t="n">
        <v>0.0078430506845331</v>
      </c>
      <c r="V86" s="0" t="n">
        <v>0.0002833512552844</v>
      </c>
      <c r="W86" s="0" t="n">
        <v>0.0016544287697862</v>
      </c>
      <c r="X86" s="0" t="n">
        <v>0.0160501849065174</v>
      </c>
      <c r="Y86" s="0" t="n">
        <v>0.0259451809863306</v>
      </c>
      <c r="Z86" s="0" t="n">
        <v>0.0092070677359982</v>
      </c>
      <c r="AA86" s="0" t="n">
        <v>0.0064401996491346</v>
      </c>
      <c r="AB86" s="0" t="n">
        <v>0.0286925166778527</v>
      </c>
      <c r="AC86" s="0" t="n">
        <v>-0.0042421824621509</v>
      </c>
      <c r="AD86" s="0" t="n">
        <v>-0.0030870329397707</v>
      </c>
      <c r="AE86" s="0" t="n">
        <v>0.0096603527381904</v>
      </c>
      <c r="AF86" s="0" t="n">
        <v>-0.0040206476010376</v>
      </c>
      <c r="AG86" s="0" t="n">
        <v>0.000121858522349</v>
      </c>
      <c r="AH86" s="0" t="n">
        <v>0.0043962632318122</v>
      </c>
      <c r="AI86" s="0" t="n">
        <v>-0.00736748469033</v>
      </c>
      <c r="AJ86" s="0" t="n">
        <v>-0.0059238015047113</v>
      </c>
      <c r="AK86" s="0" t="n">
        <v>-0.0022733373953514</v>
      </c>
      <c r="AL86" s="0" t="n">
        <v>0.0174730120959891</v>
      </c>
      <c r="AM86" s="0" t="n">
        <v>0.0184848082376963</v>
      </c>
      <c r="AN86" s="0" t="n">
        <v>0.0287297058054218</v>
      </c>
      <c r="AO86" s="0" t="n">
        <v>0.0158771299302183</v>
      </c>
      <c r="AP86" s="0" t="n">
        <v>0.0322792643488964</v>
      </c>
      <c r="AQ86" s="0" t="n">
        <v>-0.0080772521830001</v>
      </c>
      <c r="AR86" s="0" t="n">
        <v>0.0190418713420838</v>
      </c>
      <c r="AS86" s="0" t="n">
        <v>0.0093308354567821</v>
      </c>
      <c r="AT86" s="0" t="n">
        <v>0.0318933226927893</v>
      </c>
      <c r="AU86" s="0" t="n">
        <v>0.00512253972632</v>
      </c>
      <c r="AV86" s="0" t="n">
        <v>-0.0016157754252413</v>
      </c>
      <c r="AW86" s="0" t="n">
        <v>0.0097485064142088</v>
      </c>
      <c r="AX86" s="0" t="n">
        <v>0.0202571184456274</v>
      </c>
      <c r="AY86" s="0" t="n">
        <v>0.0215937007947527</v>
      </c>
      <c r="AZ86" s="0" t="n">
        <v>0.0075047796064204</v>
      </c>
      <c r="BA86" s="0" t="n">
        <v>0.0212229125311685</v>
      </c>
      <c r="BB86" s="0" t="n">
        <v>0.022901677423584</v>
      </c>
      <c r="BC86" s="0" t="n">
        <v>0.0008548968905667</v>
      </c>
      <c r="BD86" s="0" t="n">
        <v>0.0084008830779658</v>
      </c>
      <c r="BE86" s="0" t="n">
        <v>0.012696793312529</v>
      </c>
      <c r="BF86" s="0" t="n">
        <v>0.0129036503616429</v>
      </c>
      <c r="BG86" s="0" t="n">
        <v>0.0282793103898488</v>
      </c>
      <c r="BH86" s="0" t="n">
        <v>0.0118867478516226</v>
      </c>
      <c r="BI86" s="0" t="n">
        <v>0.0081187845300481</v>
      </c>
      <c r="BJ86" s="0" t="n">
        <v>-0.0057310171716326</v>
      </c>
      <c r="BK86" s="0" t="n">
        <v>0.0100837140494135</v>
      </c>
      <c r="BL86" s="0" t="n">
        <v>0.0221654503363983</v>
      </c>
      <c r="BM86" s="0" t="n">
        <v>0.0291747764941139</v>
      </c>
      <c r="BN86" s="0" t="n">
        <v>0.0137591226680416</v>
      </c>
      <c r="BO86" s="0" t="n">
        <v>0.036815868312293</v>
      </c>
      <c r="BP86" s="0" t="n">
        <v>0.0348411358405916</v>
      </c>
      <c r="BQ86" s="0" t="n">
        <v>0.0175390479738225</v>
      </c>
      <c r="BR86" s="0" t="n">
        <v>0.0332059171323451</v>
      </c>
      <c r="BS86" s="0" t="n">
        <v>0.0010370868545857</v>
      </c>
      <c r="BT86" s="0" t="n">
        <v>0.0337631073656173</v>
      </c>
      <c r="BU86" s="0" t="n">
        <v>0.0099987875712976</v>
      </c>
      <c r="BV86" s="0" t="n">
        <v>0.0392972422621714</v>
      </c>
      <c r="BW86" s="0" t="n">
        <v>0.0351773978785703</v>
      </c>
      <c r="BX86" s="0" t="n">
        <v>0.012136597258362</v>
      </c>
      <c r="BY86" s="0" t="n">
        <v>0.0221979355548009</v>
      </c>
      <c r="BZ86" s="0" t="n">
        <v>0.0346218563226781</v>
      </c>
      <c r="CA86" s="0" t="n">
        <v>-0.001996572137015</v>
      </c>
      <c r="CB86" s="0" t="n">
        <v>0.0022236502936351</v>
      </c>
      <c r="CC86" s="0" t="n">
        <v>0.0196008329988414</v>
      </c>
      <c r="CD86" s="0" t="n">
        <v>0.127960348094378</v>
      </c>
      <c r="CE86" s="0" t="n">
        <v>0.0044465504855126</v>
      </c>
      <c r="CF86" s="0" t="n">
        <v>-0.0019603403922204</v>
      </c>
      <c r="CG86" s="0" t="n">
        <v>0.0649173832617524</v>
      </c>
      <c r="CH86" s="0" t="n">
        <v>0.015215762321764</v>
      </c>
      <c r="CI86" s="0" t="n">
        <v>0.0014891070455527</v>
      </c>
      <c r="CJ86" s="0" t="n">
        <v>0.0409068312584489</v>
      </c>
      <c r="CK86" s="0" t="n">
        <v>0.0307376124645367</v>
      </c>
      <c r="CL86" s="0" t="n">
        <v>0.0184646901395986</v>
      </c>
      <c r="CM86" s="0" t="n">
        <v>0.0257187058668455</v>
      </c>
      <c r="CN86" s="0" t="n">
        <v>0.0026112964699464</v>
      </c>
      <c r="CO86" s="0" t="n">
        <v>0.0077846491841507</v>
      </c>
      <c r="CP86" s="0" t="n">
        <v>0.031710754420833</v>
      </c>
      <c r="CQ86" s="0" t="n">
        <v>0.0363684017543464</v>
      </c>
      <c r="CR86" s="0" t="n">
        <v>0.0308217831195486</v>
      </c>
      <c r="CS86" s="0" t="n">
        <v>0.0053953193568051</v>
      </c>
      <c r="CT86" s="0" t="n">
        <v>0.0360829423546621</v>
      </c>
      <c r="CU86" s="0" t="n">
        <v>0.0294505116279234</v>
      </c>
      <c r="CV86" s="0" t="n">
        <v>0.0385725852068727</v>
      </c>
      <c r="CW86" s="0" t="n">
        <v>0.0651909057627039</v>
      </c>
      <c r="CX86" s="0" t="n">
        <v>0.0395276831780009</v>
      </c>
      <c r="CY86" s="0" t="n">
        <v>0.035313473355142</v>
      </c>
      <c r="CZ86" s="0" t="n">
        <v>0.0360186747872661</v>
      </c>
      <c r="DA86" s="0" t="n">
        <v>0.0502382087126498</v>
      </c>
      <c r="DB86" s="0" t="n">
        <v>0.027064432599779</v>
      </c>
      <c r="DC86" s="0" t="n">
        <v>0.013911726377543</v>
      </c>
      <c r="DD86" s="0" t="n">
        <v>0.055206454964151</v>
      </c>
      <c r="DE86" s="0" t="n">
        <v>0.0180796019854139</v>
      </c>
      <c r="DF86" s="0" t="n">
        <v>0.0416058281316586</v>
      </c>
      <c r="DG86" s="0" t="n">
        <v>0.0238718473783353</v>
      </c>
      <c r="DH86" s="0" t="n">
        <v>0.0199498712159929</v>
      </c>
      <c r="DI86" s="0" t="n">
        <v>0.0403343737070503</v>
      </c>
      <c r="DJ86" s="0" t="n">
        <v>0.0626310926876241</v>
      </c>
      <c r="DK86" s="0" t="n">
        <v>0.0477607434220602</v>
      </c>
      <c r="DL86" s="0" t="n">
        <v>-0.002074189123245</v>
      </c>
      <c r="DM86" s="0" t="n">
        <v>0.0611818982465804</v>
      </c>
      <c r="DN86" s="0" t="n">
        <v>0.0612699477122573</v>
      </c>
      <c r="DO86" s="0" t="n">
        <v>0.0204625980951171</v>
      </c>
      <c r="DP86" s="0" t="n">
        <v>0.071660935074111</v>
      </c>
      <c r="DQ86" s="0" t="n">
        <v>0.0190833021651874</v>
      </c>
      <c r="DR86" s="0" t="n">
        <v>0.0324022030475658</v>
      </c>
      <c r="DS86" s="0" t="n">
        <v>0.0863137121018636</v>
      </c>
      <c r="DT86" s="0" t="n">
        <v>0.0482377580467291</v>
      </c>
      <c r="DU86" s="0" t="n">
        <v>0.0597771923690661</v>
      </c>
      <c r="DV86" s="0" t="n">
        <v>0.0687050618870462</v>
      </c>
      <c r="DW86" s="0" t="n">
        <v>0.07826517044427</v>
      </c>
      <c r="DX86" s="0" t="n">
        <v>0.0117825495369329</v>
      </c>
      <c r="DY86" s="0" t="n">
        <v>0.0784507678750455</v>
      </c>
      <c r="DZ86" s="0" t="n">
        <v>0.056283867452188</v>
      </c>
      <c r="EA86" s="0" t="n">
        <v>0.0630668045804572</v>
      </c>
      <c r="EB86" s="0" t="n">
        <v>0.0728898322405389</v>
      </c>
      <c r="EC86" s="0" t="n">
        <v>-0.0048066561203894</v>
      </c>
      <c r="ED86" s="0" t="n">
        <v>0.029204673588806</v>
      </c>
      <c r="EE86" s="0" t="n">
        <v>0.0374180140424597</v>
      </c>
      <c r="EF86" s="0" t="n">
        <v>0.0169467363594321</v>
      </c>
      <c r="EG86" s="0" t="n">
        <v>0.0093895887194301</v>
      </c>
      <c r="EH86" s="0" t="n">
        <v>0.0711301721299159</v>
      </c>
      <c r="EI86" s="0" t="n">
        <v>0.028198496902547</v>
      </c>
      <c r="EJ86" s="0" t="n">
        <v>0.0697793353286249</v>
      </c>
      <c r="EK86" s="0" t="n">
        <v>0.0436242646634448</v>
      </c>
      <c r="EL86" s="0" t="n">
        <v>0.0504365018578977</v>
      </c>
      <c r="EM86" s="0" t="n">
        <v>0.0843721597310462</v>
      </c>
      <c r="EN86" s="0" t="n">
        <v>0.152978556684762</v>
      </c>
      <c r="EO86" s="0" t="n">
        <v>0.0689383250606459</v>
      </c>
      <c r="EP86" s="72" t="n">
        <f aca="false">SUMPRODUCT(B86:EO86,$B$5:$EO$5)</f>
        <v>0.0183147045234791</v>
      </c>
      <c r="EQ86" s="72" t="n">
        <f aca="false">SUMIF('Mi portafolio'!$A$8:$A$19,$A86,'Mi portafolio'!$B$8:$B$19)</f>
        <v>0</v>
      </c>
    </row>
    <row r="87" customFormat="false" ht="15" hidden="false" customHeight="false" outlineLevel="0" collapsed="false">
      <c r="A87" s="71" t="s">
        <v>309</v>
      </c>
      <c r="B87" s="0" t="n">
        <v>0.0039629701808878</v>
      </c>
      <c r="C87" s="0" t="n">
        <v>-0.0017994661156577</v>
      </c>
      <c r="D87" s="0" t="n">
        <v>0.0030661342839697</v>
      </c>
      <c r="E87" s="0" t="n">
        <v>0.0008884494127366</v>
      </c>
      <c r="F87" s="0" t="n">
        <v>-0.0057046930318013</v>
      </c>
      <c r="G87" s="0" t="n">
        <v>-0.0006637401523324</v>
      </c>
      <c r="H87" s="0" t="n">
        <v>0.00140326343953</v>
      </c>
      <c r="I87" s="0" t="n">
        <v>-0.0005063368360262</v>
      </c>
      <c r="J87" s="0" t="n">
        <v>0.0004821845042519</v>
      </c>
      <c r="K87" s="0" t="n">
        <v>-0.0031695822676711</v>
      </c>
      <c r="L87" s="0" t="n">
        <v>0.0042341810214659</v>
      </c>
      <c r="M87" s="0" t="n">
        <v>0.0071846331750167</v>
      </c>
      <c r="N87" s="0" t="n">
        <v>0.0035963394468083</v>
      </c>
      <c r="O87" s="0" t="n">
        <v>-0.0025761304912542</v>
      </c>
      <c r="P87" s="0" t="n">
        <v>0.0069743389109368</v>
      </c>
      <c r="Q87" s="0" t="n">
        <v>0.0023311359847602</v>
      </c>
      <c r="R87" s="0" t="n">
        <v>0.0008491591468981</v>
      </c>
      <c r="S87" s="0" t="n">
        <v>-0.0018895109930752</v>
      </c>
      <c r="T87" s="0" t="n">
        <v>0.0218681544239937</v>
      </c>
      <c r="U87" s="0" t="n">
        <v>0.0086607371632157</v>
      </c>
      <c r="V87" s="0" t="n">
        <v>0.0040446082013049</v>
      </c>
      <c r="W87" s="0" t="n">
        <v>0.0045895831646809</v>
      </c>
      <c r="X87" s="0" t="n">
        <v>0.021860125124123</v>
      </c>
      <c r="Y87" s="0" t="n">
        <v>0.0103038301425336</v>
      </c>
      <c r="Z87" s="0" t="n">
        <v>-0.000661070854371</v>
      </c>
      <c r="AA87" s="0" t="n">
        <v>0.0064803131374037</v>
      </c>
      <c r="AB87" s="0" t="n">
        <v>0.0061355082568208</v>
      </c>
      <c r="AC87" s="0" t="n">
        <v>0.0064939885836353</v>
      </c>
      <c r="AD87" s="0" t="n">
        <v>0.0066461200770932</v>
      </c>
      <c r="AE87" s="0" t="n">
        <v>0.0121588733418214</v>
      </c>
      <c r="AF87" s="0" t="n">
        <v>0.0076592764340126</v>
      </c>
      <c r="AG87" s="0" t="n">
        <v>-0.0018184338824358</v>
      </c>
      <c r="AH87" s="0" t="n">
        <v>-0.0029250684531682</v>
      </c>
      <c r="AI87" s="0" t="n">
        <v>0.0095928207619066</v>
      </c>
      <c r="AJ87" s="0" t="n">
        <v>0.0070389776067098</v>
      </c>
      <c r="AK87" s="0" t="n">
        <v>0.0045209728211985</v>
      </c>
      <c r="AL87" s="0" t="n">
        <v>0.0186831621434132</v>
      </c>
      <c r="AM87" s="0" t="n">
        <v>0.0122745461056087</v>
      </c>
      <c r="AN87" s="0" t="n">
        <v>0.0087526912535902</v>
      </c>
      <c r="AO87" s="0" t="n">
        <v>0.0079094649162241</v>
      </c>
      <c r="AP87" s="0" t="n">
        <v>0.0001288525219123</v>
      </c>
      <c r="AQ87" s="0" t="n">
        <v>0.0105865309796811</v>
      </c>
      <c r="AR87" s="0" t="n">
        <v>0.026222978337085</v>
      </c>
      <c r="AS87" s="0" t="n">
        <v>0.0074739667959912</v>
      </c>
      <c r="AT87" s="0" t="n">
        <v>0.0209735084811916</v>
      </c>
      <c r="AU87" s="0" t="n">
        <v>0.0033370620244337</v>
      </c>
      <c r="AV87" s="0" t="n">
        <v>0.0050854412128203</v>
      </c>
      <c r="AW87" s="0" t="n">
        <v>0.0143371454692093</v>
      </c>
      <c r="AX87" s="0" t="n">
        <v>0.0112068579794108</v>
      </c>
      <c r="AY87" s="0" t="n">
        <v>0.0173067041445677</v>
      </c>
      <c r="AZ87" s="0" t="n">
        <v>0.0157953943250233</v>
      </c>
      <c r="BA87" s="0" t="n">
        <v>0.0181220223074332</v>
      </c>
      <c r="BB87" s="0" t="n">
        <v>0.0404456039826186</v>
      </c>
      <c r="BC87" s="0" t="n">
        <v>0.0066566949621424</v>
      </c>
      <c r="BD87" s="0" t="n">
        <v>0.0128099988777785</v>
      </c>
      <c r="BE87" s="0" t="n">
        <v>0.0065791587315553</v>
      </c>
      <c r="BF87" s="0" t="n">
        <v>0.0051950009917259</v>
      </c>
      <c r="BG87" s="0" t="n">
        <v>0.00829211618776</v>
      </c>
      <c r="BH87" s="0" t="n">
        <v>0.0112852193718448</v>
      </c>
      <c r="BI87" s="0" t="n">
        <v>0.0013541152853388</v>
      </c>
      <c r="BJ87" s="0" t="n">
        <v>-0.0055254247085028</v>
      </c>
      <c r="BK87" s="0" t="n">
        <v>0.0207230746512547</v>
      </c>
      <c r="BL87" s="0" t="n">
        <v>0.025848707339566</v>
      </c>
      <c r="BM87" s="0" t="n">
        <v>0.0150944047110253</v>
      </c>
      <c r="BN87" s="0" t="n">
        <v>0.0056256918395101</v>
      </c>
      <c r="BO87" s="0" t="n">
        <v>0.0199399313306505</v>
      </c>
      <c r="BP87" s="0" t="n">
        <v>0.0093153819306962</v>
      </c>
      <c r="BQ87" s="0" t="n">
        <v>0.0211050747718692</v>
      </c>
      <c r="BR87" s="0" t="n">
        <v>0.0218171022993819</v>
      </c>
      <c r="BS87" s="0" t="n">
        <v>0.0142902991548025</v>
      </c>
      <c r="BT87" s="0" t="n">
        <v>0.0166740057083661</v>
      </c>
      <c r="BU87" s="0" t="n">
        <v>0.013260961171391</v>
      </c>
      <c r="BV87" s="0" t="n">
        <v>0.0252372965180982</v>
      </c>
      <c r="BW87" s="0" t="n">
        <v>0.0140018181374109</v>
      </c>
      <c r="BX87" s="0" t="n">
        <v>0.0005455233595687</v>
      </c>
      <c r="BY87" s="0" t="n">
        <v>0.024980993697808</v>
      </c>
      <c r="BZ87" s="0" t="n">
        <v>0.0137076994738506</v>
      </c>
      <c r="CA87" s="0" t="n">
        <v>0.0085069589695611</v>
      </c>
      <c r="CB87" s="0" t="n">
        <v>-0.0102379626553303</v>
      </c>
      <c r="CC87" s="0" t="n">
        <v>0.0069060338871725</v>
      </c>
      <c r="CD87" s="0" t="n">
        <v>0.0044465504855126</v>
      </c>
      <c r="CE87" s="0" t="n">
        <v>0.128491944154499</v>
      </c>
      <c r="CF87" s="0" t="n">
        <v>0.0173177250694065</v>
      </c>
      <c r="CG87" s="0" t="n">
        <v>0.018280146546524</v>
      </c>
      <c r="CH87" s="0" t="n">
        <v>0.0249841472341048</v>
      </c>
      <c r="CI87" s="0" t="n">
        <v>0.0185269754444701</v>
      </c>
      <c r="CJ87" s="0" t="n">
        <v>0.0027636589817792</v>
      </c>
      <c r="CK87" s="0" t="n">
        <v>0.0060803611048744</v>
      </c>
      <c r="CL87" s="0" t="n">
        <v>0.0259662698770231</v>
      </c>
      <c r="CM87" s="0" t="n">
        <v>0.040540401046884</v>
      </c>
      <c r="CN87" s="0" t="n">
        <v>0.0063135080111412</v>
      </c>
      <c r="CO87" s="0" t="n">
        <v>0.0096344882170196</v>
      </c>
      <c r="CP87" s="0" t="n">
        <v>0.0075632106405741</v>
      </c>
      <c r="CQ87" s="0" t="n">
        <v>0.0325388713991132</v>
      </c>
      <c r="CR87" s="0" t="n">
        <v>0.0516696476664726</v>
      </c>
      <c r="CS87" s="0" t="n">
        <v>0.0575554331260731</v>
      </c>
      <c r="CT87" s="0" t="n">
        <v>0.0261946065278178</v>
      </c>
      <c r="CU87" s="0" t="n">
        <v>0.0167728019989925</v>
      </c>
      <c r="CV87" s="0" t="n">
        <v>0.0175697676457539</v>
      </c>
      <c r="CW87" s="0" t="n">
        <v>0.009303924240618</v>
      </c>
      <c r="CX87" s="0" t="n">
        <v>0.0133479819515204</v>
      </c>
      <c r="CY87" s="0" t="n">
        <v>0.0252279042731857</v>
      </c>
      <c r="CZ87" s="0" t="n">
        <v>0.0262344427758278</v>
      </c>
      <c r="DA87" s="0" t="n">
        <v>0.0029093013143277</v>
      </c>
      <c r="DB87" s="0" t="n">
        <v>0.0402054385989498</v>
      </c>
      <c r="DC87" s="0" t="n">
        <v>0.0121814299823304</v>
      </c>
      <c r="DD87" s="0" t="n">
        <v>0.0366708948822805</v>
      </c>
      <c r="DE87" s="0" t="n">
        <v>0.0525018564376267</v>
      </c>
      <c r="DF87" s="0" t="n">
        <v>0.0016008347560135</v>
      </c>
      <c r="DG87" s="0" t="n">
        <v>0.0258536243731036</v>
      </c>
      <c r="DH87" s="0" t="n">
        <v>0.0643805367328949</v>
      </c>
      <c r="DI87" s="0" t="n">
        <v>0.0244077896185392</v>
      </c>
      <c r="DJ87" s="0" t="n">
        <v>0.0280614054408295</v>
      </c>
      <c r="DK87" s="0" t="n">
        <v>0.0377650489078879</v>
      </c>
      <c r="DL87" s="0" t="n">
        <v>0.0103305399684261</v>
      </c>
      <c r="DM87" s="0" t="n">
        <v>0.0372840078557628</v>
      </c>
      <c r="DN87" s="0" t="n">
        <v>0.023369921997361</v>
      </c>
      <c r="DO87" s="0" t="n">
        <v>0.0583824567602983</v>
      </c>
      <c r="DP87" s="0" t="n">
        <v>0.0310513460332859</v>
      </c>
      <c r="DQ87" s="0" t="n">
        <v>0.0462074321662696</v>
      </c>
      <c r="DR87" s="0" t="n">
        <v>0.0302551222046144</v>
      </c>
      <c r="DS87" s="0" t="n">
        <v>0.014569482196701</v>
      </c>
      <c r="DT87" s="0" t="n">
        <v>0.0493169306808491</v>
      </c>
      <c r="DU87" s="0" t="n">
        <v>0.0457699451292645</v>
      </c>
      <c r="DV87" s="0" t="n">
        <v>0.0465389143467595</v>
      </c>
      <c r="DW87" s="0" t="n">
        <v>0.0279692863865494</v>
      </c>
      <c r="DX87" s="0" t="n">
        <v>0.0832528170689726</v>
      </c>
      <c r="DY87" s="0" t="n">
        <v>0.0482720272800917</v>
      </c>
      <c r="DZ87" s="0" t="n">
        <v>0.0337040465915587</v>
      </c>
      <c r="EA87" s="0" t="n">
        <v>0.0129060965750587</v>
      </c>
      <c r="EB87" s="0" t="n">
        <v>0.0623012507887781</v>
      </c>
      <c r="EC87" s="0" t="n">
        <v>0.0206964605108553</v>
      </c>
      <c r="ED87" s="0" t="n">
        <v>0.0519849100752786</v>
      </c>
      <c r="EE87" s="0" t="n">
        <v>0.082504630320956</v>
      </c>
      <c r="EF87" s="0" t="n">
        <v>0.0580358277249424</v>
      </c>
      <c r="EG87" s="0" t="n">
        <v>0.0724106817052825</v>
      </c>
      <c r="EH87" s="0" t="n">
        <v>0.004175525620854</v>
      </c>
      <c r="EI87" s="0" t="n">
        <v>0.0672920990077095</v>
      </c>
      <c r="EJ87" s="0" t="n">
        <v>0.0272339319856865</v>
      </c>
      <c r="EK87" s="0" t="n">
        <v>0.081141208193128</v>
      </c>
      <c r="EL87" s="0" t="n">
        <v>0.0631459942897729</v>
      </c>
      <c r="EM87" s="0" t="n">
        <v>0.0330063023108967</v>
      </c>
      <c r="EN87" s="0" t="n">
        <v>0.0150830162344118</v>
      </c>
      <c r="EO87" s="0" t="n">
        <v>0.0597100458246975</v>
      </c>
      <c r="EP87" s="72" t="n">
        <f aca="false">SUMPRODUCT(B87:EO87,$B$5:$EO$5)</f>
        <v>0.0640680728638452</v>
      </c>
      <c r="EQ87" s="72" t="n">
        <f aca="false">SUMIF('Mi portafolio'!$A$8:$A$19,$A87,'Mi portafolio'!$B$8:$B$19)</f>
        <v>0</v>
      </c>
    </row>
    <row r="88" customFormat="false" ht="15" hidden="false" customHeight="false" outlineLevel="0" collapsed="false">
      <c r="A88" s="71" t="s">
        <v>310</v>
      </c>
      <c r="B88" s="0" t="n">
        <v>0.004920869963214</v>
      </c>
      <c r="C88" s="0" t="n">
        <v>-0.0025248730799815</v>
      </c>
      <c r="D88" s="0" t="n">
        <v>-0.0027752035182209</v>
      </c>
      <c r="E88" s="0" t="n">
        <v>0.0021986904693316</v>
      </c>
      <c r="F88" s="0" t="n">
        <v>0.0172021031031938</v>
      </c>
      <c r="G88" s="0" t="n">
        <v>0.0013822093267863</v>
      </c>
      <c r="H88" s="0" t="n">
        <v>-0.0085604721120945</v>
      </c>
      <c r="I88" s="0" t="n">
        <v>0.0048046960550151</v>
      </c>
      <c r="J88" s="0" t="n">
        <v>0.0120631492972927</v>
      </c>
      <c r="K88" s="0" t="n">
        <v>0.0016346607814604</v>
      </c>
      <c r="L88" s="0" t="n">
        <v>-0.0001746590978425</v>
      </c>
      <c r="M88" s="0" t="n">
        <v>-0.0061314737012727</v>
      </c>
      <c r="N88" s="0" t="n">
        <v>0.0062389793182266</v>
      </c>
      <c r="O88" s="0" t="n">
        <v>-0.0011214224718828</v>
      </c>
      <c r="P88" s="0" t="n">
        <v>0.0165582721455455</v>
      </c>
      <c r="Q88" s="0" t="n">
        <v>-0.0048639650797621</v>
      </c>
      <c r="R88" s="0" t="n">
        <v>0.0154807779378899</v>
      </c>
      <c r="S88" s="0" t="n">
        <v>-0.0073154154616625</v>
      </c>
      <c r="T88" s="0" t="n">
        <v>0.0006998386765825</v>
      </c>
      <c r="U88" s="0" t="n">
        <v>-0.0069985729445714</v>
      </c>
      <c r="V88" s="0" t="n">
        <v>-0.0075257261112483</v>
      </c>
      <c r="W88" s="0" t="n">
        <v>-0.0005580367866851</v>
      </c>
      <c r="X88" s="0" t="n">
        <v>-0.0017966335884346</v>
      </c>
      <c r="Y88" s="0" t="n">
        <v>0.0026075780995722</v>
      </c>
      <c r="Z88" s="0" t="n">
        <v>-0.0053038278091516</v>
      </c>
      <c r="AA88" s="0" t="n">
        <v>-0.0053446112531725</v>
      </c>
      <c r="AB88" s="0" t="n">
        <v>0.0018371733630502</v>
      </c>
      <c r="AC88" s="0" t="n">
        <v>-0.0037039742238645</v>
      </c>
      <c r="AD88" s="0" t="n">
        <v>0.0075452807398409</v>
      </c>
      <c r="AE88" s="0" t="n">
        <v>-0.0185092811644385</v>
      </c>
      <c r="AF88" s="0" t="n">
        <v>-0.0073015325623324</v>
      </c>
      <c r="AG88" s="0" t="n">
        <v>0.0233021258921087</v>
      </c>
      <c r="AH88" s="0" t="n">
        <v>0.0207643943448802</v>
      </c>
      <c r="AI88" s="0" t="n">
        <v>0.0684578798175019</v>
      </c>
      <c r="AJ88" s="0" t="n">
        <v>-0.0023669186580169</v>
      </c>
      <c r="AK88" s="0" t="n">
        <v>-0.0173302902034955</v>
      </c>
      <c r="AL88" s="0" t="n">
        <v>0.0012658841598176</v>
      </c>
      <c r="AM88" s="0" t="n">
        <v>-0.0109119752395029</v>
      </c>
      <c r="AN88" s="0" t="n">
        <v>-0.0157812814774899</v>
      </c>
      <c r="AO88" s="0" t="n">
        <v>0.0067774429264576</v>
      </c>
      <c r="AP88" s="0" t="n">
        <v>-0.0090874612545629</v>
      </c>
      <c r="AQ88" s="0" t="n">
        <v>0.0752368580685236</v>
      </c>
      <c r="AR88" s="0" t="n">
        <v>0.0043469972474757</v>
      </c>
      <c r="AS88" s="0" t="n">
        <v>-0.0155296944832336</v>
      </c>
      <c r="AT88" s="0" t="n">
        <v>-0.0057513141411227</v>
      </c>
      <c r="AU88" s="0" t="n">
        <v>0.0133830643359693</v>
      </c>
      <c r="AV88" s="0" t="n">
        <v>-0.0041274475237829</v>
      </c>
      <c r="AW88" s="0" t="n">
        <v>-0.0073526471958501</v>
      </c>
      <c r="AX88" s="0" t="n">
        <v>0.0066869885155583</v>
      </c>
      <c r="AY88" s="0" t="n">
        <v>0.0047584569886704</v>
      </c>
      <c r="AZ88" s="0" t="n">
        <v>-0.0180569687449763</v>
      </c>
      <c r="BA88" s="0" t="n">
        <v>-0.0014405024827323</v>
      </c>
      <c r="BB88" s="0" t="n">
        <v>-0.0135477705730967</v>
      </c>
      <c r="BC88" s="0" t="n">
        <v>-0.0027843222068241</v>
      </c>
      <c r="BD88" s="0" t="n">
        <v>-0.0134924287845786</v>
      </c>
      <c r="BE88" s="0" t="n">
        <v>0.0106294376745896</v>
      </c>
      <c r="BF88" s="0" t="n">
        <v>0.0024426421009227</v>
      </c>
      <c r="BG88" s="0" t="n">
        <v>-0.0036903305537235</v>
      </c>
      <c r="BH88" s="0" t="n">
        <v>-0.0182980619575482</v>
      </c>
      <c r="BI88" s="0" t="n">
        <v>0.0016234187896562</v>
      </c>
      <c r="BJ88" s="0" t="n">
        <v>0.0031796265701354</v>
      </c>
      <c r="BK88" s="0" t="n">
        <v>-0.0108709464497866</v>
      </c>
      <c r="BL88" s="0" t="n">
        <v>-0.0025044833171632</v>
      </c>
      <c r="BM88" s="0" t="n">
        <v>0.0055158084140909</v>
      </c>
      <c r="BN88" s="0" t="n">
        <v>0.007771357688253</v>
      </c>
      <c r="BO88" s="0" t="n">
        <v>-0.0142006237378046</v>
      </c>
      <c r="BP88" s="0" t="n">
        <v>-0.0057074868862006</v>
      </c>
      <c r="BQ88" s="0" t="n">
        <v>-0.022149456931461</v>
      </c>
      <c r="BR88" s="0" t="n">
        <v>0.0049198276913855</v>
      </c>
      <c r="BS88" s="0" t="n">
        <v>0.100156184160616</v>
      </c>
      <c r="BT88" s="0" t="n">
        <v>-0.0332890640060056</v>
      </c>
      <c r="BU88" s="0" t="n">
        <v>-0.014343237069211</v>
      </c>
      <c r="BV88" s="0" t="n">
        <v>-0.0081075838300603</v>
      </c>
      <c r="BW88" s="0" t="n">
        <v>0.0087796909735559</v>
      </c>
      <c r="BX88" s="0" t="n">
        <v>0.0022758311954846</v>
      </c>
      <c r="BY88" s="0" t="n">
        <v>-0.0127926043042036</v>
      </c>
      <c r="BZ88" s="0" t="n">
        <v>-0.0171675326465461</v>
      </c>
      <c r="CA88" s="0" t="n">
        <v>-0.0081101778472475</v>
      </c>
      <c r="CB88" s="0" t="n">
        <v>0.0190755348081004</v>
      </c>
      <c r="CC88" s="0" t="n">
        <v>0.0027196473402591</v>
      </c>
      <c r="CD88" s="0" t="n">
        <v>-0.0019603403922204</v>
      </c>
      <c r="CE88" s="0" t="n">
        <v>0.0173177250694065</v>
      </c>
      <c r="CF88" s="0" t="n">
        <v>0.125784968666778</v>
      </c>
      <c r="CG88" s="0" t="n">
        <v>-0.0109792391023682</v>
      </c>
      <c r="CH88" s="0" t="n">
        <v>-0.0248863762616915</v>
      </c>
      <c r="CI88" s="0" t="n">
        <v>0.10840936441039</v>
      </c>
      <c r="CJ88" s="0" t="n">
        <v>0.0079357268533782</v>
      </c>
      <c r="CK88" s="0" t="n">
        <v>0.0019062008739183</v>
      </c>
      <c r="CL88" s="0" t="n">
        <v>-0.0138722383677008</v>
      </c>
      <c r="CM88" s="0" t="n">
        <v>-0.0162313610118355</v>
      </c>
      <c r="CN88" s="0" t="n">
        <v>0.0011157215353477</v>
      </c>
      <c r="CO88" s="0" t="n">
        <v>-0.0073849805446016</v>
      </c>
      <c r="CP88" s="0" t="n">
        <v>0.0128924217213587</v>
      </c>
      <c r="CQ88" s="0" t="n">
        <v>-0.0358352427652289</v>
      </c>
      <c r="CR88" s="0" t="n">
        <v>-0.0178717499668469</v>
      </c>
      <c r="CS88" s="0" t="n">
        <v>-0.0036872138906342</v>
      </c>
      <c r="CT88" s="0" t="n">
        <v>-0.0075410861139087</v>
      </c>
      <c r="CU88" s="0" t="n">
        <v>-0.0006702702186579</v>
      </c>
      <c r="CV88" s="0" t="n">
        <v>-0.0263596601286871</v>
      </c>
      <c r="CW88" s="0" t="n">
        <v>-0.0189566965491868</v>
      </c>
      <c r="CX88" s="0" t="n">
        <v>-0.0177214755193242</v>
      </c>
      <c r="CY88" s="0" t="n">
        <v>-0.0458813127013276</v>
      </c>
      <c r="CZ88" s="0" t="n">
        <v>0.0153719728556094</v>
      </c>
      <c r="DA88" s="0" t="n">
        <v>-0.0047407887710967</v>
      </c>
      <c r="DB88" s="0" t="n">
        <v>-0.0173808741527723</v>
      </c>
      <c r="DC88" s="0" t="n">
        <v>-0.0518370852937808</v>
      </c>
      <c r="DD88" s="0" t="n">
        <v>-0.0190247352730185</v>
      </c>
      <c r="DE88" s="0" t="n">
        <v>-0.0232128009693877</v>
      </c>
      <c r="DF88" s="0" t="n">
        <v>0.0184534068491447</v>
      </c>
      <c r="DG88" s="0" t="n">
        <v>-0.0187183491594266</v>
      </c>
      <c r="DH88" s="0" t="n">
        <v>-0.010868200361148</v>
      </c>
      <c r="DI88" s="0" t="n">
        <v>-0.0562924189840282</v>
      </c>
      <c r="DJ88" s="0" t="n">
        <v>-0.0319400060134365</v>
      </c>
      <c r="DK88" s="0" t="n">
        <v>-0.0564646544497348</v>
      </c>
      <c r="DL88" s="0" t="n">
        <v>-0.0421622826639839</v>
      </c>
      <c r="DM88" s="0" t="n">
        <v>-0.0456179840487618</v>
      </c>
      <c r="DN88" s="0" t="n">
        <v>-0.0019681962562084</v>
      </c>
      <c r="DO88" s="0" t="n">
        <v>-0.0010481146594244</v>
      </c>
      <c r="DP88" s="0" t="n">
        <v>-0.0472328929718689</v>
      </c>
      <c r="DQ88" s="0" t="n">
        <v>0.0018012348065437</v>
      </c>
      <c r="DR88" s="0" t="n">
        <v>0.0095618519151492</v>
      </c>
      <c r="DS88" s="0" t="n">
        <v>0.0006632892599225</v>
      </c>
      <c r="DT88" s="0" t="n">
        <v>-0.0112266549990941</v>
      </c>
      <c r="DU88" s="0" t="n">
        <v>-0.025015281967541</v>
      </c>
      <c r="DV88" s="0" t="n">
        <v>-0.0060315777930142</v>
      </c>
      <c r="DW88" s="0" t="n">
        <v>-0.0381146968186233</v>
      </c>
      <c r="DX88" s="0" t="n">
        <v>-0.0214603027094382</v>
      </c>
      <c r="DY88" s="0" t="n">
        <v>-0.0308934038599266</v>
      </c>
      <c r="DZ88" s="0" t="n">
        <v>0.0215744752565562</v>
      </c>
      <c r="EA88" s="0" t="n">
        <v>-0.0333393734512373</v>
      </c>
      <c r="EB88" s="0" t="n">
        <v>-0.0167562431312349</v>
      </c>
      <c r="EC88" s="0" t="n">
        <v>-0.0195710257248878</v>
      </c>
      <c r="ED88" s="0" t="n">
        <v>-0.0112930777478137</v>
      </c>
      <c r="EE88" s="0" t="n">
        <v>-0.026170597368517</v>
      </c>
      <c r="EF88" s="0" t="n">
        <v>0.0049111435987716</v>
      </c>
      <c r="EG88" s="0" t="n">
        <v>-0.0172885677160376</v>
      </c>
      <c r="EH88" s="0" t="n">
        <v>-0.012513040570206</v>
      </c>
      <c r="EI88" s="0" t="n">
        <v>-0.025946790407766</v>
      </c>
      <c r="EJ88" s="0" t="n">
        <v>-0.0027719955636096</v>
      </c>
      <c r="EK88" s="0" t="n">
        <v>0.0121363877630889</v>
      </c>
      <c r="EL88" s="0" t="n">
        <v>-0.0442800024511306</v>
      </c>
      <c r="EM88" s="0" t="n">
        <v>-0.0037690396250326</v>
      </c>
      <c r="EN88" s="0" t="n">
        <v>-0.0105669922765085</v>
      </c>
      <c r="EO88" s="0" t="n">
        <v>-0.0200629042132431</v>
      </c>
      <c r="EP88" s="72" t="n">
        <f aca="false">SUMPRODUCT(B88:EO88,$B$5:$EO$5)</f>
        <v>-0.0211280219076183</v>
      </c>
      <c r="EQ88" s="72" t="n">
        <f aca="false">SUMIF('Mi portafolio'!$A$8:$A$19,$A88,'Mi portafolio'!$B$8:$B$19)</f>
        <v>0</v>
      </c>
    </row>
    <row r="89" customFormat="false" ht="15" hidden="false" customHeight="false" outlineLevel="0" collapsed="false">
      <c r="A89" s="71" t="s">
        <v>311</v>
      </c>
      <c r="B89" s="0" t="n">
        <v>0.0148198125145929</v>
      </c>
      <c r="C89" s="0" t="n">
        <v>-0.0008795585110965</v>
      </c>
      <c r="D89" s="0" t="n">
        <v>0.0072689351145709</v>
      </c>
      <c r="E89" s="0" t="n">
        <v>0.0024845305163707</v>
      </c>
      <c r="F89" s="0" t="n">
        <v>0.0127402221291771</v>
      </c>
      <c r="G89" s="0" t="n">
        <v>0.0048069100292609</v>
      </c>
      <c r="H89" s="0" t="n">
        <v>0.0086570764261812</v>
      </c>
      <c r="I89" s="0" t="n">
        <v>0.022013440026159</v>
      </c>
      <c r="J89" s="0" t="n">
        <v>0.0072756977397784</v>
      </c>
      <c r="K89" s="0" t="n">
        <v>0.0137174597467825</v>
      </c>
      <c r="L89" s="0" t="n">
        <v>0.0081181776789203</v>
      </c>
      <c r="M89" s="0" t="n">
        <v>0.02806365606805</v>
      </c>
      <c r="N89" s="0" t="n">
        <v>0.0239842379059141</v>
      </c>
      <c r="O89" s="0" t="n">
        <v>0.0026603254651344</v>
      </c>
      <c r="P89" s="0" t="n">
        <v>0.0133928241017485</v>
      </c>
      <c r="Q89" s="0" t="n">
        <v>0.0007921000845267</v>
      </c>
      <c r="R89" s="0" t="n">
        <v>0.0118511449564995</v>
      </c>
      <c r="S89" s="0" t="n">
        <v>0.0112637398968363</v>
      </c>
      <c r="T89" s="0" t="n">
        <v>0.0300221423746975</v>
      </c>
      <c r="U89" s="0" t="n">
        <v>0.010932908870389</v>
      </c>
      <c r="V89" s="0" t="n">
        <v>0.001149074223851</v>
      </c>
      <c r="W89" s="0" t="n">
        <v>-0.0021985142950843</v>
      </c>
      <c r="X89" s="0" t="n">
        <v>0.0268980628481605</v>
      </c>
      <c r="Y89" s="0" t="n">
        <v>0.0291682440592929</v>
      </c>
      <c r="Z89" s="0" t="n">
        <v>0.0076678817135339</v>
      </c>
      <c r="AA89" s="0" t="n">
        <v>0.0059483594538225</v>
      </c>
      <c r="AB89" s="0" t="n">
        <v>0.0309159051546971</v>
      </c>
      <c r="AC89" s="0" t="n">
        <v>-0.0071832417145267</v>
      </c>
      <c r="AD89" s="0" t="n">
        <v>-0.0056412231538861</v>
      </c>
      <c r="AE89" s="0" t="n">
        <v>0.0110837072947517</v>
      </c>
      <c r="AF89" s="0" t="n">
        <v>-0.0022391628229288</v>
      </c>
      <c r="AG89" s="0" t="n">
        <v>0.0046722106328285</v>
      </c>
      <c r="AH89" s="0" t="n">
        <v>0.0049532696041449</v>
      </c>
      <c r="AI89" s="0" t="n">
        <v>-0.008806550454955</v>
      </c>
      <c r="AJ89" s="0" t="n">
        <v>0.0061107608566402</v>
      </c>
      <c r="AK89" s="0" t="n">
        <v>-0.0004872828317361</v>
      </c>
      <c r="AL89" s="0" t="n">
        <v>0.0314460758914939</v>
      </c>
      <c r="AM89" s="0" t="n">
        <v>0.0110287279039656</v>
      </c>
      <c r="AN89" s="0" t="n">
        <v>0.0418578686850204</v>
      </c>
      <c r="AO89" s="0" t="n">
        <v>0.0109380585399243</v>
      </c>
      <c r="AP89" s="0" t="n">
        <v>0.037344299974034</v>
      </c>
      <c r="AQ89" s="0" t="n">
        <v>-0.0149206650585884</v>
      </c>
      <c r="AR89" s="0" t="n">
        <v>0.0316168529991885</v>
      </c>
      <c r="AS89" s="0" t="n">
        <v>0.00727063211018</v>
      </c>
      <c r="AT89" s="0" t="n">
        <v>0.0420193145891899</v>
      </c>
      <c r="AU89" s="0" t="n">
        <v>0.0081867136291627</v>
      </c>
      <c r="AV89" s="0" t="n">
        <v>0.0081900171352889</v>
      </c>
      <c r="AW89" s="0" t="n">
        <v>0.01255141585943</v>
      </c>
      <c r="AX89" s="0" t="n">
        <v>0.0223203645477802</v>
      </c>
      <c r="AY89" s="0" t="n">
        <v>0.0317424900759689</v>
      </c>
      <c r="AZ89" s="0" t="n">
        <v>0.0172544604533659</v>
      </c>
      <c r="BA89" s="0" t="n">
        <v>0.0277223285521998</v>
      </c>
      <c r="BB89" s="0" t="n">
        <v>0.0409606309157646</v>
      </c>
      <c r="BC89" s="0" t="n">
        <v>0.0127035113874932</v>
      </c>
      <c r="BD89" s="0" t="n">
        <v>0.0106206877368153</v>
      </c>
      <c r="BE89" s="0" t="n">
        <v>0.0131318474336132</v>
      </c>
      <c r="BF89" s="0" t="n">
        <v>0.0111929554588008</v>
      </c>
      <c r="BG89" s="0" t="n">
        <v>0.038177339519448</v>
      </c>
      <c r="BH89" s="0" t="n">
        <v>0.0174681721947805</v>
      </c>
      <c r="BI89" s="0" t="n">
        <v>0.0098040750607788</v>
      </c>
      <c r="BJ89" s="0" t="n">
        <v>-0.0034561989434564</v>
      </c>
      <c r="BK89" s="0" t="n">
        <v>0.0095254158660717</v>
      </c>
      <c r="BL89" s="0" t="n">
        <v>0.0268384730231542</v>
      </c>
      <c r="BM89" s="0" t="n">
        <v>0.0348333008513058</v>
      </c>
      <c r="BN89" s="0" t="n">
        <v>0.0115507998279865</v>
      </c>
      <c r="BO89" s="0" t="n">
        <v>0.0384672627139921</v>
      </c>
      <c r="BP89" s="0" t="n">
        <v>0.036502374901368</v>
      </c>
      <c r="BQ89" s="0" t="n">
        <v>0.0181428034572149</v>
      </c>
      <c r="BR89" s="0" t="n">
        <v>0.0489171837998108</v>
      </c>
      <c r="BS89" s="0" t="n">
        <v>-0.0088510431995737</v>
      </c>
      <c r="BT89" s="0" t="n">
        <v>0.0306942913272191</v>
      </c>
      <c r="BU89" s="0" t="n">
        <v>0.0200972952230828</v>
      </c>
      <c r="BV89" s="0" t="n">
        <v>0.0472106146226861</v>
      </c>
      <c r="BW89" s="0" t="n">
        <v>0.0344494594247674</v>
      </c>
      <c r="BX89" s="0" t="n">
        <v>0.0237785417145784</v>
      </c>
      <c r="BY89" s="0" t="n">
        <v>0.0437908139625074</v>
      </c>
      <c r="BZ89" s="0" t="n">
        <v>0.036334518977952</v>
      </c>
      <c r="CA89" s="0" t="n">
        <v>0.005945769217649</v>
      </c>
      <c r="CB89" s="0" t="n">
        <v>-0.0068449318925184</v>
      </c>
      <c r="CC89" s="0" t="n">
        <v>0.0233063722552212</v>
      </c>
      <c r="CD89" s="0" t="n">
        <v>0.0649173832617524</v>
      </c>
      <c r="CE89" s="0" t="n">
        <v>0.018280146546524</v>
      </c>
      <c r="CF89" s="0" t="n">
        <v>-0.0109792391023682</v>
      </c>
      <c r="CG89" s="0" t="n">
        <v>0.137055143738725</v>
      </c>
      <c r="CH89" s="0" t="n">
        <v>0.0182284049566018</v>
      </c>
      <c r="CI89" s="0" t="n">
        <v>-0.0103195494493221</v>
      </c>
      <c r="CJ89" s="0" t="n">
        <v>0.0388422479724538</v>
      </c>
      <c r="CK89" s="0" t="n">
        <v>0.0528958058389241</v>
      </c>
      <c r="CL89" s="0" t="n">
        <v>0.034591159469343</v>
      </c>
      <c r="CM89" s="0" t="n">
        <v>0.0204527644582572</v>
      </c>
      <c r="CN89" s="0" t="n">
        <v>-0.0018783163384242</v>
      </c>
      <c r="CO89" s="0" t="n">
        <v>0.0150209295252548</v>
      </c>
      <c r="CP89" s="0" t="n">
        <v>0.033946208501117</v>
      </c>
      <c r="CQ89" s="0" t="n">
        <v>0.0561543441974984</v>
      </c>
      <c r="CR89" s="0" t="n">
        <v>0.0217639468935756</v>
      </c>
      <c r="CS89" s="0" t="n">
        <v>0.0078987065903017</v>
      </c>
      <c r="CT89" s="0" t="n">
        <v>0.0624274398133176</v>
      </c>
      <c r="CU89" s="0" t="n">
        <v>0.0215562000305698</v>
      </c>
      <c r="CV89" s="0" t="n">
        <v>0.0409313952451716</v>
      </c>
      <c r="CW89" s="0" t="n">
        <v>0.0490808793135418</v>
      </c>
      <c r="CX89" s="0" t="n">
        <v>0.0375281205297177</v>
      </c>
      <c r="CY89" s="0" t="n">
        <v>0.0560880706752733</v>
      </c>
      <c r="CZ89" s="0" t="n">
        <v>0.0518601692165373</v>
      </c>
      <c r="DA89" s="0" t="n">
        <v>0.0571490479539837</v>
      </c>
      <c r="DB89" s="0" t="n">
        <v>0.0386733577635236</v>
      </c>
      <c r="DC89" s="0" t="n">
        <v>0.0397808644633465</v>
      </c>
      <c r="DD89" s="0" t="n">
        <v>0.0791101273807263</v>
      </c>
      <c r="DE89" s="0" t="n">
        <v>0.0259090413799859</v>
      </c>
      <c r="DF89" s="0" t="n">
        <v>0.0646798932814966</v>
      </c>
      <c r="DG89" s="0" t="n">
        <v>0.035605340974621</v>
      </c>
      <c r="DH89" s="0" t="n">
        <v>0.0271191708589575</v>
      </c>
      <c r="DI89" s="0" t="n">
        <v>0.0682797237718739</v>
      </c>
      <c r="DJ89" s="0" t="n">
        <v>0.0700292335283447</v>
      </c>
      <c r="DK89" s="0" t="n">
        <v>0.0693596327118258</v>
      </c>
      <c r="DL89" s="0" t="n">
        <v>0.0118745219490136</v>
      </c>
      <c r="DM89" s="0" t="n">
        <v>0.0850004877383777</v>
      </c>
      <c r="DN89" s="0" t="n">
        <v>0.0772155955575252</v>
      </c>
      <c r="DO89" s="0" t="n">
        <v>0.0422162126971212</v>
      </c>
      <c r="DP89" s="0" t="n">
        <v>0.0868255107206809</v>
      </c>
      <c r="DQ89" s="0" t="n">
        <v>0.0156223511509084</v>
      </c>
      <c r="DR89" s="0" t="n">
        <v>0.0145485478961087</v>
      </c>
      <c r="DS89" s="0" t="n">
        <v>0.0684672996432288</v>
      </c>
      <c r="DT89" s="0" t="n">
        <v>0.0456876117701536</v>
      </c>
      <c r="DU89" s="0" t="n">
        <v>0.0599904919922267</v>
      </c>
      <c r="DV89" s="0" t="n">
        <v>0.0674834112053608</v>
      </c>
      <c r="DW89" s="0" t="n">
        <v>0.106867372248768</v>
      </c>
      <c r="DX89" s="0" t="n">
        <v>0.0188162065955209</v>
      </c>
      <c r="DY89" s="0" t="n">
        <v>0.0968493589846603</v>
      </c>
      <c r="DZ89" s="0" t="n">
        <v>0.0999661100450385</v>
      </c>
      <c r="EA89" s="0" t="n">
        <v>0.0737993843672829</v>
      </c>
      <c r="EB89" s="0" t="n">
        <v>0.102836103684884</v>
      </c>
      <c r="EC89" s="0" t="n">
        <v>-0.0006792001602218</v>
      </c>
      <c r="ED89" s="0" t="n">
        <v>0.077658456107561</v>
      </c>
      <c r="EE89" s="0" t="n">
        <v>0.0178669533111828</v>
      </c>
      <c r="EF89" s="0" t="n">
        <v>0.0211989240803551</v>
      </c>
      <c r="EG89" s="0" t="n">
        <v>0.0244342748259867</v>
      </c>
      <c r="EH89" s="0" t="n">
        <v>0.0853328556127752</v>
      </c>
      <c r="EI89" s="0" t="n">
        <v>0.011222625401569</v>
      </c>
      <c r="EJ89" s="0" t="n">
        <v>0.062383834592324</v>
      </c>
      <c r="EK89" s="0" t="n">
        <v>0.0287247764988386</v>
      </c>
      <c r="EL89" s="0" t="n">
        <v>0.0211410604258355</v>
      </c>
      <c r="EM89" s="0" t="n">
        <v>0.0493835537460118</v>
      </c>
      <c r="EN89" s="0" t="n">
        <v>0.1297888156936</v>
      </c>
      <c r="EO89" s="0" t="n">
        <v>0.106265466660572</v>
      </c>
      <c r="EP89" s="72" t="n">
        <f aca="false">SUMPRODUCT(B89:EO89,$B$5:$EO$5)</f>
        <v>0.0158784338469181</v>
      </c>
      <c r="EQ89" s="72" t="n">
        <f aca="false">SUMIF('Mi portafolio'!$A$8:$A$19,$A89,'Mi portafolio'!$B$8:$B$19)</f>
        <v>0</v>
      </c>
    </row>
    <row r="90" customFormat="false" ht="15" hidden="false" customHeight="false" outlineLevel="0" collapsed="false">
      <c r="A90" s="71" t="s">
        <v>166</v>
      </c>
      <c r="B90" s="0" t="n">
        <v>-0.0042013940734469</v>
      </c>
      <c r="C90" s="0" t="n">
        <v>0.0076586726622172</v>
      </c>
      <c r="D90" s="0" t="n">
        <v>0.002727845744822</v>
      </c>
      <c r="E90" s="0" t="n">
        <v>0.0133687919739351</v>
      </c>
      <c r="F90" s="0" t="n">
        <v>-0.0049476228256709</v>
      </c>
      <c r="G90" s="0" t="n">
        <v>0.0125307559464594</v>
      </c>
      <c r="H90" s="0" t="n">
        <v>0.0200670311824211</v>
      </c>
      <c r="I90" s="0" t="n">
        <v>0.0014703330090015</v>
      </c>
      <c r="J90" s="0" t="n">
        <v>0.0003090713885931</v>
      </c>
      <c r="K90" s="0" t="n">
        <v>0.0012906142437679</v>
      </c>
      <c r="L90" s="0" t="n">
        <v>0.0126838748145361</v>
      </c>
      <c r="M90" s="0" t="n">
        <v>0.0266375213746542</v>
      </c>
      <c r="N90" s="0" t="n">
        <v>0.0077296413109326</v>
      </c>
      <c r="O90" s="0" t="n">
        <v>0.0289642144102743</v>
      </c>
      <c r="P90" s="0" t="n">
        <v>-0.0019742729876429</v>
      </c>
      <c r="Q90" s="0" t="n">
        <v>0.009205815271699</v>
      </c>
      <c r="R90" s="0" t="n">
        <v>0.0023876146680883</v>
      </c>
      <c r="S90" s="0" t="n">
        <v>0.0119483938910666</v>
      </c>
      <c r="T90" s="0" t="n">
        <v>0.0155886307197667</v>
      </c>
      <c r="U90" s="0" t="n">
        <v>0.0332446612441064</v>
      </c>
      <c r="V90" s="0" t="n">
        <v>0.0320057572732424</v>
      </c>
      <c r="W90" s="0" t="n">
        <v>0.0207018763381711</v>
      </c>
      <c r="X90" s="0" t="n">
        <v>0.0204807321753904</v>
      </c>
      <c r="Y90" s="0" t="n">
        <v>0.0048645003176899</v>
      </c>
      <c r="Z90" s="0" t="n">
        <v>0.0291312139791025</v>
      </c>
      <c r="AA90" s="0" t="n">
        <v>0.0165192062884608</v>
      </c>
      <c r="AB90" s="0" t="n">
        <v>0.001027878607693</v>
      </c>
      <c r="AC90" s="0" t="n">
        <v>0.0198568764489723</v>
      </c>
      <c r="AD90" s="0" t="n">
        <v>0.0223413415125381</v>
      </c>
      <c r="AE90" s="0" t="n">
        <v>0.0332581119919558</v>
      </c>
      <c r="AF90" s="0" t="n">
        <v>0.0467270087443304</v>
      </c>
      <c r="AG90" s="0" t="n">
        <v>-0.0113048844212824</v>
      </c>
      <c r="AH90" s="0" t="n">
        <v>-0.0122606738386062</v>
      </c>
      <c r="AI90" s="0" t="n">
        <v>-0.0183885610038717</v>
      </c>
      <c r="AJ90" s="0" t="n">
        <v>0.0183508626688465</v>
      </c>
      <c r="AK90" s="0" t="n">
        <v>0.0476410046715396</v>
      </c>
      <c r="AL90" s="0" t="n">
        <v>0.011224913718044</v>
      </c>
      <c r="AM90" s="0" t="n">
        <v>0.0191884637095716</v>
      </c>
      <c r="AN90" s="0" t="n">
        <v>0.0184541023818127</v>
      </c>
      <c r="AO90" s="0" t="n">
        <v>0.0001248648652641</v>
      </c>
      <c r="AP90" s="0" t="n">
        <v>0.0180923843615023</v>
      </c>
      <c r="AQ90" s="0" t="n">
        <v>-0.0117089700211967</v>
      </c>
      <c r="AR90" s="0" t="n">
        <v>0.0132102575173895</v>
      </c>
      <c r="AS90" s="0" t="n">
        <v>0.0421317387454649</v>
      </c>
      <c r="AT90" s="0" t="n">
        <v>0.0153189554251863</v>
      </c>
      <c r="AU90" s="0" t="n">
        <v>0.0007074170794999</v>
      </c>
      <c r="AV90" s="0" t="n">
        <v>0.0301133929063563</v>
      </c>
      <c r="AW90" s="0" t="n">
        <v>0.0436742615470662</v>
      </c>
      <c r="AX90" s="0" t="n">
        <v>0.0065958724302979</v>
      </c>
      <c r="AY90" s="0" t="n">
        <v>0.0161582855191464</v>
      </c>
      <c r="AZ90" s="0" t="n">
        <v>0.0386587290263015</v>
      </c>
      <c r="BA90" s="0" t="n">
        <v>0.0288524491056491</v>
      </c>
      <c r="BB90" s="0" t="n">
        <v>0.0306661300197469</v>
      </c>
      <c r="BC90" s="0" t="n">
        <v>0.0142011894161316</v>
      </c>
      <c r="BD90" s="0" t="n">
        <v>0.0375139787103252</v>
      </c>
      <c r="BE90" s="0" t="n">
        <v>0.0152776505112224</v>
      </c>
      <c r="BF90" s="0" t="n">
        <v>0.0263896563253617</v>
      </c>
      <c r="BG90" s="0" t="n">
        <v>0.0124537528217529</v>
      </c>
      <c r="BH90" s="0" t="n">
        <v>0.0308095474425058</v>
      </c>
      <c r="BI90" s="0" t="n">
        <v>0.0175564026846849</v>
      </c>
      <c r="BJ90" s="0" t="n">
        <v>0.015252271658892</v>
      </c>
      <c r="BK90" s="0" t="n">
        <v>0.0284088383901956</v>
      </c>
      <c r="BL90" s="0" t="n">
        <v>0.0501530388903624</v>
      </c>
      <c r="BM90" s="0" t="n">
        <v>0.0033716350967072</v>
      </c>
      <c r="BN90" s="0" t="n">
        <v>0.0061272196129627</v>
      </c>
      <c r="BO90" s="0" t="n">
        <v>0.0277278192914313</v>
      </c>
      <c r="BP90" s="0" t="n">
        <v>0.0013002742471623</v>
      </c>
      <c r="BQ90" s="0" t="n">
        <v>0.0568237791942491</v>
      </c>
      <c r="BR90" s="0" t="n">
        <v>0.0179486173910893</v>
      </c>
      <c r="BS90" s="0" t="n">
        <v>-0.0172361039197122</v>
      </c>
      <c r="BT90" s="0" t="n">
        <v>0.0402373835653575</v>
      </c>
      <c r="BU90" s="0" t="n">
        <v>0.031309550625005</v>
      </c>
      <c r="BV90" s="0" t="n">
        <v>0.0146782968348406</v>
      </c>
      <c r="BW90" s="0" t="n">
        <v>0.0138847170567845</v>
      </c>
      <c r="BX90" s="0" t="n">
        <v>-0.0040189390271668</v>
      </c>
      <c r="BY90" s="0" t="n">
        <v>0.0285850264077436</v>
      </c>
      <c r="BZ90" s="0" t="n">
        <v>0.0235287918001159</v>
      </c>
      <c r="CA90" s="0" t="n">
        <v>0.0449738369044481</v>
      </c>
      <c r="CB90" s="0" t="n">
        <v>-0.0095126324840379</v>
      </c>
      <c r="CC90" s="0" t="n">
        <v>0.0112784479170832</v>
      </c>
      <c r="CD90" s="0" t="n">
        <v>0.015215762321764</v>
      </c>
      <c r="CE90" s="0" t="n">
        <v>0.0249841472341048</v>
      </c>
      <c r="CF90" s="0" t="n">
        <v>-0.0248863762616915</v>
      </c>
      <c r="CG90" s="0" t="n">
        <v>0.0182284049566018</v>
      </c>
      <c r="CH90" s="0" t="n">
        <v>0.134445380029146</v>
      </c>
      <c r="CI90" s="0" t="n">
        <v>-0.0192378319383465</v>
      </c>
      <c r="CJ90" s="0" t="n">
        <v>-0.0017369529912435</v>
      </c>
      <c r="CK90" s="0" t="n">
        <v>0.0133526810816147</v>
      </c>
      <c r="CL90" s="0" t="n">
        <v>0.0337232094092845</v>
      </c>
      <c r="CM90" s="0" t="n">
        <v>0.0378698710469332</v>
      </c>
      <c r="CN90" s="0" t="n">
        <v>0.0358270544605114</v>
      </c>
      <c r="CO90" s="0" t="n">
        <v>0.0290901722038613</v>
      </c>
      <c r="CP90" s="0" t="n">
        <v>-0.0015570690403556</v>
      </c>
      <c r="CQ90" s="0" t="n">
        <v>0.0374377215334177</v>
      </c>
      <c r="CR90" s="0" t="n">
        <v>0.0575775631557674</v>
      </c>
      <c r="CS90" s="0" t="n">
        <v>0.0661656342291011</v>
      </c>
      <c r="CT90" s="0" t="n">
        <v>0.0399585553549637</v>
      </c>
      <c r="CU90" s="0" t="n">
        <v>0.03909727481417</v>
      </c>
      <c r="CV90" s="0" t="n">
        <v>0.0310973650284577</v>
      </c>
      <c r="CW90" s="0" t="n">
        <v>0.0291913559728526</v>
      </c>
      <c r="CX90" s="0" t="n">
        <v>0.044416326872954</v>
      </c>
      <c r="CY90" s="0" t="n">
        <v>0.0511071276506525</v>
      </c>
      <c r="CZ90" s="0" t="n">
        <v>0.0075320088471696</v>
      </c>
      <c r="DA90" s="0" t="n">
        <v>-0.0044355067842346</v>
      </c>
      <c r="DB90" s="0" t="n">
        <v>0.060201024876813</v>
      </c>
      <c r="DC90" s="0" t="n">
        <v>0.0527362355822769</v>
      </c>
      <c r="DD90" s="0" t="n">
        <v>0.0284873329795532</v>
      </c>
      <c r="DE90" s="0" t="n">
        <v>0.120540601523034</v>
      </c>
      <c r="DF90" s="0" t="n">
        <v>-0.0192941130770955</v>
      </c>
      <c r="DG90" s="0" t="n">
        <v>0.0994060146129708</v>
      </c>
      <c r="DH90" s="0" t="n">
        <v>0.048528575770269</v>
      </c>
      <c r="DI90" s="0" t="n">
        <v>0.0427297431689028</v>
      </c>
      <c r="DJ90" s="0" t="n">
        <v>0.0444377698246273</v>
      </c>
      <c r="DK90" s="0" t="n">
        <v>0.0500245548176879</v>
      </c>
      <c r="DL90" s="0" t="n">
        <v>0.105485503186354</v>
      </c>
      <c r="DM90" s="0" t="n">
        <v>0.0572592756071899</v>
      </c>
      <c r="DN90" s="0" t="n">
        <v>0.0115192060960504</v>
      </c>
      <c r="DO90" s="0" t="n">
        <v>0.0548038886009863</v>
      </c>
      <c r="DP90" s="0" t="n">
        <v>0.0484379222884967</v>
      </c>
      <c r="DQ90" s="0" t="n">
        <v>0.0341521465106876</v>
      </c>
      <c r="DR90" s="0" t="n">
        <v>0.0816633115837458</v>
      </c>
      <c r="DS90" s="0" t="n">
        <v>-0.0189022447597085</v>
      </c>
      <c r="DT90" s="0" t="n">
        <v>0.0428789034833859</v>
      </c>
      <c r="DU90" s="0" t="n">
        <v>0.0531097584950767</v>
      </c>
      <c r="DV90" s="0" t="n">
        <v>0.0447049094477639</v>
      </c>
      <c r="DW90" s="0" t="n">
        <v>0.0287643262448958</v>
      </c>
      <c r="DX90" s="0" t="n">
        <v>0.0917886928344385</v>
      </c>
      <c r="DY90" s="0" t="n">
        <v>0.0330456904578267</v>
      </c>
      <c r="DZ90" s="0" t="n">
        <v>-0.0033929118353985</v>
      </c>
      <c r="EA90" s="0" t="n">
        <v>0.0727175140761444</v>
      </c>
      <c r="EB90" s="0" t="n">
        <v>0.0338537500300903</v>
      </c>
      <c r="EC90" s="0" t="n">
        <v>0.0692475358470185</v>
      </c>
      <c r="ED90" s="0" t="n">
        <v>0.0747581263842858</v>
      </c>
      <c r="EE90" s="0" t="n">
        <v>0.0894795004897435</v>
      </c>
      <c r="EF90" s="0" t="n">
        <v>0.0821852493119952</v>
      </c>
      <c r="EG90" s="0" t="n">
        <v>0.0937868940722915</v>
      </c>
      <c r="EH90" s="0" t="n">
        <v>-0.0192675262829112</v>
      </c>
      <c r="EI90" s="0" t="n">
        <v>0.108173522928056</v>
      </c>
      <c r="EJ90" s="0" t="n">
        <v>0.0626298774366136</v>
      </c>
      <c r="EK90" s="0" t="n">
        <v>0.105968832264829</v>
      </c>
      <c r="EL90" s="0" t="n">
        <v>0.144101508773944</v>
      </c>
      <c r="EM90" s="0" t="n">
        <v>0.0726040801568334</v>
      </c>
      <c r="EN90" s="0" t="n">
        <v>0.0780875894191607</v>
      </c>
      <c r="EO90" s="0" t="n">
        <v>0.066593952097445</v>
      </c>
      <c r="EP90" s="72" t="n">
        <f aca="false">SUMPRODUCT(B90:EO90,$B$5:$EO$5)</f>
        <v>0.095946082347431</v>
      </c>
      <c r="EQ90" s="72" t="n">
        <f aca="false">SUMIF('Mi portafolio'!$A$8:$A$19,$A90,'Mi portafolio'!$B$8:$B$19)</f>
        <v>0</v>
      </c>
    </row>
    <row r="91" customFormat="false" ht="15" hidden="false" customHeight="false" outlineLevel="0" collapsed="false">
      <c r="A91" s="71" t="s">
        <v>312</v>
      </c>
      <c r="B91" s="0" t="n">
        <v>0.0062203171194459</v>
      </c>
      <c r="C91" s="0" t="n">
        <v>-0.0031599412934926</v>
      </c>
      <c r="D91" s="0" t="n">
        <v>-0.0048598765671645</v>
      </c>
      <c r="E91" s="0" t="n">
        <v>-0.0037202455393582</v>
      </c>
      <c r="F91" s="0" t="n">
        <v>0.0143964837910377</v>
      </c>
      <c r="G91" s="0" t="n">
        <v>-0.001266367355278</v>
      </c>
      <c r="H91" s="0" t="n">
        <v>-0.0087122184201485</v>
      </c>
      <c r="I91" s="0" t="n">
        <v>0.0094729014699067</v>
      </c>
      <c r="J91" s="0" t="n">
        <v>0.0115846830979763</v>
      </c>
      <c r="K91" s="0" t="n">
        <v>0.0011011962976774</v>
      </c>
      <c r="L91" s="0" t="n">
        <v>-0.0011472060373354</v>
      </c>
      <c r="M91" s="0" t="n">
        <v>-0.0084919683010655</v>
      </c>
      <c r="N91" s="0" t="n">
        <v>0.0064246595446666</v>
      </c>
      <c r="O91" s="0" t="n">
        <v>-0.0031273708423909</v>
      </c>
      <c r="P91" s="0" t="n">
        <v>0.01760798622828</v>
      </c>
      <c r="Q91" s="0" t="n">
        <v>-0.0041585496926388</v>
      </c>
      <c r="R91" s="0" t="n">
        <v>0.0146864689209499</v>
      </c>
      <c r="S91" s="0" t="n">
        <v>-0.0118627592142248</v>
      </c>
      <c r="T91" s="0" t="n">
        <v>-0.0021122344138535</v>
      </c>
      <c r="U91" s="0" t="n">
        <v>-0.0062155408936254</v>
      </c>
      <c r="V91" s="0" t="n">
        <v>-0.0106427925752153</v>
      </c>
      <c r="W91" s="0" t="n">
        <v>-0.0021058339049634</v>
      </c>
      <c r="X91" s="0" t="n">
        <v>0.0002519261976811</v>
      </c>
      <c r="Y91" s="0" t="n">
        <v>0.0044173392963408</v>
      </c>
      <c r="Z91" s="0" t="n">
        <v>-0.0083924290830386</v>
      </c>
      <c r="AA91" s="0" t="n">
        <v>-0.0120164466394638</v>
      </c>
      <c r="AB91" s="0" t="n">
        <v>0.0033482348351798</v>
      </c>
      <c r="AC91" s="0" t="n">
        <v>0.0003554336795516</v>
      </c>
      <c r="AD91" s="0" t="n">
        <v>0.0007087356092488</v>
      </c>
      <c r="AE91" s="0" t="n">
        <v>-0.0218204604134932</v>
      </c>
      <c r="AF91" s="0" t="n">
        <v>-0.0093134066401411</v>
      </c>
      <c r="AG91" s="0" t="n">
        <v>0.0244597497575536</v>
      </c>
      <c r="AH91" s="0" t="n">
        <v>0.0235220443180483</v>
      </c>
      <c r="AI91" s="0" t="n">
        <v>0.0719010550361533</v>
      </c>
      <c r="AJ91" s="0" t="n">
        <v>0.0004006777274248</v>
      </c>
      <c r="AK91" s="0" t="n">
        <v>-0.0168369535538172</v>
      </c>
      <c r="AL91" s="0" t="n">
        <v>-0.0044845186663136</v>
      </c>
      <c r="AM91" s="0" t="n">
        <v>-0.0127668518062586</v>
      </c>
      <c r="AN91" s="0" t="n">
        <v>-0.0168673184130245</v>
      </c>
      <c r="AO91" s="0" t="n">
        <v>0.0096334082224638</v>
      </c>
      <c r="AP91" s="0" t="n">
        <v>-0.0064160717419265</v>
      </c>
      <c r="AQ91" s="0" t="n">
        <v>0.0774376546624729</v>
      </c>
      <c r="AR91" s="0" t="n">
        <v>0.0036183776574506</v>
      </c>
      <c r="AS91" s="0" t="n">
        <v>-0.0204700844008274</v>
      </c>
      <c r="AT91" s="0" t="n">
        <v>-0.0053535918225</v>
      </c>
      <c r="AU91" s="0" t="n">
        <v>0.0106731215529623</v>
      </c>
      <c r="AV91" s="0" t="n">
        <v>-0.0028295437864041</v>
      </c>
      <c r="AW91" s="0" t="n">
        <v>-0.0064807064962539</v>
      </c>
      <c r="AX91" s="0" t="n">
        <v>0.0088115912225969</v>
      </c>
      <c r="AY91" s="0" t="n">
        <v>0.0067427670882583</v>
      </c>
      <c r="AZ91" s="0" t="n">
        <v>-0.022394414472761</v>
      </c>
      <c r="BA91" s="0" t="n">
        <v>-0.0014012972775914</v>
      </c>
      <c r="BB91" s="0" t="n">
        <v>-0.0138238984468765</v>
      </c>
      <c r="BC91" s="0" t="n">
        <v>-0.0041102840400101</v>
      </c>
      <c r="BD91" s="0" t="n">
        <v>-0.0193625872460279</v>
      </c>
      <c r="BE91" s="0" t="n">
        <v>0.0082035164778549</v>
      </c>
      <c r="BF91" s="0" t="n">
        <v>-0.0046537333552093</v>
      </c>
      <c r="BG91" s="0" t="n">
        <v>-0.0006987715040027</v>
      </c>
      <c r="BH91" s="0" t="n">
        <v>-0.016641392413632</v>
      </c>
      <c r="BI91" s="0" t="n">
        <v>0.0004994236491572</v>
      </c>
      <c r="BJ91" s="0" t="n">
        <v>0.0054485630447328</v>
      </c>
      <c r="BK91" s="0" t="n">
        <v>-0.0159010896132878</v>
      </c>
      <c r="BL91" s="0" t="n">
        <v>-0.0004595544202524</v>
      </c>
      <c r="BM91" s="0" t="n">
        <v>0.0081097557173429</v>
      </c>
      <c r="BN91" s="0" t="n">
        <v>0.0081996237398256</v>
      </c>
      <c r="BO91" s="0" t="n">
        <v>-0.0167868179395097</v>
      </c>
      <c r="BP91" s="0" t="n">
        <v>-0.0019975023142394</v>
      </c>
      <c r="BQ91" s="0" t="n">
        <v>-0.0210248619400807</v>
      </c>
      <c r="BR91" s="0" t="n">
        <v>0.0009014907668764</v>
      </c>
      <c r="BS91" s="0" t="n">
        <v>0.0992264511602666</v>
      </c>
      <c r="BT91" s="0" t="n">
        <v>-0.0318664726462453</v>
      </c>
      <c r="BU91" s="0" t="n">
        <v>-0.013111647134107</v>
      </c>
      <c r="BV91" s="0" t="n">
        <v>-0.0102298172783059</v>
      </c>
      <c r="BW91" s="0" t="n">
        <v>0.0016809671817202</v>
      </c>
      <c r="BX91" s="0" t="n">
        <v>0.0049327442038792</v>
      </c>
      <c r="BY91" s="0" t="n">
        <v>-0.0121945391855822</v>
      </c>
      <c r="BZ91" s="0" t="n">
        <v>-0.0239620399371475</v>
      </c>
      <c r="CA91" s="0" t="n">
        <v>-0.0124750637364722</v>
      </c>
      <c r="CB91" s="0" t="n">
        <v>0.0198769035544344</v>
      </c>
      <c r="CC91" s="0" t="n">
        <v>0.0058446446942161</v>
      </c>
      <c r="CD91" s="0" t="n">
        <v>0.0014891070455527</v>
      </c>
      <c r="CE91" s="0" t="n">
        <v>0.0185269754444701</v>
      </c>
      <c r="CF91" s="0" t="n">
        <v>0.10840936441039</v>
      </c>
      <c r="CG91" s="0" t="n">
        <v>-0.0103195494493221</v>
      </c>
      <c r="CH91" s="0" t="n">
        <v>-0.0192378319383465</v>
      </c>
      <c r="CI91" s="0" t="n">
        <v>0.134200001790802</v>
      </c>
      <c r="CJ91" s="0" t="n">
        <v>0.0113825258163134</v>
      </c>
      <c r="CK91" s="0" t="n">
        <v>0.0057827371607305</v>
      </c>
      <c r="CL91" s="0" t="n">
        <v>-0.0130837691521689</v>
      </c>
      <c r="CM91" s="0" t="n">
        <v>-0.0127285191228687</v>
      </c>
      <c r="CN91" s="0" t="n">
        <v>0.0032041084509332</v>
      </c>
      <c r="CO91" s="0" t="n">
        <v>-0.0115713155313646</v>
      </c>
      <c r="CP91" s="0" t="n">
        <v>0.0043802609763761</v>
      </c>
      <c r="CQ91" s="0" t="n">
        <v>-0.0394656159487345</v>
      </c>
      <c r="CR91" s="0" t="n">
        <v>-0.0235846392240009</v>
      </c>
      <c r="CS91" s="0" t="n">
        <v>-0.0062694308158303</v>
      </c>
      <c r="CT91" s="0" t="n">
        <v>-0.0103204396737625</v>
      </c>
      <c r="CU91" s="0" t="n">
        <v>-0.0029796643928258</v>
      </c>
      <c r="CV91" s="0" t="n">
        <v>-0.0240938205255942</v>
      </c>
      <c r="CW91" s="0" t="n">
        <v>-0.0179530195983403</v>
      </c>
      <c r="CX91" s="0" t="n">
        <v>-0.0187817183123429</v>
      </c>
      <c r="CY91" s="0" t="n">
        <v>-0.0491639936866422</v>
      </c>
      <c r="CZ91" s="0" t="n">
        <v>0.0136649617453459</v>
      </c>
      <c r="DA91" s="0" t="n">
        <v>-0.0006844870579885</v>
      </c>
      <c r="DB91" s="0" t="n">
        <v>-0.0212257417974075</v>
      </c>
      <c r="DC91" s="0" t="n">
        <v>-0.0570807392135406</v>
      </c>
      <c r="DD91" s="0" t="n">
        <v>-0.0181547175450471</v>
      </c>
      <c r="DE91" s="0" t="n">
        <v>-0.0166341438897174</v>
      </c>
      <c r="DF91" s="0" t="n">
        <v>0.0236651948635459</v>
      </c>
      <c r="DG91" s="0" t="n">
        <v>-0.0113278347289609</v>
      </c>
      <c r="DH91" s="0" t="n">
        <v>-0.0110540329453991</v>
      </c>
      <c r="DI91" s="0" t="n">
        <v>-0.0584839415811745</v>
      </c>
      <c r="DJ91" s="0" t="n">
        <v>-0.0298560315124325</v>
      </c>
      <c r="DK91" s="0" t="n">
        <v>-0.0587988112566847</v>
      </c>
      <c r="DL91" s="0" t="n">
        <v>-0.0319257845518876</v>
      </c>
      <c r="DM91" s="0" t="n">
        <v>-0.0546385118363543</v>
      </c>
      <c r="DN91" s="0" t="n">
        <v>0.0097483320792953</v>
      </c>
      <c r="DO91" s="0" t="n">
        <v>0.0005295143330451</v>
      </c>
      <c r="DP91" s="0" t="n">
        <v>-0.0475519593512951</v>
      </c>
      <c r="DQ91" s="0" t="n">
        <v>-0.0015660812597556</v>
      </c>
      <c r="DR91" s="0" t="n">
        <v>0.0228470839492729</v>
      </c>
      <c r="DS91" s="0" t="n">
        <v>0.0036325138295658</v>
      </c>
      <c r="DT91" s="0" t="n">
        <v>-0.0061318417172153</v>
      </c>
      <c r="DU91" s="0" t="n">
        <v>-0.0310431401788328</v>
      </c>
      <c r="DV91" s="0" t="n">
        <v>0.0055868570092756</v>
      </c>
      <c r="DW91" s="0" t="n">
        <v>-0.0261128801001868</v>
      </c>
      <c r="DX91" s="0" t="n">
        <v>-0.0267999210524784</v>
      </c>
      <c r="DY91" s="0" t="n">
        <v>-0.0334844025252115</v>
      </c>
      <c r="DZ91" s="0" t="n">
        <v>0.0140459102786965</v>
      </c>
      <c r="EA91" s="0" t="n">
        <v>-0.0287591219477743</v>
      </c>
      <c r="EB91" s="0" t="n">
        <v>-0.0273882786690216</v>
      </c>
      <c r="EC91" s="0" t="n">
        <v>-0.0098533892509856</v>
      </c>
      <c r="ED91" s="0" t="n">
        <v>-0.0155221409368613</v>
      </c>
      <c r="EE91" s="0" t="n">
        <v>-0.0284151556508213</v>
      </c>
      <c r="EF91" s="0" t="n">
        <v>0.0023813117599855</v>
      </c>
      <c r="EG91" s="0" t="n">
        <v>-0.0359867386421884</v>
      </c>
      <c r="EH91" s="0" t="n">
        <v>-0.0319442774014503</v>
      </c>
      <c r="EI91" s="0" t="n">
        <v>-0.0357639845393171</v>
      </c>
      <c r="EJ91" s="0" t="n">
        <v>-0.0021006051720553</v>
      </c>
      <c r="EK91" s="0" t="n">
        <v>0.0247772638210423</v>
      </c>
      <c r="EL91" s="0" t="n">
        <v>-0.0404600711848778</v>
      </c>
      <c r="EM91" s="0" t="n">
        <v>-0.0074548444720615</v>
      </c>
      <c r="EN91" s="0" t="n">
        <v>-0.0100479261585554</v>
      </c>
      <c r="EO91" s="0" t="n">
        <v>-0.020130205815125</v>
      </c>
      <c r="EP91" s="72" t="n">
        <f aca="false">SUMPRODUCT(B91:EO91,$B$5:$EO$5)</f>
        <v>-0.0338040714729623</v>
      </c>
      <c r="EQ91" s="72" t="n">
        <f aca="false">SUMIF('Mi portafolio'!$A$8:$A$19,$A91,'Mi portafolio'!$B$8:$B$19)</f>
        <v>0</v>
      </c>
    </row>
    <row r="92" customFormat="false" ht="15" hidden="false" customHeight="false" outlineLevel="0" collapsed="false">
      <c r="A92" s="71" t="s">
        <v>314</v>
      </c>
      <c r="B92" s="0" t="n">
        <v>0.0164682354429067</v>
      </c>
      <c r="C92" s="0" t="n">
        <v>-0.0005008559440688</v>
      </c>
      <c r="D92" s="0" t="n">
        <v>0.0036664227057739</v>
      </c>
      <c r="E92" s="0" t="n">
        <v>0.0046096961707132</v>
      </c>
      <c r="F92" s="0" t="n">
        <v>0.0229649816455995</v>
      </c>
      <c r="G92" s="0" t="n">
        <v>0.0061538198249452</v>
      </c>
      <c r="H92" s="0" t="n">
        <v>-0.0009253777330536</v>
      </c>
      <c r="I92" s="0" t="n">
        <v>0.0196301255581818</v>
      </c>
      <c r="J92" s="0" t="n">
        <v>0.0165998456665127</v>
      </c>
      <c r="K92" s="0" t="n">
        <v>0.0141555847201421</v>
      </c>
      <c r="L92" s="0" t="n">
        <v>-0.0011518949624539</v>
      </c>
      <c r="M92" s="0" t="n">
        <v>0.0077118965318298</v>
      </c>
      <c r="N92" s="0" t="n">
        <v>0.0210008631348427</v>
      </c>
      <c r="O92" s="0" t="n">
        <v>-0.0025750820424464</v>
      </c>
      <c r="P92" s="0" t="n">
        <v>0.019275029620207</v>
      </c>
      <c r="Q92" s="0" t="n">
        <v>0.0027960615263892</v>
      </c>
      <c r="R92" s="0" t="n">
        <v>0.0255225459007728</v>
      </c>
      <c r="S92" s="0" t="n">
        <v>0.0065675637414247</v>
      </c>
      <c r="T92" s="0" t="n">
        <v>0.0070955517444095</v>
      </c>
      <c r="U92" s="0" t="n">
        <v>0.0110006124135196</v>
      </c>
      <c r="V92" s="0" t="n">
        <v>-0.0039208427495876</v>
      </c>
      <c r="W92" s="0" t="n">
        <v>0.0018462584511233</v>
      </c>
      <c r="X92" s="0" t="n">
        <v>0.0087460288646966</v>
      </c>
      <c r="Y92" s="0" t="n">
        <v>0.0287389415739634</v>
      </c>
      <c r="Z92" s="0" t="n">
        <v>0.0023140654974576</v>
      </c>
      <c r="AA92" s="0" t="n">
        <v>0.0015633048032038</v>
      </c>
      <c r="AB92" s="0" t="n">
        <v>0.0275773415193485</v>
      </c>
      <c r="AC92" s="0" t="n">
        <v>0.0069168807541404</v>
      </c>
      <c r="AD92" s="0" t="n">
        <v>0.0057596528833303</v>
      </c>
      <c r="AE92" s="0" t="n">
        <v>-0.0005632188362873</v>
      </c>
      <c r="AF92" s="0" t="n">
        <v>-0.0084618538729712</v>
      </c>
      <c r="AG92" s="0" t="n">
        <v>0.0216152723933741</v>
      </c>
      <c r="AH92" s="0" t="n">
        <v>0.023077206436908</v>
      </c>
      <c r="AI92" s="0" t="n">
        <v>0.0108975626421002</v>
      </c>
      <c r="AJ92" s="0" t="n">
        <v>-0.0050419003377814</v>
      </c>
      <c r="AK92" s="0" t="n">
        <v>-0.0023388170809653</v>
      </c>
      <c r="AL92" s="0" t="n">
        <v>0.021699051729975</v>
      </c>
      <c r="AM92" s="0" t="n">
        <v>0.008562946984558</v>
      </c>
      <c r="AN92" s="0" t="n">
        <v>0.0130232495622338</v>
      </c>
      <c r="AO92" s="0" t="n">
        <v>0.0184327264947033</v>
      </c>
      <c r="AP92" s="0" t="n">
        <v>0.0352471409988758</v>
      </c>
      <c r="AQ92" s="0" t="n">
        <v>0.0078395179139547</v>
      </c>
      <c r="AR92" s="0" t="n">
        <v>0.0078487524607669</v>
      </c>
      <c r="AS92" s="0" t="n">
        <v>0.0069583607940984</v>
      </c>
      <c r="AT92" s="0" t="n">
        <v>0.0107325119241178</v>
      </c>
      <c r="AU92" s="0" t="n">
        <v>0.0100320263908298</v>
      </c>
      <c r="AV92" s="0" t="n">
        <v>0.0065334157286326</v>
      </c>
      <c r="AW92" s="0" t="n">
        <v>-0.0030581472843508</v>
      </c>
      <c r="AX92" s="0" t="n">
        <v>0.0240183639900706</v>
      </c>
      <c r="AY92" s="0" t="n">
        <v>0.0125336300793266</v>
      </c>
      <c r="AZ92" s="0" t="n">
        <v>-0.0076222576275958</v>
      </c>
      <c r="BA92" s="0" t="n">
        <v>0.0056859593140513</v>
      </c>
      <c r="BB92" s="0" t="n">
        <v>0.007589374025485</v>
      </c>
      <c r="BC92" s="0" t="n">
        <v>-0.0060162907432914</v>
      </c>
      <c r="BD92" s="0" t="n">
        <v>0.0076441619945052</v>
      </c>
      <c r="BE92" s="0" t="n">
        <v>0.0231413255831724</v>
      </c>
      <c r="BF92" s="0" t="n">
        <v>-0.0004045993948774</v>
      </c>
      <c r="BG92" s="0" t="n">
        <v>0.0158296819915399</v>
      </c>
      <c r="BH92" s="0" t="n">
        <v>0.0180598685862559</v>
      </c>
      <c r="BI92" s="0" t="n">
        <v>-0.0034086033485485</v>
      </c>
      <c r="BJ92" s="0" t="n">
        <v>-0.0044273436598015</v>
      </c>
      <c r="BK92" s="0" t="n">
        <v>-0.0127580652787768</v>
      </c>
      <c r="BL92" s="0" t="n">
        <v>0.0026598115135067</v>
      </c>
      <c r="BM92" s="0" t="n">
        <v>0.0227355978158168</v>
      </c>
      <c r="BN92" s="0" t="n">
        <v>0.0177784486542272</v>
      </c>
      <c r="BO92" s="0" t="n">
        <v>0.0247040978933154</v>
      </c>
      <c r="BP92" s="0" t="n">
        <v>0.033174712020144</v>
      </c>
      <c r="BQ92" s="0" t="n">
        <v>-0.0051265584830542</v>
      </c>
      <c r="BR92" s="0" t="n">
        <v>0.0232211266062245</v>
      </c>
      <c r="BS92" s="0" t="n">
        <v>0.0151961330577991</v>
      </c>
      <c r="BT92" s="0" t="n">
        <v>0.0147471195469146</v>
      </c>
      <c r="BU92" s="0" t="n">
        <v>-0.0036777870316798</v>
      </c>
      <c r="BV92" s="0" t="n">
        <v>0.0328457306195405</v>
      </c>
      <c r="BW92" s="0" t="n">
        <v>0.025784872395</v>
      </c>
      <c r="BX92" s="0" t="n">
        <v>0.0181194331663755</v>
      </c>
      <c r="BY92" s="0" t="n">
        <v>0.0080003549437792</v>
      </c>
      <c r="BZ92" s="0" t="n">
        <v>0.0239526019087061</v>
      </c>
      <c r="CA92" s="0" t="n">
        <v>0.0034597013400612</v>
      </c>
      <c r="CB92" s="0" t="n">
        <v>0.0111004733896879</v>
      </c>
      <c r="CC92" s="0" t="n">
        <v>0.0136635309440115</v>
      </c>
      <c r="CD92" s="0" t="n">
        <v>0.0409068312584489</v>
      </c>
      <c r="CE92" s="0" t="n">
        <v>0.0027636589817792</v>
      </c>
      <c r="CF92" s="0" t="n">
        <v>0.0079357268533782</v>
      </c>
      <c r="CG92" s="0" t="n">
        <v>0.0388422479724538</v>
      </c>
      <c r="CH92" s="0" t="n">
        <v>-0.0017369529912435</v>
      </c>
      <c r="CI92" s="0" t="n">
        <v>0.0113825258163134</v>
      </c>
      <c r="CJ92" s="0" t="n">
        <v>0.141406015356196</v>
      </c>
      <c r="CK92" s="0" t="n">
        <v>0.0306307223215552</v>
      </c>
      <c r="CL92" s="0" t="n">
        <v>0.0065229757352558</v>
      </c>
      <c r="CM92" s="0" t="n">
        <v>-0.0019514045802968</v>
      </c>
      <c r="CN92" s="0" t="n">
        <v>-0.0027797844844315</v>
      </c>
      <c r="CO92" s="0" t="n">
        <v>-0.012652328419709</v>
      </c>
      <c r="CP92" s="0" t="n">
        <v>0.0266779752629911</v>
      </c>
      <c r="CQ92" s="0" t="n">
        <v>0.0147497279843437</v>
      </c>
      <c r="CR92" s="0" t="n">
        <v>-0.0042845204846703</v>
      </c>
      <c r="CS92" s="0" t="n">
        <v>-0.0224351031941628</v>
      </c>
      <c r="CT92" s="0" t="n">
        <v>0.040577809065807</v>
      </c>
      <c r="CU92" s="0" t="n">
        <v>0.0133751793162444</v>
      </c>
      <c r="CV92" s="0" t="n">
        <v>0.0229129652106623</v>
      </c>
      <c r="CW92" s="0" t="n">
        <v>0.0391895308432008</v>
      </c>
      <c r="CX92" s="0" t="n">
        <v>0.0294058147297917</v>
      </c>
      <c r="CY92" s="0" t="n">
        <v>0.0001830298503687</v>
      </c>
      <c r="CZ92" s="0" t="n">
        <v>0.0225954301576433</v>
      </c>
      <c r="DA92" s="0" t="n">
        <v>0.0463624650265904</v>
      </c>
      <c r="DB92" s="0" t="n">
        <v>0.0133045634148264</v>
      </c>
      <c r="DC92" s="0" t="n">
        <v>-0.0230480112307338</v>
      </c>
      <c r="DD92" s="0" t="n">
        <v>0.0705946000123692</v>
      </c>
      <c r="DE92" s="0" t="n">
        <v>-0.0023792823301115</v>
      </c>
      <c r="DF92" s="0" t="n">
        <v>0.039258538440646</v>
      </c>
      <c r="DG92" s="0" t="n">
        <v>0.0218341988552467</v>
      </c>
      <c r="DH92" s="0" t="n">
        <v>0.0031851340068506</v>
      </c>
      <c r="DI92" s="0" t="n">
        <v>0.0170859966764029</v>
      </c>
      <c r="DJ92" s="0" t="n">
        <v>0.0081734148016511</v>
      </c>
      <c r="DK92" s="0" t="n">
        <v>0.0106598912976669</v>
      </c>
      <c r="DL92" s="0" t="n">
        <v>0.0019631446502409</v>
      </c>
      <c r="DM92" s="0" t="n">
        <v>0.0179077262965064</v>
      </c>
      <c r="DN92" s="0" t="n">
        <v>0.0313771443651117</v>
      </c>
      <c r="DO92" s="0" t="n">
        <v>0.0025690853685897</v>
      </c>
      <c r="DP92" s="0" t="n">
        <v>0.0229808112569574</v>
      </c>
      <c r="DQ92" s="0" t="n">
        <v>-0.0030672760041181</v>
      </c>
      <c r="DR92" s="0" t="n">
        <v>0.0206730457943655</v>
      </c>
      <c r="DS92" s="0" t="n">
        <v>0.0420450880819719</v>
      </c>
      <c r="DT92" s="0" t="n">
        <v>0.0082980623301273</v>
      </c>
      <c r="DU92" s="0" t="n">
        <v>0.0407708144739954</v>
      </c>
      <c r="DV92" s="0" t="n">
        <v>0.0516419723360122</v>
      </c>
      <c r="DW92" s="0" t="n">
        <v>0.0545393865890247</v>
      </c>
      <c r="DX92" s="0" t="n">
        <v>-0.0301109763512469</v>
      </c>
      <c r="DY92" s="0" t="n">
        <v>0.0461466698135767</v>
      </c>
      <c r="DZ92" s="0" t="n">
        <v>0.0323511252832929</v>
      </c>
      <c r="EA92" s="0" t="n">
        <v>0.0059422696389761</v>
      </c>
      <c r="EB92" s="0" t="n">
        <v>0.0447433082062508</v>
      </c>
      <c r="EC92" s="0" t="n">
        <v>-0.0072252788224514</v>
      </c>
      <c r="ED92" s="0" t="n">
        <v>0.0452336705341987</v>
      </c>
      <c r="EE92" s="0" t="n">
        <v>-0.0014576182078814</v>
      </c>
      <c r="EF92" s="0" t="n">
        <v>0.0241919030388974</v>
      </c>
      <c r="EG92" s="0" t="n">
        <v>-0.0157961391338102</v>
      </c>
      <c r="EH92" s="0" t="n">
        <v>0.0905982745613803</v>
      </c>
      <c r="EI92" s="0" t="n">
        <v>-0.032862705114261</v>
      </c>
      <c r="EJ92" s="0" t="n">
        <v>0.0269398496959591</v>
      </c>
      <c r="EK92" s="0" t="n">
        <v>0.0460694947551778</v>
      </c>
      <c r="EL92" s="0" t="n">
        <v>-0.0102546274269258</v>
      </c>
      <c r="EM92" s="0" t="n">
        <v>0.0336538587688598</v>
      </c>
      <c r="EN92" s="0" t="n">
        <v>0.104526125248793</v>
      </c>
      <c r="EO92" s="0" t="n">
        <v>0.116311144103792</v>
      </c>
      <c r="EP92" s="72" t="n">
        <f aca="false">SUMPRODUCT(B92:EO92,$B$5:$EO$5)</f>
        <v>-0.022974901321074</v>
      </c>
      <c r="EQ92" s="72" t="n">
        <f aca="false">SUMIF('Mi portafolio'!$A$8:$A$19,$A92,'Mi portafolio'!$B$8:$B$19)</f>
        <v>0</v>
      </c>
    </row>
    <row r="93" customFormat="false" ht="15" hidden="false" customHeight="false" outlineLevel="0" collapsed="false">
      <c r="A93" s="71" t="s">
        <v>315</v>
      </c>
      <c r="B93" s="0" t="n">
        <v>0.019509724118102</v>
      </c>
      <c r="C93" s="0" t="n">
        <v>-0.0040566012530557</v>
      </c>
      <c r="D93" s="0" t="n">
        <v>0.0014150649211246</v>
      </c>
      <c r="E93" s="0" t="n">
        <v>0.0087560848846647</v>
      </c>
      <c r="F93" s="0" t="n">
        <v>0.0196317024165653</v>
      </c>
      <c r="G93" s="0" t="n">
        <v>-0.0071247787686315</v>
      </c>
      <c r="H93" s="0" t="n">
        <v>0.0013703605309782</v>
      </c>
      <c r="I93" s="0" t="n">
        <v>0.0252710168896482</v>
      </c>
      <c r="J93" s="0" t="n">
        <v>0.0162124112834199</v>
      </c>
      <c r="K93" s="0" t="n">
        <v>0.0262450102231555</v>
      </c>
      <c r="L93" s="0" t="n">
        <v>0.0029606699748317</v>
      </c>
      <c r="M93" s="0" t="n">
        <v>0.02471387922724</v>
      </c>
      <c r="N93" s="0" t="n">
        <v>0.0241066917300925</v>
      </c>
      <c r="O93" s="0" t="n">
        <v>-0.0031730225329446</v>
      </c>
      <c r="P93" s="0" t="n">
        <v>0.0205509187409724</v>
      </c>
      <c r="Q93" s="0" t="n">
        <v>8.62614269500489E-005</v>
      </c>
      <c r="R93" s="0" t="n">
        <v>0.0272896241595058</v>
      </c>
      <c r="S93" s="0" t="n">
        <v>0.007104206231784</v>
      </c>
      <c r="T93" s="0" t="n">
        <v>0.0180792207763989</v>
      </c>
      <c r="U93" s="0" t="n">
        <v>0.0104584391702365</v>
      </c>
      <c r="V93" s="0" t="n">
        <v>0.0083312985684802</v>
      </c>
      <c r="W93" s="0" t="n">
        <v>0.0022477936415114</v>
      </c>
      <c r="X93" s="0" t="n">
        <v>0.0165993304722374</v>
      </c>
      <c r="Y93" s="0" t="n">
        <v>0.02785784086167</v>
      </c>
      <c r="Z93" s="0" t="n">
        <v>0.0048542842527862</v>
      </c>
      <c r="AA93" s="0" t="n">
        <v>-0.0001875722106397</v>
      </c>
      <c r="AB93" s="0" t="n">
        <v>0.0327229681752701</v>
      </c>
      <c r="AC93" s="0" t="n">
        <v>-0.002452078787774</v>
      </c>
      <c r="AD93" s="0" t="n">
        <v>0.0037768095584902</v>
      </c>
      <c r="AE93" s="0" t="n">
        <v>0.0048477052879815</v>
      </c>
      <c r="AF93" s="0" t="n">
        <v>-0.004075280993049</v>
      </c>
      <c r="AG93" s="0" t="n">
        <v>0.0134607217384864</v>
      </c>
      <c r="AH93" s="0" t="n">
        <v>0.0166847463817815</v>
      </c>
      <c r="AI93" s="0" t="n">
        <v>0.0102592686316046</v>
      </c>
      <c r="AJ93" s="0" t="n">
        <v>0.0040370362783774</v>
      </c>
      <c r="AK93" s="0" t="n">
        <v>0.0067903835156382</v>
      </c>
      <c r="AL93" s="0" t="n">
        <v>0.0259626158092319</v>
      </c>
      <c r="AM93" s="0" t="n">
        <v>-0.0042555505702152</v>
      </c>
      <c r="AN93" s="0" t="n">
        <v>0.0446777894482964</v>
      </c>
      <c r="AO93" s="0" t="n">
        <v>0.0112622746838576</v>
      </c>
      <c r="AP93" s="0" t="n">
        <v>0.0411294407961958</v>
      </c>
      <c r="AQ93" s="0" t="n">
        <v>0.0076422224226778</v>
      </c>
      <c r="AR93" s="0" t="n">
        <v>0.0181566190479093</v>
      </c>
      <c r="AS93" s="0" t="n">
        <v>0.0043126854797265</v>
      </c>
      <c r="AT93" s="0" t="n">
        <v>0.0371172897212483</v>
      </c>
      <c r="AU93" s="0" t="n">
        <v>0.0196220381397148</v>
      </c>
      <c r="AV93" s="0" t="n">
        <v>0.012956235679926</v>
      </c>
      <c r="AW93" s="0" t="n">
        <v>0.0192464196335087</v>
      </c>
      <c r="AX93" s="0" t="n">
        <v>0.0188551097934759</v>
      </c>
      <c r="AY93" s="0" t="n">
        <v>0.0315645436686595</v>
      </c>
      <c r="AZ93" s="0" t="n">
        <v>0.0099000356786727</v>
      </c>
      <c r="BA93" s="0" t="n">
        <v>0.0328722324179719</v>
      </c>
      <c r="BB93" s="0" t="n">
        <v>0.0212107036204248</v>
      </c>
      <c r="BC93" s="0" t="n">
        <v>0.0043004498234152</v>
      </c>
      <c r="BD93" s="0" t="n">
        <v>0.0040260238516212</v>
      </c>
      <c r="BE93" s="0" t="n">
        <v>0.0210979732895025</v>
      </c>
      <c r="BF93" s="0" t="n">
        <v>0.0136680054828447</v>
      </c>
      <c r="BG93" s="0" t="n">
        <v>0.031150231784269</v>
      </c>
      <c r="BH93" s="0" t="n">
        <v>0.0115934697845766</v>
      </c>
      <c r="BI93" s="0" t="n">
        <v>0.0083426063982502</v>
      </c>
      <c r="BJ93" s="0" t="n">
        <v>-0.0054960131851527</v>
      </c>
      <c r="BK93" s="0" t="n">
        <v>0.0036498704811851</v>
      </c>
      <c r="BL93" s="0" t="n">
        <v>0.0191396480838589</v>
      </c>
      <c r="BM93" s="0" t="n">
        <v>0.0469910324751278</v>
      </c>
      <c r="BN93" s="0" t="n">
        <v>0.0140602475274917</v>
      </c>
      <c r="BO93" s="0" t="n">
        <v>0.020994834042553</v>
      </c>
      <c r="BP93" s="0" t="n">
        <v>0.0207640559588249</v>
      </c>
      <c r="BQ93" s="0" t="n">
        <v>0.0150477338001263</v>
      </c>
      <c r="BR93" s="0" t="n">
        <v>0.0445592461216847</v>
      </c>
      <c r="BS93" s="0" t="n">
        <v>0.0054510610718856</v>
      </c>
      <c r="BT93" s="0" t="n">
        <v>0.0198056622177721</v>
      </c>
      <c r="BU93" s="0" t="n">
        <v>0.0141974745989814</v>
      </c>
      <c r="BV93" s="0" t="n">
        <v>0.0275539262675122</v>
      </c>
      <c r="BW93" s="0" t="n">
        <v>0.0355553473000164</v>
      </c>
      <c r="BX93" s="0" t="n">
        <v>0.0246592440747597</v>
      </c>
      <c r="BY93" s="0" t="n">
        <v>0.041281348161367</v>
      </c>
      <c r="BZ93" s="0" t="n">
        <v>0.0226933146787215</v>
      </c>
      <c r="CA93" s="0" t="n">
        <v>0.0058100936487965</v>
      </c>
      <c r="CB93" s="0" t="n">
        <v>0.0154181078723982</v>
      </c>
      <c r="CC93" s="0" t="n">
        <v>0.0220631731281244</v>
      </c>
      <c r="CD93" s="0" t="n">
        <v>0.0307376124645367</v>
      </c>
      <c r="CE93" s="0" t="n">
        <v>0.0060803611048744</v>
      </c>
      <c r="CF93" s="0" t="n">
        <v>0.0019062008739183</v>
      </c>
      <c r="CG93" s="0" t="n">
        <v>0.0528958058389241</v>
      </c>
      <c r="CH93" s="0" t="n">
        <v>0.0133526810816147</v>
      </c>
      <c r="CI93" s="0" t="n">
        <v>0.0057827371607305</v>
      </c>
      <c r="CJ93" s="0" t="n">
        <v>0.0306307223215552</v>
      </c>
      <c r="CK93" s="0" t="n">
        <v>0.13258343882976</v>
      </c>
      <c r="CL93" s="0" t="n">
        <v>0.0375938109604239</v>
      </c>
      <c r="CM93" s="0" t="n">
        <v>0.0045142106935951</v>
      </c>
      <c r="CN93" s="0" t="n">
        <v>0.0059693872908345</v>
      </c>
      <c r="CO93" s="0" t="n">
        <v>0.0300531666919965</v>
      </c>
      <c r="CP93" s="0" t="n">
        <v>0.0262791765548161</v>
      </c>
      <c r="CQ93" s="0" t="n">
        <v>0.0525131244212112</v>
      </c>
      <c r="CR93" s="0" t="n">
        <v>0.0088531613819754</v>
      </c>
      <c r="CS93" s="0" t="n">
        <v>0.0029894239700398</v>
      </c>
      <c r="CT93" s="0" t="n">
        <v>0.0317744819397133</v>
      </c>
      <c r="CU93" s="0" t="n">
        <v>0.0224872979565446</v>
      </c>
      <c r="CV93" s="0" t="n">
        <v>0.0350103709553907</v>
      </c>
      <c r="CW93" s="0" t="n">
        <v>0.0404139942352582</v>
      </c>
      <c r="CX93" s="0" t="n">
        <v>0.0317023221812544</v>
      </c>
      <c r="CY93" s="0" t="n">
        <v>0.0499518983776823</v>
      </c>
      <c r="CZ93" s="0" t="n">
        <v>0.0334309747995965</v>
      </c>
      <c r="DA93" s="0" t="n">
        <v>0.0372642133307122</v>
      </c>
      <c r="DB93" s="0" t="n">
        <v>0.0273024453411595</v>
      </c>
      <c r="DC93" s="0" t="n">
        <v>0.0163080609786337</v>
      </c>
      <c r="DD93" s="0" t="n">
        <v>0.0502044578195517</v>
      </c>
      <c r="DE93" s="0" t="n">
        <v>0.0086701112462292</v>
      </c>
      <c r="DF93" s="0" t="n">
        <v>0.0371444800322451</v>
      </c>
      <c r="DG93" s="0" t="n">
        <v>0.0154263952607118</v>
      </c>
      <c r="DH93" s="0" t="n">
        <v>-0.0022168638246496</v>
      </c>
      <c r="DI93" s="0" t="n">
        <v>0.0530403139418343</v>
      </c>
      <c r="DJ93" s="0" t="n">
        <v>0.052343874724352</v>
      </c>
      <c r="DK93" s="0" t="n">
        <v>0.0542644430185457</v>
      </c>
      <c r="DL93" s="0" t="n">
        <v>-0.0110690466788572</v>
      </c>
      <c r="DM93" s="0" t="n">
        <v>0.0545102834328919</v>
      </c>
      <c r="DN93" s="0" t="n">
        <v>0.0488353284693154</v>
      </c>
      <c r="DO93" s="0" t="n">
        <v>0.0339686026269498</v>
      </c>
      <c r="DP93" s="0" t="n">
        <v>0.0562616760009083</v>
      </c>
      <c r="DQ93" s="0" t="n">
        <v>0.0227093324981315</v>
      </c>
      <c r="DR93" s="0" t="n">
        <v>-0.0117445975512932</v>
      </c>
      <c r="DS93" s="0" t="n">
        <v>0.0322968956787262</v>
      </c>
      <c r="DT93" s="0" t="n">
        <v>0.0101070275021747</v>
      </c>
      <c r="DU93" s="0" t="n">
        <v>0.0378276542172013</v>
      </c>
      <c r="DV93" s="0" t="n">
        <v>0.0186164406504394</v>
      </c>
      <c r="DW93" s="0" t="n">
        <v>0.0628279727386855</v>
      </c>
      <c r="DX93" s="0" t="n">
        <v>-0.002614552382666</v>
      </c>
      <c r="DY93" s="0" t="n">
        <v>0.0624047254330186</v>
      </c>
      <c r="DZ93" s="0" t="n">
        <v>0.017883608578926</v>
      </c>
      <c r="EA93" s="0" t="n">
        <v>0.0564679869334122</v>
      </c>
      <c r="EB93" s="0" t="n">
        <v>0.0709818347850429</v>
      </c>
      <c r="EC93" s="0" t="n">
        <v>-0.0101527937934234</v>
      </c>
      <c r="ED93" s="0" t="n">
        <v>0.0493724232660552</v>
      </c>
      <c r="EE93" s="0" t="n">
        <v>-0.0046773856281916</v>
      </c>
      <c r="EF93" s="0" t="n">
        <v>0.0339038103793173</v>
      </c>
      <c r="EG93" s="0" t="n">
        <v>-0.0036559985902593</v>
      </c>
      <c r="EH93" s="0" t="n">
        <v>0.0514201674620987</v>
      </c>
      <c r="EI93" s="0" t="n">
        <v>-0.0279218669853759</v>
      </c>
      <c r="EJ93" s="0" t="n">
        <v>0.0590585954668877</v>
      </c>
      <c r="EK93" s="0" t="n">
        <v>0.0068158387439051</v>
      </c>
      <c r="EL93" s="0" t="n">
        <v>-0.0080842291256734</v>
      </c>
      <c r="EM93" s="0" t="n">
        <v>0.0511544082401562</v>
      </c>
      <c r="EN93" s="0" t="n">
        <v>0.0933836223823495</v>
      </c>
      <c r="EO93" s="0" t="n">
        <v>0.0951915199214775</v>
      </c>
      <c r="EP93" s="72" t="n">
        <f aca="false">SUMPRODUCT(B93:EO93,$B$5:$EO$5)</f>
        <v>-0.015506106356123</v>
      </c>
      <c r="EQ93" s="72" t="n">
        <f aca="false">SUMIF('Mi portafolio'!$A$8:$A$19,$A93,'Mi portafolio'!$B$8:$B$19)</f>
        <v>0</v>
      </c>
    </row>
    <row r="94" customFormat="false" ht="15" hidden="false" customHeight="false" outlineLevel="0" collapsed="false">
      <c r="A94" s="71" t="s">
        <v>317</v>
      </c>
      <c r="B94" s="0" t="n">
        <v>0.0067246526610863</v>
      </c>
      <c r="C94" s="0" t="n">
        <v>0.000666509473945</v>
      </c>
      <c r="D94" s="0" t="n">
        <v>-0.0001182073721039</v>
      </c>
      <c r="E94" s="0" t="n">
        <v>-0.0002583163131485</v>
      </c>
      <c r="F94" s="0" t="n">
        <v>0.0108187867936539</v>
      </c>
      <c r="G94" s="0" t="n">
        <v>0.0054659140726907</v>
      </c>
      <c r="H94" s="0" t="n">
        <v>0.0177207536434214</v>
      </c>
      <c r="I94" s="0" t="n">
        <v>0.0079734369124443</v>
      </c>
      <c r="J94" s="0" t="n">
        <v>0.0089517597704774</v>
      </c>
      <c r="K94" s="0" t="n">
        <v>0.0126447444513728</v>
      </c>
      <c r="L94" s="0" t="n">
        <v>0.0036437430515879</v>
      </c>
      <c r="M94" s="0" t="n">
        <v>0.0274301386485865</v>
      </c>
      <c r="N94" s="0" t="n">
        <v>0.021604819196653</v>
      </c>
      <c r="O94" s="0" t="n">
        <v>0.0033205705871268</v>
      </c>
      <c r="P94" s="0" t="n">
        <v>0.0038671392652544</v>
      </c>
      <c r="Q94" s="0" t="n">
        <v>-0.0012311446177993</v>
      </c>
      <c r="R94" s="0" t="n">
        <v>0.009005875104474</v>
      </c>
      <c r="S94" s="0" t="n">
        <v>-0.0029588320776771</v>
      </c>
      <c r="T94" s="0" t="n">
        <v>0.0176463122395271</v>
      </c>
      <c r="U94" s="0" t="n">
        <v>0.0121016696893473</v>
      </c>
      <c r="V94" s="0" t="n">
        <v>0.0086204595553178</v>
      </c>
      <c r="W94" s="0" t="n">
        <v>-0.0060390212374732</v>
      </c>
      <c r="X94" s="0" t="n">
        <v>0.0178841247405995</v>
      </c>
      <c r="Y94" s="0" t="n">
        <v>0.0061592645106894</v>
      </c>
      <c r="Z94" s="0" t="n">
        <v>0.0103546878222062</v>
      </c>
      <c r="AA94" s="0" t="n">
        <v>0.0186618480711879</v>
      </c>
      <c r="AB94" s="0" t="n">
        <v>0.0068301995820047</v>
      </c>
      <c r="AC94" s="0" t="n">
        <v>0.0040325818635725</v>
      </c>
      <c r="AD94" s="0" t="n">
        <v>0.0091350827969292</v>
      </c>
      <c r="AE94" s="0" t="n">
        <v>0.0097752499730498</v>
      </c>
      <c r="AF94" s="0" t="n">
        <v>0.0017620660951011</v>
      </c>
      <c r="AG94" s="0" t="n">
        <v>0.0068488375123488</v>
      </c>
      <c r="AH94" s="0" t="n">
        <v>0.0083104769448974</v>
      </c>
      <c r="AI94" s="0" t="n">
        <v>-0.0110366197996637</v>
      </c>
      <c r="AJ94" s="0" t="n">
        <v>0.0045914401398756</v>
      </c>
      <c r="AK94" s="0" t="n">
        <v>0.0090707836196399</v>
      </c>
      <c r="AL94" s="0" t="n">
        <v>0.0248563215155037</v>
      </c>
      <c r="AM94" s="0" t="n">
        <v>0.0156903452983552</v>
      </c>
      <c r="AN94" s="0" t="n">
        <v>0.0308920616486848</v>
      </c>
      <c r="AO94" s="0" t="n">
        <v>0.0144928606736896</v>
      </c>
      <c r="AP94" s="0" t="n">
        <v>0.0227674055026447</v>
      </c>
      <c r="AQ94" s="0" t="n">
        <v>-0.0179234584232777</v>
      </c>
      <c r="AR94" s="0" t="n">
        <v>0.019526168868581</v>
      </c>
      <c r="AS94" s="0" t="n">
        <v>0.0125083471577224</v>
      </c>
      <c r="AT94" s="0" t="n">
        <v>0.0297408592677372</v>
      </c>
      <c r="AU94" s="0" t="n">
        <v>0.0091131912377186</v>
      </c>
      <c r="AV94" s="0" t="n">
        <v>0.0061371134853821</v>
      </c>
      <c r="AW94" s="0" t="n">
        <v>0.0132050382372158</v>
      </c>
      <c r="AX94" s="0" t="n">
        <v>0.019597516421025</v>
      </c>
      <c r="AY94" s="0" t="n">
        <v>0.0211373702171868</v>
      </c>
      <c r="AZ94" s="0" t="n">
        <v>0.0138428589869461</v>
      </c>
      <c r="BA94" s="0" t="n">
        <v>0.0380599884571235</v>
      </c>
      <c r="BB94" s="0" t="n">
        <v>0.0239731728412714</v>
      </c>
      <c r="BC94" s="0" t="n">
        <v>0.007420136296445</v>
      </c>
      <c r="BD94" s="0" t="n">
        <v>0.004189872257855</v>
      </c>
      <c r="BE94" s="0" t="n">
        <v>0.0361436517434427</v>
      </c>
      <c r="BF94" s="0" t="n">
        <v>0.0039494682002961</v>
      </c>
      <c r="BG94" s="0" t="n">
        <v>0.0239997202500297</v>
      </c>
      <c r="BH94" s="0" t="n">
        <v>0.0122378548027117</v>
      </c>
      <c r="BI94" s="0" t="n">
        <v>0.0023002325908467</v>
      </c>
      <c r="BJ94" s="0" t="n">
        <v>-0.014489009582939</v>
      </c>
      <c r="BK94" s="0" t="n">
        <v>0.0067022408563933</v>
      </c>
      <c r="BL94" s="0" t="n">
        <v>0.0345630205812913</v>
      </c>
      <c r="BM94" s="0" t="n">
        <v>0.033628294249171</v>
      </c>
      <c r="BN94" s="0" t="n">
        <v>0.0139549160228031</v>
      </c>
      <c r="BO94" s="0" t="n">
        <v>0.0295176760411077</v>
      </c>
      <c r="BP94" s="0" t="n">
        <v>0.0051405928512245</v>
      </c>
      <c r="BQ94" s="0" t="n">
        <v>0.0352393309786323</v>
      </c>
      <c r="BR94" s="0" t="n">
        <v>0.0298708536485554</v>
      </c>
      <c r="BS94" s="0" t="n">
        <v>-0.0053072200683069</v>
      </c>
      <c r="BT94" s="0" t="n">
        <v>0.0376891215543556</v>
      </c>
      <c r="BU94" s="0" t="n">
        <v>0.0164439351740971</v>
      </c>
      <c r="BV94" s="0" t="n">
        <v>0.0288166335193998</v>
      </c>
      <c r="BW94" s="0" t="n">
        <v>0.0236343171375464</v>
      </c>
      <c r="BX94" s="0" t="n">
        <v>0.0207771667417447</v>
      </c>
      <c r="BY94" s="0" t="n">
        <v>0.0827103858420564</v>
      </c>
      <c r="BZ94" s="0" t="n">
        <v>0.0357997541182221</v>
      </c>
      <c r="CA94" s="0" t="n">
        <v>0.0119800166653759</v>
      </c>
      <c r="CB94" s="0" t="n">
        <v>-0.0096589061169996</v>
      </c>
      <c r="CC94" s="0" t="n">
        <v>0.0081914090940163</v>
      </c>
      <c r="CD94" s="0" t="n">
        <v>0.0184646901395986</v>
      </c>
      <c r="CE94" s="0" t="n">
        <v>0.0259662698770231</v>
      </c>
      <c r="CF94" s="0" t="n">
        <v>-0.0138722383677008</v>
      </c>
      <c r="CG94" s="0" t="n">
        <v>0.034591159469343</v>
      </c>
      <c r="CH94" s="0" t="n">
        <v>0.0337232094092845</v>
      </c>
      <c r="CI94" s="0" t="n">
        <v>-0.0130837691521689</v>
      </c>
      <c r="CJ94" s="0" t="n">
        <v>0.0065229757352558</v>
      </c>
      <c r="CK94" s="0" t="n">
        <v>0.0375938109604239</v>
      </c>
      <c r="CL94" s="0" t="n">
        <v>0.147515108719422</v>
      </c>
      <c r="CM94" s="0" t="n">
        <v>0.0290395601973323</v>
      </c>
      <c r="CN94" s="0" t="n">
        <v>0.00602439084043</v>
      </c>
      <c r="CO94" s="0" t="n">
        <v>0.0098727089095401</v>
      </c>
      <c r="CP94" s="0" t="n">
        <v>0.0051016165908921</v>
      </c>
      <c r="CQ94" s="0" t="n">
        <v>0.0640999616475465</v>
      </c>
      <c r="CR94" s="0" t="n">
        <v>0.0390206673049942</v>
      </c>
      <c r="CS94" s="0" t="n">
        <v>0.0415772884126874</v>
      </c>
      <c r="CT94" s="0" t="n">
        <v>0.0258259582835454</v>
      </c>
      <c r="CU94" s="0" t="n">
        <v>0.0309088555611704</v>
      </c>
      <c r="CV94" s="0" t="n">
        <v>0.035054340314584</v>
      </c>
      <c r="CW94" s="0" t="n">
        <v>0.0377647295144394</v>
      </c>
      <c r="CX94" s="0" t="n">
        <v>0.0430394649986835</v>
      </c>
      <c r="CY94" s="0" t="n">
        <v>0.0578025540212862</v>
      </c>
      <c r="CZ94" s="0" t="n">
        <v>0.0221377461740708</v>
      </c>
      <c r="DA94" s="0" t="n">
        <v>0.0295312002676175</v>
      </c>
      <c r="DB94" s="0" t="n">
        <v>0.0471738513091377</v>
      </c>
      <c r="DC94" s="0" t="n">
        <v>0.0343107508605076</v>
      </c>
      <c r="DD94" s="0" t="n">
        <v>0.0372880566576464</v>
      </c>
      <c r="DE94" s="0" t="n">
        <v>0.04549822868642</v>
      </c>
      <c r="DF94" s="0" t="n">
        <v>0.0163740899405925</v>
      </c>
      <c r="DG94" s="0" t="n">
        <v>0.0367667289380891</v>
      </c>
      <c r="DH94" s="0" t="n">
        <v>0.0303875748041476</v>
      </c>
      <c r="DI94" s="0" t="n">
        <v>0.0760207456204916</v>
      </c>
      <c r="DJ94" s="0" t="n">
        <v>0.0648903370237464</v>
      </c>
      <c r="DK94" s="0" t="n">
        <v>0.0781737656415372</v>
      </c>
      <c r="DL94" s="0" t="n">
        <v>0.026520640139568</v>
      </c>
      <c r="DM94" s="0" t="n">
        <v>0.0782065985130974</v>
      </c>
      <c r="DN94" s="0" t="n">
        <v>0.0384410016624246</v>
      </c>
      <c r="DO94" s="0" t="n">
        <v>0.0589856549922216</v>
      </c>
      <c r="DP94" s="0" t="n">
        <v>0.0819252609150401</v>
      </c>
      <c r="DQ94" s="0" t="n">
        <v>0.0585687072547421</v>
      </c>
      <c r="DR94" s="0" t="n">
        <v>0.0445188998008018</v>
      </c>
      <c r="DS94" s="0" t="n">
        <v>-0.0017414097398134</v>
      </c>
      <c r="DT94" s="0" t="n">
        <v>0.0314889368408381</v>
      </c>
      <c r="DU94" s="0" t="n">
        <v>0.0546782083855956</v>
      </c>
      <c r="DV94" s="0" t="n">
        <v>0.0171190671028023</v>
      </c>
      <c r="DW94" s="0" t="n">
        <v>0.034947445151722</v>
      </c>
      <c r="DX94" s="0" t="n">
        <v>0.0360050486467913</v>
      </c>
      <c r="DY94" s="0" t="n">
        <v>0.0553385982664997</v>
      </c>
      <c r="DZ94" s="0" t="n">
        <v>0.0048471551495634</v>
      </c>
      <c r="EA94" s="0" t="n">
        <v>0.0553144394310273</v>
      </c>
      <c r="EB94" s="0" t="n">
        <v>0.0703007122186673</v>
      </c>
      <c r="EC94" s="0" t="n">
        <v>0.0115804843157455</v>
      </c>
      <c r="ED94" s="0" t="n">
        <v>0.07708029972848</v>
      </c>
      <c r="EE94" s="0" t="n">
        <v>0.0648004426635385</v>
      </c>
      <c r="EF94" s="0" t="n">
        <v>0.0507793913170586</v>
      </c>
      <c r="EG94" s="0" t="n">
        <v>0.0370886180617812</v>
      </c>
      <c r="EH94" s="0" t="n">
        <v>0.0399396504894176</v>
      </c>
      <c r="EI94" s="0" t="n">
        <v>0.0735089176347433</v>
      </c>
      <c r="EJ94" s="0" t="n">
        <v>0.102266681219848</v>
      </c>
      <c r="EK94" s="0" t="n">
        <v>0.070063003951368</v>
      </c>
      <c r="EL94" s="0" t="n">
        <v>0.0677046832541679</v>
      </c>
      <c r="EM94" s="0" t="n">
        <v>0.0968069621846267</v>
      </c>
      <c r="EN94" s="0" t="n">
        <v>0.121210510643442</v>
      </c>
      <c r="EO94" s="0" t="n">
        <v>0.120687474243986</v>
      </c>
      <c r="EP94" s="72" t="n">
        <f aca="false">SUMPRODUCT(B94:EO94,$B$5:$EO$5)</f>
        <v>0.0527564880730948</v>
      </c>
      <c r="EQ94" s="72" t="n">
        <f aca="false">SUMIF('Mi portafolio'!$A$8:$A$19,$A94,'Mi portafolio'!$B$8:$B$19)</f>
        <v>0</v>
      </c>
    </row>
    <row r="95" customFormat="false" ht="15" hidden="false" customHeight="false" outlineLevel="0" collapsed="false">
      <c r="A95" s="71" t="s">
        <v>165</v>
      </c>
      <c r="B95" s="0" t="n">
        <v>-0.0085064575104736</v>
      </c>
      <c r="C95" s="0" t="n">
        <v>-0.0042161291116828</v>
      </c>
      <c r="D95" s="0" t="n">
        <v>0.003990272462616</v>
      </c>
      <c r="E95" s="0" t="n">
        <v>-0.0019709362644652</v>
      </c>
      <c r="F95" s="0" t="n">
        <v>-0.0141810220355129</v>
      </c>
      <c r="G95" s="0" t="n">
        <v>-0.0009067774165705</v>
      </c>
      <c r="H95" s="0" t="n">
        <v>0.0028513042736912</v>
      </c>
      <c r="I95" s="0" t="n">
        <v>-0.0120993554773072</v>
      </c>
      <c r="J95" s="0" t="n">
        <v>-0.0104127595252963</v>
      </c>
      <c r="K95" s="0" t="n">
        <v>-0.0111263810458328</v>
      </c>
      <c r="L95" s="0" t="n">
        <v>0.0037432545578774</v>
      </c>
      <c r="M95" s="0" t="n">
        <v>0.0178931140123072</v>
      </c>
      <c r="N95" s="0" t="n">
        <v>-0.0012086133707451</v>
      </c>
      <c r="O95" s="0" t="n">
        <v>-0.0031569199285814</v>
      </c>
      <c r="P95" s="0" t="n">
        <v>-0.0116965252385463</v>
      </c>
      <c r="Q95" s="0" t="n">
        <v>0.0053766968819508</v>
      </c>
      <c r="R95" s="0" t="n">
        <v>-0.0150704294087495</v>
      </c>
      <c r="S95" s="0" t="n">
        <v>-0.0004545265357148</v>
      </c>
      <c r="T95" s="0" t="n">
        <v>0.0139516048181655</v>
      </c>
      <c r="U95" s="0" t="n">
        <v>0.0115171575492173</v>
      </c>
      <c r="V95" s="0" t="n">
        <v>-0.00177473938496</v>
      </c>
      <c r="W95" s="0" t="n">
        <v>-0.010183436036789</v>
      </c>
      <c r="X95" s="0" t="n">
        <v>0.0167836938572208</v>
      </c>
      <c r="Y95" s="0" t="n">
        <v>-0.0036306992306148</v>
      </c>
      <c r="Z95" s="0" t="n">
        <v>0.0065226631215257</v>
      </c>
      <c r="AA95" s="0" t="n">
        <v>-0.006014007276384</v>
      </c>
      <c r="AB95" s="0" t="n">
        <v>-0.0038640415260964</v>
      </c>
      <c r="AC95" s="0" t="n">
        <v>-0.000959225057112</v>
      </c>
      <c r="AD95" s="0" t="n">
        <v>0.0005716132780039</v>
      </c>
      <c r="AE95" s="0" t="n">
        <v>0.0102925458894124</v>
      </c>
      <c r="AF95" s="0" t="n">
        <v>0.012740331450071</v>
      </c>
      <c r="AG95" s="0" t="n">
        <v>-0.0183925641764472</v>
      </c>
      <c r="AH95" s="0" t="n">
        <v>-0.0182625957631018</v>
      </c>
      <c r="AI95" s="0" t="n">
        <v>-0.0128635384517262</v>
      </c>
      <c r="AJ95" s="0" t="n">
        <v>0.0018391653785232</v>
      </c>
      <c r="AK95" s="0" t="n">
        <v>0.0125161160933579</v>
      </c>
      <c r="AL95" s="0" t="n">
        <v>0.0126527346471733</v>
      </c>
      <c r="AM95" s="0" t="n">
        <v>0.0081382115730363</v>
      </c>
      <c r="AN95" s="0" t="n">
        <v>0.0057191490892346</v>
      </c>
      <c r="AO95" s="0" t="n">
        <v>-0.0103840590642352</v>
      </c>
      <c r="AP95" s="0" t="n">
        <v>0.0136455652976879</v>
      </c>
      <c r="AQ95" s="0" t="n">
        <v>-0.0144326145469568</v>
      </c>
      <c r="AR95" s="0" t="n">
        <v>0.0142968427719554</v>
      </c>
      <c r="AS95" s="0" t="n">
        <v>0.0155789126682489</v>
      </c>
      <c r="AT95" s="0" t="n">
        <v>0.0185897146452989</v>
      </c>
      <c r="AU95" s="0" t="n">
        <v>-0.0080611142533494</v>
      </c>
      <c r="AV95" s="0" t="n">
        <v>0.0055476006345497</v>
      </c>
      <c r="AW95" s="0" t="n">
        <v>0.0141759794167281</v>
      </c>
      <c r="AX95" s="0" t="n">
        <v>-0.0080996037681802</v>
      </c>
      <c r="AY95" s="0" t="n">
        <v>0.0036594875621714</v>
      </c>
      <c r="AZ95" s="0" t="n">
        <v>0.0173318077031177</v>
      </c>
      <c r="BA95" s="0" t="n">
        <v>0.0132232963480101</v>
      </c>
      <c r="BB95" s="0" t="n">
        <v>0.0399527483874376</v>
      </c>
      <c r="BC95" s="0" t="n">
        <v>0.0108137632327794</v>
      </c>
      <c r="BD95" s="0" t="n">
        <v>0.0130317496903549</v>
      </c>
      <c r="BE95" s="0" t="n">
        <v>-0.0127632603804515</v>
      </c>
      <c r="BF95" s="0" t="n">
        <v>0.0043572403834742</v>
      </c>
      <c r="BG95" s="0" t="n">
        <v>0.0169856450324297</v>
      </c>
      <c r="BH95" s="0" t="n">
        <v>0.0152305809702168</v>
      </c>
      <c r="BI95" s="0" t="n">
        <v>-0.0062012027227945</v>
      </c>
      <c r="BJ95" s="0" t="n">
        <v>-0.0076291390626177</v>
      </c>
      <c r="BK95" s="0" t="n">
        <v>0.0118596744983696</v>
      </c>
      <c r="BL95" s="0" t="n">
        <v>0.0382330024548796</v>
      </c>
      <c r="BM95" s="0" t="n">
        <v>0.0037394112551416</v>
      </c>
      <c r="BN95" s="0" t="n">
        <v>0.0039418315942401</v>
      </c>
      <c r="BO95" s="0" t="n">
        <v>0.0339873995464904</v>
      </c>
      <c r="BP95" s="0" t="n">
        <v>0.0345729085936842</v>
      </c>
      <c r="BQ95" s="0" t="n">
        <v>0.0293380400786567</v>
      </c>
      <c r="BR95" s="0" t="n">
        <v>0.019158914766235</v>
      </c>
      <c r="BS95" s="0" t="n">
        <v>-0.0063794447727464</v>
      </c>
      <c r="BT95" s="0" t="n">
        <v>0.0387280117484332</v>
      </c>
      <c r="BU95" s="0" t="n">
        <v>0.0228688094621237</v>
      </c>
      <c r="BV95" s="0" t="n">
        <v>0.03571877549041</v>
      </c>
      <c r="BW95" s="0" t="n">
        <v>0.0146806642828277</v>
      </c>
      <c r="BX95" s="0" t="n">
        <v>-0.0057990423847996</v>
      </c>
      <c r="BY95" s="0" t="n">
        <v>0.0273312787372266</v>
      </c>
      <c r="BZ95" s="0" t="n">
        <v>0.0339740607389947</v>
      </c>
      <c r="CA95" s="0" t="n">
        <v>0.0088691038279142</v>
      </c>
      <c r="CB95" s="0" t="n">
        <v>-0.0152109248146999</v>
      </c>
      <c r="CC95" s="0" t="n">
        <v>0.0039546017357427</v>
      </c>
      <c r="CD95" s="0" t="n">
        <v>0.0257187058668455</v>
      </c>
      <c r="CE95" s="0" t="n">
        <v>0.040540401046884</v>
      </c>
      <c r="CF95" s="0" t="n">
        <v>-0.0162313610118355</v>
      </c>
      <c r="CG95" s="0" t="n">
        <v>0.0204527644582572</v>
      </c>
      <c r="CH95" s="0" t="n">
        <v>0.0378698710469332</v>
      </c>
      <c r="CI95" s="0" t="n">
        <v>-0.0127285191228687</v>
      </c>
      <c r="CJ95" s="0" t="n">
        <v>-0.0019514045802968</v>
      </c>
      <c r="CK95" s="0" t="n">
        <v>0.0045142106935951</v>
      </c>
      <c r="CL95" s="0" t="n">
        <v>0.0290395601973323</v>
      </c>
      <c r="CM95" s="0" t="n">
        <v>0.141038901096253</v>
      </c>
      <c r="CN95" s="0" t="n">
        <v>0.0093895243893642</v>
      </c>
      <c r="CO95" s="0" t="n">
        <v>0.0106160532474031</v>
      </c>
      <c r="CP95" s="0" t="n">
        <v>0.0190625514507695</v>
      </c>
      <c r="CQ95" s="0" t="n">
        <v>0.0427991018691423</v>
      </c>
      <c r="CR95" s="0" t="n">
        <v>0.0974238763761375</v>
      </c>
      <c r="CS95" s="0" t="n">
        <v>0.0635063318459952</v>
      </c>
      <c r="CT95" s="0" t="n">
        <v>0.0302880201285127</v>
      </c>
      <c r="CU95" s="0" t="n">
        <v>0.050253931692929</v>
      </c>
      <c r="CV95" s="0" t="n">
        <v>0.0461288921744537</v>
      </c>
      <c r="CW95" s="0" t="n">
        <v>0.0320686301253102</v>
      </c>
      <c r="CX95" s="0" t="n">
        <v>0.0483768975860285</v>
      </c>
      <c r="CY95" s="0" t="n">
        <v>0.033603517195621</v>
      </c>
      <c r="CZ95" s="0" t="n">
        <v>0.0308251156295258</v>
      </c>
      <c r="DA95" s="0" t="n">
        <v>0.0376729248239452</v>
      </c>
      <c r="DB95" s="0" t="n">
        <v>0.0766228680301587</v>
      </c>
      <c r="DC95" s="0" t="n">
        <v>0.0146103281658549</v>
      </c>
      <c r="DD95" s="0" t="n">
        <v>0.0446176020122092</v>
      </c>
      <c r="DE95" s="0" t="n">
        <v>0.0722383947822775</v>
      </c>
      <c r="DF95" s="0" t="n">
        <v>0.0215980570207451</v>
      </c>
      <c r="DG95" s="0" t="n">
        <v>0.0591261337282749</v>
      </c>
      <c r="DH95" s="0" t="n">
        <v>0.0960151333470827</v>
      </c>
      <c r="DI95" s="0" t="n">
        <v>0.0409406504772966</v>
      </c>
      <c r="DJ95" s="0" t="n">
        <v>0.0383872790424994</v>
      </c>
      <c r="DK95" s="0" t="n">
        <v>0.0576188380123827</v>
      </c>
      <c r="DL95" s="0" t="n">
        <v>0.0330970573742873</v>
      </c>
      <c r="DM95" s="0" t="n">
        <v>0.0490115519475145</v>
      </c>
      <c r="DN95" s="0" t="n">
        <v>0.0329318753713967</v>
      </c>
      <c r="DO95" s="0" t="n">
        <v>0.0451199867066597</v>
      </c>
      <c r="DP95" s="0" t="n">
        <v>0.0458909482358311</v>
      </c>
      <c r="DQ95" s="0" t="n">
        <v>0.0483648908944764</v>
      </c>
      <c r="DR95" s="0" t="n">
        <v>0.0614047092343614</v>
      </c>
      <c r="DS95" s="0" t="n">
        <v>0.0213568989247237</v>
      </c>
      <c r="DT95" s="0" t="n">
        <v>0.0927273376542783</v>
      </c>
      <c r="DU95" s="0" t="n">
        <v>0.0998735811034974</v>
      </c>
      <c r="DV95" s="0" t="n">
        <v>0.0725221296204924</v>
      </c>
      <c r="DW95" s="0" t="n">
        <v>0.0647412228107475</v>
      </c>
      <c r="DX95" s="0" t="n">
        <v>0.106469605921757</v>
      </c>
      <c r="DY95" s="0" t="n">
        <v>0.0618245610436627</v>
      </c>
      <c r="DZ95" s="0" t="n">
        <v>0.0502085618476513</v>
      </c>
      <c r="EA95" s="0" t="n">
        <v>0.0357190424775852</v>
      </c>
      <c r="EB95" s="0" t="n">
        <v>0.0840092895837226</v>
      </c>
      <c r="EC95" s="0" t="n">
        <v>0.0284043219959302</v>
      </c>
      <c r="ED95" s="0" t="n">
        <v>0.0449313455674714</v>
      </c>
      <c r="EE95" s="0" t="n">
        <v>0.134417262140346</v>
      </c>
      <c r="EF95" s="0" t="n">
        <v>0.071467739484189</v>
      </c>
      <c r="EG95" s="0" t="n">
        <v>0.115641560448228</v>
      </c>
      <c r="EH95" s="0" t="n">
        <v>0.0365688346286629</v>
      </c>
      <c r="EI95" s="0" t="n">
        <v>0.134305198831201</v>
      </c>
      <c r="EJ95" s="0" t="n">
        <v>0.0486325145887647</v>
      </c>
      <c r="EK95" s="0" t="n">
        <v>0.126069046528698</v>
      </c>
      <c r="EL95" s="0" t="n">
        <v>0.141979010303536</v>
      </c>
      <c r="EM95" s="0" t="n">
        <v>0.0887157116710486</v>
      </c>
      <c r="EN95" s="0" t="n">
        <v>0.0138411966468974</v>
      </c>
      <c r="EO95" s="0" t="n">
        <v>0.0634136843199217</v>
      </c>
      <c r="EP95" s="72" t="n">
        <f aca="false">SUMPRODUCT(B95:EO95,$B$5:$EO$5)</f>
        <v>0.115567478972868</v>
      </c>
      <c r="EQ95" s="72" t="n">
        <f aca="false">SUMIF('Mi portafolio'!$A$8:$A$19,$A95,'Mi portafolio'!$B$8:$B$19)</f>
        <v>0</v>
      </c>
    </row>
    <row r="96" customFormat="false" ht="15" hidden="false" customHeight="false" outlineLevel="0" collapsed="false">
      <c r="A96" s="71" t="s">
        <v>318</v>
      </c>
      <c r="B96" s="0" t="n">
        <v>-0.0016354138538788</v>
      </c>
      <c r="C96" s="0" t="n">
        <v>0.0094137363304984</v>
      </c>
      <c r="D96" s="0" t="n">
        <v>0.0123597858310518</v>
      </c>
      <c r="E96" s="0" t="n">
        <v>0.0097784337122195</v>
      </c>
      <c r="F96" s="0" t="n">
        <v>-0.0057434262913637</v>
      </c>
      <c r="G96" s="0" t="n">
        <v>0.0072016960496537</v>
      </c>
      <c r="H96" s="0" t="n">
        <v>0.0152205474604576</v>
      </c>
      <c r="I96" s="0" t="n">
        <v>-0.0033393133317394</v>
      </c>
      <c r="J96" s="0" t="n">
        <v>0.0026213794177813</v>
      </c>
      <c r="K96" s="0" t="n">
        <v>-0.0016492400996499</v>
      </c>
      <c r="L96" s="0" t="n">
        <v>0.0101933476301805</v>
      </c>
      <c r="M96" s="0" t="n">
        <v>0.0025575003434116</v>
      </c>
      <c r="N96" s="0" t="n">
        <v>0.0105351087801016</v>
      </c>
      <c r="O96" s="0" t="n">
        <v>0.0147503670784268</v>
      </c>
      <c r="P96" s="0" t="n">
        <v>0.0041039661310642</v>
      </c>
      <c r="Q96" s="0" t="n">
        <v>0.0060849919317741</v>
      </c>
      <c r="R96" s="0" t="n">
        <v>-0.0072686186517718</v>
      </c>
      <c r="S96" s="0" t="n">
        <v>0.0051299096204339</v>
      </c>
      <c r="T96" s="0" t="n">
        <v>0.0063412882088698</v>
      </c>
      <c r="U96" s="0" t="n">
        <v>0.0236850368962476</v>
      </c>
      <c r="V96" s="0" t="n">
        <v>0.0132366267979901</v>
      </c>
      <c r="W96" s="0" t="n">
        <v>0.0106433925361885</v>
      </c>
      <c r="X96" s="0" t="n">
        <v>0.0069597763459818</v>
      </c>
      <c r="Y96" s="0" t="n">
        <v>0.0014776872918491</v>
      </c>
      <c r="Z96" s="0" t="n">
        <v>0.0190763505040871</v>
      </c>
      <c r="AA96" s="0" t="n">
        <v>0.010872509375434</v>
      </c>
      <c r="AB96" s="0" t="n">
        <v>0.0022743802586826</v>
      </c>
      <c r="AC96" s="0" t="n">
        <v>0.0160230017172709</v>
      </c>
      <c r="AD96" s="0" t="n">
        <v>0.0138175206456336</v>
      </c>
      <c r="AE96" s="0" t="n">
        <v>0.0128435076868196</v>
      </c>
      <c r="AF96" s="0" t="n">
        <v>0.0270674684686863</v>
      </c>
      <c r="AG96" s="0" t="n">
        <v>-0.0009522455074053</v>
      </c>
      <c r="AH96" s="0" t="n">
        <v>0.0021707580810345</v>
      </c>
      <c r="AI96" s="0" t="n">
        <v>0.0004769903444596</v>
      </c>
      <c r="AJ96" s="0" t="n">
        <v>0.0198345776486919</v>
      </c>
      <c r="AK96" s="0" t="n">
        <v>0.0241214060032969</v>
      </c>
      <c r="AL96" s="0" t="n">
        <v>-0.001070937222797</v>
      </c>
      <c r="AM96" s="0" t="n">
        <v>0.0093041202828905</v>
      </c>
      <c r="AN96" s="0" t="n">
        <v>0.0033719684225528</v>
      </c>
      <c r="AO96" s="0" t="n">
        <v>-0.0006816796650798</v>
      </c>
      <c r="AP96" s="0" t="n">
        <v>0.0044459450478793</v>
      </c>
      <c r="AQ96" s="0" t="n">
        <v>0.0056650867917515</v>
      </c>
      <c r="AR96" s="0" t="n">
        <v>0.0027023575234828</v>
      </c>
      <c r="AS96" s="0" t="n">
        <v>0.0201761066049623</v>
      </c>
      <c r="AT96" s="0" t="n">
        <v>0.0067028453032409</v>
      </c>
      <c r="AU96" s="0" t="n">
        <v>0.0011966509679368</v>
      </c>
      <c r="AV96" s="0" t="n">
        <v>0.0175625689955762</v>
      </c>
      <c r="AW96" s="0" t="n">
        <v>0.0265606694070825</v>
      </c>
      <c r="AX96" s="0" t="n">
        <v>0.0035617262203915</v>
      </c>
      <c r="AY96" s="0" t="n">
        <v>0.0063717037954622</v>
      </c>
      <c r="AZ96" s="0" t="n">
        <v>0.0154486213451386</v>
      </c>
      <c r="BA96" s="0" t="n">
        <v>0.0031374775106846</v>
      </c>
      <c r="BB96" s="0" t="n">
        <v>0.007829945311331</v>
      </c>
      <c r="BC96" s="0" t="n">
        <v>0.0020722723383922</v>
      </c>
      <c r="BD96" s="0" t="n">
        <v>0.024809444427883</v>
      </c>
      <c r="BE96" s="0" t="n">
        <v>0.0050558979085156</v>
      </c>
      <c r="BF96" s="0" t="n">
        <v>0.0267787864256368</v>
      </c>
      <c r="BG96" s="0" t="n">
        <v>0.0016833236737584</v>
      </c>
      <c r="BH96" s="0" t="n">
        <v>0.0171582168842976</v>
      </c>
      <c r="BI96" s="0" t="n">
        <v>-0.0022717386837893</v>
      </c>
      <c r="BJ96" s="0" t="n">
        <v>-0.0002322294190137</v>
      </c>
      <c r="BK96" s="0" t="n">
        <v>0.0193383643448055</v>
      </c>
      <c r="BL96" s="0" t="n">
        <v>0.0075039465848427</v>
      </c>
      <c r="BM96" s="0" t="n">
        <v>-0.0050375791666304</v>
      </c>
      <c r="BN96" s="0" t="n">
        <v>0.0012921200195455</v>
      </c>
      <c r="BO96" s="0" t="n">
        <v>-0.0016049652122388</v>
      </c>
      <c r="BP96" s="0" t="n">
        <v>0.0034160770886082</v>
      </c>
      <c r="BQ96" s="0" t="n">
        <v>0.0250966207849013</v>
      </c>
      <c r="BR96" s="0" t="n">
        <v>-0.0040179834052118</v>
      </c>
      <c r="BS96" s="0" t="n">
        <v>-0.0004191762003629</v>
      </c>
      <c r="BT96" s="0" t="n">
        <v>0.0086729711326708</v>
      </c>
      <c r="BU96" s="0" t="n">
        <v>0.022379123043315</v>
      </c>
      <c r="BV96" s="0" t="n">
        <v>0.0007054087487507</v>
      </c>
      <c r="BW96" s="0" t="n">
        <v>-0.0077904460054437</v>
      </c>
      <c r="BX96" s="0" t="n">
        <v>0.0085026647541177</v>
      </c>
      <c r="BY96" s="0" t="n">
        <v>0.0002808969409041</v>
      </c>
      <c r="BZ96" s="0" t="n">
        <v>0.0100967707567206</v>
      </c>
      <c r="CA96" s="0" t="n">
        <v>0.0215023765708771</v>
      </c>
      <c r="CB96" s="0" t="n">
        <v>0.0138742000678265</v>
      </c>
      <c r="CC96" s="0" t="n">
        <v>0.0030409068007993</v>
      </c>
      <c r="CD96" s="0" t="n">
        <v>0.0026112964699464</v>
      </c>
      <c r="CE96" s="0" t="n">
        <v>0.0063135080111412</v>
      </c>
      <c r="CF96" s="0" t="n">
        <v>0.0011157215353477</v>
      </c>
      <c r="CG96" s="0" t="n">
        <v>-0.0018783163384242</v>
      </c>
      <c r="CH96" s="0" t="n">
        <v>0.0358270544605114</v>
      </c>
      <c r="CI96" s="0" t="n">
        <v>0.0032041084509332</v>
      </c>
      <c r="CJ96" s="0" t="n">
        <v>-0.0027797844844315</v>
      </c>
      <c r="CK96" s="0" t="n">
        <v>0.0059693872908345</v>
      </c>
      <c r="CL96" s="0" t="n">
        <v>0.00602439084043</v>
      </c>
      <c r="CM96" s="0" t="n">
        <v>0.0093895243893642</v>
      </c>
      <c r="CN96" s="0" t="n">
        <v>0.10474318334936</v>
      </c>
      <c r="CO96" s="0" t="n">
        <v>0.0145956835079962</v>
      </c>
      <c r="CP96" s="0" t="n">
        <v>-0.0037691664617648</v>
      </c>
      <c r="CQ96" s="0" t="n">
        <v>0.0098647686876175</v>
      </c>
      <c r="CR96" s="0" t="n">
        <v>0.0094871269118503</v>
      </c>
      <c r="CS96" s="0" t="n">
        <v>0.0250238497983253</v>
      </c>
      <c r="CT96" s="0" t="n">
        <v>0.0084497825760665</v>
      </c>
      <c r="CU96" s="0" t="n">
        <v>0.0146598906796023</v>
      </c>
      <c r="CV96" s="0" t="n">
        <v>0.0047417257273843</v>
      </c>
      <c r="CW96" s="0" t="n">
        <v>0.0090591970377028</v>
      </c>
      <c r="CX96" s="0" t="n">
        <v>0.0137488186703901</v>
      </c>
      <c r="CY96" s="0" t="n">
        <v>0.0109933706229857</v>
      </c>
      <c r="CZ96" s="0" t="n">
        <v>0.0215378725775429</v>
      </c>
      <c r="DA96" s="0" t="n">
        <v>-0.0008375157347536</v>
      </c>
      <c r="DB96" s="0" t="n">
        <v>0.0190413767173977</v>
      </c>
      <c r="DC96" s="0" t="n">
        <v>0.0333240217825321</v>
      </c>
      <c r="DD96" s="0" t="n">
        <v>0.0116412651762041</v>
      </c>
      <c r="DE96" s="0" t="n">
        <v>0.0268702697827247</v>
      </c>
      <c r="DF96" s="0" t="n">
        <v>0.0038980265935302</v>
      </c>
      <c r="DG96" s="0" t="n">
        <v>0.020031087887769</v>
      </c>
      <c r="DH96" s="0" t="n">
        <v>0.017849235955954</v>
      </c>
      <c r="DI96" s="0" t="n">
        <v>0.0039071942842093</v>
      </c>
      <c r="DJ96" s="0" t="n">
        <v>0.0210365341910111</v>
      </c>
      <c r="DK96" s="0" t="n">
        <v>0.0101587584805514</v>
      </c>
      <c r="DL96" s="0" t="n">
        <v>0.0362211259308586</v>
      </c>
      <c r="DM96" s="0" t="n">
        <v>0.0219520953042435</v>
      </c>
      <c r="DN96" s="0" t="n">
        <v>-0.0009030017457935</v>
      </c>
      <c r="DO96" s="0" t="n">
        <v>0.0035966863337353</v>
      </c>
      <c r="DP96" s="0" t="n">
        <v>0.0172935451691147</v>
      </c>
      <c r="DQ96" s="0" t="n">
        <v>0.0003878894236008</v>
      </c>
      <c r="DR96" s="0" t="n">
        <v>0.0178685602296413</v>
      </c>
      <c r="DS96" s="0" t="n">
        <v>0.0036878014353011</v>
      </c>
      <c r="DT96" s="0" t="n">
        <v>0.0202526414248524</v>
      </c>
      <c r="DU96" s="0" t="n">
        <v>0.0169444187122444</v>
      </c>
      <c r="DV96" s="0" t="n">
        <v>0.0058649678283575</v>
      </c>
      <c r="DW96" s="0" t="n">
        <v>-0.0068054651426902</v>
      </c>
      <c r="DX96" s="0" t="n">
        <v>0.0237702977731246</v>
      </c>
      <c r="DY96" s="0" t="n">
        <v>0.0054282666819424</v>
      </c>
      <c r="DZ96" s="0" t="n">
        <v>-0.0061234387932175</v>
      </c>
      <c r="EA96" s="0" t="n">
        <v>0.0085544553849829</v>
      </c>
      <c r="EB96" s="0" t="n">
        <v>0.012720592203551</v>
      </c>
      <c r="EC96" s="0" t="n">
        <v>-0.0030678052511476</v>
      </c>
      <c r="ED96" s="0" t="n">
        <v>0.0192276553660866</v>
      </c>
      <c r="EE96" s="0" t="n">
        <v>0.0230444787255185</v>
      </c>
      <c r="EF96" s="0" t="n">
        <v>0.015434292862942</v>
      </c>
      <c r="EG96" s="0" t="n">
        <v>0.0224403412779586</v>
      </c>
      <c r="EH96" s="0" t="n">
        <v>-0.0217671366428348</v>
      </c>
      <c r="EI96" s="0" t="n">
        <v>0.0140485151635111</v>
      </c>
      <c r="EJ96" s="0" t="n">
        <v>0.0338465813948222</v>
      </c>
      <c r="EK96" s="0" t="n">
        <v>0.0334470690323825</v>
      </c>
      <c r="EL96" s="0" t="n">
        <v>0.0479226043807426</v>
      </c>
      <c r="EM96" s="0" t="n">
        <v>0.0341252659640132</v>
      </c>
      <c r="EN96" s="0" t="n">
        <v>-0.0059246056100049</v>
      </c>
      <c r="EO96" s="0" t="n">
        <v>0.0254830698668748</v>
      </c>
      <c r="EP96" s="72" t="n">
        <f aca="false">SUMPRODUCT(B96:EO96,$B$5:$EO$5)</f>
        <v>0.0180395873483648</v>
      </c>
      <c r="EQ96" s="72" t="n">
        <f aca="false">SUMIF('Mi portafolio'!$A$8:$A$19,$A96,'Mi portafolio'!$B$8:$B$19)</f>
        <v>0</v>
      </c>
    </row>
    <row r="97" customFormat="false" ht="15" hidden="false" customHeight="false" outlineLevel="0" collapsed="false">
      <c r="A97" s="71" t="s">
        <v>319</v>
      </c>
      <c r="B97" s="0" t="n">
        <v>0.0011984239163337</v>
      </c>
      <c r="C97" s="0" t="n">
        <v>0.004401071879467</v>
      </c>
      <c r="D97" s="0" t="n">
        <v>-3.18333508747119E-006</v>
      </c>
      <c r="E97" s="0" t="n">
        <v>0.0104502062982533</v>
      </c>
      <c r="F97" s="0" t="n">
        <v>-0.0006661708488929</v>
      </c>
      <c r="G97" s="0" t="n">
        <v>-0.0037847989807031</v>
      </c>
      <c r="H97" s="0" t="n">
        <v>0.0106762897826399</v>
      </c>
      <c r="I97" s="0" t="n">
        <v>0.0091186602019653</v>
      </c>
      <c r="J97" s="0" t="n">
        <v>-0.0044765449157674</v>
      </c>
      <c r="K97" s="0" t="n">
        <v>0.0051627818537684</v>
      </c>
      <c r="L97" s="0" t="n">
        <v>0.0068010903081788</v>
      </c>
      <c r="M97" s="0" t="n">
        <v>0.0082550552895386</v>
      </c>
      <c r="N97" s="0" t="n">
        <v>0.0052932246526806</v>
      </c>
      <c r="O97" s="0" t="n">
        <v>0.0036997730128496</v>
      </c>
      <c r="P97" s="0" t="n">
        <v>0.002705389017577</v>
      </c>
      <c r="Q97" s="0" t="n">
        <v>-0.0039037780896426</v>
      </c>
      <c r="R97" s="0" t="n">
        <v>0.0042944184379489</v>
      </c>
      <c r="S97" s="0" t="n">
        <v>0.0123880430929071</v>
      </c>
      <c r="T97" s="0" t="n">
        <v>0.0073710274291926</v>
      </c>
      <c r="U97" s="0" t="n">
        <v>0.0180466215893315</v>
      </c>
      <c r="V97" s="0" t="n">
        <v>0.0155815722887126</v>
      </c>
      <c r="W97" s="0" t="n">
        <v>0.0117549554017045</v>
      </c>
      <c r="X97" s="0" t="n">
        <v>0.0086246500298815</v>
      </c>
      <c r="Y97" s="0" t="n">
        <v>0.0047883760432215</v>
      </c>
      <c r="Z97" s="0" t="n">
        <v>0.0101094918955445</v>
      </c>
      <c r="AA97" s="0" t="n">
        <v>0.0024076584956723</v>
      </c>
      <c r="AB97" s="0" t="n">
        <v>0.0069239107411602</v>
      </c>
      <c r="AC97" s="0" t="n">
        <v>-0.0047907294119482</v>
      </c>
      <c r="AD97" s="0" t="n">
        <v>0.011988587158204</v>
      </c>
      <c r="AE97" s="0" t="n">
        <v>0.01144101133601</v>
      </c>
      <c r="AF97" s="0" t="n">
        <v>0.0210911005452853</v>
      </c>
      <c r="AG97" s="0" t="n">
        <v>0.0008130307774309</v>
      </c>
      <c r="AH97" s="0" t="n">
        <v>6.25290649717579E-005</v>
      </c>
      <c r="AI97" s="0" t="n">
        <v>-0.0093398101477584</v>
      </c>
      <c r="AJ97" s="0" t="n">
        <v>0.004870910685973</v>
      </c>
      <c r="AK97" s="0" t="n">
        <v>0.0146846956267963</v>
      </c>
      <c r="AL97" s="0" t="n">
        <v>0.005668566373259</v>
      </c>
      <c r="AM97" s="0" t="n">
        <v>0.0057894742662051</v>
      </c>
      <c r="AN97" s="0" t="n">
        <v>0.0133994329272452</v>
      </c>
      <c r="AO97" s="0" t="n">
        <v>-0.0090625158272077</v>
      </c>
      <c r="AP97" s="0" t="n">
        <v>0.0176349812427674</v>
      </c>
      <c r="AQ97" s="0" t="n">
        <v>-0.0073694168263207</v>
      </c>
      <c r="AR97" s="0" t="n">
        <v>0.0028420346941539</v>
      </c>
      <c r="AS97" s="0" t="n">
        <v>0.0219707687835959</v>
      </c>
      <c r="AT97" s="0" t="n">
        <v>0.0245528255122584</v>
      </c>
      <c r="AU97" s="0" t="n">
        <v>-0.0048837541432562</v>
      </c>
      <c r="AV97" s="0" t="n">
        <v>0.016981473622097</v>
      </c>
      <c r="AW97" s="0" t="n">
        <v>0.0220983114392577</v>
      </c>
      <c r="AX97" s="0" t="n">
        <v>-0.003775963696659</v>
      </c>
      <c r="AY97" s="0" t="n">
        <v>0.0151767488849613</v>
      </c>
      <c r="AZ97" s="0" t="n">
        <v>0.019508917602289</v>
      </c>
      <c r="BA97" s="0" t="n">
        <v>0.0118750479320574</v>
      </c>
      <c r="BB97" s="0" t="n">
        <v>0.0164493425834857</v>
      </c>
      <c r="BC97" s="0" t="n">
        <v>0.0169092806282532</v>
      </c>
      <c r="BD97" s="0" t="n">
        <v>0.0231110773713349</v>
      </c>
      <c r="BE97" s="0" t="n">
        <v>0.0049329382199294</v>
      </c>
      <c r="BF97" s="0" t="n">
        <v>0.024208023511185</v>
      </c>
      <c r="BG97" s="0" t="n">
        <v>0.0113947094200947</v>
      </c>
      <c r="BH97" s="0" t="n">
        <v>0.0201446788534845</v>
      </c>
      <c r="BI97" s="0" t="n">
        <v>0.0142235965964136</v>
      </c>
      <c r="BJ97" s="0" t="n">
        <v>-0.0095645897612368</v>
      </c>
      <c r="BK97" s="0" t="n">
        <v>0.0219715759358054</v>
      </c>
      <c r="BL97" s="0" t="n">
        <v>0.013278379352106</v>
      </c>
      <c r="BM97" s="0" t="n">
        <v>0.0174509413187135</v>
      </c>
      <c r="BN97" s="0" t="n">
        <v>-0.0019514057398434</v>
      </c>
      <c r="BO97" s="0" t="n">
        <v>0.0202490016903992</v>
      </c>
      <c r="BP97" s="0" t="n">
        <v>0.0114968803450342</v>
      </c>
      <c r="BQ97" s="0" t="n">
        <v>0.0285089487000301</v>
      </c>
      <c r="BR97" s="0" t="n">
        <v>0.0183424605227712</v>
      </c>
      <c r="BS97" s="0" t="n">
        <v>-0.0145694228274044</v>
      </c>
      <c r="BT97" s="0" t="n">
        <v>0.008749077661976</v>
      </c>
      <c r="BU97" s="0" t="n">
        <v>-0.0019409513522835</v>
      </c>
      <c r="BV97" s="0" t="n">
        <v>0.0141152343019483</v>
      </c>
      <c r="BW97" s="0" t="n">
        <v>0.0202902436306075</v>
      </c>
      <c r="BX97" s="0" t="n">
        <v>0.0046358701970915</v>
      </c>
      <c r="BY97" s="0" t="n">
        <v>0.0116827795114395</v>
      </c>
      <c r="BZ97" s="0" t="n">
        <v>0.0075434217745541</v>
      </c>
      <c r="CA97" s="0" t="n">
        <v>0.0228018645580804</v>
      </c>
      <c r="CB97" s="0" t="n">
        <v>0.002366459399712</v>
      </c>
      <c r="CC97" s="0" t="n">
        <v>0.0162660343011313</v>
      </c>
      <c r="CD97" s="0" t="n">
        <v>0.0077846491841507</v>
      </c>
      <c r="CE97" s="0" t="n">
        <v>0.0096344882170196</v>
      </c>
      <c r="CF97" s="0" t="n">
        <v>-0.0073849805446016</v>
      </c>
      <c r="CG97" s="0" t="n">
        <v>0.0150209295252548</v>
      </c>
      <c r="CH97" s="0" t="n">
        <v>0.0290901722038613</v>
      </c>
      <c r="CI97" s="0" t="n">
        <v>-0.0115713155313646</v>
      </c>
      <c r="CJ97" s="0" t="n">
        <v>-0.012652328419709</v>
      </c>
      <c r="CK97" s="0" t="n">
        <v>0.0300531666919965</v>
      </c>
      <c r="CL97" s="0" t="n">
        <v>0.0098727089095401</v>
      </c>
      <c r="CM97" s="0" t="n">
        <v>0.0106160532474031</v>
      </c>
      <c r="CN97" s="0" t="n">
        <v>0.0145956835079962</v>
      </c>
      <c r="CO97" s="0" t="n">
        <v>0.155878079628865</v>
      </c>
      <c r="CP97" s="0" t="n">
        <v>0.0109864813049124</v>
      </c>
      <c r="CQ97" s="0" t="n">
        <v>0.0231155486934453</v>
      </c>
      <c r="CR97" s="0" t="n">
        <v>0.0229738265495607</v>
      </c>
      <c r="CS97" s="0" t="n">
        <v>0.0214086563665764</v>
      </c>
      <c r="CT97" s="0" t="n">
        <v>0.0268183534819996</v>
      </c>
      <c r="CU97" s="0" t="n">
        <v>0.0223160060230276</v>
      </c>
      <c r="CV97" s="0" t="n">
        <v>0.0187012396721325</v>
      </c>
      <c r="CW97" s="0" t="n">
        <v>0.015720229604186</v>
      </c>
      <c r="CX97" s="0" t="n">
        <v>0.022198314875479</v>
      </c>
      <c r="CY97" s="0" t="n">
        <v>0.023879979953027</v>
      </c>
      <c r="CZ97" s="0" t="n">
        <v>0.012517213944671</v>
      </c>
      <c r="DA97" s="0" t="n">
        <v>0.028534017069358</v>
      </c>
      <c r="DB97" s="0" t="n">
        <v>0.0385554432351834</v>
      </c>
      <c r="DC97" s="0" t="n">
        <v>0.0191621616857327</v>
      </c>
      <c r="DD97" s="0" t="n">
        <v>0.0125109320497632</v>
      </c>
      <c r="DE97" s="0" t="n">
        <v>0.0313741364620077</v>
      </c>
      <c r="DF97" s="0" t="n">
        <v>-0.0077856935999294</v>
      </c>
      <c r="DG97" s="0" t="n">
        <v>0.0134900469043024</v>
      </c>
      <c r="DH97" s="0" t="n">
        <v>0.0235290329550113</v>
      </c>
      <c r="DI97" s="0" t="n">
        <v>0.0251955238368743</v>
      </c>
      <c r="DJ97" s="0" t="n">
        <v>0.0142525012392917</v>
      </c>
      <c r="DK97" s="0" t="n">
        <v>0.0323371987666358</v>
      </c>
      <c r="DL97" s="0" t="n">
        <v>0.0029673095889083</v>
      </c>
      <c r="DM97" s="0" t="n">
        <v>0.0180092705581328</v>
      </c>
      <c r="DN97" s="0" t="n">
        <v>0.0201055481537142</v>
      </c>
      <c r="DO97" s="0" t="n">
        <v>0.029709708254</v>
      </c>
      <c r="DP97" s="0" t="n">
        <v>0.0120986685729157</v>
      </c>
      <c r="DQ97" s="0" t="n">
        <v>0.0299439096710768</v>
      </c>
      <c r="DR97" s="0" t="n">
        <v>0.009087792193646</v>
      </c>
      <c r="DS97" s="0" t="n">
        <v>0.0174338485288211</v>
      </c>
      <c r="DT97" s="0" t="n">
        <v>0.0208638498656651</v>
      </c>
      <c r="DU97" s="0" t="n">
        <v>0.0365614112911919</v>
      </c>
      <c r="DV97" s="0" t="n">
        <v>0.0037034004507342</v>
      </c>
      <c r="DW97" s="0" t="n">
        <v>0.0344520304578302</v>
      </c>
      <c r="DX97" s="0" t="n">
        <v>0.0304095441428519</v>
      </c>
      <c r="DY97" s="0" t="n">
        <v>0.0520894400239467</v>
      </c>
      <c r="DZ97" s="0" t="n">
        <v>0.0107633764763438</v>
      </c>
      <c r="EA97" s="0" t="n">
        <v>0.0445365380581286</v>
      </c>
      <c r="EB97" s="0" t="n">
        <v>0.0321999818154273</v>
      </c>
      <c r="EC97" s="0" t="n">
        <v>0.0121758286045985</v>
      </c>
      <c r="ED97" s="0" t="n">
        <v>0.0391701052151189</v>
      </c>
      <c r="EE97" s="0" t="n">
        <v>0.0441725722904347</v>
      </c>
      <c r="EF97" s="0" t="n">
        <v>0.0153188164875787</v>
      </c>
      <c r="EG97" s="0" t="n">
        <v>0.0487992924352638</v>
      </c>
      <c r="EH97" s="0" t="n">
        <v>0.0228836210702316</v>
      </c>
      <c r="EI97" s="0" t="n">
        <v>0.0294615943273181</v>
      </c>
      <c r="EJ97" s="0" t="n">
        <v>0.0522201703382268</v>
      </c>
      <c r="EK97" s="0" t="n">
        <v>0.0154938179274227</v>
      </c>
      <c r="EL97" s="0" t="n">
        <v>0.0269726456122402</v>
      </c>
      <c r="EM97" s="0" t="n">
        <v>0.0180649533866247</v>
      </c>
      <c r="EN97" s="0" t="n">
        <v>0.0283516764793181</v>
      </c>
      <c r="EO97" s="0" t="n">
        <v>0.0137126785744237</v>
      </c>
      <c r="EP97" s="72" t="n">
        <f aca="false">SUMPRODUCT(B97:EO97,$B$5:$EO$5)</f>
        <v>0.0359854651752658</v>
      </c>
      <c r="EQ97" s="72" t="n">
        <f aca="false">SUMIF('Mi portafolio'!$A$8:$A$19,$A97,'Mi portafolio'!$B$8:$B$19)</f>
        <v>0</v>
      </c>
    </row>
    <row r="98" customFormat="false" ht="15" hidden="false" customHeight="false" outlineLevel="0" collapsed="false">
      <c r="A98" s="71" t="s">
        <v>320</v>
      </c>
      <c r="B98" s="0" t="n">
        <v>0.0120218708431444</v>
      </c>
      <c r="C98" s="0" t="n">
        <v>0.0009851397580899</v>
      </c>
      <c r="D98" s="0" t="n">
        <v>0.0034093256423946</v>
      </c>
      <c r="E98" s="0" t="n">
        <v>0.0025523873875335</v>
      </c>
      <c r="F98" s="0" t="n">
        <v>0.0100671038107866</v>
      </c>
      <c r="G98" s="0" t="n">
        <v>0.0043431140684813</v>
      </c>
      <c r="H98" s="0" t="n">
        <v>0.0040188632613914</v>
      </c>
      <c r="I98" s="0" t="n">
        <v>0.0157848554499883</v>
      </c>
      <c r="J98" s="0" t="n">
        <v>0.0098589549933492</v>
      </c>
      <c r="K98" s="0" t="n">
        <v>0.0150403344197822</v>
      </c>
      <c r="L98" s="0" t="n">
        <v>0.0035483286668746</v>
      </c>
      <c r="M98" s="0" t="n">
        <v>0.0127581356925026</v>
      </c>
      <c r="N98" s="0" t="n">
        <v>0.017486218077373</v>
      </c>
      <c r="O98" s="0" t="n">
        <v>0.0023041872848731</v>
      </c>
      <c r="P98" s="0" t="n">
        <v>0.0080706203420095</v>
      </c>
      <c r="Q98" s="0" t="n">
        <v>0.0083412803696397</v>
      </c>
      <c r="R98" s="0" t="n">
        <v>0.0151004368100548</v>
      </c>
      <c r="S98" s="0" t="n">
        <v>-0.0005553871459299</v>
      </c>
      <c r="T98" s="0" t="n">
        <v>0.0129274607026314</v>
      </c>
      <c r="U98" s="0" t="n">
        <v>0.0073127099714238</v>
      </c>
      <c r="V98" s="0" t="n">
        <v>-0.008794931796126</v>
      </c>
      <c r="W98" s="0" t="n">
        <v>0.0098331424962934</v>
      </c>
      <c r="X98" s="0" t="n">
        <v>0.0128932204018972</v>
      </c>
      <c r="Y98" s="0" t="n">
        <v>0.0133897900767958</v>
      </c>
      <c r="Z98" s="0" t="n">
        <v>0.0073512441543685</v>
      </c>
      <c r="AA98" s="0" t="n">
        <v>0.0032723172697872</v>
      </c>
      <c r="AB98" s="0" t="n">
        <v>0.0121456769977634</v>
      </c>
      <c r="AC98" s="0" t="n">
        <v>-0.0023799849191099</v>
      </c>
      <c r="AD98" s="0" t="n">
        <v>-0.0039450103763533</v>
      </c>
      <c r="AE98" s="0" t="n">
        <v>-0.0011752323839973</v>
      </c>
      <c r="AF98" s="0" t="n">
        <v>0.0018712322308003</v>
      </c>
      <c r="AG98" s="0" t="n">
        <v>-0.0057833593263014</v>
      </c>
      <c r="AH98" s="0" t="n">
        <v>0.0062445431131777</v>
      </c>
      <c r="AI98" s="0" t="n">
        <v>0.0112640477450428</v>
      </c>
      <c r="AJ98" s="0" t="n">
        <v>0.0038034545890002</v>
      </c>
      <c r="AK98" s="0" t="n">
        <v>-0.0041828274563718</v>
      </c>
      <c r="AL98" s="0" t="n">
        <v>0.0332161870433259</v>
      </c>
      <c r="AM98" s="0" t="n">
        <v>0.0042361870250018</v>
      </c>
      <c r="AN98" s="0" t="n">
        <v>0.0186981894529944</v>
      </c>
      <c r="AO98" s="0" t="n">
        <v>0.013374760526935</v>
      </c>
      <c r="AP98" s="0" t="n">
        <v>0.0171364450446594</v>
      </c>
      <c r="AQ98" s="0" t="n">
        <v>0.0082015775453547</v>
      </c>
      <c r="AR98" s="0" t="n">
        <v>0.0132374166747706</v>
      </c>
      <c r="AS98" s="0" t="n">
        <v>0.0109068149206213</v>
      </c>
      <c r="AT98" s="0" t="n">
        <v>0.0142897907017496</v>
      </c>
      <c r="AU98" s="0" t="n">
        <v>0.0159760356466066</v>
      </c>
      <c r="AV98" s="0" t="n">
        <v>0.010839759488209</v>
      </c>
      <c r="AW98" s="0" t="n">
        <v>0.002638806019421</v>
      </c>
      <c r="AX98" s="0" t="n">
        <v>0.0120488811872079</v>
      </c>
      <c r="AY98" s="0" t="n">
        <v>0.0148390741669426</v>
      </c>
      <c r="AZ98" s="0" t="n">
        <v>0.0048837222211227</v>
      </c>
      <c r="BA98" s="0" t="n">
        <v>0.0116594171581986</v>
      </c>
      <c r="BB98" s="0" t="n">
        <v>0.0158082582695902</v>
      </c>
      <c r="BC98" s="0" t="n">
        <v>0.0058696971508882</v>
      </c>
      <c r="BD98" s="0" t="n">
        <v>0.0044712047969086</v>
      </c>
      <c r="BE98" s="0" t="n">
        <v>0.0103000692239233</v>
      </c>
      <c r="BF98" s="0" t="n">
        <v>0.0175233718845006</v>
      </c>
      <c r="BG98" s="0" t="n">
        <v>0.0264081010462695</v>
      </c>
      <c r="BH98" s="0" t="n">
        <v>0.013179620297357</v>
      </c>
      <c r="BI98" s="0" t="n">
        <v>0.0174233519369073</v>
      </c>
      <c r="BJ98" s="0" t="n">
        <v>-0.0061735867661356</v>
      </c>
      <c r="BK98" s="0" t="n">
        <v>0.0065374563818387</v>
      </c>
      <c r="BL98" s="0" t="n">
        <v>0.0215427696787519</v>
      </c>
      <c r="BM98" s="0" t="n">
        <v>0.0197803541403771</v>
      </c>
      <c r="BN98" s="0" t="n">
        <v>0.0065664044503175</v>
      </c>
      <c r="BO98" s="0" t="n">
        <v>0.0245596041699149</v>
      </c>
      <c r="BP98" s="0" t="n">
        <v>0.0224738699323887</v>
      </c>
      <c r="BQ98" s="0" t="n">
        <v>0.0060181608454432</v>
      </c>
      <c r="BR98" s="0" t="n">
        <v>0.0329828617009674</v>
      </c>
      <c r="BS98" s="0" t="n">
        <v>0.0087714307854589</v>
      </c>
      <c r="BT98" s="0" t="n">
        <v>0.0072512173029462</v>
      </c>
      <c r="BU98" s="0" t="n">
        <v>-0.0067271636743889</v>
      </c>
      <c r="BV98" s="0" t="n">
        <v>0.0161063541021727</v>
      </c>
      <c r="BW98" s="0" t="n">
        <v>0.0444362791273662</v>
      </c>
      <c r="BX98" s="0" t="n">
        <v>0.0229180798589969</v>
      </c>
      <c r="BY98" s="0" t="n">
        <v>0.0100638404136676</v>
      </c>
      <c r="BZ98" s="0" t="n">
        <v>0.0153431372061929</v>
      </c>
      <c r="CA98" s="0" t="n">
        <v>-0.0023706004764387</v>
      </c>
      <c r="CB98" s="0" t="n">
        <v>0.0067543463250766</v>
      </c>
      <c r="CC98" s="0" t="n">
        <v>0.0073146228119105</v>
      </c>
      <c r="CD98" s="0" t="n">
        <v>0.031710754420833</v>
      </c>
      <c r="CE98" s="0" t="n">
        <v>0.0075632106405741</v>
      </c>
      <c r="CF98" s="0" t="n">
        <v>0.0128924217213587</v>
      </c>
      <c r="CG98" s="0" t="n">
        <v>0.033946208501117</v>
      </c>
      <c r="CH98" s="0" t="n">
        <v>-0.0015570690403556</v>
      </c>
      <c r="CI98" s="0" t="n">
        <v>0.0043802609763761</v>
      </c>
      <c r="CJ98" s="0" t="n">
        <v>0.0266779752629911</v>
      </c>
      <c r="CK98" s="0" t="n">
        <v>0.0262791765548161</v>
      </c>
      <c r="CL98" s="0" t="n">
        <v>0.0051016165908921</v>
      </c>
      <c r="CM98" s="0" t="n">
        <v>0.0190625514507695</v>
      </c>
      <c r="CN98" s="0" t="n">
        <v>-0.0037691664617648</v>
      </c>
      <c r="CO98" s="0" t="n">
        <v>0.0109864813049124</v>
      </c>
      <c r="CP98" s="0" t="n">
        <v>0.158954308950653</v>
      </c>
      <c r="CQ98" s="0" t="n">
        <v>0.0265917325339997</v>
      </c>
      <c r="CR98" s="0" t="n">
        <v>0.0269855051867543</v>
      </c>
      <c r="CS98" s="0" t="n">
        <v>0.0135783157202434</v>
      </c>
      <c r="CT98" s="0" t="n">
        <v>0.0342916389932218</v>
      </c>
      <c r="CU98" s="0" t="n">
        <v>0.0141120686529264</v>
      </c>
      <c r="CV98" s="0" t="n">
        <v>0.028789657925554</v>
      </c>
      <c r="CW98" s="0" t="n">
        <v>0.0393481825137504</v>
      </c>
      <c r="CX98" s="0" t="n">
        <v>0.0356092140225953</v>
      </c>
      <c r="CY98" s="0" t="n">
        <v>0.0064367302328218</v>
      </c>
      <c r="CZ98" s="0" t="n">
        <v>0.03361793742278</v>
      </c>
      <c r="DA98" s="0" t="n">
        <v>0.0330628141293748</v>
      </c>
      <c r="DB98" s="0" t="n">
        <v>0.0380997115177307</v>
      </c>
      <c r="DC98" s="0" t="n">
        <v>0.013436881645135</v>
      </c>
      <c r="DD98" s="0" t="n">
        <v>0.0405329136135752</v>
      </c>
      <c r="DE98" s="0" t="n">
        <v>0.0122877811121079</v>
      </c>
      <c r="DF98" s="0" t="n">
        <v>0.0342853623445437</v>
      </c>
      <c r="DG98" s="0" t="n">
        <v>0.0202929948384533</v>
      </c>
      <c r="DH98" s="0" t="n">
        <v>0.0335322626967002</v>
      </c>
      <c r="DI98" s="0" t="n">
        <v>0.0292825883657389</v>
      </c>
      <c r="DJ98" s="0" t="n">
        <v>0.0181625845948759</v>
      </c>
      <c r="DK98" s="0" t="n">
        <v>0.0259979092041112</v>
      </c>
      <c r="DL98" s="0" t="n">
        <v>-0.0137536172462759</v>
      </c>
      <c r="DM98" s="0" t="n">
        <v>0.0251294393384784</v>
      </c>
      <c r="DN98" s="0" t="n">
        <v>0.0404684768438048</v>
      </c>
      <c r="DO98" s="0" t="n">
        <v>0.030347923908072</v>
      </c>
      <c r="DP98" s="0" t="n">
        <v>0.0351361794630494</v>
      </c>
      <c r="DQ98" s="0" t="n">
        <v>0.0029052469336224</v>
      </c>
      <c r="DR98" s="0" t="n">
        <v>0.0246877619774618</v>
      </c>
      <c r="DS98" s="0" t="n">
        <v>0.0328445982947589</v>
      </c>
      <c r="DT98" s="0" t="n">
        <v>0.0183212781382371</v>
      </c>
      <c r="DU98" s="0" t="n">
        <v>0.0373769497806585</v>
      </c>
      <c r="DV98" s="0" t="n">
        <v>0.0437386086029381</v>
      </c>
      <c r="DW98" s="0" t="n">
        <v>0.0488109370525758</v>
      </c>
      <c r="DX98" s="0" t="n">
        <v>0.0137759176262636</v>
      </c>
      <c r="DY98" s="0" t="n">
        <v>0.0445778001750891</v>
      </c>
      <c r="DZ98" s="0" t="n">
        <v>0.0727645298101896</v>
      </c>
      <c r="EA98" s="0" t="n">
        <v>0.0458897772584322</v>
      </c>
      <c r="EB98" s="0" t="n">
        <v>0.0544504251995301</v>
      </c>
      <c r="EC98" s="0" t="n">
        <v>-0.0101001812111053</v>
      </c>
      <c r="ED98" s="0" t="n">
        <v>0.0462660132485645</v>
      </c>
      <c r="EE98" s="0" t="n">
        <v>0.0585740361233592</v>
      </c>
      <c r="EF98" s="0" t="n">
        <v>0.0446760605230895</v>
      </c>
      <c r="EG98" s="0" t="n">
        <v>0.0645941729741889</v>
      </c>
      <c r="EH98" s="0" t="n">
        <v>0.0500475516029471</v>
      </c>
      <c r="EI98" s="0" t="n">
        <v>0.0231460196081955</v>
      </c>
      <c r="EJ98" s="0" t="n">
        <v>0.0303387280619059</v>
      </c>
      <c r="EK98" s="0" t="n">
        <v>0.0580392680177397</v>
      </c>
      <c r="EL98" s="0" t="n">
        <v>0.045851945424334</v>
      </c>
      <c r="EM98" s="0" t="n">
        <v>0.0551201916851151</v>
      </c>
      <c r="EN98" s="0" t="n">
        <v>0.075838983583257</v>
      </c>
      <c r="EO98" s="0" t="n">
        <v>0.0534230217367191</v>
      </c>
      <c r="EP98" s="72" t="n">
        <f aca="false">SUMPRODUCT(B98:EO98,$B$5:$EO$5)</f>
        <v>0.0381143584774981</v>
      </c>
      <c r="EQ98" s="72" t="n">
        <f aca="false">SUMIF('Mi portafolio'!$A$8:$A$19,$A98,'Mi portafolio'!$B$8:$B$19)</f>
        <v>0</v>
      </c>
    </row>
    <row r="99" customFormat="false" ht="15" hidden="false" customHeight="false" outlineLevel="0" collapsed="false">
      <c r="A99" s="71" t="s">
        <v>322</v>
      </c>
      <c r="B99" s="0" t="n">
        <v>0.0176033171041632</v>
      </c>
      <c r="C99" s="0" t="n">
        <v>-0.0015221388880556</v>
      </c>
      <c r="D99" s="0" t="n">
        <v>0.0033160667845963</v>
      </c>
      <c r="E99" s="0" t="n">
        <v>0.0133561928771513</v>
      </c>
      <c r="F99" s="0" t="n">
        <v>0.008478326581554</v>
      </c>
      <c r="G99" s="0" t="n">
        <v>-0.0041225803606361</v>
      </c>
      <c r="H99" s="0" t="n">
        <v>0.0070643364995867</v>
      </c>
      <c r="I99" s="0" t="n">
        <v>0.0186036429017914</v>
      </c>
      <c r="J99" s="0" t="n">
        <v>0.0076982398488354</v>
      </c>
      <c r="K99" s="0" t="n">
        <v>0.0158867484198522</v>
      </c>
      <c r="L99" s="0" t="n">
        <v>0.0104707061798074</v>
      </c>
      <c r="M99" s="0" t="n">
        <v>0.0375593726553307</v>
      </c>
      <c r="N99" s="0" t="n">
        <v>0.0251927673546032</v>
      </c>
      <c r="O99" s="0" t="n">
        <v>0.008732595072238</v>
      </c>
      <c r="P99" s="0" t="n">
        <v>0.0076970409976408</v>
      </c>
      <c r="Q99" s="0" t="n">
        <v>0.0016408876167203</v>
      </c>
      <c r="R99" s="0" t="n">
        <v>0.0105665326214113</v>
      </c>
      <c r="S99" s="0" t="n">
        <v>0.0069355115890411</v>
      </c>
      <c r="T99" s="0" t="n">
        <v>0.0414437075723497</v>
      </c>
      <c r="U99" s="0" t="n">
        <v>0.0150868028330211</v>
      </c>
      <c r="V99" s="0" t="n">
        <v>0.0077427375705443</v>
      </c>
      <c r="W99" s="0" t="n">
        <v>0.0062630121872661</v>
      </c>
      <c r="X99" s="0" t="n">
        <v>0.045953645353516</v>
      </c>
      <c r="Y99" s="0" t="n">
        <v>0.0263963062741589</v>
      </c>
      <c r="Z99" s="0" t="n">
        <v>0.0100037612364022</v>
      </c>
      <c r="AA99" s="0" t="n">
        <v>0.014617669383348</v>
      </c>
      <c r="AB99" s="0" t="n">
        <v>0.0287156398550352</v>
      </c>
      <c r="AC99" s="0" t="n">
        <v>0.0051784653112232</v>
      </c>
      <c r="AD99" s="0" t="n">
        <v>0.006304070449407</v>
      </c>
      <c r="AE99" s="0" t="n">
        <v>0.0220324919504608</v>
      </c>
      <c r="AF99" s="0" t="n">
        <v>0.0119339782938218</v>
      </c>
      <c r="AG99" s="0" t="n">
        <v>0.0046808242766979</v>
      </c>
      <c r="AH99" s="0" t="n">
        <v>0.005084671131849</v>
      </c>
      <c r="AI99" s="0" t="n">
        <v>-0.0225603478631</v>
      </c>
      <c r="AJ99" s="0" t="n">
        <v>0.0115139094489105</v>
      </c>
      <c r="AK99" s="0" t="n">
        <v>0.0182346820203512</v>
      </c>
      <c r="AL99" s="0" t="n">
        <v>0.0334084074330992</v>
      </c>
      <c r="AM99" s="0" t="n">
        <v>0.0185565885075249</v>
      </c>
      <c r="AN99" s="0" t="n">
        <v>0.0462828668091173</v>
      </c>
      <c r="AO99" s="0" t="n">
        <v>0.0126863000376649</v>
      </c>
      <c r="AP99" s="0" t="n">
        <v>0.0359551233418855</v>
      </c>
      <c r="AQ99" s="0" t="n">
        <v>-0.028071349506803</v>
      </c>
      <c r="AR99" s="0" t="n">
        <v>0.0448954672520642</v>
      </c>
      <c r="AS99" s="0" t="n">
        <v>0.0144623338279111</v>
      </c>
      <c r="AT99" s="0" t="n">
        <v>0.0566036325697142</v>
      </c>
      <c r="AU99" s="0" t="n">
        <v>0.0108242889979293</v>
      </c>
      <c r="AV99" s="0" t="n">
        <v>0.0120890304091093</v>
      </c>
      <c r="AW99" s="0" t="n">
        <v>0.0114477682828773</v>
      </c>
      <c r="AX99" s="0" t="n">
        <v>0.0326818784484521</v>
      </c>
      <c r="AY99" s="0" t="n">
        <v>0.041862544594558</v>
      </c>
      <c r="AZ99" s="0" t="n">
        <v>0.0341424898929145</v>
      </c>
      <c r="BA99" s="0" t="n">
        <v>0.0479263611128458</v>
      </c>
      <c r="BB99" s="0" t="n">
        <v>0.07293577570788</v>
      </c>
      <c r="BC99" s="0" t="n">
        <v>0.0167557700619613</v>
      </c>
      <c r="BD99" s="0" t="n">
        <v>0.0156138582260626</v>
      </c>
      <c r="BE99" s="0" t="n">
        <v>0.0260880819390186</v>
      </c>
      <c r="BF99" s="0" t="n">
        <v>0.0233451395398149</v>
      </c>
      <c r="BG99" s="0" t="n">
        <v>0.0403727961607025</v>
      </c>
      <c r="BH99" s="0" t="n">
        <v>0.0172407218945635</v>
      </c>
      <c r="BI99" s="0" t="n">
        <v>0.0158276077752666</v>
      </c>
      <c r="BJ99" s="0" t="n">
        <v>-0.0029011642674209</v>
      </c>
      <c r="BK99" s="0" t="n">
        <v>0.026307595365952</v>
      </c>
      <c r="BL99" s="0" t="n">
        <v>0.042683545655073</v>
      </c>
      <c r="BM99" s="0" t="n">
        <v>0.0419897102809986</v>
      </c>
      <c r="BN99" s="0" t="n">
        <v>0.0205973179231886</v>
      </c>
      <c r="BO99" s="0" t="n">
        <v>0.0457708832185878</v>
      </c>
      <c r="BP99" s="0" t="n">
        <v>0.0218472981834054</v>
      </c>
      <c r="BQ99" s="0" t="n">
        <v>0.0392660623400578</v>
      </c>
      <c r="BR99" s="0" t="n">
        <v>0.0678591937066525</v>
      </c>
      <c r="BS99" s="0" t="n">
        <v>-0.0287108887422294</v>
      </c>
      <c r="BT99" s="0" t="n">
        <v>0.0691615350937402</v>
      </c>
      <c r="BU99" s="0" t="n">
        <v>0.0195861757378767</v>
      </c>
      <c r="BV99" s="0" t="n">
        <v>0.0425124660531517</v>
      </c>
      <c r="BW99" s="0" t="n">
        <v>0.0375918825012745</v>
      </c>
      <c r="BX99" s="0" t="n">
        <v>0.0189660028143805</v>
      </c>
      <c r="BY99" s="0" t="n">
        <v>0.0679795208974337</v>
      </c>
      <c r="BZ99" s="0" t="n">
        <v>0.0601505900603243</v>
      </c>
      <c r="CA99" s="0" t="n">
        <v>0.0079882032483452</v>
      </c>
      <c r="CB99" s="0" t="n">
        <v>-0.0033928066852048</v>
      </c>
      <c r="CC99" s="0" t="n">
        <v>0.0226361105178066</v>
      </c>
      <c r="CD99" s="0" t="n">
        <v>0.0363684017543464</v>
      </c>
      <c r="CE99" s="0" t="n">
        <v>0.0325388713991132</v>
      </c>
      <c r="CF99" s="0" t="n">
        <v>-0.0358352427652289</v>
      </c>
      <c r="CG99" s="0" t="n">
        <v>0.0561543441974984</v>
      </c>
      <c r="CH99" s="0" t="n">
        <v>0.0374377215334177</v>
      </c>
      <c r="CI99" s="0" t="n">
        <v>-0.0394656159487345</v>
      </c>
      <c r="CJ99" s="0" t="n">
        <v>0.0147497279843437</v>
      </c>
      <c r="CK99" s="0" t="n">
        <v>0.0525131244212112</v>
      </c>
      <c r="CL99" s="0" t="n">
        <v>0.0640999616475465</v>
      </c>
      <c r="CM99" s="0" t="n">
        <v>0.0427991018691423</v>
      </c>
      <c r="CN99" s="0" t="n">
        <v>0.0098647686876175</v>
      </c>
      <c r="CO99" s="0" t="n">
        <v>0.0231155486934453</v>
      </c>
      <c r="CP99" s="0" t="n">
        <v>0.0265917325339997</v>
      </c>
      <c r="CQ99" s="0" t="n">
        <v>0.160265143116013</v>
      </c>
      <c r="CR99" s="0" t="n">
        <v>0.0689479129940918</v>
      </c>
      <c r="CS99" s="0" t="n">
        <v>0.0760953951578065</v>
      </c>
      <c r="CT99" s="0" t="n">
        <v>0.0448878697379345</v>
      </c>
      <c r="CU99" s="0" t="n">
        <v>0.0274124631639032</v>
      </c>
      <c r="CV99" s="0" t="n">
        <v>0.0440603698276937</v>
      </c>
      <c r="CW99" s="0" t="n">
        <v>0.0434312405900761</v>
      </c>
      <c r="CX99" s="0" t="n">
        <v>0.0641978000937096</v>
      </c>
      <c r="CY99" s="0" t="n">
        <v>0.135618553429392</v>
      </c>
      <c r="CZ99" s="0" t="n">
        <v>0.0306906829541752</v>
      </c>
      <c r="DA99" s="0" t="n">
        <v>0.0331010400280532</v>
      </c>
      <c r="DB99" s="0" t="n">
        <v>0.0613148819891378</v>
      </c>
      <c r="DC99" s="0" t="n">
        <v>0.0769452031064744</v>
      </c>
      <c r="DD99" s="0" t="n">
        <v>0.0618040173155443</v>
      </c>
      <c r="DE99" s="0" t="n">
        <v>0.0646959695978891</v>
      </c>
      <c r="DF99" s="0" t="n">
        <v>0.0135940806798541</v>
      </c>
      <c r="DG99" s="0" t="n">
        <v>0.0509220002919946</v>
      </c>
      <c r="DH99" s="0" t="n">
        <v>0.051921589839839</v>
      </c>
      <c r="DI99" s="0" t="n">
        <v>0.16338046219164</v>
      </c>
      <c r="DJ99" s="0" t="n">
        <v>0.11375580315301</v>
      </c>
      <c r="DK99" s="0" t="n">
        <v>0.176943032127711</v>
      </c>
      <c r="DL99" s="0" t="n">
        <v>0.0121454330780317</v>
      </c>
      <c r="DM99" s="0" t="n">
        <v>0.141731689688158</v>
      </c>
      <c r="DN99" s="0" t="n">
        <v>0.0591477428199781</v>
      </c>
      <c r="DO99" s="0" t="n">
        <v>0.0736118280125398</v>
      </c>
      <c r="DP99" s="0" t="n">
        <v>0.143312621856249</v>
      </c>
      <c r="DQ99" s="0" t="n">
        <v>0.0759089599555909</v>
      </c>
      <c r="DR99" s="0" t="n">
        <v>0.0532559106633551</v>
      </c>
      <c r="DS99" s="0" t="n">
        <v>0.0403837385848362</v>
      </c>
      <c r="DT99" s="0" t="n">
        <v>0.041396004179679</v>
      </c>
      <c r="DU99" s="0" t="n">
        <v>0.0958765914523366</v>
      </c>
      <c r="DV99" s="0" t="n">
        <v>0.0467444664687704</v>
      </c>
      <c r="DW99" s="0" t="n">
        <v>0.080914980975436</v>
      </c>
      <c r="DX99" s="0" t="n">
        <v>0.0930233511332587</v>
      </c>
      <c r="DY99" s="0" t="n">
        <v>0.107241354708109</v>
      </c>
      <c r="DZ99" s="0" t="n">
        <v>0.0345087592637366</v>
      </c>
      <c r="EA99" s="0" t="n">
        <v>0.0667759093712095</v>
      </c>
      <c r="EB99" s="0" t="n">
        <v>0.129622353877279</v>
      </c>
      <c r="EC99" s="0" t="n">
        <v>-0.0009896846710368</v>
      </c>
      <c r="ED99" s="0" t="n">
        <v>0.0856227113429519</v>
      </c>
      <c r="EE99" s="0" t="n">
        <v>0.102606176054459</v>
      </c>
      <c r="EF99" s="0" t="n">
        <v>0.0872828555907738</v>
      </c>
      <c r="EG99" s="0" t="n">
        <v>0.0888244391601205</v>
      </c>
      <c r="EH99" s="0" t="n">
        <v>0.049289265491588</v>
      </c>
      <c r="EI99" s="0" t="n">
        <v>0.0975103806498849</v>
      </c>
      <c r="EJ99" s="0" t="n">
        <v>0.128797715022382</v>
      </c>
      <c r="EK99" s="0" t="n">
        <v>0.107086588757453</v>
      </c>
      <c r="EL99" s="0" t="n">
        <v>0.129495940169164</v>
      </c>
      <c r="EM99" s="0" t="n">
        <v>0.0842975248377793</v>
      </c>
      <c r="EN99" s="0" t="n">
        <v>0.0288444134870949</v>
      </c>
      <c r="EO99" s="0" t="n">
        <v>0.115154815938736</v>
      </c>
      <c r="EP99" s="72" t="n">
        <f aca="false">SUMPRODUCT(B99:EO99,$B$5:$EO$5)</f>
        <v>0.0866349678452428</v>
      </c>
      <c r="EQ99" s="72" t="n">
        <f aca="false">SUMIF('Mi portafolio'!$A$8:$A$19,$A99,'Mi portafolio'!$B$8:$B$19)</f>
        <v>0</v>
      </c>
    </row>
    <row r="100" customFormat="false" ht="15" hidden="false" customHeight="false" outlineLevel="0" collapsed="false">
      <c r="A100" s="71" t="s">
        <v>324</v>
      </c>
      <c r="B100" s="0" t="n">
        <v>-0.0035120835748089</v>
      </c>
      <c r="C100" s="0" t="n">
        <v>-0.0038493932755919</v>
      </c>
      <c r="D100" s="0" t="n">
        <v>-0.0007133313230052</v>
      </c>
      <c r="E100" s="0" t="n">
        <v>0.0060817891784448</v>
      </c>
      <c r="F100" s="0" t="n">
        <v>-0.0105804061620413</v>
      </c>
      <c r="G100" s="0" t="n">
        <v>-0.0009531712698211</v>
      </c>
      <c r="H100" s="0" t="n">
        <v>0.0082637214025974</v>
      </c>
      <c r="I100" s="0" t="n">
        <v>-0.0048599296842557</v>
      </c>
      <c r="J100" s="0" t="n">
        <v>-0.0092743532670271</v>
      </c>
      <c r="K100" s="0" t="n">
        <v>-0.0031561125284838</v>
      </c>
      <c r="L100" s="0" t="n">
        <v>0.0101253425777753</v>
      </c>
      <c r="M100" s="0" t="n">
        <v>0.0263240650712835</v>
      </c>
      <c r="N100" s="0" t="n">
        <v>0.0027655283784261</v>
      </c>
      <c r="O100" s="0" t="n">
        <v>0.0041554809920658</v>
      </c>
      <c r="P100" s="0" t="n">
        <v>-0.0045821979516305</v>
      </c>
      <c r="Q100" s="0" t="n">
        <v>0.0071516536453533</v>
      </c>
      <c r="R100" s="0" t="n">
        <v>-0.0096565259753115</v>
      </c>
      <c r="S100" s="0" t="n">
        <v>0.0009440726093324</v>
      </c>
      <c r="T100" s="0" t="n">
        <v>0.0168167348580943</v>
      </c>
      <c r="U100" s="0" t="n">
        <v>0.015168870869472</v>
      </c>
      <c r="V100" s="0" t="n">
        <v>0.0055137901885618</v>
      </c>
      <c r="W100" s="0" t="n">
        <v>0.0014984177454784</v>
      </c>
      <c r="X100" s="0" t="n">
        <v>0.0190566374698628</v>
      </c>
      <c r="Y100" s="0" t="n">
        <v>0.0003920862321753</v>
      </c>
      <c r="Z100" s="0" t="n">
        <v>0.0089458576743483</v>
      </c>
      <c r="AA100" s="0" t="n">
        <v>0.0090916000458264</v>
      </c>
      <c r="AB100" s="0" t="n">
        <v>-0.0019259057309478</v>
      </c>
      <c r="AC100" s="0" t="n">
        <v>0.0061245059161273</v>
      </c>
      <c r="AD100" s="0" t="n">
        <v>0.0160503435696423</v>
      </c>
      <c r="AE100" s="0" t="n">
        <v>0.0211715007030978</v>
      </c>
      <c r="AF100" s="0" t="n">
        <v>0.0127363343565822</v>
      </c>
      <c r="AG100" s="0" t="n">
        <v>-0.0227462697571758</v>
      </c>
      <c r="AH100" s="0" t="n">
        <v>-0.0250710195417313</v>
      </c>
      <c r="AI100" s="0" t="n">
        <v>-0.020524561796132</v>
      </c>
      <c r="AJ100" s="0" t="n">
        <v>0.0072015294001687</v>
      </c>
      <c r="AK100" s="0" t="n">
        <v>0.0196559524515486</v>
      </c>
      <c r="AL100" s="0" t="n">
        <v>0.0179232722985172</v>
      </c>
      <c r="AM100" s="0" t="n">
        <v>0.0146719869635185</v>
      </c>
      <c r="AN100" s="0" t="n">
        <v>0.0202171676659346</v>
      </c>
      <c r="AO100" s="0" t="n">
        <v>-0.0078974009789156</v>
      </c>
      <c r="AP100" s="0" t="n">
        <v>0.0107271456363067</v>
      </c>
      <c r="AQ100" s="0" t="n">
        <v>-0.0195129127365509</v>
      </c>
      <c r="AR100" s="0" t="n">
        <v>0.0169686476880596</v>
      </c>
      <c r="AS100" s="0" t="n">
        <v>0.0200198073192322</v>
      </c>
      <c r="AT100" s="0" t="n">
        <v>0.0246639984573413</v>
      </c>
      <c r="AU100" s="0" t="n">
        <v>-0.0034871184056385</v>
      </c>
      <c r="AV100" s="0" t="n">
        <v>0.0145545438158752</v>
      </c>
      <c r="AW100" s="0" t="n">
        <v>0.0160744483782989</v>
      </c>
      <c r="AX100" s="0" t="n">
        <v>0.0013950209915445</v>
      </c>
      <c r="AY100" s="0" t="n">
        <v>0.0174917802717343</v>
      </c>
      <c r="AZ100" s="0" t="n">
        <v>0.0292130885527699</v>
      </c>
      <c r="BA100" s="0" t="n">
        <v>0.026164782397653</v>
      </c>
      <c r="BB100" s="0" t="n">
        <v>0.047748546338057</v>
      </c>
      <c r="BC100" s="0" t="n">
        <v>0.0171155341439206</v>
      </c>
      <c r="BD100" s="0" t="n">
        <v>0.0172764011780384</v>
      </c>
      <c r="BE100" s="0" t="n">
        <v>0.0055382561491246</v>
      </c>
      <c r="BF100" s="0" t="n">
        <v>0.0192239809789359</v>
      </c>
      <c r="BG100" s="0" t="n">
        <v>0.018267523654171</v>
      </c>
      <c r="BH100" s="0" t="n">
        <v>0.0174100946681046</v>
      </c>
      <c r="BI100" s="0" t="n">
        <v>0.0040837569064199</v>
      </c>
      <c r="BJ100" s="0" t="n">
        <v>0.0031430535294504</v>
      </c>
      <c r="BK100" s="0" t="n">
        <v>0.0257727596014915</v>
      </c>
      <c r="BL100" s="0" t="n">
        <v>0.049161802417179</v>
      </c>
      <c r="BM100" s="0" t="n">
        <v>0.0079305646644846</v>
      </c>
      <c r="BN100" s="0" t="n">
        <v>0.0034929044099479</v>
      </c>
      <c r="BO100" s="0" t="n">
        <v>0.0433903376500662</v>
      </c>
      <c r="BP100" s="0" t="n">
        <v>0.0254728972160004</v>
      </c>
      <c r="BQ100" s="0" t="n">
        <v>0.0381559138356914</v>
      </c>
      <c r="BR100" s="0" t="n">
        <v>0.0376529177844525</v>
      </c>
      <c r="BS100" s="0" t="n">
        <v>-0.0103356673100567</v>
      </c>
      <c r="BT100" s="0" t="n">
        <v>0.0521084994883654</v>
      </c>
      <c r="BU100" s="0" t="n">
        <v>0.0122245235719242</v>
      </c>
      <c r="BV100" s="0" t="n">
        <v>0.0425915633201055</v>
      </c>
      <c r="BW100" s="0" t="n">
        <v>0.029816184062761</v>
      </c>
      <c r="BX100" s="0" t="n">
        <v>-0.0032816380615126</v>
      </c>
      <c r="BY100" s="0" t="n">
        <v>0.0388882185911487</v>
      </c>
      <c r="BZ100" s="0" t="n">
        <v>0.0425540022831896</v>
      </c>
      <c r="CA100" s="0" t="n">
        <v>0.0171091703226245</v>
      </c>
      <c r="CB100" s="0" t="n">
        <v>-0.0114358436165869</v>
      </c>
      <c r="CC100" s="0" t="n">
        <v>0.0092497880149431</v>
      </c>
      <c r="CD100" s="0" t="n">
        <v>0.0308217831195486</v>
      </c>
      <c r="CE100" s="0" t="n">
        <v>0.0516696476664726</v>
      </c>
      <c r="CF100" s="0" t="n">
        <v>-0.0178717499668469</v>
      </c>
      <c r="CG100" s="0" t="n">
        <v>0.0217639468935756</v>
      </c>
      <c r="CH100" s="0" t="n">
        <v>0.0575775631557674</v>
      </c>
      <c r="CI100" s="0" t="n">
        <v>-0.0235846392240009</v>
      </c>
      <c r="CJ100" s="0" t="n">
        <v>-0.0042845204846703</v>
      </c>
      <c r="CK100" s="0" t="n">
        <v>0.0088531613819754</v>
      </c>
      <c r="CL100" s="0" t="n">
        <v>0.0390206673049942</v>
      </c>
      <c r="CM100" s="0" t="n">
        <v>0.0974238763761375</v>
      </c>
      <c r="CN100" s="0" t="n">
        <v>0.0094871269118503</v>
      </c>
      <c r="CO100" s="0" t="n">
        <v>0.0229738265495607</v>
      </c>
      <c r="CP100" s="0" t="n">
        <v>0.0269855051867543</v>
      </c>
      <c r="CQ100" s="0" t="n">
        <v>0.0689479129940918</v>
      </c>
      <c r="CR100" s="0" t="n">
        <v>0.154759292306188</v>
      </c>
      <c r="CS100" s="0" t="n">
        <v>0.103440655293426</v>
      </c>
      <c r="CT100" s="0" t="n">
        <v>0.0434914226589598</v>
      </c>
      <c r="CU100" s="0" t="n">
        <v>0.0530161987234871</v>
      </c>
      <c r="CV100" s="0" t="n">
        <v>0.0356669783526966</v>
      </c>
      <c r="CW100" s="0" t="n">
        <v>0.0417000690531801</v>
      </c>
      <c r="CX100" s="0" t="n">
        <v>0.057304216180015</v>
      </c>
      <c r="CY100" s="0" t="n">
        <v>0.0579950537937886</v>
      </c>
      <c r="CZ100" s="0" t="n">
        <v>0.015045288160718</v>
      </c>
      <c r="DA100" s="0" t="n">
        <v>0.0241758932550788</v>
      </c>
      <c r="DB100" s="0" t="n">
        <v>0.0855749530024966</v>
      </c>
      <c r="DC100" s="0" t="n">
        <v>0.0495761606190041</v>
      </c>
      <c r="DD100" s="0" t="n">
        <v>0.0520376203728989</v>
      </c>
      <c r="DE100" s="0" t="n">
        <v>0.0992900822415637</v>
      </c>
      <c r="DF100" s="0" t="n">
        <v>-0.0157678724535945</v>
      </c>
      <c r="DG100" s="0" t="n">
        <v>0.0671987406119496</v>
      </c>
      <c r="DH100" s="0" t="n">
        <v>0.113119472245857</v>
      </c>
      <c r="DI100" s="0" t="n">
        <v>0.0672059963112154</v>
      </c>
      <c r="DJ100" s="0" t="n">
        <v>0.0658623483535991</v>
      </c>
      <c r="DK100" s="0" t="n">
        <v>0.0866904558065701</v>
      </c>
      <c r="DL100" s="0" t="n">
        <v>0.0361081793789256</v>
      </c>
      <c r="DM100" s="0" t="n">
        <v>0.0811306838692215</v>
      </c>
      <c r="DN100" s="0" t="n">
        <v>0.0253652062606408</v>
      </c>
      <c r="DO100" s="0" t="n">
        <v>0.0684551997831375</v>
      </c>
      <c r="DP100" s="0" t="n">
        <v>0.0694602756196248</v>
      </c>
      <c r="DQ100" s="0" t="n">
        <v>0.0758097217989824</v>
      </c>
      <c r="DR100" s="0" t="n">
        <v>0.0770950853635739</v>
      </c>
      <c r="DS100" s="0" t="n">
        <v>0.0182901852608959</v>
      </c>
      <c r="DT100" s="0" t="n">
        <v>0.0940741315329972</v>
      </c>
      <c r="DU100" s="0" t="n">
        <v>0.0881807763076857</v>
      </c>
      <c r="DV100" s="0" t="n">
        <v>0.053723831350502</v>
      </c>
      <c r="DW100" s="0" t="n">
        <v>0.0571108149633554</v>
      </c>
      <c r="DX100" s="0" t="n">
        <v>0.169907569834393</v>
      </c>
      <c r="DY100" s="0" t="n">
        <v>0.0748552823027976</v>
      </c>
      <c r="DZ100" s="0" t="n">
        <v>0.0341047501352491</v>
      </c>
      <c r="EA100" s="0" t="n">
        <v>0.0623847728358954</v>
      </c>
      <c r="EB100" s="0" t="n">
        <v>0.0892670952455048</v>
      </c>
      <c r="EC100" s="0" t="n">
        <v>0.0369885994343022</v>
      </c>
      <c r="ED100" s="0" t="n">
        <v>0.0806866393106311</v>
      </c>
      <c r="EE100" s="0" t="n">
        <v>0.179919376770811</v>
      </c>
      <c r="EF100" s="0" t="n">
        <v>0.0776387529664606</v>
      </c>
      <c r="EG100" s="0" t="n">
        <v>0.164568307589522</v>
      </c>
      <c r="EH100" s="0" t="n">
        <v>0.0286344006130026</v>
      </c>
      <c r="EI100" s="0" t="n">
        <v>0.198008794603212</v>
      </c>
      <c r="EJ100" s="0" t="n">
        <v>0.0974802115335113</v>
      </c>
      <c r="EK100" s="0" t="n">
        <v>0.160019696655141</v>
      </c>
      <c r="EL100" s="0" t="n">
        <v>0.198327112871968</v>
      </c>
      <c r="EM100" s="0" t="n">
        <v>0.0886640541218163</v>
      </c>
      <c r="EN100" s="0" t="n">
        <v>0.0565172933318172</v>
      </c>
      <c r="EO100" s="0" t="n">
        <v>0.0881933822875671</v>
      </c>
      <c r="EP100" s="72" t="n">
        <f aca="false">SUMPRODUCT(B100:EO100,$B$5:$EO$5)</f>
        <v>0.167889331626459</v>
      </c>
      <c r="EQ100" s="72" t="n">
        <f aca="false">SUMIF('Mi portafolio'!$A$8:$A$19,$A100,'Mi portafolio'!$B$8:$B$19)</f>
        <v>0</v>
      </c>
    </row>
    <row r="101" customFormat="false" ht="15" hidden="false" customHeight="false" outlineLevel="0" collapsed="false">
      <c r="A101" s="71" t="s">
        <v>326</v>
      </c>
      <c r="B101" s="0" t="n">
        <v>0.0003790484463898</v>
      </c>
      <c r="C101" s="0" t="n">
        <v>0.0033407580664911</v>
      </c>
      <c r="D101" s="0" t="n">
        <v>0.0019916338987656</v>
      </c>
      <c r="E101" s="0" t="n">
        <v>0.0062996967822908</v>
      </c>
      <c r="F101" s="0" t="n">
        <v>-0.0112764901316745</v>
      </c>
      <c r="G101" s="0" t="n">
        <v>-0.0001047449507259</v>
      </c>
      <c r="H101" s="0" t="n">
        <v>0.0092400786275964</v>
      </c>
      <c r="I101" s="0" t="n">
        <v>-0.0024952915097559</v>
      </c>
      <c r="J101" s="0" t="n">
        <v>0.0034832134731467</v>
      </c>
      <c r="K101" s="0" t="n">
        <v>0.0046439326694052</v>
      </c>
      <c r="L101" s="0" t="n">
        <v>0.0064578040475056</v>
      </c>
      <c r="M101" s="0" t="n">
        <v>0.0246913012996041</v>
      </c>
      <c r="N101" s="0" t="n">
        <v>0.0088079777106587</v>
      </c>
      <c r="O101" s="0" t="n">
        <v>0.0098640169371734</v>
      </c>
      <c r="P101" s="0" t="n">
        <v>0.0035922535319031</v>
      </c>
      <c r="Q101" s="0" t="n">
        <v>0.0083386457862696</v>
      </c>
      <c r="R101" s="0" t="n">
        <v>-0.0031906224877866</v>
      </c>
      <c r="S101" s="0" t="n">
        <v>0.0032255255904063</v>
      </c>
      <c r="T101" s="0" t="n">
        <v>0.0304172961563724</v>
      </c>
      <c r="U101" s="0" t="n">
        <v>0.0168903304664557</v>
      </c>
      <c r="V101" s="0" t="n">
        <v>0.0016656357331181</v>
      </c>
      <c r="W101" s="0" t="n">
        <v>0.0149284729811025</v>
      </c>
      <c r="X101" s="0" t="n">
        <v>0.0411318106446787</v>
      </c>
      <c r="Y101" s="0" t="n">
        <v>0.0008264761330328</v>
      </c>
      <c r="Z101" s="0" t="n">
        <v>0.0117550439788622</v>
      </c>
      <c r="AA101" s="0" t="n">
        <v>0.0095076911341428</v>
      </c>
      <c r="AB101" s="0" t="n">
        <v>-0.0068860386691072</v>
      </c>
      <c r="AC101" s="0" t="n">
        <v>0.0105930395132899</v>
      </c>
      <c r="AD101" s="0" t="n">
        <v>0.0199478353190242</v>
      </c>
      <c r="AE101" s="0" t="n">
        <v>0.0249682558369126</v>
      </c>
      <c r="AF101" s="0" t="n">
        <v>0.024023237549059</v>
      </c>
      <c r="AG101" s="0" t="n">
        <v>-0.0074673036936598</v>
      </c>
      <c r="AH101" s="0" t="n">
        <v>-0.0007828719348972</v>
      </c>
      <c r="AI101" s="0" t="n">
        <v>-0.0038814581274517</v>
      </c>
      <c r="AJ101" s="0" t="n">
        <v>0.0085140262678571</v>
      </c>
      <c r="AK101" s="0" t="n">
        <v>0.0251262089049931</v>
      </c>
      <c r="AL101" s="0" t="n">
        <v>0.0140287596794325</v>
      </c>
      <c r="AM101" s="0" t="n">
        <v>0.016233415001844</v>
      </c>
      <c r="AN101" s="0" t="n">
        <v>0.0266640328749114</v>
      </c>
      <c r="AO101" s="0" t="n">
        <v>0.004905590056438</v>
      </c>
      <c r="AP101" s="0" t="n">
        <v>0.0066716270120736</v>
      </c>
      <c r="AQ101" s="0" t="n">
        <v>-0.0034189615168357</v>
      </c>
      <c r="AR101" s="0" t="n">
        <v>0.0352894431456966</v>
      </c>
      <c r="AS101" s="0" t="n">
        <v>0.0153706933803751</v>
      </c>
      <c r="AT101" s="0" t="n">
        <v>0.0284364963851806</v>
      </c>
      <c r="AU101" s="0" t="n">
        <v>0.0160831332389049</v>
      </c>
      <c r="AV101" s="0" t="n">
        <v>0.0190070636946596</v>
      </c>
      <c r="AW101" s="0" t="n">
        <v>0.0272100224370074</v>
      </c>
      <c r="AX101" s="0" t="n">
        <v>0.017285840708571</v>
      </c>
      <c r="AY101" s="0" t="n">
        <v>0.0230074995497207</v>
      </c>
      <c r="AZ101" s="0" t="n">
        <v>0.0328328290175089</v>
      </c>
      <c r="BA101" s="0" t="n">
        <v>0.0490905008687031</v>
      </c>
      <c r="BB101" s="0" t="n">
        <v>0.0535969359498757</v>
      </c>
      <c r="BC101" s="0" t="n">
        <v>0.0186497157163967</v>
      </c>
      <c r="BD101" s="0" t="n">
        <v>0.0237289264146231</v>
      </c>
      <c r="BE101" s="0" t="n">
        <v>0.0183410557357839</v>
      </c>
      <c r="BF101" s="0" t="n">
        <v>0.0236418643626462</v>
      </c>
      <c r="BG101" s="0" t="n">
        <v>0.0133185083541859</v>
      </c>
      <c r="BH101" s="0" t="n">
        <v>0.0153356874066404</v>
      </c>
      <c r="BI101" s="0" t="n">
        <v>-0.0010529276106047</v>
      </c>
      <c r="BJ101" s="0" t="n">
        <v>0.0064711564056097</v>
      </c>
      <c r="BK101" s="0" t="n">
        <v>0.0332477719324186</v>
      </c>
      <c r="BL101" s="0" t="n">
        <v>0.0490367795468852</v>
      </c>
      <c r="BM101" s="0" t="n">
        <v>0.011957659433916</v>
      </c>
      <c r="BN101" s="0" t="n">
        <v>0.0182649939218207</v>
      </c>
      <c r="BO101" s="0" t="n">
        <v>0.0439263198400551</v>
      </c>
      <c r="BP101" s="0" t="n">
        <v>-0.0132767628042672</v>
      </c>
      <c r="BQ101" s="0" t="n">
        <v>0.0533137801132795</v>
      </c>
      <c r="BR101" s="0" t="n">
        <v>0.0334775602317596</v>
      </c>
      <c r="BS101" s="0" t="n">
        <v>0.0024262616951934</v>
      </c>
      <c r="BT101" s="0" t="n">
        <v>0.0682471100376247</v>
      </c>
      <c r="BU101" s="0" t="n">
        <v>0.0202572221461951</v>
      </c>
      <c r="BV101" s="0" t="n">
        <v>0.0229581923047967</v>
      </c>
      <c r="BW101" s="0" t="n">
        <v>0.0147212131754323</v>
      </c>
      <c r="BX101" s="0" t="n">
        <v>0.0147101434888797</v>
      </c>
      <c r="BY101" s="0" t="n">
        <v>0.0419503098455633</v>
      </c>
      <c r="BZ101" s="0" t="n">
        <v>0.0402655891601589</v>
      </c>
      <c r="CA101" s="0" t="n">
        <v>0.0198757127759193</v>
      </c>
      <c r="CB101" s="0" t="n">
        <v>-0.0092969958018054</v>
      </c>
      <c r="CC101" s="0" t="n">
        <v>0.0124407215795275</v>
      </c>
      <c r="CD101" s="0" t="n">
        <v>0.0053953193568051</v>
      </c>
      <c r="CE101" s="0" t="n">
        <v>0.0575554331260731</v>
      </c>
      <c r="CF101" s="0" t="n">
        <v>-0.0036872138906342</v>
      </c>
      <c r="CG101" s="0" t="n">
        <v>0.0078987065903017</v>
      </c>
      <c r="CH101" s="0" t="n">
        <v>0.0661656342291011</v>
      </c>
      <c r="CI101" s="0" t="n">
        <v>-0.0062694308158303</v>
      </c>
      <c r="CJ101" s="0" t="n">
        <v>-0.0224351031941628</v>
      </c>
      <c r="CK101" s="0" t="n">
        <v>0.0029894239700398</v>
      </c>
      <c r="CL101" s="0" t="n">
        <v>0.0415772884126874</v>
      </c>
      <c r="CM101" s="0" t="n">
        <v>0.0635063318459952</v>
      </c>
      <c r="CN101" s="0" t="n">
        <v>0.0250238497983253</v>
      </c>
      <c r="CO101" s="0" t="n">
        <v>0.0214086563665764</v>
      </c>
      <c r="CP101" s="0" t="n">
        <v>0.0135783157202434</v>
      </c>
      <c r="CQ101" s="0" t="n">
        <v>0.0760953951578065</v>
      </c>
      <c r="CR101" s="0" t="n">
        <v>0.103440655293426</v>
      </c>
      <c r="CS101" s="0" t="n">
        <v>0.169843596033136</v>
      </c>
      <c r="CT101" s="0" t="n">
        <v>0.0358430005952453</v>
      </c>
      <c r="CU101" s="0" t="n">
        <v>0.03923591628429</v>
      </c>
      <c r="CV101" s="0" t="n">
        <v>0.0201309093940479</v>
      </c>
      <c r="CW101" s="0" t="n">
        <v>0.0175830053735975</v>
      </c>
      <c r="CX101" s="0" t="n">
        <v>0.0544126312316486</v>
      </c>
      <c r="CY101" s="0" t="n">
        <v>0.0722918026541524</v>
      </c>
      <c r="CZ101" s="0" t="n">
        <v>0.0016845549415467</v>
      </c>
      <c r="DA101" s="0" t="n">
        <v>-5.13072490605313E-005</v>
      </c>
      <c r="DB101" s="0" t="n">
        <v>0.0704948070148756</v>
      </c>
      <c r="DC101" s="0" t="n">
        <v>0.0524122666350566</v>
      </c>
      <c r="DD101" s="0" t="n">
        <v>0.0267505307841656</v>
      </c>
      <c r="DE101" s="0" t="n">
        <v>0.100429714189219</v>
      </c>
      <c r="DF101" s="0" t="n">
        <v>-0.0431118678326445</v>
      </c>
      <c r="DG101" s="0" t="n">
        <v>0.072980551729385</v>
      </c>
      <c r="DH101" s="0" t="n">
        <v>0.096912598425987</v>
      </c>
      <c r="DI101" s="0" t="n">
        <v>0.0773925300564079</v>
      </c>
      <c r="DJ101" s="0" t="n">
        <v>0.0672137689780045</v>
      </c>
      <c r="DK101" s="0" t="n">
        <v>0.0966000328380517</v>
      </c>
      <c r="DL101" s="0" t="n">
        <v>0.044536304239487</v>
      </c>
      <c r="DM101" s="0" t="n">
        <v>0.0879815609378119</v>
      </c>
      <c r="DN101" s="0" t="n">
        <v>-0.0049851658827308</v>
      </c>
      <c r="DO101" s="0" t="n">
        <v>0.100672170978041</v>
      </c>
      <c r="DP101" s="0" t="n">
        <v>0.0755050369843918</v>
      </c>
      <c r="DQ101" s="0" t="n">
        <v>0.086950837198958</v>
      </c>
      <c r="DR101" s="0" t="n">
        <v>0.0796676721602454</v>
      </c>
      <c r="DS101" s="0" t="n">
        <v>-0.0209448332344401</v>
      </c>
      <c r="DT101" s="0" t="n">
        <v>0.0492202533011619</v>
      </c>
      <c r="DU101" s="0" t="n">
        <v>0.0736065384898636</v>
      </c>
      <c r="DV101" s="0" t="n">
        <v>0.0317935317544105</v>
      </c>
      <c r="DW101" s="0" t="n">
        <v>0.0088319021468642</v>
      </c>
      <c r="DX101" s="0" t="n">
        <v>0.175071658058025</v>
      </c>
      <c r="DY101" s="0" t="n">
        <v>0.0445660764952707</v>
      </c>
      <c r="DZ101" s="0" t="n">
        <v>0.002664607597712</v>
      </c>
      <c r="EA101" s="0" t="n">
        <v>0.0542429864049856</v>
      </c>
      <c r="EB101" s="0" t="n">
        <v>0.0633308806900485</v>
      </c>
      <c r="EC101" s="0" t="n">
        <v>0.0378126441426551</v>
      </c>
      <c r="ED101" s="0" t="n">
        <v>0.0736309396171619</v>
      </c>
      <c r="EE101" s="0" t="n">
        <v>0.156160524309209</v>
      </c>
      <c r="EF101" s="0" t="n">
        <v>0.0917743554764966</v>
      </c>
      <c r="EG101" s="0" t="n">
        <v>0.15241581804944</v>
      </c>
      <c r="EH101" s="0" t="n">
        <v>-0.0200684090781325</v>
      </c>
      <c r="EI101" s="0" t="n">
        <v>0.180129729289509</v>
      </c>
      <c r="EJ101" s="0" t="n">
        <v>0.0778335424992224</v>
      </c>
      <c r="EK101" s="0" t="n">
        <v>0.165415567092244</v>
      </c>
      <c r="EL101" s="0" t="n">
        <v>0.183273070555189</v>
      </c>
      <c r="EM101" s="0" t="n">
        <v>0.0340671991883621</v>
      </c>
      <c r="EN101" s="0" t="n">
        <v>0.0024949797097569</v>
      </c>
      <c r="EO101" s="0" t="n">
        <v>0.0680786172287677</v>
      </c>
      <c r="EP101" s="72" t="n">
        <f aca="false">SUMPRODUCT(B101:EO101,$B$5:$EO$5)</f>
        <v>0.154516835888702</v>
      </c>
      <c r="EQ101" s="72" t="n">
        <f aca="false">SUMIF('Mi portafolio'!$A$8:$A$19,$A101,'Mi portafolio'!$B$8:$B$19)</f>
        <v>0</v>
      </c>
    </row>
    <row r="102" customFormat="false" ht="15" hidden="false" customHeight="false" outlineLevel="0" collapsed="false">
      <c r="A102" s="71" t="s">
        <v>328</v>
      </c>
      <c r="B102" s="0" t="n">
        <v>0.0069665620068464</v>
      </c>
      <c r="C102" s="0" t="n">
        <v>0.0020476721293978</v>
      </c>
      <c r="D102" s="0" t="n">
        <v>0.0053002974814842</v>
      </c>
      <c r="E102" s="0" t="n">
        <v>0.012251994651671</v>
      </c>
      <c r="F102" s="0" t="n">
        <v>-0.0009955277601875</v>
      </c>
      <c r="G102" s="0" t="n">
        <v>0.012005891808456</v>
      </c>
      <c r="H102" s="0" t="n">
        <v>0.0121217065059114</v>
      </c>
      <c r="I102" s="0" t="n">
        <v>0.0055763514833316</v>
      </c>
      <c r="J102" s="0" t="n">
        <v>0.000234714321138</v>
      </c>
      <c r="K102" s="0" t="n">
        <v>0.0076891297295753</v>
      </c>
      <c r="L102" s="0" t="n">
        <v>0.0079733308716379</v>
      </c>
      <c r="M102" s="0" t="n">
        <v>0.0235520573478094</v>
      </c>
      <c r="N102" s="0" t="n">
        <v>0.0177035661548716</v>
      </c>
      <c r="O102" s="0" t="n">
        <v>0.0121734920338395</v>
      </c>
      <c r="P102" s="0" t="n">
        <v>0.0077511409292386</v>
      </c>
      <c r="Q102" s="0" t="n">
        <v>0.0084398044616152</v>
      </c>
      <c r="R102" s="0" t="n">
        <v>0.0015854418147781</v>
      </c>
      <c r="S102" s="0" t="n">
        <v>0.005104625127129</v>
      </c>
      <c r="T102" s="0" t="n">
        <v>0.0230994991067213</v>
      </c>
      <c r="U102" s="0" t="n">
        <v>0.0247140583528039</v>
      </c>
      <c r="V102" s="0" t="n">
        <v>0.0165288645665604</v>
      </c>
      <c r="W102" s="0" t="n">
        <v>0.0128820056443323</v>
      </c>
      <c r="X102" s="0" t="n">
        <v>0.0258723515694818</v>
      </c>
      <c r="Y102" s="0" t="n">
        <v>0.0242607752830902</v>
      </c>
      <c r="Z102" s="0" t="n">
        <v>0.014013153827239</v>
      </c>
      <c r="AA102" s="0" t="n">
        <v>0.0117630279243412</v>
      </c>
      <c r="AB102" s="0" t="n">
        <v>0.0236214059172987</v>
      </c>
      <c r="AC102" s="0" t="n">
        <v>0.0132242750970519</v>
      </c>
      <c r="AD102" s="0" t="n">
        <v>0.0100158416769896</v>
      </c>
      <c r="AE102" s="0" t="n">
        <v>0.0107280848425248</v>
      </c>
      <c r="AF102" s="0" t="n">
        <v>0.0150716479456741</v>
      </c>
      <c r="AG102" s="0" t="n">
        <v>0.0003622279804792</v>
      </c>
      <c r="AH102" s="0" t="n">
        <v>-0.0003005180605831</v>
      </c>
      <c r="AI102" s="0" t="n">
        <v>-0.0042833885847508</v>
      </c>
      <c r="AJ102" s="0" t="n">
        <v>0.0127830131499782</v>
      </c>
      <c r="AK102" s="0" t="n">
        <v>0.0208771090652547</v>
      </c>
      <c r="AL102" s="0" t="n">
        <v>0.0227094687702709</v>
      </c>
      <c r="AM102" s="0" t="n">
        <v>0.0210898145726729</v>
      </c>
      <c r="AN102" s="0" t="n">
        <v>0.0268556487580094</v>
      </c>
      <c r="AO102" s="0" t="n">
        <v>0.0011659072359213</v>
      </c>
      <c r="AP102" s="0" t="n">
        <v>0.0409191478528957</v>
      </c>
      <c r="AQ102" s="0" t="n">
        <v>-0.0091823189408527</v>
      </c>
      <c r="AR102" s="0" t="n">
        <v>0.0227996265534084</v>
      </c>
      <c r="AS102" s="0" t="n">
        <v>0.0286495968083924</v>
      </c>
      <c r="AT102" s="0" t="n">
        <v>0.0346976852898566</v>
      </c>
      <c r="AU102" s="0" t="n">
        <v>0.0018942877303703</v>
      </c>
      <c r="AV102" s="0" t="n">
        <v>0.0138546437152042</v>
      </c>
      <c r="AW102" s="0" t="n">
        <v>0.0173802107281383</v>
      </c>
      <c r="AX102" s="0" t="n">
        <v>0.0102276693266219</v>
      </c>
      <c r="AY102" s="0" t="n">
        <v>0.0217305966758126</v>
      </c>
      <c r="AZ102" s="0" t="n">
        <v>0.0115494772306605</v>
      </c>
      <c r="BA102" s="0" t="n">
        <v>0.020676768472321</v>
      </c>
      <c r="BB102" s="0" t="n">
        <v>0.0370304835486681</v>
      </c>
      <c r="BC102" s="0" t="n">
        <v>0.0185465682282402</v>
      </c>
      <c r="BD102" s="0" t="n">
        <v>0.0196033245330422</v>
      </c>
      <c r="BE102" s="0" t="n">
        <v>0.0060993907025089</v>
      </c>
      <c r="BF102" s="0" t="n">
        <v>0.0295379564015337</v>
      </c>
      <c r="BG102" s="0" t="n">
        <v>0.0282600703977178</v>
      </c>
      <c r="BH102" s="0" t="n">
        <v>0.0219368723297712</v>
      </c>
      <c r="BI102" s="0" t="n">
        <v>0.0149621401714604</v>
      </c>
      <c r="BJ102" s="0" t="n">
        <v>-0.0043926371690058</v>
      </c>
      <c r="BK102" s="0" t="n">
        <v>0.0140954979488963</v>
      </c>
      <c r="BL102" s="0" t="n">
        <v>0.0306199668752278</v>
      </c>
      <c r="BM102" s="0" t="n">
        <v>0.0230254926730623</v>
      </c>
      <c r="BN102" s="0" t="n">
        <v>0.0181250289446349</v>
      </c>
      <c r="BO102" s="0" t="n">
        <v>0.0433152547528629</v>
      </c>
      <c r="BP102" s="0" t="n">
        <v>0.0348861665418099</v>
      </c>
      <c r="BQ102" s="0" t="n">
        <v>0.0341225735176618</v>
      </c>
      <c r="BR102" s="0" t="n">
        <v>0.0399721075000162</v>
      </c>
      <c r="BS102" s="0" t="n">
        <v>-0.0093437384510319</v>
      </c>
      <c r="BT102" s="0" t="n">
        <v>0.0340896212821212</v>
      </c>
      <c r="BU102" s="0" t="n">
        <v>0.0079095274046393</v>
      </c>
      <c r="BV102" s="0" t="n">
        <v>0.0505066209818026</v>
      </c>
      <c r="BW102" s="0" t="n">
        <v>0.0369081375000843</v>
      </c>
      <c r="BX102" s="0" t="n">
        <v>0.0163735089676937</v>
      </c>
      <c r="BY102" s="0" t="n">
        <v>0.0358050967827722</v>
      </c>
      <c r="BZ102" s="0" t="n">
        <v>0.0404732769527613</v>
      </c>
      <c r="CA102" s="0" t="n">
        <v>0.0164442328155131</v>
      </c>
      <c r="CB102" s="0" t="n">
        <v>-0.0130895855154393</v>
      </c>
      <c r="CC102" s="0" t="n">
        <v>0.0235116499588999</v>
      </c>
      <c r="CD102" s="0" t="n">
        <v>0.0360829423546621</v>
      </c>
      <c r="CE102" s="0" t="n">
        <v>0.0261946065278178</v>
      </c>
      <c r="CF102" s="0" t="n">
        <v>-0.0075410861139087</v>
      </c>
      <c r="CG102" s="0" t="n">
        <v>0.0624274398133176</v>
      </c>
      <c r="CH102" s="0" t="n">
        <v>0.0399585553549637</v>
      </c>
      <c r="CI102" s="0" t="n">
        <v>-0.0103204396737625</v>
      </c>
      <c r="CJ102" s="0" t="n">
        <v>0.040577809065807</v>
      </c>
      <c r="CK102" s="0" t="n">
        <v>0.0317744819397133</v>
      </c>
      <c r="CL102" s="0" t="n">
        <v>0.0258259582835454</v>
      </c>
      <c r="CM102" s="0" t="n">
        <v>0.0302880201285127</v>
      </c>
      <c r="CN102" s="0" t="n">
        <v>0.0084497825760665</v>
      </c>
      <c r="CO102" s="0" t="n">
        <v>0.0268183534819996</v>
      </c>
      <c r="CP102" s="0" t="n">
        <v>0.0342916389932218</v>
      </c>
      <c r="CQ102" s="0" t="n">
        <v>0.0448878697379345</v>
      </c>
      <c r="CR102" s="0" t="n">
        <v>0.0434914226589598</v>
      </c>
      <c r="CS102" s="0" t="n">
        <v>0.0358430005952453</v>
      </c>
      <c r="CT102" s="0" t="n">
        <v>0.171247881093529</v>
      </c>
      <c r="CU102" s="0" t="n">
        <v>0.0280004462083962</v>
      </c>
      <c r="CV102" s="0" t="n">
        <v>0.0388758374317718</v>
      </c>
      <c r="CW102" s="0" t="n">
        <v>0.048717617796215</v>
      </c>
      <c r="CX102" s="0" t="n">
        <v>0.0558609795559688</v>
      </c>
      <c r="CY102" s="0" t="n">
        <v>0.0495662632322299</v>
      </c>
      <c r="CZ102" s="0" t="n">
        <v>0.0464166429775122</v>
      </c>
      <c r="DA102" s="0" t="n">
        <v>0.0576932919054662</v>
      </c>
      <c r="DB102" s="0" t="n">
        <v>0.0672218590642897</v>
      </c>
      <c r="DC102" s="0" t="n">
        <v>0.0357315955497195</v>
      </c>
      <c r="DD102" s="0" t="n">
        <v>0.0909829006325098</v>
      </c>
      <c r="DE102" s="0" t="n">
        <v>0.0541148376382401</v>
      </c>
      <c r="DF102" s="0" t="n">
        <v>0.0451272015878191</v>
      </c>
      <c r="DG102" s="0" t="n">
        <v>0.0663223920442827</v>
      </c>
      <c r="DH102" s="0" t="n">
        <v>0.0360667326781185</v>
      </c>
      <c r="DI102" s="0" t="n">
        <v>0.0579632264017954</v>
      </c>
      <c r="DJ102" s="0" t="n">
        <v>0.050870787684212</v>
      </c>
      <c r="DK102" s="0" t="n">
        <v>0.0612289733171785</v>
      </c>
      <c r="DL102" s="0" t="n">
        <v>0.0321531590835109</v>
      </c>
      <c r="DM102" s="0" t="n">
        <v>0.0722653645862581</v>
      </c>
      <c r="DN102" s="0" t="n">
        <v>0.0552169114668135</v>
      </c>
      <c r="DO102" s="0" t="n">
        <v>0.0609298196970949</v>
      </c>
      <c r="DP102" s="0" t="n">
        <v>0.0605764785942461</v>
      </c>
      <c r="DQ102" s="0" t="n">
        <v>0.0425541620314701</v>
      </c>
      <c r="DR102" s="0" t="n">
        <v>0.0398649830544296</v>
      </c>
      <c r="DS102" s="0" t="n">
        <v>0.0315413520304236</v>
      </c>
      <c r="DT102" s="0" t="n">
        <v>0.0628058536188964</v>
      </c>
      <c r="DU102" s="0" t="n">
        <v>0.0828628200780839</v>
      </c>
      <c r="DV102" s="0" t="n">
        <v>0.081478666674811</v>
      </c>
      <c r="DW102" s="0" t="n">
        <v>0.0884375442209456</v>
      </c>
      <c r="DX102" s="0" t="n">
        <v>0.0522535014127894</v>
      </c>
      <c r="DY102" s="0" t="n">
        <v>0.0975432812073954</v>
      </c>
      <c r="DZ102" s="0" t="n">
        <v>0.0822141665641924</v>
      </c>
      <c r="EA102" s="0" t="n">
        <v>0.0586244772889286</v>
      </c>
      <c r="EB102" s="0" t="n">
        <v>0.097859420919515</v>
      </c>
      <c r="EC102" s="0" t="n">
        <v>0.0328035641637181</v>
      </c>
      <c r="ED102" s="0" t="n">
        <v>0.110132199009327</v>
      </c>
      <c r="EE102" s="0" t="n">
        <v>0.0801286926694635</v>
      </c>
      <c r="EF102" s="0" t="n">
        <v>0.0398834952496573</v>
      </c>
      <c r="EG102" s="0" t="n">
        <v>0.0651719114009278</v>
      </c>
      <c r="EH102" s="0" t="n">
        <v>0.0628837854845218</v>
      </c>
      <c r="EI102" s="0" t="n">
        <v>0.0426936523376653</v>
      </c>
      <c r="EJ102" s="0" t="n">
        <v>0.0842645923416421</v>
      </c>
      <c r="EK102" s="0" t="n">
        <v>0.0945151985895202</v>
      </c>
      <c r="EL102" s="0" t="n">
        <v>0.0875402013587823</v>
      </c>
      <c r="EM102" s="0" t="n">
        <v>0.0107492656971475</v>
      </c>
      <c r="EN102" s="0" t="n">
        <v>0.0707056874200397</v>
      </c>
      <c r="EO102" s="0" t="n">
        <v>0.146374938867761</v>
      </c>
      <c r="EP102" s="72" t="n">
        <f aca="false">SUMPRODUCT(B102:EO102,$B$5:$EO$5)</f>
        <v>0.0497784669907211</v>
      </c>
      <c r="EQ102" s="72" t="n">
        <f aca="false">SUMIF('Mi portafolio'!$A$8:$A$19,$A102,'Mi portafolio'!$B$8:$B$19)</f>
        <v>0</v>
      </c>
    </row>
    <row r="103" customFormat="false" ht="15" hidden="false" customHeight="false" outlineLevel="0" collapsed="false">
      <c r="A103" s="71" t="s">
        <v>161</v>
      </c>
      <c r="B103" s="0" t="n">
        <v>-0.0002796744574127</v>
      </c>
      <c r="C103" s="0" t="n">
        <v>0.0006562807086244</v>
      </c>
      <c r="D103" s="0" t="n">
        <v>0.0060608667336605</v>
      </c>
      <c r="E103" s="0" t="n">
        <v>0.0008703712444209</v>
      </c>
      <c r="F103" s="0" t="n">
        <v>-0.0002082663147276</v>
      </c>
      <c r="G103" s="0" t="n">
        <v>-0.0023072871759467</v>
      </c>
      <c r="H103" s="0" t="n">
        <v>0.0034114599008478</v>
      </c>
      <c r="I103" s="0" t="n">
        <v>0.0060380379809293</v>
      </c>
      <c r="J103" s="0" t="n">
        <v>0.0008802396621495</v>
      </c>
      <c r="K103" s="0" t="n">
        <v>0.0039934887557193</v>
      </c>
      <c r="L103" s="0" t="n">
        <v>0.0091353269873944</v>
      </c>
      <c r="M103" s="0" t="n">
        <v>0.012963875022756</v>
      </c>
      <c r="N103" s="0" t="n">
        <v>0.0106072108239397</v>
      </c>
      <c r="O103" s="0" t="n">
        <v>0.0009915499822793</v>
      </c>
      <c r="P103" s="0" t="n">
        <v>0.0042809349652019</v>
      </c>
      <c r="Q103" s="0" t="n">
        <v>0.0093095078886795</v>
      </c>
      <c r="R103" s="0" t="n">
        <v>0.0044163353246974</v>
      </c>
      <c r="S103" s="0" t="n">
        <v>0.0042132806903484</v>
      </c>
      <c r="T103" s="0" t="n">
        <v>0.0111943370258326</v>
      </c>
      <c r="U103" s="0" t="n">
        <v>0.0106694742516628</v>
      </c>
      <c r="V103" s="0" t="n">
        <v>0.005998571226282</v>
      </c>
      <c r="W103" s="0" t="n">
        <v>0.0013319992720079</v>
      </c>
      <c r="X103" s="0" t="n">
        <v>0.0118193034420778</v>
      </c>
      <c r="Y103" s="0" t="n">
        <v>0.0008224328297951</v>
      </c>
      <c r="Z103" s="0" t="n">
        <v>0.0144616221076393</v>
      </c>
      <c r="AA103" s="0" t="n">
        <v>0.0039898620331747</v>
      </c>
      <c r="AB103" s="0" t="n">
        <v>-0.0001511523696384</v>
      </c>
      <c r="AC103" s="0" t="n">
        <v>0.002933153358491</v>
      </c>
      <c r="AD103" s="0" t="n">
        <v>0.0058242082309026</v>
      </c>
      <c r="AE103" s="0" t="n">
        <v>0.0129091568618836</v>
      </c>
      <c r="AF103" s="0" t="n">
        <v>0.00861772773324</v>
      </c>
      <c r="AG103" s="0" t="n">
        <v>-0.0011617941639852</v>
      </c>
      <c r="AH103" s="0" t="n">
        <v>-0.0035376946620639</v>
      </c>
      <c r="AI103" s="0" t="n">
        <v>0.0002524124870022</v>
      </c>
      <c r="AJ103" s="0" t="n">
        <v>0.0077296823653026</v>
      </c>
      <c r="AK103" s="0" t="n">
        <v>0.0101251114070703</v>
      </c>
      <c r="AL103" s="0" t="n">
        <v>0.0222878804757799</v>
      </c>
      <c r="AM103" s="0" t="n">
        <v>0.0175916713346087</v>
      </c>
      <c r="AN103" s="0" t="n">
        <v>0.009617236220761</v>
      </c>
      <c r="AO103" s="0" t="n">
        <v>-0.0083179893048792</v>
      </c>
      <c r="AP103" s="0" t="n">
        <v>0.0139328648309795</v>
      </c>
      <c r="AQ103" s="0" t="n">
        <v>-0.0019793608864369</v>
      </c>
      <c r="AR103" s="0" t="n">
        <v>0.0162162492513515</v>
      </c>
      <c r="AS103" s="0" t="n">
        <v>0.0203537739437481</v>
      </c>
      <c r="AT103" s="0" t="n">
        <v>0.0126841199635992</v>
      </c>
      <c r="AU103" s="0" t="n">
        <v>0.0037681768522875</v>
      </c>
      <c r="AV103" s="0" t="n">
        <v>0.0179719227218951</v>
      </c>
      <c r="AW103" s="0" t="n">
        <v>0.0096566252179497</v>
      </c>
      <c r="AX103" s="0" t="n">
        <v>0.0024360650922864</v>
      </c>
      <c r="AY103" s="0" t="n">
        <v>0.0033545753544479</v>
      </c>
      <c r="AZ103" s="0" t="n">
        <v>0.0086880990813378</v>
      </c>
      <c r="BA103" s="0" t="n">
        <v>0.0035908927845545</v>
      </c>
      <c r="BB103" s="0" t="n">
        <v>0.014919365900482</v>
      </c>
      <c r="BC103" s="0" t="n">
        <v>0.0122508522056161</v>
      </c>
      <c r="BD103" s="0" t="n">
        <v>0.0151834816942916</v>
      </c>
      <c r="BE103" s="0" t="n">
        <v>-0.0010115067783895</v>
      </c>
      <c r="BF103" s="0" t="n">
        <v>0.0214274171371412</v>
      </c>
      <c r="BG103" s="0" t="n">
        <v>0.0098710626919445</v>
      </c>
      <c r="BH103" s="0" t="n">
        <v>0.0257171871393531</v>
      </c>
      <c r="BI103" s="0" t="n">
        <v>0.0114441140786847</v>
      </c>
      <c r="BJ103" s="0" t="n">
        <v>-0.0015732393736406</v>
      </c>
      <c r="BK103" s="0" t="n">
        <v>0.0149197272914902</v>
      </c>
      <c r="BL103" s="0" t="n">
        <v>0.0334889374086855</v>
      </c>
      <c r="BM103" s="0" t="n">
        <v>0.0134475632313307</v>
      </c>
      <c r="BN103" s="0" t="n">
        <v>0.0078785536555234</v>
      </c>
      <c r="BO103" s="0" t="n">
        <v>0.0500202740968259</v>
      </c>
      <c r="BP103" s="0" t="n">
        <v>0.0191210896051874</v>
      </c>
      <c r="BQ103" s="0" t="n">
        <v>0.0204119761126412</v>
      </c>
      <c r="BR103" s="0" t="n">
        <v>0.0370716466385332</v>
      </c>
      <c r="BS103" s="0" t="n">
        <v>0.0056079858310136</v>
      </c>
      <c r="BT103" s="0" t="n">
        <v>0.0236862601963327</v>
      </c>
      <c r="BU103" s="0" t="n">
        <v>0.0205661220174628</v>
      </c>
      <c r="BV103" s="0" t="n">
        <v>0.0427838252340629</v>
      </c>
      <c r="BW103" s="0" t="n">
        <v>0.0308905587345834</v>
      </c>
      <c r="BX103" s="0" t="n">
        <v>0.0006080015318142</v>
      </c>
      <c r="BY103" s="0" t="n">
        <v>0.0203073431714687</v>
      </c>
      <c r="BZ103" s="0" t="n">
        <v>0.029026637031958</v>
      </c>
      <c r="CA103" s="0" t="n">
        <v>0.0064507721457965</v>
      </c>
      <c r="CB103" s="0" t="n">
        <v>-0.007014422289796</v>
      </c>
      <c r="CC103" s="0" t="n">
        <v>0.0015583958779796</v>
      </c>
      <c r="CD103" s="0" t="n">
        <v>0.0294505116279234</v>
      </c>
      <c r="CE103" s="0" t="n">
        <v>0.0167728019989925</v>
      </c>
      <c r="CF103" s="0" t="n">
        <v>-0.0006702702186579</v>
      </c>
      <c r="CG103" s="0" t="n">
        <v>0.0215562000305698</v>
      </c>
      <c r="CH103" s="0" t="n">
        <v>0.03909727481417</v>
      </c>
      <c r="CI103" s="0" t="n">
        <v>-0.0029796643928258</v>
      </c>
      <c r="CJ103" s="0" t="n">
        <v>0.0133751793162444</v>
      </c>
      <c r="CK103" s="0" t="n">
        <v>0.0224872979565446</v>
      </c>
      <c r="CL103" s="0" t="n">
        <v>0.0309088555611704</v>
      </c>
      <c r="CM103" s="0" t="n">
        <v>0.050253931692929</v>
      </c>
      <c r="CN103" s="0" t="n">
        <v>0.0146598906796023</v>
      </c>
      <c r="CO103" s="0" t="n">
        <v>0.0223160060230276</v>
      </c>
      <c r="CP103" s="0" t="n">
        <v>0.0141120686529264</v>
      </c>
      <c r="CQ103" s="0" t="n">
        <v>0.0274124631639032</v>
      </c>
      <c r="CR103" s="0" t="n">
        <v>0.0530161987234871</v>
      </c>
      <c r="CS103" s="0" t="n">
        <v>0.03923591628429</v>
      </c>
      <c r="CT103" s="0" t="n">
        <v>0.0280004462083962</v>
      </c>
      <c r="CU103" s="0" t="n">
        <v>0.1640365903443</v>
      </c>
      <c r="CV103" s="0" t="n">
        <v>0.0415427135688912</v>
      </c>
      <c r="CW103" s="0" t="n">
        <v>0.0350027327239041</v>
      </c>
      <c r="CX103" s="0" t="n">
        <v>0.0353963292899154</v>
      </c>
      <c r="CY103" s="0" t="n">
        <v>0.0266404639118946</v>
      </c>
      <c r="CZ103" s="0" t="n">
        <v>0.0266638451268825</v>
      </c>
      <c r="DA103" s="0" t="n">
        <v>0.0342471763049451</v>
      </c>
      <c r="DB103" s="0" t="n">
        <v>0.0457897599460418</v>
      </c>
      <c r="DC103" s="0" t="n">
        <v>0.0279573448421176</v>
      </c>
      <c r="DD103" s="0" t="n">
        <v>0.0245870760469003</v>
      </c>
      <c r="DE103" s="0" t="n">
        <v>0.0462431620313899</v>
      </c>
      <c r="DF103" s="0" t="n">
        <v>-0.0028299449703614</v>
      </c>
      <c r="DG103" s="0" t="n">
        <v>0.043986594159792</v>
      </c>
      <c r="DH103" s="0" t="n">
        <v>0.0515522640051921</v>
      </c>
      <c r="DI103" s="0" t="n">
        <v>0.0313347393072611</v>
      </c>
      <c r="DJ103" s="0" t="n">
        <v>0.0304266462566107</v>
      </c>
      <c r="DK103" s="0" t="n">
        <v>0.0367696136902671</v>
      </c>
      <c r="DL103" s="0" t="n">
        <v>0.0472081585181035</v>
      </c>
      <c r="DM103" s="0" t="n">
        <v>0.0325457416583387</v>
      </c>
      <c r="DN103" s="0" t="n">
        <v>0.0172809671430811</v>
      </c>
      <c r="DO103" s="0" t="n">
        <v>0.036277860445673</v>
      </c>
      <c r="DP103" s="0" t="n">
        <v>0.034288175325349</v>
      </c>
      <c r="DQ103" s="0" t="n">
        <v>0.0385078463945372</v>
      </c>
      <c r="DR103" s="0" t="n">
        <v>0.0558363172781844</v>
      </c>
      <c r="DS103" s="0" t="n">
        <v>0.0252247256566031</v>
      </c>
      <c r="DT103" s="0" t="n">
        <v>0.0476834018345688</v>
      </c>
      <c r="DU103" s="0" t="n">
        <v>0.0443264752664319</v>
      </c>
      <c r="DV103" s="0" t="n">
        <v>0.0269896250954084</v>
      </c>
      <c r="DW103" s="0" t="n">
        <v>0.0394847757644531</v>
      </c>
      <c r="DX103" s="0" t="n">
        <v>0.0463647484262637</v>
      </c>
      <c r="DY103" s="0" t="n">
        <v>0.0285096220379845</v>
      </c>
      <c r="DZ103" s="0" t="n">
        <v>0.0265471177182211</v>
      </c>
      <c r="EA103" s="0" t="n">
        <v>0.0557129440700557</v>
      </c>
      <c r="EB103" s="0" t="n">
        <v>0.0383700507851637</v>
      </c>
      <c r="EC103" s="0" t="n">
        <v>0.0340129165941593</v>
      </c>
      <c r="ED103" s="0" t="n">
        <v>0.0305865666698409</v>
      </c>
      <c r="EE103" s="0" t="n">
        <v>0.0835636472208943</v>
      </c>
      <c r="EF103" s="0" t="n">
        <v>0.0611622062268934</v>
      </c>
      <c r="EG103" s="0" t="n">
        <v>0.0546591380098509</v>
      </c>
      <c r="EH103" s="0" t="n">
        <v>0.0403409270428405</v>
      </c>
      <c r="EI103" s="0" t="n">
        <v>0.0539348310681132</v>
      </c>
      <c r="EJ103" s="0" t="n">
        <v>0.0649120633104021</v>
      </c>
      <c r="EK103" s="0" t="n">
        <v>0.101345429975481</v>
      </c>
      <c r="EL103" s="0" t="n">
        <v>0.102848375812906</v>
      </c>
      <c r="EM103" s="0" t="n">
        <v>0.0435700811717836</v>
      </c>
      <c r="EN103" s="0" t="n">
        <v>0.0218755863624267</v>
      </c>
      <c r="EO103" s="0" t="n">
        <v>0.0824986128076968</v>
      </c>
      <c r="EP103" s="72" t="n">
        <f aca="false">SUMPRODUCT(B103:EO103,$B$5:$EO$5)</f>
        <v>0.050467697432343</v>
      </c>
      <c r="EQ103" s="72" t="n">
        <f aca="false">SUMIF('Mi portafolio'!$A$8:$A$19,$A103,'Mi portafolio'!$B$8:$B$19)</f>
        <v>0</v>
      </c>
    </row>
    <row r="104" customFormat="false" ht="15" hidden="false" customHeight="false" outlineLevel="0" collapsed="false">
      <c r="A104" s="71" t="s">
        <v>330</v>
      </c>
      <c r="B104" s="0" t="n">
        <v>0.0048031355437616</v>
      </c>
      <c r="C104" s="0" t="n">
        <v>-0.0044972026319021</v>
      </c>
      <c r="D104" s="0" t="n">
        <v>0.0013052858440435</v>
      </c>
      <c r="E104" s="0" t="n">
        <v>-0.0003513620222215</v>
      </c>
      <c r="F104" s="0" t="n">
        <v>-0.0049896470917264</v>
      </c>
      <c r="G104" s="0" t="n">
        <v>0.0011761464272879</v>
      </c>
      <c r="H104" s="0" t="n">
        <v>0.0019620140597231</v>
      </c>
      <c r="I104" s="0" t="n">
        <v>0.0050668138718688</v>
      </c>
      <c r="J104" s="0" t="n">
        <v>-0.0070037273220048</v>
      </c>
      <c r="K104" s="0" t="n">
        <v>0.0073926943853724</v>
      </c>
      <c r="L104" s="0" t="n">
        <v>-3.45024400392752E-005</v>
      </c>
      <c r="M104" s="0" t="n">
        <v>0.0245335456770196</v>
      </c>
      <c r="N104" s="0" t="n">
        <v>0.0060764380815948</v>
      </c>
      <c r="O104" s="0" t="n">
        <v>0.0021941745256521</v>
      </c>
      <c r="P104" s="0" t="n">
        <v>-0.0039037945878361</v>
      </c>
      <c r="Q104" s="0" t="n">
        <v>-0.0091654688692207</v>
      </c>
      <c r="R104" s="0" t="n">
        <v>0.0024854517585879</v>
      </c>
      <c r="S104" s="0" t="n">
        <v>0.0050145026517895</v>
      </c>
      <c r="T104" s="0" t="n">
        <v>0.0209815563476287</v>
      </c>
      <c r="U104" s="0" t="n">
        <v>0.0123629617307281</v>
      </c>
      <c r="V104" s="0" t="n">
        <v>0.0119218363196379</v>
      </c>
      <c r="W104" s="0" t="n">
        <v>-0.0030824309999574</v>
      </c>
      <c r="X104" s="0" t="n">
        <v>0.0201579197638465</v>
      </c>
      <c r="Y104" s="0" t="n">
        <v>0.0228668962605445</v>
      </c>
      <c r="Z104" s="0" t="n">
        <v>0.0095348171280953</v>
      </c>
      <c r="AA104" s="0" t="n">
        <v>-0.0030965936355712</v>
      </c>
      <c r="AB104" s="0" t="n">
        <v>0.0245927972325122</v>
      </c>
      <c r="AC104" s="0" t="n">
        <v>0.011062050795034</v>
      </c>
      <c r="AD104" s="0" t="n">
        <v>0.0046392658057641</v>
      </c>
      <c r="AE104" s="0" t="n">
        <v>0.0138948317577361</v>
      </c>
      <c r="AF104" s="0" t="n">
        <v>0.0180828441051467</v>
      </c>
      <c r="AG104" s="0" t="n">
        <v>0.0010512702976271</v>
      </c>
      <c r="AH104" s="0" t="n">
        <v>-0.0045475661295203</v>
      </c>
      <c r="AI104" s="0" t="n">
        <v>-0.0164347586703269</v>
      </c>
      <c r="AJ104" s="0" t="n">
        <v>-0.0078962768091832</v>
      </c>
      <c r="AK104" s="0" t="n">
        <v>0.0129737754572601</v>
      </c>
      <c r="AL104" s="0" t="n">
        <v>0.0172320381936142</v>
      </c>
      <c r="AM104" s="0" t="n">
        <v>0.0095543112642591</v>
      </c>
      <c r="AN104" s="0" t="n">
        <v>0.0185817728548043</v>
      </c>
      <c r="AO104" s="0" t="n">
        <v>-0.004550913540828</v>
      </c>
      <c r="AP104" s="0" t="n">
        <v>0.0193796511304528</v>
      </c>
      <c r="AQ104" s="0" t="n">
        <v>-0.0202601319839048</v>
      </c>
      <c r="AR104" s="0" t="n">
        <v>0.0310640075881403</v>
      </c>
      <c r="AS104" s="0" t="n">
        <v>0.0078481722494344</v>
      </c>
      <c r="AT104" s="0" t="n">
        <v>0.0315154554103181</v>
      </c>
      <c r="AU104" s="0" t="n">
        <v>-0.0018200046973959</v>
      </c>
      <c r="AV104" s="0" t="n">
        <v>0.0035171852462325</v>
      </c>
      <c r="AW104" s="0" t="n">
        <v>0.0027419462547822</v>
      </c>
      <c r="AX104" s="0" t="n">
        <v>-0.0127067994320647</v>
      </c>
      <c r="AY104" s="0" t="n">
        <v>0.015043552679074</v>
      </c>
      <c r="AZ104" s="0" t="n">
        <v>0.0209215007499044</v>
      </c>
      <c r="BA104" s="0" t="n">
        <v>0.0066271134011361</v>
      </c>
      <c r="BB104" s="0" t="n">
        <v>0.0334159826744623</v>
      </c>
      <c r="BC104" s="0" t="n">
        <v>0.000471045336707</v>
      </c>
      <c r="BD104" s="0" t="n">
        <v>0.0060696569083614</v>
      </c>
      <c r="BE104" s="0" t="n">
        <v>0.0047518614791654</v>
      </c>
      <c r="BF104" s="0" t="n">
        <v>0.0108672757839149</v>
      </c>
      <c r="BG104" s="0" t="n">
        <v>0.0228689943013253</v>
      </c>
      <c r="BH104" s="0" t="n">
        <v>0.0218216093957368</v>
      </c>
      <c r="BI104" s="0" t="n">
        <v>0.019209506079854</v>
      </c>
      <c r="BJ104" s="0" t="n">
        <v>-0.0069239429047642</v>
      </c>
      <c r="BK104" s="0" t="n">
        <v>0.0236916156188195</v>
      </c>
      <c r="BL104" s="0" t="n">
        <v>0.0150154189566031</v>
      </c>
      <c r="BM104" s="0" t="n">
        <v>0.0155250275381761</v>
      </c>
      <c r="BN104" s="0" t="n">
        <v>0.0125946573366896</v>
      </c>
      <c r="BO104" s="0" t="n">
        <v>0.0421614952533603</v>
      </c>
      <c r="BP104" s="0" t="n">
        <v>0.0248109342201151</v>
      </c>
      <c r="BQ104" s="0" t="n">
        <v>0.0221336084380574</v>
      </c>
      <c r="BR104" s="0" t="n">
        <v>0.018115130421174</v>
      </c>
      <c r="BS104" s="0" t="n">
        <v>-0.0165049602587239</v>
      </c>
      <c r="BT104" s="0" t="n">
        <v>0.0261367713297499</v>
      </c>
      <c r="BU104" s="0" t="n">
        <v>0.0147806190519573</v>
      </c>
      <c r="BV104" s="0" t="n">
        <v>0.0574778783541578</v>
      </c>
      <c r="BW104" s="0" t="n">
        <v>0.0008589915356596</v>
      </c>
      <c r="BX104" s="0" t="n">
        <v>-0.0065100218752264</v>
      </c>
      <c r="BY104" s="0" t="n">
        <v>0.036957850575509</v>
      </c>
      <c r="BZ104" s="0" t="n">
        <v>0.0341817372801272</v>
      </c>
      <c r="CA104" s="0" t="n">
        <v>0.0124282019238133</v>
      </c>
      <c r="CB104" s="0" t="n">
        <v>-0.0064649326624674</v>
      </c>
      <c r="CC104" s="0" t="n">
        <v>0.0172933559812281</v>
      </c>
      <c r="CD104" s="0" t="n">
        <v>0.0385725852068727</v>
      </c>
      <c r="CE104" s="0" t="n">
        <v>0.0175697676457539</v>
      </c>
      <c r="CF104" s="0" t="n">
        <v>-0.0263596601286871</v>
      </c>
      <c r="CG104" s="0" t="n">
        <v>0.0409313952451716</v>
      </c>
      <c r="CH104" s="0" t="n">
        <v>0.0310973650284577</v>
      </c>
      <c r="CI104" s="0" t="n">
        <v>-0.0240938205255942</v>
      </c>
      <c r="CJ104" s="0" t="n">
        <v>0.0229129652106623</v>
      </c>
      <c r="CK104" s="0" t="n">
        <v>0.0350103709553907</v>
      </c>
      <c r="CL104" s="0" t="n">
        <v>0.035054340314584</v>
      </c>
      <c r="CM104" s="0" t="n">
        <v>0.0461288921744537</v>
      </c>
      <c r="CN104" s="0" t="n">
        <v>0.0047417257273843</v>
      </c>
      <c r="CO104" s="0" t="n">
        <v>0.0187012396721325</v>
      </c>
      <c r="CP104" s="0" t="n">
        <v>0.028789657925554</v>
      </c>
      <c r="CQ104" s="0" t="n">
        <v>0.0440603698276937</v>
      </c>
      <c r="CR104" s="0" t="n">
        <v>0.0356669783526966</v>
      </c>
      <c r="CS104" s="0" t="n">
        <v>0.0201309093940479</v>
      </c>
      <c r="CT104" s="0" t="n">
        <v>0.0388758374317718</v>
      </c>
      <c r="CU104" s="0" t="n">
        <v>0.0415427135688912</v>
      </c>
      <c r="CV104" s="0" t="n">
        <v>0.173941738546588</v>
      </c>
      <c r="CW104" s="0" t="n">
        <v>0.0489465802685263</v>
      </c>
      <c r="CX104" s="0" t="n">
        <v>0.0488205446474117</v>
      </c>
      <c r="CY104" s="0" t="n">
        <v>0.0615681968049668</v>
      </c>
      <c r="CZ104" s="0" t="n">
        <v>0.0317781396004953</v>
      </c>
      <c r="DA104" s="0" t="n">
        <v>0.0405521359575359</v>
      </c>
      <c r="DB104" s="0" t="n">
        <v>0.0687600839012133</v>
      </c>
      <c r="DC104" s="0" t="n">
        <v>0.0399082808775079</v>
      </c>
      <c r="DD104" s="0" t="n">
        <v>0.0531410126881212</v>
      </c>
      <c r="DE104" s="0" t="n">
        <v>0.0358043919276014</v>
      </c>
      <c r="DF104" s="0" t="n">
        <v>0.0202687383376276</v>
      </c>
      <c r="DG104" s="0" t="n">
        <v>0.0184622287331785</v>
      </c>
      <c r="DH104" s="0" t="n">
        <v>0.0394102575248903</v>
      </c>
      <c r="DI104" s="0" t="n">
        <v>0.0524557255220924</v>
      </c>
      <c r="DJ104" s="0" t="n">
        <v>0.0648699049757128</v>
      </c>
      <c r="DK104" s="0" t="n">
        <v>0.0565558859148455</v>
      </c>
      <c r="DL104" s="0" t="n">
        <v>0.0190281880849206</v>
      </c>
      <c r="DM104" s="0" t="n">
        <v>0.0677352289144999</v>
      </c>
      <c r="DN104" s="0" t="n">
        <v>0.0356020293733452</v>
      </c>
      <c r="DO104" s="0" t="n">
        <v>0.0469394014645307</v>
      </c>
      <c r="DP104" s="0" t="n">
        <v>0.0797841176174914</v>
      </c>
      <c r="DQ104" s="0" t="n">
        <v>0.0199209073019955</v>
      </c>
      <c r="DR104" s="0" t="n">
        <v>0.0203494648162622</v>
      </c>
      <c r="DS104" s="0" t="n">
        <v>0.0423104444838806</v>
      </c>
      <c r="DT104" s="0" t="n">
        <v>0.052487047743463</v>
      </c>
      <c r="DU104" s="0" t="n">
        <v>0.0661208869651416</v>
      </c>
      <c r="DV104" s="0" t="n">
        <v>0.0575393435165773</v>
      </c>
      <c r="DW104" s="0" t="n">
        <v>0.0895309228915863</v>
      </c>
      <c r="DX104" s="0" t="n">
        <v>0.0283855099043869</v>
      </c>
      <c r="DY104" s="0" t="n">
        <v>0.0813305228050161</v>
      </c>
      <c r="DZ104" s="0" t="n">
        <v>0.0215977322728228</v>
      </c>
      <c r="EA104" s="0" t="n">
        <v>0.0567710404317255</v>
      </c>
      <c r="EB104" s="0" t="n">
        <v>0.083627706834088</v>
      </c>
      <c r="EC104" s="0" t="n">
        <v>0.0169349296087102</v>
      </c>
      <c r="ED104" s="0" t="n">
        <v>0.0483244642460682</v>
      </c>
      <c r="EE104" s="0" t="n">
        <v>0.0629843821468186</v>
      </c>
      <c r="EF104" s="0" t="n">
        <v>0.043834538040873</v>
      </c>
      <c r="EG104" s="0" t="n">
        <v>0.058290581365861</v>
      </c>
      <c r="EH104" s="0" t="n">
        <v>0.0547891570462003</v>
      </c>
      <c r="EI104" s="0" t="n">
        <v>0.0303888530500047</v>
      </c>
      <c r="EJ104" s="0" t="n">
        <v>0.0587582771072066</v>
      </c>
      <c r="EK104" s="0" t="n">
        <v>0.0316379983240406</v>
      </c>
      <c r="EL104" s="0" t="n">
        <v>0.0397562008992523</v>
      </c>
      <c r="EM104" s="0" t="n">
        <v>0.0450467609146613</v>
      </c>
      <c r="EN104" s="0" t="n">
        <v>0.0571046526672633</v>
      </c>
      <c r="EO104" s="0" t="n">
        <v>0.0584943614662461</v>
      </c>
      <c r="EP104" s="72" t="n">
        <f aca="false">SUMPRODUCT(B104:EO104,$B$5:$EO$5)</f>
        <v>0.0403118928098053</v>
      </c>
      <c r="EQ104" s="72" t="n">
        <f aca="false">SUMIF('Mi portafolio'!$A$8:$A$19,$A104,'Mi portafolio'!$B$8:$B$19)</f>
        <v>0</v>
      </c>
    </row>
    <row r="105" customFormat="false" ht="15" hidden="false" customHeight="false" outlineLevel="0" collapsed="false">
      <c r="A105" s="71" t="s">
        <v>331</v>
      </c>
      <c r="B105" s="0" t="n">
        <v>0.0074647387019947</v>
      </c>
      <c r="C105" s="0" t="n">
        <v>0.0016385451623157</v>
      </c>
      <c r="D105" s="0" t="n">
        <v>-0.0008755020982273</v>
      </c>
      <c r="E105" s="0" t="n">
        <v>0.0080912913949558</v>
      </c>
      <c r="F105" s="0" t="n">
        <v>0.0080418939974151</v>
      </c>
      <c r="G105" s="0" t="n">
        <v>-0.002745793105584</v>
      </c>
      <c r="H105" s="0" t="n">
        <v>0.0061562119496965</v>
      </c>
      <c r="I105" s="0" t="n">
        <v>0.0207054115477506</v>
      </c>
      <c r="J105" s="0" t="n">
        <v>0.0060713965072219</v>
      </c>
      <c r="K105" s="0" t="n">
        <v>0.0115966605581264</v>
      </c>
      <c r="L105" s="0" t="n">
        <v>0.0124863172857969</v>
      </c>
      <c r="M105" s="0" t="n">
        <v>0.027593820279493</v>
      </c>
      <c r="N105" s="0" t="n">
        <v>0.0173297540489933</v>
      </c>
      <c r="O105" s="0" t="n">
        <v>0.0059767090093917</v>
      </c>
      <c r="P105" s="0" t="n">
        <v>0.014806643824558</v>
      </c>
      <c r="Q105" s="0" t="n">
        <v>0.0172720838458613</v>
      </c>
      <c r="R105" s="0" t="n">
        <v>0.0116814222014403</v>
      </c>
      <c r="S105" s="0" t="n">
        <v>0.0135608425420899</v>
      </c>
      <c r="T105" s="0" t="n">
        <v>0.0229210842134387</v>
      </c>
      <c r="U105" s="0" t="n">
        <v>0.0186839281243498</v>
      </c>
      <c r="V105" s="0" t="n">
        <v>0.00606932269997</v>
      </c>
      <c r="W105" s="0" t="n">
        <v>0.0075907458290287</v>
      </c>
      <c r="X105" s="0" t="n">
        <v>0.0218707059023907</v>
      </c>
      <c r="Y105" s="0" t="n">
        <v>0.0333309939702281</v>
      </c>
      <c r="Z105" s="0" t="n">
        <v>0.0106640277617949</v>
      </c>
      <c r="AA105" s="0" t="n">
        <v>0.0208861291232039</v>
      </c>
      <c r="AB105" s="0" t="n">
        <v>0.0328094376678069</v>
      </c>
      <c r="AC105" s="0" t="n">
        <v>0.0105700688510066</v>
      </c>
      <c r="AD105" s="0" t="n">
        <v>0.0121456000589217</v>
      </c>
      <c r="AE105" s="0" t="n">
        <v>0.0150407420518326</v>
      </c>
      <c r="AF105" s="0" t="n">
        <v>0.0129025811420365</v>
      </c>
      <c r="AG105" s="0" t="n">
        <v>0.0017062987967516</v>
      </c>
      <c r="AH105" s="0" t="n">
        <v>0.0013786370579083</v>
      </c>
      <c r="AI105" s="0" t="n">
        <v>-0.005630356203804</v>
      </c>
      <c r="AJ105" s="0" t="n">
        <v>0.0050253452007079</v>
      </c>
      <c r="AK105" s="0" t="n">
        <v>0.0075773821438238</v>
      </c>
      <c r="AL105" s="0" t="n">
        <v>0.0246896340954649</v>
      </c>
      <c r="AM105" s="0" t="n">
        <v>0.0142694159234055</v>
      </c>
      <c r="AN105" s="0" t="n">
        <v>0.0375051856077479</v>
      </c>
      <c r="AO105" s="0" t="n">
        <v>0.0141634859155373</v>
      </c>
      <c r="AP105" s="0" t="n">
        <v>0.0383808191977904</v>
      </c>
      <c r="AQ105" s="0" t="n">
        <v>-0.0118017082321466</v>
      </c>
      <c r="AR105" s="0" t="n">
        <v>0.0296749918085289</v>
      </c>
      <c r="AS105" s="0" t="n">
        <v>0.0195262584983773</v>
      </c>
      <c r="AT105" s="0" t="n">
        <v>0.036063601835486</v>
      </c>
      <c r="AU105" s="0" t="n">
        <v>-0.0029727829140271</v>
      </c>
      <c r="AV105" s="0" t="n">
        <v>0.0169949428076948</v>
      </c>
      <c r="AW105" s="0" t="n">
        <v>0.0127615242269473</v>
      </c>
      <c r="AX105" s="0" t="n">
        <v>0.0090777058229338</v>
      </c>
      <c r="AY105" s="0" t="n">
        <v>0.0228331269153796</v>
      </c>
      <c r="AZ105" s="0" t="n">
        <v>0.0154791674455188</v>
      </c>
      <c r="BA105" s="0" t="n">
        <v>0.0186633963947107</v>
      </c>
      <c r="BB105" s="0" t="n">
        <v>0.03240468248291</v>
      </c>
      <c r="BC105" s="0" t="n">
        <v>0.0165397870289228</v>
      </c>
      <c r="BD105" s="0" t="n">
        <v>0.0219891044516108</v>
      </c>
      <c r="BE105" s="0" t="n">
        <v>0.0197382655234238</v>
      </c>
      <c r="BF105" s="0" t="n">
        <v>0.0155656013680744</v>
      </c>
      <c r="BG105" s="0" t="n">
        <v>0.0477437231663313</v>
      </c>
      <c r="BH105" s="0" t="n">
        <v>0.0183009811229956</v>
      </c>
      <c r="BI105" s="0" t="n">
        <v>0.0098021551935905</v>
      </c>
      <c r="BJ105" s="0" t="n">
        <v>0.0060632146562007</v>
      </c>
      <c r="BK105" s="0" t="n">
        <v>0.0147102456023485</v>
      </c>
      <c r="BL105" s="0" t="n">
        <v>0.0252271959693846</v>
      </c>
      <c r="BM105" s="0" t="n">
        <v>0.025713918573065</v>
      </c>
      <c r="BN105" s="0" t="n">
        <v>-0.0068988525326003</v>
      </c>
      <c r="BO105" s="0" t="n">
        <v>0.0407341686499369</v>
      </c>
      <c r="BP105" s="0" t="n">
        <v>0.0437337897555109</v>
      </c>
      <c r="BQ105" s="0" t="n">
        <v>0.0255432880219705</v>
      </c>
      <c r="BR105" s="0" t="n">
        <v>0.0465617633338918</v>
      </c>
      <c r="BS105" s="0" t="n">
        <v>-0.01058942342511</v>
      </c>
      <c r="BT105" s="0" t="n">
        <v>0.037133563333688</v>
      </c>
      <c r="BU105" s="0" t="n">
        <v>0.0186828696765911</v>
      </c>
      <c r="BV105" s="0" t="n">
        <v>0.0496522433142442</v>
      </c>
      <c r="BW105" s="0" t="n">
        <v>0.0465001318414172</v>
      </c>
      <c r="BX105" s="0" t="n">
        <v>0.0150203840297958</v>
      </c>
      <c r="BY105" s="0" t="n">
        <v>0.0448870787212117</v>
      </c>
      <c r="BZ105" s="0" t="n">
        <v>0.0408835997879367</v>
      </c>
      <c r="CA105" s="0" t="n">
        <v>0.0184940975942755</v>
      </c>
      <c r="CB105" s="0" t="n">
        <v>0.0021379222337741</v>
      </c>
      <c r="CC105" s="0" t="n">
        <v>0.0097822519418907</v>
      </c>
      <c r="CD105" s="0" t="n">
        <v>0.0651909057627039</v>
      </c>
      <c r="CE105" s="0" t="n">
        <v>0.009303924240618</v>
      </c>
      <c r="CF105" s="0" t="n">
        <v>-0.0189566965491868</v>
      </c>
      <c r="CG105" s="0" t="n">
        <v>0.0490808793135418</v>
      </c>
      <c r="CH105" s="0" t="n">
        <v>0.0291913559728526</v>
      </c>
      <c r="CI105" s="0" t="n">
        <v>-0.0179530195983403</v>
      </c>
      <c r="CJ105" s="0" t="n">
        <v>0.0391895308432008</v>
      </c>
      <c r="CK105" s="0" t="n">
        <v>0.0404139942352582</v>
      </c>
      <c r="CL105" s="0" t="n">
        <v>0.0377647295144394</v>
      </c>
      <c r="CM105" s="0" t="n">
        <v>0.0320686301253102</v>
      </c>
      <c r="CN105" s="0" t="n">
        <v>0.0090591970377028</v>
      </c>
      <c r="CO105" s="0" t="n">
        <v>0.015720229604186</v>
      </c>
      <c r="CP105" s="0" t="n">
        <v>0.0393481825137504</v>
      </c>
      <c r="CQ105" s="0" t="n">
        <v>0.0434312405900761</v>
      </c>
      <c r="CR105" s="0" t="n">
        <v>0.0417000690531801</v>
      </c>
      <c r="CS105" s="0" t="n">
        <v>0.0175830053735975</v>
      </c>
      <c r="CT105" s="0" t="n">
        <v>0.048717617796215</v>
      </c>
      <c r="CU105" s="0" t="n">
        <v>0.0350027327239041</v>
      </c>
      <c r="CV105" s="0" t="n">
        <v>0.0489465802685263</v>
      </c>
      <c r="CW105" s="0" t="n">
        <v>0.170709811500555</v>
      </c>
      <c r="CX105" s="0" t="n">
        <v>0.0941084746624282</v>
      </c>
      <c r="CY105" s="0" t="n">
        <v>0.0369770491773944</v>
      </c>
      <c r="CZ105" s="0" t="n">
        <v>0.0617289594708236</v>
      </c>
      <c r="DA105" s="0" t="n">
        <v>0.0515714793557244</v>
      </c>
      <c r="DB105" s="0" t="n">
        <v>0.0418567034940396</v>
      </c>
      <c r="DC105" s="0" t="n">
        <v>0.0392632177164726</v>
      </c>
      <c r="DD105" s="0" t="n">
        <v>0.0684205839829666</v>
      </c>
      <c r="DE105" s="0" t="n">
        <v>0.033901356484735</v>
      </c>
      <c r="DF105" s="0" t="n">
        <v>0.0569923901047482</v>
      </c>
      <c r="DG105" s="0" t="n">
        <v>0.0335797826466896</v>
      </c>
      <c r="DH105" s="0" t="n">
        <v>0.0292943166896533</v>
      </c>
      <c r="DI105" s="0" t="n">
        <v>0.048593464305255</v>
      </c>
      <c r="DJ105" s="0" t="n">
        <v>0.0537564439165098</v>
      </c>
      <c r="DK105" s="0" t="n">
        <v>0.0579124651248875</v>
      </c>
      <c r="DL105" s="0" t="n">
        <v>0.0179282152610804</v>
      </c>
      <c r="DM105" s="0" t="n">
        <v>0.0659858503590497</v>
      </c>
      <c r="DN105" s="0" t="n">
        <v>0.0518458180428488</v>
      </c>
      <c r="DO105" s="0" t="n">
        <v>0.0188747024022368</v>
      </c>
      <c r="DP105" s="0" t="n">
        <v>0.0577763636111425</v>
      </c>
      <c r="DQ105" s="0" t="n">
        <v>0.0394818350676941</v>
      </c>
      <c r="DR105" s="0" t="n">
        <v>0.0429531578867262</v>
      </c>
      <c r="DS105" s="0" t="n">
        <v>0.0546399015358938</v>
      </c>
      <c r="DT105" s="0" t="n">
        <v>0.0379405297187246</v>
      </c>
      <c r="DU105" s="0" t="n">
        <v>0.0899680569924137</v>
      </c>
      <c r="DV105" s="0" t="n">
        <v>0.0634244390535866</v>
      </c>
      <c r="DW105" s="0" t="n">
        <v>0.0974808238787777</v>
      </c>
      <c r="DX105" s="0" t="n">
        <v>0.012210078437652</v>
      </c>
      <c r="DY105" s="0" t="n">
        <v>0.119165094196338</v>
      </c>
      <c r="DZ105" s="0" t="n">
        <v>0.0445742956953781</v>
      </c>
      <c r="EA105" s="0" t="n">
        <v>0.0551239921276527</v>
      </c>
      <c r="EB105" s="0" t="n">
        <v>0.104659937703305</v>
      </c>
      <c r="EC105" s="0" t="n">
        <v>0.0097431181228223</v>
      </c>
      <c r="ED105" s="0" t="n">
        <v>0.0464961776207891</v>
      </c>
      <c r="EE105" s="0" t="n">
        <v>0.0313154226108902</v>
      </c>
      <c r="EF105" s="0" t="n">
        <v>0.0277279339709314</v>
      </c>
      <c r="EG105" s="0" t="n">
        <v>0.0110554251239323</v>
      </c>
      <c r="EH105" s="0" t="n">
        <v>0.1034915049423</v>
      </c>
      <c r="EI105" s="0" t="n">
        <v>0.0094348432235038</v>
      </c>
      <c r="EJ105" s="0" t="n">
        <v>0.0550651983653372</v>
      </c>
      <c r="EK105" s="0" t="n">
        <v>0.0679683915292473</v>
      </c>
      <c r="EL105" s="0" t="n">
        <v>0.0797655196208274</v>
      </c>
      <c r="EM105" s="0" t="n">
        <v>0.0629248458851434</v>
      </c>
      <c r="EN105" s="0" t="n">
        <v>0.18659153744318</v>
      </c>
      <c r="EO105" s="0" t="n">
        <v>0.139127033763182</v>
      </c>
      <c r="EP105" s="72" t="n">
        <f aca="false">SUMPRODUCT(B105:EO105,$B$5:$EO$5)</f>
        <v>0.0102926272888421</v>
      </c>
      <c r="EQ105" s="72" t="n">
        <f aca="false">SUMIF('Mi portafolio'!$A$8:$A$19,$A105,'Mi portafolio'!$B$8:$B$19)</f>
        <v>0</v>
      </c>
    </row>
    <row r="106" customFormat="false" ht="15" hidden="false" customHeight="false" outlineLevel="0" collapsed="false">
      <c r="A106" s="71" t="s">
        <v>332</v>
      </c>
      <c r="B106" s="0" t="n">
        <v>0.0049924319774466</v>
      </c>
      <c r="C106" s="0" t="n">
        <v>0.0014810125484518</v>
      </c>
      <c r="D106" s="0" t="n">
        <v>-0.0002716778793077</v>
      </c>
      <c r="E106" s="0" t="n">
        <v>0.0055933915477734</v>
      </c>
      <c r="F106" s="0" t="n">
        <v>0.0046603655258807</v>
      </c>
      <c r="G106" s="0" t="n">
        <v>0.0068387574483813</v>
      </c>
      <c r="H106" s="0" t="n">
        <v>0.0056558515541959</v>
      </c>
      <c r="I106" s="0" t="n">
        <v>0.0149569056002715</v>
      </c>
      <c r="J106" s="0" t="n">
        <v>0.0048855981140986</v>
      </c>
      <c r="K106" s="0" t="n">
        <v>0.0102710368710918</v>
      </c>
      <c r="L106" s="0" t="n">
        <v>0.0060656741061198</v>
      </c>
      <c r="M106" s="0" t="n">
        <v>0.032164932292715</v>
      </c>
      <c r="N106" s="0" t="n">
        <v>0.0143637590264441</v>
      </c>
      <c r="O106" s="0" t="n">
        <v>0.0054126667846819</v>
      </c>
      <c r="P106" s="0" t="n">
        <v>0.0058204585849529</v>
      </c>
      <c r="Q106" s="0" t="n">
        <v>0.0103441187835122</v>
      </c>
      <c r="R106" s="0" t="n">
        <v>0.005179589393499</v>
      </c>
      <c r="S106" s="0" t="n">
        <v>0.0110164377191753</v>
      </c>
      <c r="T106" s="0" t="n">
        <v>0.033475231986898</v>
      </c>
      <c r="U106" s="0" t="n">
        <v>0.020317910648874</v>
      </c>
      <c r="V106" s="0" t="n">
        <v>0.0025424112425244</v>
      </c>
      <c r="W106" s="0" t="n">
        <v>0.0191695595031686</v>
      </c>
      <c r="X106" s="0" t="n">
        <v>0.0369584547264016</v>
      </c>
      <c r="Y106" s="0" t="n">
        <v>0.0302257561620029</v>
      </c>
      <c r="Z106" s="0" t="n">
        <v>0.013769648106153</v>
      </c>
      <c r="AA106" s="0" t="n">
        <v>0.0177505966494204</v>
      </c>
      <c r="AB106" s="0" t="n">
        <v>0.0314387324908403</v>
      </c>
      <c r="AC106" s="0" t="n">
        <v>0.0051825488003457</v>
      </c>
      <c r="AD106" s="0" t="n">
        <v>0.0146890438101177</v>
      </c>
      <c r="AE106" s="0" t="n">
        <v>0.021038584486675</v>
      </c>
      <c r="AF106" s="0" t="n">
        <v>0.0189939242546724</v>
      </c>
      <c r="AG106" s="0" t="n">
        <v>0.0044927444919339</v>
      </c>
      <c r="AH106" s="0" t="n">
        <v>0.0004382014664929</v>
      </c>
      <c r="AI106" s="0" t="n">
        <v>-0.0096967213835136</v>
      </c>
      <c r="AJ106" s="0" t="n">
        <v>0.0015231797149154</v>
      </c>
      <c r="AK106" s="0" t="n">
        <v>0.0225263532334896</v>
      </c>
      <c r="AL106" s="0" t="n">
        <v>0.0197233026400451</v>
      </c>
      <c r="AM106" s="0" t="n">
        <v>0.0171463023903794</v>
      </c>
      <c r="AN106" s="0" t="n">
        <v>0.0307710598469246</v>
      </c>
      <c r="AO106" s="0" t="n">
        <v>0.0134196863494308</v>
      </c>
      <c r="AP106" s="0" t="n">
        <v>0.0299091436645932</v>
      </c>
      <c r="AQ106" s="0" t="n">
        <v>-0.0144921088399269</v>
      </c>
      <c r="AR106" s="0" t="n">
        <v>0.0410427821575724</v>
      </c>
      <c r="AS106" s="0" t="n">
        <v>0.0213266367018682</v>
      </c>
      <c r="AT106" s="0" t="n">
        <v>0.0454852641044567</v>
      </c>
      <c r="AU106" s="0" t="n">
        <v>0.004166453353739</v>
      </c>
      <c r="AV106" s="0" t="n">
        <v>0.0114145367232164</v>
      </c>
      <c r="AW106" s="0" t="n">
        <v>0.0157618380068347</v>
      </c>
      <c r="AX106" s="0" t="n">
        <v>0.0124375750750507</v>
      </c>
      <c r="AY106" s="0" t="n">
        <v>0.0235816167649807</v>
      </c>
      <c r="AZ106" s="0" t="n">
        <v>0.021986190833893</v>
      </c>
      <c r="BA106" s="0" t="n">
        <v>0.0273593567028979</v>
      </c>
      <c r="BB106" s="0" t="n">
        <v>0.04974140793693</v>
      </c>
      <c r="BC106" s="0" t="n">
        <v>0.0100274441853625</v>
      </c>
      <c r="BD106" s="0" t="n">
        <v>0.0272518628061549</v>
      </c>
      <c r="BE106" s="0" t="n">
        <v>0.01785110611862</v>
      </c>
      <c r="BF106" s="0" t="n">
        <v>0.0211674700542411</v>
      </c>
      <c r="BG106" s="0" t="n">
        <v>0.0328789137656784</v>
      </c>
      <c r="BH106" s="0" t="n">
        <v>0.0127783413336121</v>
      </c>
      <c r="BI106" s="0" t="n">
        <v>0.0080204968948225</v>
      </c>
      <c r="BJ106" s="0" t="n">
        <v>0.0021577437345791</v>
      </c>
      <c r="BK106" s="0" t="n">
        <v>0.0214482053751998</v>
      </c>
      <c r="BL106" s="0" t="n">
        <v>0.0434130597835717</v>
      </c>
      <c r="BM106" s="0" t="n">
        <v>0.0181934757719566</v>
      </c>
      <c r="BN106" s="0" t="n">
        <v>0.0132549733405142</v>
      </c>
      <c r="BO106" s="0" t="n">
        <v>0.0454511293157961</v>
      </c>
      <c r="BP106" s="0" t="n">
        <v>0.0358355302334124</v>
      </c>
      <c r="BQ106" s="0" t="n">
        <v>0.0454716544900785</v>
      </c>
      <c r="BR106" s="0" t="n">
        <v>0.0409860944873771</v>
      </c>
      <c r="BS106" s="0" t="n">
        <v>-0.0142756717605875</v>
      </c>
      <c r="BT106" s="0" t="n">
        <v>0.0543939014127919</v>
      </c>
      <c r="BU106" s="0" t="n">
        <v>0.0253139811257156</v>
      </c>
      <c r="BV106" s="0" t="n">
        <v>0.0458479814073348</v>
      </c>
      <c r="BW106" s="0" t="n">
        <v>0.0430748163661475</v>
      </c>
      <c r="BX106" s="0" t="n">
        <v>0.0091690192445284</v>
      </c>
      <c r="BY106" s="0" t="n">
        <v>0.0532900328144107</v>
      </c>
      <c r="BZ106" s="0" t="n">
        <v>0.0531269746660773</v>
      </c>
      <c r="CA106" s="0" t="n">
        <v>0.0059938853562161</v>
      </c>
      <c r="CB106" s="0" t="n">
        <v>-0.0044051873882395</v>
      </c>
      <c r="CC106" s="0" t="n">
        <v>0.0203984488219295</v>
      </c>
      <c r="CD106" s="0" t="n">
        <v>0.0395276831780009</v>
      </c>
      <c r="CE106" s="0" t="n">
        <v>0.0133479819515204</v>
      </c>
      <c r="CF106" s="0" t="n">
        <v>-0.0177214755193242</v>
      </c>
      <c r="CG106" s="0" t="n">
        <v>0.0375281205297177</v>
      </c>
      <c r="CH106" s="0" t="n">
        <v>0.044416326872954</v>
      </c>
      <c r="CI106" s="0" t="n">
        <v>-0.0187817183123429</v>
      </c>
      <c r="CJ106" s="0" t="n">
        <v>0.0294058147297917</v>
      </c>
      <c r="CK106" s="0" t="n">
        <v>0.0317023221812544</v>
      </c>
      <c r="CL106" s="0" t="n">
        <v>0.0430394649986835</v>
      </c>
      <c r="CM106" s="0" t="n">
        <v>0.0483768975860285</v>
      </c>
      <c r="CN106" s="0" t="n">
        <v>0.0137488186703901</v>
      </c>
      <c r="CO106" s="0" t="n">
        <v>0.022198314875479</v>
      </c>
      <c r="CP106" s="0" t="n">
        <v>0.0356092140225953</v>
      </c>
      <c r="CQ106" s="0" t="n">
        <v>0.0641978000937096</v>
      </c>
      <c r="CR106" s="0" t="n">
        <v>0.057304216180015</v>
      </c>
      <c r="CS106" s="0" t="n">
        <v>0.0544126312316486</v>
      </c>
      <c r="CT106" s="0" t="n">
        <v>0.0558609795559688</v>
      </c>
      <c r="CU106" s="0" t="n">
        <v>0.0353963292899154</v>
      </c>
      <c r="CV106" s="0" t="n">
        <v>0.0488205446474117</v>
      </c>
      <c r="CW106" s="0" t="n">
        <v>0.0941084746624282</v>
      </c>
      <c r="CX106" s="0" t="n">
        <v>0.179910370989729</v>
      </c>
      <c r="CY106" s="0" t="n">
        <v>0.0560368294413143</v>
      </c>
      <c r="CZ106" s="0" t="n">
        <v>0.0355797064961104</v>
      </c>
      <c r="DA106" s="0" t="n">
        <v>0.0495545645403965</v>
      </c>
      <c r="DB106" s="0" t="n">
        <v>0.0684643346538063</v>
      </c>
      <c r="DC106" s="0" t="n">
        <v>0.0581496928858176</v>
      </c>
      <c r="DD106" s="0" t="n">
        <v>0.0777475038437181</v>
      </c>
      <c r="DE106" s="0" t="n">
        <v>0.0649099924754804</v>
      </c>
      <c r="DF106" s="0" t="n">
        <v>0.0127316642745299</v>
      </c>
      <c r="DG106" s="0" t="n">
        <v>0.0678558959423676</v>
      </c>
      <c r="DH106" s="0" t="n">
        <v>0.0340463121913574</v>
      </c>
      <c r="DI106" s="0" t="n">
        <v>0.0679619994699449</v>
      </c>
      <c r="DJ106" s="0" t="n">
        <v>0.0645177099375025</v>
      </c>
      <c r="DK106" s="0" t="n">
        <v>0.081735660449161</v>
      </c>
      <c r="DL106" s="0" t="n">
        <v>0.0314049999994415</v>
      </c>
      <c r="DM106" s="0" t="n">
        <v>0.0853202661789486</v>
      </c>
      <c r="DN106" s="0" t="n">
        <v>0.0322910837275736</v>
      </c>
      <c r="DO106" s="0" t="n">
        <v>0.0420128560757754</v>
      </c>
      <c r="DP106" s="0" t="n">
        <v>0.0693332140661762</v>
      </c>
      <c r="DQ106" s="0" t="n">
        <v>0.0506190090440482</v>
      </c>
      <c r="DR106" s="0" t="n">
        <v>0.0620471710127852</v>
      </c>
      <c r="DS106" s="0" t="n">
        <v>0.0477426199427793</v>
      </c>
      <c r="DT106" s="0" t="n">
        <v>0.04792137119533</v>
      </c>
      <c r="DU106" s="0" t="n">
        <v>0.115700989974737</v>
      </c>
      <c r="DV106" s="0" t="n">
        <v>0.0568927566847475</v>
      </c>
      <c r="DW106" s="0" t="n">
        <v>0.0824671908524861</v>
      </c>
      <c r="DX106" s="0" t="n">
        <v>0.0608444598427775</v>
      </c>
      <c r="DY106" s="0" t="n">
        <v>0.102285181934959</v>
      </c>
      <c r="DZ106" s="0" t="n">
        <v>0.0188965796574411</v>
      </c>
      <c r="EA106" s="0" t="n">
        <v>0.0621259971121041</v>
      </c>
      <c r="EB106" s="0" t="n">
        <v>0.11494867755444</v>
      </c>
      <c r="EC106" s="0" t="n">
        <v>0.0442982570105089</v>
      </c>
      <c r="ED106" s="0" t="n">
        <v>0.0822090874964071</v>
      </c>
      <c r="EE106" s="0" t="n">
        <v>0.0918256434859952</v>
      </c>
      <c r="EF106" s="0" t="n">
        <v>0.067580361178107</v>
      </c>
      <c r="EG106" s="0" t="n">
        <v>0.0684545064361712</v>
      </c>
      <c r="EH106" s="0" t="n">
        <v>0.0720356974366223</v>
      </c>
      <c r="EI106" s="0" t="n">
        <v>0.0787159494052929</v>
      </c>
      <c r="EJ106" s="0" t="n">
        <v>0.0931706895769857</v>
      </c>
      <c r="EK106" s="0" t="n">
        <v>0.114907197221392</v>
      </c>
      <c r="EL106" s="0" t="n">
        <v>0.122030318736737</v>
      </c>
      <c r="EM106" s="0" t="n">
        <v>0.129475141405615</v>
      </c>
      <c r="EN106" s="0" t="n">
        <v>0.115105491688561</v>
      </c>
      <c r="EO106" s="0" t="n">
        <v>0.0984676571205358</v>
      </c>
      <c r="EP106" s="72" t="n">
        <f aca="false">SUMPRODUCT(B106:EO106,$B$5:$EO$5)</f>
        <v>0.0691843197378329</v>
      </c>
      <c r="EQ106" s="72" t="n">
        <f aca="false">SUMIF('Mi portafolio'!$A$8:$A$19,$A106,'Mi portafolio'!$B$8:$B$19)</f>
        <v>0</v>
      </c>
    </row>
    <row r="107" customFormat="false" ht="15" hidden="false" customHeight="false" outlineLevel="0" collapsed="false">
      <c r="A107" s="71" t="s">
        <v>333</v>
      </c>
      <c r="B107" s="0" t="n">
        <v>0.0157784193440223</v>
      </c>
      <c r="C107" s="0" t="n">
        <v>-6.54142126559931E-005</v>
      </c>
      <c r="D107" s="0" t="n">
        <v>0.0015777878665065</v>
      </c>
      <c r="E107" s="0" t="n">
        <v>0.0163894935494883</v>
      </c>
      <c r="F107" s="0" t="n">
        <v>0.0122729682978166</v>
      </c>
      <c r="G107" s="0" t="n">
        <v>0.0001712968145552</v>
      </c>
      <c r="H107" s="0" t="n">
        <v>0.0029480028034934</v>
      </c>
      <c r="I107" s="0" t="n">
        <v>0.022193905832857</v>
      </c>
      <c r="J107" s="0" t="n">
        <v>0.006739339037291</v>
      </c>
      <c r="K107" s="0" t="n">
        <v>0.0264673900673336</v>
      </c>
      <c r="L107" s="0" t="n">
        <v>0.0075990690524632</v>
      </c>
      <c r="M107" s="0" t="n">
        <v>0.0395518408544275</v>
      </c>
      <c r="N107" s="0" t="n">
        <v>0.0238934083012808</v>
      </c>
      <c r="O107" s="0" t="n">
        <v>0.0118710241069361</v>
      </c>
      <c r="P107" s="0" t="n">
        <v>0.0053386981351794</v>
      </c>
      <c r="Q107" s="0" t="n">
        <v>0.0011619438897399</v>
      </c>
      <c r="R107" s="0" t="n">
        <v>0.0121527752070755</v>
      </c>
      <c r="S107" s="0" t="n">
        <v>0.0040041844658151</v>
      </c>
      <c r="T107" s="0" t="n">
        <v>0.0424318270845786</v>
      </c>
      <c r="U107" s="0" t="n">
        <v>0.0096668594828569</v>
      </c>
      <c r="V107" s="0" t="n">
        <v>0.0112469671762105</v>
      </c>
      <c r="W107" s="0" t="n">
        <v>0.0043665859562722</v>
      </c>
      <c r="X107" s="0" t="n">
        <v>0.0449460331011613</v>
      </c>
      <c r="Y107" s="0" t="n">
        <v>0.0290671396370248</v>
      </c>
      <c r="Z107" s="0" t="n">
        <v>0.0128543456023543</v>
      </c>
      <c r="AA107" s="0" t="n">
        <v>0.0115811224079585</v>
      </c>
      <c r="AB107" s="0" t="n">
        <v>0.035776061807202</v>
      </c>
      <c r="AC107" s="0" t="n">
        <v>0.0087302523366123</v>
      </c>
      <c r="AD107" s="0" t="n">
        <v>0.0099581809430504</v>
      </c>
      <c r="AE107" s="0" t="n">
        <v>0.0282249950718794</v>
      </c>
      <c r="AF107" s="0" t="n">
        <v>0.0076214633449143</v>
      </c>
      <c r="AG107" s="0" t="n">
        <v>0.0106408015928329</v>
      </c>
      <c r="AH107" s="0" t="n">
        <v>0.0053150352670228</v>
      </c>
      <c r="AI107" s="0" t="n">
        <v>-0.0297439756291745</v>
      </c>
      <c r="AJ107" s="0" t="n">
        <v>0.0060903090134133</v>
      </c>
      <c r="AK107" s="0" t="n">
        <v>0.0260735907618507</v>
      </c>
      <c r="AL107" s="0" t="n">
        <v>0.0324435059424343</v>
      </c>
      <c r="AM107" s="0" t="n">
        <v>0.0141355297268023</v>
      </c>
      <c r="AN107" s="0" t="n">
        <v>0.0528016614617679</v>
      </c>
      <c r="AO107" s="0" t="n">
        <v>0.0140557361549808</v>
      </c>
      <c r="AP107" s="0" t="n">
        <v>0.0392631038866955</v>
      </c>
      <c r="AQ107" s="0" t="n">
        <v>-0.0317163523526402</v>
      </c>
      <c r="AR107" s="0" t="n">
        <v>0.0467950434638648</v>
      </c>
      <c r="AS107" s="0" t="n">
        <v>0.0107357796625951</v>
      </c>
      <c r="AT107" s="0" t="n">
        <v>0.0547639280342088</v>
      </c>
      <c r="AU107" s="0" t="n">
        <v>0.0101410659920291</v>
      </c>
      <c r="AV107" s="0" t="n">
        <v>0.0159802501849153</v>
      </c>
      <c r="AW107" s="0" t="n">
        <v>0.0114410735469273</v>
      </c>
      <c r="AX107" s="0" t="n">
        <v>0.03002178374802</v>
      </c>
      <c r="AY107" s="0" t="n">
        <v>0.036836348539491</v>
      </c>
      <c r="AZ107" s="0" t="n">
        <v>0.0379796216957215</v>
      </c>
      <c r="BA107" s="0" t="n">
        <v>0.0508283041187163</v>
      </c>
      <c r="BB107" s="0" t="n">
        <v>0.0689388124540477</v>
      </c>
      <c r="BC107" s="0" t="n">
        <v>0.0113414471478208</v>
      </c>
      <c r="BD107" s="0" t="n">
        <v>0.0192629078039827</v>
      </c>
      <c r="BE107" s="0" t="n">
        <v>0.0274026758989208</v>
      </c>
      <c r="BF107" s="0" t="n">
        <v>0.022536492314238</v>
      </c>
      <c r="BG107" s="0" t="n">
        <v>0.0316620851598784</v>
      </c>
      <c r="BH107" s="0" t="n">
        <v>0.0125677635809537</v>
      </c>
      <c r="BI107" s="0" t="n">
        <v>0.0012581886611198</v>
      </c>
      <c r="BJ107" s="0" t="n">
        <v>-0.0044493173134788</v>
      </c>
      <c r="BK107" s="0" t="n">
        <v>0.0278794117817239</v>
      </c>
      <c r="BL107" s="0" t="n">
        <v>0.0473582934251771</v>
      </c>
      <c r="BM107" s="0" t="n">
        <v>0.0412979944536536</v>
      </c>
      <c r="BN107" s="0" t="n">
        <v>0.0191924297892485</v>
      </c>
      <c r="BO107" s="0" t="n">
        <v>0.0500977342016971</v>
      </c>
      <c r="BP107" s="0" t="n">
        <v>0.0016807516625756</v>
      </c>
      <c r="BQ107" s="0" t="n">
        <v>0.0317963666180664</v>
      </c>
      <c r="BR107" s="0" t="n">
        <v>0.0487013123740044</v>
      </c>
      <c r="BS107" s="0" t="n">
        <v>-0.037306302946759</v>
      </c>
      <c r="BT107" s="0" t="n">
        <v>0.0737294896844589</v>
      </c>
      <c r="BU107" s="0" t="n">
        <v>0.0210930473193774</v>
      </c>
      <c r="BV107" s="0" t="n">
        <v>0.0416447775654614</v>
      </c>
      <c r="BW107" s="0" t="n">
        <v>0.0052327392792226</v>
      </c>
      <c r="BX107" s="0" t="n">
        <v>0.0207925513997686</v>
      </c>
      <c r="BY107" s="0" t="n">
        <v>0.0672243296552977</v>
      </c>
      <c r="BZ107" s="0" t="n">
        <v>0.0540736783486183</v>
      </c>
      <c r="CA107" s="0" t="n">
        <v>0.0119820190551549</v>
      </c>
      <c r="CB107" s="0" t="n">
        <v>-0.0050043185471319</v>
      </c>
      <c r="CC107" s="0" t="n">
        <v>0.0190323767026947</v>
      </c>
      <c r="CD107" s="0" t="n">
        <v>0.035313473355142</v>
      </c>
      <c r="CE107" s="0" t="n">
        <v>0.0252279042731857</v>
      </c>
      <c r="CF107" s="0" t="n">
        <v>-0.0458813127013276</v>
      </c>
      <c r="CG107" s="0" t="n">
        <v>0.0560880706752733</v>
      </c>
      <c r="CH107" s="0" t="n">
        <v>0.0511071276506525</v>
      </c>
      <c r="CI107" s="0" t="n">
        <v>-0.0491639936866422</v>
      </c>
      <c r="CJ107" s="0" t="n">
        <v>0.0001830298503687</v>
      </c>
      <c r="CK107" s="0" t="n">
        <v>0.0499518983776823</v>
      </c>
      <c r="CL107" s="0" t="n">
        <v>0.0578025540212862</v>
      </c>
      <c r="CM107" s="0" t="n">
        <v>0.033603517195621</v>
      </c>
      <c r="CN107" s="0" t="n">
        <v>0.0109933706229857</v>
      </c>
      <c r="CO107" s="0" t="n">
        <v>0.023879979953027</v>
      </c>
      <c r="CP107" s="0" t="n">
        <v>0.0064367302328218</v>
      </c>
      <c r="CQ107" s="0" t="n">
        <v>0.135618553429392</v>
      </c>
      <c r="CR107" s="0" t="n">
        <v>0.0579950537937886</v>
      </c>
      <c r="CS107" s="0" t="n">
        <v>0.0722918026541524</v>
      </c>
      <c r="CT107" s="0" t="n">
        <v>0.0495662632322299</v>
      </c>
      <c r="CU107" s="0" t="n">
        <v>0.0266404639118946</v>
      </c>
      <c r="CV107" s="0" t="n">
        <v>0.0615681968049668</v>
      </c>
      <c r="CW107" s="0" t="n">
        <v>0.0369770491773944</v>
      </c>
      <c r="CX107" s="0" t="n">
        <v>0.0560368294413143</v>
      </c>
      <c r="CY107" s="0" t="n">
        <v>0.199575705190316</v>
      </c>
      <c r="CZ107" s="0" t="n">
        <v>0.0174395618926162</v>
      </c>
      <c r="DA107" s="0" t="n">
        <v>0.0284329734570955</v>
      </c>
      <c r="DB107" s="0" t="n">
        <v>0.0484178129536913</v>
      </c>
      <c r="DC107" s="0" t="n">
        <v>0.0914857672868212</v>
      </c>
      <c r="DD107" s="0" t="n">
        <v>0.0575834712799543</v>
      </c>
      <c r="DE107" s="0" t="n">
        <v>0.0703888404087431</v>
      </c>
      <c r="DF107" s="0" t="n">
        <v>-0.0007188694944364</v>
      </c>
      <c r="DG107" s="0" t="n">
        <v>0.0486238984379697</v>
      </c>
      <c r="DH107" s="0" t="n">
        <v>0.040811866768554</v>
      </c>
      <c r="DI107" s="0" t="n">
        <v>0.154770815534325</v>
      </c>
      <c r="DJ107" s="0" t="n">
        <v>0.149506583136902</v>
      </c>
      <c r="DK107" s="0" t="n">
        <v>0.159389795960715</v>
      </c>
      <c r="DL107" s="0" t="n">
        <v>0.0203753626629244</v>
      </c>
      <c r="DM107" s="0" t="n">
        <v>0.157082696640071</v>
      </c>
      <c r="DN107" s="0" t="n">
        <v>0.0490216625668344</v>
      </c>
      <c r="DO107" s="0" t="n">
        <v>0.0681614580171525</v>
      </c>
      <c r="DP107" s="0" t="n">
        <v>0.161039729831269</v>
      </c>
      <c r="DQ107" s="0" t="n">
        <v>0.0462296537376775</v>
      </c>
      <c r="DR107" s="0" t="n">
        <v>0.0302145671563775</v>
      </c>
      <c r="DS107" s="0" t="n">
        <v>0.0203332456642241</v>
      </c>
      <c r="DT107" s="0" t="n">
        <v>0.0271546112774018</v>
      </c>
      <c r="DU107" s="0" t="n">
        <v>0.0790094933984157</v>
      </c>
      <c r="DV107" s="0" t="n">
        <v>0.0306942287939973</v>
      </c>
      <c r="DW107" s="0" t="n">
        <v>0.0707424305805695</v>
      </c>
      <c r="DX107" s="0" t="n">
        <v>0.0874829155664672</v>
      </c>
      <c r="DY107" s="0" t="n">
        <v>0.0971423562677805</v>
      </c>
      <c r="DZ107" s="0" t="n">
        <v>0.0097442243313672</v>
      </c>
      <c r="EA107" s="0" t="n">
        <v>0.0671187603536421</v>
      </c>
      <c r="EB107" s="0" t="n">
        <v>0.107062737411061</v>
      </c>
      <c r="EC107" s="0" t="n">
        <v>0.0186512073553161</v>
      </c>
      <c r="ED107" s="0" t="n">
        <v>0.0709779930031059</v>
      </c>
      <c r="EE107" s="0" t="n">
        <v>0.083468373612399</v>
      </c>
      <c r="EF107" s="0" t="n">
        <v>0.0780653077067534</v>
      </c>
      <c r="EG107" s="0" t="n">
        <v>0.0935813779514769</v>
      </c>
      <c r="EH107" s="0" t="n">
        <v>0.0538414372451787</v>
      </c>
      <c r="EI107" s="0" t="n">
        <v>0.085504521828575</v>
      </c>
      <c r="EJ107" s="0" t="n">
        <v>0.121974112354638</v>
      </c>
      <c r="EK107" s="0" t="n">
        <v>0.0763276337449921</v>
      </c>
      <c r="EL107" s="0" t="n">
        <v>0.108644592406988</v>
      </c>
      <c r="EM107" s="0" t="n">
        <v>0.0555947523019677</v>
      </c>
      <c r="EN107" s="0" t="n">
        <v>0.0517595637776257</v>
      </c>
      <c r="EO107" s="0" t="n">
        <v>0.102577734260184</v>
      </c>
      <c r="EP107" s="72" t="n">
        <f aca="false">SUMPRODUCT(B107:EO107,$B$5:$EO$5)</f>
        <v>0.0825555433894001</v>
      </c>
      <c r="EQ107" s="72" t="n">
        <f aca="false">SUMIF('Mi portafolio'!$A$8:$A$19,$A107,'Mi portafolio'!$B$8:$B$19)</f>
        <v>0</v>
      </c>
    </row>
    <row r="108" customFormat="false" ht="15" hidden="false" customHeight="false" outlineLevel="0" collapsed="false">
      <c r="A108" s="71" t="s">
        <v>334</v>
      </c>
      <c r="B108" s="0" t="n">
        <v>0.0073253784296127</v>
      </c>
      <c r="C108" s="0" t="n">
        <v>-0.009998604960895</v>
      </c>
      <c r="D108" s="0" t="n">
        <v>0.0096750456302557</v>
      </c>
      <c r="E108" s="0" t="n">
        <v>0.0050992198707081</v>
      </c>
      <c r="F108" s="0" t="n">
        <v>0.0014590123927493</v>
      </c>
      <c r="G108" s="0" t="n">
        <v>-0.0099086448584428</v>
      </c>
      <c r="H108" s="0" t="n">
        <v>0.0098486701394147</v>
      </c>
      <c r="I108" s="0" t="n">
        <v>0.0081318355812447</v>
      </c>
      <c r="J108" s="0" t="n">
        <v>0.0033117156308515</v>
      </c>
      <c r="K108" s="0" t="n">
        <v>0.0005029308908317</v>
      </c>
      <c r="L108" s="0" t="n">
        <v>0.0126490131567768</v>
      </c>
      <c r="M108" s="0" t="n">
        <v>0.0101606007980996</v>
      </c>
      <c r="N108" s="0" t="n">
        <v>0.0186482125759753</v>
      </c>
      <c r="O108" s="0" t="n">
        <v>-0.0005247714287096</v>
      </c>
      <c r="P108" s="0" t="n">
        <v>0.0122452191776701</v>
      </c>
      <c r="Q108" s="0" t="n">
        <v>0.0006396474357036</v>
      </c>
      <c r="R108" s="0" t="n">
        <v>0.0100153279701136</v>
      </c>
      <c r="S108" s="0" t="n">
        <v>0.0102284113163268</v>
      </c>
      <c r="T108" s="0" t="n">
        <v>0.0154518247433509</v>
      </c>
      <c r="U108" s="0" t="n">
        <v>0.0172320935737263</v>
      </c>
      <c r="V108" s="0" t="n">
        <v>-0.002700432536674</v>
      </c>
      <c r="W108" s="0" t="n">
        <v>-0.0036218617079835</v>
      </c>
      <c r="X108" s="0" t="n">
        <v>0.013908353419032</v>
      </c>
      <c r="Y108" s="0" t="n">
        <v>0.0259470783794985</v>
      </c>
      <c r="Z108" s="0" t="n">
        <v>0.0045759000505584</v>
      </c>
      <c r="AA108" s="0" t="n">
        <v>0.0083658071874205</v>
      </c>
      <c r="AB108" s="0" t="n">
        <v>0.0237588132870447</v>
      </c>
      <c r="AC108" s="0" t="n">
        <v>-0.0046893433837356</v>
      </c>
      <c r="AD108" s="0" t="n">
        <v>-0.004700710910065</v>
      </c>
      <c r="AE108" s="0" t="n">
        <v>0.0032073840240924</v>
      </c>
      <c r="AF108" s="0" t="n">
        <v>0.010856494785315</v>
      </c>
      <c r="AG108" s="0" t="n">
        <v>0.0063841379812118</v>
      </c>
      <c r="AH108" s="0" t="n">
        <v>0.0092015429045724</v>
      </c>
      <c r="AI108" s="0" t="n">
        <v>0.0110202685195053</v>
      </c>
      <c r="AJ108" s="0" t="n">
        <v>0.0048250324939845</v>
      </c>
      <c r="AK108" s="0" t="n">
        <v>0.0018677056359668</v>
      </c>
      <c r="AL108" s="0" t="n">
        <v>0.0259039363758467</v>
      </c>
      <c r="AM108" s="0" t="n">
        <v>0.0193940435807417</v>
      </c>
      <c r="AN108" s="0" t="n">
        <v>0.0165272609083071</v>
      </c>
      <c r="AO108" s="0" t="n">
        <v>0.0024341327609687</v>
      </c>
      <c r="AP108" s="0" t="n">
        <v>0.0175914225855984</v>
      </c>
      <c r="AQ108" s="0" t="n">
        <v>0.0020078454661233</v>
      </c>
      <c r="AR108" s="0" t="n">
        <v>0.0220321941014424</v>
      </c>
      <c r="AS108" s="0" t="n">
        <v>0.0084246946586665</v>
      </c>
      <c r="AT108" s="0" t="n">
        <v>0.0234592416056067</v>
      </c>
      <c r="AU108" s="0" t="n">
        <v>0.0073950411213603</v>
      </c>
      <c r="AV108" s="0" t="n">
        <v>0.0035522413831738</v>
      </c>
      <c r="AW108" s="0" t="n">
        <v>0.0160559623827372</v>
      </c>
      <c r="AX108" s="0" t="n">
        <v>0.0135296229695896</v>
      </c>
      <c r="AY108" s="0" t="n">
        <v>0.0184677121172619</v>
      </c>
      <c r="AZ108" s="0" t="n">
        <v>0.0151232878523702</v>
      </c>
      <c r="BA108" s="0" t="n">
        <v>0.006193152780475</v>
      </c>
      <c r="BB108" s="0" t="n">
        <v>0.0235025844176446</v>
      </c>
      <c r="BC108" s="0" t="n">
        <v>0.0157224382422482</v>
      </c>
      <c r="BD108" s="0" t="n">
        <v>0.0192751835063778</v>
      </c>
      <c r="BE108" s="0" t="n">
        <v>0.0161320046496057</v>
      </c>
      <c r="BF108" s="0" t="n">
        <v>0.009768790621409</v>
      </c>
      <c r="BG108" s="0" t="n">
        <v>0.0213607999210523</v>
      </c>
      <c r="BH108" s="0" t="n">
        <v>0.0048598905112042</v>
      </c>
      <c r="BI108" s="0" t="n">
        <v>0.0101730011452316</v>
      </c>
      <c r="BJ108" s="0" t="n">
        <v>-0.002697564502024</v>
      </c>
      <c r="BK108" s="0" t="n">
        <v>0.0066371326798075</v>
      </c>
      <c r="BL108" s="0" t="n">
        <v>0.0124893355308308</v>
      </c>
      <c r="BM108" s="0" t="n">
        <v>0.0211500830774548</v>
      </c>
      <c r="BN108" s="0" t="n">
        <v>-0.0064672785455423</v>
      </c>
      <c r="BO108" s="0" t="n">
        <v>0.0304063026150603</v>
      </c>
      <c r="BP108" s="0" t="n">
        <v>0.0583477717385065</v>
      </c>
      <c r="BQ108" s="0" t="n">
        <v>0.0104042553358016</v>
      </c>
      <c r="BR108" s="0" t="n">
        <v>0.0274915627622208</v>
      </c>
      <c r="BS108" s="0" t="n">
        <v>0.0111823070249102</v>
      </c>
      <c r="BT108" s="0" t="n">
        <v>-0.0004009273583003</v>
      </c>
      <c r="BU108" s="0" t="n">
        <v>0.0236623644377702</v>
      </c>
      <c r="BV108" s="0" t="n">
        <v>0.0434926074952793</v>
      </c>
      <c r="BW108" s="0" t="n">
        <v>0.0343757091976375</v>
      </c>
      <c r="BX108" s="0" t="n">
        <v>0.0216378683085065</v>
      </c>
      <c r="BY108" s="0" t="n">
        <v>0.0254561207308912</v>
      </c>
      <c r="BZ108" s="0" t="n">
        <v>0.022879629450299</v>
      </c>
      <c r="CA108" s="0" t="n">
        <v>0.0046209328396975</v>
      </c>
      <c r="CB108" s="0" t="n">
        <v>0.0053784062049891</v>
      </c>
      <c r="CC108" s="0" t="n">
        <v>0.0164402670297345</v>
      </c>
      <c r="CD108" s="0" t="n">
        <v>0.0360186747872661</v>
      </c>
      <c r="CE108" s="0" t="n">
        <v>0.0262344427758278</v>
      </c>
      <c r="CF108" s="0" t="n">
        <v>0.0153719728556094</v>
      </c>
      <c r="CG108" s="0" t="n">
        <v>0.0518601692165373</v>
      </c>
      <c r="CH108" s="0" t="n">
        <v>0.0075320088471696</v>
      </c>
      <c r="CI108" s="0" t="n">
        <v>0.0136649617453459</v>
      </c>
      <c r="CJ108" s="0" t="n">
        <v>0.0225954301576433</v>
      </c>
      <c r="CK108" s="0" t="n">
        <v>0.0334309747995965</v>
      </c>
      <c r="CL108" s="0" t="n">
        <v>0.0221377461740708</v>
      </c>
      <c r="CM108" s="0" t="n">
        <v>0.0308251156295258</v>
      </c>
      <c r="CN108" s="0" t="n">
        <v>0.0215378725775429</v>
      </c>
      <c r="CO108" s="0" t="n">
        <v>0.012517213944671</v>
      </c>
      <c r="CP108" s="0" t="n">
        <v>0.03361793742278</v>
      </c>
      <c r="CQ108" s="0" t="n">
        <v>0.0306906829541752</v>
      </c>
      <c r="CR108" s="0" t="n">
        <v>0.015045288160718</v>
      </c>
      <c r="CS108" s="0" t="n">
        <v>0.0016845549415467</v>
      </c>
      <c r="CT108" s="0" t="n">
        <v>0.0464166429775122</v>
      </c>
      <c r="CU108" s="0" t="n">
        <v>0.0266638451268825</v>
      </c>
      <c r="CV108" s="0" t="n">
        <v>0.0317781396004953</v>
      </c>
      <c r="CW108" s="0" t="n">
        <v>0.0617289594708236</v>
      </c>
      <c r="CX108" s="0" t="n">
        <v>0.0355797064961104</v>
      </c>
      <c r="CY108" s="0" t="n">
        <v>0.0174395618926162</v>
      </c>
      <c r="CZ108" s="0" t="n">
        <v>0.201464000792634</v>
      </c>
      <c r="DA108" s="0" t="n">
        <v>0.0622179623641483</v>
      </c>
      <c r="DB108" s="0" t="n">
        <v>0.0453716284404815</v>
      </c>
      <c r="DC108" s="0" t="n">
        <v>0.0210372276340716</v>
      </c>
      <c r="DD108" s="0" t="n">
        <v>0.0660779166083076</v>
      </c>
      <c r="DE108" s="0" t="n">
        <v>0.0083350512085954</v>
      </c>
      <c r="DF108" s="0" t="n">
        <v>0.121766985865632</v>
      </c>
      <c r="DG108" s="0" t="n">
        <v>0.0117022692679087</v>
      </c>
      <c r="DH108" s="0" t="n">
        <v>0.0376727536670425</v>
      </c>
      <c r="DI108" s="0" t="n">
        <v>0.0327363796607433</v>
      </c>
      <c r="DJ108" s="0" t="n">
        <v>0.0387043591608537</v>
      </c>
      <c r="DK108" s="0" t="n">
        <v>0.0287674981984389</v>
      </c>
      <c r="DL108" s="0" t="n">
        <v>0.0109249830546882</v>
      </c>
      <c r="DM108" s="0" t="n">
        <v>0.0398158612784771</v>
      </c>
      <c r="DN108" s="0" t="n">
        <v>0.0577021325020426</v>
      </c>
      <c r="DO108" s="0" t="n">
        <v>0.0467449950640463</v>
      </c>
      <c r="DP108" s="0" t="n">
        <v>0.0355815768136738</v>
      </c>
      <c r="DQ108" s="0" t="n">
        <v>0.0393376856296288</v>
      </c>
      <c r="DR108" s="0" t="n">
        <v>0.0273824397026964</v>
      </c>
      <c r="DS108" s="0" t="n">
        <v>0.081060186920302</v>
      </c>
      <c r="DT108" s="0" t="n">
        <v>0.0806374216313276</v>
      </c>
      <c r="DU108" s="0" t="n">
        <v>0.0618766202967609</v>
      </c>
      <c r="DV108" s="0" t="n">
        <v>0.0925117309967887</v>
      </c>
      <c r="DW108" s="0" t="n">
        <v>0.091171707603833</v>
      </c>
      <c r="DX108" s="0" t="n">
        <v>0.0081250849431654</v>
      </c>
      <c r="DY108" s="0" t="n">
        <v>0.0659755833094549</v>
      </c>
      <c r="DZ108" s="0" t="n">
        <v>0.145127376433099</v>
      </c>
      <c r="EA108" s="0" t="n">
        <v>0.000627244231288</v>
      </c>
      <c r="EB108" s="0" t="n">
        <v>0.0870324259381487</v>
      </c>
      <c r="EC108" s="0" t="n">
        <v>-0.002250359187243</v>
      </c>
      <c r="ED108" s="0" t="n">
        <v>0.0438561849467909</v>
      </c>
      <c r="EE108" s="0" t="n">
        <v>0.0139196322995475</v>
      </c>
      <c r="EF108" s="0" t="n">
        <v>0.0159003611639556</v>
      </c>
      <c r="EG108" s="0" t="n">
        <v>0.0250149158703384</v>
      </c>
      <c r="EH108" s="0" t="n">
        <v>0.101418536497844</v>
      </c>
      <c r="EI108" s="0" t="n">
        <v>-0.0003383208926196</v>
      </c>
      <c r="EJ108" s="0" t="n">
        <v>0.0743295689185971</v>
      </c>
      <c r="EK108" s="0" t="n">
        <v>0.0479904143354072</v>
      </c>
      <c r="EL108" s="0" t="n">
        <v>0.0287807539963177</v>
      </c>
      <c r="EM108" s="0" t="n">
        <v>0.0828980922729975</v>
      </c>
      <c r="EN108" s="0" t="n">
        <v>0.080520580082295</v>
      </c>
      <c r="EO108" s="0" t="n">
        <v>0.0852211356702048</v>
      </c>
      <c r="EP108" s="72" t="n">
        <f aca="false">SUMPRODUCT(B108:EO108,$B$5:$EO$5)</f>
        <v>0.0110505023805896</v>
      </c>
      <c r="EQ108" s="72" t="n">
        <f aca="false">SUMIF('Mi portafolio'!$A$8:$A$19,$A108,'Mi portafolio'!$B$8:$B$19)</f>
        <v>0</v>
      </c>
    </row>
    <row r="109" customFormat="false" ht="15" hidden="false" customHeight="false" outlineLevel="0" collapsed="false">
      <c r="A109" s="71" t="s">
        <v>335</v>
      </c>
      <c r="B109" s="0" t="n">
        <v>0.0086086865649549</v>
      </c>
      <c r="C109" s="0" t="n">
        <v>-0.0005628376508366</v>
      </c>
      <c r="D109" s="0" t="n">
        <v>0.0131381573791956</v>
      </c>
      <c r="E109" s="0" t="n">
        <v>-0.0011850905124895</v>
      </c>
      <c r="F109" s="0" t="n">
        <v>0.0060807984553347</v>
      </c>
      <c r="G109" s="0" t="n">
        <v>-0.0078665332182154</v>
      </c>
      <c r="H109" s="0" t="n">
        <v>0.0051921700049536</v>
      </c>
      <c r="I109" s="0" t="n">
        <v>0.0110463927072184</v>
      </c>
      <c r="J109" s="0" t="n">
        <v>0.0001333987253765</v>
      </c>
      <c r="K109" s="0" t="n">
        <v>0.0122696915763991</v>
      </c>
      <c r="L109" s="0" t="n">
        <v>0.010538200181112</v>
      </c>
      <c r="M109" s="0" t="n">
        <v>0.0163211901687468</v>
      </c>
      <c r="N109" s="0" t="n">
        <v>0.0337998158885662</v>
      </c>
      <c r="O109" s="0" t="n">
        <v>-0.0114960042662566</v>
      </c>
      <c r="P109" s="0" t="n">
        <v>0.0108160393874743</v>
      </c>
      <c r="Q109" s="0" t="n">
        <v>0.0003949896290591</v>
      </c>
      <c r="R109" s="0" t="n">
        <v>0.0040766187326513</v>
      </c>
      <c r="S109" s="0" t="n">
        <v>0.0095882409471247</v>
      </c>
      <c r="T109" s="0" t="n">
        <v>0.0139661246449078</v>
      </c>
      <c r="U109" s="0" t="n">
        <v>0.0034114469972918</v>
      </c>
      <c r="V109" s="0" t="n">
        <v>0.0011542754313548</v>
      </c>
      <c r="W109" s="0" t="n">
        <v>-0.0113643445509024</v>
      </c>
      <c r="X109" s="0" t="n">
        <v>0.0151255782915116</v>
      </c>
      <c r="Y109" s="0" t="n">
        <v>0.0339805196518613</v>
      </c>
      <c r="Z109" s="0" t="n">
        <v>0.002211173454857</v>
      </c>
      <c r="AA109" s="0" t="n">
        <v>-0.0042540336625398</v>
      </c>
      <c r="AB109" s="0" t="n">
        <v>0.0319807299993738</v>
      </c>
      <c r="AC109" s="0" t="n">
        <v>-0.0094344944263192</v>
      </c>
      <c r="AD109" s="0" t="n">
        <v>-0.0005268773478206</v>
      </c>
      <c r="AE109" s="0" t="n">
        <v>0.0022421394784302</v>
      </c>
      <c r="AF109" s="0" t="n">
        <v>-0.0121951373328742</v>
      </c>
      <c r="AG109" s="0" t="n">
        <v>0.0105958796865325</v>
      </c>
      <c r="AH109" s="0" t="n">
        <v>0.0060933148580971</v>
      </c>
      <c r="AI109" s="0" t="n">
        <v>0.0018957704209809</v>
      </c>
      <c r="AJ109" s="0" t="n">
        <v>0.0010772813867193</v>
      </c>
      <c r="AK109" s="0" t="n">
        <v>-0.0093581093255241</v>
      </c>
      <c r="AL109" s="0" t="n">
        <v>0.0310101368221107</v>
      </c>
      <c r="AM109" s="0" t="n">
        <v>0.0120793204066354</v>
      </c>
      <c r="AN109" s="0" t="n">
        <v>0.0253103972055897</v>
      </c>
      <c r="AO109" s="0" t="n">
        <v>0.0208358781785968</v>
      </c>
      <c r="AP109" s="0" t="n">
        <v>0.0359074184397082</v>
      </c>
      <c r="AQ109" s="0" t="n">
        <v>-0.0065979061877884</v>
      </c>
      <c r="AR109" s="0" t="n">
        <v>0.0191745620480843</v>
      </c>
      <c r="AS109" s="0" t="n">
        <v>0.0093114014770214</v>
      </c>
      <c r="AT109" s="0" t="n">
        <v>0.034346317406918</v>
      </c>
      <c r="AU109" s="0" t="n">
        <v>-0.0012779655808919</v>
      </c>
      <c r="AV109" s="0" t="n">
        <v>0.004871770480817</v>
      </c>
      <c r="AW109" s="0" t="n">
        <v>0.0044285309095719</v>
      </c>
      <c r="AX109" s="0" t="n">
        <v>0.0250964152737657</v>
      </c>
      <c r="AY109" s="0" t="n">
        <v>0.0204425461525458</v>
      </c>
      <c r="AZ109" s="0" t="n">
        <v>0.0104786931020759</v>
      </c>
      <c r="BA109" s="0" t="n">
        <v>0.0082381419153506</v>
      </c>
      <c r="BB109" s="0" t="n">
        <v>0.0211747178795971</v>
      </c>
      <c r="BC109" s="0" t="n">
        <v>0.0051207188115357</v>
      </c>
      <c r="BD109" s="0" t="n">
        <v>0.0115947645687227</v>
      </c>
      <c r="BE109" s="0" t="n">
        <v>0.0182374580973564</v>
      </c>
      <c r="BF109" s="0" t="n">
        <v>0.0125472968517712</v>
      </c>
      <c r="BG109" s="0" t="n">
        <v>0.0460057934692169</v>
      </c>
      <c r="BH109" s="0" t="n">
        <v>0.0162712498505488</v>
      </c>
      <c r="BI109" s="0" t="n">
        <v>0.000462964700828</v>
      </c>
      <c r="BJ109" s="0" t="n">
        <v>-0.013355428657851</v>
      </c>
      <c r="BK109" s="0" t="n">
        <v>0.0007629216976151</v>
      </c>
      <c r="BL109" s="0" t="n">
        <v>0.0132521261597673</v>
      </c>
      <c r="BM109" s="0" t="n">
        <v>0.0323476975279483</v>
      </c>
      <c r="BN109" s="0" t="n">
        <v>0.0102811600155253</v>
      </c>
      <c r="BO109" s="0" t="n">
        <v>0.0260829166022783</v>
      </c>
      <c r="BP109" s="0" t="n">
        <v>0.0458802860169107</v>
      </c>
      <c r="BQ109" s="0" t="n">
        <v>0.0142040882058883</v>
      </c>
      <c r="BR109" s="0" t="n">
        <v>0.022883550240915</v>
      </c>
      <c r="BS109" s="0" t="n">
        <v>0.0017633760993487</v>
      </c>
      <c r="BT109" s="0" t="n">
        <v>0.0200941258115486</v>
      </c>
      <c r="BU109" s="0" t="n">
        <v>-0.002558846239285</v>
      </c>
      <c r="BV109" s="0" t="n">
        <v>0.0408905367396051</v>
      </c>
      <c r="BW109" s="0" t="n">
        <v>0.0190506703269482</v>
      </c>
      <c r="BX109" s="0" t="n">
        <v>0.0240147053143399</v>
      </c>
      <c r="BY109" s="0" t="n">
        <v>0.0286860099061209</v>
      </c>
      <c r="BZ109" s="0" t="n">
        <v>0.0342159787515327</v>
      </c>
      <c r="CA109" s="0" t="n">
        <v>0.0114646765042723</v>
      </c>
      <c r="CB109" s="0" t="n">
        <v>-0.0021575586649264</v>
      </c>
      <c r="CC109" s="0" t="n">
        <v>0.0213013125190798</v>
      </c>
      <c r="CD109" s="0" t="n">
        <v>0.0502382087126498</v>
      </c>
      <c r="CE109" s="0" t="n">
        <v>0.0029093013143277</v>
      </c>
      <c r="CF109" s="0" t="n">
        <v>-0.0047407887710967</v>
      </c>
      <c r="CG109" s="0" t="n">
        <v>0.0571490479539837</v>
      </c>
      <c r="CH109" s="0" t="n">
        <v>-0.0044355067842346</v>
      </c>
      <c r="CI109" s="0" t="n">
        <v>-0.0006844870579885</v>
      </c>
      <c r="CJ109" s="0" t="n">
        <v>0.0463624650265904</v>
      </c>
      <c r="CK109" s="0" t="n">
        <v>0.0372642133307122</v>
      </c>
      <c r="CL109" s="0" t="n">
        <v>0.0295312002676175</v>
      </c>
      <c r="CM109" s="0" t="n">
        <v>0.0376729248239452</v>
      </c>
      <c r="CN109" s="0" t="n">
        <v>-0.0008375157347536</v>
      </c>
      <c r="CO109" s="0" t="n">
        <v>0.028534017069358</v>
      </c>
      <c r="CP109" s="0" t="n">
        <v>0.0330628141293748</v>
      </c>
      <c r="CQ109" s="0" t="n">
        <v>0.0331010400280532</v>
      </c>
      <c r="CR109" s="0" t="n">
        <v>0.0241758932550788</v>
      </c>
      <c r="CS109" s="0" t="n">
        <v>-5.13072490605313E-005</v>
      </c>
      <c r="CT109" s="0" t="n">
        <v>0.0576932919054662</v>
      </c>
      <c r="CU109" s="0" t="n">
        <v>0.0342471763049451</v>
      </c>
      <c r="CV109" s="0" t="n">
        <v>0.0405521359575359</v>
      </c>
      <c r="CW109" s="0" t="n">
        <v>0.0515714793557244</v>
      </c>
      <c r="CX109" s="0" t="n">
        <v>0.0495545645403965</v>
      </c>
      <c r="CY109" s="0" t="n">
        <v>0.0284329734570955</v>
      </c>
      <c r="CZ109" s="0" t="n">
        <v>0.0622179623641483</v>
      </c>
      <c r="DA109" s="0" t="n">
        <v>0.189529649832571</v>
      </c>
      <c r="DB109" s="0" t="n">
        <v>0.0353390281467698</v>
      </c>
      <c r="DC109" s="0" t="n">
        <v>0.0149453697386823</v>
      </c>
      <c r="DD109" s="0" t="n">
        <v>0.0899510282842679</v>
      </c>
      <c r="DE109" s="0" t="n">
        <v>0.0087879215184139</v>
      </c>
      <c r="DF109" s="0" t="n">
        <v>0.0621983008333917</v>
      </c>
      <c r="DG109" s="0" t="n">
        <v>0.0271767139417052</v>
      </c>
      <c r="DH109" s="0" t="n">
        <v>0.023062110703581</v>
      </c>
      <c r="DI109" s="0" t="n">
        <v>0.0304222144277516</v>
      </c>
      <c r="DJ109" s="0" t="n">
        <v>0.0485912754550883</v>
      </c>
      <c r="DK109" s="0" t="n">
        <v>0.0351866001118084</v>
      </c>
      <c r="DL109" s="0" t="n">
        <v>0.0039872861845446</v>
      </c>
      <c r="DM109" s="0" t="n">
        <v>0.0498855159408913</v>
      </c>
      <c r="DN109" s="0" t="n">
        <v>0.080553068791535</v>
      </c>
      <c r="DO109" s="0" t="n">
        <v>0.0331625777836945</v>
      </c>
      <c r="DP109" s="0" t="n">
        <v>0.0588326644859704</v>
      </c>
      <c r="DQ109" s="0" t="n">
        <v>0.0226190393652849</v>
      </c>
      <c r="DR109" s="0" t="n">
        <v>0.013956046154905</v>
      </c>
      <c r="DS109" s="0" t="n">
        <v>0.0507841546498722</v>
      </c>
      <c r="DT109" s="0" t="n">
        <v>0.0514905704179502</v>
      </c>
      <c r="DU109" s="0" t="n">
        <v>0.0762157838027496</v>
      </c>
      <c r="DV109" s="0" t="n">
        <v>0.0484624860633683</v>
      </c>
      <c r="DW109" s="0" t="n">
        <v>0.103340245484812</v>
      </c>
      <c r="DX109" s="0" t="n">
        <v>0.0075381599063916</v>
      </c>
      <c r="DY109" s="0" t="n">
        <v>0.0868488411915381</v>
      </c>
      <c r="DZ109" s="0" t="n">
        <v>0.0569715249642607</v>
      </c>
      <c r="EA109" s="0" t="n">
        <v>0.0383033018442157</v>
      </c>
      <c r="EB109" s="0" t="n">
        <v>0.0904997012451032</v>
      </c>
      <c r="EC109" s="0" t="n">
        <v>-0.0045808804321062</v>
      </c>
      <c r="ED109" s="0" t="n">
        <v>0.0665560375017398</v>
      </c>
      <c r="EE109" s="0" t="n">
        <v>0.0265797419972444</v>
      </c>
      <c r="EF109" s="0" t="n">
        <v>0.0315488761277513</v>
      </c>
      <c r="EG109" s="0" t="n">
        <v>0.0008388204044039</v>
      </c>
      <c r="EH109" s="0" t="n">
        <v>0.12435559426404</v>
      </c>
      <c r="EI109" s="0" t="n">
        <v>-0.0079988044213484</v>
      </c>
      <c r="EJ109" s="0" t="n">
        <v>0.12961719965295</v>
      </c>
      <c r="EK109" s="0" t="n">
        <v>0.0872685552677851</v>
      </c>
      <c r="EL109" s="0" t="n">
        <v>0.0528106801814535</v>
      </c>
      <c r="EM109" s="0" t="n">
        <v>0.0550079729006058</v>
      </c>
      <c r="EN109" s="0" t="n">
        <v>0.083092407244244</v>
      </c>
      <c r="EO109" s="0" t="n">
        <v>0.107487076246781</v>
      </c>
      <c r="EP109" s="72" t="n">
        <f aca="false">SUMPRODUCT(B109:EO109,$B$5:$EO$5)</f>
        <v>-0.00393970363242149</v>
      </c>
      <c r="EQ109" s="72" t="n">
        <f aca="false">SUMIF('Mi portafolio'!$A$8:$A$19,$A109,'Mi portafolio'!$B$8:$B$19)</f>
        <v>0</v>
      </c>
    </row>
    <row r="110" customFormat="false" ht="15" hidden="false" customHeight="false" outlineLevel="0" collapsed="false">
      <c r="A110" s="71" t="s">
        <v>336</v>
      </c>
      <c r="B110" s="0" t="n">
        <v>0.0002569483337534</v>
      </c>
      <c r="C110" s="0" t="n">
        <v>0.0041845303563026</v>
      </c>
      <c r="D110" s="0" t="n">
        <v>0.0081496049013183</v>
      </c>
      <c r="E110" s="0" t="n">
        <v>0.0166587990480044</v>
      </c>
      <c r="F110" s="0" t="n">
        <v>-0.0073922378794967</v>
      </c>
      <c r="G110" s="0" t="n">
        <v>0.0073986764485411</v>
      </c>
      <c r="H110" s="0" t="n">
        <v>0.011512136355898</v>
      </c>
      <c r="I110" s="0" t="n">
        <v>-0.0027442942768931</v>
      </c>
      <c r="J110" s="0" t="n">
        <v>-0.0080713303511172</v>
      </c>
      <c r="K110" s="0" t="n">
        <v>-0.0022022874212597</v>
      </c>
      <c r="L110" s="0" t="n">
        <v>0.0115453551560226</v>
      </c>
      <c r="M110" s="0" t="n">
        <v>0.0298154942633886</v>
      </c>
      <c r="N110" s="0" t="n">
        <v>0.0134456895702403</v>
      </c>
      <c r="O110" s="0" t="n">
        <v>0.0116098110581678</v>
      </c>
      <c r="P110" s="0" t="n">
        <v>-0.0068980053455654</v>
      </c>
      <c r="Q110" s="0" t="n">
        <v>0.0071296582717813</v>
      </c>
      <c r="R110" s="0" t="n">
        <v>-0.0036199771504287</v>
      </c>
      <c r="S110" s="0" t="n">
        <v>0.0030175171422768</v>
      </c>
      <c r="T110" s="0" t="n">
        <v>0.0190961105126754</v>
      </c>
      <c r="U110" s="0" t="n">
        <v>0.027071779441001</v>
      </c>
      <c r="V110" s="0" t="n">
        <v>0.0136680518038503</v>
      </c>
      <c r="W110" s="0" t="n">
        <v>0.0162660778167814</v>
      </c>
      <c r="X110" s="0" t="n">
        <v>0.0195607348068542</v>
      </c>
      <c r="Y110" s="0" t="n">
        <v>0.0030888979093245</v>
      </c>
      <c r="Z110" s="0" t="n">
        <v>0.0158572131426011</v>
      </c>
      <c r="AA110" s="0" t="n">
        <v>0.0054483439339557</v>
      </c>
      <c r="AB110" s="0" t="n">
        <v>0.001506265114368</v>
      </c>
      <c r="AC110" s="0" t="n">
        <v>0.0166534223162502</v>
      </c>
      <c r="AD110" s="0" t="n">
        <v>0.013876183615457</v>
      </c>
      <c r="AE110" s="0" t="n">
        <v>0.0142330690178719</v>
      </c>
      <c r="AF110" s="0" t="n">
        <v>0.030045980104324</v>
      </c>
      <c r="AG110" s="0" t="n">
        <v>-0.0095249041800864</v>
      </c>
      <c r="AH110" s="0" t="n">
        <v>-0.0025531229245173</v>
      </c>
      <c r="AI110" s="0" t="n">
        <v>-0.0087867700385105</v>
      </c>
      <c r="AJ110" s="0" t="n">
        <v>0.0116700779047764</v>
      </c>
      <c r="AK110" s="0" t="n">
        <v>0.021561904901441</v>
      </c>
      <c r="AL110" s="0" t="n">
        <v>0.0248680581598271</v>
      </c>
      <c r="AM110" s="0" t="n">
        <v>0.0200468276621864</v>
      </c>
      <c r="AN110" s="0" t="n">
        <v>0.0211161451750978</v>
      </c>
      <c r="AO110" s="0" t="n">
        <v>-0.0055919450383506</v>
      </c>
      <c r="AP110" s="0" t="n">
        <v>0.0230163720889944</v>
      </c>
      <c r="AQ110" s="0" t="n">
        <v>-0.0149312132399026</v>
      </c>
      <c r="AR110" s="0" t="n">
        <v>0.0167452910007493</v>
      </c>
      <c r="AS110" s="0" t="n">
        <v>0.0255486076245402</v>
      </c>
      <c r="AT110" s="0" t="n">
        <v>0.0361956102530681</v>
      </c>
      <c r="AU110" s="0" t="n">
        <v>-0.002518499415105</v>
      </c>
      <c r="AV110" s="0" t="n">
        <v>0.0294865176728144</v>
      </c>
      <c r="AW110" s="0" t="n">
        <v>0.0324478094587639</v>
      </c>
      <c r="AX110" s="0" t="n">
        <v>0.0122348919334069</v>
      </c>
      <c r="AY110" s="0" t="n">
        <v>0.0127552199654941</v>
      </c>
      <c r="AZ110" s="0" t="n">
        <v>0.0224577811799655</v>
      </c>
      <c r="BA110" s="0" t="n">
        <v>0.0219956414406734</v>
      </c>
      <c r="BB110" s="0" t="n">
        <v>0.0491360730741923</v>
      </c>
      <c r="BC110" s="0" t="n">
        <v>0.0230245721434519</v>
      </c>
      <c r="BD110" s="0" t="n">
        <v>0.0225709928193542</v>
      </c>
      <c r="BE110" s="0" t="n">
        <v>0.0051084514372989</v>
      </c>
      <c r="BF110" s="0" t="n">
        <v>0.0320179758665802</v>
      </c>
      <c r="BG110" s="0" t="n">
        <v>0.0077388189923102</v>
      </c>
      <c r="BH110" s="0" t="n">
        <v>0.0372392124785026</v>
      </c>
      <c r="BI110" s="0" t="n">
        <v>0.0197993929418018</v>
      </c>
      <c r="BJ110" s="0" t="n">
        <v>0.0075890537603474</v>
      </c>
      <c r="BK110" s="0" t="n">
        <v>0.0268283796305208</v>
      </c>
      <c r="BL110" s="0" t="n">
        <v>0.0375829660136969</v>
      </c>
      <c r="BM110" s="0" t="n">
        <v>0.0097193529421196</v>
      </c>
      <c r="BN110" s="0" t="n">
        <v>0.0066994881190355</v>
      </c>
      <c r="BO110" s="0" t="n">
        <v>0.062594518403172</v>
      </c>
      <c r="BP110" s="0" t="n">
        <v>0.038178416345741</v>
      </c>
      <c r="BQ110" s="0" t="n">
        <v>0.0482900790704548</v>
      </c>
      <c r="BR110" s="0" t="n">
        <v>0.0226794998470639</v>
      </c>
      <c r="BS110" s="0" t="n">
        <v>-0.0068570684151539</v>
      </c>
      <c r="BT110" s="0" t="n">
        <v>0.0385052283363838</v>
      </c>
      <c r="BU110" s="0" t="n">
        <v>0.0184730146226824</v>
      </c>
      <c r="BV110" s="0" t="n">
        <v>0.0603624080336463</v>
      </c>
      <c r="BW110" s="0" t="n">
        <v>0.0265874772115768</v>
      </c>
      <c r="BX110" s="0" t="n">
        <v>0.010357379913422</v>
      </c>
      <c r="BY110" s="0" t="n">
        <v>0.0418981853912461</v>
      </c>
      <c r="BZ110" s="0" t="n">
        <v>0.0470341654417498</v>
      </c>
      <c r="CA110" s="0" t="n">
        <v>0.0271506159529786</v>
      </c>
      <c r="CB110" s="0" t="n">
        <v>6.04913035309613E-005</v>
      </c>
      <c r="CC110" s="0" t="n">
        <v>0.0183937084357944</v>
      </c>
      <c r="CD110" s="0" t="n">
        <v>0.027064432599779</v>
      </c>
      <c r="CE110" s="0" t="n">
        <v>0.0402054385989498</v>
      </c>
      <c r="CF110" s="0" t="n">
        <v>-0.0173808741527723</v>
      </c>
      <c r="CG110" s="0" t="n">
        <v>0.0386733577635236</v>
      </c>
      <c r="CH110" s="0" t="n">
        <v>0.060201024876813</v>
      </c>
      <c r="CI110" s="0" t="n">
        <v>-0.0212257417974075</v>
      </c>
      <c r="CJ110" s="0" t="n">
        <v>0.0133045634148264</v>
      </c>
      <c r="CK110" s="0" t="n">
        <v>0.0273024453411595</v>
      </c>
      <c r="CL110" s="0" t="n">
        <v>0.0471738513091377</v>
      </c>
      <c r="CM110" s="0" t="n">
        <v>0.0766228680301587</v>
      </c>
      <c r="CN110" s="0" t="n">
        <v>0.0190413767173977</v>
      </c>
      <c r="CO110" s="0" t="n">
        <v>0.0385554432351834</v>
      </c>
      <c r="CP110" s="0" t="n">
        <v>0.0380997115177307</v>
      </c>
      <c r="CQ110" s="0" t="n">
        <v>0.0613148819891378</v>
      </c>
      <c r="CR110" s="0" t="n">
        <v>0.0855749530024966</v>
      </c>
      <c r="CS110" s="0" t="n">
        <v>0.0704948070148756</v>
      </c>
      <c r="CT110" s="0" t="n">
        <v>0.0672218590642897</v>
      </c>
      <c r="CU110" s="0" t="n">
        <v>0.0457897599460418</v>
      </c>
      <c r="CV110" s="0" t="n">
        <v>0.0687600839012133</v>
      </c>
      <c r="CW110" s="0" t="n">
        <v>0.0418567034940396</v>
      </c>
      <c r="CX110" s="0" t="n">
        <v>0.0684643346538063</v>
      </c>
      <c r="CY110" s="0" t="n">
        <v>0.0484178129536913</v>
      </c>
      <c r="CZ110" s="0" t="n">
        <v>0.0453716284404815</v>
      </c>
      <c r="DA110" s="0" t="n">
        <v>0.0353390281467698</v>
      </c>
      <c r="DB110" s="0" t="n">
        <v>0.207625476742486</v>
      </c>
      <c r="DC110" s="0" t="n">
        <v>0.0602221490028043</v>
      </c>
      <c r="DD110" s="0" t="n">
        <v>0.0741772428416334</v>
      </c>
      <c r="DE110" s="0" t="n">
        <v>0.0867222576031085</v>
      </c>
      <c r="DF110" s="0" t="n">
        <v>0.0273839765138058</v>
      </c>
      <c r="DG110" s="0" t="n">
        <v>0.0707814405422432</v>
      </c>
      <c r="DH110" s="0" t="n">
        <v>0.0829640201856579</v>
      </c>
      <c r="DI110" s="0" t="n">
        <v>0.0810766394597058</v>
      </c>
      <c r="DJ110" s="0" t="n">
        <v>0.0385033241431018</v>
      </c>
      <c r="DK110" s="0" t="n">
        <v>0.0753065760562363</v>
      </c>
      <c r="DL110" s="0" t="n">
        <v>0.0499447628827169</v>
      </c>
      <c r="DM110" s="0" t="n">
        <v>0.0622995491734626</v>
      </c>
      <c r="DN110" s="0" t="n">
        <v>0.0228931229342544</v>
      </c>
      <c r="DO110" s="0" t="n">
        <v>0.113050137445611</v>
      </c>
      <c r="DP110" s="0" t="n">
        <v>0.063917160058207</v>
      </c>
      <c r="DQ110" s="0" t="n">
        <v>0.0931175057667394</v>
      </c>
      <c r="DR110" s="0" t="n">
        <v>0.0868635618782583</v>
      </c>
      <c r="DS110" s="0" t="n">
        <v>0.0283568134272638</v>
      </c>
      <c r="DT110" s="0" t="n">
        <v>0.100817326097362</v>
      </c>
      <c r="DU110" s="0" t="n">
        <v>0.125588039800856</v>
      </c>
      <c r="DV110" s="0" t="n">
        <v>0.10346026388973</v>
      </c>
      <c r="DW110" s="0" t="n">
        <v>0.0780812315957393</v>
      </c>
      <c r="DX110" s="0" t="n">
        <v>0.111217102485912</v>
      </c>
      <c r="DY110" s="0" t="n">
        <v>0.113291169020088</v>
      </c>
      <c r="DZ110" s="0" t="n">
        <v>0.0652054385292633</v>
      </c>
      <c r="EA110" s="0" t="n">
        <v>0.0702312869395228</v>
      </c>
      <c r="EB110" s="0" t="n">
        <v>0.124582305234612</v>
      </c>
      <c r="EC110" s="0" t="n">
        <v>0.0190827807172952</v>
      </c>
      <c r="ED110" s="0" t="n">
        <v>0.134345874009431</v>
      </c>
      <c r="EE110" s="0" t="n">
        <v>0.144624414056004</v>
      </c>
      <c r="EF110" s="0" t="n">
        <v>0.0478536329481357</v>
      </c>
      <c r="EG110" s="0" t="n">
        <v>0.134699856426246</v>
      </c>
      <c r="EH110" s="0" t="n">
        <v>0.0454837026564102</v>
      </c>
      <c r="EI110" s="0" t="n">
        <v>0.126346742345014</v>
      </c>
      <c r="EJ110" s="0" t="n">
        <v>0.121649185732366</v>
      </c>
      <c r="EK110" s="0" t="n">
        <v>0.15194537754195</v>
      </c>
      <c r="EL110" s="0" t="n">
        <v>0.141348392722997</v>
      </c>
      <c r="EM110" s="0" t="n">
        <v>0.0775546290305736</v>
      </c>
      <c r="EN110" s="0" t="n">
        <v>0.1514588162384</v>
      </c>
      <c r="EO110" s="0" t="n">
        <v>0.122567892373104</v>
      </c>
      <c r="EP110" s="72" t="n">
        <f aca="false">SUMPRODUCT(B110:EO110,$B$5:$EO$5)</f>
        <v>0.120549953687306</v>
      </c>
      <c r="EQ110" s="72" t="n">
        <f aca="false">SUMIF('Mi portafolio'!$A$8:$A$19,$A110,'Mi portafolio'!$B$8:$B$19)</f>
        <v>0</v>
      </c>
    </row>
    <row r="111" customFormat="false" ht="15" hidden="false" customHeight="false" outlineLevel="0" collapsed="false">
      <c r="A111" s="71" t="s">
        <v>337</v>
      </c>
      <c r="B111" s="0" t="n">
        <v>-0.0018623398613611</v>
      </c>
      <c r="C111" s="0" t="n">
        <v>0.0032360417830301</v>
      </c>
      <c r="D111" s="0" t="n">
        <v>0.0164115541352079</v>
      </c>
      <c r="E111" s="0" t="n">
        <v>0.0156752126001414</v>
      </c>
      <c r="F111" s="0" t="n">
        <v>-0.0085589706922129</v>
      </c>
      <c r="G111" s="0" t="n">
        <v>0.0092543986099102</v>
      </c>
      <c r="H111" s="0" t="n">
        <v>0.0156678417411397</v>
      </c>
      <c r="I111" s="0" t="n">
        <v>0.0029549398560972</v>
      </c>
      <c r="J111" s="0" t="n">
        <v>-0.0058654666351905</v>
      </c>
      <c r="K111" s="0" t="n">
        <v>0.0125445232660054</v>
      </c>
      <c r="L111" s="0" t="n">
        <v>0.0138954546066881</v>
      </c>
      <c r="M111" s="0" t="n">
        <v>0.0323665050541726</v>
      </c>
      <c r="N111" s="0" t="n">
        <v>0.0111107177802972</v>
      </c>
      <c r="O111" s="0" t="n">
        <v>0.0213783769005514</v>
      </c>
      <c r="P111" s="0" t="n">
        <v>-0.0093888303169337</v>
      </c>
      <c r="Q111" s="0" t="n">
        <v>0.0089143831769813</v>
      </c>
      <c r="R111" s="0" t="n">
        <v>-0.0028736838991003</v>
      </c>
      <c r="S111" s="0" t="n">
        <v>0.0097367288857505</v>
      </c>
      <c r="T111" s="0" t="n">
        <v>0.0319964300515273</v>
      </c>
      <c r="U111" s="0" t="n">
        <v>0.0206457990048055</v>
      </c>
      <c r="V111" s="0" t="n">
        <v>0.0226123612843207</v>
      </c>
      <c r="W111" s="0" t="n">
        <v>0.0150629014053562</v>
      </c>
      <c r="X111" s="0" t="n">
        <v>0.0272590467605381</v>
      </c>
      <c r="Y111" s="0" t="n">
        <v>0.0054412438740363</v>
      </c>
      <c r="Z111" s="0" t="n">
        <v>0.0250513749707382</v>
      </c>
      <c r="AA111" s="0" t="n">
        <v>0.0313662645210639</v>
      </c>
      <c r="AB111" s="0" t="n">
        <v>0.0068392209192146</v>
      </c>
      <c r="AC111" s="0" t="n">
        <v>0.0133038743705789</v>
      </c>
      <c r="AD111" s="0" t="n">
        <v>0.0053842386494718</v>
      </c>
      <c r="AE111" s="0" t="n">
        <v>0.0486044100918619</v>
      </c>
      <c r="AF111" s="0" t="n">
        <v>0.031868505149559</v>
      </c>
      <c r="AG111" s="0" t="n">
        <v>-0.0145233473433167</v>
      </c>
      <c r="AH111" s="0" t="n">
        <v>-0.0117874541510358</v>
      </c>
      <c r="AI111" s="0" t="n">
        <v>-0.0428110753682445</v>
      </c>
      <c r="AJ111" s="0" t="n">
        <v>0.0331210965932649</v>
      </c>
      <c r="AK111" s="0" t="n">
        <v>0.0399305601087706</v>
      </c>
      <c r="AL111" s="0" t="n">
        <v>0.0107037926852379</v>
      </c>
      <c r="AM111" s="0" t="n">
        <v>0.0417090345622278</v>
      </c>
      <c r="AN111" s="0" t="n">
        <v>0.0360659353727703</v>
      </c>
      <c r="AO111" s="0" t="n">
        <v>0.0001438960414542</v>
      </c>
      <c r="AP111" s="0" t="n">
        <v>0.0220026590055745</v>
      </c>
      <c r="AQ111" s="0" t="n">
        <v>-0.0453340602088155</v>
      </c>
      <c r="AR111" s="0" t="n">
        <v>0.0279441612247294</v>
      </c>
      <c r="AS111" s="0" t="n">
        <v>0.0343972111440111</v>
      </c>
      <c r="AT111" s="0" t="n">
        <v>0.0366860709791403</v>
      </c>
      <c r="AU111" s="0" t="n">
        <v>-0.0010470313191109</v>
      </c>
      <c r="AV111" s="0" t="n">
        <v>0.0269842000854675</v>
      </c>
      <c r="AW111" s="0" t="n">
        <v>0.0256890748763342</v>
      </c>
      <c r="AX111" s="0" t="n">
        <v>0.0148973141486826</v>
      </c>
      <c r="AY111" s="0" t="n">
        <v>0.0161509664141477</v>
      </c>
      <c r="AZ111" s="0" t="n">
        <v>0.057006067250562</v>
      </c>
      <c r="BA111" s="0" t="n">
        <v>0.0302032187022794</v>
      </c>
      <c r="BB111" s="0" t="n">
        <v>0.0542872922511296</v>
      </c>
      <c r="BC111" s="0" t="n">
        <v>0.0169775420615816</v>
      </c>
      <c r="BD111" s="0" t="n">
        <v>0.0507604608897664</v>
      </c>
      <c r="BE111" s="0" t="n">
        <v>0.0117028390624328</v>
      </c>
      <c r="BF111" s="0" t="n">
        <v>0.0374906447032416</v>
      </c>
      <c r="BG111" s="0" t="n">
        <v>0.0187944668437073</v>
      </c>
      <c r="BH111" s="0" t="n">
        <v>0.0291681910204306</v>
      </c>
      <c r="BI111" s="0" t="n">
        <v>0.0228813518427024</v>
      </c>
      <c r="BJ111" s="0" t="n">
        <v>0.0163391814810391</v>
      </c>
      <c r="BK111" s="0" t="n">
        <v>0.0521702525628955</v>
      </c>
      <c r="BL111" s="0" t="n">
        <v>0.0340171889916193</v>
      </c>
      <c r="BM111" s="0" t="n">
        <v>0.01707535512356</v>
      </c>
      <c r="BN111" s="0" t="n">
        <v>-0.0052000312256249</v>
      </c>
      <c r="BO111" s="0" t="n">
        <v>0.0290386768852062</v>
      </c>
      <c r="BP111" s="0" t="n">
        <v>0.0087035506862205</v>
      </c>
      <c r="BQ111" s="0" t="n">
        <v>0.0487983626439834</v>
      </c>
      <c r="BR111" s="0" t="n">
        <v>0.0415608991613766</v>
      </c>
      <c r="BS111" s="0" t="n">
        <v>-0.0435123248904268</v>
      </c>
      <c r="BT111" s="0" t="n">
        <v>0.0489340201360575</v>
      </c>
      <c r="BU111" s="0" t="n">
        <v>0.0375441008039396</v>
      </c>
      <c r="BV111" s="0" t="n">
        <v>0.0289278174357349</v>
      </c>
      <c r="BW111" s="0" t="n">
        <v>0.0223655545746432</v>
      </c>
      <c r="BX111" s="0" t="n">
        <v>0.012771593419101</v>
      </c>
      <c r="BY111" s="0" t="n">
        <v>0.0415878405328487</v>
      </c>
      <c r="BZ111" s="0" t="n">
        <v>0.0503197008950836</v>
      </c>
      <c r="CA111" s="0" t="n">
        <v>0.0380360355271376</v>
      </c>
      <c r="CB111" s="0" t="n">
        <v>-0.0121572718028785</v>
      </c>
      <c r="CC111" s="0" t="n">
        <v>0.0030686587466593</v>
      </c>
      <c r="CD111" s="0" t="n">
        <v>0.013911726377543</v>
      </c>
      <c r="CE111" s="0" t="n">
        <v>0.0121814299823304</v>
      </c>
      <c r="CF111" s="0" t="n">
        <v>-0.0518370852937808</v>
      </c>
      <c r="CG111" s="0" t="n">
        <v>0.0397808644633465</v>
      </c>
      <c r="CH111" s="0" t="n">
        <v>0.0527362355822769</v>
      </c>
      <c r="CI111" s="0" t="n">
        <v>-0.0570807392135406</v>
      </c>
      <c r="CJ111" s="0" t="n">
        <v>-0.0230480112307338</v>
      </c>
      <c r="CK111" s="0" t="n">
        <v>0.0163080609786337</v>
      </c>
      <c r="CL111" s="0" t="n">
        <v>0.0343107508605076</v>
      </c>
      <c r="CM111" s="0" t="n">
        <v>0.0146103281658549</v>
      </c>
      <c r="CN111" s="0" t="n">
        <v>0.0333240217825321</v>
      </c>
      <c r="CO111" s="0" t="n">
        <v>0.0191621616857327</v>
      </c>
      <c r="CP111" s="0" t="n">
        <v>0.013436881645135</v>
      </c>
      <c r="CQ111" s="0" t="n">
        <v>0.0769452031064744</v>
      </c>
      <c r="CR111" s="0" t="n">
        <v>0.0495761606190041</v>
      </c>
      <c r="CS111" s="0" t="n">
        <v>0.0524122666350566</v>
      </c>
      <c r="CT111" s="0" t="n">
        <v>0.0357315955497195</v>
      </c>
      <c r="CU111" s="0" t="n">
        <v>0.0279573448421176</v>
      </c>
      <c r="CV111" s="0" t="n">
        <v>0.0399082808775079</v>
      </c>
      <c r="CW111" s="0" t="n">
        <v>0.0392632177164726</v>
      </c>
      <c r="CX111" s="0" t="n">
        <v>0.0581496928858176</v>
      </c>
      <c r="CY111" s="0" t="n">
        <v>0.0914857672868212</v>
      </c>
      <c r="CZ111" s="0" t="n">
        <v>0.0210372276340716</v>
      </c>
      <c r="DA111" s="0" t="n">
        <v>0.0149453697386823</v>
      </c>
      <c r="DB111" s="0" t="n">
        <v>0.0602221490028043</v>
      </c>
      <c r="DC111" s="0" t="n">
        <v>0.221116993228521</v>
      </c>
      <c r="DD111" s="0" t="n">
        <v>0.0492061674768559</v>
      </c>
      <c r="DE111" s="0" t="n">
        <v>0.0713091984658381</v>
      </c>
      <c r="DF111" s="0" t="n">
        <v>-0.0218110955087012</v>
      </c>
      <c r="DG111" s="0" t="n">
        <v>0.0490344925964374</v>
      </c>
      <c r="DH111" s="0" t="n">
        <v>0.0327001095600182</v>
      </c>
      <c r="DI111" s="0" t="n">
        <v>0.0928074997504601</v>
      </c>
      <c r="DJ111" s="0" t="n">
        <v>0.0918571209198846</v>
      </c>
      <c r="DK111" s="0" t="n">
        <v>0.104913452318196</v>
      </c>
      <c r="DL111" s="0" t="n">
        <v>0.0719714156560077</v>
      </c>
      <c r="DM111" s="0" t="n">
        <v>0.117606866378724</v>
      </c>
      <c r="DN111" s="0" t="n">
        <v>0.033799554898351</v>
      </c>
      <c r="DO111" s="0" t="n">
        <v>0.0727190779819558</v>
      </c>
      <c r="DP111" s="0" t="n">
        <v>0.107117050668689</v>
      </c>
      <c r="DQ111" s="0" t="n">
        <v>0.0687404234151205</v>
      </c>
      <c r="DR111" s="0" t="n">
        <v>0.0362740646665049</v>
      </c>
      <c r="DS111" s="0" t="n">
        <v>0.00697605910013</v>
      </c>
      <c r="DT111" s="0" t="n">
        <v>0.0471874685338994</v>
      </c>
      <c r="DU111" s="0" t="n">
        <v>0.0644746538006788</v>
      </c>
      <c r="DV111" s="0" t="n">
        <v>0.0048891721382131</v>
      </c>
      <c r="DW111" s="0" t="n">
        <v>0.0493032812235211</v>
      </c>
      <c r="DX111" s="0" t="n">
        <v>0.0783763498916683</v>
      </c>
      <c r="DY111" s="0" t="n">
        <v>0.0782762713741552</v>
      </c>
      <c r="DZ111" s="0" t="n">
        <v>0.009856002598136</v>
      </c>
      <c r="EA111" s="0" t="n">
        <v>0.0588287810694966</v>
      </c>
      <c r="EB111" s="0" t="n">
        <v>0.0763221647350975</v>
      </c>
      <c r="EC111" s="0" t="n">
        <v>0.006650796274174</v>
      </c>
      <c r="ED111" s="0" t="n">
        <v>0.103147097455384</v>
      </c>
      <c r="EE111" s="0" t="n">
        <v>0.0804811250188186</v>
      </c>
      <c r="EF111" s="0" t="n">
        <v>0.0447662883435882</v>
      </c>
      <c r="EG111" s="0" t="n">
        <v>0.0959038938924448</v>
      </c>
      <c r="EH111" s="0" t="n">
        <v>0.0005442066940199</v>
      </c>
      <c r="EI111" s="0" t="n">
        <v>0.0978504696833302</v>
      </c>
      <c r="EJ111" s="0" t="n">
        <v>0.0991126368902887</v>
      </c>
      <c r="EK111" s="0" t="n">
        <v>0.0693593311499511</v>
      </c>
      <c r="EL111" s="0" t="n">
        <v>0.12515370704749</v>
      </c>
      <c r="EM111" s="0" t="n">
        <v>0.0451284952751377</v>
      </c>
      <c r="EN111" s="0" t="n">
        <v>0.0306383804702652</v>
      </c>
      <c r="EO111" s="0" t="n">
        <v>0.0635397261671374</v>
      </c>
      <c r="EP111" s="72" t="n">
        <f aca="false">SUMPRODUCT(B111:EO111,$B$5:$EO$5)</f>
        <v>0.0916510743321842</v>
      </c>
      <c r="EQ111" s="72" t="n">
        <f aca="false">SUMIF('Mi portafolio'!$A$8:$A$19,$A111,'Mi portafolio'!$B$8:$B$19)</f>
        <v>0</v>
      </c>
    </row>
    <row r="112" customFormat="false" ht="15" hidden="false" customHeight="false" outlineLevel="0" collapsed="false">
      <c r="A112" s="71" t="s">
        <v>338</v>
      </c>
      <c r="B112" s="0" t="n">
        <v>0.0109097022000929</v>
      </c>
      <c r="C112" s="0" t="n">
        <v>-0.0028743486800021</v>
      </c>
      <c r="D112" s="0" t="n">
        <v>0.0164584551274956</v>
      </c>
      <c r="E112" s="0" t="n">
        <v>0.0114546641402612</v>
      </c>
      <c r="F112" s="0" t="n">
        <v>0.0027273832146524</v>
      </c>
      <c r="G112" s="0" t="n">
        <v>0.0051641518122404</v>
      </c>
      <c r="H112" s="0" t="n">
        <v>0.0061496239186108</v>
      </c>
      <c r="I112" s="0" t="n">
        <v>0.0163258054154441</v>
      </c>
      <c r="J112" s="0" t="n">
        <v>0.0011253650437394</v>
      </c>
      <c r="K112" s="0" t="n">
        <v>0.0113411001999259</v>
      </c>
      <c r="L112" s="0" t="n">
        <v>0.0056846375159597</v>
      </c>
      <c r="M112" s="0" t="n">
        <v>0.0316577665472294</v>
      </c>
      <c r="N112" s="0" t="n">
        <v>0.0253270590750136</v>
      </c>
      <c r="O112" s="0" t="n">
        <v>0.0023462760189636</v>
      </c>
      <c r="P112" s="0" t="n">
        <v>0.0089547866576131</v>
      </c>
      <c r="Q112" s="0" t="n">
        <v>0.006161377082144</v>
      </c>
      <c r="R112" s="0" t="n">
        <v>0.0067032504926955</v>
      </c>
      <c r="S112" s="0" t="n">
        <v>0.013294753832314</v>
      </c>
      <c r="T112" s="0" t="n">
        <v>0.0260249505280667</v>
      </c>
      <c r="U112" s="0" t="n">
        <v>0.0165657222168788</v>
      </c>
      <c r="V112" s="0" t="n">
        <v>0.0162077049106867</v>
      </c>
      <c r="W112" s="0" t="n">
        <v>-0.0042986733139169</v>
      </c>
      <c r="X112" s="0" t="n">
        <v>0.0346807523664166</v>
      </c>
      <c r="Y112" s="0" t="n">
        <v>0.0439461293156475</v>
      </c>
      <c r="Z112" s="0" t="n">
        <v>0.0085080901647141</v>
      </c>
      <c r="AA112" s="0" t="n">
        <v>0.0053759107564652</v>
      </c>
      <c r="AB112" s="0" t="n">
        <v>0.0416859456408931</v>
      </c>
      <c r="AC112" s="0" t="n">
        <v>0.0085772153616211</v>
      </c>
      <c r="AD112" s="0" t="n">
        <v>0.005073733729586</v>
      </c>
      <c r="AE112" s="0" t="n">
        <v>0.0211092660595241</v>
      </c>
      <c r="AF112" s="0" t="n">
        <v>0.0082832134662044</v>
      </c>
      <c r="AG112" s="0" t="n">
        <v>-4.78334591208825E-005</v>
      </c>
      <c r="AH112" s="0" t="n">
        <v>0.0015171023283887</v>
      </c>
      <c r="AI112" s="0" t="n">
        <v>-0.0124847363115533</v>
      </c>
      <c r="AJ112" s="0" t="n">
        <v>0.0048295525445155</v>
      </c>
      <c r="AK112" s="0" t="n">
        <v>0.0045575409276444</v>
      </c>
      <c r="AL112" s="0" t="n">
        <v>0.0302079867974168</v>
      </c>
      <c r="AM112" s="0" t="n">
        <v>0.033103757462508</v>
      </c>
      <c r="AN112" s="0" t="n">
        <v>0.0421283839682273</v>
      </c>
      <c r="AO112" s="0" t="n">
        <v>0.0123654764284622</v>
      </c>
      <c r="AP112" s="0" t="n">
        <v>0.0467498179946152</v>
      </c>
      <c r="AQ112" s="0" t="n">
        <v>-0.0199927204202648</v>
      </c>
      <c r="AR112" s="0" t="n">
        <v>0.0262153268055782</v>
      </c>
      <c r="AS112" s="0" t="n">
        <v>0.0192482420629416</v>
      </c>
      <c r="AT112" s="0" t="n">
        <v>0.0479658295392478</v>
      </c>
      <c r="AU112" s="0" t="n">
        <v>0.0060906265221798</v>
      </c>
      <c r="AV112" s="0" t="n">
        <v>0.0098597088808785</v>
      </c>
      <c r="AW112" s="0" t="n">
        <v>0.0225205808049824</v>
      </c>
      <c r="AX112" s="0" t="n">
        <v>0.021805478199149</v>
      </c>
      <c r="AY112" s="0" t="n">
        <v>0.0375570878635373</v>
      </c>
      <c r="AZ112" s="0" t="n">
        <v>0.0301070002733683</v>
      </c>
      <c r="BA112" s="0" t="n">
        <v>0.0252249528355417</v>
      </c>
      <c r="BB112" s="0" t="n">
        <v>0.0516320695049176</v>
      </c>
      <c r="BC112" s="0" t="n">
        <v>0.0191850735654924</v>
      </c>
      <c r="BD112" s="0" t="n">
        <v>0.0185787400773069</v>
      </c>
      <c r="BE112" s="0" t="n">
        <v>0.0141352824059179</v>
      </c>
      <c r="BF112" s="0" t="n">
        <v>0.0168067292253692</v>
      </c>
      <c r="BG112" s="0" t="n">
        <v>0.0531173148480571</v>
      </c>
      <c r="BH112" s="0" t="n">
        <v>0.0273429691167523</v>
      </c>
      <c r="BI112" s="0" t="n">
        <v>0.0220386454440327</v>
      </c>
      <c r="BJ112" s="0" t="n">
        <v>-0.0004037866196811</v>
      </c>
      <c r="BK112" s="0" t="n">
        <v>0.0207400684622807</v>
      </c>
      <c r="BL112" s="0" t="n">
        <v>0.0324398256854239</v>
      </c>
      <c r="BM112" s="0" t="n">
        <v>0.030600002937178</v>
      </c>
      <c r="BN112" s="0" t="n">
        <v>0.0142914031520308</v>
      </c>
      <c r="BO112" s="0" t="n">
        <v>0.0488823829399505</v>
      </c>
      <c r="BP112" s="0" t="n">
        <v>0.0522016908820852</v>
      </c>
      <c r="BQ112" s="0" t="n">
        <v>0.0304567216297487</v>
      </c>
      <c r="BR112" s="0" t="n">
        <v>0.0419041496437768</v>
      </c>
      <c r="BS112" s="0" t="n">
        <v>-0.008766867757648</v>
      </c>
      <c r="BT112" s="0" t="n">
        <v>0.0475238175665234</v>
      </c>
      <c r="BU112" s="0" t="n">
        <v>0.0217635398808815</v>
      </c>
      <c r="BV112" s="0" t="n">
        <v>0.0619740235108428</v>
      </c>
      <c r="BW112" s="0" t="n">
        <v>0.0420766088321834</v>
      </c>
      <c r="BX112" s="0" t="n">
        <v>0.0335372111595294</v>
      </c>
      <c r="BY112" s="0" t="n">
        <v>0.0486319784789939</v>
      </c>
      <c r="BZ112" s="0" t="n">
        <v>0.0519027648945393</v>
      </c>
      <c r="CA112" s="0" t="n">
        <v>0.0218892353466788</v>
      </c>
      <c r="CB112" s="0" t="n">
        <v>-0.0041807880964058</v>
      </c>
      <c r="CC112" s="0" t="n">
        <v>0.0346958273587147</v>
      </c>
      <c r="CD112" s="0" t="n">
        <v>0.055206454964151</v>
      </c>
      <c r="CE112" s="0" t="n">
        <v>0.0366708948822805</v>
      </c>
      <c r="CF112" s="0" t="n">
        <v>-0.0190247352730185</v>
      </c>
      <c r="CG112" s="0" t="n">
        <v>0.0791101273807263</v>
      </c>
      <c r="CH112" s="0" t="n">
        <v>0.0284873329795532</v>
      </c>
      <c r="CI112" s="0" t="n">
        <v>-0.0181547175450471</v>
      </c>
      <c r="CJ112" s="0" t="n">
        <v>0.0705946000123692</v>
      </c>
      <c r="CK112" s="0" t="n">
        <v>0.0502044578195517</v>
      </c>
      <c r="CL112" s="0" t="n">
        <v>0.0372880566576464</v>
      </c>
      <c r="CM112" s="0" t="n">
        <v>0.0446176020122092</v>
      </c>
      <c r="CN112" s="0" t="n">
        <v>0.0116412651762041</v>
      </c>
      <c r="CO112" s="0" t="n">
        <v>0.0125109320497632</v>
      </c>
      <c r="CP112" s="0" t="n">
        <v>0.0405329136135752</v>
      </c>
      <c r="CQ112" s="0" t="n">
        <v>0.0618040173155443</v>
      </c>
      <c r="CR112" s="0" t="n">
        <v>0.0520376203728989</v>
      </c>
      <c r="CS112" s="0" t="n">
        <v>0.0267505307841656</v>
      </c>
      <c r="CT112" s="0" t="n">
        <v>0.0909829006325098</v>
      </c>
      <c r="CU112" s="0" t="n">
        <v>0.0245870760469003</v>
      </c>
      <c r="CV112" s="0" t="n">
        <v>0.0531410126881212</v>
      </c>
      <c r="CW112" s="0" t="n">
        <v>0.0684205839829666</v>
      </c>
      <c r="CX112" s="0" t="n">
        <v>0.0777475038437181</v>
      </c>
      <c r="CY112" s="0" t="n">
        <v>0.0575834712799543</v>
      </c>
      <c r="CZ112" s="0" t="n">
        <v>0.0660779166083076</v>
      </c>
      <c r="DA112" s="0" t="n">
        <v>0.0899510282842679</v>
      </c>
      <c r="DB112" s="0" t="n">
        <v>0.0741772428416334</v>
      </c>
      <c r="DC112" s="0" t="n">
        <v>0.0492061674768559</v>
      </c>
      <c r="DD112" s="0" t="n">
        <v>0.222082495085999</v>
      </c>
      <c r="DE112" s="0" t="n">
        <v>0.0514257503592293</v>
      </c>
      <c r="DF112" s="0" t="n">
        <v>0.0766540086197702</v>
      </c>
      <c r="DG112" s="0" t="n">
        <v>0.0588438327085441</v>
      </c>
      <c r="DH112" s="0" t="n">
        <v>0.0643759339588643</v>
      </c>
      <c r="DI112" s="0" t="n">
        <v>0.0786356927101618</v>
      </c>
      <c r="DJ112" s="0" t="n">
        <v>0.0769724931886866</v>
      </c>
      <c r="DK112" s="0" t="n">
        <v>0.0801319139840484</v>
      </c>
      <c r="DL112" s="0" t="n">
        <v>0.0339286776476776</v>
      </c>
      <c r="DM112" s="0" t="n">
        <v>0.0926375980467719</v>
      </c>
      <c r="DN112" s="0" t="n">
        <v>0.0849241908787102</v>
      </c>
      <c r="DO112" s="0" t="n">
        <v>0.0659753961354339</v>
      </c>
      <c r="DP112" s="0" t="n">
        <v>0.0957138970125423</v>
      </c>
      <c r="DQ112" s="0" t="n">
        <v>0.0453879631641138</v>
      </c>
      <c r="DR112" s="0" t="n">
        <v>0.0339064657183534</v>
      </c>
      <c r="DS112" s="0" t="n">
        <v>0.0762310761992061</v>
      </c>
      <c r="DT112" s="0" t="n">
        <v>0.0914031758684039</v>
      </c>
      <c r="DU112" s="0" t="n">
        <v>0.122171913991188</v>
      </c>
      <c r="DV112" s="0" t="n">
        <v>0.108025781334864</v>
      </c>
      <c r="DW112" s="0" t="n">
        <v>0.14496678973667</v>
      </c>
      <c r="DX112" s="0" t="n">
        <v>0.0522092113028563</v>
      </c>
      <c r="DY112" s="0" t="n">
        <v>0.156842361789819</v>
      </c>
      <c r="DZ112" s="0" t="n">
        <v>0.0898227516750997</v>
      </c>
      <c r="EA112" s="0" t="n">
        <v>0.0711372023835965</v>
      </c>
      <c r="EB112" s="0" t="n">
        <v>0.165217349756226</v>
      </c>
      <c r="EC112" s="0" t="n">
        <v>0.0180675268425656</v>
      </c>
      <c r="ED112" s="0" t="n">
        <v>0.109656264233767</v>
      </c>
      <c r="EE112" s="0" t="n">
        <v>0.0721327279399941</v>
      </c>
      <c r="EF112" s="0" t="n">
        <v>0.0708250724015611</v>
      </c>
      <c r="EG112" s="0" t="n">
        <v>0.0659584380257981</v>
      </c>
      <c r="EH112" s="0" t="n">
        <v>0.126476818771115</v>
      </c>
      <c r="EI112" s="0" t="n">
        <v>0.0645904545389459</v>
      </c>
      <c r="EJ112" s="0" t="n">
        <v>0.118747926550782</v>
      </c>
      <c r="EK112" s="0" t="n">
        <v>0.139231486335892</v>
      </c>
      <c r="EL112" s="0" t="n">
        <v>0.112754412126298</v>
      </c>
      <c r="EM112" s="0" t="n">
        <v>0.113065743992162</v>
      </c>
      <c r="EN112" s="0" t="n">
        <v>0.139872599388991</v>
      </c>
      <c r="EO112" s="0" t="n">
        <v>0.184118832039811</v>
      </c>
      <c r="EP112" s="72" t="n">
        <f aca="false">SUMPRODUCT(B112:EO112,$B$5:$EO$5)</f>
        <v>0.0607165222157409</v>
      </c>
      <c r="EQ112" s="72" t="n">
        <f aca="false">SUMIF('Mi portafolio'!$A$8:$A$19,$A112,'Mi portafolio'!$B$8:$B$19)</f>
        <v>0</v>
      </c>
    </row>
    <row r="113" customFormat="false" ht="15" hidden="false" customHeight="false" outlineLevel="0" collapsed="false">
      <c r="A113" s="71" t="s">
        <v>339</v>
      </c>
      <c r="B113" s="0" t="n">
        <v>-0.0063427544310908</v>
      </c>
      <c r="C113" s="0" t="n">
        <v>0.0055435915287828</v>
      </c>
      <c r="D113" s="0" t="n">
        <v>0.0035090605973932</v>
      </c>
      <c r="E113" s="0" t="n">
        <v>0.0132920844974487</v>
      </c>
      <c r="F113" s="0" t="n">
        <v>-0.0101956317315326</v>
      </c>
      <c r="G113" s="0" t="n">
        <v>0.002290248871423</v>
      </c>
      <c r="H113" s="0" t="n">
        <v>0.0102274613752299</v>
      </c>
      <c r="I113" s="0" t="n">
        <v>-0.0006449584006178</v>
      </c>
      <c r="J113" s="0" t="n">
        <v>-0.0033629207903231</v>
      </c>
      <c r="K113" s="0" t="n">
        <v>-0.0010067943552616</v>
      </c>
      <c r="L113" s="0" t="n">
        <v>0.0087188608887597</v>
      </c>
      <c r="M113" s="0" t="n">
        <v>0.0350511902136833</v>
      </c>
      <c r="N113" s="0" t="n">
        <v>0.0102397589372129</v>
      </c>
      <c r="O113" s="0" t="n">
        <v>0.0114438522002276</v>
      </c>
      <c r="P113" s="0" t="n">
        <v>-0.0093382647829382</v>
      </c>
      <c r="Q113" s="0" t="n">
        <v>0.0056079156511371</v>
      </c>
      <c r="R113" s="0" t="n">
        <v>-0.0055073381758926</v>
      </c>
      <c r="S113" s="0" t="n">
        <v>-0.003132603749485</v>
      </c>
      <c r="T113" s="0" t="n">
        <v>0.0241963040151978</v>
      </c>
      <c r="U113" s="0" t="n">
        <v>0.0230927077525673</v>
      </c>
      <c r="V113" s="0" t="n">
        <v>0.0158330819728375</v>
      </c>
      <c r="W113" s="0" t="n">
        <v>0.0145674700979341</v>
      </c>
      <c r="X113" s="0" t="n">
        <v>0.0307373015625232</v>
      </c>
      <c r="Y113" s="0" t="n">
        <v>0.0005147097391688</v>
      </c>
      <c r="Z113" s="0" t="n">
        <v>0.0212854105562872</v>
      </c>
      <c r="AA113" s="0" t="n">
        <v>0.0104388915794426</v>
      </c>
      <c r="AB113" s="0" t="n">
        <v>-0.0020287518396572</v>
      </c>
      <c r="AC113" s="0" t="n">
        <v>0.0088387265914031</v>
      </c>
      <c r="AD113" s="0" t="n">
        <v>0.019811942777121</v>
      </c>
      <c r="AE113" s="0" t="n">
        <v>0.0335109669890431</v>
      </c>
      <c r="AF113" s="0" t="n">
        <v>0.0362840834698344</v>
      </c>
      <c r="AG113" s="0" t="n">
        <v>-0.0171571377028918</v>
      </c>
      <c r="AH113" s="0" t="n">
        <v>-0.0165335680178171</v>
      </c>
      <c r="AI113" s="0" t="n">
        <v>-0.0162551586441546</v>
      </c>
      <c r="AJ113" s="0" t="n">
        <v>0.0137922388345221</v>
      </c>
      <c r="AK113" s="0" t="n">
        <v>0.0390697555131239</v>
      </c>
      <c r="AL113" s="0" t="n">
        <v>0.0187713515467179</v>
      </c>
      <c r="AM113" s="0" t="n">
        <v>0.0164579777494504</v>
      </c>
      <c r="AN113" s="0" t="n">
        <v>0.0278444108343807</v>
      </c>
      <c r="AO113" s="0" t="n">
        <v>-0.0007730418206304</v>
      </c>
      <c r="AP113" s="0" t="n">
        <v>0.0182941155670259</v>
      </c>
      <c r="AQ113" s="0" t="n">
        <v>-0.012035856074809</v>
      </c>
      <c r="AR113" s="0" t="n">
        <v>0.0249472333552804</v>
      </c>
      <c r="AS113" s="0" t="n">
        <v>0.0317702362520027</v>
      </c>
      <c r="AT113" s="0" t="n">
        <v>0.0296683631894988</v>
      </c>
      <c r="AU113" s="0" t="n">
        <v>-0.0060754392584776</v>
      </c>
      <c r="AV113" s="0" t="n">
        <v>0.0226091199632619</v>
      </c>
      <c r="AW113" s="0" t="n">
        <v>0.0387720974487382</v>
      </c>
      <c r="AX113" s="0" t="n">
        <v>0.0072342621568589</v>
      </c>
      <c r="AY113" s="0" t="n">
        <v>0.019234050414957</v>
      </c>
      <c r="AZ113" s="0" t="n">
        <v>0.0411071034590672</v>
      </c>
      <c r="BA113" s="0" t="n">
        <v>0.0314965675738797</v>
      </c>
      <c r="BB113" s="0" t="n">
        <v>0.0487503282693753</v>
      </c>
      <c r="BC113" s="0" t="n">
        <v>0.0021349880133144</v>
      </c>
      <c r="BD113" s="0" t="n">
        <v>0.031650239265067</v>
      </c>
      <c r="BE113" s="0" t="n">
        <v>0.0177294263563357</v>
      </c>
      <c r="BF113" s="0" t="n">
        <v>0.0285421990461051</v>
      </c>
      <c r="BG113" s="0" t="n">
        <v>0.0382690156605197</v>
      </c>
      <c r="BH113" s="0" t="n">
        <v>0.0286801057301788</v>
      </c>
      <c r="BI113" s="0" t="n">
        <v>0.0108827279779095</v>
      </c>
      <c r="BJ113" s="0" t="n">
        <v>0.0016364084720031</v>
      </c>
      <c r="BK113" s="0" t="n">
        <v>0.0241921996559805</v>
      </c>
      <c r="BL113" s="0" t="n">
        <v>0.078825682830621</v>
      </c>
      <c r="BM113" s="0" t="n">
        <v>0.0128108111955317</v>
      </c>
      <c r="BN113" s="0" t="n">
        <v>-0.0038241069352619</v>
      </c>
      <c r="BO113" s="0" t="n">
        <v>0.0316269137409622</v>
      </c>
      <c r="BP113" s="0" t="n">
        <v>0.0141845664960682</v>
      </c>
      <c r="BQ113" s="0" t="n">
        <v>0.0591393568701147</v>
      </c>
      <c r="BR113" s="0" t="n">
        <v>0.0314493815096593</v>
      </c>
      <c r="BS113" s="0" t="n">
        <v>-0.0152083428533933</v>
      </c>
      <c r="BT113" s="0" t="n">
        <v>0.0504702083771683</v>
      </c>
      <c r="BU113" s="0" t="n">
        <v>0.0378800541536297</v>
      </c>
      <c r="BV113" s="0" t="n">
        <v>0.0309742970275648</v>
      </c>
      <c r="BW113" s="0" t="n">
        <v>0.0289593612719539</v>
      </c>
      <c r="BX113" s="0" t="n">
        <v>0.0054076247952713</v>
      </c>
      <c r="BY113" s="0" t="n">
        <v>0.0412057077240031</v>
      </c>
      <c r="BZ113" s="0" t="n">
        <v>0.0413820587671865</v>
      </c>
      <c r="CA113" s="0" t="n">
        <v>0.0260719059570465</v>
      </c>
      <c r="CB113" s="0" t="n">
        <v>-0.0252251926485326</v>
      </c>
      <c r="CC113" s="0" t="n">
        <v>0.0093518878622652</v>
      </c>
      <c r="CD113" s="0" t="n">
        <v>0.0180796019854139</v>
      </c>
      <c r="CE113" s="0" t="n">
        <v>0.0525018564376267</v>
      </c>
      <c r="CF113" s="0" t="n">
        <v>-0.0232128009693877</v>
      </c>
      <c r="CG113" s="0" t="n">
        <v>0.0259090413799859</v>
      </c>
      <c r="CH113" s="0" t="n">
        <v>0.120540601523034</v>
      </c>
      <c r="CI113" s="0" t="n">
        <v>-0.0166341438897174</v>
      </c>
      <c r="CJ113" s="0" t="n">
        <v>-0.0023792823301115</v>
      </c>
      <c r="CK113" s="0" t="n">
        <v>0.0086701112462292</v>
      </c>
      <c r="CL113" s="0" t="n">
        <v>0.04549822868642</v>
      </c>
      <c r="CM113" s="0" t="n">
        <v>0.0722383947822775</v>
      </c>
      <c r="CN113" s="0" t="n">
        <v>0.0268702697827247</v>
      </c>
      <c r="CO113" s="0" t="n">
        <v>0.0313741364620077</v>
      </c>
      <c r="CP113" s="0" t="n">
        <v>0.0122877811121079</v>
      </c>
      <c r="CQ113" s="0" t="n">
        <v>0.0646959695978891</v>
      </c>
      <c r="CR113" s="0" t="n">
        <v>0.0992900822415637</v>
      </c>
      <c r="CS113" s="0" t="n">
        <v>0.100429714189219</v>
      </c>
      <c r="CT113" s="0" t="n">
        <v>0.0541148376382401</v>
      </c>
      <c r="CU113" s="0" t="n">
        <v>0.0462431620313899</v>
      </c>
      <c r="CV113" s="0" t="n">
        <v>0.0358043919276014</v>
      </c>
      <c r="CW113" s="0" t="n">
        <v>0.033901356484735</v>
      </c>
      <c r="CX113" s="0" t="n">
        <v>0.0649099924754804</v>
      </c>
      <c r="CY113" s="0" t="n">
        <v>0.0703888404087431</v>
      </c>
      <c r="CZ113" s="0" t="n">
        <v>0.0083350512085954</v>
      </c>
      <c r="DA113" s="0" t="n">
        <v>0.0087879215184139</v>
      </c>
      <c r="DB113" s="0" t="n">
        <v>0.0867222576031085</v>
      </c>
      <c r="DC113" s="0" t="n">
        <v>0.0713091984658381</v>
      </c>
      <c r="DD113" s="0" t="n">
        <v>0.0514257503592293</v>
      </c>
      <c r="DE113" s="0" t="n">
        <v>0.217316896759139</v>
      </c>
      <c r="DF113" s="0" t="n">
        <v>-0.019167539165195</v>
      </c>
      <c r="DG113" s="0" t="n">
        <v>0.150132274262656</v>
      </c>
      <c r="DH113" s="0" t="n">
        <v>0.0904042016691186</v>
      </c>
      <c r="DI113" s="0" t="n">
        <v>0.0650538052673597</v>
      </c>
      <c r="DJ113" s="0" t="n">
        <v>0.0704577989611853</v>
      </c>
      <c r="DK113" s="0" t="n">
        <v>0.0879572078285299</v>
      </c>
      <c r="DL113" s="0" t="n">
        <v>0.111672752464391</v>
      </c>
      <c r="DM113" s="0" t="n">
        <v>0.0920931145681612</v>
      </c>
      <c r="DN113" s="0" t="n">
        <v>0.0201229345505099</v>
      </c>
      <c r="DO113" s="0" t="n">
        <v>0.0884067133239512</v>
      </c>
      <c r="DP113" s="0" t="n">
        <v>0.0786230407404409</v>
      </c>
      <c r="DQ113" s="0" t="n">
        <v>0.0866204787377406</v>
      </c>
      <c r="DR113" s="0" t="n">
        <v>0.147170640388054</v>
      </c>
      <c r="DS113" s="0" t="n">
        <v>-0.002102989281115</v>
      </c>
      <c r="DT113" s="0" t="n">
        <v>0.0870981122534985</v>
      </c>
      <c r="DU113" s="0" t="n">
        <v>0.0996550840515646</v>
      </c>
      <c r="DV113" s="0" t="n">
        <v>0.0751086781693867</v>
      </c>
      <c r="DW113" s="0" t="n">
        <v>0.0512339849104925</v>
      </c>
      <c r="DX113" s="0" t="n">
        <v>0.155950791135931</v>
      </c>
      <c r="DY113" s="0" t="n">
        <v>0.0832195604879216</v>
      </c>
      <c r="DZ113" s="0" t="n">
        <v>0.0118252170604527</v>
      </c>
      <c r="EA113" s="0" t="n">
        <v>0.083581972819376</v>
      </c>
      <c r="EB113" s="0" t="n">
        <v>0.0945103498340118</v>
      </c>
      <c r="EC113" s="0" t="n">
        <v>0.081098179506926</v>
      </c>
      <c r="ED113" s="0" t="n">
        <v>0.112591725221897</v>
      </c>
      <c r="EE113" s="0" t="n">
        <v>0.161683897722974</v>
      </c>
      <c r="EF113" s="0" t="n">
        <v>0.132185985681104</v>
      </c>
      <c r="EG113" s="0" t="n">
        <v>0.139690001858935</v>
      </c>
      <c r="EH113" s="0" t="n">
        <v>0.0063380425760288</v>
      </c>
      <c r="EI113" s="0" t="n">
        <v>0.182167967314726</v>
      </c>
      <c r="EJ113" s="0" t="n">
        <v>0.0710924215917994</v>
      </c>
      <c r="EK113" s="0" t="n">
        <v>0.178678941208598</v>
      </c>
      <c r="EL113" s="0" t="n">
        <v>0.209944475174864</v>
      </c>
      <c r="EM113" s="0" t="n">
        <v>0.0893935490847204</v>
      </c>
      <c r="EN113" s="0" t="n">
        <v>0.164445064682689</v>
      </c>
      <c r="EO113" s="0" t="n">
        <v>0.121605450498906</v>
      </c>
      <c r="EP113" s="72" t="n">
        <f aca="false">SUMPRODUCT(B113:EO113,$B$5:$EO$5)</f>
        <v>0.151111238921499</v>
      </c>
      <c r="EQ113" s="72" t="n">
        <f aca="false">SUMIF('Mi portafolio'!$A$8:$A$19,$A113,'Mi portafolio'!$B$8:$B$19)</f>
        <v>0</v>
      </c>
    </row>
    <row r="114" customFormat="false" ht="15" hidden="false" customHeight="false" outlineLevel="0" collapsed="false">
      <c r="A114" s="71" t="s">
        <v>340</v>
      </c>
      <c r="B114" s="0" t="n">
        <v>0.0132856889004845</v>
      </c>
      <c r="C114" s="0" t="n">
        <v>-0.0069027782990697</v>
      </c>
      <c r="D114" s="0" t="n">
        <v>0.0067070227477504</v>
      </c>
      <c r="E114" s="0" t="n">
        <v>0.0035046702526257</v>
      </c>
      <c r="F114" s="0" t="n">
        <v>0.0074352013813712</v>
      </c>
      <c r="G114" s="0" t="n">
        <v>0.0005456393433126</v>
      </c>
      <c r="H114" s="0" t="n">
        <v>0.003053858145242</v>
      </c>
      <c r="I114" s="0" t="n">
        <v>0.0116241143208617</v>
      </c>
      <c r="J114" s="0" t="n">
        <v>-0.0009028128145621</v>
      </c>
      <c r="K114" s="0" t="n">
        <v>-0.0029788212658269</v>
      </c>
      <c r="L114" s="0" t="n">
        <v>0.0060313160293994</v>
      </c>
      <c r="M114" s="0" t="n">
        <v>0.010967348720309</v>
      </c>
      <c r="N114" s="0" t="n">
        <v>0.0189830265250603</v>
      </c>
      <c r="O114" s="0" t="n">
        <v>-0.0049548951446813</v>
      </c>
      <c r="P114" s="0" t="n">
        <v>0.0091468031557667</v>
      </c>
      <c r="Q114" s="0" t="n">
        <v>-0.0064251528282482</v>
      </c>
      <c r="R114" s="0" t="n">
        <v>0.0062202824005753</v>
      </c>
      <c r="S114" s="0" t="n">
        <v>-0.0035009327243631</v>
      </c>
      <c r="T114" s="0" t="n">
        <v>0.0074422874588943</v>
      </c>
      <c r="U114" s="0" t="n">
        <v>0.0059321240732305</v>
      </c>
      <c r="V114" s="0" t="n">
        <v>-0.0057412967015948</v>
      </c>
      <c r="W114" s="0" t="n">
        <v>-0.0132835798151952</v>
      </c>
      <c r="X114" s="0" t="n">
        <v>0.0095104224064754</v>
      </c>
      <c r="Y114" s="0" t="n">
        <v>0.0333653692049836</v>
      </c>
      <c r="Z114" s="0" t="n">
        <v>-6.27839745573564E-005</v>
      </c>
      <c r="AA114" s="0" t="n">
        <v>0.0022199361588777</v>
      </c>
      <c r="AB114" s="0" t="n">
        <v>0.0354045797297923</v>
      </c>
      <c r="AC114" s="0" t="n">
        <v>-0.0025928054466313</v>
      </c>
      <c r="AD114" s="0" t="n">
        <v>-0.0219591931315269</v>
      </c>
      <c r="AE114" s="0" t="n">
        <v>-0.0154151570720513</v>
      </c>
      <c r="AF114" s="0" t="n">
        <v>-0.0080382479858982</v>
      </c>
      <c r="AG114" s="0" t="n">
        <v>0.0081437479247451</v>
      </c>
      <c r="AH114" s="0" t="n">
        <v>0.0134487668575365</v>
      </c>
      <c r="AI114" s="0" t="n">
        <v>0.0158321837148377</v>
      </c>
      <c r="AJ114" s="0" t="n">
        <v>0.0015174592362887</v>
      </c>
      <c r="AK114" s="0" t="n">
        <v>-0.0205564520643636</v>
      </c>
      <c r="AL114" s="0" t="n">
        <v>0.0229247028403493</v>
      </c>
      <c r="AM114" s="0" t="n">
        <v>0.0069408225724572</v>
      </c>
      <c r="AN114" s="0" t="n">
        <v>0.0080690761282004</v>
      </c>
      <c r="AO114" s="0" t="n">
        <v>0.0070161805255955</v>
      </c>
      <c r="AP114" s="0" t="n">
        <v>0.0233689929524937</v>
      </c>
      <c r="AQ114" s="0" t="n">
        <v>0.0036412723320311</v>
      </c>
      <c r="AR114" s="0" t="n">
        <v>0.0178473558482306</v>
      </c>
      <c r="AS114" s="0" t="n">
        <v>-0.0010159262119357</v>
      </c>
      <c r="AT114" s="0" t="n">
        <v>0.0289887306595813</v>
      </c>
      <c r="AU114" s="0" t="n">
        <v>-0.0010334880435161</v>
      </c>
      <c r="AV114" s="0" t="n">
        <v>0.0018430591065159</v>
      </c>
      <c r="AW114" s="0" t="n">
        <v>-0.0052295069166806</v>
      </c>
      <c r="AX114" s="0" t="n">
        <v>0.0156267453547811</v>
      </c>
      <c r="AY114" s="0" t="n">
        <v>0.010038250568388</v>
      </c>
      <c r="AZ114" s="0" t="n">
        <v>-0.0107737700183678</v>
      </c>
      <c r="BA114" s="0" t="n">
        <v>0.0018693756157796</v>
      </c>
      <c r="BB114" s="0" t="n">
        <v>0.0143467722001132</v>
      </c>
      <c r="BC114" s="0" t="n">
        <v>0.0086308228609783</v>
      </c>
      <c r="BD114" s="0" t="n">
        <v>-0.0014553564371937</v>
      </c>
      <c r="BE114" s="0" t="n">
        <v>-0.0023545165525117</v>
      </c>
      <c r="BF114" s="0" t="n">
        <v>-0.0078923860093887</v>
      </c>
      <c r="BG114" s="0" t="n">
        <v>0.0308194069445714</v>
      </c>
      <c r="BH114" s="0" t="n">
        <v>0.0120889810828469</v>
      </c>
      <c r="BI114" s="0" t="n">
        <v>0.0069436511675505</v>
      </c>
      <c r="BJ114" s="0" t="n">
        <v>-0.0093740421471978</v>
      </c>
      <c r="BK114" s="0" t="n">
        <v>-0.0194783559017634</v>
      </c>
      <c r="BL114" s="0" t="n">
        <v>0.0024834564056691</v>
      </c>
      <c r="BM114" s="0" t="n">
        <v>0.0223504377191092</v>
      </c>
      <c r="BN114" s="0" t="n">
        <v>-0.0134120636905087</v>
      </c>
      <c r="BO114" s="0" t="n">
        <v>0.0174672066169639</v>
      </c>
      <c r="BP114" s="0" t="n">
        <v>0.0741976641341593</v>
      </c>
      <c r="BQ114" s="0" t="n">
        <v>-0.0189961239598173</v>
      </c>
      <c r="BR114" s="0" t="n">
        <v>0.0179929127187698</v>
      </c>
      <c r="BS114" s="0" t="n">
        <v>0.0089355268467956</v>
      </c>
      <c r="BT114" s="0" t="n">
        <v>-0.0221801381841885</v>
      </c>
      <c r="BU114" s="0" t="n">
        <v>0.0040833000109406</v>
      </c>
      <c r="BV114" s="0" t="n">
        <v>0.0265627962824419</v>
      </c>
      <c r="BW114" s="0" t="n">
        <v>0.0279444312140268</v>
      </c>
      <c r="BX114" s="0" t="n">
        <v>0.0136634696099448</v>
      </c>
      <c r="BY114" s="0" t="n">
        <v>0.0218466021645446</v>
      </c>
      <c r="BZ114" s="0" t="n">
        <v>0.0110362850506172</v>
      </c>
      <c r="CA114" s="0" t="n">
        <v>-0.0048355207847084</v>
      </c>
      <c r="CB114" s="0" t="n">
        <v>0.0071093584600282</v>
      </c>
      <c r="CC114" s="0" t="n">
        <v>0.0103185881985163</v>
      </c>
      <c r="CD114" s="0" t="n">
        <v>0.0416058281316586</v>
      </c>
      <c r="CE114" s="0" t="n">
        <v>0.0016008347560135</v>
      </c>
      <c r="CF114" s="0" t="n">
        <v>0.0184534068491447</v>
      </c>
      <c r="CG114" s="0" t="n">
        <v>0.0646798932814966</v>
      </c>
      <c r="CH114" s="0" t="n">
        <v>-0.0192941130770955</v>
      </c>
      <c r="CI114" s="0" t="n">
        <v>0.0236651948635459</v>
      </c>
      <c r="CJ114" s="0" t="n">
        <v>0.039258538440646</v>
      </c>
      <c r="CK114" s="0" t="n">
        <v>0.0371444800322451</v>
      </c>
      <c r="CL114" s="0" t="n">
        <v>0.0163740899405925</v>
      </c>
      <c r="CM114" s="0" t="n">
        <v>0.0215980570207451</v>
      </c>
      <c r="CN114" s="0" t="n">
        <v>0.0038980265935302</v>
      </c>
      <c r="CO114" s="0" t="n">
        <v>-0.0077856935999294</v>
      </c>
      <c r="CP114" s="0" t="n">
        <v>0.0342853623445437</v>
      </c>
      <c r="CQ114" s="0" t="n">
        <v>0.0135940806798541</v>
      </c>
      <c r="CR114" s="0" t="n">
        <v>-0.0157678724535945</v>
      </c>
      <c r="CS114" s="0" t="n">
        <v>-0.0431118678326445</v>
      </c>
      <c r="CT114" s="0" t="n">
        <v>0.0451272015878191</v>
      </c>
      <c r="CU114" s="0" t="n">
        <v>-0.0028299449703614</v>
      </c>
      <c r="CV114" s="0" t="n">
        <v>0.0202687383376276</v>
      </c>
      <c r="CW114" s="0" t="n">
        <v>0.0569923901047482</v>
      </c>
      <c r="CX114" s="0" t="n">
        <v>0.0127316642745299</v>
      </c>
      <c r="CY114" s="0" t="n">
        <v>-0.0007188694944364</v>
      </c>
      <c r="CZ114" s="0" t="n">
        <v>0.121766985865632</v>
      </c>
      <c r="DA114" s="0" t="n">
        <v>0.0621983008333917</v>
      </c>
      <c r="DB114" s="0" t="n">
        <v>0.0273839765138058</v>
      </c>
      <c r="DC114" s="0" t="n">
        <v>-0.0218110955087012</v>
      </c>
      <c r="DD114" s="0" t="n">
        <v>0.0766540086197702</v>
      </c>
      <c r="DE114" s="0" t="n">
        <v>-0.019167539165195</v>
      </c>
      <c r="DF114" s="0" t="n">
        <v>0.232548431124246</v>
      </c>
      <c r="DG114" s="0" t="n">
        <v>0.000155249564119</v>
      </c>
      <c r="DH114" s="0" t="n">
        <v>0.0092155257372597</v>
      </c>
      <c r="DI114" s="0" t="n">
        <v>0.0243891123109081</v>
      </c>
      <c r="DJ114" s="0" t="n">
        <v>0.0205302585555601</v>
      </c>
      <c r="DK114" s="0" t="n">
        <v>0.0118675561719093</v>
      </c>
      <c r="DL114" s="0" t="n">
        <v>-0.0119662434592516</v>
      </c>
      <c r="DM114" s="0" t="n">
        <v>0.0187114812367713</v>
      </c>
      <c r="DN114" s="0" t="n">
        <v>0.079067963367769</v>
      </c>
      <c r="DO114" s="0" t="n">
        <v>0.0209796400867615</v>
      </c>
      <c r="DP114" s="0" t="n">
        <v>0.0309471478023483</v>
      </c>
      <c r="DQ114" s="0" t="n">
        <v>-0.013885156254233</v>
      </c>
      <c r="DR114" s="0" t="n">
        <v>0.0192800270269749</v>
      </c>
      <c r="DS114" s="0" t="n">
        <v>0.0756650987327129</v>
      </c>
      <c r="DT114" s="0" t="n">
        <v>0.0745273132023731</v>
      </c>
      <c r="DU114" s="0" t="n">
        <v>0.0631686833748894</v>
      </c>
      <c r="DV114" s="0" t="n">
        <v>0.127530716551993</v>
      </c>
      <c r="DW114" s="0" t="n">
        <v>0.118703448763527</v>
      </c>
      <c r="DX114" s="0" t="n">
        <v>-0.0614661999499181</v>
      </c>
      <c r="DY114" s="0" t="n">
        <v>0.0830189987727747</v>
      </c>
      <c r="DZ114" s="0" t="n">
        <v>0.150073056044155</v>
      </c>
      <c r="EA114" s="0" t="n">
        <v>0.0154077180874956</v>
      </c>
      <c r="EB114" s="0" t="n">
        <v>0.0903944360260767</v>
      </c>
      <c r="EC114" s="0" t="n">
        <v>-0.0333144024225022</v>
      </c>
      <c r="ED114" s="0" t="n">
        <v>0.0518548980382519</v>
      </c>
      <c r="EE114" s="0" t="n">
        <v>-0.0478732369269518</v>
      </c>
      <c r="EF114" s="0" t="n">
        <v>0.0087824765586458</v>
      </c>
      <c r="EG114" s="0" t="n">
        <v>-0.036744246720846</v>
      </c>
      <c r="EH114" s="0" t="n">
        <v>0.113471477033708</v>
      </c>
      <c r="EI114" s="0" t="n">
        <v>-0.0565148700121098</v>
      </c>
      <c r="EJ114" s="0" t="n">
        <v>0.0607335345549654</v>
      </c>
      <c r="EK114" s="0" t="n">
        <v>0.0201936352754909</v>
      </c>
      <c r="EL114" s="0" t="n">
        <v>-0.0273623115828713</v>
      </c>
      <c r="EM114" s="0" t="n">
        <v>0.0983822353703083</v>
      </c>
      <c r="EN114" s="0" t="n">
        <v>0.0920784382533444</v>
      </c>
      <c r="EO114" s="0" t="n">
        <v>0.158585624406525</v>
      </c>
      <c r="EP114" s="72" t="n">
        <f aca="false">SUMPRODUCT(B114:EO114,$B$5:$EO$5)</f>
        <v>-0.0439721924859359</v>
      </c>
      <c r="EQ114" s="72" t="n">
        <f aca="false">SUMIF('Mi portafolio'!$A$8:$A$19,$A114,'Mi portafolio'!$B$8:$B$19)</f>
        <v>0</v>
      </c>
    </row>
    <row r="115" customFormat="false" ht="15" hidden="false" customHeight="false" outlineLevel="0" collapsed="false">
      <c r="A115" s="71" t="s">
        <v>342</v>
      </c>
      <c r="B115" s="0" t="n">
        <v>0.0017722876988155</v>
      </c>
      <c r="C115" s="0" t="n">
        <v>0.0041394524662594</v>
      </c>
      <c r="D115" s="0" t="n">
        <v>0.0068972138767528</v>
      </c>
      <c r="E115" s="0" t="n">
        <v>0.008084887096318</v>
      </c>
      <c r="F115" s="0" t="n">
        <v>-0.0053888646667384</v>
      </c>
      <c r="G115" s="0" t="n">
        <v>0.001997731289053</v>
      </c>
      <c r="H115" s="0" t="n">
        <v>0.0109531860311783</v>
      </c>
      <c r="I115" s="0" t="n">
        <v>0.0080800387960614</v>
      </c>
      <c r="J115" s="0" t="n">
        <v>0.0098486589983143</v>
      </c>
      <c r="K115" s="0" t="n">
        <v>0.0050403240087395</v>
      </c>
      <c r="L115" s="0" t="n">
        <v>0.0110067422879771</v>
      </c>
      <c r="M115" s="0" t="n">
        <v>0.0370336281048842</v>
      </c>
      <c r="N115" s="0" t="n">
        <v>0.0219536176715357</v>
      </c>
      <c r="O115" s="0" t="n">
        <v>0.0196821531187174</v>
      </c>
      <c r="P115" s="0" t="n">
        <v>-0.0046473507942565</v>
      </c>
      <c r="Q115" s="0" t="n">
        <v>0.007262889604095</v>
      </c>
      <c r="R115" s="0" t="n">
        <v>0.0034060078923499</v>
      </c>
      <c r="S115" s="0" t="n">
        <v>0.0147437747952426</v>
      </c>
      <c r="T115" s="0" t="n">
        <v>0.019067765453871</v>
      </c>
      <c r="U115" s="0" t="n">
        <v>0.019820675871925</v>
      </c>
      <c r="V115" s="0" t="n">
        <v>0.023236566818447</v>
      </c>
      <c r="W115" s="0" t="n">
        <v>0.0143803868774126</v>
      </c>
      <c r="X115" s="0" t="n">
        <v>0.0252963923442789</v>
      </c>
      <c r="Y115" s="0" t="n">
        <v>0.00712490483549</v>
      </c>
      <c r="Z115" s="0" t="n">
        <v>0.0233340071918283</v>
      </c>
      <c r="AA115" s="0" t="n">
        <v>0.0073092920654903</v>
      </c>
      <c r="AB115" s="0" t="n">
        <v>0.0002296954884841</v>
      </c>
      <c r="AC115" s="0" t="n">
        <v>0.0142982885906213</v>
      </c>
      <c r="AD115" s="0" t="n">
        <v>0.0124942967597596</v>
      </c>
      <c r="AE115" s="0" t="n">
        <v>0.025298470648216</v>
      </c>
      <c r="AF115" s="0" t="n">
        <v>0.0274676469155802</v>
      </c>
      <c r="AG115" s="0" t="n">
        <v>-0.013372435289781</v>
      </c>
      <c r="AH115" s="0" t="n">
        <v>-0.0187631747564861</v>
      </c>
      <c r="AI115" s="0" t="n">
        <v>-0.0167614889334575</v>
      </c>
      <c r="AJ115" s="0" t="n">
        <v>0.0248772166406902</v>
      </c>
      <c r="AK115" s="0" t="n">
        <v>0.025684455180367</v>
      </c>
      <c r="AL115" s="0" t="n">
        <v>0.0210705289285215</v>
      </c>
      <c r="AM115" s="0" t="n">
        <v>0.0129256181727855</v>
      </c>
      <c r="AN115" s="0" t="n">
        <v>0.0250274436631889</v>
      </c>
      <c r="AO115" s="0" t="n">
        <v>0.0055030863437237</v>
      </c>
      <c r="AP115" s="0" t="n">
        <v>0.02532362330429</v>
      </c>
      <c r="AQ115" s="0" t="n">
        <v>-0.0120314369707791</v>
      </c>
      <c r="AR115" s="0" t="n">
        <v>0.0194803608427617</v>
      </c>
      <c r="AS115" s="0" t="n">
        <v>0.0262204924165917</v>
      </c>
      <c r="AT115" s="0" t="n">
        <v>0.0188099501245702</v>
      </c>
      <c r="AU115" s="0" t="n">
        <v>-0.003966142682399</v>
      </c>
      <c r="AV115" s="0" t="n">
        <v>0.0161487778462586</v>
      </c>
      <c r="AW115" s="0" t="n">
        <v>0.0323449978715331</v>
      </c>
      <c r="AX115" s="0" t="n">
        <v>0.0183458210954585</v>
      </c>
      <c r="AY115" s="0" t="n">
        <v>0.0131206354799656</v>
      </c>
      <c r="AZ115" s="0" t="n">
        <v>0.0339496196767851</v>
      </c>
      <c r="BA115" s="0" t="n">
        <v>0.0257963159385699</v>
      </c>
      <c r="BB115" s="0" t="n">
        <v>0.0353591392391519</v>
      </c>
      <c r="BC115" s="0" t="n">
        <v>0.0131555346696446</v>
      </c>
      <c r="BD115" s="0" t="n">
        <v>0.0311309014140797</v>
      </c>
      <c r="BE115" s="0" t="n">
        <v>0.0256074245453828</v>
      </c>
      <c r="BF115" s="0" t="n">
        <v>0.0316368038116501</v>
      </c>
      <c r="BG115" s="0" t="n">
        <v>0.0286897972191842</v>
      </c>
      <c r="BH115" s="0" t="n">
        <v>0.0252519537474947</v>
      </c>
      <c r="BI115" s="0" t="n">
        <v>0.0182409372002491</v>
      </c>
      <c r="BJ115" s="0" t="n">
        <v>0.0164653989200872</v>
      </c>
      <c r="BK115" s="0" t="n">
        <v>0.0257447711662734</v>
      </c>
      <c r="BL115" s="0" t="n">
        <v>0.0687481662262588</v>
      </c>
      <c r="BM115" s="0" t="n">
        <v>0.0028372501139555</v>
      </c>
      <c r="BN115" s="0" t="n">
        <v>0.005531871904347</v>
      </c>
      <c r="BO115" s="0" t="n">
        <v>0.0300797266691491</v>
      </c>
      <c r="BP115" s="0" t="n">
        <v>0.0211524854226805</v>
      </c>
      <c r="BQ115" s="0" t="n">
        <v>0.0593600775965984</v>
      </c>
      <c r="BR115" s="0" t="n">
        <v>0.0321785716109571</v>
      </c>
      <c r="BS115" s="0" t="n">
        <v>-0.012955123770444</v>
      </c>
      <c r="BT115" s="0" t="n">
        <v>0.0468202185333072</v>
      </c>
      <c r="BU115" s="0" t="n">
        <v>0.030421228128671</v>
      </c>
      <c r="BV115" s="0" t="n">
        <v>0.0253686703442546</v>
      </c>
      <c r="BW115" s="0" t="n">
        <v>0.0280436426824649</v>
      </c>
      <c r="BX115" s="0" t="n">
        <v>0.0272928452271049</v>
      </c>
      <c r="BY115" s="0" t="n">
        <v>0.0239156772341526</v>
      </c>
      <c r="BZ115" s="0" t="n">
        <v>0.0463205262447678</v>
      </c>
      <c r="CA115" s="0" t="n">
        <v>0.026088685404758</v>
      </c>
      <c r="CB115" s="0" t="n">
        <v>-0.0243412496331723</v>
      </c>
      <c r="CC115" s="0" t="n">
        <v>0.0093413230155454</v>
      </c>
      <c r="CD115" s="0" t="n">
        <v>0.0238718473783353</v>
      </c>
      <c r="CE115" s="0" t="n">
        <v>0.0258536243731036</v>
      </c>
      <c r="CF115" s="0" t="n">
        <v>-0.0187183491594266</v>
      </c>
      <c r="CG115" s="0" t="n">
        <v>0.035605340974621</v>
      </c>
      <c r="CH115" s="0" t="n">
        <v>0.0994060146129708</v>
      </c>
      <c r="CI115" s="0" t="n">
        <v>-0.0113278347289609</v>
      </c>
      <c r="CJ115" s="0" t="n">
        <v>0.0218341988552467</v>
      </c>
      <c r="CK115" s="0" t="n">
        <v>0.0154263952607118</v>
      </c>
      <c r="CL115" s="0" t="n">
        <v>0.0367667289380891</v>
      </c>
      <c r="CM115" s="0" t="n">
        <v>0.0591261337282749</v>
      </c>
      <c r="CN115" s="0" t="n">
        <v>0.020031087887769</v>
      </c>
      <c r="CO115" s="0" t="n">
        <v>0.0134900469043024</v>
      </c>
      <c r="CP115" s="0" t="n">
        <v>0.0202929948384533</v>
      </c>
      <c r="CQ115" s="0" t="n">
        <v>0.0509220002919946</v>
      </c>
      <c r="CR115" s="0" t="n">
        <v>0.0671987406119496</v>
      </c>
      <c r="CS115" s="0" t="n">
        <v>0.072980551729385</v>
      </c>
      <c r="CT115" s="0" t="n">
        <v>0.0663223920442827</v>
      </c>
      <c r="CU115" s="0" t="n">
        <v>0.043986594159792</v>
      </c>
      <c r="CV115" s="0" t="n">
        <v>0.0184622287331785</v>
      </c>
      <c r="CW115" s="0" t="n">
        <v>0.0335797826466896</v>
      </c>
      <c r="CX115" s="0" t="n">
        <v>0.0678558959423676</v>
      </c>
      <c r="CY115" s="0" t="n">
        <v>0.0486238984379697</v>
      </c>
      <c r="CZ115" s="0" t="n">
        <v>0.0117022692679087</v>
      </c>
      <c r="DA115" s="0" t="n">
        <v>0.0271767139417052</v>
      </c>
      <c r="DB115" s="0" t="n">
        <v>0.0707814405422432</v>
      </c>
      <c r="DC115" s="0" t="n">
        <v>0.0490344925964374</v>
      </c>
      <c r="DD115" s="0" t="n">
        <v>0.0588438327085441</v>
      </c>
      <c r="DE115" s="0" t="n">
        <v>0.150132274262656</v>
      </c>
      <c r="DF115" s="0" t="n">
        <v>0.000155249564119</v>
      </c>
      <c r="DG115" s="0" t="n">
        <v>0.217705803657178</v>
      </c>
      <c r="DH115" s="0" t="n">
        <v>0.0544705004600013</v>
      </c>
      <c r="DI115" s="0" t="n">
        <v>0.0570852026132376</v>
      </c>
      <c r="DJ115" s="0" t="n">
        <v>0.0513391296468214</v>
      </c>
      <c r="DK115" s="0" t="n">
        <v>0.0732421998314418</v>
      </c>
      <c r="DL115" s="0" t="n">
        <v>0.12779286295315</v>
      </c>
      <c r="DM115" s="0" t="n">
        <v>0.0740094073621893</v>
      </c>
      <c r="DN115" s="0" t="n">
        <v>0.0236507744344767</v>
      </c>
      <c r="DO115" s="0" t="n">
        <v>0.0909042423958058</v>
      </c>
      <c r="DP115" s="0" t="n">
        <v>0.0621105365220871</v>
      </c>
      <c r="DQ115" s="0" t="n">
        <v>0.0854508013023969</v>
      </c>
      <c r="DR115" s="0" t="n">
        <v>0.121367653293487</v>
      </c>
      <c r="DS115" s="0" t="n">
        <v>-0.0268152493788644</v>
      </c>
      <c r="DT115" s="0" t="n">
        <v>0.0610622528576663</v>
      </c>
      <c r="DU115" s="0" t="n">
        <v>0.0991611720410062</v>
      </c>
      <c r="DV115" s="0" t="n">
        <v>0.072041783435571</v>
      </c>
      <c r="DW115" s="0" t="n">
        <v>0.0658056965727783</v>
      </c>
      <c r="DX115" s="0" t="n">
        <v>0.0998085981506784</v>
      </c>
      <c r="DY115" s="0" t="n">
        <v>0.0725468049436759</v>
      </c>
      <c r="DZ115" s="0" t="n">
        <v>0.0194620971423944</v>
      </c>
      <c r="EA115" s="0" t="n">
        <v>0.0808903275399316</v>
      </c>
      <c r="EB115" s="0" t="n">
        <v>0.0739183455993467</v>
      </c>
      <c r="EC115" s="0" t="n">
        <v>0.0878211732584475</v>
      </c>
      <c r="ED115" s="0" t="n">
        <v>0.108531182447388</v>
      </c>
      <c r="EE115" s="0" t="n">
        <v>0.125129190047751</v>
      </c>
      <c r="EF115" s="0" t="n">
        <v>0.120472648700213</v>
      </c>
      <c r="EG115" s="0" t="n">
        <v>0.0949141673587196</v>
      </c>
      <c r="EH115" s="0" t="n">
        <v>0.0039229377822071</v>
      </c>
      <c r="EI115" s="0" t="n">
        <v>0.14432096572922</v>
      </c>
      <c r="EJ115" s="0" t="n">
        <v>0.0462430054565503</v>
      </c>
      <c r="EK115" s="0" t="n">
        <v>0.159213738518829</v>
      </c>
      <c r="EL115" s="0" t="n">
        <v>0.192638937054531</v>
      </c>
      <c r="EM115" s="0" t="n">
        <v>0.074514726690949</v>
      </c>
      <c r="EN115" s="0" t="n">
        <v>0.227768998073038</v>
      </c>
      <c r="EO115" s="0" t="n">
        <v>0.0190672759637331</v>
      </c>
      <c r="EP115" s="72" t="n">
        <f aca="false">SUMPRODUCT(B115:EO115,$B$5:$EO$5)</f>
        <v>0.113057623089747</v>
      </c>
      <c r="EQ115" s="72" t="n">
        <f aca="false">SUMIF('Mi portafolio'!$A$8:$A$19,$A115,'Mi portafolio'!$B$8:$B$19)</f>
        <v>0</v>
      </c>
    </row>
    <row r="116" customFormat="false" ht="15" hidden="false" customHeight="false" outlineLevel="0" collapsed="false">
      <c r="A116" s="71" t="s">
        <v>343</v>
      </c>
      <c r="B116" s="0" t="n">
        <v>-0.003115476346292</v>
      </c>
      <c r="C116" s="0" t="n">
        <v>0.0045739089337757</v>
      </c>
      <c r="D116" s="0" t="n">
        <v>0.0038800617280912</v>
      </c>
      <c r="E116" s="0" t="n">
        <v>0.0088590352333024</v>
      </c>
      <c r="F116" s="0" t="n">
        <v>-0.0151724997742473</v>
      </c>
      <c r="G116" s="0" t="n">
        <v>-0.0025251153540147</v>
      </c>
      <c r="H116" s="0" t="n">
        <v>0.0084384503274976</v>
      </c>
      <c r="I116" s="0" t="n">
        <v>-0.0060553901560357</v>
      </c>
      <c r="J116" s="0" t="n">
        <v>-0.0141543116481881</v>
      </c>
      <c r="K116" s="0" t="n">
        <v>-0.0145135312318952</v>
      </c>
      <c r="L116" s="0" t="n">
        <v>0.00760997308768</v>
      </c>
      <c r="M116" s="0" t="n">
        <v>0.0181710710625588</v>
      </c>
      <c r="N116" s="0" t="n">
        <v>-0.001671378465426</v>
      </c>
      <c r="O116" s="0" t="n">
        <v>0.00182894846077</v>
      </c>
      <c r="P116" s="0" t="n">
        <v>-0.0114731216340809</v>
      </c>
      <c r="Q116" s="0" t="n">
        <v>0.0115819010170464</v>
      </c>
      <c r="R116" s="0" t="n">
        <v>-0.0139764385076622</v>
      </c>
      <c r="S116" s="0" t="n">
        <v>-0.000376426005899</v>
      </c>
      <c r="T116" s="0" t="n">
        <v>0.0187881972487131</v>
      </c>
      <c r="U116" s="0" t="n">
        <v>0.011644916282765</v>
      </c>
      <c r="V116" s="0" t="n">
        <v>-0.0008006535555232</v>
      </c>
      <c r="W116" s="0" t="n">
        <v>-0.0024045750060491</v>
      </c>
      <c r="X116" s="0" t="n">
        <v>0.0211873743482421</v>
      </c>
      <c r="Y116" s="0" t="n">
        <v>-0.0019101407273635</v>
      </c>
      <c r="Z116" s="0" t="n">
        <v>0.0102281582032155</v>
      </c>
      <c r="AA116" s="0" t="n">
        <v>0.0013301037842549</v>
      </c>
      <c r="AB116" s="0" t="n">
        <v>-0.0087417023674418</v>
      </c>
      <c r="AC116" s="0" t="n">
        <v>0.0116439532994832</v>
      </c>
      <c r="AD116" s="0" t="n">
        <v>0.0135475120409706</v>
      </c>
      <c r="AE116" s="0" t="n">
        <v>0.0185255090191887</v>
      </c>
      <c r="AF116" s="0" t="n">
        <v>0.0137467820994496</v>
      </c>
      <c r="AG116" s="0" t="n">
        <v>-0.0168852197610824</v>
      </c>
      <c r="AH116" s="0" t="n">
        <v>-0.0165648929210102</v>
      </c>
      <c r="AI116" s="0" t="n">
        <v>-0.0100624712976351</v>
      </c>
      <c r="AJ116" s="0" t="n">
        <v>0.0060995927149399</v>
      </c>
      <c r="AK116" s="0" t="n">
        <v>0.0094131187005181</v>
      </c>
      <c r="AL116" s="0" t="n">
        <v>0.0245580152675581</v>
      </c>
      <c r="AM116" s="0" t="n">
        <v>0.0161838221100925</v>
      </c>
      <c r="AN116" s="0" t="n">
        <v>0.0073134154336391</v>
      </c>
      <c r="AO116" s="0" t="n">
        <v>-0.0159602262712045</v>
      </c>
      <c r="AP116" s="0" t="n">
        <v>0.0050005634013563</v>
      </c>
      <c r="AQ116" s="0" t="n">
        <v>-0.0145316961829573</v>
      </c>
      <c r="AR116" s="0" t="n">
        <v>0.0156166965661149</v>
      </c>
      <c r="AS116" s="0" t="n">
        <v>0.0074356044364094</v>
      </c>
      <c r="AT116" s="0" t="n">
        <v>0.0215921962125508</v>
      </c>
      <c r="AU116" s="0" t="n">
        <v>-0.0086036787391044</v>
      </c>
      <c r="AV116" s="0" t="n">
        <v>0.0231195364351073</v>
      </c>
      <c r="AW116" s="0" t="n">
        <v>0.0146111920123335</v>
      </c>
      <c r="AX116" s="0" t="n">
        <v>-0.0080583914368673</v>
      </c>
      <c r="AY116" s="0" t="n">
        <v>0.0189715372843001</v>
      </c>
      <c r="AZ116" s="0" t="n">
        <v>0.0324978399530747</v>
      </c>
      <c r="BA116" s="0" t="n">
        <v>0.0179041659122195</v>
      </c>
      <c r="BB116" s="0" t="n">
        <v>0.0445518403625046</v>
      </c>
      <c r="BC116" s="0" t="n">
        <v>0.028425369388489</v>
      </c>
      <c r="BD116" s="0" t="n">
        <v>0.010794692773882</v>
      </c>
      <c r="BE116" s="0" t="n">
        <v>-0.0156449520368283</v>
      </c>
      <c r="BF116" s="0" t="n">
        <v>0.00565486839765</v>
      </c>
      <c r="BG116" s="0" t="n">
        <v>0.0128228472019167</v>
      </c>
      <c r="BH116" s="0" t="n">
        <v>0.0294034290494583</v>
      </c>
      <c r="BI116" s="0" t="n">
        <v>0.0032310828953644</v>
      </c>
      <c r="BJ116" s="0" t="n">
        <v>0.0082891857878644</v>
      </c>
      <c r="BK116" s="0" t="n">
        <v>0.0288005398688336</v>
      </c>
      <c r="BL116" s="0" t="n">
        <v>0.0339994590537143</v>
      </c>
      <c r="BM116" s="0" t="n">
        <v>0.0040119490311029</v>
      </c>
      <c r="BN116" s="0" t="n">
        <v>-0.0056117779863694</v>
      </c>
      <c r="BO116" s="0" t="n">
        <v>0.0508996959190039</v>
      </c>
      <c r="BP116" s="0" t="n">
        <v>0.0374837621755889</v>
      </c>
      <c r="BQ116" s="0" t="n">
        <v>0.0331193739037246</v>
      </c>
      <c r="BR116" s="0" t="n">
        <v>0.0300975724382427</v>
      </c>
      <c r="BS116" s="0" t="n">
        <v>0.0010898493272278</v>
      </c>
      <c r="BT116" s="0" t="n">
        <v>0.0373328648288521</v>
      </c>
      <c r="BU116" s="0" t="n">
        <v>0.0169508754979896</v>
      </c>
      <c r="BV116" s="0" t="n">
        <v>0.0420024307152825</v>
      </c>
      <c r="BW116" s="0" t="n">
        <v>0.016992421009447</v>
      </c>
      <c r="BX116" s="0" t="n">
        <v>-0.005767887263716</v>
      </c>
      <c r="BY116" s="0" t="n">
        <v>0.0251898677892819</v>
      </c>
      <c r="BZ116" s="0" t="n">
        <v>0.0296368174292352</v>
      </c>
      <c r="CA116" s="0" t="n">
        <v>0.0250385533351253</v>
      </c>
      <c r="CB116" s="0" t="n">
        <v>-0.0094512791971738</v>
      </c>
      <c r="CC116" s="0" t="n">
        <v>-0.0037711134212887</v>
      </c>
      <c r="CD116" s="0" t="n">
        <v>0.0199498712159929</v>
      </c>
      <c r="CE116" s="0" t="n">
        <v>0.0643805367328949</v>
      </c>
      <c r="CF116" s="0" t="n">
        <v>-0.010868200361148</v>
      </c>
      <c r="CG116" s="0" t="n">
        <v>0.0271191708589575</v>
      </c>
      <c r="CH116" s="0" t="n">
        <v>0.048528575770269</v>
      </c>
      <c r="CI116" s="0" t="n">
        <v>-0.0110540329453991</v>
      </c>
      <c r="CJ116" s="0" t="n">
        <v>0.0031851340068506</v>
      </c>
      <c r="CK116" s="0" t="n">
        <v>-0.0022168638246496</v>
      </c>
      <c r="CL116" s="0" t="n">
        <v>0.0303875748041476</v>
      </c>
      <c r="CM116" s="0" t="n">
        <v>0.0960151333470827</v>
      </c>
      <c r="CN116" s="0" t="n">
        <v>0.017849235955954</v>
      </c>
      <c r="CO116" s="0" t="n">
        <v>0.0235290329550113</v>
      </c>
      <c r="CP116" s="0" t="n">
        <v>0.0335322626967002</v>
      </c>
      <c r="CQ116" s="0" t="n">
        <v>0.051921589839839</v>
      </c>
      <c r="CR116" s="0" t="n">
        <v>0.113119472245857</v>
      </c>
      <c r="CS116" s="0" t="n">
        <v>0.096912598425987</v>
      </c>
      <c r="CT116" s="0" t="n">
        <v>0.0360667326781185</v>
      </c>
      <c r="CU116" s="0" t="n">
        <v>0.0515522640051921</v>
      </c>
      <c r="CV116" s="0" t="n">
        <v>0.0394102575248903</v>
      </c>
      <c r="CW116" s="0" t="n">
        <v>0.0292943166896533</v>
      </c>
      <c r="CX116" s="0" t="n">
        <v>0.0340463121913574</v>
      </c>
      <c r="CY116" s="0" t="n">
        <v>0.040811866768554</v>
      </c>
      <c r="CZ116" s="0" t="n">
        <v>0.0376727536670425</v>
      </c>
      <c r="DA116" s="0" t="n">
        <v>0.023062110703581</v>
      </c>
      <c r="DB116" s="0" t="n">
        <v>0.0829640201856579</v>
      </c>
      <c r="DC116" s="0" t="n">
        <v>0.0327001095600182</v>
      </c>
      <c r="DD116" s="0" t="n">
        <v>0.0643759339588643</v>
      </c>
      <c r="DE116" s="0" t="n">
        <v>0.0904042016691186</v>
      </c>
      <c r="DF116" s="0" t="n">
        <v>0.0092155257372597</v>
      </c>
      <c r="DG116" s="0" t="n">
        <v>0.0544705004600013</v>
      </c>
      <c r="DH116" s="0" t="n">
        <v>0.216176580244844</v>
      </c>
      <c r="DI116" s="0" t="n">
        <v>0.0585375088243212</v>
      </c>
      <c r="DJ116" s="0" t="n">
        <v>0.0438416709079687</v>
      </c>
      <c r="DK116" s="0" t="n">
        <v>0.0731517015749046</v>
      </c>
      <c r="DL116" s="0" t="n">
        <v>0.0386305161110132</v>
      </c>
      <c r="DM116" s="0" t="n">
        <v>0.0524206562649591</v>
      </c>
      <c r="DN116" s="0" t="n">
        <v>0.0346618160129724</v>
      </c>
      <c r="DO116" s="0" t="n">
        <v>0.0902930695923515</v>
      </c>
      <c r="DP116" s="0" t="n">
        <v>0.0522031202494853</v>
      </c>
      <c r="DQ116" s="0" t="n">
        <v>0.0837538227276547</v>
      </c>
      <c r="DR116" s="0" t="n">
        <v>0.082797690775256</v>
      </c>
      <c r="DS116" s="0" t="n">
        <v>0.0224859980347536</v>
      </c>
      <c r="DT116" s="0" t="n">
        <v>0.118315219083736</v>
      </c>
      <c r="DU116" s="0" t="n">
        <v>0.0976534493291362</v>
      </c>
      <c r="DV116" s="0" t="n">
        <v>0.0924974823072187</v>
      </c>
      <c r="DW116" s="0" t="n">
        <v>0.0708555212479673</v>
      </c>
      <c r="DX116" s="0" t="n">
        <v>0.151950540669728</v>
      </c>
      <c r="DY116" s="0" t="n">
        <v>0.0735216636494096</v>
      </c>
      <c r="DZ116" s="0" t="n">
        <v>0.0495124450179984</v>
      </c>
      <c r="EA116" s="0" t="n">
        <v>0.0553829325817522</v>
      </c>
      <c r="EB116" s="0" t="n">
        <v>0.0932505846221297</v>
      </c>
      <c r="EC116" s="0" t="n">
        <v>0.0139003789837342</v>
      </c>
      <c r="ED116" s="0" t="n">
        <v>0.0894886387509549</v>
      </c>
      <c r="EE116" s="0" t="n">
        <v>0.168606200489814</v>
      </c>
      <c r="EF116" s="0" t="n">
        <v>0.0896197375695861</v>
      </c>
      <c r="EG116" s="0" t="n">
        <v>0.159954763663143</v>
      </c>
      <c r="EH116" s="0" t="n">
        <v>0.0389427153338772</v>
      </c>
      <c r="EI116" s="0" t="n">
        <v>0.185511348552821</v>
      </c>
      <c r="EJ116" s="0" t="n">
        <v>0.0824497635746089</v>
      </c>
      <c r="EK116" s="0" t="n">
        <v>0.164190417621536</v>
      </c>
      <c r="EL116" s="0" t="n">
        <v>0.176675598556991</v>
      </c>
      <c r="EM116" s="0" t="n">
        <v>0.100000965698008</v>
      </c>
      <c r="EN116" s="0" t="n">
        <v>-0.0204013079028837</v>
      </c>
      <c r="EO116" s="0" t="n">
        <v>0.0403796776973963</v>
      </c>
      <c r="EP116" s="72" t="n">
        <f aca="false">SUMPRODUCT(B116:EO116,$B$5:$EO$5)</f>
        <v>0.159517439065601</v>
      </c>
      <c r="EQ116" s="72" t="n">
        <f aca="false">SUMIF('Mi portafolio'!$A$8:$A$19,$A116,'Mi portafolio'!$B$8:$B$19)</f>
        <v>0</v>
      </c>
    </row>
    <row r="117" customFormat="false" ht="15" hidden="false" customHeight="false" outlineLevel="0" collapsed="false">
      <c r="A117" s="71" t="s">
        <v>345</v>
      </c>
      <c r="B117" s="0" t="n">
        <v>0.0213439652375962</v>
      </c>
      <c r="C117" s="0" t="n">
        <v>-0.0022601182145014</v>
      </c>
      <c r="D117" s="0" t="n">
        <v>0.0025132463164465</v>
      </c>
      <c r="E117" s="0" t="n">
        <v>0.0186578388595066</v>
      </c>
      <c r="F117" s="0" t="n">
        <v>0.010354577857075</v>
      </c>
      <c r="G117" s="0" t="n">
        <v>-0.0003112289047093</v>
      </c>
      <c r="H117" s="0" t="n">
        <v>0.0108040707457144</v>
      </c>
      <c r="I117" s="0" t="n">
        <v>0.0230657650444807</v>
      </c>
      <c r="J117" s="0" t="n">
        <v>0.0036515541112411</v>
      </c>
      <c r="K117" s="0" t="n">
        <v>0.0231676736867142</v>
      </c>
      <c r="L117" s="0" t="n">
        <v>0.0132869438930196</v>
      </c>
      <c r="M117" s="0" t="n">
        <v>0.0428933799180258</v>
      </c>
      <c r="N117" s="0" t="n">
        <v>0.0231344976602982</v>
      </c>
      <c r="O117" s="0" t="n">
        <v>0.0197601847704012</v>
      </c>
      <c r="P117" s="0" t="n">
        <v>0.0050609713247971</v>
      </c>
      <c r="Q117" s="0" t="n">
        <v>0.0070680847266866</v>
      </c>
      <c r="R117" s="0" t="n">
        <v>0.012346888153134</v>
      </c>
      <c r="S117" s="0" t="n">
        <v>0.0112810791205906</v>
      </c>
      <c r="T117" s="0" t="n">
        <v>0.0418974192994396</v>
      </c>
      <c r="U117" s="0" t="n">
        <v>0.0161144174476323</v>
      </c>
      <c r="V117" s="0" t="n">
        <v>0.0113471998327791</v>
      </c>
      <c r="W117" s="0" t="n">
        <v>0.0123977339173945</v>
      </c>
      <c r="X117" s="0" t="n">
        <v>0.0453160243629568</v>
      </c>
      <c r="Y117" s="0" t="n">
        <v>0.0275423793393015</v>
      </c>
      <c r="Z117" s="0" t="n">
        <v>0.0108037263687254</v>
      </c>
      <c r="AA117" s="0" t="n">
        <v>0.0204244994564302</v>
      </c>
      <c r="AB117" s="0" t="n">
        <v>0.0309421017393283</v>
      </c>
      <c r="AC117" s="0" t="n">
        <v>0.0141979333632416</v>
      </c>
      <c r="AD117" s="0" t="n">
        <v>0.0083041411365388</v>
      </c>
      <c r="AE117" s="0" t="n">
        <v>0.028172908219222</v>
      </c>
      <c r="AF117" s="0" t="n">
        <v>0.0133887858726082</v>
      </c>
      <c r="AG117" s="0" t="n">
        <v>0.0038932668357156</v>
      </c>
      <c r="AH117" s="0" t="n">
        <v>0.0065201333599316</v>
      </c>
      <c r="AI117" s="0" t="n">
        <v>-0.0375182989360387</v>
      </c>
      <c r="AJ117" s="0" t="n">
        <v>0.0054526532673411</v>
      </c>
      <c r="AK117" s="0" t="n">
        <v>0.0221794985445463</v>
      </c>
      <c r="AL117" s="0" t="n">
        <v>0.0367976621522366</v>
      </c>
      <c r="AM117" s="0" t="n">
        <v>0.0210757451050952</v>
      </c>
      <c r="AN117" s="0" t="n">
        <v>0.0595384150398002</v>
      </c>
      <c r="AO117" s="0" t="n">
        <v>0.0077728241592945</v>
      </c>
      <c r="AP117" s="0" t="n">
        <v>0.0448872913646214</v>
      </c>
      <c r="AQ117" s="0" t="n">
        <v>-0.0462298658113165</v>
      </c>
      <c r="AR117" s="0" t="n">
        <v>0.0441069306351569</v>
      </c>
      <c r="AS117" s="0" t="n">
        <v>0.0093168825369183</v>
      </c>
      <c r="AT117" s="0" t="n">
        <v>0.0601562061335721</v>
      </c>
      <c r="AU117" s="0" t="n">
        <v>0.008112802883446</v>
      </c>
      <c r="AV117" s="0" t="n">
        <v>0.0184873100133635</v>
      </c>
      <c r="AW117" s="0" t="n">
        <v>0.0165678533745579</v>
      </c>
      <c r="AX117" s="0" t="n">
        <v>0.0352947160465089</v>
      </c>
      <c r="AY117" s="0" t="n">
        <v>0.0460289945016888</v>
      </c>
      <c r="AZ117" s="0" t="n">
        <v>0.0381849547182807</v>
      </c>
      <c r="BA117" s="0" t="n">
        <v>0.0480940875000842</v>
      </c>
      <c r="BB117" s="0" t="n">
        <v>0.0761347895807369</v>
      </c>
      <c r="BC117" s="0" t="n">
        <v>0.026916777799454</v>
      </c>
      <c r="BD117" s="0" t="n">
        <v>0.0224129025211297</v>
      </c>
      <c r="BE117" s="0" t="n">
        <v>0.0214921236405424</v>
      </c>
      <c r="BF117" s="0" t="n">
        <v>0.0158113482211842</v>
      </c>
      <c r="BG117" s="0" t="n">
        <v>0.0337399229882458</v>
      </c>
      <c r="BH117" s="0" t="n">
        <v>0.0225474344787444</v>
      </c>
      <c r="BI117" s="0" t="n">
        <v>0.0300577680448093</v>
      </c>
      <c r="BJ117" s="0" t="n">
        <v>-0.0086241125758044</v>
      </c>
      <c r="BK117" s="0" t="n">
        <v>0.034923671406432</v>
      </c>
      <c r="BL117" s="0" t="n">
        <v>0.0426845755149481</v>
      </c>
      <c r="BM117" s="0" t="n">
        <v>0.0439790249550482</v>
      </c>
      <c r="BN117" s="0" t="n">
        <v>0.0289558789858167</v>
      </c>
      <c r="BO117" s="0" t="n">
        <v>0.058625959036544</v>
      </c>
      <c r="BP117" s="0" t="n">
        <v>0.0287699205516501</v>
      </c>
      <c r="BQ117" s="0" t="n">
        <v>0.0401971272092741</v>
      </c>
      <c r="BR117" s="0" t="n">
        <v>0.0737926679690237</v>
      </c>
      <c r="BS117" s="0" t="n">
        <v>-0.0511624930678814</v>
      </c>
      <c r="BT117" s="0" t="n">
        <v>0.0799025616690728</v>
      </c>
      <c r="BU117" s="0" t="n">
        <v>0.022017603083477</v>
      </c>
      <c r="BV117" s="0" t="n">
        <v>0.0510829180088684</v>
      </c>
      <c r="BW117" s="0" t="n">
        <v>0.0503398925442514</v>
      </c>
      <c r="BX117" s="0" t="n">
        <v>0.0274012329182258</v>
      </c>
      <c r="BY117" s="0" t="n">
        <v>0.0748263890067968</v>
      </c>
      <c r="BZ117" s="0" t="n">
        <v>0.0703406052437987</v>
      </c>
      <c r="CA117" s="0" t="n">
        <v>0.0129828574503881</v>
      </c>
      <c r="CB117" s="0" t="n">
        <v>-0.0081956412452782</v>
      </c>
      <c r="CC117" s="0" t="n">
        <v>0.0293356747858393</v>
      </c>
      <c r="CD117" s="0" t="n">
        <v>0.0403343737070503</v>
      </c>
      <c r="CE117" s="0" t="n">
        <v>0.0244077896185392</v>
      </c>
      <c r="CF117" s="0" t="n">
        <v>-0.0562924189840282</v>
      </c>
      <c r="CG117" s="0" t="n">
        <v>0.0682797237718739</v>
      </c>
      <c r="CH117" s="0" t="n">
        <v>0.0427297431689028</v>
      </c>
      <c r="CI117" s="0" t="n">
        <v>-0.0584839415811745</v>
      </c>
      <c r="CJ117" s="0" t="n">
        <v>0.0170859966764029</v>
      </c>
      <c r="CK117" s="0" t="n">
        <v>0.0530403139418343</v>
      </c>
      <c r="CL117" s="0" t="n">
        <v>0.0760207456204916</v>
      </c>
      <c r="CM117" s="0" t="n">
        <v>0.0409406504772966</v>
      </c>
      <c r="CN117" s="0" t="n">
        <v>0.0039071942842093</v>
      </c>
      <c r="CO117" s="0" t="n">
        <v>0.0251955238368743</v>
      </c>
      <c r="CP117" s="0" t="n">
        <v>0.0292825883657389</v>
      </c>
      <c r="CQ117" s="0" t="n">
        <v>0.16338046219164</v>
      </c>
      <c r="CR117" s="0" t="n">
        <v>0.0672059963112154</v>
      </c>
      <c r="CS117" s="0" t="n">
        <v>0.0773925300564079</v>
      </c>
      <c r="CT117" s="0" t="n">
        <v>0.0579632264017954</v>
      </c>
      <c r="CU117" s="0" t="n">
        <v>0.0313347393072611</v>
      </c>
      <c r="CV117" s="0" t="n">
        <v>0.0524557255220924</v>
      </c>
      <c r="CW117" s="0" t="n">
        <v>0.048593464305255</v>
      </c>
      <c r="CX117" s="0" t="n">
        <v>0.0679619994699449</v>
      </c>
      <c r="CY117" s="0" t="n">
        <v>0.154770815534325</v>
      </c>
      <c r="CZ117" s="0" t="n">
        <v>0.0327363796607433</v>
      </c>
      <c r="DA117" s="0" t="n">
        <v>0.0304222144277516</v>
      </c>
      <c r="DB117" s="0" t="n">
        <v>0.0810766394597058</v>
      </c>
      <c r="DC117" s="0" t="n">
        <v>0.0928074997504601</v>
      </c>
      <c r="DD117" s="0" t="n">
        <v>0.0786356927101618</v>
      </c>
      <c r="DE117" s="0" t="n">
        <v>0.0650538052673597</v>
      </c>
      <c r="DF117" s="0" t="n">
        <v>0.0243891123109081</v>
      </c>
      <c r="DG117" s="0" t="n">
        <v>0.0570852026132376</v>
      </c>
      <c r="DH117" s="0" t="n">
        <v>0.0585375088243212</v>
      </c>
      <c r="DI117" s="0" t="n">
        <v>0.234003752336252</v>
      </c>
      <c r="DJ117" s="0" t="n">
        <v>0.122998470590933</v>
      </c>
      <c r="DK117" s="0" t="n">
        <v>0.199789687619189</v>
      </c>
      <c r="DL117" s="0" t="n">
        <v>0.0216337715169053</v>
      </c>
      <c r="DM117" s="0" t="n">
        <v>0.158271098907693</v>
      </c>
      <c r="DN117" s="0" t="n">
        <v>0.0661305013004198</v>
      </c>
      <c r="DO117" s="0" t="n">
        <v>0.0874813928770713</v>
      </c>
      <c r="DP117" s="0" t="n">
        <v>0.160948798048387</v>
      </c>
      <c r="DQ117" s="0" t="n">
        <v>0.0816486534919174</v>
      </c>
      <c r="DR117" s="0" t="n">
        <v>0.0546433978202784</v>
      </c>
      <c r="DS117" s="0" t="n">
        <v>0.0469387107443571</v>
      </c>
      <c r="DT117" s="0" t="n">
        <v>0.0499945138230965</v>
      </c>
      <c r="DU117" s="0" t="n">
        <v>0.109009351855132</v>
      </c>
      <c r="DV117" s="0" t="n">
        <v>0.0559916399296178</v>
      </c>
      <c r="DW117" s="0" t="n">
        <v>0.0884024845436491</v>
      </c>
      <c r="DX117" s="0" t="n">
        <v>0.0912488498352464</v>
      </c>
      <c r="DY117" s="0" t="n">
        <v>0.134984464529348</v>
      </c>
      <c r="DZ117" s="0" t="n">
        <v>0.0388536560539255</v>
      </c>
      <c r="EA117" s="0" t="n">
        <v>0.085564026197657</v>
      </c>
      <c r="EB117" s="0" t="n">
        <v>0.141664308449902</v>
      </c>
      <c r="EC117" s="0" t="n">
        <v>-0.0019547576125101</v>
      </c>
      <c r="ED117" s="0" t="n">
        <v>0.0932529352946412</v>
      </c>
      <c r="EE117" s="0" t="n">
        <v>0.117693401845793</v>
      </c>
      <c r="EF117" s="0" t="n">
        <v>0.0710668544400591</v>
      </c>
      <c r="EG117" s="0" t="n">
        <v>0.115465310804396</v>
      </c>
      <c r="EH117" s="0" t="n">
        <v>0.060123903888748</v>
      </c>
      <c r="EI117" s="0" t="n">
        <v>0.107061894573849</v>
      </c>
      <c r="EJ117" s="0" t="n">
        <v>0.12970997420151</v>
      </c>
      <c r="EK117" s="0" t="n">
        <v>0.122226614882682</v>
      </c>
      <c r="EL117" s="0" t="n">
        <v>0.1382081585718</v>
      </c>
      <c r="EM117" s="0" t="n">
        <v>0.088071708310926</v>
      </c>
      <c r="EN117" s="0" t="n">
        <v>0.0701422148336916</v>
      </c>
      <c r="EO117" s="0" t="n">
        <v>0.107143235702</v>
      </c>
      <c r="EP117" s="72" t="n">
        <f aca="false">SUMPRODUCT(B117:EO117,$B$5:$EO$5)</f>
        <v>0.102571045602394</v>
      </c>
      <c r="EQ117" s="72" t="n">
        <f aca="false">SUMIF('Mi portafolio'!$A$8:$A$19,$A117,'Mi portafolio'!$B$8:$B$19)</f>
        <v>0</v>
      </c>
    </row>
    <row r="118" customFormat="false" ht="15" hidden="false" customHeight="false" outlineLevel="0" collapsed="false">
      <c r="A118" s="71" t="s">
        <v>346</v>
      </c>
      <c r="B118" s="0" t="n">
        <v>0.0180313406631651</v>
      </c>
      <c r="C118" s="0" t="n">
        <v>-0.0044545394997364</v>
      </c>
      <c r="D118" s="0" t="n">
        <v>3.36223234611903E-006</v>
      </c>
      <c r="E118" s="0" t="n">
        <v>0.0074657364603479</v>
      </c>
      <c r="F118" s="0" t="n">
        <v>0.014716843939934</v>
      </c>
      <c r="G118" s="0" t="n">
        <v>-0.0039158872274562</v>
      </c>
      <c r="H118" s="0" t="n">
        <v>0.0059578583171352</v>
      </c>
      <c r="I118" s="0" t="n">
        <v>0.0265329318337738</v>
      </c>
      <c r="J118" s="0" t="n">
        <v>0.0136183620239626</v>
      </c>
      <c r="K118" s="0" t="n">
        <v>0.0282146229207821</v>
      </c>
      <c r="L118" s="0" t="n">
        <v>0.0081775241405378</v>
      </c>
      <c r="M118" s="0" t="n">
        <v>0.038862999721677</v>
      </c>
      <c r="N118" s="0" t="n">
        <v>0.0307002437872631</v>
      </c>
      <c r="O118" s="0" t="n">
        <v>0.0065494291063869</v>
      </c>
      <c r="P118" s="0" t="n">
        <v>0.009026861228796</v>
      </c>
      <c r="Q118" s="0" t="n">
        <v>-0.0005203399896326</v>
      </c>
      <c r="R118" s="0" t="n">
        <v>0.0157767994117389</v>
      </c>
      <c r="S118" s="0" t="n">
        <v>0.0067856802832474</v>
      </c>
      <c r="T118" s="0" t="n">
        <v>0.0425993357025819</v>
      </c>
      <c r="U118" s="0" t="n">
        <v>0.0079423392659491</v>
      </c>
      <c r="V118" s="0" t="n">
        <v>0.0106340055901151</v>
      </c>
      <c r="W118" s="0" t="n">
        <v>-0.0034720666357941</v>
      </c>
      <c r="X118" s="0" t="n">
        <v>0.0444609713507925</v>
      </c>
      <c r="Y118" s="0" t="n">
        <v>0.0383177239150808</v>
      </c>
      <c r="Z118" s="0" t="n">
        <v>0.0130537786244937</v>
      </c>
      <c r="AA118" s="0" t="n">
        <v>0.0103540083314897</v>
      </c>
      <c r="AB118" s="0" t="n">
        <v>0.0428163693395423</v>
      </c>
      <c r="AC118" s="0" t="n">
        <v>-0.000348247063724</v>
      </c>
      <c r="AD118" s="0" t="n">
        <v>0.0071668954863387</v>
      </c>
      <c r="AE118" s="0" t="n">
        <v>0.0211489729933957</v>
      </c>
      <c r="AF118" s="0" t="n">
        <v>-0.0004209202931368</v>
      </c>
      <c r="AG118" s="0" t="n">
        <v>0.0053363381812175</v>
      </c>
      <c r="AH118" s="0" t="n">
        <v>-0.0001666242409325</v>
      </c>
      <c r="AI118" s="0" t="n">
        <v>-0.0253799198285165</v>
      </c>
      <c r="AJ118" s="0" t="n">
        <v>0.0019123922391786</v>
      </c>
      <c r="AK118" s="0" t="n">
        <v>0.0240821593026816</v>
      </c>
      <c r="AL118" s="0" t="n">
        <v>0.0343907628734355</v>
      </c>
      <c r="AM118" s="0" t="n">
        <v>0.0154193832439856</v>
      </c>
      <c r="AN118" s="0" t="n">
        <v>0.0561576598521066</v>
      </c>
      <c r="AO118" s="0" t="n">
        <v>0.0194757430179143</v>
      </c>
      <c r="AP118" s="0" t="n">
        <v>0.0520579975033986</v>
      </c>
      <c r="AQ118" s="0" t="n">
        <v>-0.0270261935676328</v>
      </c>
      <c r="AR118" s="0" t="n">
        <v>0.0454222417721014</v>
      </c>
      <c r="AS118" s="0" t="n">
        <v>0.0128282428911838</v>
      </c>
      <c r="AT118" s="0" t="n">
        <v>0.0588824020583976</v>
      </c>
      <c r="AU118" s="0" t="n">
        <v>0.0160073943985861</v>
      </c>
      <c r="AV118" s="0" t="n">
        <v>0.0035445236233225</v>
      </c>
      <c r="AW118" s="0" t="n">
        <v>0.006551722639392</v>
      </c>
      <c r="AX118" s="0" t="n">
        <v>0.0363026658958174</v>
      </c>
      <c r="AY118" s="0" t="n">
        <v>0.0453993304259344</v>
      </c>
      <c r="AZ118" s="0" t="n">
        <v>0.024596941372774</v>
      </c>
      <c r="BA118" s="0" t="n">
        <v>0.0452783845535906</v>
      </c>
      <c r="BB118" s="0" t="n">
        <v>0.059236225198458</v>
      </c>
      <c r="BC118" s="0" t="n">
        <v>-0.0009043415868191</v>
      </c>
      <c r="BD118" s="0" t="n">
        <v>0.0128484276698955</v>
      </c>
      <c r="BE118" s="0" t="n">
        <v>0.0323751287666137</v>
      </c>
      <c r="BF118" s="0" t="n">
        <v>0.0179707903259081</v>
      </c>
      <c r="BG118" s="0" t="n">
        <v>0.0444489601071481</v>
      </c>
      <c r="BH118" s="0" t="n">
        <v>0.012427650964889</v>
      </c>
      <c r="BI118" s="0" t="n">
        <v>0.0129091135101003</v>
      </c>
      <c r="BJ118" s="0" t="n">
        <v>-0.0103803151663575</v>
      </c>
      <c r="BK118" s="0" t="n">
        <v>0.0207032805771849</v>
      </c>
      <c r="BL118" s="0" t="n">
        <v>0.0572770644292796</v>
      </c>
      <c r="BM118" s="0" t="n">
        <v>0.0506001530636626</v>
      </c>
      <c r="BN118" s="0" t="n">
        <v>0.0176831738164951</v>
      </c>
      <c r="BO118" s="0" t="n">
        <v>0.0531247811080586</v>
      </c>
      <c r="BP118" s="0" t="n">
        <v>0.0048054433521864</v>
      </c>
      <c r="BQ118" s="0" t="n">
        <v>0.0304755024474654</v>
      </c>
      <c r="BR118" s="0" t="n">
        <v>0.0530698039254744</v>
      </c>
      <c r="BS118" s="0" t="n">
        <v>-0.0221136277908795</v>
      </c>
      <c r="BT118" s="0" t="n">
        <v>0.0727490131494565</v>
      </c>
      <c r="BU118" s="0" t="n">
        <v>0.0228561865890247</v>
      </c>
      <c r="BV118" s="0" t="n">
        <v>0.0415830175092054</v>
      </c>
      <c r="BW118" s="0" t="n">
        <v>0.0126748014007391</v>
      </c>
      <c r="BX118" s="0" t="n">
        <v>0.0437047489443405</v>
      </c>
      <c r="BY118" s="0" t="n">
        <v>0.0704104710526967</v>
      </c>
      <c r="BZ118" s="0" t="n">
        <v>0.0532068748443835</v>
      </c>
      <c r="CA118" s="0" t="n">
        <v>0.0079815288175158</v>
      </c>
      <c r="CB118" s="0" t="n">
        <v>-0.0128621891688697</v>
      </c>
      <c r="CC118" s="0" t="n">
        <v>0.0222134454525002</v>
      </c>
      <c r="CD118" s="0" t="n">
        <v>0.0626310926876241</v>
      </c>
      <c r="CE118" s="0" t="n">
        <v>0.0280614054408295</v>
      </c>
      <c r="CF118" s="0" t="n">
        <v>-0.0319400060134365</v>
      </c>
      <c r="CG118" s="0" t="n">
        <v>0.0700292335283447</v>
      </c>
      <c r="CH118" s="0" t="n">
        <v>0.0444377698246273</v>
      </c>
      <c r="CI118" s="0" t="n">
        <v>-0.0298560315124325</v>
      </c>
      <c r="CJ118" s="0" t="n">
        <v>0.0081734148016511</v>
      </c>
      <c r="CK118" s="0" t="n">
        <v>0.052343874724352</v>
      </c>
      <c r="CL118" s="0" t="n">
        <v>0.0648903370237464</v>
      </c>
      <c r="CM118" s="0" t="n">
        <v>0.0383872790424994</v>
      </c>
      <c r="CN118" s="0" t="n">
        <v>0.0210365341910111</v>
      </c>
      <c r="CO118" s="0" t="n">
        <v>0.0142525012392917</v>
      </c>
      <c r="CP118" s="0" t="n">
        <v>0.0181625845948759</v>
      </c>
      <c r="CQ118" s="0" t="n">
        <v>0.11375580315301</v>
      </c>
      <c r="CR118" s="0" t="n">
        <v>0.0658623483535991</v>
      </c>
      <c r="CS118" s="0" t="n">
        <v>0.0672137689780045</v>
      </c>
      <c r="CT118" s="0" t="n">
        <v>0.050870787684212</v>
      </c>
      <c r="CU118" s="0" t="n">
        <v>0.0304266462566107</v>
      </c>
      <c r="CV118" s="0" t="n">
        <v>0.0648699049757128</v>
      </c>
      <c r="CW118" s="0" t="n">
        <v>0.0537564439165098</v>
      </c>
      <c r="CX118" s="0" t="n">
        <v>0.0645177099375025</v>
      </c>
      <c r="CY118" s="0" t="n">
        <v>0.149506583136902</v>
      </c>
      <c r="CZ118" s="0" t="n">
        <v>0.0387043591608537</v>
      </c>
      <c r="DA118" s="0" t="n">
        <v>0.0485912754550883</v>
      </c>
      <c r="DB118" s="0" t="n">
        <v>0.0385033241431018</v>
      </c>
      <c r="DC118" s="0" t="n">
        <v>0.0918571209198846</v>
      </c>
      <c r="DD118" s="0" t="n">
        <v>0.0769724931886866</v>
      </c>
      <c r="DE118" s="0" t="n">
        <v>0.0704577989611853</v>
      </c>
      <c r="DF118" s="0" t="n">
        <v>0.0205302585555601</v>
      </c>
      <c r="DG118" s="0" t="n">
        <v>0.0513391296468214</v>
      </c>
      <c r="DH118" s="0" t="n">
        <v>0.0438416709079687</v>
      </c>
      <c r="DI118" s="0" t="n">
        <v>0.122998470590933</v>
      </c>
      <c r="DJ118" s="0" t="n">
        <v>0.243266189980295</v>
      </c>
      <c r="DK118" s="0" t="n">
        <v>0.137175776821037</v>
      </c>
      <c r="DL118" s="0" t="n">
        <v>0.0260003883848332</v>
      </c>
      <c r="DM118" s="0" t="n">
        <v>0.200960669565236</v>
      </c>
      <c r="DN118" s="0" t="n">
        <v>0.0720842855734341</v>
      </c>
      <c r="DO118" s="0" t="n">
        <v>0.0712922318073352</v>
      </c>
      <c r="DP118" s="0" t="n">
        <v>0.208369499529385</v>
      </c>
      <c r="DQ118" s="0" t="n">
        <v>0.0402729795398742</v>
      </c>
      <c r="DR118" s="0" t="n">
        <v>0.0425989794812178</v>
      </c>
      <c r="DS118" s="0" t="n">
        <v>0.0652843251866861</v>
      </c>
      <c r="DT118" s="0" t="n">
        <v>0.0452364800283295</v>
      </c>
      <c r="DU118" s="0" t="n">
        <v>0.0677307418343638</v>
      </c>
      <c r="DV118" s="0" t="n">
        <v>0.0297917718032257</v>
      </c>
      <c r="DW118" s="0" t="n">
        <v>0.0873407614908266</v>
      </c>
      <c r="DX118" s="0" t="n">
        <v>0.0799253841894359</v>
      </c>
      <c r="DY118" s="0" t="n">
        <v>0.0959564247328376</v>
      </c>
      <c r="DZ118" s="0" t="n">
        <v>0.0377970216818627</v>
      </c>
      <c r="EA118" s="0" t="n">
        <v>0.0740458054547085</v>
      </c>
      <c r="EB118" s="0" t="n">
        <v>0.117017372975216</v>
      </c>
      <c r="EC118" s="0" t="n">
        <v>0.0237473816440555</v>
      </c>
      <c r="ED118" s="0" t="n">
        <v>0.0691690827062631</v>
      </c>
      <c r="EE118" s="0" t="n">
        <v>0.0734117574015805</v>
      </c>
      <c r="EF118" s="0" t="n">
        <v>0.0637265604735425</v>
      </c>
      <c r="EG118" s="0" t="n">
        <v>0.0707697959962278</v>
      </c>
      <c r="EH118" s="0" t="n">
        <v>0.0389605326787771</v>
      </c>
      <c r="EI118" s="0" t="n">
        <v>0.0670159935832919</v>
      </c>
      <c r="EJ118" s="0" t="n">
        <v>0.147508968233966</v>
      </c>
      <c r="EK118" s="0" t="n">
        <v>0.053046609254573</v>
      </c>
      <c r="EL118" s="0" t="n">
        <v>0.0909051486112752</v>
      </c>
      <c r="EM118" s="0" t="n">
        <v>0.0715080462276064</v>
      </c>
      <c r="EN118" s="0" t="n">
        <v>0.090627299925785</v>
      </c>
      <c r="EO118" s="0" t="n">
        <v>0.164921867931039</v>
      </c>
      <c r="EP118" s="72" t="n">
        <f aca="false">SUMPRODUCT(B118:EO118,$B$5:$EO$5)</f>
        <v>0.0636960318177053</v>
      </c>
      <c r="EQ118" s="72" t="n">
        <f aca="false">SUMIF('Mi portafolio'!$A$8:$A$19,$A118,'Mi portafolio'!$B$8:$B$19)</f>
        <v>0</v>
      </c>
    </row>
    <row r="119" customFormat="false" ht="15" hidden="false" customHeight="false" outlineLevel="0" collapsed="false">
      <c r="A119" s="71" t="s">
        <v>347</v>
      </c>
      <c r="B119" s="0" t="n">
        <v>0.018504619182092</v>
      </c>
      <c r="C119" s="0" t="n">
        <v>0.0005078626873556</v>
      </c>
      <c r="D119" s="0" t="n">
        <v>0.0021131210111962</v>
      </c>
      <c r="E119" s="0" t="n">
        <v>0.0127747289359658</v>
      </c>
      <c r="F119" s="0" t="n">
        <v>0.0067988695915233</v>
      </c>
      <c r="G119" s="0" t="n">
        <v>-0.0050592530390445</v>
      </c>
      <c r="H119" s="0" t="n">
        <v>0.0088552106521208</v>
      </c>
      <c r="I119" s="0" t="n">
        <v>0.0184593954059677</v>
      </c>
      <c r="J119" s="0" t="n">
        <v>0.0064072419425799</v>
      </c>
      <c r="K119" s="0" t="n">
        <v>0.0204323906362144</v>
      </c>
      <c r="L119" s="0" t="n">
        <v>0.0149643146239968</v>
      </c>
      <c r="M119" s="0" t="n">
        <v>0.0458833509135924</v>
      </c>
      <c r="N119" s="0" t="n">
        <v>0.0248188771329082</v>
      </c>
      <c r="O119" s="0" t="n">
        <v>0.0144568505123875</v>
      </c>
      <c r="P119" s="0" t="n">
        <v>0.0049621194052624</v>
      </c>
      <c r="Q119" s="0" t="n">
        <v>0.0042530107668789</v>
      </c>
      <c r="R119" s="0" t="n">
        <v>0.0104372577766286</v>
      </c>
      <c r="S119" s="0" t="n">
        <v>0.0117702703999265</v>
      </c>
      <c r="T119" s="0" t="n">
        <v>0.0464253543398676</v>
      </c>
      <c r="U119" s="0" t="n">
        <v>0.0159657094569616</v>
      </c>
      <c r="V119" s="0" t="n">
        <v>0.0122952458141819</v>
      </c>
      <c r="W119" s="0" t="n">
        <v>0.0083751808114112</v>
      </c>
      <c r="X119" s="0" t="n">
        <v>0.0531818154038287</v>
      </c>
      <c r="Y119" s="0" t="n">
        <v>0.0256872096368021</v>
      </c>
      <c r="Z119" s="0" t="n">
        <v>0.0106657700400158</v>
      </c>
      <c r="AA119" s="0" t="n">
        <v>0.0188611779076382</v>
      </c>
      <c r="AB119" s="0" t="n">
        <v>0.0277797831893902</v>
      </c>
      <c r="AC119" s="0" t="n">
        <v>0.0047836217111976</v>
      </c>
      <c r="AD119" s="0" t="n">
        <v>0.0114923878927161</v>
      </c>
      <c r="AE119" s="0" t="n">
        <v>0.0322586857908445</v>
      </c>
      <c r="AF119" s="0" t="n">
        <v>0.016399466895087</v>
      </c>
      <c r="AG119" s="0" t="n">
        <v>0.0003444973419617</v>
      </c>
      <c r="AH119" s="0" t="n">
        <v>0.0022737056804165</v>
      </c>
      <c r="AI119" s="0" t="n">
        <v>-0.0389663969732542</v>
      </c>
      <c r="AJ119" s="0" t="n">
        <v>0.0094783422718743</v>
      </c>
      <c r="AK119" s="0" t="n">
        <v>0.0237295051878254</v>
      </c>
      <c r="AL119" s="0" t="n">
        <v>0.0373697403720739</v>
      </c>
      <c r="AM119" s="0" t="n">
        <v>0.0230730813940406</v>
      </c>
      <c r="AN119" s="0" t="n">
        <v>0.0615184130396875</v>
      </c>
      <c r="AO119" s="0" t="n">
        <v>0.0105143601244627</v>
      </c>
      <c r="AP119" s="0" t="n">
        <v>0.0437559361564671</v>
      </c>
      <c r="AQ119" s="0" t="n">
        <v>-0.0461811981308838</v>
      </c>
      <c r="AR119" s="0" t="n">
        <v>0.0549782100237621</v>
      </c>
      <c r="AS119" s="0" t="n">
        <v>0.0189211835752519</v>
      </c>
      <c r="AT119" s="0" t="n">
        <v>0.0657708134254959</v>
      </c>
      <c r="AU119" s="0" t="n">
        <v>0.0111961240780305</v>
      </c>
      <c r="AV119" s="0" t="n">
        <v>0.0170246628401341</v>
      </c>
      <c r="AW119" s="0" t="n">
        <v>0.0227730462426915</v>
      </c>
      <c r="AX119" s="0" t="n">
        <v>0.0327814888929049</v>
      </c>
      <c r="AY119" s="0" t="n">
        <v>0.0509832548798022</v>
      </c>
      <c r="AZ119" s="0" t="n">
        <v>0.0460292773221816</v>
      </c>
      <c r="BA119" s="0" t="n">
        <v>0.0614759419942107</v>
      </c>
      <c r="BB119" s="0" t="n">
        <v>0.0851186564630095</v>
      </c>
      <c r="BC119" s="0" t="n">
        <v>0.0259732812103321</v>
      </c>
      <c r="BD119" s="0" t="n">
        <v>0.0241832856106776</v>
      </c>
      <c r="BE119" s="0" t="n">
        <v>0.0280995626054308</v>
      </c>
      <c r="BF119" s="0" t="n">
        <v>0.0232007543873862</v>
      </c>
      <c r="BG119" s="0" t="n">
        <v>0.0464699504317511</v>
      </c>
      <c r="BH119" s="0" t="n">
        <v>0.0282795992160956</v>
      </c>
      <c r="BI119" s="0" t="n">
        <v>0.0240437507250478</v>
      </c>
      <c r="BJ119" s="0" t="n">
        <v>-0.0017632494228899</v>
      </c>
      <c r="BK119" s="0" t="n">
        <v>0.0353373306318317</v>
      </c>
      <c r="BL119" s="0" t="n">
        <v>0.0569027154853517</v>
      </c>
      <c r="BM119" s="0" t="n">
        <v>0.0475807196044368</v>
      </c>
      <c r="BN119" s="0" t="n">
        <v>0.0268926057037009</v>
      </c>
      <c r="BO119" s="0" t="n">
        <v>0.0543036892948237</v>
      </c>
      <c r="BP119" s="0" t="n">
        <v>0.0300585973696071</v>
      </c>
      <c r="BQ119" s="0" t="n">
        <v>0.0545154217525475</v>
      </c>
      <c r="BR119" s="0" t="n">
        <v>0.0817839595982161</v>
      </c>
      <c r="BS119" s="0" t="n">
        <v>-0.0495418314645269</v>
      </c>
      <c r="BT119" s="0" t="n">
        <v>0.0915017279093648</v>
      </c>
      <c r="BU119" s="0" t="n">
        <v>0.0228223011784495</v>
      </c>
      <c r="BV119" s="0" t="n">
        <v>0.052121707536856</v>
      </c>
      <c r="BW119" s="0" t="n">
        <v>0.0513070341659782</v>
      </c>
      <c r="BX119" s="0" t="n">
        <v>0.0244563268981653</v>
      </c>
      <c r="BY119" s="0" t="n">
        <v>0.078042384479158</v>
      </c>
      <c r="BZ119" s="0" t="n">
        <v>0.0821331355774804</v>
      </c>
      <c r="CA119" s="0" t="n">
        <v>0.0094894812394926</v>
      </c>
      <c r="CB119" s="0" t="n">
        <v>-0.0098790320628106</v>
      </c>
      <c r="CC119" s="0" t="n">
        <v>0.0282163838755397</v>
      </c>
      <c r="CD119" s="0" t="n">
        <v>0.0477607434220602</v>
      </c>
      <c r="CE119" s="0" t="n">
        <v>0.0377650489078879</v>
      </c>
      <c r="CF119" s="0" t="n">
        <v>-0.0564646544497348</v>
      </c>
      <c r="CG119" s="0" t="n">
        <v>0.0693596327118258</v>
      </c>
      <c r="CH119" s="0" t="n">
        <v>0.0500245548176879</v>
      </c>
      <c r="CI119" s="0" t="n">
        <v>-0.0587988112566847</v>
      </c>
      <c r="CJ119" s="0" t="n">
        <v>0.0106598912976669</v>
      </c>
      <c r="CK119" s="0" t="n">
        <v>0.0542644430185457</v>
      </c>
      <c r="CL119" s="0" t="n">
        <v>0.0781737656415372</v>
      </c>
      <c r="CM119" s="0" t="n">
        <v>0.0576188380123827</v>
      </c>
      <c r="CN119" s="0" t="n">
        <v>0.0101587584805514</v>
      </c>
      <c r="CO119" s="0" t="n">
        <v>0.0323371987666358</v>
      </c>
      <c r="CP119" s="0" t="n">
        <v>0.0259979092041112</v>
      </c>
      <c r="CQ119" s="0" t="n">
        <v>0.176943032127711</v>
      </c>
      <c r="CR119" s="0" t="n">
        <v>0.0866904558065701</v>
      </c>
      <c r="CS119" s="0" t="n">
        <v>0.0966000328380517</v>
      </c>
      <c r="CT119" s="0" t="n">
        <v>0.0612289733171785</v>
      </c>
      <c r="CU119" s="0" t="n">
        <v>0.0367696136902671</v>
      </c>
      <c r="CV119" s="0" t="n">
        <v>0.0565558859148455</v>
      </c>
      <c r="CW119" s="0" t="n">
        <v>0.0579124651248875</v>
      </c>
      <c r="CX119" s="0" t="n">
        <v>0.081735660449161</v>
      </c>
      <c r="CY119" s="0" t="n">
        <v>0.159389795960715</v>
      </c>
      <c r="CZ119" s="0" t="n">
        <v>0.0287674981984389</v>
      </c>
      <c r="DA119" s="0" t="n">
        <v>0.0351866001118084</v>
      </c>
      <c r="DB119" s="0" t="n">
        <v>0.0753065760562363</v>
      </c>
      <c r="DC119" s="0" t="n">
        <v>0.104913452318196</v>
      </c>
      <c r="DD119" s="0" t="n">
        <v>0.0801319139840484</v>
      </c>
      <c r="DE119" s="0" t="n">
        <v>0.0879572078285299</v>
      </c>
      <c r="DF119" s="0" t="n">
        <v>0.0118675561719093</v>
      </c>
      <c r="DG119" s="0" t="n">
        <v>0.0732421998314418</v>
      </c>
      <c r="DH119" s="0" t="n">
        <v>0.0731517015749046</v>
      </c>
      <c r="DI119" s="0" t="n">
        <v>0.199789687619189</v>
      </c>
      <c r="DJ119" s="0" t="n">
        <v>0.137175776821037</v>
      </c>
      <c r="DK119" s="0" t="n">
        <v>0.239362298028785</v>
      </c>
      <c r="DL119" s="0" t="n">
        <v>0.0303210169127827</v>
      </c>
      <c r="DM119" s="0" t="n">
        <v>0.170685246022937</v>
      </c>
      <c r="DN119" s="0" t="n">
        <v>0.0760645641254134</v>
      </c>
      <c r="DO119" s="0" t="n">
        <v>0.0905916213064995</v>
      </c>
      <c r="DP119" s="0" t="n">
        <v>0.172406399094062</v>
      </c>
      <c r="DQ119" s="0" t="n">
        <v>0.0993351116362223</v>
      </c>
      <c r="DR119" s="0" t="n">
        <v>0.0669957218709813</v>
      </c>
      <c r="DS119" s="0" t="n">
        <v>0.0440585971242713</v>
      </c>
      <c r="DT119" s="0" t="n">
        <v>0.0586075145490777</v>
      </c>
      <c r="DU119" s="0" t="n">
        <v>0.121426633070109</v>
      </c>
      <c r="DV119" s="0" t="n">
        <v>0.0589446667087205</v>
      </c>
      <c r="DW119" s="0" t="n">
        <v>0.0975323173474595</v>
      </c>
      <c r="DX119" s="0" t="n">
        <v>0.117015621426414</v>
      </c>
      <c r="DY119" s="0" t="n">
        <v>0.138032913039875</v>
      </c>
      <c r="DZ119" s="0" t="n">
        <v>0.0366762402306257</v>
      </c>
      <c r="EA119" s="0" t="n">
        <v>0.0925497575716327</v>
      </c>
      <c r="EB119" s="0" t="n">
        <v>0.148540293847615</v>
      </c>
      <c r="EC119" s="0" t="n">
        <v>0.0157127598223173</v>
      </c>
      <c r="ED119" s="0" t="n">
        <v>0.105148464240105</v>
      </c>
      <c r="EE119" s="0" t="n">
        <v>0.140327408090268</v>
      </c>
      <c r="EF119" s="0" t="n">
        <v>0.109123765333464</v>
      </c>
      <c r="EG119" s="0" t="n">
        <v>0.13745100777563</v>
      </c>
      <c r="EH119" s="0" t="n">
        <v>0.0560939991490976</v>
      </c>
      <c r="EI119" s="0" t="n">
        <v>0.131293814279458</v>
      </c>
      <c r="EJ119" s="0" t="n">
        <v>0.147838325002124</v>
      </c>
      <c r="EK119" s="0" t="n">
        <v>0.144891816807565</v>
      </c>
      <c r="EL119" s="0" t="n">
        <v>0.181957137384205</v>
      </c>
      <c r="EM119" s="0" t="n">
        <v>0.114115665757911</v>
      </c>
      <c r="EN119" s="0" t="n">
        <v>0.0546574738476626</v>
      </c>
      <c r="EO119" s="0" t="n">
        <v>0.0878385997906226</v>
      </c>
      <c r="EP119" s="72" t="n">
        <f aca="false">SUMPRODUCT(B119:EO119,$B$5:$EO$5)</f>
        <v>0.123897881932046</v>
      </c>
      <c r="EQ119" s="72" t="n">
        <f aca="false">SUMIF('Mi portafolio'!$A$8:$A$19,$A119,'Mi portafolio'!$B$8:$B$19)</f>
        <v>0</v>
      </c>
    </row>
    <row r="120" customFormat="false" ht="15" hidden="false" customHeight="false" outlineLevel="0" collapsed="false">
      <c r="A120" s="71" t="s">
        <v>348</v>
      </c>
      <c r="B120" s="0" t="n">
        <v>-0.0088418253940328</v>
      </c>
      <c r="C120" s="0" t="n">
        <v>0.0142007407198966</v>
      </c>
      <c r="D120" s="0" t="n">
        <v>0.0189443676420702</v>
      </c>
      <c r="E120" s="0" t="n">
        <v>0.0102141737617444</v>
      </c>
      <c r="F120" s="0" t="n">
        <v>-0.0104164282019596</v>
      </c>
      <c r="G120" s="0" t="n">
        <v>0.0158156382605622</v>
      </c>
      <c r="H120" s="0" t="n">
        <v>0.0221484570449609</v>
      </c>
      <c r="I120" s="0" t="n">
        <v>-0.0034666393940266</v>
      </c>
      <c r="J120" s="0" t="n">
        <v>-8.69035972606691E-005</v>
      </c>
      <c r="K120" s="0" t="n">
        <v>0.0022836387958356</v>
      </c>
      <c r="L120" s="0" t="n">
        <v>0.0152337586165662</v>
      </c>
      <c r="M120" s="0" t="n">
        <v>0.0197936713764874</v>
      </c>
      <c r="N120" s="0" t="n">
        <v>0.005004783047741</v>
      </c>
      <c r="O120" s="0" t="n">
        <v>0.0280663870712351</v>
      </c>
      <c r="P120" s="0" t="n">
        <v>-0.0033328407697316</v>
      </c>
      <c r="Q120" s="0" t="n">
        <v>0.0046727160215846</v>
      </c>
      <c r="R120" s="0" t="n">
        <v>-0.0039659803117449</v>
      </c>
      <c r="S120" s="0" t="n">
        <v>0.0184866932008133</v>
      </c>
      <c r="T120" s="0" t="n">
        <v>0.003775156626523</v>
      </c>
      <c r="U120" s="0" t="n">
        <v>0.03307630615283</v>
      </c>
      <c r="V120" s="0" t="n">
        <v>0.0347933768071888</v>
      </c>
      <c r="W120" s="0" t="n">
        <v>0.0092694888148814</v>
      </c>
      <c r="X120" s="0" t="n">
        <v>0.0078109408168511</v>
      </c>
      <c r="Y120" s="0" t="n">
        <v>-0.0066311870786316</v>
      </c>
      <c r="Z120" s="0" t="n">
        <v>0.0367779040331734</v>
      </c>
      <c r="AA120" s="0" t="n">
        <v>0.0149261321897775</v>
      </c>
      <c r="AB120" s="0" t="n">
        <v>-0.0136502326801032</v>
      </c>
      <c r="AC120" s="0" t="n">
        <v>0.02642461784576</v>
      </c>
      <c r="AD120" s="0" t="n">
        <v>0.0137106219157173</v>
      </c>
      <c r="AE120" s="0" t="n">
        <v>0.0359790832224153</v>
      </c>
      <c r="AF120" s="0" t="n">
        <v>0.0428621823048942</v>
      </c>
      <c r="AG120" s="0" t="n">
        <v>-0.0188478166231373</v>
      </c>
      <c r="AH120" s="0" t="n">
        <v>-0.0267892977434394</v>
      </c>
      <c r="AI120" s="0" t="n">
        <v>-0.029862356061341</v>
      </c>
      <c r="AJ120" s="0" t="n">
        <v>0.0353379069505486</v>
      </c>
      <c r="AK120" s="0" t="n">
        <v>0.0411509288938993</v>
      </c>
      <c r="AL120" s="0" t="n">
        <v>-0.0004293974379362</v>
      </c>
      <c r="AM120" s="0" t="n">
        <v>0.0153303875366997</v>
      </c>
      <c r="AN120" s="0" t="n">
        <v>0.0107259073447695</v>
      </c>
      <c r="AO120" s="0" t="n">
        <v>-0.0095968199552996</v>
      </c>
      <c r="AP120" s="0" t="n">
        <v>0.0133075681755215</v>
      </c>
      <c r="AQ120" s="0" t="n">
        <v>-0.0278870692203462</v>
      </c>
      <c r="AR120" s="0" t="n">
        <v>-0.0013541190223015</v>
      </c>
      <c r="AS120" s="0" t="n">
        <v>0.040084135976726</v>
      </c>
      <c r="AT120" s="0" t="n">
        <v>-0.002708224349661</v>
      </c>
      <c r="AU120" s="0" t="n">
        <v>-0.0034172423277965</v>
      </c>
      <c r="AV120" s="0" t="n">
        <v>0.0235071327687525</v>
      </c>
      <c r="AW120" s="0" t="n">
        <v>0.0458134580421237</v>
      </c>
      <c r="AX120" s="0" t="n">
        <v>0.0053454943841279</v>
      </c>
      <c r="AY120" s="0" t="n">
        <v>-0.001240005571752</v>
      </c>
      <c r="AZ120" s="0" t="n">
        <v>0.033521189973804</v>
      </c>
      <c r="BA120" s="0" t="n">
        <v>0.0163260245902667</v>
      </c>
      <c r="BB120" s="0" t="n">
        <v>0.0131393865292512</v>
      </c>
      <c r="BC120" s="0" t="n">
        <v>0.0234926894490364</v>
      </c>
      <c r="BD120" s="0" t="n">
        <v>0.0455892015180293</v>
      </c>
      <c r="BE120" s="0" t="n">
        <v>0.0082457622767335</v>
      </c>
      <c r="BF120" s="0" t="n">
        <v>0.034049345898118</v>
      </c>
      <c r="BG120" s="0" t="n">
        <v>0.0097690353428421</v>
      </c>
      <c r="BH120" s="0" t="n">
        <v>0.0330676980100957</v>
      </c>
      <c r="BI120" s="0" t="n">
        <v>0.0145238755026971</v>
      </c>
      <c r="BJ120" s="0" t="n">
        <v>0.02402390367681</v>
      </c>
      <c r="BK120" s="0" t="n">
        <v>0.0269223580180878</v>
      </c>
      <c r="BL120" s="0" t="n">
        <v>0.0432337826768934</v>
      </c>
      <c r="BM120" s="0" t="n">
        <v>-0.0114193528159005</v>
      </c>
      <c r="BN120" s="0" t="n">
        <v>-0.0019741167690738</v>
      </c>
      <c r="BO120" s="0" t="n">
        <v>0.013353310129505</v>
      </c>
      <c r="BP120" s="0" t="n">
        <v>0.0051872875271505</v>
      </c>
      <c r="BQ120" s="0" t="n">
        <v>0.0517127479320023</v>
      </c>
      <c r="BR120" s="0" t="n">
        <v>0.0056992757055726</v>
      </c>
      <c r="BS120" s="0" t="n">
        <v>-0.0321263680841046</v>
      </c>
      <c r="BT120" s="0" t="n">
        <v>0.0286540149824711</v>
      </c>
      <c r="BU120" s="0" t="n">
        <v>0.0448468649151265</v>
      </c>
      <c r="BV120" s="0" t="n">
        <v>0.0116837143014009</v>
      </c>
      <c r="BW120" s="0" t="n">
        <v>0.0100769710899281</v>
      </c>
      <c r="BX120" s="0" t="n">
        <v>0.0090804270618716</v>
      </c>
      <c r="BY120" s="0" t="n">
        <v>0.016246213318572</v>
      </c>
      <c r="BZ120" s="0" t="n">
        <v>0.0194878392660702</v>
      </c>
      <c r="CA120" s="0" t="n">
        <v>0.0503263016623628</v>
      </c>
      <c r="CB120" s="0" t="n">
        <v>-0.02271295667969</v>
      </c>
      <c r="CC120" s="0" t="n">
        <v>0.0048215616235925</v>
      </c>
      <c r="CD120" s="0" t="n">
        <v>-0.002074189123245</v>
      </c>
      <c r="CE120" s="0" t="n">
        <v>0.0103305399684261</v>
      </c>
      <c r="CF120" s="0" t="n">
        <v>-0.0421622826639839</v>
      </c>
      <c r="CG120" s="0" t="n">
        <v>0.0118745219490136</v>
      </c>
      <c r="CH120" s="0" t="n">
        <v>0.105485503186354</v>
      </c>
      <c r="CI120" s="0" t="n">
        <v>-0.0319257845518876</v>
      </c>
      <c r="CJ120" s="0" t="n">
        <v>0.0019631446502409</v>
      </c>
      <c r="CK120" s="0" t="n">
        <v>-0.0110690466788572</v>
      </c>
      <c r="CL120" s="0" t="n">
        <v>0.026520640139568</v>
      </c>
      <c r="CM120" s="0" t="n">
        <v>0.0330970573742873</v>
      </c>
      <c r="CN120" s="0" t="n">
        <v>0.0362211259308586</v>
      </c>
      <c r="CO120" s="0" t="n">
        <v>0.0029673095889083</v>
      </c>
      <c r="CP120" s="0" t="n">
        <v>-0.0137536172462759</v>
      </c>
      <c r="CQ120" s="0" t="n">
        <v>0.0121454330780317</v>
      </c>
      <c r="CR120" s="0" t="n">
        <v>0.0361081793789256</v>
      </c>
      <c r="CS120" s="0" t="n">
        <v>0.044536304239487</v>
      </c>
      <c r="CT120" s="0" t="n">
        <v>0.0321531590835109</v>
      </c>
      <c r="CU120" s="0" t="n">
        <v>0.0472081585181035</v>
      </c>
      <c r="CV120" s="0" t="n">
        <v>0.0190281880849206</v>
      </c>
      <c r="CW120" s="0" t="n">
        <v>0.0179282152610804</v>
      </c>
      <c r="CX120" s="0" t="n">
        <v>0.0314049999994415</v>
      </c>
      <c r="CY120" s="0" t="n">
        <v>0.0203753626629244</v>
      </c>
      <c r="CZ120" s="0" t="n">
        <v>0.0109249830546882</v>
      </c>
      <c r="DA120" s="0" t="n">
        <v>0.0039872861845446</v>
      </c>
      <c r="DB120" s="0" t="n">
        <v>0.0499447628827169</v>
      </c>
      <c r="DC120" s="0" t="n">
        <v>0.0719714156560077</v>
      </c>
      <c r="DD120" s="0" t="n">
        <v>0.0339286776476776</v>
      </c>
      <c r="DE120" s="0" t="n">
        <v>0.111672752464391</v>
      </c>
      <c r="DF120" s="0" t="n">
        <v>-0.0119662434592516</v>
      </c>
      <c r="DG120" s="0" t="n">
        <v>0.12779286295315</v>
      </c>
      <c r="DH120" s="0" t="n">
        <v>0.0386305161110132</v>
      </c>
      <c r="DI120" s="0" t="n">
        <v>0.0216337715169053</v>
      </c>
      <c r="DJ120" s="0" t="n">
        <v>0.0260003883848332</v>
      </c>
      <c r="DK120" s="0" t="n">
        <v>0.0303210169127827</v>
      </c>
      <c r="DL120" s="0" t="n">
        <v>0.237040946336699</v>
      </c>
      <c r="DM120" s="0" t="n">
        <v>0.0476714797608375</v>
      </c>
      <c r="DN120" s="0" t="n">
        <v>-0.0015403871253248</v>
      </c>
      <c r="DO120" s="0" t="n">
        <v>0.0382819603339058</v>
      </c>
      <c r="DP120" s="0" t="n">
        <v>0.0346411278708932</v>
      </c>
      <c r="DQ120" s="0" t="n">
        <v>0.0331105998804209</v>
      </c>
      <c r="DR120" s="0" t="n">
        <v>0.0883403682038568</v>
      </c>
      <c r="DS120" s="0" t="n">
        <v>-0.0423285426977685</v>
      </c>
      <c r="DT120" s="0" t="n">
        <v>0.0362529675344752</v>
      </c>
      <c r="DU120" s="0" t="n">
        <v>0.0409725819401948</v>
      </c>
      <c r="DV120" s="0" t="n">
        <v>0.0104334601367127</v>
      </c>
      <c r="DW120" s="0" t="n">
        <v>0.0182354413240339</v>
      </c>
      <c r="DX120" s="0" t="n">
        <v>0.0732339336760886</v>
      </c>
      <c r="DY120" s="0" t="n">
        <v>0.0145736982194004</v>
      </c>
      <c r="DZ120" s="0" t="n">
        <v>0.0112955061457508</v>
      </c>
      <c r="EA120" s="0" t="n">
        <v>0.0668583462905988</v>
      </c>
      <c r="EB120" s="0" t="n">
        <v>0.0062241814823655</v>
      </c>
      <c r="EC120" s="0" t="n">
        <v>0.10236872294936</v>
      </c>
      <c r="ED120" s="0" t="n">
        <v>0.0716586392903588</v>
      </c>
      <c r="EE120" s="0" t="n">
        <v>0.0742305793866665</v>
      </c>
      <c r="EF120" s="0" t="n">
        <v>0.0702552324302193</v>
      </c>
      <c r="EG120" s="0" t="n">
        <v>0.0682184472374764</v>
      </c>
      <c r="EH120" s="0" t="n">
        <v>-0.0396500985931445</v>
      </c>
      <c r="EI120" s="0" t="n">
        <v>0.104468948632569</v>
      </c>
      <c r="EJ120" s="0" t="n">
        <v>0.0200465128410977</v>
      </c>
      <c r="EK120" s="0" t="n">
        <v>0.10678837500133</v>
      </c>
      <c r="EL120" s="0" t="n">
        <v>0.152985051904724</v>
      </c>
      <c r="EM120" s="0" t="n">
        <v>0.0014916015836067</v>
      </c>
      <c r="EN120" s="0" t="n">
        <v>0.0882685738926146</v>
      </c>
      <c r="EO120" s="0" t="n">
        <v>0.0065310335035363</v>
      </c>
      <c r="EP120" s="72" t="n">
        <f aca="false">SUMPRODUCT(B120:EO120,$B$5:$EO$5)</f>
        <v>0.0831843426457144</v>
      </c>
      <c r="EQ120" s="72" t="n">
        <f aca="false">SUMIF('Mi portafolio'!$A$8:$A$19,$A120,'Mi portafolio'!$B$8:$B$19)</f>
        <v>0</v>
      </c>
    </row>
    <row r="121" customFormat="false" ht="15" hidden="false" customHeight="false" outlineLevel="0" collapsed="false">
      <c r="A121" s="71" t="s">
        <v>349</v>
      </c>
      <c r="B121" s="0" t="n">
        <v>0.0223171601355672</v>
      </c>
      <c r="C121" s="0" t="n">
        <v>-0.0008026466367769</v>
      </c>
      <c r="D121" s="0" t="n">
        <v>0.001878194294176</v>
      </c>
      <c r="E121" s="0" t="n">
        <v>0.0121978020363563</v>
      </c>
      <c r="F121" s="0" t="n">
        <v>0.0165238541051589</v>
      </c>
      <c r="G121" s="0" t="n">
        <v>0.0042139624675476</v>
      </c>
      <c r="H121" s="0" t="n">
        <v>0.0141166848022599</v>
      </c>
      <c r="I121" s="0" t="n">
        <v>0.0293427694286935</v>
      </c>
      <c r="J121" s="0" t="n">
        <v>0.0123386954338395</v>
      </c>
      <c r="K121" s="0" t="n">
        <v>0.0352898608962518</v>
      </c>
      <c r="L121" s="0" t="n">
        <v>0.0155280248455683</v>
      </c>
      <c r="M121" s="0" t="n">
        <v>0.0490861511372266</v>
      </c>
      <c r="N121" s="0" t="n">
        <v>0.0382454593077118</v>
      </c>
      <c r="O121" s="0" t="n">
        <v>0.0186698989550019</v>
      </c>
      <c r="P121" s="0" t="n">
        <v>0.0115011980380555</v>
      </c>
      <c r="Q121" s="0" t="n">
        <v>-0.0007428292059874</v>
      </c>
      <c r="R121" s="0" t="n">
        <v>0.0207037315699986</v>
      </c>
      <c r="S121" s="0" t="n">
        <v>0.0101472475871077</v>
      </c>
      <c r="T121" s="0" t="n">
        <v>0.0501587595260425</v>
      </c>
      <c r="U121" s="0" t="n">
        <v>0.0180066589816268</v>
      </c>
      <c r="V121" s="0" t="n">
        <v>0.0215985863093216</v>
      </c>
      <c r="W121" s="0" t="n">
        <v>0.0094194143207059</v>
      </c>
      <c r="X121" s="0" t="n">
        <v>0.0548808331590435</v>
      </c>
      <c r="Y121" s="0" t="n">
        <v>0.0421200521460465</v>
      </c>
      <c r="Z121" s="0" t="n">
        <v>0.0229912279215426</v>
      </c>
      <c r="AA121" s="0" t="n">
        <v>0.0280882101889401</v>
      </c>
      <c r="AB121" s="0" t="n">
        <v>0.0430292549209371</v>
      </c>
      <c r="AC121" s="0" t="n">
        <v>0.0136473124512095</v>
      </c>
      <c r="AD121" s="0" t="n">
        <v>0.0153823989488276</v>
      </c>
      <c r="AE121" s="0" t="n">
        <v>0.0373867431132033</v>
      </c>
      <c r="AF121" s="0" t="n">
        <v>0.0120135905216841</v>
      </c>
      <c r="AG121" s="0" t="n">
        <v>0.0030141417313632</v>
      </c>
      <c r="AH121" s="0" t="n">
        <v>0.0024042228629567</v>
      </c>
      <c r="AI121" s="0" t="n">
        <v>-0.0335141532878614</v>
      </c>
      <c r="AJ121" s="0" t="n">
        <v>0.015110949039697</v>
      </c>
      <c r="AK121" s="0" t="n">
        <v>0.0347138770727628</v>
      </c>
      <c r="AL121" s="0" t="n">
        <v>0.0409176140196069</v>
      </c>
      <c r="AM121" s="0" t="n">
        <v>0.0311065968812549</v>
      </c>
      <c r="AN121" s="0" t="n">
        <v>0.0678103720796488</v>
      </c>
      <c r="AO121" s="0" t="n">
        <v>0.0200001635292224</v>
      </c>
      <c r="AP121" s="0" t="n">
        <v>0.0561003203266142</v>
      </c>
      <c r="AQ121" s="0" t="n">
        <v>-0.0383916881354165</v>
      </c>
      <c r="AR121" s="0" t="n">
        <v>0.0513427676928856</v>
      </c>
      <c r="AS121" s="0" t="n">
        <v>0.0185191603243783</v>
      </c>
      <c r="AT121" s="0" t="n">
        <v>0.0640488436472115</v>
      </c>
      <c r="AU121" s="0" t="n">
        <v>0.0211913968257503</v>
      </c>
      <c r="AV121" s="0" t="n">
        <v>0.0126470146607645</v>
      </c>
      <c r="AW121" s="0" t="n">
        <v>0.0160617743658543</v>
      </c>
      <c r="AX121" s="0" t="n">
        <v>0.0407150522519755</v>
      </c>
      <c r="AY121" s="0" t="n">
        <v>0.0522574985603144</v>
      </c>
      <c r="AZ121" s="0" t="n">
        <v>0.039132258577193</v>
      </c>
      <c r="BA121" s="0" t="n">
        <v>0.0627383920804931</v>
      </c>
      <c r="BB121" s="0" t="n">
        <v>0.0744608442366591</v>
      </c>
      <c r="BC121" s="0" t="n">
        <v>0.0151415741649749</v>
      </c>
      <c r="BD121" s="0" t="n">
        <v>0.030028431636043</v>
      </c>
      <c r="BE121" s="0" t="n">
        <v>0.0346121222295602</v>
      </c>
      <c r="BF121" s="0" t="n">
        <v>0.0295702613374367</v>
      </c>
      <c r="BG121" s="0" t="n">
        <v>0.0464189952428486</v>
      </c>
      <c r="BH121" s="0" t="n">
        <v>0.0189535970164617</v>
      </c>
      <c r="BI121" s="0" t="n">
        <v>0.0138158362086754</v>
      </c>
      <c r="BJ121" s="0" t="n">
        <v>-0.0103559772567335</v>
      </c>
      <c r="BK121" s="0" t="n">
        <v>0.0326637287034552</v>
      </c>
      <c r="BL121" s="0" t="n">
        <v>0.0603842051935192</v>
      </c>
      <c r="BM121" s="0" t="n">
        <v>0.0483751569182118</v>
      </c>
      <c r="BN121" s="0" t="n">
        <v>0.0169031146643107</v>
      </c>
      <c r="BO121" s="0" t="n">
        <v>0.0585763484995391</v>
      </c>
      <c r="BP121" s="0" t="n">
        <v>0.0160165279216307</v>
      </c>
      <c r="BQ121" s="0" t="n">
        <v>0.0540727305586617</v>
      </c>
      <c r="BR121" s="0" t="n">
        <v>0.0712722292934355</v>
      </c>
      <c r="BS121" s="0" t="n">
        <v>-0.0407156066558873</v>
      </c>
      <c r="BT121" s="0" t="n">
        <v>0.0916503159331312</v>
      </c>
      <c r="BU121" s="0" t="n">
        <v>0.0361914226262255</v>
      </c>
      <c r="BV121" s="0" t="n">
        <v>0.055823598818143</v>
      </c>
      <c r="BW121" s="0" t="n">
        <v>0.0337073153847454</v>
      </c>
      <c r="BX121" s="0" t="n">
        <v>0.0407038509628039</v>
      </c>
      <c r="BY121" s="0" t="n">
        <v>0.0874234111523853</v>
      </c>
      <c r="BZ121" s="0" t="n">
        <v>0.0726645055501617</v>
      </c>
      <c r="CA121" s="0" t="n">
        <v>0.0204612358823208</v>
      </c>
      <c r="CB121" s="0" t="n">
        <v>-0.029785418829373</v>
      </c>
      <c r="CC121" s="0" t="n">
        <v>0.0173283540737559</v>
      </c>
      <c r="CD121" s="0" t="n">
        <v>0.0611818982465804</v>
      </c>
      <c r="CE121" s="0" t="n">
        <v>0.0372840078557628</v>
      </c>
      <c r="CF121" s="0" t="n">
        <v>-0.0456179840487618</v>
      </c>
      <c r="CG121" s="0" t="n">
        <v>0.0850004877383777</v>
      </c>
      <c r="CH121" s="0" t="n">
        <v>0.0572592756071899</v>
      </c>
      <c r="CI121" s="0" t="n">
        <v>-0.0546385118363543</v>
      </c>
      <c r="CJ121" s="0" t="n">
        <v>0.0179077262965064</v>
      </c>
      <c r="CK121" s="0" t="n">
        <v>0.0545102834328919</v>
      </c>
      <c r="CL121" s="0" t="n">
        <v>0.0782065985130974</v>
      </c>
      <c r="CM121" s="0" t="n">
        <v>0.0490115519475145</v>
      </c>
      <c r="CN121" s="0" t="n">
        <v>0.0219520953042435</v>
      </c>
      <c r="CO121" s="0" t="n">
        <v>0.0180092705581328</v>
      </c>
      <c r="CP121" s="0" t="n">
        <v>0.0251294393384784</v>
      </c>
      <c r="CQ121" s="0" t="n">
        <v>0.141731689688158</v>
      </c>
      <c r="CR121" s="0" t="n">
        <v>0.0811306838692215</v>
      </c>
      <c r="CS121" s="0" t="n">
        <v>0.0879815609378119</v>
      </c>
      <c r="CT121" s="0" t="n">
        <v>0.0722653645862581</v>
      </c>
      <c r="CU121" s="0" t="n">
        <v>0.0325457416583387</v>
      </c>
      <c r="CV121" s="0" t="n">
        <v>0.0677352289144999</v>
      </c>
      <c r="CW121" s="0" t="n">
        <v>0.0659858503590497</v>
      </c>
      <c r="CX121" s="0" t="n">
        <v>0.0853202661789486</v>
      </c>
      <c r="CY121" s="0" t="n">
        <v>0.157082696640071</v>
      </c>
      <c r="CZ121" s="0" t="n">
        <v>0.0398158612784771</v>
      </c>
      <c r="DA121" s="0" t="n">
        <v>0.0498855159408913</v>
      </c>
      <c r="DB121" s="0" t="n">
        <v>0.0622995491734626</v>
      </c>
      <c r="DC121" s="0" t="n">
        <v>0.117606866378724</v>
      </c>
      <c r="DD121" s="0" t="n">
        <v>0.0926375980467719</v>
      </c>
      <c r="DE121" s="0" t="n">
        <v>0.0920931145681612</v>
      </c>
      <c r="DF121" s="0" t="n">
        <v>0.0187114812367713</v>
      </c>
      <c r="DG121" s="0" t="n">
        <v>0.0740094073621893</v>
      </c>
      <c r="DH121" s="0" t="n">
        <v>0.0524206562649591</v>
      </c>
      <c r="DI121" s="0" t="n">
        <v>0.158271098907693</v>
      </c>
      <c r="DJ121" s="0" t="n">
        <v>0.200960669565236</v>
      </c>
      <c r="DK121" s="0" t="n">
        <v>0.170685246022937</v>
      </c>
      <c r="DL121" s="0" t="n">
        <v>0.0476714797608375</v>
      </c>
      <c r="DM121" s="0" t="n">
        <v>0.258300665700863</v>
      </c>
      <c r="DN121" s="0" t="n">
        <v>0.0717214766556253</v>
      </c>
      <c r="DO121" s="0" t="n">
        <v>0.0847406244415628</v>
      </c>
      <c r="DP121" s="0" t="n">
        <v>0.232058462481101</v>
      </c>
      <c r="DQ121" s="0" t="n">
        <v>0.0716515646548307</v>
      </c>
      <c r="DR121" s="0" t="n">
        <v>0.0488879775551579</v>
      </c>
      <c r="DS121" s="0" t="n">
        <v>0.0509931953400682</v>
      </c>
      <c r="DT121" s="0" t="n">
        <v>0.0502359190087489</v>
      </c>
      <c r="DU121" s="0" t="n">
        <v>0.0952069032830274</v>
      </c>
      <c r="DV121" s="0" t="n">
        <v>0.0493528234856857</v>
      </c>
      <c r="DW121" s="0" t="n">
        <v>0.104699449822587</v>
      </c>
      <c r="DX121" s="0" t="n">
        <v>0.0996037429674757</v>
      </c>
      <c r="DY121" s="0" t="n">
        <v>0.121599941238183</v>
      </c>
      <c r="DZ121" s="0" t="n">
        <v>0.032515792993348</v>
      </c>
      <c r="EA121" s="0" t="n">
        <v>0.0831596392099485</v>
      </c>
      <c r="EB121" s="0" t="n">
        <v>0.134226490533891</v>
      </c>
      <c r="EC121" s="0" t="n">
        <v>0.0215790419039269</v>
      </c>
      <c r="ED121" s="0" t="n">
        <v>0.100241582131147</v>
      </c>
      <c r="EE121" s="0" t="n">
        <v>0.0973665343670234</v>
      </c>
      <c r="EF121" s="0" t="n">
        <v>0.0953213073204756</v>
      </c>
      <c r="EG121" s="0" t="n">
        <v>0.0895962892742164</v>
      </c>
      <c r="EH121" s="0" t="n">
        <v>0.0596394783639241</v>
      </c>
      <c r="EI121" s="0" t="n">
        <v>0.0885473569620646</v>
      </c>
      <c r="EJ121" s="0" t="n">
        <v>0.134245293472629</v>
      </c>
      <c r="EK121" s="0" t="n">
        <v>0.0851449424425094</v>
      </c>
      <c r="EL121" s="0" t="n">
        <v>0.126256550888802</v>
      </c>
      <c r="EM121" s="0" t="n">
        <v>0.0756276234488132</v>
      </c>
      <c r="EN121" s="0" t="n">
        <v>0.0812098251151029</v>
      </c>
      <c r="EO121" s="0" t="n">
        <v>0.186537466703745</v>
      </c>
      <c r="EP121" s="72" t="n">
        <f aca="false">SUMPRODUCT(B121:EO121,$B$5:$EO$5)</f>
        <v>0.0833431790177321</v>
      </c>
      <c r="EQ121" s="72" t="n">
        <f aca="false">SUMIF('Mi portafolio'!$A$8:$A$19,$A121,'Mi portafolio'!$B$8:$B$19)</f>
        <v>0</v>
      </c>
    </row>
    <row r="122" customFormat="false" ht="15" hidden="false" customHeight="false" outlineLevel="0" collapsed="false">
      <c r="A122" s="71" t="s">
        <v>351</v>
      </c>
      <c r="B122" s="0" t="n">
        <v>0.0167240276019913</v>
      </c>
      <c r="C122" s="0" t="n">
        <v>0.0083261668209293</v>
      </c>
      <c r="D122" s="0" t="n">
        <v>-0.0059296283470832</v>
      </c>
      <c r="E122" s="0" t="n">
        <v>-0.0016414979260659</v>
      </c>
      <c r="F122" s="0" t="n">
        <v>0.0173527703911384</v>
      </c>
      <c r="G122" s="0" t="n">
        <v>0.002494590149421</v>
      </c>
      <c r="H122" s="0" t="n">
        <v>0.0096954839536961</v>
      </c>
      <c r="I122" s="0" t="n">
        <v>0.0280288756626524</v>
      </c>
      <c r="J122" s="0" t="n">
        <v>0.007852443242248</v>
      </c>
      <c r="K122" s="0" t="n">
        <v>0.0205500284825939</v>
      </c>
      <c r="L122" s="0" t="n">
        <v>0.0214770954613202</v>
      </c>
      <c r="M122" s="0" t="n">
        <v>0.0358768459249787</v>
      </c>
      <c r="N122" s="0" t="n">
        <v>0.020819046707185</v>
      </c>
      <c r="O122" s="0" t="n">
        <v>0.0055649132346218</v>
      </c>
      <c r="P122" s="0" t="n">
        <v>0.018922063905191</v>
      </c>
      <c r="Q122" s="0" t="n">
        <v>-0.0124113788798072</v>
      </c>
      <c r="R122" s="0" t="n">
        <v>0.0186761760026808</v>
      </c>
      <c r="S122" s="0" t="n">
        <v>-0.0001524002590615</v>
      </c>
      <c r="T122" s="0" t="n">
        <v>0.0249089411827296</v>
      </c>
      <c r="U122" s="0" t="n">
        <v>0.0069459715146388</v>
      </c>
      <c r="V122" s="0" t="n">
        <v>0.0174009723656422</v>
      </c>
      <c r="W122" s="0" t="n">
        <v>0.0046870348892419</v>
      </c>
      <c r="X122" s="0" t="n">
        <v>0.0287649305142535</v>
      </c>
      <c r="Y122" s="0" t="n">
        <v>0.037607166784044</v>
      </c>
      <c r="Z122" s="0" t="n">
        <v>0.0090193348771278</v>
      </c>
      <c r="AA122" s="0" t="n">
        <v>0.0104907528495818</v>
      </c>
      <c r="AB122" s="0" t="n">
        <v>0.0388559216633564</v>
      </c>
      <c r="AC122" s="0" t="n">
        <v>-0.0010931025964053</v>
      </c>
      <c r="AD122" s="0" t="n">
        <v>-0.0121568584349248</v>
      </c>
      <c r="AE122" s="0" t="n">
        <v>-0.0075592066959844</v>
      </c>
      <c r="AF122" s="0" t="n">
        <v>-0.0013781033697652</v>
      </c>
      <c r="AG122" s="0" t="n">
        <v>0.0074653298828146</v>
      </c>
      <c r="AH122" s="0" t="n">
        <v>0.0036085300253656</v>
      </c>
      <c r="AI122" s="0" t="n">
        <v>-0.0022251579129427</v>
      </c>
      <c r="AJ122" s="0" t="n">
        <v>0.0033736912308337</v>
      </c>
      <c r="AK122" s="0" t="n">
        <v>0.0037626999095905</v>
      </c>
      <c r="AL122" s="0" t="n">
        <v>0.0314871636622587</v>
      </c>
      <c r="AM122" s="0" t="n">
        <v>0.0114320563564023</v>
      </c>
      <c r="AN122" s="0" t="n">
        <v>0.0417543610669608</v>
      </c>
      <c r="AO122" s="0" t="n">
        <v>0.0159352211771301</v>
      </c>
      <c r="AP122" s="0" t="n">
        <v>0.0503122518459634</v>
      </c>
      <c r="AQ122" s="0" t="n">
        <v>-0.0070513594468574</v>
      </c>
      <c r="AR122" s="0" t="n">
        <v>0.0279760994371809</v>
      </c>
      <c r="AS122" s="0" t="n">
        <v>0.0118792624493994</v>
      </c>
      <c r="AT122" s="0" t="n">
        <v>0.04542841433857</v>
      </c>
      <c r="AU122" s="0" t="n">
        <v>0.0188021553183526</v>
      </c>
      <c r="AV122" s="0" t="n">
        <v>0.0030588897946208</v>
      </c>
      <c r="AW122" s="0" t="n">
        <v>0.0095133212313674</v>
      </c>
      <c r="AX122" s="0" t="n">
        <v>0.0254368602760522</v>
      </c>
      <c r="AY122" s="0" t="n">
        <v>0.050110204898754</v>
      </c>
      <c r="AZ122" s="0" t="n">
        <v>0.0115649433343235</v>
      </c>
      <c r="BA122" s="0" t="n">
        <v>0.0351515644801231</v>
      </c>
      <c r="BB122" s="0" t="n">
        <v>0.039003608635714</v>
      </c>
      <c r="BC122" s="0" t="n">
        <v>0.008159304156635</v>
      </c>
      <c r="BD122" s="0" t="n">
        <v>0.0055181093970004</v>
      </c>
      <c r="BE122" s="0" t="n">
        <v>0.0197487912533534</v>
      </c>
      <c r="BF122" s="0" t="n">
        <v>0.0055084686516061</v>
      </c>
      <c r="BG122" s="0" t="n">
        <v>0.0421259266483435</v>
      </c>
      <c r="BH122" s="0" t="n">
        <v>0.0129534713626949</v>
      </c>
      <c r="BI122" s="0" t="n">
        <v>0.0285490720347131</v>
      </c>
      <c r="BJ122" s="0" t="n">
        <v>-0.0175257970212999</v>
      </c>
      <c r="BK122" s="0" t="n">
        <v>-0.0125364205615719</v>
      </c>
      <c r="BL122" s="0" t="n">
        <v>0.0356570820975913</v>
      </c>
      <c r="BM122" s="0" t="n">
        <v>0.0535223184574015</v>
      </c>
      <c r="BN122" s="0" t="n">
        <v>0.0290801237130477</v>
      </c>
      <c r="BO122" s="0" t="n">
        <v>0.0347376259725636</v>
      </c>
      <c r="BP122" s="0" t="n">
        <v>0.0393830342058452</v>
      </c>
      <c r="BQ122" s="0" t="n">
        <v>0.0102838863335083</v>
      </c>
      <c r="BR122" s="0" t="n">
        <v>0.0478343379095044</v>
      </c>
      <c r="BS122" s="0" t="n">
        <v>-0.0057664039154591</v>
      </c>
      <c r="BT122" s="0" t="n">
        <v>0.0286637762413487</v>
      </c>
      <c r="BU122" s="0" t="n">
        <v>0.0090738569506252</v>
      </c>
      <c r="BV122" s="0" t="n">
        <v>0.039625104778829</v>
      </c>
      <c r="BW122" s="0" t="n">
        <v>0.0357505820552234</v>
      </c>
      <c r="BX122" s="0" t="n">
        <v>0.0026878016866463</v>
      </c>
      <c r="BY122" s="0" t="n">
        <v>0.0367766045638864</v>
      </c>
      <c r="BZ122" s="0" t="n">
        <v>0.0524307875003425</v>
      </c>
      <c r="CA122" s="0" t="n">
        <v>0.0128107148183473</v>
      </c>
      <c r="CB122" s="0" t="n">
        <v>0.009183948969176</v>
      </c>
      <c r="CC122" s="0" t="n">
        <v>0.030696259919063</v>
      </c>
      <c r="CD122" s="0" t="n">
        <v>0.0612699477122573</v>
      </c>
      <c r="CE122" s="0" t="n">
        <v>0.023369921997361</v>
      </c>
      <c r="CF122" s="0" t="n">
        <v>-0.0019681962562084</v>
      </c>
      <c r="CG122" s="0" t="n">
        <v>0.0772155955575252</v>
      </c>
      <c r="CH122" s="0" t="n">
        <v>0.0115192060960504</v>
      </c>
      <c r="CI122" s="0" t="n">
        <v>0.0097483320792953</v>
      </c>
      <c r="CJ122" s="0" t="n">
        <v>0.0313771443651117</v>
      </c>
      <c r="CK122" s="0" t="n">
        <v>0.0488353284693154</v>
      </c>
      <c r="CL122" s="0" t="n">
        <v>0.0384410016624246</v>
      </c>
      <c r="CM122" s="0" t="n">
        <v>0.0329318753713967</v>
      </c>
      <c r="CN122" s="0" t="n">
        <v>-0.0009030017457935</v>
      </c>
      <c r="CO122" s="0" t="n">
        <v>0.0201055481537142</v>
      </c>
      <c r="CP122" s="0" t="n">
        <v>0.0404684768438048</v>
      </c>
      <c r="CQ122" s="0" t="n">
        <v>0.0591477428199781</v>
      </c>
      <c r="CR122" s="0" t="n">
        <v>0.0253652062606408</v>
      </c>
      <c r="CS122" s="0" t="n">
        <v>-0.0049851658827308</v>
      </c>
      <c r="CT122" s="0" t="n">
        <v>0.0552169114668135</v>
      </c>
      <c r="CU122" s="0" t="n">
        <v>0.0172809671430811</v>
      </c>
      <c r="CV122" s="0" t="n">
        <v>0.0356020293733452</v>
      </c>
      <c r="CW122" s="0" t="n">
        <v>0.0518458180428488</v>
      </c>
      <c r="CX122" s="0" t="n">
        <v>0.0322910837275736</v>
      </c>
      <c r="CY122" s="0" t="n">
        <v>0.0490216625668344</v>
      </c>
      <c r="CZ122" s="0" t="n">
        <v>0.0577021325020426</v>
      </c>
      <c r="DA122" s="0" t="n">
        <v>0.080553068791535</v>
      </c>
      <c r="DB122" s="0" t="n">
        <v>0.0228931229342544</v>
      </c>
      <c r="DC122" s="0" t="n">
        <v>0.033799554898351</v>
      </c>
      <c r="DD122" s="0" t="n">
        <v>0.0849241908787102</v>
      </c>
      <c r="DE122" s="0" t="n">
        <v>0.0201229345505099</v>
      </c>
      <c r="DF122" s="0" t="n">
        <v>0.079067963367769</v>
      </c>
      <c r="DG122" s="0" t="n">
        <v>0.0236507744344767</v>
      </c>
      <c r="DH122" s="0" t="n">
        <v>0.0346618160129724</v>
      </c>
      <c r="DI122" s="0" t="n">
        <v>0.0661305013004198</v>
      </c>
      <c r="DJ122" s="0" t="n">
        <v>0.0720842855734341</v>
      </c>
      <c r="DK122" s="0" t="n">
        <v>0.0760645641254134</v>
      </c>
      <c r="DL122" s="0" t="n">
        <v>-0.0015403871253248</v>
      </c>
      <c r="DM122" s="0" t="n">
        <v>0.0717214766556253</v>
      </c>
      <c r="DN122" s="0" t="n">
        <v>0.257588556965697</v>
      </c>
      <c r="DO122" s="0" t="n">
        <v>0.0372398064979723</v>
      </c>
      <c r="DP122" s="0" t="n">
        <v>0.0890383362226229</v>
      </c>
      <c r="DQ122" s="0" t="n">
        <v>0.0272932569600804</v>
      </c>
      <c r="DR122" s="0" t="n">
        <v>0.024803203588681</v>
      </c>
      <c r="DS122" s="0" t="n">
        <v>0.0811592112479639</v>
      </c>
      <c r="DT122" s="0" t="n">
        <v>0.0577087587919322</v>
      </c>
      <c r="DU122" s="0" t="n">
        <v>0.071461412872081</v>
      </c>
      <c r="DV122" s="0" t="n">
        <v>0.0856778420618567</v>
      </c>
      <c r="DW122" s="0" t="n">
        <v>0.101834701007586</v>
      </c>
      <c r="DX122" s="0" t="n">
        <v>0.0194946048533081</v>
      </c>
      <c r="DY122" s="0" t="n">
        <v>0.11615749244147</v>
      </c>
      <c r="DZ122" s="0" t="n">
        <v>0.0746650761767282</v>
      </c>
      <c r="EA122" s="0" t="n">
        <v>0.0643641514946667</v>
      </c>
      <c r="EB122" s="0" t="n">
        <v>0.118732412650684</v>
      </c>
      <c r="EC122" s="0" t="n">
        <v>-0.0198027317074537</v>
      </c>
      <c r="ED122" s="0" t="n">
        <v>0.0772210137849239</v>
      </c>
      <c r="EE122" s="0" t="n">
        <v>0.0378134646710297</v>
      </c>
      <c r="EF122" s="0" t="n">
        <v>0.0614656754744221</v>
      </c>
      <c r="EG122" s="0" t="n">
        <v>0.0489719104023309</v>
      </c>
      <c r="EH122" s="0" t="n">
        <v>0.0985482479101872</v>
      </c>
      <c r="EI122" s="0" t="n">
        <v>0.0310374468645422</v>
      </c>
      <c r="EJ122" s="0" t="n">
        <v>0.0571067698140176</v>
      </c>
      <c r="EK122" s="0" t="n">
        <v>0.0773159845975685</v>
      </c>
      <c r="EL122" s="0" t="n">
        <v>0.0364837974051756</v>
      </c>
      <c r="EM122" s="0" t="n">
        <v>0.0818619808562388</v>
      </c>
      <c r="EN122" s="0" t="n">
        <v>0.0851802503782584</v>
      </c>
      <c r="EO122" s="0" t="n">
        <v>0.160614737189126</v>
      </c>
      <c r="EP122" s="72" t="n">
        <f aca="false">SUMPRODUCT(B122:EO122,$B$5:$EO$5)</f>
        <v>0.0360117062841136</v>
      </c>
      <c r="EQ122" s="72" t="n">
        <f aca="false">SUMIF('Mi portafolio'!$A$8:$A$19,$A122,'Mi portafolio'!$B$8:$B$19)</f>
        <v>0</v>
      </c>
    </row>
    <row r="123" customFormat="false" ht="15" hidden="false" customHeight="false" outlineLevel="0" collapsed="false">
      <c r="A123" s="71" t="s">
        <v>352</v>
      </c>
      <c r="B123" s="0" t="n">
        <v>0.006043391797872</v>
      </c>
      <c r="C123" s="0" t="n">
        <v>0.0144921299249038</v>
      </c>
      <c r="D123" s="0" t="n">
        <v>0.0072161069543489</v>
      </c>
      <c r="E123" s="0" t="n">
        <v>0.0153968833738321</v>
      </c>
      <c r="F123" s="0" t="n">
        <v>-0.0129312354490191</v>
      </c>
      <c r="G123" s="0" t="n">
        <v>-0.0037850879902274</v>
      </c>
      <c r="H123" s="0" t="n">
        <v>0.0152132476665256</v>
      </c>
      <c r="I123" s="0" t="n">
        <v>0.0043375897668421</v>
      </c>
      <c r="J123" s="0" t="n">
        <v>-0.0079649805318885</v>
      </c>
      <c r="K123" s="0" t="n">
        <v>0.0021472911662663</v>
      </c>
      <c r="L123" s="0" t="n">
        <v>0.0163060355265116</v>
      </c>
      <c r="M123" s="0" t="n">
        <v>0.0310570174367794</v>
      </c>
      <c r="N123" s="0" t="n">
        <v>0.0245815217463591</v>
      </c>
      <c r="O123" s="0" t="n">
        <v>0.0138869851310644</v>
      </c>
      <c r="P123" s="0" t="n">
        <v>-0.0037141873092479</v>
      </c>
      <c r="Q123" s="0" t="n">
        <v>0.0104913389835136</v>
      </c>
      <c r="R123" s="0" t="n">
        <v>0.0041894215520429</v>
      </c>
      <c r="S123" s="0" t="n">
        <v>0.010562576531862</v>
      </c>
      <c r="T123" s="0" t="n">
        <v>0.0295737769073912</v>
      </c>
      <c r="U123" s="0" t="n">
        <v>0.0124331251897134</v>
      </c>
      <c r="V123" s="0" t="n">
        <v>0.0091085389265723</v>
      </c>
      <c r="W123" s="0" t="n">
        <v>0.0118615397473289</v>
      </c>
      <c r="X123" s="0" t="n">
        <v>0.0331057306660828</v>
      </c>
      <c r="Y123" s="0" t="n">
        <v>0.0075357495854549</v>
      </c>
      <c r="Z123" s="0" t="n">
        <v>-0.0037401887893477</v>
      </c>
      <c r="AA123" s="0" t="n">
        <v>0.0160016213077769</v>
      </c>
      <c r="AB123" s="0" t="n">
        <v>-0.0025382450630718</v>
      </c>
      <c r="AC123" s="0" t="n">
        <v>0.0184376130376598</v>
      </c>
      <c r="AD123" s="0" t="n">
        <v>0.0153041586850931</v>
      </c>
      <c r="AE123" s="0" t="n">
        <v>0.0190358822958547</v>
      </c>
      <c r="AF123" s="0" t="n">
        <v>0.0222743012777307</v>
      </c>
      <c r="AG123" s="0" t="n">
        <v>-0.0011975930879235</v>
      </c>
      <c r="AH123" s="0" t="n">
        <v>0.0029003243378799</v>
      </c>
      <c r="AI123" s="0" t="n">
        <v>-0.0029653208913294</v>
      </c>
      <c r="AJ123" s="0" t="n">
        <v>0.0185976010167974</v>
      </c>
      <c r="AK123" s="0" t="n">
        <v>0.0189554124295174</v>
      </c>
      <c r="AL123" s="0" t="n">
        <v>0.0373812965571742</v>
      </c>
      <c r="AM123" s="0" t="n">
        <v>0.0234203600911491</v>
      </c>
      <c r="AN123" s="0" t="n">
        <v>0.0214900269572314</v>
      </c>
      <c r="AO123" s="0" t="n">
        <v>-0.0008178004354603</v>
      </c>
      <c r="AP123" s="0" t="n">
        <v>0.024846325025707</v>
      </c>
      <c r="AQ123" s="0" t="n">
        <v>-0.0089344424585542</v>
      </c>
      <c r="AR123" s="0" t="n">
        <v>0.0296318824933656</v>
      </c>
      <c r="AS123" s="0" t="n">
        <v>0.0139490939033332</v>
      </c>
      <c r="AT123" s="0" t="n">
        <v>0.0390201188990757</v>
      </c>
      <c r="AU123" s="0" t="n">
        <v>-0.0073083030578379</v>
      </c>
      <c r="AV123" s="0" t="n">
        <v>0.0239970425963735</v>
      </c>
      <c r="AW123" s="0" t="n">
        <v>0.0276750681942908</v>
      </c>
      <c r="AX123" s="0" t="n">
        <v>0.0137428978856489</v>
      </c>
      <c r="AY123" s="0" t="n">
        <v>0.0195185755885498</v>
      </c>
      <c r="AZ123" s="0" t="n">
        <v>0.037110329217773</v>
      </c>
      <c r="BA123" s="0" t="n">
        <v>0.0433512414115782</v>
      </c>
      <c r="BB123" s="0" t="n">
        <v>0.0538176701334665</v>
      </c>
      <c r="BC123" s="0" t="n">
        <v>0.0119413464870935</v>
      </c>
      <c r="BD123" s="0" t="n">
        <v>0.016277675180686</v>
      </c>
      <c r="BE123" s="0" t="n">
        <v>0.0089909441535352</v>
      </c>
      <c r="BF123" s="0" t="n">
        <v>0.0263724483630903</v>
      </c>
      <c r="BG123" s="0" t="n">
        <v>0.0229803153458683</v>
      </c>
      <c r="BH123" s="0" t="n">
        <v>0.0130012026195765</v>
      </c>
      <c r="BI123" s="0" t="n">
        <v>0.0200531056186934</v>
      </c>
      <c r="BJ123" s="0" t="n">
        <v>0.0081128458681511</v>
      </c>
      <c r="BK123" s="0" t="n">
        <v>0.030345237519329</v>
      </c>
      <c r="BL123" s="0" t="n">
        <v>0.0616642962400108</v>
      </c>
      <c r="BM123" s="0" t="n">
        <v>0.0175084755510221</v>
      </c>
      <c r="BN123" s="0" t="n">
        <v>0.0108558116994473</v>
      </c>
      <c r="BO123" s="0" t="n">
        <v>0.0535634978165326</v>
      </c>
      <c r="BP123" s="0" t="n">
        <v>0.0168383868447499</v>
      </c>
      <c r="BQ123" s="0" t="n">
        <v>0.0373805471450081</v>
      </c>
      <c r="BR123" s="0" t="n">
        <v>0.0340272668860954</v>
      </c>
      <c r="BS123" s="0" t="n">
        <v>0.0048261188565892</v>
      </c>
      <c r="BT123" s="0" t="n">
        <v>0.0487963925496435</v>
      </c>
      <c r="BU123" s="0" t="n">
        <v>0.0020449442342559</v>
      </c>
      <c r="BV123" s="0" t="n">
        <v>0.0458324166990113</v>
      </c>
      <c r="BW123" s="0" t="n">
        <v>0.0228638613396389</v>
      </c>
      <c r="BX123" s="0" t="n">
        <v>0.0231083011364743</v>
      </c>
      <c r="BY123" s="0" t="n">
        <v>0.045869164532587</v>
      </c>
      <c r="BZ123" s="0" t="n">
        <v>0.055269104251447</v>
      </c>
      <c r="CA123" s="0" t="n">
        <v>0.0332973511952579</v>
      </c>
      <c r="CB123" s="0" t="n">
        <v>-0.0074015319868797</v>
      </c>
      <c r="CC123" s="0" t="n">
        <v>0.0123678445895962</v>
      </c>
      <c r="CD123" s="0" t="n">
        <v>0.0204625980951171</v>
      </c>
      <c r="CE123" s="0" t="n">
        <v>0.0583824567602983</v>
      </c>
      <c r="CF123" s="0" t="n">
        <v>-0.0010481146594244</v>
      </c>
      <c r="CG123" s="0" t="n">
        <v>0.0422162126971212</v>
      </c>
      <c r="CH123" s="0" t="n">
        <v>0.0548038886009863</v>
      </c>
      <c r="CI123" s="0" t="n">
        <v>0.0005295143330451</v>
      </c>
      <c r="CJ123" s="0" t="n">
        <v>0.0025690853685897</v>
      </c>
      <c r="CK123" s="0" t="n">
        <v>0.0339686026269498</v>
      </c>
      <c r="CL123" s="0" t="n">
        <v>0.0589856549922216</v>
      </c>
      <c r="CM123" s="0" t="n">
        <v>0.0451199867066597</v>
      </c>
      <c r="CN123" s="0" t="n">
        <v>0.0035966863337353</v>
      </c>
      <c r="CO123" s="0" t="n">
        <v>0.029709708254</v>
      </c>
      <c r="CP123" s="0" t="n">
        <v>0.030347923908072</v>
      </c>
      <c r="CQ123" s="0" t="n">
        <v>0.0736118280125398</v>
      </c>
      <c r="CR123" s="0" t="n">
        <v>0.0684551997831375</v>
      </c>
      <c r="CS123" s="0" t="n">
        <v>0.100672170978041</v>
      </c>
      <c r="CT123" s="0" t="n">
        <v>0.0609298196970949</v>
      </c>
      <c r="CU123" s="0" t="n">
        <v>0.036277860445673</v>
      </c>
      <c r="CV123" s="0" t="n">
        <v>0.0469394014645307</v>
      </c>
      <c r="CW123" s="0" t="n">
        <v>0.0188747024022368</v>
      </c>
      <c r="CX123" s="0" t="n">
        <v>0.0420128560757754</v>
      </c>
      <c r="CY123" s="0" t="n">
        <v>0.0681614580171525</v>
      </c>
      <c r="CZ123" s="0" t="n">
        <v>0.0467449950640463</v>
      </c>
      <c r="DA123" s="0" t="n">
        <v>0.0331625777836945</v>
      </c>
      <c r="DB123" s="0" t="n">
        <v>0.113050137445611</v>
      </c>
      <c r="DC123" s="0" t="n">
        <v>0.0727190779819558</v>
      </c>
      <c r="DD123" s="0" t="n">
        <v>0.0659753961354339</v>
      </c>
      <c r="DE123" s="0" t="n">
        <v>0.0884067133239512</v>
      </c>
      <c r="DF123" s="0" t="n">
        <v>0.0209796400867615</v>
      </c>
      <c r="DG123" s="0" t="n">
        <v>0.0909042423958058</v>
      </c>
      <c r="DH123" s="0" t="n">
        <v>0.0902930695923515</v>
      </c>
      <c r="DI123" s="0" t="n">
        <v>0.0874813928770713</v>
      </c>
      <c r="DJ123" s="0" t="n">
        <v>0.0712922318073352</v>
      </c>
      <c r="DK123" s="0" t="n">
        <v>0.0905916213064995</v>
      </c>
      <c r="DL123" s="0" t="n">
        <v>0.0382819603339058</v>
      </c>
      <c r="DM123" s="0" t="n">
        <v>0.0847406244415628</v>
      </c>
      <c r="DN123" s="0" t="n">
        <v>0.0372398064979723</v>
      </c>
      <c r="DO123" s="0" t="n">
        <v>0.306331537339764</v>
      </c>
      <c r="DP123" s="0" t="n">
        <v>0.0847588508632034</v>
      </c>
      <c r="DQ123" s="0" t="n">
        <v>0.13983093413306</v>
      </c>
      <c r="DR123" s="0" t="n">
        <v>0.0903017208164796</v>
      </c>
      <c r="DS123" s="0" t="n">
        <v>0.0258474951916524</v>
      </c>
      <c r="DT123" s="0" t="n">
        <v>0.0784929896994265</v>
      </c>
      <c r="DU123" s="0" t="n">
        <v>0.0846739079189614</v>
      </c>
      <c r="DV123" s="0" t="n">
        <v>0.0688346820635169</v>
      </c>
      <c r="DW123" s="0" t="n">
        <v>0.035000688350462</v>
      </c>
      <c r="DX123" s="0" t="n">
        <v>0.126132297952229</v>
      </c>
      <c r="DY123" s="0" t="n">
        <v>0.0808431704890874</v>
      </c>
      <c r="DZ123" s="0" t="n">
        <v>0.0583641645724284</v>
      </c>
      <c r="EA123" s="0" t="n">
        <v>0.060117897697595</v>
      </c>
      <c r="EB123" s="0" t="n">
        <v>0.0921834225759591</v>
      </c>
      <c r="EC123" s="0" t="n">
        <v>0.0109014813879358</v>
      </c>
      <c r="ED123" s="0" t="n">
        <v>0.123898453302439</v>
      </c>
      <c r="EE123" s="0" t="n">
        <v>0.195642815515423</v>
      </c>
      <c r="EF123" s="0" t="n">
        <v>0.108319680464472</v>
      </c>
      <c r="EG123" s="0" t="n">
        <v>0.210208842149678</v>
      </c>
      <c r="EH123" s="0" t="n">
        <v>-0.0032809797381759</v>
      </c>
      <c r="EI123" s="0" t="n">
        <v>0.172672187453248</v>
      </c>
      <c r="EJ123" s="0" t="n">
        <v>0.10154949234077</v>
      </c>
      <c r="EK123" s="0" t="n">
        <v>0.146408894611258</v>
      </c>
      <c r="EL123" s="0" t="n">
        <v>0.151693041169456</v>
      </c>
      <c r="EM123" s="0" t="n">
        <v>0.079840673315985</v>
      </c>
      <c r="EN123" s="0" t="n">
        <v>0.101372448111391</v>
      </c>
      <c r="EO123" s="0" t="n">
        <v>0.112883949620728</v>
      </c>
      <c r="EP123" s="72" t="n">
        <f aca="false">SUMPRODUCT(B123:EO123,$B$5:$EO$5)</f>
        <v>0.174461221221944</v>
      </c>
      <c r="EQ123" s="72" t="n">
        <f aca="false">SUMIF('Mi portafolio'!$A$8:$A$19,$A123,'Mi portafolio'!$B$8:$B$19)</f>
        <v>0</v>
      </c>
    </row>
    <row r="124" customFormat="false" ht="15" hidden="false" customHeight="false" outlineLevel="0" collapsed="false">
      <c r="A124" s="71" t="s">
        <v>353</v>
      </c>
      <c r="B124" s="0" t="n">
        <v>0.0237629599837887</v>
      </c>
      <c r="C124" s="0" t="n">
        <v>-0.0014941759756886</v>
      </c>
      <c r="D124" s="0" t="n">
        <v>0.0017860239567556</v>
      </c>
      <c r="E124" s="0" t="n">
        <v>0.006182908384594</v>
      </c>
      <c r="F124" s="0" t="n">
        <v>0.0152493666438188</v>
      </c>
      <c r="G124" s="0" t="n">
        <v>0.0005889000050985</v>
      </c>
      <c r="H124" s="0" t="n">
        <v>0.0121057714836833</v>
      </c>
      <c r="I124" s="0" t="n">
        <v>0.0290522521045214</v>
      </c>
      <c r="J124" s="0" t="n">
        <v>0.0176036210135482</v>
      </c>
      <c r="K124" s="0" t="n">
        <v>0.0335154477420236</v>
      </c>
      <c r="L124" s="0" t="n">
        <v>0.0113919580726232</v>
      </c>
      <c r="M124" s="0" t="n">
        <v>0.0475089417257534</v>
      </c>
      <c r="N124" s="0" t="n">
        <v>0.0361256947184732</v>
      </c>
      <c r="O124" s="0" t="n">
        <v>0.0122722996797844</v>
      </c>
      <c r="P124" s="0" t="n">
        <v>0.0052870543552245</v>
      </c>
      <c r="Q124" s="0" t="n">
        <v>-0.0015596446881235</v>
      </c>
      <c r="R124" s="0" t="n">
        <v>0.0147091741684406</v>
      </c>
      <c r="S124" s="0" t="n">
        <v>0.0066946055955869</v>
      </c>
      <c r="T124" s="0" t="n">
        <v>0.0456036729570792</v>
      </c>
      <c r="U124" s="0" t="n">
        <v>0.0156923711255763</v>
      </c>
      <c r="V124" s="0" t="n">
        <v>0.0112438690301642</v>
      </c>
      <c r="W124" s="0" t="n">
        <v>-0.0036113533575899</v>
      </c>
      <c r="X124" s="0" t="n">
        <v>0.0483647137956186</v>
      </c>
      <c r="Y124" s="0" t="n">
        <v>0.0455100887023824</v>
      </c>
      <c r="Z124" s="0" t="n">
        <v>0.0188245731178078</v>
      </c>
      <c r="AA124" s="0" t="n">
        <v>0.0126027193285512</v>
      </c>
      <c r="AB124" s="0" t="n">
        <v>0.0399673755129368</v>
      </c>
      <c r="AC124" s="0" t="n">
        <v>0.0066642167034247</v>
      </c>
      <c r="AD124" s="0" t="n">
        <v>0.0072443620038072</v>
      </c>
      <c r="AE124" s="0" t="n">
        <v>0.0293183911343909</v>
      </c>
      <c r="AF124" s="0" t="n">
        <v>0.0018133498373969</v>
      </c>
      <c r="AG124" s="0" t="n">
        <v>0.0043432319035926</v>
      </c>
      <c r="AH124" s="0" t="n">
        <v>0.0031962207610053</v>
      </c>
      <c r="AI124" s="0" t="n">
        <v>-0.0358066544682304</v>
      </c>
      <c r="AJ124" s="0" t="n">
        <v>0.0109428191706546</v>
      </c>
      <c r="AK124" s="0" t="n">
        <v>0.0228999025434261</v>
      </c>
      <c r="AL124" s="0" t="n">
        <v>0.041151031032855</v>
      </c>
      <c r="AM124" s="0" t="n">
        <v>0.0249694302681412</v>
      </c>
      <c r="AN124" s="0" t="n">
        <v>0.0659809297061741</v>
      </c>
      <c r="AO124" s="0" t="n">
        <v>0.0209178844350221</v>
      </c>
      <c r="AP124" s="0" t="n">
        <v>0.0504172243342046</v>
      </c>
      <c r="AQ124" s="0" t="n">
        <v>-0.0422577535299813</v>
      </c>
      <c r="AR124" s="0" t="n">
        <v>0.0450173166683116</v>
      </c>
      <c r="AS124" s="0" t="n">
        <v>0.0223953038471831</v>
      </c>
      <c r="AT124" s="0" t="n">
        <v>0.0632318469303084</v>
      </c>
      <c r="AU124" s="0" t="n">
        <v>0.0179320606148315</v>
      </c>
      <c r="AV124" s="0" t="n">
        <v>0.0060711467739502</v>
      </c>
      <c r="AW124" s="0" t="n">
        <v>0.0150522014707199</v>
      </c>
      <c r="AX124" s="0" t="n">
        <v>0.0405001955348294</v>
      </c>
      <c r="AY124" s="0" t="n">
        <v>0.0518142984654874</v>
      </c>
      <c r="AZ124" s="0" t="n">
        <v>0.0318435620198775</v>
      </c>
      <c r="BA124" s="0" t="n">
        <v>0.0597416163472902</v>
      </c>
      <c r="BB124" s="0" t="n">
        <v>0.0679665780827104</v>
      </c>
      <c r="BC124" s="0" t="n">
        <v>0.0111577327022512</v>
      </c>
      <c r="BD124" s="0" t="n">
        <v>0.0244302670215752</v>
      </c>
      <c r="BE124" s="0" t="n">
        <v>0.0357740566456854</v>
      </c>
      <c r="BF124" s="0" t="n">
        <v>0.0298337917284351</v>
      </c>
      <c r="BG124" s="0" t="n">
        <v>0.0472419720207105</v>
      </c>
      <c r="BH124" s="0" t="n">
        <v>0.023051899702944</v>
      </c>
      <c r="BI124" s="0" t="n">
        <v>0.0157422112540261</v>
      </c>
      <c r="BJ124" s="0" t="n">
        <v>-0.0107077492255992</v>
      </c>
      <c r="BK124" s="0" t="n">
        <v>0.0221867450113734</v>
      </c>
      <c r="BL124" s="0" t="n">
        <v>0.0589723981227029</v>
      </c>
      <c r="BM124" s="0" t="n">
        <v>0.0500939935893596</v>
      </c>
      <c r="BN124" s="0" t="n">
        <v>0.0173499443326315</v>
      </c>
      <c r="BO124" s="0" t="n">
        <v>0.0615215089749277</v>
      </c>
      <c r="BP124" s="0" t="n">
        <v>0.0026068768872376</v>
      </c>
      <c r="BQ124" s="0" t="n">
        <v>0.0414537641290529</v>
      </c>
      <c r="BR124" s="0" t="n">
        <v>0.066966983784898</v>
      </c>
      <c r="BS124" s="0" t="n">
        <v>-0.037459927887374</v>
      </c>
      <c r="BT124" s="0" t="n">
        <v>0.0960288699438742</v>
      </c>
      <c r="BU124" s="0" t="n">
        <v>0.0214167990285178</v>
      </c>
      <c r="BV124" s="0" t="n">
        <v>0.0571118473412827</v>
      </c>
      <c r="BW124" s="0" t="n">
        <v>0.0306412298967951</v>
      </c>
      <c r="BX124" s="0" t="n">
        <v>0.0432713151134304</v>
      </c>
      <c r="BY124" s="0" t="n">
        <v>0.0846725986064382</v>
      </c>
      <c r="BZ124" s="0" t="n">
        <v>0.0669702130536155</v>
      </c>
      <c r="CA124" s="0" t="n">
        <v>0.0217303349042632</v>
      </c>
      <c r="CB124" s="0" t="n">
        <v>-0.0177704142603638</v>
      </c>
      <c r="CC124" s="0" t="n">
        <v>0.0204241750241747</v>
      </c>
      <c r="CD124" s="0" t="n">
        <v>0.071660935074111</v>
      </c>
      <c r="CE124" s="0" t="n">
        <v>0.0310513460332859</v>
      </c>
      <c r="CF124" s="0" t="n">
        <v>-0.0472328929718689</v>
      </c>
      <c r="CG124" s="0" t="n">
        <v>0.0868255107206809</v>
      </c>
      <c r="CH124" s="0" t="n">
        <v>0.0484379222884967</v>
      </c>
      <c r="CI124" s="0" t="n">
        <v>-0.0475519593512951</v>
      </c>
      <c r="CJ124" s="0" t="n">
        <v>0.0229808112569574</v>
      </c>
      <c r="CK124" s="0" t="n">
        <v>0.0562616760009083</v>
      </c>
      <c r="CL124" s="0" t="n">
        <v>0.0819252609150401</v>
      </c>
      <c r="CM124" s="0" t="n">
        <v>0.0458909482358311</v>
      </c>
      <c r="CN124" s="0" t="n">
        <v>0.0172935451691147</v>
      </c>
      <c r="CO124" s="0" t="n">
        <v>0.0120986685729157</v>
      </c>
      <c r="CP124" s="0" t="n">
        <v>0.0351361794630494</v>
      </c>
      <c r="CQ124" s="0" t="n">
        <v>0.143312621856249</v>
      </c>
      <c r="CR124" s="0" t="n">
        <v>0.0694602756196248</v>
      </c>
      <c r="CS124" s="0" t="n">
        <v>0.0755050369843918</v>
      </c>
      <c r="CT124" s="0" t="n">
        <v>0.0605764785942461</v>
      </c>
      <c r="CU124" s="0" t="n">
        <v>0.034288175325349</v>
      </c>
      <c r="CV124" s="0" t="n">
        <v>0.0797841176174914</v>
      </c>
      <c r="CW124" s="0" t="n">
        <v>0.0577763636111425</v>
      </c>
      <c r="CX124" s="0" t="n">
        <v>0.0693332140661762</v>
      </c>
      <c r="CY124" s="0" t="n">
        <v>0.161039729831269</v>
      </c>
      <c r="CZ124" s="0" t="n">
        <v>0.0355815768136738</v>
      </c>
      <c r="DA124" s="0" t="n">
        <v>0.0588326644859704</v>
      </c>
      <c r="DB124" s="0" t="n">
        <v>0.063917160058207</v>
      </c>
      <c r="DC124" s="0" t="n">
        <v>0.107117050668689</v>
      </c>
      <c r="DD124" s="0" t="n">
        <v>0.0957138970125423</v>
      </c>
      <c r="DE124" s="0" t="n">
        <v>0.0786230407404409</v>
      </c>
      <c r="DF124" s="0" t="n">
        <v>0.0309471478023483</v>
      </c>
      <c r="DG124" s="0" t="n">
        <v>0.0621105365220871</v>
      </c>
      <c r="DH124" s="0" t="n">
        <v>0.0522031202494853</v>
      </c>
      <c r="DI124" s="0" t="n">
        <v>0.160948798048387</v>
      </c>
      <c r="DJ124" s="0" t="n">
        <v>0.208369499529385</v>
      </c>
      <c r="DK124" s="0" t="n">
        <v>0.172406399094062</v>
      </c>
      <c r="DL124" s="0" t="n">
        <v>0.0346411278708932</v>
      </c>
      <c r="DM124" s="0" t="n">
        <v>0.232058462481101</v>
      </c>
      <c r="DN124" s="0" t="n">
        <v>0.0890383362226229</v>
      </c>
      <c r="DO124" s="0" t="n">
        <v>0.0847588508632034</v>
      </c>
      <c r="DP124" s="0" t="n">
        <v>0.30571213215668</v>
      </c>
      <c r="DQ124" s="0" t="n">
        <v>0.0535327047449651</v>
      </c>
      <c r="DR124" s="0" t="n">
        <v>0.0409110819722616</v>
      </c>
      <c r="DS124" s="0" t="n">
        <v>0.0749426402377729</v>
      </c>
      <c r="DT124" s="0" t="n">
        <v>0.0458036294230908</v>
      </c>
      <c r="DU124" s="0" t="n">
        <v>0.0824007818842422</v>
      </c>
      <c r="DV124" s="0" t="n">
        <v>0.0545904232385557</v>
      </c>
      <c r="DW124" s="0" t="n">
        <v>0.127247258276569</v>
      </c>
      <c r="DX124" s="0" t="n">
        <v>0.069793792444837</v>
      </c>
      <c r="DY124" s="0" t="n">
        <v>0.123229360870418</v>
      </c>
      <c r="DZ124" s="0" t="n">
        <v>0.0350619765775151</v>
      </c>
      <c r="EA124" s="0" t="n">
        <v>0.0897740701459431</v>
      </c>
      <c r="EB124" s="0" t="n">
        <v>0.144856473831975</v>
      </c>
      <c r="EC124" s="0" t="n">
        <v>0.0058802010005002</v>
      </c>
      <c r="ED124" s="0" t="n">
        <v>0.0719679123731509</v>
      </c>
      <c r="EE124" s="0" t="n">
        <v>0.0801652798622418</v>
      </c>
      <c r="EF124" s="0" t="n">
        <v>0.0888732147456193</v>
      </c>
      <c r="EG124" s="0" t="n">
        <v>0.0764728857377381</v>
      </c>
      <c r="EH124" s="0" t="n">
        <v>0.0783413904950508</v>
      </c>
      <c r="EI124" s="0" t="n">
        <v>0.0744569745758552</v>
      </c>
      <c r="EJ124" s="0" t="n">
        <v>0.136524722169484</v>
      </c>
      <c r="EK124" s="0" t="n">
        <v>0.0687700885274913</v>
      </c>
      <c r="EL124" s="0" t="n">
        <v>0.111777456204809</v>
      </c>
      <c r="EM124" s="0" t="n">
        <v>0.0960453715601117</v>
      </c>
      <c r="EN124" s="0" t="n">
        <v>0.0861909459666304</v>
      </c>
      <c r="EO124" s="0" t="n">
        <v>0.174284617310377</v>
      </c>
      <c r="EP124" s="72" t="n">
        <f aca="false">SUMPRODUCT(B124:EO124,$B$5:$EO$5)</f>
        <v>0.0700728509198692</v>
      </c>
      <c r="EQ124" s="72" t="n">
        <f aca="false">SUMIF('Mi portafolio'!$A$8:$A$19,$A124,'Mi portafolio'!$B$8:$B$19)</f>
        <v>0</v>
      </c>
    </row>
    <row r="125" customFormat="false" ht="15" hidden="false" customHeight="false" outlineLevel="0" collapsed="false">
      <c r="A125" s="71" t="s">
        <v>354</v>
      </c>
      <c r="B125" s="0" t="n">
        <v>0.0012164926956304</v>
      </c>
      <c r="C125" s="0" t="n">
        <v>0.0017354027143458</v>
      </c>
      <c r="D125" s="0" t="n">
        <v>-0.0007963288184873</v>
      </c>
      <c r="E125" s="0" t="n">
        <v>0.0090215756076904</v>
      </c>
      <c r="F125" s="0" t="n">
        <v>-0.0115970110359145</v>
      </c>
      <c r="G125" s="0" t="n">
        <v>-0.0193494280675368</v>
      </c>
      <c r="H125" s="0" t="n">
        <v>0.0145072381107583</v>
      </c>
      <c r="I125" s="0" t="n">
        <v>-0.0037950027900561</v>
      </c>
      <c r="J125" s="0" t="n">
        <v>-0.0027599653072736</v>
      </c>
      <c r="K125" s="0" t="n">
        <v>-0.0011925028261484</v>
      </c>
      <c r="L125" s="0" t="n">
        <v>0.0114804131319029</v>
      </c>
      <c r="M125" s="0" t="n">
        <v>0.0312671571338961</v>
      </c>
      <c r="N125" s="0" t="n">
        <v>0.0072646906458571</v>
      </c>
      <c r="O125" s="0" t="n">
        <v>0.0092717202251331</v>
      </c>
      <c r="P125" s="0" t="n">
        <v>-0.0051690010025693</v>
      </c>
      <c r="Q125" s="0" t="n">
        <v>0.0054300128631038</v>
      </c>
      <c r="R125" s="0" t="n">
        <v>0.0041778763038389</v>
      </c>
      <c r="S125" s="0" t="n">
        <v>0.0102219674296598</v>
      </c>
      <c r="T125" s="0" t="n">
        <v>0.0173311868854723</v>
      </c>
      <c r="U125" s="0" t="n">
        <v>0.0133699578033233</v>
      </c>
      <c r="V125" s="0" t="n">
        <v>0.0066640167864162</v>
      </c>
      <c r="W125" s="0" t="n">
        <v>0.0043049818754022</v>
      </c>
      <c r="X125" s="0" t="n">
        <v>0.0241068446864392</v>
      </c>
      <c r="Y125" s="0" t="n">
        <v>-0.0118239788578876</v>
      </c>
      <c r="Z125" s="0" t="n">
        <v>0.005295450645857</v>
      </c>
      <c r="AA125" s="0" t="n">
        <v>0.0076962986793557</v>
      </c>
      <c r="AB125" s="0" t="n">
        <v>-0.0160174609548044</v>
      </c>
      <c r="AC125" s="0" t="n">
        <v>0.0101043528963609</v>
      </c>
      <c r="AD125" s="0" t="n">
        <v>0.0170739772236823</v>
      </c>
      <c r="AE125" s="0" t="n">
        <v>0.0156948494456315</v>
      </c>
      <c r="AF125" s="0" t="n">
        <v>0.0111527813323994</v>
      </c>
      <c r="AG125" s="0" t="n">
        <v>0.0016035092307441</v>
      </c>
      <c r="AH125" s="0" t="n">
        <v>0.0050729672446788</v>
      </c>
      <c r="AI125" s="0" t="n">
        <v>-0.00464151565619</v>
      </c>
      <c r="AJ125" s="0" t="n">
        <v>0.0195466904304751</v>
      </c>
      <c r="AK125" s="0" t="n">
        <v>0.0182165372108545</v>
      </c>
      <c r="AL125" s="0" t="n">
        <v>0.0261181150343826</v>
      </c>
      <c r="AM125" s="0" t="n">
        <v>0.0349686295325934</v>
      </c>
      <c r="AN125" s="0" t="n">
        <v>0.0298575609948218</v>
      </c>
      <c r="AO125" s="0" t="n">
        <v>-0.020325034399106</v>
      </c>
      <c r="AP125" s="0" t="n">
        <v>0.0087577310030903</v>
      </c>
      <c r="AQ125" s="0" t="n">
        <v>-0.0106878644401315</v>
      </c>
      <c r="AR125" s="0" t="n">
        <v>0.0211312828612469</v>
      </c>
      <c r="AS125" s="0" t="n">
        <v>0.0111703745662637</v>
      </c>
      <c r="AT125" s="0" t="n">
        <v>0.0258880079606103</v>
      </c>
      <c r="AU125" s="0" t="n">
        <v>-0.0017700755304479</v>
      </c>
      <c r="AV125" s="0" t="n">
        <v>-0.002026235044241</v>
      </c>
      <c r="AW125" s="0" t="n">
        <v>0.021020097209732</v>
      </c>
      <c r="AX125" s="0" t="n">
        <v>-0.0012900318239566</v>
      </c>
      <c r="AY125" s="0" t="n">
        <v>0.0068075728153586</v>
      </c>
      <c r="AZ125" s="0" t="n">
        <v>0.0278684198730988</v>
      </c>
      <c r="BA125" s="0" t="n">
        <v>0.0418211550964644</v>
      </c>
      <c r="BB125" s="0" t="n">
        <v>0.0395521155140997</v>
      </c>
      <c r="BC125" s="0" t="n">
        <v>0.0154104218292767</v>
      </c>
      <c r="BD125" s="0" t="n">
        <v>0.0174255795534277</v>
      </c>
      <c r="BE125" s="0" t="n">
        <v>0.0150218267504712</v>
      </c>
      <c r="BF125" s="0" t="n">
        <v>0.0186444856335353</v>
      </c>
      <c r="BG125" s="0" t="n">
        <v>0.0137527841043926</v>
      </c>
      <c r="BH125" s="0" t="n">
        <v>0.0025558042780725</v>
      </c>
      <c r="BI125" s="0" t="n">
        <v>0.0233800267742043</v>
      </c>
      <c r="BJ125" s="0" t="n">
        <v>0.0005949626390372</v>
      </c>
      <c r="BK125" s="0" t="n">
        <v>0.0169178869662575</v>
      </c>
      <c r="BL125" s="0" t="n">
        <v>0.0484048885837233</v>
      </c>
      <c r="BM125" s="0" t="n">
        <v>0.0160206693014755</v>
      </c>
      <c r="BN125" s="0" t="n">
        <v>0.0245172629751917</v>
      </c>
      <c r="BO125" s="0" t="n">
        <v>0.0514287924094457</v>
      </c>
      <c r="BP125" s="0" t="n">
        <v>0.02836605411223</v>
      </c>
      <c r="BQ125" s="0" t="n">
        <v>0.0469532373282852</v>
      </c>
      <c r="BR125" s="0" t="n">
        <v>0.0432384256011426</v>
      </c>
      <c r="BS125" s="0" t="n">
        <v>0.00842759015136</v>
      </c>
      <c r="BT125" s="0" t="n">
        <v>0.0542586925327178</v>
      </c>
      <c r="BU125" s="0" t="n">
        <v>0.0375131309347449</v>
      </c>
      <c r="BV125" s="0" t="n">
        <v>0.0641193465262799</v>
      </c>
      <c r="BW125" s="0" t="n">
        <v>0.0429323037088876</v>
      </c>
      <c r="BX125" s="0" t="n">
        <v>0.0160276295821203</v>
      </c>
      <c r="BY125" s="0" t="n">
        <v>0.0460865046992162</v>
      </c>
      <c r="BZ125" s="0" t="n">
        <v>0.0683410336771481</v>
      </c>
      <c r="CA125" s="0" t="n">
        <v>0.0130746381027275</v>
      </c>
      <c r="CB125" s="0" t="n">
        <v>0.0015696129955515</v>
      </c>
      <c r="CC125" s="0" t="n">
        <v>0.0011890089058045</v>
      </c>
      <c r="CD125" s="0" t="n">
        <v>0.0190833021651874</v>
      </c>
      <c r="CE125" s="0" t="n">
        <v>0.0462074321662696</v>
      </c>
      <c r="CF125" s="0" t="n">
        <v>0.0018012348065437</v>
      </c>
      <c r="CG125" s="0" t="n">
        <v>0.0156223511509084</v>
      </c>
      <c r="CH125" s="0" t="n">
        <v>0.0341521465106876</v>
      </c>
      <c r="CI125" s="0" t="n">
        <v>-0.0015660812597556</v>
      </c>
      <c r="CJ125" s="0" t="n">
        <v>-0.0030672760041181</v>
      </c>
      <c r="CK125" s="0" t="n">
        <v>0.0227093324981315</v>
      </c>
      <c r="CL125" s="0" t="n">
        <v>0.0585687072547421</v>
      </c>
      <c r="CM125" s="0" t="n">
        <v>0.0483648908944764</v>
      </c>
      <c r="CN125" s="0" t="n">
        <v>0.0003878894236008</v>
      </c>
      <c r="CO125" s="0" t="n">
        <v>0.0299439096710768</v>
      </c>
      <c r="CP125" s="0" t="n">
        <v>0.0029052469336224</v>
      </c>
      <c r="CQ125" s="0" t="n">
        <v>0.0759089599555909</v>
      </c>
      <c r="CR125" s="0" t="n">
        <v>0.0758097217989824</v>
      </c>
      <c r="CS125" s="0" t="n">
        <v>0.086950837198958</v>
      </c>
      <c r="CT125" s="0" t="n">
        <v>0.0425541620314701</v>
      </c>
      <c r="CU125" s="0" t="n">
        <v>0.0385078463945372</v>
      </c>
      <c r="CV125" s="0" t="n">
        <v>0.0199209073019955</v>
      </c>
      <c r="CW125" s="0" t="n">
        <v>0.0394818350676941</v>
      </c>
      <c r="CX125" s="0" t="n">
        <v>0.0506190090440482</v>
      </c>
      <c r="CY125" s="0" t="n">
        <v>0.0462296537376775</v>
      </c>
      <c r="CZ125" s="0" t="n">
        <v>0.0393376856296288</v>
      </c>
      <c r="DA125" s="0" t="n">
        <v>0.0226190393652849</v>
      </c>
      <c r="DB125" s="0" t="n">
        <v>0.0931175057667394</v>
      </c>
      <c r="DC125" s="0" t="n">
        <v>0.0687404234151205</v>
      </c>
      <c r="DD125" s="0" t="n">
        <v>0.0453879631641138</v>
      </c>
      <c r="DE125" s="0" t="n">
        <v>0.0866204787377406</v>
      </c>
      <c r="DF125" s="0" t="n">
        <v>-0.013885156254233</v>
      </c>
      <c r="DG125" s="0" t="n">
        <v>0.0854508013023969</v>
      </c>
      <c r="DH125" s="0" t="n">
        <v>0.0837538227276547</v>
      </c>
      <c r="DI125" s="0" t="n">
        <v>0.0816486534919174</v>
      </c>
      <c r="DJ125" s="0" t="n">
        <v>0.0402729795398742</v>
      </c>
      <c r="DK125" s="0" t="n">
        <v>0.0993351116362223</v>
      </c>
      <c r="DL125" s="0" t="n">
        <v>0.0331105998804209</v>
      </c>
      <c r="DM125" s="0" t="n">
        <v>0.0716515646548307</v>
      </c>
      <c r="DN125" s="0" t="n">
        <v>0.0272932569600804</v>
      </c>
      <c r="DO125" s="0" t="n">
        <v>0.13983093413306</v>
      </c>
      <c r="DP125" s="0" t="n">
        <v>0.0535327047449651</v>
      </c>
      <c r="DQ125" s="0" t="n">
        <v>0.299295764678632</v>
      </c>
      <c r="DR125" s="0" t="n">
        <v>0.0932963254299003</v>
      </c>
      <c r="DS125" s="0" t="n">
        <v>0.0153948143634669</v>
      </c>
      <c r="DT125" s="0" t="n">
        <v>0.0857390332609694</v>
      </c>
      <c r="DU125" s="0" t="n">
        <v>0.0939989022426483</v>
      </c>
      <c r="DV125" s="0" t="n">
        <v>0.0585673545651541</v>
      </c>
      <c r="DW125" s="0" t="n">
        <v>0.0399001423743187</v>
      </c>
      <c r="DX125" s="0" t="n">
        <v>0.108333339178193</v>
      </c>
      <c r="DY125" s="0" t="n">
        <v>0.0897159494986694</v>
      </c>
      <c r="DZ125" s="0" t="n">
        <v>0.0619305725230976</v>
      </c>
      <c r="EA125" s="0" t="n">
        <v>0.0269689102423848</v>
      </c>
      <c r="EB125" s="0" t="n">
        <v>0.0927308002366343</v>
      </c>
      <c r="EC125" s="0" t="n">
        <v>0.025727252568788</v>
      </c>
      <c r="ED125" s="0" t="n">
        <v>0.0931108228791652</v>
      </c>
      <c r="EE125" s="0" t="n">
        <v>0.142395693776379</v>
      </c>
      <c r="EF125" s="0" t="n">
        <v>0.0973763309968891</v>
      </c>
      <c r="EG125" s="0" t="n">
        <v>0.104786921030459</v>
      </c>
      <c r="EH125" s="0" t="n">
        <v>0.0376536044803892</v>
      </c>
      <c r="EI125" s="0" t="n">
        <v>0.157910587159129</v>
      </c>
      <c r="EJ125" s="0" t="n">
        <v>0.0948712607534991</v>
      </c>
      <c r="EK125" s="0" t="n">
        <v>0.110928577752904</v>
      </c>
      <c r="EL125" s="0" t="n">
        <v>0.131508469115699</v>
      </c>
      <c r="EM125" s="0" t="n">
        <v>0.141852432627367</v>
      </c>
      <c r="EN125" s="0" t="n">
        <v>0.0778797710264627</v>
      </c>
      <c r="EO125" s="0" t="n">
        <v>0.028267091898569</v>
      </c>
      <c r="EP125" s="72" t="n">
        <f aca="false">SUMPRODUCT(B125:EO125,$B$5:$EO$5)</f>
        <v>0.123848069644328</v>
      </c>
      <c r="EQ125" s="72" t="n">
        <f aca="false">SUMIF('Mi portafolio'!$A$8:$A$19,$A125,'Mi portafolio'!$B$8:$B$19)</f>
        <v>0</v>
      </c>
    </row>
    <row r="126" customFormat="false" ht="15" hidden="false" customHeight="false" outlineLevel="0" collapsed="false">
      <c r="A126" s="71" t="s">
        <v>355</v>
      </c>
      <c r="B126" s="0" t="n">
        <v>-0.0043671969540568</v>
      </c>
      <c r="C126" s="0" t="n">
        <v>0.005103347311248</v>
      </c>
      <c r="D126" s="0" t="n">
        <v>-0.0016923859589508</v>
      </c>
      <c r="E126" s="0" t="n">
        <v>0.0127167663440917</v>
      </c>
      <c r="F126" s="0" t="n">
        <v>-0.0092595300838272</v>
      </c>
      <c r="G126" s="0" t="n">
        <v>0.0082031687653401</v>
      </c>
      <c r="H126" s="0" t="n">
        <v>0.0040299841840796</v>
      </c>
      <c r="I126" s="0" t="n">
        <v>-0.0050509671734769</v>
      </c>
      <c r="J126" s="0" t="n">
        <v>0.000608454340758</v>
      </c>
      <c r="K126" s="0" t="n">
        <v>-0.0121104768130452</v>
      </c>
      <c r="L126" s="0" t="n">
        <v>0.0046486466459183</v>
      </c>
      <c r="M126" s="0" t="n">
        <v>0.0273998636983722</v>
      </c>
      <c r="N126" s="0" t="n">
        <v>0.0179269901268956</v>
      </c>
      <c r="O126" s="0" t="n">
        <v>0.0103868128671179</v>
      </c>
      <c r="P126" s="0" t="n">
        <v>-0.0033569786058661</v>
      </c>
      <c r="Q126" s="0" t="n">
        <v>0.0178521896236703</v>
      </c>
      <c r="R126" s="0" t="n">
        <v>-0.0057751234092025</v>
      </c>
      <c r="S126" s="0" t="n">
        <v>-0.0084312204129613</v>
      </c>
      <c r="T126" s="0" t="n">
        <v>0.0283999798602645</v>
      </c>
      <c r="U126" s="0" t="n">
        <v>0.0171962967392559</v>
      </c>
      <c r="V126" s="0" t="n">
        <v>0.0062207489548174</v>
      </c>
      <c r="W126" s="0" t="n">
        <v>0.0115464537329044</v>
      </c>
      <c r="X126" s="0" t="n">
        <v>0.0330258434826459</v>
      </c>
      <c r="Y126" s="0" t="n">
        <v>-0.0006546379486187</v>
      </c>
      <c r="Z126" s="0" t="n">
        <v>0.0178978821999829</v>
      </c>
      <c r="AA126" s="0" t="n">
        <v>0.0079057778875745</v>
      </c>
      <c r="AB126" s="0" t="n">
        <v>-0.0009482446005857</v>
      </c>
      <c r="AC126" s="0" t="n">
        <v>0.0092907939240276</v>
      </c>
      <c r="AD126" s="0" t="n">
        <v>0.0102535430033631</v>
      </c>
      <c r="AE126" s="0" t="n">
        <v>0.0063685222770174</v>
      </c>
      <c r="AF126" s="0" t="n">
        <v>0.0264622059019335</v>
      </c>
      <c r="AG126" s="0" t="n">
        <v>-0.0130397970558706</v>
      </c>
      <c r="AH126" s="0" t="n">
        <v>-0.0089725624654602</v>
      </c>
      <c r="AI126" s="0" t="n">
        <v>0.0118008688769444</v>
      </c>
      <c r="AJ126" s="0" t="n">
        <v>0.0104966265341592</v>
      </c>
      <c r="AK126" s="0" t="n">
        <v>0.017629875665899</v>
      </c>
      <c r="AL126" s="0" t="n">
        <v>0.0105248213294647</v>
      </c>
      <c r="AM126" s="0" t="n">
        <v>0.0260762624901615</v>
      </c>
      <c r="AN126" s="0" t="n">
        <v>0.00610251919944</v>
      </c>
      <c r="AO126" s="0" t="n">
        <v>0.0057459933407134</v>
      </c>
      <c r="AP126" s="0" t="n">
        <v>0.0108915992945139</v>
      </c>
      <c r="AQ126" s="0" t="n">
        <v>0.0098990181837896</v>
      </c>
      <c r="AR126" s="0" t="n">
        <v>0.0323654485000314</v>
      </c>
      <c r="AS126" s="0" t="n">
        <v>0.0132996431637116</v>
      </c>
      <c r="AT126" s="0" t="n">
        <v>0.0234201985553012</v>
      </c>
      <c r="AU126" s="0" t="n">
        <v>-0.0021931631556297</v>
      </c>
      <c r="AV126" s="0" t="n">
        <v>0.0162893870474155</v>
      </c>
      <c r="AW126" s="0" t="n">
        <v>0.0267350780865606</v>
      </c>
      <c r="AX126" s="0" t="n">
        <v>0.0129744676946028</v>
      </c>
      <c r="AY126" s="0" t="n">
        <v>0.0138565096066215</v>
      </c>
      <c r="AZ126" s="0" t="n">
        <v>0.0097840277382448</v>
      </c>
      <c r="BA126" s="0" t="n">
        <v>0.0215071878306203</v>
      </c>
      <c r="BB126" s="0" t="n">
        <v>0.0465671469333078</v>
      </c>
      <c r="BC126" s="0" t="n">
        <v>-0.0025132879105872</v>
      </c>
      <c r="BD126" s="0" t="n">
        <v>0.0117112006080643</v>
      </c>
      <c r="BE126" s="0" t="n">
        <v>0.0216650780236765</v>
      </c>
      <c r="BF126" s="0" t="n">
        <v>0.0219942815066714</v>
      </c>
      <c r="BG126" s="0" t="n">
        <v>0.0260930914591282</v>
      </c>
      <c r="BH126" s="0" t="n">
        <v>0.0269507464092803</v>
      </c>
      <c r="BI126" s="0" t="n">
        <v>0.0270395738279727</v>
      </c>
      <c r="BJ126" s="0" t="n">
        <v>0.0001063884157367</v>
      </c>
      <c r="BK126" s="0" t="n">
        <v>0.0130013901292914</v>
      </c>
      <c r="BL126" s="0" t="n">
        <v>0.0778147148315237</v>
      </c>
      <c r="BM126" s="0" t="n">
        <v>0.0127339847104927</v>
      </c>
      <c r="BN126" s="0" t="n">
        <v>0.0016910042745106</v>
      </c>
      <c r="BO126" s="0" t="n">
        <v>0.0186209612067972</v>
      </c>
      <c r="BP126" s="0" t="n">
        <v>0.0176375295335887</v>
      </c>
      <c r="BQ126" s="0" t="n">
        <v>0.0367758541662599</v>
      </c>
      <c r="BR126" s="0" t="n">
        <v>0.034020901319957</v>
      </c>
      <c r="BS126" s="0" t="n">
        <v>0.0107832383648023</v>
      </c>
      <c r="BT126" s="0" t="n">
        <v>0.0380934493173736</v>
      </c>
      <c r="BU126" s="0" t="n">
        <v>0.0329809735820821</v>
      </c>
      <c r="BV126" s="0" t="n">
        <v>0.0256742494808065</v>
      </c>
      <c r="BW126" s="0" t="n">
        <v>0.0391664759731148</v>
      </c>
      <c r="BX126" s="0" t="n">
        <v>0.0125411297542715</v>
      </c>
      <c r="BY126" s="0" t="n">
        <v>0.0291516078362013</v>
      </c>
      <c r="BZ126" s="0" t="n">
        <v>0.0444155424948761</v>
      </c>
      <c r="CA126" s="0" t="n">
        <v>0.00513317657237</v>
      </c>
      <c r="CB126" s="0" t="n">
        <v>-0.0031729285040406</v>
      </c>
      <c r="CC126" s="0" t="n">
        <v>0.0235562302339729</v>
      </c>
      <c r="CD126" s="0" t="n">
        <v>0.0324022030475658</v>
      </c>
      <c r="CE126" s="0" t="n">
        <v>0.0302551222046144</v>
      </c>
      <c r="CF126" s="0" t="n">
        <v>0.0095618519151492</v>
      </c>
      <c r="CG126" s="0" t="n">
        <v>0.0145485478961087</v>
      </c>
      <c r="CH126" s="0" t="n">
        <v>0.0816633115837458</v>
      </c>
      <c r="CI126" s="0" t="n">
        <v>0.0228470839492729</v>
      </c>
      <c r="CJ126" s="0" t="n">
        <v>0.0206730457943655</v>
      </c>
      <c r="CK126" s="0" t="n">
        <v>-0.0117445975512932</v>
      </c>
      <c r="CL126" s="0" t="n">
        <v>0.0445188998008018</v>
      </c>
      <c r="CM126" s="0" t="n">
        <v>0.0614047092343614</v>
      </c>
      <c r="CN126" s="0" t="n">
        <v>0.0178685602296413</v>
      </c>
      <c r="CO126" s="0" t="n">
        <v>0.009087792193646</v>
      </c>
      <c r="CP126" s="0" t="n">
        <v>0.0246877619774618</v>
      </c>
      <c r="CQ126" s="0" t="n">
        <v>0.0532559106633551</v>
      </c>
      <c r="CR126" s="0" t="n">
        <v>0.0770950853635739</v>
      </c>
      <c r="CS126" s="0" t="n">
        <v>0.0796676721602454</v>
      </c>
      <c r="CT126" s="0" t="n">
        <v>0.0398649830544296</v>
      </c>
      <c r="CU126" s="0" t="n">
        <v>0.0558363172781844</v>
      </c>
      <c r="CV126" s="0" t="n">
        <v>0.0203494648162622</v>
      </c>
      <c r="CW126" s="0" t="n">
        <v>0.0429531578867262</v>
      </c>
      <c r="CX126" s="0" t="n">
        <v>0.0620471710127852</v>
      </c>
      <c r="CY126" s="0" t="n">
        <v>0.0302145671563775</v>
      </c>
      <c r="CZ126" s="0" t="n">
        <v>0.0273824397026964</v>
      </c>
      <c r="DA126" s="0" t="n">
        <v>0.013956046154905</v>
      </c>
      <c r="DB126" s="0" t="n">
        <v>0.0868635618782583</v>
      </c>
      <c r="DC126" s="0" t="n">
        <v>0.0362740646665049</v>
      </c>
      <c r="DD126" s="0" t="n">
        <v>0.0339064657183534</v>
      </c>
      <c r="DE126" s="0" t="n">
        <v>0.147170640388054</v>
      </c>
      <c r="DF126" s="0" t="n">
        <v>0.0192800270269749</v>
      </c>
      <c r="DG126" s="0" t="n">
        <v>0.121367653293487</v>
      </c>
      <c r="DH126" s="0" t="n">
        <v>0.082797690775256</v>
      </c>
      <c r="DI126" s="0" t="n">
        <v>0.0546433978202784</v>
      </c>
      <c r="DJ126" s="0" t="n">
        <v>0.0425989794812178</v>
      </c>
      <c r="DK126" s="0" t="n">
        <v>0.0669957218709813</v>
      </c>
      <c r="DL126" s="0" t="n">
        <v>0.0883403682038568</v>
      </c>
      <c r="DM126" s="0" t="n">
        <v>0.0488879775551579</v>
      </c>
      <c r="DN126" s="0" t="n">
        <v>0.024803203588681</v>
      </c>
      <c r="DO126" s="0" t="n">
        <v>0.0903017208164796</v>
      </c>
      <c r="DP126" s="0" t="n">
        <v>0.0409110819722616</v>
      </c>
      <c r="DQ126" s="0" t="n">
        <v>0.0932963254299003</v>
      </c>
      <c r="DR126" s="0" t="n">
        <v>0.305471258008441</v>
      </c>
      <c r="DS126" s="0" t="n">
        <v>0.0250222737897555</v>
      </c>
      <c r="DT126" s="0" t="n">
        <v>0.0740119327348955</v>
      </c>
      <c r="DU126" s="0" t="n">
        <v>0.10178636839889</v>
      </c>
      <c r="DV126" s="0" t="n">
        <v>0.082716079679775</v>
      </c>
      <c r="DW126" s="0" t="n">
        <v>0.0419283743729623</v>
      </c>
      <c r="DX126" s="0" t="n">
        <v>0.117241482169426</v>
      </c>
      <c r="DY126" s="0" t="n">
        <v>0.0730817668918829</v>
      </c>
      <c r="DZ126" s="0" t="n">
        <v>0.0394977151554177</v>
      </c>
      <c r="EA126" s="0" t="n">
        <v>0.0697973505889083</v>
      </c>
      <c r="EB126" s="0" t="n">
        <v>0.0799647468968911</v>
      </c>
      <c r="EC126" s="0" t="n">
        <v>0.0635014255693751</v>
      </c>
      <c r="ED126" s="0" t="n">
        <v>0.0948538955781515</v>
      </c>
      <c r="EE126" s="0" t="n">
        <v>0.134859751799051</v>
      </c>
      <c r="EF126" s="0" t="n">
        <v>0.153412068304246</v>
      </c>
      <c r="EG126" s="0" t="n">
        <v>0.127623042721839</v>
      </c>
      <c r="EH126" s="0" t="n">
        <v>0.0140681460245491</v>
      </c>
      <c r="EI126" s="0" t="n">
        <v>0.158398824995709</v>
      </c>
      <c r="EJ126" s="0" t="n">
        <v>0.113399906305017</v>
      </c>
      <c r="EK126" s="0" t="n">
        <v>0.149102084592228</v>
      </c>
      <c r="EL126" s="0" t="n">
        <v>0.172635835631451</v>
      </c>
      <c r="EM126" s="0" t="n">
        <v>0.145855689998301</v>
      </c>
      <c r="EN126" s="0" t="n">
        <v>0.137594836668046</v>
      </c>
      <c r="EO126" s="0" t="n">
        <v>0.0798278801859995</v>
      </c>
      <c r="EP126" s="72" t="n">
        <f aca="false">SUMPRODUCT(B126:EO126,$B$5:$EO$5)</f>
        <v>0.133629910335548</v>
      </c>
      <c r="EQ126" s="72" t="n">
        <f aca="false">SUMIF('Mi portafolio'!$A$8:$A$19,$A126,'Mi portafolio'!$B$8:$B$19)</f>
        <v>0</v>
      </c>
    </row>
    <row r="127" customFormat="false" ht="15" hidden="false" customHeight="false" outlineLevel="0" collapsed="false">
      <c r="A127" s="71" t="s">
        <v>356</v>
      </c>
      <c r="B127" s="0" t="n">
        <v>0.0099956625750012</v>
      </c>
      <c r="C127" s="0" t="n">
        <v>-0.0062114529360131</v>
      </c>
      <c r="D127" s="0" t="n">
        <v>0.0039364978367723</v>
      </c>
      <c r="E127" s="0" t="n">
        <v>-0.0010712829637207</v>
      </c>
      <c r="F127" s="0" t="n">
        <v>0.0047379652094658</v>
      </c>
      <c r="G127" s="0" t="n">
        <v>-0.0023617390069091</v>
      </c>
      <c r="H127" s="0" t="n">
        <v>0.0020911187445659</v>
      </c>
      <c r="I127" s="0" t="n">
        <v>0.0082192748809482</v>
      </c>
      <c r="J127" s="0" t="n">
        <v>0.0006511878536357</v>
      </c>
      <c r="K127" s="0" t="n">
        <v>0.0081743366123751</v>
      </c>
      <c r="L127" s="0" t="n">
        <v>0.0045820631071064</v>
      </c>
      <c r="M127" s="0" t="n">
        <v>0.014793941979556</v>
      </c>
      <c r="N127" s="0" t="n">
        <v>0.0075782612902547</v>
      </c>
      <c r="O127" s="0" t="n">
        <v>-0.0093732349967729</v>
      </c>
      <c r="P127" s="0" t="n">
        <v>0.0081844120857622</v>
      </c>
      <c r="Q127" s="0" t="n">
        <v>0.0010367222839849</v>
      </c>
      <c r="R127" s="0" t="n">
        <v>0.00653950884832</v>
      </c>
      <c r="S127" s="0" t="n">
        <v>0.0030776764431101</v>
      </c>
      <c r="T127" s="0" t="n">
        <v>0.030396231542193</v>
      </c>
      <c r="U127" s="0" t="n">
        <v>0.002625644225252</v>
      </c>
      <c r="V127" s="0" t="n">
        <v>-0.0075800775297215</v>
      </c>
      <c r="W127" s="0" t="n">
        <v>0.0036952214459944</v>
      </c>
      <c r="X127" s="0" t="n">
        <v>0.0167673118417984</v>
      </c>
      <c r="Y127" s="0" t="n">
        <v>0.0316037301605098</v>
      </c>
      <c r="Z127" s="0" t="n">
        <v>0.0012987075316202</v>
      </c>
      <c r="AA127" s="0" t="n">
        <v>0.0062300909294863</v>
      </c>
      <c r="AB127" s="0" t="n">
        <v>0.0390734166424002</v>
      </c>
      <c r="AC127" s="0" t="n">
        <v>-0.0093733184444421</v>
      </c>
      <c r="AD127" s="0" t="n">
        <v>-0.0086748420230087</v>
      </c>
      <c r="AE127" s="0" t="n">
        <v>-0.0031247414094018</v>
      </c>
      <c r="AF127" s="0" t="n">
        <v>-0.0057599810021596</v>
      </c>
      <c r="AG127" s="0" t="n">
        <v>-9.2801603653387E-005</v>
      </c>
      <c r="AH127" s="0" t="n">
        <v>0.0006305765757543</v>
      </c>
      <c r="AI127" s="0" t="n">
        <v>-0.0044489928597816</v>
      </c>
      <c r="AJ127" s="0" t="n">
        <v>-0.0163299201582544</v>
      </c>
      <c r="AK127" s="0" t="n">
        <v>-0.0054792071239135</v>
      </c>
      <c r="AL127" s="0" t="n">
        <v>0.0345531605570354</v>
      </c>
      <c r="AM127" s="0" t="n">
        <v>0.0171179736055915</v>
      </c>
      <c r="AN127" s="0" t="n">
        <v>0.0224604388294723</v>
      </c>
      <c r="AO127" s="0" t="n">
        <v>-0.0008341583650824</v>
      </c>
      <c r="AP127" s="0" t="n">
        <v>0.0231849499267189</v>
      </c>
      <c r="AQ127" s="0" t="n">
        <v>-0.0058009451222153</v>
      </c>
      <c r="AR127" s="0" t="n">
        <v>0.023736352440076</v>
      </c>
      <c r="AS127" s="0" t="n">
        <v>0.0024988606245899</v>
      </c>
      <c r="AT127" s="0" t="n">
        <v>0.0430309178572001</v>
      </c>
      <c r="AU127" s="0" t="n">
        <v>-0.0030605194634009</v>
      </c>
      <c r="AV127" s="0" t="n">
        <v>-0.0090719629606056</v>
      </c>
      <c r="AW127" s="0" t="n">
        <v>-0.0087392780857641</v>
      </c>
      <c r="AX127" s="0" t="n">
        <v>0.0041623148429343</v>
      </c>
      <c r="AY127" s="0" t="n">
        <v>0.0121198440448739</v>
      </c>
      <c r="AZ127" s="0" t="n">
        <v>-0.0133931639643453</v>
      </c>
      <c r="BA127" s="0" t="n">
        <v>0.0022450932432296</v>
      </c>
      <c r="BB127" s="0" t="n">
        <v>0.0383619510472038</v>
      </c>
      <c r="BC127" s="0" t="n">
        <v>-0.0125916242197148</v>
      </c>
      <c r="BD127" s="0" t="n">
        <v>-0.0141357101291446</v>
      </c>
      <c r="BE127" s="0" t="n">
        <v>-0.0034088502089293</v>
      </c>
      <c r="BF127" s="0" t="n">
        <v>0.0042809488307537</v>
      </c>
      <c r="BG127" s="0" t="n">
        <v>0.0329958479301272</v>
      </c>
      <c r="BH127" s="0" t="n">
        <v>0.00254169448558</v>
      </c>
      <c r="BI127" s="0" t="n">
        <v>0.013956698581101</v>
      </c>
      <c r="BJ127" s="0" t="n">
        <v>-0.0167602978813573</v>
      </c>
      <c r="BK127" s="0" t="n">
        <v>-0.0002289518358007</v>
      </c>
      <c r="BL127" s="0" t="n">
        <v>0.0040367624652539</v>
      </c>
      <c r="BM127" s="0" t="n">
        <v>0.0264324776999812</v>
      </c>
      <c r="BN127" s="0" t="n">
        <v>0.0093453927708145</v>
      </c>
      <c r="BO127" s="0" t="n">
        <v>0.044228196094101</v>
      </c>
      <c r="BP127" s="0" t="n">
        <v>0.0555048161978052</v>
      </c>
      <c r="BQ127" s="0" t="n">
        <v>-0.0108502237775822</v>
      </c>
      <c r="BR127" s="0" t="n">
        <v>0.0259527609369977</v>
      </c>
      <c r="BS127" s="0" t="n">
        <v>0.0002453657687736</v>
      </c>
      <c r="BT127" s="0" t="n">
        <v>0.0245213862748182</v>
      </c>
      <c r="BU127" s="0" t="n">
        <v>-0.0010644160161561</v>
      </c>
      <c r="BV127" s="0" t="n">
        <v>0.04830054049288</v>
      </c>
      <c r="BW127" s="0" t="n">
        <v>0.0372834079897787</v>
      </c>
      <c r="BX127" s="0" t="n">
        <v>0.0086933183425435</v>
      </c>
      <c r="BY127" s="0" t="n">
        <v>0.0186026128694103</v>
      </c>
      <c r="BZ127" s="0" t="n">
        <v>0.0367281889658198</v>
      </c>
      <c r="CA127" s="0" t="n">
        <v>-0.0127559962156949</v>
      </c>
      <c r="CB127" s="0" t="n">
        <v>0.0050778215005211</v>
      </c>
      <c r="CC127" s="0" t="n">
        <v>0.0311786694323483</v>
      </c>
      <c r="CD127" s="0" t="n">
        <v>0.0863137121018636</v>
      </c>
      <c r="CE127" s="0" t="n">
        <v>0.014569482196701</v>
      </c>
      <c r="CF127" s="0" t="n">
        <v>0.0006632892599225</v>
      </c>
      <c r="CG127" s="0" t="n">
        <v>0.0684672996432288</v>
      </c>
      <c r="CH127" s="0" t="n">
        <v>-0.0189022447597085</v>
      </c>
      <c r="CI127" s="0" t="n">
        <v>0.0036325138295658</v>
      </c>
      <c r="CJ127" s="0" t="n">
        <v>0.0420450880819719</v>
      </c>
      <c r="CK127" s="0" t="n">
        <v>0.0322968956787262</v>
      </c>
      <c r="CL127" s="0" t="n">
        <v>-0.0017414097398134</v>
      </c>
      <c r="CM127" s="0" t="n">
        <v>0.0213568989247237</v>
      </c>
      <c r="CN127" s="0" t="n">
        <v>0.0036878014353011</v>
      </c>
      <c r="CO127" s="0" t="n">
        <v>0.0174338485288211</v>
      </c>
      <c r="CP127" s="0" t="n">
        <v>0.0328445982947589</v>
      </c>
      <c r="CQ127" s="0" t="n">
        <v>0.0403837385848362</v>
      </c>
      <c r="CR127" s="0" t="n">
        <v>0.0182901852608959</v>
      </c>
      <c r="CS127" s="0" t="n">
        <v>-0.0209448332344401</v>
      </c>
      <c r="CT127" s="0" t="n">
        <v>0.0315413520304236</v>
      </c>
      <c r="CU127" s="0" t="n">
        <v>0.0252247256566031</v>
      </c>
      <c r="CV127" s="0" t="n">
        <v>0.0423104444838806</v>
      </c>
      <c r="CW127" s="0" t="n">
        <v>0.0546399015358938</v>
      </c>
      <c r="CX127" s="0" t="n">
        <v>0.0477426199427793</v>
      </c>
      <c r="CY127" s="0" t="n">
        <v>0.0203332456642241</v>
      </c>
      <c r="CZ127" s="0" t="n">
        <v>0.081060186920302</v>
      </c>
      <c r="DA127" s="0" t="n">
        <v>0.0507841546498722</v>
      </c>
      <c r="DB127" s="0" t="n">
        <v>0.0283568134272638</v>
      </c>
      <c r="DC127" s="0" t="n">
        <v>0.00697605910013</v>
      </c>
      <c r="DD127" s="0" t="n">
        <v>0.0762310761992061</v>
      </c>
      <c r="DE127" s="0" t="n">
        <v>-0.002102989281115</v>
      </c>
      <c r="DF127" s="0" t="n">
        <v>0.0756650987327129</v>
      </c>
      <c r="DG127" s="0" t="n">
        <v>-0.0268152493788644</v>
      </c>
      <c r="DH127" s="0" t="n">
        <v>0.0224859980347536</v>
      </c>
      <c r="DI127" s="0" t="n">
        <v>0.0469387107443571</v>
      </c>
      <c r="DJ127" s="0" t="n">
        <v>0.0652843251866861</v>
      </c>
      <c r="DK127" s="0" t="n">
        <v>0.0440585971242713</v>
      </c>
      <c r="DL127" s="0" t="n">
        <v>-0.0423285426977685</v>
      </c>
      <c r="DM127" s="0" t="n">
        <v>0.0509931953400682</v>
      </c>
      <c r="DN127" s="0" t="n">
        <v>0.0811592112479639</v>
      </c>
      <c r="DO127" s="0" t="n">
        <v>0.0258474951916524</v>
      </c>
      <c r="DP127" s="0" t="n">
        <v>0.0749426402377729</v>
      </c>
      <c r="DQ127" s="0" t="n">
        <v>0.0153948143634669</v>
      </c>
      <c r="DR127" s="0" t="n">
        <v>0.0250222737897555</v>
      </c>
      <c r="DS127" s="0" t="n">
        <v>0.285503515051123</v>
      </c>
      <c r="DT127" s="0" t="n">
        <v>0.0705742485726939</v>
      </c>
      <c r="DU127" s="0" t="n">
        <v>0.080955765853271</v>
      </c>
      <c r="DV127" s="0" t="n">
        <v>0.106832379385732</v>
      </c>
      <c r="DW127" s="0" t="n">
        <v>0.0982881717996809</v>
      </c>
      <c r="DX127" s="0" t="n">
        <v>-0.021396785870655</v>
      </c>
      <c r="DY127" s="0" t="n">
        <v>0.124639724490467</v>
      </c>
      <c r="DZ127" s="0" t="n">
        <v>0.0886634372677496</v>
      </c>
      <c r="EA127" s="0" t="n">
        <v>0.032397029027882</v>
      </c>
      <c r="EB127" s="0" t="n">
        <v>0.145532513530271</v>
      </c>
      <c r="EC127" s="0" t="n">
        <v>-0.0321974050312806</v>
      </c>
      <c r="ED127" s="0" t="n">
        <v>-0.0360444739735799</v>
      </c>
      <c r="EE127" s="0" t="n">
        <v>0.0148107581849706</v>
      </c>
      <c r="EF127" s="0" t="n">
        <v>0.0269631752003924</v>
      </c>
      <c r="EG127" s="0" t="n">
        <v>-0.0061857136772529</v>
      </c>
      <c r="EH127" s="0" t="n">
        <v>0.0963574397667765</v>
      </c>
      <c r="EI127" s="0" t="n">
        <v>-0.0186210837620783</v>
      </c>
      <c r="EJ127" s="0" t="n">
        <v>0.0778365762760567</v>
      </c>
      <c r="EK127" s="0" t="n">
        <v>-0.0011288360890945</v>
      </c>
      <c r="EL127" s="0" t="n">
        <v>0.0115229881209987</v>
      </c>
      <c r="EM127" s="0" t="n">
        <v>0.095340833000746</v>
      </c>
      <c r="EN127" s="0" t="n">
        <v>0.105465977051995</v>
      </c>
      <c r="EO127" s="0" t="n">
        <v>0.155486528827821</v>
      </c>
      <c r="EP127" s="72" t="n">
        <f aca="false">SUMPRODUCT(B127:EO127,$B$5:$EO$5)</f>
        <v>-0.0116703209243273</v>
      </c>
      <c r="EQ127" s="72" t="n">
        <f aca="false">SUMIF('Mi portafolio'!$A$8:$A$19,$A127,'Mi portafolio'!$B$8:$B$19)</f>
        <v>0</v>
      </c>
    </row>
    <row r="128" customFormat="false" ht="15" hidden="false" customHeight="false" outlineLevel="0" collapsed="false">
      <c r="A128" s="71" t="s">
        <v>357</v>
      </c>
      <c r="B128" s="0" t="n">
        <v>-0.0114369091160914</v>
      </c>
      <c r="C128" s="0" t="n">
        <v>-0.0037595170709802</v>
      </c>
      <c r="D128" s="0" t="n">
        <v>0.0038725824980734</v>
      </c>
      <c r="E128" s="0" t="n">
        <v>0.0050998068497679</v>
      </c>
      <c r="F128" s="0" t="n">
        <v>-0.0295152929975966</v>
      </c>
      <c r="G128" s="0" t="n">
        <v>-0.005304764787914</v>
      </c>
      <c r="H128" s="0" t="n">
        <v>0.001674204068124</v>
      </c>
      <c r="I128" s="0" t="n">
        <v>-0.0144717126990379</v>
      </c>
      <c r="J128" s="0" t="n">
        <v>-0.0262027097719428</v>
      </c>
      <c r="K128" s="0" t="n">
        <v>-0.0262332780070834</v>
      </c>
      <c r="L128" s="0" t="n">
        <v>0.0029904767938336</v>
      </c>
      <c r="M128" s="0" t="n">
        <v>0.0170429642866441</v>
      </c>
      <c r="N128" s="0" t="n">
        <v>0.00111974092924</v>
      </c>
      <c r="O128" s="0" t="n">
        <v>-0.0025476577156704</v>
      </c>
      <c r="P128" s="0" t="n">
        <v>-0.0206737387776047</v>
      </c>
      <c r="Q128" s="0" t="n">
        <v>-0.0114056231344569</v>
      </c>
      <c r="R128" s="0" t="n">
        <v>-0.0177945679406226</v>
      </c>
      <c r="S128" s="0" t="n">
        <v>-0.0025312767384578</v>
      </c>
      <c r="T128" s="0" t="n">
        <v>0.0204480818331296</v>
      </c>
      <c r="U128" s="0" t="n">
        <v>0.0138539817075624</v>
      </c>
      <c r="V128" s="0" t="n">
        <v>0.0004061563725137</v>
      </c>
      <c r="W128" s="0" t="n">
        <v>-0.0086149214690876</v>
      </c>
      <c r="X128" s="0" t="n">
        <v>0.0185373705015556</v>
      </c>
      <c r="Y128" s="0" t="n">
        <v>-0.0104075015978961</v>
      </c>
      <c r="Z128" s="0" t="n">
        <v>0.008173034996965</v>
      </c>
      <c r="AA128" s="0" t="n">
        <v>-0.0009088971674905</v>
      </c>
      <c r="AB128" s="0" t="n">
        <v>-0.0048818804031464</v>
      </c>
      <c r="AC128" s="0" t="n">
        <v>0.0168152044084666</v>
      </c>
      <c r="AD128" s="0" t="n">
        <v>-0.0144512845879817</v>
      </c>
      <c r="AE128" s="0" t="n">
        <v>0.0064442775879161</v>
      </c>
      <c r="AF128" s="0" t="n">
        <v>0.004284814230714</v>
      </c>
      <c r="AG128" s="0" t="n">
        <v>-0.0272449752447005</v>
      </c>
      <c r="AH128" s="0" t="n">
        <v>-0.0206919077422201</v>
      </c>
      <c r="AI128" s="0" t="n">
        <v>-0.0048420732130965</v>
      </c>
      <c r="AJ128" s="0" t="n">
        <v>0.0059154318889574</v>
      </c>
      <c r="AK128" s="0" t="n">
        <v>0.0019934479288715</v>
      </c>
      <c r="AL128" s="0" t="n">
        <v>0.0060981551835405</v>
      </c>
      <c r="AM128" s="0" t="n">
        <v>0.0136347971246203</v>
      </c>
      <c r="AN128" s="0" t="n">
        <v>-0.0014968914584654</v>
      </c>
      <c r="AO128" s="0" t="n">
        <v>-0.0240118950456245</v>
      </c>
      <c r="AP128" s="0" t="n">
        <v>0.0113144932661384</v>
      </c>
      <c r="AQ128" s="0" t="n">
        <v>-0.0157935430084408</v>
      </c>
      <c r="AR128" s="0" t="n">
        <v>0.0218571421670824</v>
      </c>
      <c r="AS128" s="0" t="n">
        <v>0.0033219506840772</v>
      </c>
      <c r="AT128" s="0" t="n">
        <v>0.034204906332551</v>
      </c>
      <c r="AU128" s="0" t="n">
        <v>-0.0199540996094006</v>
      </c>
      <c r="AV128" s="0" t="n">
        <v>0.0114986621454137</v>
      </c>
      <c r="AW128" s="0" t="n">
        <v>0.0093990406178472</v>
      </c>
      <c r="AX128" s="0" t="n">
        <v>-0.0150244632704239</v>
      </c>
      <c r="AY128" s="0" t="n">
        <v>-0.0030033943465651</v>
      </c>
      <c r="AZ128" s="0" t="n">
        <v>0.0015344431375133</v>
      </c>
      <c r="BA128" s="0" t="n">
        <v>0.0070783633283079</v>
      </c>
      <c r="BB128" s="0" t="n">
        <v>0.0507015599903435</v>
      </c>
      <c r="BC128" s="0" t="n">
        <v>0.0099824970831341</v>
      </c>
      <c r="BD128" s="0" t="n">
        <v>0.0049836015360095</v>
      </c>
      <c r="BE128" s="0" t="n">
        <v>-0.0218200769944752</v>
      </c>
      <c r="BF128" s="0" t="n">
        <v>-0.0011935299899371</v>
      </c>
      <c r="BG128" s="0" t="n">
        <v>0.0238249985623123</v>
      </c>
      <c r="BH128" s="0" t="n">
        <v>0.0253631047317051</v>
      </c>
      <c r="BI128" s="0" t="n">
        <v>0.018246431807577</v>
      </c>
      <c r="BJ128" s="0" t="n">
        <v>-0.0066065675667825</v>
      </c>
      <c r="BK128" s="0" t="n">
        <v>-0.0044547214856693</v>
      </c>
      <c r="BL128" s="0" t="n">
        <v>0.0361615003279394</v>
      </c>
      <c r="BM128" s="0" t="n">
        <v>-0.0024981411878084</v>
      </c>
      <c r="BN128" s="0" t="n">
        <v>-0.0119531784666058</v>
      </c>
      <c r="BO128" s="0" t="n">
        <v>0.0453409553591435</v>
      </c>
      <c r="BP128" s="0" t="n">
        <v>0.0880816170739818</v>
      </c>
      <c r="BQ128" s="0" t="n">
        <v>0.0333589800906681</v>
      </c>
      <c r="BR128" s="0" t="n">
        <v>0.0195974057183737</v>
      </c>
      <c r="BS128" s="0" t="n">
        <v>-0.0066251942521387</v>
      </c>
      <c r="BT128" s="0" t="n">
        <v>0.0291202246018165</v>
      </c>
      <c r="BU128" s="0" t="n">
        <v>0.0175248346635235</v>
      </c>
      <c r="BV128" s="0" t="n">
        <v>0.0523489461592717</v>
      </c>
      <c r="BW128" s="0" t="n">
        <v>0.0288728056820193</v>
      </c>
      <c r="BX128" s="0" t="n">
        <v>-0.0101695637230166</v>
      </c>
      <c r="BY128" s="0" t="n">
        <v>0.0254618603845952</v>
      </c>
      <c r="BZ128" s="0" t="n">
        <v>0.0502785175007707</v>
      </c>
      <c r="CA128" s="0" t="n">
        <v>0.0069493443223477</v>
      </c>
      <c r="CB128" s="0" t="n">
        <v>-0.0177617933004993</v>
      </c>
      <c r="CC128" s="0" t="n">
        <v>0.0158592749032171</v>
      </c>
      <c r="CD128" s="0" t="n">
        <v>0.0482377580467291</v>
      </c>
      <c r="CE128" s="0" t="n">
        <v>0.0493169306808491</v>
      </c>
      <c r="CF128" s="0" t="n">
        <v>-0.0112266549990941</v>
      </c>
      <c r="CG128" s="0" t="n">
        <v>0.0456876117701536</v>
      </c>
      <c r="CH128" s="0" t="n">
        <v>0.0428789034833859</v>
      </c>
      <c r="CI128" s="0" t="n">
        <v>-0.0061318417172153</v>
      </c>
      <c r="CJ128" s="0" t="n">
        <v>0.0082980623301273</v>
      </c>
      <c r="CK128" s="0" t="n">
        <v>0.0101070275021747</v>
      </c>
      <c r="CL128" s="0" t="n">
        <v>0.0314889368408381</v>
      </c>
      <c r="CM128" s="0" t="n">
        <v>0.0927273376542783</v>
      </c>
      <c r="CN128" s="0" t="n">
        <v>0.0202526414248524</v>
      </c>
      <c r="CO128" s="0" t="n">
        <v>0.0208638498656651</v>
      </c>
      <c r="CP128" s="0" t="n">
        <v>0.0183212781382371</v>
      </c>
      <c r="CQ128" s="0" t="n">
        <v>0.041396004179679</v>
      </c>
      <c r="CR128" s="0" t="n">
        <v>0.0940741315329972</v>
      </c>
      <c r="CS128" s="0" t="n">
        <v>0.0492202533011619</v>
      </c>
      <c r="CT128" s="0" t="n">
        <v>0.0628058536188964</v>
      </c>
      <c r="CU128" s="0" t="n">
        <v>0.0476834018345688</v>
      </c>
      <c r="CV128" s="0" t="n">
        <v>0.052487047743463</v>
      </c>
      <c r="CW128" s="0" t="n">
        <v>0.0379405297187246</v>
      </c>
      <c r="CX128" s="0" t="n">
        <v>0.04792137119533</v>
      </c>
      <c r="CY128" s="0" t="n">
        <v>0.0271546112774018</v>
      </c>
      <c r="CZ128" s="0" t="n">
        <v>0.0806374216313276</v>
      </c>
      <c r="DA128" s="0" t="n">
        <v>0.0514905704179502</v>
      </c>
      <c r="DB128" s="0" t="n">
        <v>0.100817326097362</v>
      </c>
      <c r="DC128" s="0" t="n">
        <v>0.0471874685338994</v>
      </c>
      <c r="DD128" s="0" t="n">
        <v>0.0914031758684039</v>
      </c>
      <c r="DE128" s="0" t="n">
        <v>0.0870981122534985</v>
      </c>
      <c r="DF128" s="0" t="n">
        <v>0.0745273132023731</v>
      </c>
      <c r="DG128" s="0" t="n">
        <v>0.0610622528576663</v>
      </c>
      <c r="DH128" s="0" t="n">
        <v>0.118315219083736</v>
      </c>
      <c r="DI128" s="0" t="n">
        <v>0.0499945138230965</v>
      </c>
      <c r="DJ128" s="0" t="n">
        <v>0.0452364800283295</v>
      </c>
      <c r="DK128" s="0" t="n">
        <v>0.0586075145490777</v>
      </c>
      <c r="DL128" s="0" t="n">
        <v>0.0362529675344752</v>
      </c>
      <c r="DM128" s="0" t="n">
        <v>0.0502359190087489</v>
      </c>
      <c r="DN128" s="0" t="n">
        <v>0.0577087587919322</v>
      </c>
      <c r="DO128" s="0" t="n">
        <v>0.0784929896994265</v>
      </c>
      <c r="DP128" s="0" t="n">
        <v>0.0458036294230908</v>
      </c>
      <c r="DQ128" s="0" t="n">
        <v>0.0857390332609694</v>
      </c>
      <c r="DR128" s="0" t="n">
        <v>0.0740119327348955</v>
      </c>
      <c r="DS128" s="0" t="n">
        <v>0.0705742485726939</v>
      </c>
      <c r="DT128" s="0" t="n">
        <v>0.313911053815405</v>
      </c>
      <c r="DU128" s="0" t="n">
        <v>0.146800912765803</v>
      </c>
      <c r="DV128" s="0" t="n">
        <v>0.142108302679096</v>
      </c>
      <c r="DW128" s="0" t="n">
        <v>0.114375710390903</v>
      </c>
      <c r="DX128" s="0" t="n">
        <v>0.0941641444002862</v>
      </c>
      <c r="DY128" s="0" t="n">
        <v>0.116213572919707</v>
      </c>
      <c r="DZ128" s="0" t="n">
        <v>0.126280552166704</v>
      </c>
      <c r="EA128" s="0" t="n">
        <v>0.0717395792717673</v>
      </c>
      <c r="EB128" s="0" t="n">
        <v>0.139100960152649</v>
      </c>
      <c r="EC128" s="0" t="n">
        <v>0.0338624041855665</v>
      </c>
      <c r="ED128" s="0" t="n">
        <v>0.12959093487682</v>
      </c>
      <c r="EE128" s="0" t="n">
        <v>0.138473410245607</v>
      </c>
      <c r="EF128" s="0" t="n">
        <v>0.0349524836359114</v>
      </c>
      <c r="EG128" s="0" t="n">
        <v>0.0975227487712194</v>
      </c>
      <c r="EH128" s="0" t="n">
        <v>0.0786315667502024</v>
      </c>
      <c r="EI128" s="0" t="n">
        <v>0.142737522982465</v>
      </c>
      <c r="EJ128" s="0" t="n">
        <v>0.135284121532317</v>
      </c>
      <c r="EK128" s="0" t="n">
        <v>0.180489824366939</v>
      </c>
      <c r="EL128" s="0" t="n">
        <v>0.187534445125276</v>
      </c>
      <c r="EM128" s="0" t="n">
        <v>0.229724263719732</v>
      </c>
      <c r="EN128" s="0" t="n">
        <v>0.0824444451330404</v>
      </c>
      <c r="EO128" s="0" t="n">
        <v>0.133307107326664</v>
      </c>
      <c r="EP128" s="72" t="n">
        <f aca="false">SUMPRODUCT(B128:EO128,$B$5:$EO$5)</f>
        <v>0.111950480265959</v>
      </c>
      <c r="EQ128" s="72" t="n">
        <f aca="false">SUMIF('Mi portafolio'!$A$8:$A$19,$A128,'Mi portafolio'!$B$8:$B$19)</f>
        <v>0</v>
      </c>
    </row>
    <row r="129" customFormat="false" ht="15" hidden="false" customHeight="false" outlineLevel="0" collapsed="false">
      <c r="A129" s="71" t="s">
        <v>358</v>
      </c>
      <c r="B129" s="0" t="n">
        <v>-0.0005629935788913</v>
      </c>
      <c r="C129" s="0" t="n">
        <v>-0.0051078068180657</v>
      </c>
      <c r="D129" s="0" t="n">
        <v>0.011850069405039</v>
      </c>
      <c r="E129" s="0" t="n">
        <v>0.0147469212726826</v>
      </c>
      <c r="F129" s="0" t="n">
        <v>-0.0138658231279667</v>
      </c>
      <c r="G129" s="0" t="n">
        <v>0.0038593731383931</v>
      </c>
      <c r="H129" s="0" t="n">
        <v>0.0055168920859702</v>
      </c>
      <c r="I129" s="0" t="n">
        <v>0.0002927945283898</v>
      </c>
      <c r="J129" s="0" t="n">
        <v>-0.0132937620333631</v>
      </c>
      <c r="K129" s="0" t="n">
        <v>-0.0071524177054695</v>
      </c>
      <c r="L129" s="0" t="n">
        <v>-0.0016269925789285</v>
      </c>
      <c r="M129" s="0" t="n">
        <v>0.0362619467243674</v>
      </c>
      <c r="N129" s="0" t="n">
        <v>0.014831959153252</v>
      </c>
      <c r="O129" s="0" t="n">
        <v>0.0094571496415327</v>
      </c>
      <c r="P129" s="0" t="n">
        <v>-0.0112465687535362</v>
      </c>
      <c r="Q129" s="0" t="n">
        <v>0.0008908363794911</v>
      </c>
      <c r="R129" s="0" t="n">
        <v>-0.0089268090601424</v>
      </c>
      <c r="S129" s="0" t="n">
        <v>0.007505989973147</v>
      </c>
      <c r="T129" s="0" t="n">
        <v>0.0402527970344544</v>
      </c>
      <c r="U129" s="0" t="n">
        <v>0.0261897357309809</v>
      </c>
      <c r="V129" s="0" t="n">
        <v>0.0056735590095519</v>
      </c>
      <c r="W129" s="0" t="n">
        <v>0.0182340557604919</v>
      </c>
      <c r="X129" s="0" t="n">
        <v>0.0479287022572233</v>
      </c>
      <c r="Y129" s="0" t="n">
        <v>0.0124180779119017</v>
      </c>
      <c r="Z129" s="0" t="n">
        <v>0.0186642565459838</v>
      </c>
      <c r="AA129" s="0" t="n">
        <v>0.0041489642507173</v>
      </c>
      <c r="AB129" s="0" t="n">
        <v>0.0190108940066488</v>
      </c>
      <c r="AC129" s="0" t="n">
        <v>0.0157035502877531</v>
      </c>
      <c r="AD129" s="0" t="n">
        <v>0.011611287623205</v>
      </c>
      <c r="AE129" s="0" t="n">
        <v>0.0214071736728058</v>
      </c>
      <c r="AF129" s="0" t="n">
        <v>0.0222356311666461</v>
      </c>
      <c r="AG129" s="0" t="n">
        <v>-0.0061293727047103</v>
      </c>
      <c r="AH129" s="0" t="n">
        <v>-0.0085487792073527</v>
      </c>
      <c r="AI129" s="0" t="n">
        <v>-0.0157450677956008</v>
      </c>
      <c r="AJ129" s="0" t="n">
        <v>0.0116527022199737</v>
      </c>
      <c r="AK129" s="0" t="n">
        <v>0.0217019691958001</v>
      </c>
      <c r="AL129" s="0" t="n">
        <v>0.0295239610590047</v>
      </c>
      <c r="AM129" s="0" t="n">
        <v>0.0303074316407711</v>
      </c>
      <c r="AN129" s="0" t="n">
        <v>0.0319041605602135</v>
      </c>
      <c r="AO129" s="0" t="n">
        <v>-0.0138544445963654</v>
      </c>
      <c r="AP129" s="0" t="n">
        <v>0.0444903028258448</v>
      </c>
      <c r="AQ129" s="0" t="n">
        <v>-0.0229982578822517</v>
      </c>
      <c r="AR129" s="0" t="n">
        <v>0.0474128678731317</v>
      </c>
      <c r="AS129" s="0" t="n">
        <v>0.0205087940912772</v>
      </c>
      <c r="AT129" s="0" t="n">
        <v>0.0704025664379053</v>
      </c>
      <c r="AU129" s="0" t="n">
        <v>-0.0170573819262155</v>
      </c>
      <c r="AV129" s="0" t="n">
        <v>0.0257769314240849</v>
      </c>
      <c r="AW129" s="0" t="n">
        <v>0.0171702107637789</v>
      </c>
      <c r="AX129" s="0" t="n">
        <v>0.010939846371597</v>
      </c>
      <c r="AY129" s="0" t="n">
        <v>0.0177601091867349</v>
      </c>
      <c r="AZ129" s="0" t="n">
        <v>0.0252936747899734</v>
      </c>
      <c r="BA129" s="0" t="n">
        <v>0.0284621149870213</v>
      </c>
      <c r="BB129" s="0" t="n">
        <v>0.0793698124630277</v>
      </c>
      <c r="BC129" s="0" t="n">
        <v>0.0325909813657623</v>
      </c>
      <c r="BD129" s="0" t="n">
        <v>0.0326323412218271</v>
      </c>
      <c r="BE129" s="0" t="n">
        <v>0.0062007837577838</v>
      </c>
      <c r="BF129" s="0" t="n">
        <v>0.0190665595151579</v>
      </c>
      <c r="BG129" s="0" t="n">
        <v>0.0479450281994752</v>
      </c>
      <c r="BH129" s="0" t="n">
        <v>0.0335136608705806</v>
      </c>
      <c r="BI129" s="0" t="n">
        <v>0.017368503657456</v>
      </c>
      <c r="BJ129" s="0" t="n">
        <v>0.0028069885127246</v>
      </c>
      <c r="BK129" s="0" t="n">
        <v>0.028702321437851</v>
      </c>
      <c r="BL129" s="0" t="n">
        <v>0.0419189350341889</v>
      </c>
      <c r="BM129" s="0" t="n">
        <v>0.0319801465294725</v>
      </c>
      <c r="BN129" s="0" t="n">
        <v>0.0029893731931506</v>
      </c>
      <c r="BO129" s="0" t="n">
        <v>0.0611971672966096</v>
      </c>
      <c r="BP129" s="0" t="n">
        <v>0.0792121880612617</v>
      </c>
      <c r="BQ129" s="0" t="n">
        <v>0.0513771606549805</v>
      </c>
      <c r="BR129" s="0" t="n">
        <v>0.0565667822173251</v>
      </c>
      <c r="BS129" s="0" t="n">
        <v>-0.0239230465442639</v>
      </c>
      <c r="BT129" s="0" t="n">
        <v>0.069804670945142</v>
      </c>
      <c r="BU129" s="0" t="n">
        <v>0.0361583864198093</v>
      </c>
      <c r="BV129" s="0" t="n">
        <v>0.0668325620802395</v>
      </c>
      <c r="BW129" s="0" t="n">
        <v>0.0461411125713914</v>
      </c>
      <c r="BX129" s="0" t="n">
        <v>0.0154143629709276</v>
      </c>
      <c r="BY129" s="0" t="n">
        <v>0.0543051272776074</v>
      </c>
      <c r="BZ129" s="0" t="n">
        <v>0.0829293760551189</v>
      </c>
      <c r="CA129" s="0" t="n">
        <v>0.0226835991264116</v>
      </c>
      <c r="CB129" s="0" t="n">
        <v>-0.0036048235551805</v>
      </c>
      <c r="CC129" s="0" t="n">
        <v>0.0302107824417462</v>
      </c>
      <c r="CD129" s="0" t="n">
        <v>0.0597771923690661</v>
      </c>
      <c r="CE129" s="0" t="n">
        <v>0.0457699451292645</v>
      </c>
      <c r="CF129" s="0" t="n">
        <v>-0.025015281967541</v>
      </c>
      <c r="CG129" s="0" t="n">
        <v>0.0599904919922267</v>
      </c>
      <c r="CH129" s="0" t="n">
        <v>0.0531097584950767</v>
      </c>
      <c r="CI129" s="0" t="n">
        <v>-0.0310431401788328</v>
      </c>
      <c r="CJ129" s="0" t="n">
        <v>0.0407708144739954</v>
      </c>
      <c r="CK129" s="0" t="n">
        <v>0.0378276542172013</v>
      </c>
      <c r="CL129" s="0" t="n">
        <v>0.0546782083855956</v>
      </c>
      <c r="CM129" s="0" t="n">
        <v>0.0998735811034974</v>
      </c>
      <c r="CN129" s="0" t="n">
        <v>0.0169444187122444</v>
      </c>
      <c r="CO129" s="0" t="n">
        <v>0.0365614112911919</v>
      </c>
      <c r="CP129" s="0" t="n">
        <v>0.0373769497806585</v>
      </c>
      <c r="CQ129" s="0" t="n">
        <v>0.0958765914523366</v>
      </c>
      <c r="CR129" s="0" t="n">
        <v>0.0881807763076857</v>
      </c>
      <c r="CS129" s="0" t="n">
        <v>0.0736065384898636</v>
      </c>
      <c r="CT129" s="0" t="n">
        <v>0.0828628200780839</v>
      </c>
      <c r="CU129" s="0" t="n">
        <v>0.0443264752664319</v>
      </c>
      <c r="CV129" s="0" t="n">
        <v>0.0661208869651416</v>
      </c>
      <c r="CW129" s="0" t="n">
        <v>0.0899680569924137</v>
      </c>
      <c r="CX129" s="0" t="n">
        <v>0.115700989974737</v>
      </c>
      <c r="CY129" s="0" t="n">
        <v>0.0790094933984157</v>
      </c>
      <c r="CZ129" s="0" t="n">
        <v>0.0618766202967609</v>
      </c>
      <c r="DA129" s="0" t="n">
        <v>0.0762157838027496</v>
      </c>
      <c r="DB129" s="0" t="n">
        <v>0.125588039800856</v>
      </c>
      <c r="DC129" s="0" t="n">
        <v>0.0644746538006788</v>
      </c>
      <c r="DD129" s="0" t="n">
        <v>0.122171913991188</v>
      </c>
      <c r="DE129" s="0" t="n">
        <v>0.0996550840515646</v>
      </c>
      <c r="DF129" s="0" t="n">
        <v>0.0631686833748894</v>
      </c>
      <c r="DG129" s="0" t="n">
        <v>0.0991611720410062</v>
      </c>
      <c r="DH129" s="0" t="n">
        <v>0.0976534493291362</v>
      </c>
      <c r="DI129" s="0" t="n">
        <v>0.109009351855132</v>
      </c>
      <c r="DJ129" s="0" t="n">
        <v>0.0677307418343638</v>
      </c>
      <c r="DK129" s="0" t="n">
        <v>0.121426633070109</v>
      </c>
      <c r="DL129" s="0" t="n">
        <v>0.0409725819401948</v>
      </c>
      <c r="DM129" s="0" t="n">
        <v>0.0952069032830274</v>
      </c>
      <c r="DN129" s="0" t="n">
        <v>0.071461412872081</v>
      </c>
      <c r="DO129" s="0" t="n">
        <v>0.0846739079189614</v>
      </c>
      <c r="DP129" s="0" t="n">
        <v>0.0824007818842422</v>
      </c>
      <c r="DQ129" s="0" t="n">
        <v>0.0939989022426483</v>
      </c>
      <c r="DR129" s="0" t="n">
        <v>0.10178636839889</v>
      </c>
      <c r="DS129" s="0" t="n">
        <v>0.080955765853271</v>
      </c>
      <c r="DT129" s="0" t="n">
        <v>0.146800912765803</v>
      </c>
      <c r="DU129" s="0" t="n">
        <v>0.312646012476812</v>
      </c>
      <c r="DV129" s="0" t="n">
        <v>0.163062461378681</v>
      </c>
      <c r="DW129" s="0" t="n">
        <v>0.151131432720266</v>
      </c>
      <c r="DX129" s="0" t="n">
        <v>0.11258044619514</v>
      </c>
      <c r="DY129" s="0" t="n">
        <v>0.218268617429696</v>
      </c>
      <c r="DZ129" s="0" t="n">
        <v>0.0948177132566756</v>
      </c>
      <c r="EA129" s="0" t="n">
        <v>0.0988781167493232</v>
      </c>
      <c r="EB129" s="0" t="n">
        <v>0.255712926768533</v>
      </c>
      <c r="EC129" s="0" t="n">
        <v>0.0164998382652873</v>
      </c>
      <c r="ED129" s="0" t="n">
        <v>0.166004634866947</v>
      </c>
      <c r="EE129" s="0" t="n">
        <v>0.154944211633001</v>
      </c>
      <c r="EF129" s="0" t="n">
        <v>0.1249027162494</v>
      </c>
      <c r="EG129" s="0" t="n">
        <v>0.107716283216023</v>
      </c>
      <c r="EH129" s="0" t="n">
        <v>0.129184329279837</v>
      </c>
      <c r="EI129" s="0" t="n">
        <v>0.134433322451575</v>
      </c>
      <c r="EJ129" s="0" t="n">
        <v>0.155806034163816</v>
      </c>
      <c r="EK129" s="0" t="n">
        <v>0.252042000860175</v>
      </c>
      <c r="EL129" s="0" t="n">
        <v>0.243864034284672</v>
      </c>
      <c r="EM129" s="0" t="n">
        <v>0.219745190322574</v>
      </c>
      <c r="EN129" s="0" t="n">
        <v>0.189533443001048</v>
      </c>
      <c r="EO129" s="0" t="n">
        <v>0.260211550360626</v>
      </c>
      <c r="EP129" s="72" t="n">
        <f aca="false">SUMPRODUCT(B129:EO129,$B$5:$EO$5)</f>
        <v>0.113607688304454</v>
      </c>
      <c r="EQ129" s="72" t="n">
        <f aca="false">SUMIF('Mi portafolio'!$A$8:$A$19,$A129,'Mi portafolio'!$B$8:$B$19)</f>
        <v>0</v>
      </c>
    </row>
    <row r="130" customFormat="false" ht="15" hidden="false" customHeight="false" outlineLevel="0" collapsed="false">
      <c r="A130" s="71" t="s">
        <v>359</v>
      </c>
      <c r="B130" s="0" t="n">
        <v>-0.0002589483964343</v>
      </c>
      <c r="C130" s="0" t="n">
        <v>-0.0057341380824433</v>
      </c>
      <c r="D130" s="0" t="n">
        <v>0.006598282486949</v>
      </c>
      <c r="E130" s="0" t="n">
        <v>0.0109259160096223</v>
      </c>
      <c r="F130" s="0" t="n">
        <v>-0.0096546453556181</v>
      </c>
      <c r="G130" s="0" t="n">
        <v>0.0047991055923828</v>
      </c>
      <c r="H130" s="0" t="n">
        <v>0.0021795847268334</v>
      </c>
      <c r="I130" s="0" t="n">
        <v>0.0097114684013596</v>
      </c>
      <c r="J130" s="0" t="n">
        <v>-0.0048452185403958</v>
      </c>
      <c r="K130" s="0" t="n">
        <v>-0.0037545760681748</v>
      </c>
      <c r="L130" s="0" t="n">
        <v>0.0084259673065064</v>
      </c>
      <c r="M130" s="0" t="n">
        <v>0.0214559548572036</v>
      </c>
      <c r="N130" s="0" t="n">
        <v>0.0131970600450093</v>
      </c>
      <c r="O130" s="0" t="n">
        <v>0.0027628340892273</v>
      </c>
      <c r="P130" s="0" t="n">
        <v>0.005834042137384</v>
      </c>
      <c r="Q130" s="0" t="n">
        <v>-0.0028211028816133</v>
      </c>
      <c r="R130" s="0" t="n">
        <v>0.0029429090877712</v>
      </c>
      <c r="S130" s="0" t="n">
        <v>0.0022485546482858</v>
      </c>
      <c r="T130" s="0" t="n">
        <v>0.0156661807615895</v>
      </c>
      <c r="U130" s="0" t="n">
        <v>0.0159489889326668</v>
      </c>
      <c r="V130" s="0" t="n">
        <v>0.000998323841402</v>
      </c>
      <c r="W130" s="0" t="n">
        <v>0.0110457625793596</v>
      </c>
      <c r="X130" s="0" t="n">
        <v>0.0268818803776514</v>
      </c>
      <c r="Y130" s="0" t="n">
        <v>0.027583141279156</v>
      </c>
      <c r="Z130" s="0" t="n">
        <v>0.0078186521999553</v>
      </c>
      <c r="AA130" s="0" t="n">
        <v>-0.0010998255589843</v>
      </c>
      <c r="AB130" s="0" t="n">
        <v>0.0256026172267861</v>
      </c>
      <c r="AC130" s="0" t="n">
        <v>0.0077744689713198</v>
      </c>
      <c r="AD130" s="0" t="n">
        <v>-0.0069357814833252</v>
      </c>
      <c r="AE130" s="0" t="n">
        <v>6.61047834931653E-005</v>
      </c>
      <c r="AF130" s="0" t="n">
        <v>0.0220953501751761</v>
      </c>
      <c r="AG130" s="0" t="n">
        <v>-0.0030307374027372</v>
      </c>
      <c r="AH130" s="0" t="n">
        <v>-0.0024515096133094</v>
      </c>
      <c r="AI130" s="0" t="n">
        <v>0.0034265847051187</v>
      </c>
      <c r="AJ130" s="0" t="n">
        <v>-0.0076183925179139</v>
      </c>
      <c r="AK130" s="0" t="n">
        <v>-0.0011000956984333</v>
      </c>
      <c r="AL130" s="0" t="n">
        <v>0.0345521272594871</v>
      </c>
      <c r="AM130" s="0" t="n">
        <v>0.0212688662289952</v>
      </c>
      <c r="AN130" s="0" t="n">
        <v>0.0144519323493269</v>
      </c>
      <c r="AO130" s="0" t="n">
        <v>-0.0031855995605189</v>
      </c>
      <c r="AP130" s="0" t="n">
        <v>0.0225089643012702</v>
      </c>
      <c r="AQ130" s="0" t="n">
        <v>-0.0036115931157135</v>
      </c>
      <c r="AR130" s="0" t="n">
        <v>0.0232329179401292</v>
      </c>
      <c r="AS130" s="0" t="n">
        <v>0.0066950282652528</v>
      </c>
      <c r="AT130" s="0" t="n">
        <v>0.0391300526535264</v>
      </c>
      <c r="AU130" s="0" t="n">
        <v>0.0010913020068853</v>
      </c>
      <c r="AV130" s="0" t="n">
        <v>0.0240536196598476</v>
      </c>
      <c r="AW130" s="0" t="n">
        <v>0.0064406101349251</v>
      </c>
      <c r="AX130" s="0" t="n">
        <v>0.0123613301903044</v>
      </c>
      <c r="AY130" s="0" t="n">
        <v>0.02389246796895</v>
      </c>
      <c r="AZ130" s="0" t="n">
        <v>0.0095906355275365</v>
      </c>
      <c r="BA130" s="0" t="n">
        <v>0.0115964186425779</v>
      </c>
      <c r="BB130" s="0" t="n">
        <v>0.0441484511524538</v>
      </c>
      <c r="BC130" s="0" t="n">
        <v>0.022432362121524</v>
      </c>
      <c r="BD130" s="0" t="n">
        <v>-0.0066161779122693</v>
      </c>
      <c r="BE130" s="0" t="n">
        <v>-0.0056524409283556</v>
      </c>
      <c r="BF130" s="0" t="n">
        <v>0.0087405395724033</v>
      </c>
      <c r="BG130" s="0" t="n">
        <v>0.0355493156029244</v>
      </c>
      <c r="BH130" s="0" t="n">
        <v>0.0291805733728122</v>
      </c>
      <c r="BI130" s="0" t="n">
        <v>0.0247867683205858</v>
      </c>
      <c r="BJ130" s="0" t="n">
        <v>-0.0143603517873856</v>
      </c>
      <c r="BK130" s="0" t="n">
        <v>0.0088022804051193</v>
      </c>
      <c r="BL130" s="0" t="n">
        <v>0.0146552614409251</v>
      </c>
      <c r="BM130" s="0" t="n">
        <v>0.0155978402547814</v>
      </c>
      <c r="BN130" s="0" t="n">
        <v>-0.0043552979348336</v>
      </c>
      <c r="BO130" s="0" t="n">
        <v>0.0552539869308113</v>
      </c>
      <c r="BP130" s="0" t="n">
        <v>0.0875113272001537</v>
      </c>
      <c r="BQ130" s="0" t="n">
        <v>0.0090137759463826</v>
      </c>
      <c r="BR130" s="0" t="n">
        <v>0.0286895152740155</v>
      </c>
      <c r="BS130" s="0" t="n">
        <v>-0.0059813660014232</v>
      </c>
      <c r="BT130" s="0" t="n">
        <v>0.0296512721981415</v>
      </c>
      <c r="BU130" s="0" t="n">
        <v>0.0239989540788191</v>
      </c>
      <c r="BV130" s="0" t="n">
        <v>0.0566405657445851</v>
      </c>
      <c r="BW130" s="0" t="n">
        <v>0.0390155815104362</v>
      </c>
      <c r="BX130" s="0" t="n">
        <v>0.0017097908365909</v>
      </c>
      <c r="BY130" s="0" t="n">
        <v>0.0313993897341</v>
      </c>
      <c r="BZ130" s="0" t="n">
        <v>0.0469250255185931</v>
      </c>
      <c r="CA130" s="0" t="n">
        <v>0.0180148827441818</v>
      </c>
      <c r="CB130" s="0" t="n">
        <v>-0.0109194171484433</v>
      </c>
      <c r="CC130" s="0" t="n">
        <v>0.0146887525354963</v>
      </c>
      <c r="CD130" s="0" t="n">
        <v>0.0687050618870462</v>
      </c>
      <c r="CE130" s="0" t="n">
        <v>0.0465389143467595</v>
      </c>
      <c r="CF130" s="0" t="n">
        <v>-0.0060315777930142</v>
      </c>
      <c r="CG130" s="0" t="n">
        <v>0.0674834112053608</v>
      </c>
      <c r="CH130" s="0" t="n">
        <v>0.0447049094477639</v>
      </c>
      <c r="CI130" s="0" t="n">
        <v>0.0055868570092756</v>
      </c>
      <c r="CJ130" s="0" t="n">
        <v>0.0516419723360122</v>
      </c>
      <c r="CK130" s="0" t="n">
        <v>0.0186164406504394</v>
      </c>
      <c r="CL130" s="0" t="n">
        <v>0.0171190671028023</v>
      </c>
      <c r="CM130" s="0" t="n">
        <v>0.0725221296204924</v>
      </c>
      <c r="CN130" s="0" t="n">
        <v>0.0058649678283575</v>
      </c>
      <c r="CO130" s="0" t="n">
        <v>0.0037034004507342</v>
      </c>
      <c r="CP130" s="0" t="n">
        <v>0.0437386086029381</v>
      </c>
      <c r="CQ130" s="0" t="n">
        <v>0.0467444664687704</v>
      </c>
      <c r="CR130" s="0" t="n">
        <v>0.053723831350502</v>
      </c>
      <c r="CS130" s="0" t="n">
        <v>0.0317935317544105</v>
      </c>
      <c r="CT130" s="0" t="n">
        <v>0.081478666674811</v>
      </c>
      <c r="CU130" s="0" t="n">
        <v>0.0269896250954084</v>
      </c>
      <c r="CV130" s="0" t="n">
        <v>0.0575393435165773</v>
      </c>
      <c r="CW130" s="0" t="n">
        <v>0.0634244390535866</v>
      </c>
      <c r="CX130" s="0" t="n">
        <v>0.0568927566847475</v>
      </c>
      <c r="CY130" s="0" t="n">
        <v>0.0306942287939973</v>
      </c>
      <c r="CZ130" s="0" t="n">
        <v>0.0925117309967887</v>
      </c>
      <c r="DA130" s="0" t="n">
        <v>0.0484624860633683</v>
      </c>
      <c r="DB130" s="0" t="n">
        <v>0.10346026388973</v>
      </c>
      <c r="DC130" s="0" t="n">
        <v>0.0048891721382131</v>
      </c>
      <c r="DD130" s="0" t="n">
        <v>0.108025781334864</v>
      </c>
      <c r="DE130" s="0" t="n">
        <v>0.0751086781693867</v>
      </c>
      <c r="DF130" s="0" t="n">
        <v>0.127530716551993</v>
      </c>
      <c r="DG130" s="0" t="n">
        <v>0.072041783435571</v>
      </c>
      <c r="DH130" s="0" t="n">
        <v>0.0924974823072187</v>
      </c>
      <c r="DI130" s="0" t="n">
        <v>0.0559916399296178</v>
      </c>
      <c r="DJ130" s="0" t="n">
        <v>0.0297917718032257</v>
      </c>
      <c r="DK130" s="0" t="n">
        <v>0.0589446667087205</v>
      </c>
      <c r="DL130" s="0" t="n">
        <v>0.0104334601367127</v>
      </c>
      <c r="DM130" s="0" t="n">
        <v>0.0493528234856857</v>
      </c>
      <c r="DN130" s="0" t="n">
        <v>0.0856778420618567</v>
      </c>
      <c r="DO130" s="0" t="n">
        <v>0.0688346820635169</v>
      </c>
      <c r="DP130" s="0" t="n">
        <v>0.0545904232385557</v>
      </c>
      <c r="DQ130" s="0" t="n">
        <v>0.0585673545651541</v>
      </c>
      <c r="DR130" s="0" t="n">
        <v>0.082716079679775</v>
      </c>
      <c r="DS130" s="0" t="n">
        <v>0.106832379385732</v>
      </c>
      <c r="DT130" s="0" t="n">
        <v>0.142108302679096</v>
      </c>
      <c r="DU130" s="0" t="n">
        <v>0.163062461378681</v>
      </c>
      <c r="DV130" s="0" t="n">
        <v>0.371658049052175</v>
      </c>
      <c r="DW130" s="0" t="n">
        <v>0.179867699451694</v>
      </c>
      <c r="DX130" s="0" t="n">
        <v>0.0451469448563388</v>
      </c>
      <c r="DY130" s="0" t="n">
        <v>0.145159065313432</v>
      </c>
      <c r="DZ130" s="0" t="n">
        <v>0.145834038610988</v>
      </c>
      <c r="EA130" s="0" t="n">
        <v>0.0584509610024814</v>
      </c>
      <c r="EB130" s="0" t="n">
        <v>0.173392790851209</v>
      </c>
      <c r="EC130" s="0" t="n">
        <v>-0.0186020692902565</v>
      </c>
      <c r="ED130" s="0" t="n">
        <v>0.115800393860435</v>
      </c>
      <c r="EE130" s="0" t="n">
        <v>0.0975211196767976</v>
      </c>
      <c r="EF130" s="0" t="n">
        <v>0.0839710074520839</v>
      </c>
      <c r="EG130" s="0" t="n">
        <v>0.0525415645130611</v>
      </c>
      <c r="EH130" s="0" t="n">
        <v>0.108446696519792</v>
      </c>
      <c r="EI130" s="0" t="n">
        <v>0.0624221146117587</v>
      </c>
      <c r="EJ130" s="0" t="n">
        <v>0.092612445816151</v>
      </c>
      <c r="EK130" s="0" t="n">
        <v>0.126863903020587</v>
      </c>
      <c r="EL130" s="0" t="n">
        <v>0.0991614645050582</v>
      </c>
      <c r="EM130" s="0" t="n">
        <v>0.204341901020406</v>
      </c>
      <c r="EN130" s="0" t="n">
        <v>0.138183179548022</v>
      </c>
      <c r="EO130" s="0" t="n">
        <v>0.149604133215778</v>
      </c>
      <c r="EP130" s="72" t="n">
        <f aca="false">SUMPRODUCT(B130:EO130,$B$5:$EO$5)</f>
        <v>0.0540210223774065</v>
      </c>
      <c r="EQ130" s="72" t="n">
        <f aca="false">SUMIF('Mi portafolio'!$A$8:$A$19,$A130,'Mi portafolio'!$B$8:$B$19)</f>
        <v>0</v>
      </c>
    </row>
    <row r="131" customFormat="false" ht="15" hidden="false" customHeight="false" outlineLevel="0" collapsed="false">
      <c r="A131" s="71" t="s">
        <v>360</v>
      </c>
      <c r="B131" s="0" t="n">
        <v>0.0101929739825912</v>
      </c>
      <c r="C131" s="0" t="n">
        <v>-0.0110045364365097</v>
      </c>
      <c r="D131" s="0" t="n">
        <v>0.0080247809278823</v>
      </c>
      <c r="E131" s="0" t="n">
        <v>0.0021812949654512</v>
      </c>
      <c r="F131" s="0" t="n">
        <v>-0.0046043986160663</v>
      </c>
      <c r="G131" s="0" t="n">
        <v>-0.0092673402318116</v>
      </c>
      <c r="H131" s="0" t="n">
        <v>0.0035686493914892</v>
      </c>
      <c r="I131" s="0" t="n">
        <v>0.021751006982114</v>
      </c>
      <c r="J131" s="0" t="n">
        <v>-0.001386260768647</v>
      </c>
      <c r="K131" s="0" t="n">
        <v>0.0014801474536376</v>
      </c>
      <c r="L131" s="0" t="n">
        <v>-0.0007139519631114</v>
      </c>
      <c r="M131" s="0" t="n">
        <v>0.0297290410913849</v>
      </c>
      <c r="N131" s="0" t="n">
        <v>0.0180326364711425</v>
      </c>
      <c r="O131" s="0" t="n">
        <v>-0.0049436279062677</v>
      </c>
      <c r="P131" s="0" t="n">
        <v>0.0033805038702119</v>
      </c>
      <c r="Q131" s="0" t="n">
        <v>-0.0049416720384495</v>
      </c>
      <c r="R131" s="0" t="n">
        <v>0.0027801047713538</v>
      </c>
      <c r="S131" s="0" t="n">
        <v>0.007900154726836</v>
      </c>
      <c r="T131" s="0" t="n">
        <v>0.0294812989195907</v>
      </c>
      <c r="U131" s="0" t="n">
        <v>0.0151774824383907</v>
      </c>
      <c r="V131" s="0" t="n">
        <v>-0.0043714579857128</v>
      </c>
      <c r="W131" s="0" t="n">
        <v>0.0039322805815144</v>
      </c>
      <c r="X131" s="0" t="n">
        <v>0.0290876680915715</v>
      </c>
      <c r="Y131" s="0" t="n">
        <v>0.0454663432441969</v>
      </c>
      <c r="Z131" s="0" t="n">
        <v>0.0062433564563968</v>
      </c>
      <c r="AA131" s="0" t="n">
        <v>-0.0017908559363621</v>
      </c>
      <c r="AB131" s="0" t="n">
        <v>0.0487904525983428</v>
      </c>
      <c r="AC131" s="0" t="n">
        <v>-0.0057873289176594</v>
      </c>
      <c r="AD131" s="0" t="n">
        <v>-0.0149691830463222</v>
      </c>
      <c r="AE131" s="0" t="n">
        <v>0.0091401118713096</v>
      </c>
      <c r="AF131" s="0" t="n">
        <v>-0.0020030675842793</v>
      </c>
      <c r="AG131" s="0" t="n">
        <v>-0.005518923473687</v>
      </c>
      <c r="AH131" s="0" t="n">
        <v>-0.0168097304678196</v>
      </c>
      <c r="AI131" s="0" t="n">
        <v>-0.0248263803316059</v>
      </c>
      <c r="AJ131" s="0" t="n">
        <v>0.0036174542695598</v>
      </c>
      <c r="AK131" s="0" t="n">
        <v>0.0103727255750856</v>
      </c>
      <c r="AL131" s="0" t="n">
        <v>0.0383469860287666</v>
      </c>
      <c r="AM131" s="0" t="n">
        <v>0.0226830157039413</v>
      </c>
      <c r="AN131" s="0" t="n">
        <v>0.0356219042745147</v>
      </c>
      <c r="AO131" s="0" t="n">
        <v>0.0039721215545365</v>
      </c>
      <c r="AP131" s="0" t="n">
        <v>0.0477806752241286</v>
      </c>
      <c r="AQ131" s="0" t="n">
        <v>-0.0299665021405116</v>
      </c>
      <c r="AR131" s="0" t="n">
        <v>0.0379867938358712</v>
      </c>
      <c r="AS131" s="0" t="n">
        <v>0.0107582372398106</v>
      </c>
      <c r="AT131" s="0" t="n">
        <v>0.066460586511622</v>
      </c>
      <c r="AU131" s="0" t="n">
        <v>-0.0029963776848114</v>
      </c>
      <c r="AV131" s="0" t="n">
        <v>0.0192519774670506</v>
      </c>
      <c r="AW131" s="0" t="n">
        <v>0.0074035474212475</v>
      </c>
      <c r="AX131" s="0" t="n">
        <v>0.0001124368599009</v>
      </c>
      <c r="AY131" s="0" t="n">
        <v>0.0328221159972819</v>
      </c>
      <c r="AZ131" s="0" t="n">
        <v>0.01960981184192</v>
      </c>
      <c r="BA131" s="0" t="n">
        <v>0.0176881543120266</v>
      </c>
      <c r="BB131" s="0" t="n">
        <v>0.0524610832902346</v>
      </c>
      <c r="BC131" s="0" t="n">
        <v>0.0171975319884392</v>
      </c>
      <c r="BD131" s="0" t="n">
        <v>0.0144244972501402</v>
      </c>
      <c r="BE131" s="0" t="n">
        <v>-0.0003512486370464</v>
      </c>
      <c r="BF131" s="0" t="n">
        <v>0.0085737970373251</v>
      </c>
      <c r="BG131" s="0" t="n">
        <v>0.0581474937870406</v>
      </c>
      <c r="BH131" s="0" t="n">
        <v>0.0411533925358657</v>
      </c>
      <c r="BI131" s="0" t="n">
        <v>0.0133025559394101</v>
      </c>
      <c r="BJ131" s="0" t="n">
        <v>-0.0105626444579103</v>
      </c>
      <c r="BK131" s="0" t="n">
        <v>0.0159430895330078</v>
      </c>
      <c r="BL131" s="0" t="n">
        <v>0.0225621725106065</v>
      </c>
      <c r="BM131" s="0" t="n">
        <v>0.0311044933197932</v>
      </c>
      <c r="BN131" s="0" t="n">
        <v>-0.0173891106696305</v>
      </c>
      <c r="BO131" s="0" t="n">
        <v>0.0537171806766405</v>
      </c>
      <c r="BP131" s="0" t="n">
        <v>0.065895930910743</v>
      </c>
      <c r="BQ131" s="0" t="n">
        <v>0.0242506379311096</v>
      </c>
      <c r="BR131" s="0" t="n">
        <v>0.0559886541071665</v>
      </c>
      <c r="BS131" s="0" t="n">
        <v>-0.0275585551515347</v>
      </c>
      <c r="BT131" s="0" t="n">
        <v>0.0375516027635409</v>
      </c>
      <c r="BU131" s="0" t="n">
        <v>0.0287063295558955</v>
      </c>
      <c r="BV131" s="0" t="n">
        <v>0.0536361274678537</v>
      </c>
      <c r="BW131" s="0" t="n">
        <v>0.0387142581289959</v>
      </c>
      <c r="BX131" s="0" t="n">
        <v>0.0205859627606128</v>
      </c>
      <c r="BY131" s="0" t="n">
        <v>0.0566450387697769</v>
      </c>
      <c r="BZ131" s="0" t="n">
        <v>0.0412198630395047</v>
      </c>
      <c r="CA131" s="0" t="n">
        <v>-0.0033732590640841</v>
      </c>
      <c r="CB131" s="0" t="n">
        <v>-0.0166136885225463</v>
      </c>
      <c r="CC131" s="0" t="n">
        <v>0.0233338170563164</v>
      </c>
      <c r="CD131" s="0" t="n">
        <v>0.07826517044427</v>
      </c>
      <c r="CE131" s="0" t="n">
        <v>0.0279692863865494</v>
      </c>
      <c r="CF131" s="0" t="n">
        <v>-0.0381146968186233</v>
      </c>
      <c r="CG131" s="0" t="n">
        <v>0.106867372248768</v>
      </c>
      <c r="CH131" s="0" t="n">
        <v>0.0287643262448958</v>
      </c>
      <c r="CI131" s="0" t="n">
        <v>-0.0261128801001868</v>
      </c>
      <c r="CJ131" s="0" t="n">
        <v>0.0545393865890247</v>
      </c>
      <c r="CK131" s="0" t="n">
        <v>0.0628279727386855</v>
      </c>
      <c r="CL131" s="0" t="n">
        <v>0.034947445151722</v>
      </c>
      <c r="CM131" s="0" t="n">
        <v>0.0647412228107475</v>
      </c>
      <c r="CN131" s="0" t="n">
        <v>-0.0068054651426902</v>
      </c>
      <c r="CO131" s="0" t="n">
        <v>0.0344520304578302</v>
      </c>
      <c r="CP131" s="0" t="n">
        <v>0.0488109370525758</v>
      </c>
      <c r="CQ131" s="0" t="n">
        <v>0.080914980975436</v>
      </c>
      <c r="CR131" s="0" t="n">
        <v>0.0571108149633554</v>
      </c>
      <c r="CS131" s="0" t="n">
        <v>0.0088319021468642</v>
      </c>
      <c r="CT131" s="0" t="n">
        <v>0.0884375442209456</v>
      </c>
      <c r="CU131" s="0" t="n">
        <v>0.0394847757644531</v>
      </c>
      <c r="CV131" s="0" t="n">
        <v>0.0895309228915863</v>
      </c>
      <c r="CW131" s="0" t="n">
        <v>0.0974808238787777</v>
      </c>
      <c r="CX131" s="0" t="n">
        <v>0.0824671908524861</v>
      </c>
      <c r="CY131" s="0" t="n">
        <v>0.0707424305805695</v>
      </c>
      <c r="CZ131" s="0" t="n">
        <v>0.091171707603833</v>
      </c>
      <c r="DA131" s="0" t="n">
        <v>0.103340245484812</v>
      </c>
      <c r="DB131" s="0" t="n">
        <v>0.0780812315957393</v>
      </c>
      <c r="DC131" s="0" t="n">
        <v>0.0493032812235211</v>
      </c>
      <c r="DD131" s="0" t="n">
        <v>0.14496678973667</v>
      </c>
      <c r="DE131" s="0" t="n">
        <v>0.0512339849104925</v>
      </c>
      <c r="DF131" s="0" t="n">
        <v>0.118703448763527</v>
      </c>
      <c r="DG131" s="0" t="n">
        <v>0.0658056965727783</v>
      </c>
      <c r="DH131" s="0" t="n">
        <v>0.0708555212479673</v>
      </c>
      <c r="DI131" s="0" t="n">
        <v>0.0884024845436491</v>
      </c>
      <c r="DJ131" s="0" t="n">
        <v>0.0873407614908266</v>
      </c>
      <c r="DK131" s="0" t="n">
        <v>0.0975323173474595</v>
      </c>
      <c r="DL131" s="0" t="n">
        <v>0.0182354413240339</v>
      </c>
      <c r="DM131" s="0" t="n">
        <v>0.104699449822587</v>
      </c>
      <c r="DN131" s="0" t="n">
        <v>0.101834701007586</v>
      </c>
      <c r="DO131" s="0" t="n">
        <v>0.035000688350462</v>
      </c>
      <c r="DP131" s="0" t="n">
        <v>0.127247258276569</v>
      </c>
      <c r="DQ131" s="0" t="n">
        <v>0.0399001423743187</v>
      </c>
      <c r="DR131" s="0" t="n">
        <v>0.0419283743729623</v>
      </c>
      <c r="DS131" s="0" t="n">
        <v>0.0982881717996809</v>
      </c>
      <c r="DT131" s="0" t="n">
        <v>0.114375710390903</v>
      </c>
      <c r="DU131" s="0" t="n">
        <v>0.151131432720266</v>
      </c>
      <c r="DV131" s="0" t="n">
        <v>0.179867699451694</v>
      </c>
      <c r="DW131" s="0" t="n">
        <v>0.349263111951515</v>
      </c>
      <c r="DX131" s="0" t="n">
        <v>0.0197372942033369</v>
      </c>
      <c r="DY131" s="0" t="n">
        <v>0.19040368354091</v>
      </c>
      <c r="DZ131" s="0" t="n">
        <v>0.13662378555636</v>
      </c>
      <c r="EA131" s="0" t="n">
        <v>0.0893077884242697</v>
      </c>
      <c r="EB131" s="0" t="n">
        <v>0.201892055662585</v>
      </c>
      <c r="EC131" s="0" t="n">
        <v>0.0192958555678234</v>
      </c>
      <c r="ED131" s="0" t="n">
        <v>0.100120688284266</v>
      </c>
      <c r="EE131" s="0" t="n">
        <v>0.0343737511251886</v>
      </c>
      <c r="EF131" s="0" t="n">
        <v>0.0565496717484345</v>
      </c>
      <c r="EG131" s="0" t="n">
        <v>0.0110288943421517</v>
      </c>
      <c r="EH131" s="0" t="n">
        <v>0.193991301135326</v>
      </c>
      <c r="EI131" s="0" t="n">
        <v>0.0205118184103701</v>
      </c>
      <c r="EJ131" s="0" t="n">
        <v>0.107678698659466</v>
      </c>
      <c r="EK131" s="0" t="n">
        <v>0.0802394012055962</v>
      </c>
      <c r="EL131" s="0" t="n">
        <v>0.0893106761608489</v>
      </c>
      <c r="EM131" s="0" t="n">
        <v>0.147902496313415</v>
      </c>
      <c r="EN131" s="0" t="n">
        <v>0.101503347649054</v>
      </c>
      <c r="EO131" s="0" t="n">
        <v>0.111783012119836</v>
      </c>
      <c r="EP131" s="72" t="n">
        <f aca="false">SUMPRODUCT(B131:EO131,$B$5:$EO$5)</f>
        <v>0.0157093360963097</v>
      </c>
      <c r="EQ131" s="72" t="n">
        <f aca="false">SUMIF('Mi portafolio'!$A$8:$A$19,$A131,'Mi portafolio'!$B$8:$B$19)</f>
        <v>0</v>
      </c>
    </row>
    <row r="132" customFormat="false" ht="15" hidden="false" customHeight="false" outlineLevel="0" collapsed="false">
      <c r="A132" s="71" t="s">
        <v>361</v>
      </c>
      <c r="B132" s="0" t="n">
        <v>-0.0142336530469446</v>
      </c>
      <c r="C132" s="0" t="n">
        <v>0.0037068879609088</v>
      </c>
      <c r="D132" s="0" t="n">
        <v>0.0071761368905379</v>
      </c>
      <c r="E132" s="0" t="n">
        <v>0.0059984073839325</v>
      </c>
      <c r="F132" s="0" t="n">
        <v>-0.0231853304241421</v>
      </c>
      <c r="G132" s="0" t="n">
        <v>0.0013202640777873</v>
      </c>
      <c r="H132" s="0" t="n">
        <v>0.0123185930716827</v>
      </c>
      <c r="I132" s="0" t="n">
        <v>-0.019942137604753</v>
      </c>
      <c r="J132" s="0" t="n">
        <v>-0.0160042963309524</v>
      </c>
      <c r="K132" s="0" t="n">
        <v>-0.0209771450790782</v>
      </c>
      <c r="L132" s="0" t="n">
        <v>0.0145204149548279</v>
      </c>
      <c r="M132" s="0" t="n">
        <v>0.0319101648643423</v>
      </c>
      <c r="N132" s="0" t="n">
        <v>-0.0005278313398874</v>
      </c>
      <c r="O132" s="0" t="n">
        <v>0.0046725720945108</v>
      </c>
      <c r="P132" s="0" t="n">
        <v>-0.0113225511585964</v>
      </c>
      <c r="Q132" s="0" t="n">
        <v>0.0048383086522591</v>
      </c>
      <c r="R132" s="0" t="n">
        <v>-0.0295371608363262</v>
      </c>
      <c r="S132" s="0" t="n">
        <v>-0.0089380160766656</v>
      </c>
      <c r="T132" s="0" t="n">
        <v>0.0285695649606003</v>
      </c>
      <c r="U132" s="0" t="n">
        <v>0.0168018177638553</v>
      </c>
      <c r="V132" s="0" t="n">
        <v>0.0044772431012748</v>
      </c>
      <c r="W132" s="0" t="n">
        <v>0.013756232932193</v>
      </c>
      <c r="X132" s="0" t="n">
        <v>0.0370251740949109</v>
      </c>
      <c r="Y132" s="0" t="n">
        <v>-0.0118846493488004</v>
      </c>
      <c r="Z132" s="0" t="n">
        <v>0.0075311375938619</v>
      </c>
      <c r="AA132" s="0" t="n">
        <v>0.0094230662754741</v>
      </c>
      <c r="AB132" s="0" t="n">
        <v>-0.0154883987726621</v>
      </c>
      <c r="AC132" s="0" t="n">
        <v>0.0063697332157771</v>
      </c>
      <c r="AD132" s="0" t="n">
        <v>0.0241041570945277</v>
      </c>
      <c r="AE132" s="0" t="n">
        <v>0.0335363344249029</v>
      </c>
      <c r="AF132" s="0" t="n">
        <v>0.0321051138630861</v>
      </c>
      <c r="AG132" s="0" t="n">
        <v>-0.040862705302035</v>
      </c>
      <c r="AH132" s="0" t="n">
        <v>-0.0383649777249199</v>
      </c>
      <c r="AI132" s="0" t="n">
        <v>-0.0235475392617542</v>
      </c>
      <c r="AJ132" s="0" t="n">
        <v>0.0197048900790911</v>
      </c>
      <c r="AK132" s="0" t="n">
        <v>0.0324319675962576</v>
      </c>
      <c r="AL132" s="0" t="n">
        <v>-0.0040408626099955</v>
      </c>
      <c r="AM132" s="0" t="n">
        <v>0.0126850631098739</v>
      </c>
      <c r="AN132" s="0" t="n">
        <v>0.0207774220256288</v>
      </c>
      <c r="AO132" s="0" t="n">
        <v>-0.0087449886298878</v>
      </c>
      <c r="AP132" s="0" t="n">
        <v>-0.0057257512329337</v>
      </c>
      <c r="AQ132" s="0" t="n">
        <v>-0.0210856335752232</v>
      </c>
      <c r="AR132" s="0" t="n">
        <v>0.0300813478057669</v>
      </c>
      <c r="AS132" s="0" t="n">
        <v>0.0180242430379851</v>
      </c>
      <c r="AT132" s="0" t="n">
        <v>0.028986228402454</v>
      </c>
      <c r="AU132" s="0" t="n">
        <v>-0.010463694494057</v>
      </c>
      <c r="AV132" s="0" t="n">
        <v>0.01601669849929</v>
      </c>
      <c r="AW132" s="0" t="n">
        <v>0.0336348543414471</v>
      </c>
      <c r="AX132" s="0" t="n">
        <v>0.0039362938995756</v>
      </c>
      <c r="AY132" s="0" t="n">
        <v>0.0269753080099836</v>
      </c>
      <c r="AZ132" s="0" t="n">
        <v>0.0582178569448558</v>
      </c>
      <c r="BA132" s="0" t="n">
        <v>0.0479521960026407</v>
      </c>
      <c r="BB132" s="0" t="n">
        <v>0.0742710661861037</v>
      </c>
      <c r="BC132" s="0" t="n">
        <v>0.0199785042780449</v>
      </c>
      <c r="BD132" s="0" t="n">
        <v>0.022983748254871</v>
      </c>
      <c r="BE132" s="0" t="n">
        <v>0.0033989986809378</v>
      </c>
      <c r="BF132" s="0" t="n">
        <v>0.0247845553015916</v>
      </c>
      <c r="BG132" s="0" t="n">
        <v>0.0182611473348395</v>
      </c>
      <c r="BH132" s="0" t="n">
        <v>0.0133154055796645</v>
      </c>
      <c r="BI132" s="0" t="n">
        <v>0.008189619762555</v>
      </c>
      <c r="BJ132" s="0" t="n">
        <v>0.0147093344944111</v>
      </c>
      <c r="BK132" s="0" t="n">
        <v>0.0415387939039574</v>
      </c>
      <c r="BL132" s="0" t="n">
        <v>0.0673027886627489</v>
      </c>
      <c r="BM132" s="0" t="n">
        <v>-0.000400814690674</v>
      </c>
      <c r="BN132" s="0" t="n">
        <v>0.0098010455723009</v>
      </c>
      <c r="BO132" s="0" t="n">
        <v>0.0410827211442398</v>
      </c>
      <c r="BP132" s="0" t="n">
        <v>0.0062143927164573</v>
      </c>
      <c r="BQ132" s="0" t="n">
        <v>0.0641924748694493</v>
      </c>
      <c r="BR132" s="0" t="n">
        <v>0.0397038348807535</v>
      </c>
      <c r="BS132" s="0" t="n">
        <v>-0.0122095530797755</v>
      </c>
      <c r="BT132" s="0" t="n">
        <v>0.0752067857985514</v>
      </c>
      <c r="BU132" s="0" t="n">
        <v>0.027831270917375</v>
      </c>
      <c r="BV132" s="0" t="n">
        <v>0.0444821598956152</v>
      </c>
      <c r="BW132" s="0" t="n">
        <v>0.0159246355589542</v>
      </c>
      <c r="BX132" s="0" t="n">
        <v>-0.0096797619830436</v>
      </c>
      <c r="BY132" s="0" t="n">
        <v>0.0347485139398769</v>
      </c>
      <c r="BZ132" s="0" t="n">
        <v>0.0517562460548505</v>
      </c>
      <c r="CA132" s="0" t="n">
        <v>0.0265918456865898</v>
      </c>
      <c r="CB132" s="0" t="n">
        <v>-0.012916023597361</v>
      </c>
      <c r="CC132" s="0" t="n">
        <v>0.0069969370124861</v>
      </c>
      <c r="CD132" s="0" t="n">
        <v>0.0117825495369329</v>
      </c>
      <c r="CE132" s="0" t="n">
        <v>0.0832528170689726</v>
      </c>
      <c r="CF132" s="0" t="n">
        <v>-0.0214603027094382</v>
      </c>
      <c r="CG132" s="0" t="n">
        <v>0.0188162065955209</v>
      </c>
      <c r="CH132" s="0" t="n">
        <v>0.0917886928344385</v>
      </c>
      <c r="CI132" s="0" t="n">
        <v>-0.0267999210524784</v>
      </c>
      <c r="CJ132" s="0" t="n">
        <v>-0.0301109763512469</v>
      </c>
      <c r="CK132" s="0" t="n">
        <v>-0.002614552382666</v>
      </c>
      <c r="CL132" s="0" t="n">
        <v>0.0360050486467913</v>
      </c>
      <c r="CM132" s="0" t="n">
        <v>0.106469605921757</v>
      </c>
      <c r="CN132" s="0" t="n">
        <v>0.0237702977731246</v>
      </c>
      <c r="CO132" s="0" t="n">
        <v>0.0304095441428519</v>
      </c>
      <c r="CP132" s="0" t="n">
        <v>0.0137759176262636</v>
      </c>
      <c r="CQ132" s="0" t="n">
        <v>0.0930233511332587</v>
      </c>
      <c r="CR132" s="0" t="n">
        <v>0.169907569834393</v>
      </c>
      <c r="CS132" s="0" t="n">
        <v>0.175071658058025</v>
      </c>
      <c r="CT132" s="0" t="n">
        <v>0.0522535014127894</v>
      </c>
      <c r="CU132" s="0" t="n">
        <v>0.0463647484262637</v>
      </c>
      <c r="CV132" s="0" t="n">
        <v>0.0283855099043869</v>
      </c>
      <c r="CW132" s="0" t="n">
        <v>0.012210078437652</v>
      </c>
      <c r="CX132" s="0" t="n">
        <v>0.0608444598427775</v>
      </c>
      <c r="CY132" s="0" t="n">
        <v>0.0874829155664672</v>
      </c>
      <c r="CZ132" s="0" t="n">
        <v>0.0081250849431654</v>
      </c>
      <c r="DA132" s="0" t="n">
        <v>0.0075381599063916</v>
      </c>
      <c r="DB132" s="0" t="n">
        <v>0.111217102485912</v>
      </c>
      <c r="DC132" s="0" t="n">
        <v>0.0783763498916683</v>
      </c>
      <c r="DD132" s="0" t="n">
        <v>0.0522092113028563</v>
      </c>
      <c r="DE132" s="0" t="n">
        <v>0.155950791135931</v>
      </c>
      <c r="DF132" s="0" t="n">
        <v>-0.0614661999499181</v>
      </c>
      <c r="DG132" s="0" t="n">
        <v>0.0998085981506784</v>
      </c>
      <c r="DH132" s="0" t="n">
        <v>0.151950540669728</v>
      </c>
      <c r="DI132" s="0" t="n">
        <v>0.0912488498352464</v>
      </c>
      <c r="DJ132" s="0" t="n">
        <v>0.0799253841894359</v>
      </c>
      <c r="DK132" s="0" t="n">
        <v>0.117015621426414</v>
      </c>
      <c r="DL132" s="0" t="n">
        <v>0.0732339336760886</v>
      </c>
      <c r="DM132" s="0" t="n">
        <v>0.0996037429674757</v>
      </c>
      <c r="DN132" s="0" t="n">
        <v>0.0194946048533081</v>
      </c>
      <c r="DO132" s="0" t="n">
        <v>0.126132297952229</v>
      </c>
      <c r="DP132" s="0" t="n">
        <v>0.069793792444837</v>
      </c>
      <c r="DQ132" s="0" t="n">
        <v>0.108333339178193</v>
      </c>
      <c r="DR132" s="0" t="n">
        <v>0.117241482169426</v>
      </c>
      <c r="DS132" s="0" t="n">
        <v>-0.021396785870655</v>
      </c>
      <c r="DT132" s="0" t="n">
        <v>0.0941641444002862</v>
      </c>
      <c r="DU132" s="0" t="n">
        <v>0.11258044619514</v>
      </c>
      <c r="DV132" s="0" t="n">
        <v>0.0451469448563388</v>
      </c>
      <c r="DW132" s="0" t="n">
        <v>0.0197372942033369</v>
      </c>
      <c r="DX132" s="0" t="n">
        <v>0.357691174435253</v>
      </c>
      <c r="DY132" s="0" t="n">
        <v>0.0730564034283417</v>
      </c>
      <c r="DZ132" s="0" t="n">
        <v>0.0318612194208297</v>
      </c>
      <c r="EA132" s="0" t="n">
        <v>0.0722264313731454</v>
      </c>
      <c r="EB132" s="0" t="n">
        <v>0.105831787554938</v>
      </c>
      <c r="EC132" s="0" t="n">
        <v>0.0579224034732686</v>
      </c>
      <c r="ED132" s="0" t="n">
        <v>0.1287117867358</v>
      </c>
      <c r="EE132" s="0" t="n">
        <v>0.259441296320896</v>
      </c>
      <c r="EF132" s="0" t="n">
        <v>0.103832309476903</v>
      </c>
      <c r="EG132" s="0" t="n">
        <v>0.2769014944809</v>
      </c>
      <c r="EH132" s="0" t="n">
        <v>-0.0035366402542331</v>
      </c>
      <c r="EI132" s="0" t="n">
        <v>0.351616851891849</v>
      </c>
      <c r="EJ132" s="0" t="n">
        <v>0.0914437224008544</v>
      </c>
      <c r="EK132" s="0" t="n">
        <v>0.241612998154906</v>
      </c>
      <c r="EL132" s="0" t="n">
        <v>0.287546779832066</v>
      </c>
      <c r="EM132" s="0" t="n">
        <v>0.0925496558122219</v>
      </c>
      <c r="EN132" s="0" t="n">
        <v>0.025210527638291</v>
      </c>
      <c r="EO132" s="0" t="n">
        <v>0.103279351904021</v>
      </c>
      <c r="EP132" s="72" t="n">
        <f aca="false">SUMPRODUCT(B132:EO132,$B$5:$EO$5)</f>
        <v>0.29165470302017</v>
      </c>
      <c r="EQ132" s="72" t="n">
        <f aca="false">SUMIF('Mi portafolio'!$A$8:$A$19,$A132,'Mi portafolio'!$B$8:$B$19)</f>
        <v>0</v>
      </c>
    </row>
    <row r="133" customFormat="false" ht="15" hidden="false" customHeight="false" outlineLevel="0" collapsed="false">
      <c r="A133" s="71" t="s">
        <v>362</v>
      </c>
      <c r="B133" s="0" t="n">
        <v>0.01507608501963</v>
      </c>
      <c r="C133" s="0" t="n">
        <v>0.0008683206240888</v>
      </c>
      <c r="D133" s="0" t="n">
        <v>0.003441617407604</v>
      </c>
      <c r="E133" s="0" t="n">
        <v>0.0106675628310132</v>
      </c>
      <c r="F133" s="0" t="n">
        <v>0.0005528182198165</v>
      </c>
      <c r="G133" s="0" t="n">
        <v>-0.0052727983382789</v>
      </c>
      <c r="H133" s="0" t="n">
        <v>-0.0060399822099945</v>
      </c>
      <c r="I133" s="0" t="n">
        <v>0.0156098555447144</v>
      </c>
      <c r="J133" s="0" t="n">
        <v>-0.0152057690230946</v>
      </c>
      <c r="K133" s="0" t="n">
        <v>0.001958554600432</v>
      </c>
      <c r="L133" s="0" t="n">
        <v>0.007905246056296</v>
      </c>
      <c r="M133" s="0" t="n">
        <v>0.0469207856204108</v>
      </c>
      <c r="N133" s="0" t="n">
        <v>0.0148186177735949</v>
      </c>
      <c r="O133" s="0" t="n">
        <v>0.0032431177807506</v>
      </c>
      <c r="P133" s="0" t="n">
        <v>0.0031204563609859</v>
      </c>
      <c r="Q133" s="0" t="n">
        <v>0.0053526507984612</v>
      </c>
      <c r="R133" s="0" t="n">
        <v>0.0013807665065771</v>
      </c>
      <c r="S133" s="0" t="n">
        <v>0.0053286290293448</v>
      </c>
      <c r="T133" s="0" t="n">
        <v>0.0451285797039062</v>
      </c>
      <c r="U133" s="0" t="n">
        <v>0.017482347923752</v>
      </c>
      <c r="V133" s="0" t="n">
        <v>0.0118858980378236</v>
      </c>
      <c r="W133" s="0" t="n">
        <v>0.0083292767179927</v>
      </c>
      <c r="X133" s="0" t="n">
        <v>0.0426740955943516</v>
      </c>
      <c r="Y133" s="0" t="n">
        <v>0.0507531319168856</v>
      </c>
      <c r="Z133" s="0" t="n">
        <v>0.0130560141310079</v>
      </c>
      <c r="AA133" s="0" t="n">
        <v>0.0017495564996913</v>
      </c>
      <c r="AB133" s="0" t="n">
        <v>0.0523175813039259</v>
      </c>
      <c r="AC133" s="0" t="n">
        <v>0.0013046535826469</v>
      </c>
      <c r="AD133" s="0" t="n">
        <v>0.0072216604040622</v>
      </c>
      <c r="AE133" s="0" t="n">
        <v>0.0233532801107707</v>
      </c>
      <c r="AF133" s="0" t="n">
        <v>0.0110329567722409</v>
      </c>
      <c r="AG133" s="0" t="n">
        <v>-0.008160250915042</v>
      </c>
      <c r="AH133" s="0" t="n">
        <v>-0.0067522094929137</v>
      </c>
      <c r="AI133" s="0" t="n">
        <v>-0.0230914727919212</v>
      </c>
      <c r="AJ133" s="0" t="n">
        <v>-0.0026888085695939</v>
      </c>
      <c r="AK133" s="0" t="n">
        <v>0.0056620895915715</v>
      </c>
      <c r="AL133" s="0" t="n">
        <v>0.0429274432937002</v>
      </c>
      <c r="AM133" s="0" t="n">
        <v>0.0200377764513079</v>
      </c>
      <c r="AN133" s="0" t="n">
        <v>0.0565221376184841</v>
      </c>
      <c r="AO133" s="0" t="n">
        <v>-0.0023533664841239</v>
      </c>
      <c r="AP133" s="0" t="n">
        <v>0.056665465081452</v>
      </c>
      <c r="AQ133" s="0" t="n">
        <v>-0.02769579498728</v>
      </c>
      <c r="AR133" s="0" t="n">
        <v>0.0457395754039393</v>
      </c>
      <c r="AS133" s="0" t="n">
        <v>0.0114913841173227</v>
      </c>
      <c r="AT133" s="0" t="n">
        <v>0.0922896252264115</v>
      </c>
      <c r="AU133" s="0" t="n">
        <v>-0.0120251279535567</v>
      </c>
      <c r="AV133" s="0" t="n">
        <v>0.020887109847859</v>
      </c>
      <c r="AW133" s="0" t="n">
        <v>0.0209641825525885</v>
      </c>
      <c r="AX133" s="0" t="n">
        <v>0.009199868394412</v>
      </c>
      <c r="AY133" s="0" t="n">
        <v>0.0527048660056976</v>
      </c>
      <c r="AZ133" s="0" t="n">
        <v>0.0280368201129215</v>
      </c>
      <c r="BA133" s="0" t="n">
        <v>0.0364596957970229</v>
      </c>
      <c r="BB133" s="0" t="n">
        <v>0.07826795056449</v>
      </c>
      <c r="BC133" s="0" t="n">
        <v>0.017260252905676</v>
      </c>
      <c r="BD133" s="0" t="n">
        <v>0.0126704818621605</v>
      </c>
      <c r="BE133" s="0" t="n">
        <v>0.009601002120922</v>
      </c>
      <c r="BF133" s="0" t="n">
        <v>0.0200849064701162</v>
      </c>
      <c r="BG133" s="0" t="n">
        <v>0.0669112019947326</v>
      </c>
      <c r="BH133" s="0" t="n">
        <v>0.0233387582660841</v>
      </c>
      <c r="BI133" s="0" t="n">
        <v>0.0352976212478951</v>
      </c>
      <c r="BJ133" s="0" t="n">
        <v>-0.0059865580531646</v>
      </c>
      <c r="BK133" s="0" t="n">
        <v>0.0259016161848112</v>
      </c>
      <c r="BL133" s="0" t="n">
        <v>0.0377786548094518</v>
      </c>
      <c r="BM133" s="0" t="n">
        <v>0.0491320535311885</v>
      </c>
      <c r="BN133" s="0" t="n">
        <v>-0.0100870972861276</v>
      </c>
      <c r="BO133" s="0" t="n">
        <v>0.0608286186894423</v>
      </c>
      <c r="BP133" s="0" t="n">
        <v>0.0753064127472376</v>
      </c>
      <c r="BQ133" s="0" t="n">
        <v>0.0381464236698429</v>
      </c>
      <c r="BR133" s="0" t="n">
        <v>0.0671794507501163</v>
      </c>
      <c r="BS133" s="0" t="n">
        <v>-0.031013363431182</v>
      </c>
      <c r="BT133" s="0" t="n">
        <v>0.0597548748534367</v>
      </c>
      <c r="BU133" s="0" t="n">
        <v>0.0202546821593948</v>
      </c>
      <c r="BV133" s="0" t="n">
        <v>0.0920991822711804</v>
      </c>
      <c r="BW133" s="0" t="n">
        <v>0.0605750109804287</v>
      </c>
      <c r="BX133" s="0" t="n">
        <v>0.0180968299366813</v>
      </c>
      <c r="BY133" s="0" t="n">
        <v>0.0672199481499202</v>
      </c>
      <c r="BZ133" s="0" t="n">
        <v>0.0748595551947811</v>
      </c>
      <c r="CA133" s="0" t="n">
        <v>0.0080812095377043</v>
      </c>
      <c r="CB133" s="0" t="n">
        <v>0.0002955147184422</v>
      </c>
      <c r="CC133" s="0" t="n">
        <v>0.0212027862398042</v>
      </c>
      <c r="CD133" s="0" t="n">
        <v>0.0784507678750455</v>
      </c>
      <c r="CE133" s="0" t="n">
        <v>0.0482720272800917</v>
      </c>
      <c r="CF133" s="0" t="n">
        <v>-0.0308934038599266</v>
      </c>
      <c r="CG133" s="0" t="n">
        <v>0.0968493589846603</v>
      </c>
      <c r="CH133" s="0" t="n">
        <v>0.0330456904578267</v>
      </c>
      <c r="CI133" s="0" t="n">
        <v>-0.0334844025252115</v>
      </c>
      <c r="CJ133" s="0" t="n">
        <v>0.0461466698135767</v>
      </c>
      <c r="CK133" s="0" t="n">
        <v>0.0624047254330186</v>
      </c>
      <c r="CL133" s="0" t="n">
        <v>0.0553385982664997</v>
      </c>
      <c r="CM133" s="0" t="n">
        <v>0.0618245610436627</v>
      </c>
      <c r="CN133" s="0" t="n">
        <v>0.0054282666819424</v>
      </c>
      <c r="CO133" s="0" t="n">
        <v>0.0520894400239467</v>
      </c>
      <c r="CP133" s="0" t="n">
        <v>0.0445778001750891</v>
      </c>
      <c r="CQ133" s="0" t="n">
        <v>0.107241354708109</v>
      </c>
      <c r="CR133" s="0" t="n">
        <v>0.0748552823027976</v>
      </c>
      <c r="CS133" s="0" t="n">
        <v>0.0445660764952707</v>
      </c>
      <c r="CT133" s="0" t="n">
        <v>0.0975432812073954</v>
      </c>
      <c r="CU133" s="0" t="n">
        <v>0.0285096220379845</v>
      </c>
      <c r="CV133" s="0" t="n">
        <v>0.0813305228050161</v>
      </c>
      <c r="CW133" s="0" t="n">
        <v>0.119165094196338</v>
      </c>
      <c r="CX133" s="0" t="n">
        <v>0.102285181934959</v>
      </c>
      <c r="CY133" s="0" t="n">
        <v>0.0971423562677805</v>
      </c>
      <c r="CZ133" s="0" t="n">
        <v>0.0659755833094549</v>
      </c>
      <c r="DA133" s="0" t="n">
        <v>0.0868488411915381</v>
      </c>
      <c r="DB133" s="0" t="n">
        <v>0.113291169020088</v>
      </c>
      <c r="DC133" s="0" t="n">
        <v>0.0782762713741552</v>
      </c>
      <c r="DD133" s="0" t="n">
        <v>0.156842361789819</v>
      </c>
      <c r="DE133" s="0" t="n">
        <v>0.0832195604879216</v>
      </c>
      <c r="DF133" s="0" t="n">
        <v>0.0830189987727747</v>
      </c>
      <c r="DG133" s="0" t="n">
        <v>0.0725468049436759</v>
      </c>
      <c r="DH133" s="0" t="n">
        <v>0.0735216636494096</v>
      </c>
      <c r="DI133" s="0" t="n">
        <v>0.134984464529348</v>
      </c>
      <c r="DJ133" s="0" t="n">
        <v>0.0959564247328376</v>
      </c>
      <c r="DK133" s="0" t="n">
        <v>0.138032913039875</v>
      </c>
      <c r="DL133" s="0" t="n">
        <v>0.0145736982194004</v>
      </c>
      <c r="DM133" s="0" t="n">
        <v>0.121599941238183</v>
      </c>
      <c r="DN133" s="0" t="n">
        <v>0.11615749244147</v>
      </c>
      <c r="DO133" s="0" t="n">
        <v>0.0808431704890874</v>
      </c>
      <c r="DP133" s="0" t="n">
        <v>0.123229360870418</v>
      </c>
      <c r="DQ133" s="0" t="n">
        <v>0.0897159494986694</v>
      </c>
      <c r="DR133" s="0" t="n">
        <v>0.0730817668918829</v>
      </c>
      <c r="DS133" s="0" t="n">
        <v>0.124639724490467</v>
      </c>
      <c r="DT133" s="0" t="n">
        <v>0.116213572919707</v>
      </c>
      <c r="DU133" s="0" t="n">
        <v>0.218268617429696</v>
      </c>
      <c r="DV133" s="0" t="n">
        <v>0.145159065313432</v>
      </c>
      <c r="DW133" s="0" t="n">
        <v>0.19040368354091</v>
      </c>
      <c r="DX133" s="0" t="n">
        <v>0.0730564034283417</v>
      </c>
      <c r="DY133" s="0" t="n">
        <v>0.352262742005983</v>
      </c>
      <c r="DZ133" s="0" t="n">
        <v>0.0946171397118591</v>
      </c>
      <c r="EA133" s="0" t="n">
        <v>0.107684715099943</v>
      </c>
      <c r="EB133" s="0" t="n">
        <v>0.284331332099175</v>
      </c>
      <c r="EC133" s="0" t="n">
        <v>-0.0081522061597191</v>
      </c>
      <c r="ED133" s="0" t="n">
        <v>0.121291652345637</v>
      </c>
      <c r="EE133" s="0" t="n">
        <v>0.101810879740307</v>
      </c>
      <c r="EF133" s="0" t="n">
        <v>0.103384192629996</v>
      </c>
      <c r="EG133" s="0" t="n">
        <v>0.0974071986139183</v>
      </c>
      <c r="EH133" s="0" t="n">
        <v>0.168703449660021</v>
      </c>
      <c r="EI133" s="0" t="n">
        <v>0.106906554929581</v>
      </c>
      <c r="EJ133" s="0" t="n">
        <v>0.105017701563069</v>
      </c>
      <c r="EK133" s="0" t="n">
        <v>0.151187324921258</v>
      </c>
      <c r="EL133" s="0" t="n">
        <v>0.157976607904383</v>
      </c>
      <c r="EM133" s="0" t="n">
        <v>0.135809976739196</v>
      </c>
      <c r="EN133" s="0" t="n">
        <v>0.205600756374266</v>
      </c>
      <c r="EO133" s="0" t="n">
        <v>0.303267512791</v>
      </c>
      <c r="EP133" s="72" t="n">
        <f aca="false">SUMPRODUCT(B133:EO133,$B$5:$EO$5)</f>
        <v>0.0944922135809505</v>
      </c>
      <c r="EQ133" s="72" t="n">
        <f aca="false">SUMIF('Mi portafolio'!$A$8:$A$19,$A133,'Mi portafolio'!$B$8:$B$19)</f>
        <v>0</v>
      </c>
    </row>
    <row r="134" customFormat="false" ht="15" hidden="false" customHeight="false" outlineLevel="0" collapsed="false">
      <c r="A134" s="71" t="s">
        <v>363</v>
      </c>
      <c r="B134" s="0" t="n">
        <v>0.0019944029076682</v>
      </c>
      <c r="C134" s="0" t="n">
        <v>-0.0113253880409351</v>
      </c>
      <c r="D134" s="0" t="n">
        <v>0.0143807316416958</v>
      </c>
      <c r="E134" s="0" t="n">
        <v>0.0041139475626997</v>
      </c>
      <c r="F134" s="0" t="n">
        <v>-0.006490918175492</v>
      </c>
      <c r="G134" s="0" t="n">
        <v>0.0050070601643606</v>
      </c>
      <c r="H134" s="0" t="n">
        <v>0.0054330633027224</v>
      </c>
      <c r="I134" s="0" t="n">
        <v>-0.0011231010082586</v>
      </c>
      <c r="J134" s="0" t="n">
        <v>0.000559755307449</v>
      </c>
      <c r="K134" s="0" t="n">
        <v>-0.0115688900044013</v>
      </c>
      <c r="L134" s="0" t="n">
        <v>0.0129464206332076</v>
      </c>
      <c r="M134" s="0" t="n">
        <v>0.0138644230113666</v>
      </c>
      <c r="N134" s="0" t="n">
        <v>0.0166724228504665</v>
      </c>
      <c r="O134" s="0" t="n">
        <v>-0.0102369315262932</v>
      </c>
      <c r="P134" s="0" t="n">
        <v>0.0009293884510252</v>
      </c>
      <c r="Q134" s="0" t="n">
        <v>0.0063516772701799</v>
      </c>
      <c r="R134" s="0" t="n">
        <v>-0.0069689493717532</v>
      </c>
      <c r="S134" s="0" t="n">
        <v>0.0085268643261765</v>
      </c>
      <c r="T134" s="0" t="n">
        <v>0.0158201539362041</v>
      </c>
      <c r="U134" s="0" t="n">
        <v>0.0103254294797168</v>
      </c>
      <c r="V134" s="0" t="n">
        <v>-0.0121212801412293</v>
      </c>
      <c r="W134" s="0" t="n">
        <v>0.0028990974135188</v>
      </c>
      <c r="X134" s="0" t="n">
        <v>0.0151186165375848</v>
      </c>
      <c r="Y134" s="0" t="n">
        <v>0.0121908341513586</v>
      </c>
      <c r="Z134" s="0" t="n">
        <v>0.0056733713952011</v>
      </c>
      <c r="AA134" s="0" t="n">
        <v>0.0035209255623727</v>
      </c>
      <c r="AB134" s="0" t="n">
        <v>0.012547930836451</v>
      </c>
      <c r="AC134" s="0" t="n">
        <v>-0.0102978047694233</v>
      </c>
      <c r="AD134" s="0" t="n">
        <v>-0.005099006575764</v>
      </c>
      <c r="AE134" s="0" t="n">
        <v>-0.0048054765605773</v>
      </c>
      <c r="AF134" s="0" t="n">
        <v>0.0001649894961211</v>
      </c>
      <c r="AG134" s="0" t="n">
        <v>-0.0122092266436802</v>
      </c>
      <c r="AH134" s="0" t="n">
        <v>-0.0068216839208585</v>
      </c>
      <c r="AI134" s="0" t="n">
        <v>0.0047980325172062</v>
      </c>
      <c r="AJ134" s="0" t="n">
        <v>0.0063201234190028</v>
      </c>
      <c r="AK134" s="0" t="n">
        <v>-0.0108666394390174</v>
      </c>
      <c r="AL134" s="0" t="n">
        <v>0.0238906996698674</v>
      </c>
      <c r="AM134" s="0" t="n">
        <v>0.0274582105992838</v>
      </c>
      <c r="AN134" s="0" t="n">
        <v>0.0047656120030632</v>
      </c>
      <c r="AO134" s="0" t="n">
        <v>-0.0032512575313364</v>
      </c>
      <c r="AP134" s="0" t="n">
        <v>0.0156144238128972</v>
      </c>
      <c r="AQ134" s="0" t="n">
        <v>-0.0065635537406221</v>
      </c>
      <c r="AR134" s="0" t="n">
        <v>0.0181165473103035</v>
      </c>
      <c r="AS134" s="0" t="n">
        <v>0.004544150130141</v>
      </c>
      <c r="AT134" s="0" t="n">
        <v>0.023115527615963</v>
      </c>
      <c r="AU134" s="0" t="n">
        <v>-0.0001365298019313</v>
      </c>
      <c r="AV134" s="0" t="n">
        <v>0.003080883469952</v>
      </c>
      <c r="AW134" s="0" t="n">
        <v>0.0051763931129946</v>
      </c>
      <c r="AX134" s="0" t="n">
        <v>0.0056653557791794</v>
      </c>
      <c r="AY134" s="0" t="n">
        <v>0.007137473557188</v>
      </c>
      <c r="AZ134" s="0" t="n">
        <v>0.002024658106414</v>
      </c>
      <c r="BA134" s="0" t="n">
        <v>0.0011586644466974</v>
      </c>
      <c r="BB134" s="0" t="n">
        <v>0.0349481136010774</v>
      </c>
      <c r="BC134" s="0" t="n">
        <v>0.0094772416541651</v>
      </c>
      <c r="BD134" s="0" t="n">
        <v>0.0121047028919624</v>
      </c>
      <c r="BE134" s="0" t="n">
        <v>-0.0062766640377393</v>
      </c>
      <c r="BF134" s="0" t="n">
        <v>0.0124935768171564</v>
      </c>
      <c r="BG134" s="0" t="n">
        <v>0.044703412295124</v>
      </c>
      <c r="BH134" s="0" t="n">
        <v>0.0215312241687953</v>
      </c>
      <c r="BI134" s="0" t="n">
        <v>0.0156886461277921</v>
      </c>
      <c r="BJ134" s="0" t="n">
        <v>-0.0054425136390654</v>
      </c>
      <c r="BK134" s="0" t="n">
        <v>0.0083522650768972</v>
      </c>
      <c r="BL134" s="0" t="n">
        <v>0.0259845333988981</v>
      </c>
      <c r="BM134" s="0" t="n">
        <v>0.0062032887375681</v>
      </c>
      <c r="BN134" s="0" t="n">
        <v>-0.0104392854488262</v>
      </c>
      <c r="BO134" s="0" t="n">
        <v>0.0343729164680088</v>
      </c>
      <c r="BP134" s="0" t="n">
        <v>0.0679074932305376</v>
      </c>
      <c r="BQ134" s="0" t="n">
        <v>-0.001419342036718</v>
      </c>
      <c r="BR134" s="0" t="n">
        <v>0.0387377742133969</v>
      </c>
      <c r="BS134" s="0" t="n">
        <v>0.0154790379147798</v>
      </c>
      <c r="BT134" s="0" t="n">
        <v>0.001651701566171</v>
      </c>
      <c r="BU134" s="0" t="n">
        <v>0.0101321690548759</v>
      </c>
      <c r="BV134" s="0" t="n">
        <v>0.0484659412311248</v>
      </c>
      <c r="BW134" s="0" t="n">
        <v>0.0426423644271231</v>
      </c>
      <c r="BX134" s="0" t="n">
        <v>0.0369301423338109</v>
      </c>
      <c r="BY134" s="0" t="n">
        <v>0.0155078027907865</v>
      </c>
      <c r="BZ134" s="0" t="n">
        <v>0.0274834916350517</v>
      </c>
      <c r="CA134" s="0" t="n">
        <v>-0.0077977658300843</v>
      </c>
      <c r="CB134" s="0" t="n">
        <v>-0.003827192175139</v>
      </c>
      <c r="CC134" s="0" t="n">
        <v>0.0168232534453536</v>
      </c>
      <c r="CD134" s="0" t="n">
        <v>0.056283867452188</v>
      </c>
      <c r="CE134" s="0" t="n">
        <v>0.0337040465915587</v>
      </c>
      <c r="CF134" s="0" t="n">
        <v>0.0215744752565562</v>
      </c>
      <c r="CG134" s="0" t="n">
        <v>0.0999661100450385</v>
      </c>
      <c r="CH134" s="0" t="n">
        <v>-0.0033929118353985</v>
      </c>
      <c r="CI134" s="0" t="n">
        <v>0.0140459102786965</v>
      </c>
      <c r="CJ134" s="0" t="n">
        <v>0.0323511252832929</v>
      </c>
      <c r="CK134" s="0" t="n">
        <v>0.017883608578926</v>
      </c>
      <c r="CL134" s="0" t="n">
        <v>0.0048471551495634</v>
      </c>
      <c r="CM134" s="0" t="n">
        <v>0.0502085618476513</v>
      </c>
      <c r="CN134" s="0" t="n">
        <v>-0.0061234387932175</v>
      </c>
      <c r="CO134" s="0" t="n">
        <v>0.0107633764763438</v>
      </c>
      <c r="CP134" s="0" t="n">
        <v>0.0727645298101896</v>
      </c>
      <c r="CQ134" s="0" t="n">
        <v>0.0345087592637366</v>
      </c>
      <c r="CR134" s="0" t="n">
        <v>0.0341047501352491</v>
      </c>
      <c r="CS134" s="0" t="n">
        <v>0.002664607597712</v>
      </c>
      <c r="CT134" s="0" t="n">
        <v>0.0822141665641924</v>
      </c>
      <c r="CU134" s="0" t="n">
        <v>0.0265471177182211</v>
      </c>
      <c r="CV134" s="0" t="n">
        <v>0.0215977322728228</v>
      </c>
      <c r="CW134" s="0" t="n">
        <v>0.0445742956953781</v>
      </c>
      <c r="CX134" s="0" t="n">
        <v>0.0188965796574411</v>
      </c>
      <c r="CY134" s="0" t="n">
        <v>0.0097442243313672</v>
      </c>
      <c r="CZ134" s="0" t="n">
        <v>0.145127376433099</v>
      </c>
      <c r="DA134" s="0" t="n">
        <v>0.0569715249642607</v>
      </c>
      <c r="DB134" s="0" t="n">
        <v>0.0652054385292633</v>
      </c>
      <c r="DC134" s="0" t="n">
        <v>0.009856002598136</v>
      </c>
      <c r="DD134" s="0" t="n">
        <v>0.0898227516750997</v>
      </c>
      <c r="DE134" s="0" t="n">
        <v>0.0118252170604527</v>
      </c>
      <c r="DF134" s="0" t="n">
        <v>0.150073056044155</v>
      </c>
      <c r="DG134" s="0" t="n">
        <v>0.0194620971423944</v>
      </c>
      <c r="DH134" s="0" t="n">
        <v>0.0495124450179984</v>
      </c>
      <c r="DI134" s="0" t="n">
        <v>0.0388536560539255</v>
      </c>
      <c r="DJ134" s="0" t="n">
        <v>0.0377970216818627</v>
      </c>
      <c r="DK134" s="0" t="n">
        <v>0.0366762402306257</v>
      </c>
      <c r="DL134" s="0" t="n">
        <v>0.0112955061457508</v>
      </c>
      <c r="DM134" s="0" t="n">
        <v>0.032515792993348</v>
      </c>
      <c r="DN134" s="0" t="n">
        <v>0.0746650761767282</v>
      </c>
      <c r="DO134" s="0" t="n">
        <v>0.0583641645724284</v>
      </c>
      <c r="DP134" s="0" t="n">
        <v>0.0350619765775151</v>
      </c>
      <c r="DQ134" s="0" t="n">
        <v>0.0619305725230976</v>
      </c>
      <c r="DR134" s="0" t="n">
        <v>0.0394977151554177</v>
      </c>
      <c r="DS134" s="0" t="n">
        <v>0.0886634372677496</v>
      </c>
      <c r="DT134" s="0" t="n">
        <v>0.126280552166704</v>
      </c>
      <c r="DU134" s="0" t="n">
        <v>0.0948177132566756</v>
      </c>
      <c r="DV134" s="0" t="n">
        <v>0.145834038610988</v>
      </c>
      <c r="DW134" s="0" t="n">
        <v>0.13662378555636</v>
      </c>
      <c r="DX134" s="0" t="n">
        <v>0.0318612194208297</v>
      </c>
      <c r="DY134" s="0" t="n">
        <v>0.0946171397118591</v>
      </c>
      <c r="DZ134" s="0" t="n">
        <v>0.404633712958647</v>
      </c>
      <c r="EA134" s="0" t="n">
        <v>0.0505173904125099</v>
      </c>
      <c r="EB134" s="0" t="n">
        <v>0.142621738711868</v>
      </c>
      <c r="EC134" s="0" t="n">
        <v>-0.0039973486531509</v>
      </c>
      <c r="ED134" s="0" t="n">
        <v>0.0764342524920362</v>
      </c>
      <c r="EE134" s="0" t="n">
        <v>0.0381343104326932</v>
      </c>
      <c r="EF134" s="0" t="n">
        <v>0.0457367167098557</v>
      </c>
      <c r="EG134" s="0" t="n">
        <v>0.0466516656906897</v>
      </c>
      <c r="EH134" s="0" t="n">
        <v>0.130006755689091</v>
      </c>
      <c r="EI134" s="0" t="n">
        <v>0.0447613014934942</v>
      </c>
      <c r="EJ134" s="0" t="n">
        <v>0.0705734879932535</v>
      </c>
      <c r="EK134" s="0" t="n">
        <v>0.0670133925889466</v>
      </c>
      <c r="EL134" s="0" t="n">
        <v>0.0490471097547928</v>
      </c>
      <c r="EM134" s="0" t="n">
        <v>0.167356596926589</v>
      </c>
      <c r="EN134" s="0" t="n">
        <v>-0.0090602101964173</v>
      </c>
      <c r="EO134" s="0" t="n">
        <v>0.12471499216322</v>
      </c>
      <c r="EP134" s="72" t="n">
        <f aca="false">SUMPRODUCT(B134:EO134,$B$5:$EO$5)</f>
        <v>0.0420105304996215</v>
      </c>
      <c r="EQ134" s="72" t="n">
        <f aca="false">SUMIF('Mi portafolio'!$A$8:$A$19,$A134,'Mi portafolio'!$B$8:$B$19)</f>
        <v>0</v>
      </c>
    </row>
    <row r="135" customFormat="false" ht="15" hidden="false" customHeight="false" outlineLevel="0" collapsed="false">
      <c r="A135" s="71" t="s">
        <v>364</v>
      </c>
      <c r="B135" s="0" t="n">
        <v>0.0002637923440058</v>
      </c>
      <c r="C135" s="0" t="n">
        <v>0.0019410305797934</v>
      </c>
      <c r="D135" s="0" t="n">
        <v>0.0051543283980532</v>
      </c>
      <c r="E135" s="0" t="n">
        <v>0.0060488951797925</v>
      </c>
      <c r="F135" s="0" t="n">
        <v>0.0019174893060884</v>
      </c>
      <c r="G135" s="0" t="n">
        <v>0.004840356164251</v>
      </c>
      <c r="H135" s="0" t="n">
        <v>0.0134284240800197</v>
      </c>
      <c r="I135" s="0" t="n">
        <v>0.0144157486756117</v>
      </c>
      <c r="J135" s="0" t="n">
        <v>0.0019957885984782</v>
      </c>
      <c r="K135" s="0" t="n">
        <v>0.0151683957994569</v>
      </c>
      <c r="L135" s="0" t="n">
        <v>0.0147253361096871</v>
      </c>
      <c r="M135" s="0" t="n">
        <v>0.030289567444101</v>
      </c>
      <c r="N135" s="0" t="n">
        <v>0.0311614445092551</v>
      </c>
      <c r="O135" s="0" t="n">
        <v>0.0078046759593877</v>
      </c>
      <c r="P135" s="0" t="n">
        <v>-0.009548723573636</v>
      </c>
      <c r="Q135" s="0" t="n">
        <v>0.0067437565426057</v>
      </c>
      <c r="R135" s="0" t="n">
        <v>0.0003722890934126</v>
      </c>
      <c r="S135" s="0" t="n">
        <v>0.0095740449591746</v>
      </c>
      <c r="T135" s="0" t="n">
        <v>0.019023641761091</v>
      </c>
      <c r="U135" s="0" t="n">
        <v>0.0130209189561757</v>
      </c>
      <c r="V135" s="0" t="n">
        <v>0.0084685953221771</v>
      </c>
      <c r="W135" s="0" t="n">
        <v>0.0100311474106121</v>
      </c>
      <c r="X135" s="0" t="n">
        <v>0.0129894924507647</v>
      </c>
      <c r="Y135" s="0" t="n">
        <v>0.0102143676917845</v>
      </c>
      <c r="Z135" s="0" t="n">
        <v>0.02361273989763</v>
      </c>
      <c r="AA135" s="0" t="n">
        <v>0.0103767252731091</v>
      </c>
      <c r="AB135" s="0" t="n">
        <v>0.005039051151641</v>
      </c>
      <c r="AC135" s="0" t="n">
        <v>-0.0086894041719126</v>
      </c>
      <c r="AD135" s="0" t="n">
        <v>0.0161291308866502</v>
      </c>
      <c r="AE135" s="0" t="n">
        <v>0.024594206100351</v>
      </c>
      <c r="AF135" s="0" t="n">
        <v>0.0179772021686719</v>
      </c>
      <c r="AG135" s="0" t="n">
        <v>-0.0282009960459521</v>
      </c>
      <c r="AH135" s="0" t="n">
        <v>-0.0209816793017894</v>
      </c>
      <c r="AI135" s="0" t="n">
        <v>-0.0276474025453737</v>
      </c>
      <c r="AJ135" s="0" t="n">
        <v>0.0296027609642302</v>
      </c>
      <c r="AK135" s="0" t="n">
        <v>0.0164254888988133</v>
      </c>
      <c r="AL135" s="0" t="n">
        <v>0.0360592279345662</v>
      </c>
      <c r="AM135" s="0" t="n">
        <v>0.0044977666334804</v>
      </c>
      <c r="AN135" s="0" t="n">
        <v>0.031141285909839</v>
      </c>
      <c r="AO135" s="0" t="n">
        <v>0.018270215855078</v>
      </c>
      <c r="AP135" s="0" t="n">
        <v>0.046236126521334</v>
      </c>
      <c r="AQ135" s="0" t="n">
        <v>-0.0309037007936145</v>
      </c>
      <c r="AR135" s="0" t="n">
        <v>0.020306953621477</v>
      </c>
      <c r="AS135" s="0" t="n">
        <v>0.017726021403394</v>
      </c>
      <c r="AT135" s="0" t="n">
        <v>0.0445555126431242</v>
      </c>
      <c r="AU135" s="0" t="n">
        <v>0.0025430743656125</v>
      </c>
      <c r="AV135" s="0" t="n">
        <v>0.0164844049199667</v>
      </c>
      <c r="AW135" s="0" t="n">
        <v>0.0145224503316686</v>
      </c>
      <c r="AX135" s="0" t="n">
        <v>0.0198006749379429</v>
      </c>
      <c r="AY135" s="0" t="n">
        <v>0.0359688016670858</v>
      </c>
      <c r="AZ135" s="0" t="n">
        <v>0.0386737845781491</v>
      </c>
      <c r="BA135" s="0" t="n">
        <v>0.0334759918702634</v>
      </c>
      <c r="BB135" s="0" t="n">
        <v>0.0379144916220444</v>
      </c>
      <c r="BC135" s="0" t="n">
        <v>0.0156127134451562</v>
      </c>
      <c r="BD135" s="0" t="n">
        <v>0.0198058603444774</v>
      </c>
      <c r="BE135" s="0" t="n">
        <v>0.0271077616081257</v>
      </c>
      <c r="BF135" s="0" t="n">
        <v>0.0190903342900093</v>
      </c>
      <c r="BG135" s="0" t="n">
        <v>0.0438179500214467</v>
      </c>
      <c r="BH135" s="0" t="n">
        <v>0.0239704676381684</v>
      </c>
      <c r="BI135" s="0" t="n">
        <v>-0.0047199489322167</v>
      </c>
      <c r="BJ135" s="0" t="n">
        <v>0.0102299977088231</v>
      </c>
      <c r="BK135" s="0" t="n">
        <v>0.0394250960675087</v>
      </c>
      <c r="BL135" s="0" t="n">
        <v>0.0662878955762236</v>
      </c>
      <c r="BM135" s="0" t="n">
        <v>0.0130012595838933</v>
      </c>
      <c r="BN135" s="0" t="n">
        <v>0.007107925144372</v>
      </c>
      <c r="BO135" s="0" t="n">
        <v>0.0417102907692734</v>
      </c>
      <c r="BP135" s="0" t="n">
        <v>0.0216203631281813</v>
      </c>
      <c r="BQ135" s="0" t="n">
        <v>0.0388878480584126</v>
      </c>
      <c r="BR135" s="0" t="n">
        <v>0.0411562437850428</v>
      </c>
      <c r="BS135" s="0" t="n">
        <v>-0.0372274181716667</v>
      </c>
      <c r="BT135" s="0" t="n">
        <v>0.0582091472665562</v>
      </c>
      <c r="BU135" s="0" t="n">
        <v>0.0202061577637645</v>
      </c>
      <c r="BV135" s="0" t="n">
        <v>0.0266583487379267</v>
      </c>
      <c r="BW135" s="0" t="n">
        <v>0.0277561914194503</v>
      </c>
      <c r="BX135" s="0" t="n">
        <v>0.0242036634661521</v>
      </c>
      <c r="BY135" s="0" t="n">
        <v>0.0448797370038662</v>
      </c>
      <c r="BZ135" s="0" t="n">
        <v>0.0400725905258335</v>
      </c>
      <c r="CA135" s="0" t="n">
        <v>0.0220158761953866</v>
      </c>
      <c r="CB135" s="0" t="n">
        <v>-0.0185359395860861</v>
      </c>
      <c r="CC135" s="0" t="n">
        <v>0.0172130806083581</v>
      </c>
      <c r="CD135" s="0" t="n">
        <v>0.0630668045804572</v>
      </c>
      <c r="CE135" s="0" t="n">
        <v>0.0129060965750587</v>
      </c>
      <c r="CF135" s="0" t="n">
        <v>-0.0333393734512373</v>
      </c>
      <c r="CG135" s="0" t="n">
        <v>0.0737993843672829</v>
      </c>
      <c r="CH135" s="0" t="n">
        <v>0.0727175140761444</v>
      </c>
      <c r="CI135" s="0" t="n">
        <v>-0.0287591219477743</v>
      </c>
      <c r="CJ135" s="0" t="n">
        <v>0.0059422696389761</v>
      </c>
      <c r="CK135" s="0" t="n">
        <v>0.0564679869334122</v>
      </c>
      <c r="CL135" s="0" t="n">
        <v>0.0553144394310273</v>
      </c>
      <c r="CM135" s="0" t="n">
        <v>0.0357190424775852</v>
      </c>
      <c r="CN135" s="0" t="n">
        <v>0.0085544553849829</v>
      </c>
      <c r="CO135" s="0" t="n">
        <v>0.0445365380581286</v>
      </c>
      <c r="CP135" s="0" t="n">
        <v>0.0458897772584322</v>
      </c>
      <c r="CQ135" s="0" t="n">
        <v>0.0667759093712095</v>
      </c>
      <c r="CR135" s="0" t="n">
        <v>0.0623847728358954</v>
      </c>
      <c r="CS135" s="0" t="n">
        <v>0.0542429864049856</v>
      </c>
      <c r="CT135" s="0" t="n">
        <v>0.0586244772889286</v>
      </c>
      <c r="CU135" s="0" t="n">
        <v>0.0557129440700557</v>
      </c>
      <c r="CV135" s="0" t="n">
        <v>0.0567710404317255</v>
      </c>
      <c r="CW135" s="0" t="n">
        <v>0.0551239921276527</v>
      </c>
      <c r="CX135" s="0" t="n">
        <v>0.0621259971121041</v>
      </c>
      <c r="CY135" s="0" t="n">
        <v>0.0671187603536421</v>
      </c>
      <c r="CZ135" s="0" t="n">
        <v>0.000627244231288</v>
      </c>
      <c r="DA135" s="0" t="n">
        <v>0.0383033018442157</v>
      </c>
      <c r="DB135" s="0" t="n">
        <v>0.0702312869395228</v>
      </c>
      <c r="DC135" s="0" t="n">
        <v>0.0588287810694966</v>
      </c>
      <c r="DD135" s="0" t="n">
        <v>0.0711372023835965</v>
      </c>
      <c r="DE135" s="0" t="n">
        <v>0.083581972819376</v>
      </c>
      <c r="DF135" s="0" t="n">
        <v>0.0154077180874956</v>
      </c>
      <c r="DG135" s="0" t="n">
        <v>0.0808903275399316</v>
      </c>
      <c r="DH135" s="0" t="n">
        <v>0.0553829325817522</v>
      </c>
      <c r="DI135" s="0" t="n">
        <v>0.085564026197657</v>
      </c>
      <c r="DJ135" s="0" t="n">
        <v>0.0740458054547085</v>
      </c>
      <c r="DK135" s="0" t="n">
        <v>0.0925497575716327</v>
      </c>
      <c r="DL135" s="0" t="n">
        <v>0.0668583462905988</v>
      </c>
      <c r="DM135" s="0" t="n">
        <v>0.0831596392099485</v>
      </c>
      <c r="DN135" s="0" t="n">
        <v>0.0643641514946667</v>
      </c>
      <c r="DO135" s="0" t="n">
        <v>0.060117897697595</v>
      </c>
      <c r="DP135" s="0" t="n">
        <v>0.0897740701459431</v>
      </c>
      <c r="DQ135" s="0" t="n">
        <v>0.0269689102423848</v>
      </c>
      <c r="DR135" s="0" t="n">
        <v>0.0697973505889083</v>
      </c>
      <c r="DS135" s="0" t="n">
        <v>0.032397029027882</v>
      </c>
      <c r="DT135" s="0" t="n">
        <v>0.0717395792717673</v>
      </c>
      <c r="DU135" s="0" t="n">
        <v>0.0988781167493232</v>
      </c>
      <c r="DV135" s="0" t="n">
        <v>0.0584509610024814</v>
      </c>
      <c r="DW135" s="0" t="n">
        <v>0.0893077884242697</v>
      </c>
      <c r="DX135" s="0" t="n">
        <v>0.0722264313731454</v>
      </c>
      <c r="DY135" s="0" t="n">
        <v>0.107684715099943</v>
      </c>
      <c r="DZ135" s="0" t="n">
        <v>0.0505173904125099</v>
      </c>
      <c r="EA135" s="0" t="n">
        <v>0.44249044923044</v>
      </c>
      <c r="EB135" s="0" t="n">
        <v>0.142309288108988</v>
      </c>
      <c r="EC135" s="0" t="n">
        <v>0.040063711260346</v>
      </c>
      <c r="ED135" s="0" t="n">
        <v>0.107115794628038</v>
      </c>
      <c r="EE135" s="0" t="n">
        <v>0.133246361254796</v>
      </c>
      <c r="EF135" s="0" t="n">
        <v>0.106554372836649</v>
      </c>
      <c r="EG135" s="0" t="n">
        <v>0.117371519060427</v>
      </c>
      <c r="EH135" s="0" t="n">
        <v>0.0292820792543497</v>
      </c>
      <c r="EI135" s="0" t="n">
        <v>0.127850138699427</v>
      </c>
      <c r="EJ135" s="0" t="n">
        <v>0.176758032228214</v>
      </c>
      <c r="EK135" s="0" t="n">
        <v>0.134288313111148</v>
      </c>
      <c r="EL135" s="0" t="n">
        <v>0.163983616874715</v>
      </c>
      <c r="EM135" s="0" t="n">
        <v>0.191688650311358</v>
      </c>
      <c r="EN135" s="0" t="n">
        <v>0.473606829985119</v>
      </c>
      <c r="EO135" s="0" t="n">
        <v>0.140972037138055</v>
      </c>
      <c r="EP135" s="72" t="n">
        <f aca="false">SUMPRODUCT(B135:EO135,$B$5:$EO$5)</f>
        <v>0.113214405895518</v>
      </c>
      <c r="EQ135" s="72" t="n">
        <f aca="false">SUMIF('Mi portafolio'!$A$8:$A$19,$A135,'Mi portafolio'!$B$8:$B$19)</f>
        <v>0</v>
      </c>
    </row>
    <row r="136" customFormat="false" ht="15" hidden="false" customHeight="false" outlineLevel="0" collapsed="false">
      <c r="A136" s="71" t="s">
        <v>365</v>
      </c>
      <c r="B136" s="0" t="n">
        <v>0.0058232922263703</v>
      </c>
      <c r="C136" s="0" t="n">
        <v>-0.0089498034828019</v>
      </c>
      <c r="D136" s="0" t="n">
        <v>0.0060738669459066</v>
      </c>
      <c r="E136" s="0" t="n">
        <v>0.0149635222662477</v>
      </c>
      <c r="F136" s="0" t="n">
        <v>-0.0067294658970314</v>
      </c>
      <c r="G136" s="0" t="n">
        <v>0.001758624335412</v>
      </c>
      <c r="H136" s="0" t="n">
        <v>-0.0005123680666347</v>
      </c>
      <c r="I136" s="0" t="n">
        <v>0.0124949985005927</v>
      </c>
      <c r="J136" s="0" t="n">
        <v>-0.008578489574049</v>
      </c>
      <c r="K136" s="0" t="n">
        <v>-5.91004681035478E-005</v>
      </c>
      <c r="L136" s="0" t="n">
        <v>0.004709027513348</v>
      </c>
      <c r="M136" s="0" t="n">
        <v>0.0517862092892088</v>
      </c>
      <c r="N136" s="0" t="n">
        <v>0.0244026588485154</v>
      </c>
      <c r="O136" s="0" t="n">
        <v>0.0001952286375068</v>
      </c>
      <c r="P136" s="0" t="n">
        <v>0.0007281409137759</v>
      </c>
      <c r="Q136" s="0" t="n">
        <v>0.0060247481338407</v>
      </c>
      <c r="R136" s="0" t="n">
        <v>-0.001848874776821</v>
      </c>
      <c r="S136" s="0" t="n">
        <v>0.0001575946453424</v>
      </c>
      <c r="T136" s="0" t="n">
        <v>0.0543633116879787</v>
      </c>
      <c r="U136" s="0" t="n">
        <v>0.0259537704874547</v>
      </c>
      <c r="V136" s="0" t="n">
        <v>0.0072467574234772</v>
      </c>
      <c r="W136" s="0" t="n">
        <v>0.0067567725085482</v>
      </c>
      <c r="X136" s="0" t="n">
        <v>0.0461093022454602</v>
      </c>
      <c r="Y136" s="0" t="n">
        <v>0.0356634694360848</v>
      </c>
      <c r="Z136" s="0" t="n">
        <v>0.0211855315616213</v>
      </c>
      <c r="AA136" s="0" t="n">
        <v>-0.0017576843991416</v>
      </c>
      <c r="AB136" s="0" t="n">
        <v>0.0376422021130147</v>
      </c>
      <c r="AC136" s="0" t="n">
        <v>0.0065766400644223</v>
      </c>
      <c r="AD136" s="0" t="n">
        <v>0.0010414330708536</v>
      </c>
      <c r="AE136" s="0" t="n">
        <v>0.0221657971552219</v>
      </c>
      <c r="AF136" s="0" t="n">
        <v>0.01168889866785</v>
      </c>
      <c r="AG136" s="0" t="n">
        <v>-0.0139790544221632</v>
      </c>
      <c r="AH136" s="0" t="n">
        <v>-0.0171527352472291</v>
      </c>
      <c r="AI136" s="0" t="n">
        <v>-0.0173116523848</v>
      </c>
      <c r="AJ136" s="0" t="n">
        <v>-0.0017633570747301</v>
      </c>
      <c r="AK136" s="0" t="n">
        <v>0.0169937073724277</v>
      </c>
      <c r="AL136" s="0" t="n">
        <v>0.0438240542798927</v>
      </c>
      <c r="AM136" s="0" t="n">
        <v>0.0329837049127029</v>
      </c>
      <c r="AN136" s="0" t="n">
        <v>0.0546516728779227</v>
      </c>
      <c r="AO136" s="0" t="n">
        <v>0.0002372602655036</v>
      </c>
      <c r="AP136" s="0" t="n">
        <v>0.0538995886956807</v>
      </c>
      <c r="AQ136" s="0" t="n">
        <v>-0.022643914143666</v>
      </c>
      <c r="AR136" s="0" t="n">
        <v>0.0566971770687543</v>
      </c>
      <c r="AS136" s="0" t="n">
        <v>0.0162272029133564</v>
      </c>
      <c r="AT136" s="0" t="n">
        <v>0.0930402758361981</v>
      </c>
      <c r="AU136" s="0" t="n">
        <v>-0.0005461807678667</v>
      </c>
      <c r="AV136" s="0" t="n">
        <v>0.027618292495313</v>
      </c>
      <c r="AW136" s="0" t="n">
        <v>0.0184618798645793</v>
      </c>
      <c r="AX136" s="0" t="n">
        <v>0.0188805957343419</v>
      </c>
      <c r="AY136" s="0" t="n">
        <v>0.0381651299592073</v>
      </c>
      <c r="AZ136" s="0" t="n">
        <v>0.026577144728082</v>
      </c>
      <c r="BA136" s="0" t="n">
        <v>0.0438750691860433</v>
      </c>
      <c r="BB136" s="0" t="n">
        <v>0.0994683977867028</v>
      </c>
      <c r="BC136" s="0" t="n">
        <v>0.0108192783706559</v>
      </c>
      <c r="BD136" s="0" t="n">
        <v>0.007065042598678</v>
      </c>
      <c r="BE136" s="0" t="n">
        <v>0.024415994375404</v>
      </c>
      <c r="BF136" s="0" t="n">
        <v>0.0256043654040245</v>
      </c>
      <c r="BG136" s="0" t="n">
        <v>0.0750750039164144</v>
      </c>
      <c r="BH136" s="0" t="n">
        <v>0.0266387350052882</v>
      </c>
      <c r="BI136" s="0" t="n">
        <v>0.0273200501038096</v>
      </c>
      <c r="BJ136" s="0" t="n">
        <v>-0.0133428495803433</v>
      </c>
      <c r="BK136" s="0" t="n">
        <v>0.0352717332018427</v>
      </c>
      <c r="BL136" s="0" t="n">
        <v>0.0359569419112003</v>
      </c>
      <c r="BM136" s="0" t="n">
        <v>0.0547295809343074</v>
      </c>
      <c r="BN136" s="0" t="n">
        <v>-0.0073647419052319</v>
      </c>
      <c r="BO136" s="0" t="n">
        <v>0.0641580272138834</v>
      </c>
      <c r="BP136" s="0" t="n">
        <v>0.0774288245919384</v>
      </c>
      <c r="BQ136" s="0" t="n">
        <v>0.0304142744165975</v>
      </c>
      <c r="BR136" s="0" t="n">
        <v>0.0713446160732306</v>
      </c>
      <c r="BS136" s="0" t="n">
        <v>-0.0204651453605841</v>
      </c>
      <c r="BT136" s="0" t="n">
        <v>0.0653840400233531</v>
      </c>
      <c r="BU136" s="0" t="n">
        <v>0.0320459107757321</v>
      </c>
      <c r="BV136" s="0" t="n">
        <v>0.0842896866293537</v>
      </c>
      <c r="BW136" s="0" t="n">
        <v>0.0542589001080679</v>
      </c>
      <c r="BX136" s="0" t="n">
        <v>0.0263542609234583</v>
      </c>
      <c r="BY136" s="0" t="n">
        <v>0.0746010354941212</v>
      </c>
      <c r="BZ136" s="0" t="n">
        <v>0.0820501961134589</v>
      </c>
      <c r="CA136" s="0" t="n">
        <v>0.0194715172798181</v>
      </c>
      <c r="CB136" s="0" t="n">
        <v>0.0002856107143145</v>
      </c>
      <c r="CC136" s="0" t="n">
        <v>0.0330267122121589</v>
      </c>
      <c r="CD136" s="0" t="n">
        <v>0.0728898322405389</v>
      </c>
      <c r="CE136" s="0" t="n">
        <v>0.0623012507887781</v>
      </c>
      <c r="CF136" s="0" t="n">
        <v>-0.0167562431312349</v>
      </c>
      <c r="CG136" s="0" t="n">
        <v>0.102836103684884</v>
      </c>
      <c r="CH136" s="0" t="n">
        <v>0.0338537500300903</v>
      </c>
      <c r="CI136" s="0" t="n">
        <v>-0.0273882786690216</v>
      </c>
      <c r="CJ136" s="0" t="n">
        <v>0.0447433082062508</v>
      </c>
      <c r="CK136" s="0" t="n">
        <v>0.0709818347850429</v>
      </c>
      <c r="CL136" s="0" t="n">
        <v>0.0703007122186673</v>
      </c>
      <c r="CM136" s="0" t="n">
        <v>0.0840092895837226</v>
      </c>
      <c r="CN136" s="0" t="n">
        <v>0.012720592203551</v>
      </c>
      <c r="CO136" s="0" t="n">
        <v>0.0321999818154273</v>
      </c>
      <c r="CP136" s="0" t="n">
        <v>0.0544504251995301</v>
      </c>
      <c r="CQ136" s="0" t="n">
        <v>0.129622353877279</v>
      </c>
      <c r="CR136" s="0" t="n">
        <v>0.0892670952455048</v>
      </c>
      <c r="CS136" s="0" t="n">
        <v>0.0633308806900485</v>
      </c>
      <c r="CT136" s="0" t="n">
        <v>0.097859420919515</v>
      </c>
      <c r="CU136" s="0" t="n">
        <v>0.0383700507851637</v>
      </c>
      <c r="CV136" s="0" t="n">
        <v>0.083627706834088</v>
      </c>
      <c r="CW136" s="0" t="n">
        <v>0.104659937703305</v>
      </c>
      <c r="CX136" s="0" t="n">
        <v>0.11494867755444</v>
      </c>
      <c r="CY136" s="0" t="n">
        <v>0.107062737411061</v>
      </c>
      <c r="CZ136" s="0" t="n">
        <v>0.0870324259381487</v>
      </c>
      <c r="DA136" s="0" t="n">
        <v>0.0904997012451032</v>
      </c>
      <c r="DB136" s="0" t="n">
        <v>0.124582305234612</v>
      </c>
      <c r="DC136" s="0" t="n">
        <v>0.0763221647350975</v>
      </c>
      <c r="DD136" s="0" t="n">
        <v>0.165217349756226</v>
      </c>
      <c r="DE136" s="0" t="n">
        <v>0.0945103498340118</v>
      </c>
      <c r="DF136" s="0" t="n">
        <v>0.0903944360260767</v>
      </c>
      <c r="DG136" s="0" t="n">
        <v>0.0739183455993467</v>
      </c>
      <c r="DH136" s="0" t="n">
        <v>0.0932505846221297</v>
      </c>
      <c r="DI136" s="0" t="n">
        <v>0.141664308449902</v>
      </c>
      <c r="DJ136" s="0" t="n">
        <v>0.117017372975216</v>
      </c>
      <c r="DK136" s="0" t="n">
        <v>0.148540293847615</v>
      </c>
      <c r="DL136" s="0" t="n">
        <v>0.0062241814823655</v>
      </c>
      <c r="DM136" s="0" t="n">
        <v>0.134226490533891</v>
      </c>
      <c r="DN136" s="0" t="n">
        <v>0.118732412650684</v>
      </c>
      <c r="DO136" s="0" t="n">
        <v>0.0921834225759591</v>
      </c>
      <c r="DP136" s="0" t="n">
        <v>0.144856473831975</v>
      </c>
      <c r="DQ136" s="0" t="n">
        <v>0.0927308002366343</v>
      </c>
      <c r="DR136" s="0" t="n">
        <v>0.0799647468968911</v>
      </c>
      <c r="DS136" s="0" t="n">
        <v>0.145532513530271</v>
      </c>
      <c r="DT136" s="0" t="n">
        <v>0.139100960152649</v>
      </c>
      <c r="DU136" s="0" t="n">
        <v>0.255712926768533</v>
      </c>
      <c r="DV136" s="0" t="n">
        <v>0.173392790851209</v>
      </c>
      <c r="DW136" s="0" t="n">
        <v>0.201892055662585</v>
      </c>
      <c r="DX136" s="0" t="n">
        <v>0.105831787554938</v>
      </c>
      <c r="DY136" s="0" t="n">
        <v>0.284331332099175</v>
      </c>
      <c r="DZ136" s="0" t="n">
        <v>0.142621738711868</v>
      </c>
      <c r="EA136" s="0" t="n">
        <v>0.142309288108988</v>
      </c>
      <c r="EB136" s="0" t="n">
        <v>0.426115715196946</v>
      </c>
      <c r="EC136" s="0" t="n">
        <v>0.0248808973154722</v>
      </c>
      <c r="ED136" s="0" t="n">
        <v>0.133096403560086</v>
      </c>
      <c r="EE136" s="0" t="n">
        <v>0.121591919405932</v>
      </c>
      <c r="EF136" s="0" t="n">
        <v>0.118871589229026</v>
      </c>
      <c r="EG136" s="0" t="n">
        <v>0.101476997943861</v>
      </c>
      <c r="EH136" s="0" t="n">
        <v>0.180293355695662</v>
      </c>
      <c r="EI136" s="0" t="n">
        <v>0.0987355076982181</v>
      </c>
      <c r="EJ136" s="0" t="n">
        <v>0.180980893413001</v>
      </c>
      <c r="EK136" s="0" t="n">
        <v>0.22399617289866</v>
      </c>
      <c r="EL136" s="0" t="n">
        <v>0.205272594771502</v>
      </c>
      <c r="EM136" s="0" t="n">
        <v>0.218218397458068</v>
      </c>
      <c r="EN136" s="0" t="n">
        <v>0.24559620258664</v>
      </c>
      <c r="EO136" s="0" t="n">
        <v>0.373352934312329</v>
      </c>
      <c r="EP136" s="72" t="n">
        <f aca="false">SUMPRODUCT(B136:EO136,$B$5:$EO$5)</f>
        <v>0.0928233123346813</v>
      </c>
      <c r="EQ136" s="72" t="n">
        <f aca="false">SUMIF('Mi portafolio'!$A$8:$A$19,$A136,'Mi portafolio'!$B$8:$B$19)</f>
        <v>0</v>
      </c>
    </row>
    <row r="137" customFormat="false" ht="15" hidden="false" customHeight="false" outlineLevel="0" collapsed="false">
      <c r="A137" s="71" t="s">
        <v>366</v>
      </c>
      <c r="B137" s="0" t="n">
        <v>-0.0118414174061153</v>
      </c>
      <c r="C137" s="0" t="n">
        <v>0.003774548798015</v>
      </c>
      <c r="D137" s="0" t="n">
        <v>-0.0003394606582768</v>
      </c>
      <c r="E137" s="0" t="n">
        <v>0.0115526374753324</v>
      </c>
      <c r="F137" s="0" t="n">
        <v>-0.0162543373036151</v>
      </c>
      <c r="G137" s="0" t="n">
        <v>0.0209328002270108</v>
      </c>
      <c r="H137" s="0" t="n">
        <v>0.0052246030727484</v>
      </c>
      <c r="I137" s="0" t="n">
        <v>-0.0101542049664196</v>
      </c>
      <c r="J137" s="0" t="n">
        <v>0.0038060012902851</v>
      </c>
      <c r="K137" s="0" t="n">
        <v>-0.0183675331759131</v>
      </c>
      <c r="L137" s="0" t="n">
        <v>0.0045645592092229</v>
      </c>
      <c r="M137" s="0" t="n">
        <v>0.0058040072088545</v>
      </c>
      <c r="N137" s="0" t="n">
        <v>-0.0094769178341977</v>
      </c>
      <c r="O137" s="0" t="n">
        <v>0.0024279612594287</v>
      </c>
      <c r="P137" s="0" t="n">
        <v>-0.020228198243682</v>
      </c>
      <c r="Q137" s="0" t="n">
        <v>0.0074493532924658</v>
      </c>
      <c r="R137" s="0" t="n">
        <v>-0.0160060821039341</v>
      </c>
      <c r="S137" s="0" t="n">
        <v>0.0129908740628572</v>
      </c>
      <c r="T137" s="0" t="n">
        <v>0.0072659887400063</v>
      </c>
      <c r="U137" s="0" t="n">
        <v>0.0174354198557107</v>
      </c>
      <c r="V137" s="0" t="n">
        <v>0.0233119609904979</v>
      </c>
      <c r="W137" s="0" t="n">
        <v>-0.0022617320366362</v>
      </c>
      <c r="X137" s="0" t="n">
        <v>0.0107019787060475</v>
      </c>
      <c r="Y137" s="0" t="n">
        <v>0.0055525683667528</v>
      </c>
      <c r="Z137" s="0" t="n">
        <v>0.0141792035782202</v>
      </c>
      <c r="AA137" s="0" t="n">
        <v>0.0045168933654374</v>
      </c>
      <c r="AB137" s="0" t="n">
        <v>0.0030788610004181</v>
      </c>
      <c r="AC137" s="0" t="n">
        <v>0.0231392157286338</v>
      </c>
      <c r="AD137" s="0" t="n">
        <v>0.0074941900148861</v>
      </c>
      <c r="AE137" s="0" t="n">
        <v>0.0215134434928434</v>
      </c>
      <c r="AF137" s="0" t="n">
        <v>0.0217707216687005</v>
      </c>
      <c r="AG137" s="0" t="n">
        <v>-0.0222963289094547</v>
      </c>
      <c r="AH137" s="0" t="n">
        <v>-0.038914297666103</v>
      </c>
      <c r="AI137" s="0" t="n">
        <v>-0.0191442965347944</v>
      </c>
      <c r="AJ137" s="0" t="n">
        <v>0.0050015608490734</v>
      </c>
      <c r="AK137" s="0" t="n">
        <v>0.0396400129532635</v>
      </c>
      <c r="AL137" s="0" t="n">
        <v>0.0003293977724295</v>
      </c>
      <c r="AM137" s="0" t="n">
        <v>0.0071553375366057</v>
      </c>
      <c r="AN137" s="0" t="n">
        <v>-0.007442024021485</v>
      </c>
      <c r="AO137" s="0" t="n">
        <v>-0.0075649308558845</v>
      </c>
      <c r="AP137" s="0" t="n">
        <v>-0.0006916934212556</v>
      </c>
      <c r="AQ137" s="0" t="n">
        <v>0.0008725811907294</v>
      </c>
      <c r="AR137" s="0" t="n">
        <v>0.0012058419924491</v>
      </c>
      <c r="AS137" s="0" t="n">
        <v>0.0277240322314821</v>
      </c>
      <c r="AT137" s="0" t="n">
        <v>0.0043410432604127</v>
      </c>
      <c r="AU137" s="0" t="n">
        <v>-0.0177597570929726</v>
      </c>
      <c r="AV137" s="0" t="n">
        <v>0.0067147051945025</v>
      </c>
      <c r="AW137" s="0" t="n">
        <v>0.0322959785656447</v>
      </c>
      <c r="AX137" s="0" t="n">
        <v>-0.0232313709528198</v>
      </c>
      <c r="AY137" s="0" t="n">
        <v>-0.0070604789365065</v>
      </c>
      <c r="AZ137" s="0" t="n">
        <v>0.0185191042560089</v>
      </c>
      <c r="BA137" s="0" t="n">
        <v>0.0006412797200796</v>
      </c>
      <c r="BB137" s="0" t="n">
        <v>0.0204157084545119</v>
      </c>
      <c r="BC137" s="0" t="n">
        <v>0.0063200257609156</v>
      </c>
      <c r="BD137" s="0" t="n">
        <v>0.0202853446868186</v>
      </c>
      <c r="BE137" s="0" t="n">
        <v>-0.0046809025632823</v>
      </c>
      <c r="BF137" s="0" t="n">
        <v>0.0165309817987847</v>
      </c>
      <c r="BG137" s="0" t="n">
        <v>-0.0096338411573983</v>
      </c>
      <c r="BH137" s="0" t="n">
        <v>0.0056513311298318</v>
      </c>
      <c r="BI137" s="0" t="n">
        <v>0.0063043039788004</v>
      </c>
      <c r="BJ137" s="0" t="n">
        <v>-0.0060475291690279</v>
      </c>
      <c r="BK137" s="0" t="n">
        <v>0.0052187351254638</v>
      </c>
      <c r="BL137" s="0" t="n">
        <v>0.0281095034592774</v>
      </c>
      <c r="BM137" s="0" t="n">
        <v>-0.0317872028513454</v>
      </c>
      <c r="BN137" s="0" t="n">
        <v>-0.0013435783523195</v>
      </c>
      <c r="BO137" s="0" t="n">
        <v>-0.0052032523918233</v>
      </c>
      <c r="BP137" s="0" t="n">
        <v>-0.0065354831348958</v>
      </c>
      <c r="BQ137" s="0" t="n">
        <v>0.0367755761689736</v>
      </c>
      <c r="BR137" s="0" t="n">
        <v>-0.001100128383594</v>
      </c>
      <c r="BS137" s="0" t="n">
        <v>-0.0145788321091527</v>
      </c>
      <c r="BT137" s="0" t="n">
        <v>0.0143731382496147</v>
      </c>
      <c r="BU137" s="0" t="n">
        <v>0.0197559523526596</v>
      </c>
      <c r="BV137" s="0" t="n">
        <v>-0.0103133097722453</v>
      </c>
      <c r="BW137" s="0" t="n">
        <v>0.0053550032015617</v>
      </c>
      <c r="BX137" s="0" t="n">
        <v>-0.0105075741073921</v>
      </c>
      <c r="BY137" s="0" t="n">
        <v>0.0039924620211394</v>
      </c>
      <c r="BZ137" s="0" t="n">
        <v>-0.0064681619470358</v>
      </c>
      <c r="CA137" s="0" t="n">
        <v>0.0097284890513713</v>
      </c>
      <c r="CB137" s="0" t="n">
        <v>-0.0327485099635521</v>
      </c>
      <c r="CC137" s="0" t="n">
        <v>0.0125703675460969</v>
      </c>
      <c r="CD137" s="0" t="n">
        <v>-0.0048066561203894</v>
      </c>
      <c r="CE137" s="0" t="n">
        <v>0.0206964605108553</v>
      </c>
      <c r="CF137" s="0" t="n">
        <v>-0.0195710257248878</v>
      </c>
      <c r="CG137" s="0" t="n">
        <v>-0.0006792001602218</v>
      </c>
      <c r="CH137" s="0" t="n">
        <v>0.0692475358470185</v>
      </c>
      <c r="CI137" s="0" t="n">
        <v>-0.0098533892509856</v>
      </c>
      <c r="CJ137" s="0" t="n">
        <v>-0.0072252788224514</v>
      </c>
      <c r="CK137" s="0" t="n">
        <v>-0.0101527937934234</v>
      </c>
      <c r="CL137" s="0" t="n">
        <v>0.0115804843157455</v>
      </c>
      <c r="CM137" s="0" t="n">
        <v>0.0284043219959302</v>
      </c>
      <c r="CN137" s="0" t="n">
        <v>-0.0030678052511476</v>
      </c>
      <c r="CO137" s="0" t="n">
        <v>0.0121758286045985</v>
      </c>
      <c r="CP137" s="0" t="n">
        <v>-0.0101001812111053</v>
      </c>
      <c r="CQ137" s="0" t="n">
        <v>-0.0009896846710368</v>
      </c>
      <c r="CR137" s="0" t="n">
        <v>0.0369885994343022</v>
      </c>
      <c r="CS137" s="0" t="n">
        <v>0.0378126441426551</v>
      </c>
      <c r="CT137" s="0" t="n">
        <v>0.0328035641637181</v>
      </c>
      <c r="CU137" s="0" t="n">
        <v>0.0340129165941593</v>
      </c>
      <c r="CV137" s="0" t="n">
        <v>0.0169349296087102</v>
      </c>
      <c r="CW137" s="0" t="n">
        <v>0.0097431181228223</v>
      </c>
      <c r="CX137" s="0" t="n">
        <v>0.0442982570105089</v>
      </c>
      <c r="CY137" s="0" t="n">
        <v>0.0186512073553161</v>
      </c>
      <c r="CZ137" s="0" t="n">
        <v>-0.002250359187243</v>
      </c>
      <c r="DA137" s="0" t="n">
        <v>-0.0045808804321062</v>
      </c>
      <c r="DB137" s="0" t="n">
        <v>0.0190827807172952</v>
      </c>
      <c r="DC137" s="0" t="n">
        <v>0.006650796274174</v>
      </c>
      <c r="DD137" s="0" t="n">
        <v>0.0180675268425656</v>
      </c>
      <c r="DE137" s="0" t="n">
        <v>0.081098179506926</v>
      </c>
      <c r="DF137" s="0" t="n">
        <v>-0.0333144024225022</v>
      </c>
      <c r="DG137" s="0" t="n">
        <v>0.0878211732584475</v>
      </c>
      <c r="DH137" s="0" t="n">
        <v>0.0139003789837342</v>
      </c>
      <c r="DI137" s="0" t="n">
        <v>-0.0019547576125101</v>
      </c>
      <c r="DJ137" s="0" t="n">
        <v>0.0237473816440555</v>
      </c>
      <c r="DK137" s="0" t="n">
        <v>0.0157127598223173</v>
      </c>
      <c r="DL137" s="0" t="n">
        <v>0.10236872294936</v>
      </c>
      <c r="DM137" s="0" t="n">
        <v>0.0215790419039269</v>
      </c>
      <c r="DN137" s="0" t="n">
        <v>-0.0198027317074537</v>
      </c>
      <c r="DO137" s="0" t="n">
        <v>0.0109014813879358</v>
      </c>
      <c r="DP137" s="0" t="n">
        <v>0.0058802010005002</v>
      </c>
      <c r="DQ137" s="0" t="n">
        <v>0.025727252568788</v>
      </c>
      <c r="DR137" s="0" t="n">
        <v>0.0635014255693751</v>
      </c>
      <c r="DS137" s="0" t="n">
        <v>-0.0321974050312806</v>
      </c>
      <c r="DT137" s="0" t="n">
        <v>0.0338624041855665</v>
      </c>
      <c r="DU137" s="0" t="n">
        <v>0.0164998382652873</v>
      </c>
      <c r="DV137" s="0" t="n">
        <v>-0.0186020692902565</v>
      </c>
      <c r="DW137" s="0" t="n">
        <v>0.0192958555678234</v>
      </c>
      <c r="DX137" s="0" t="n">
        <v>0.0579224034732686</v>
      </c>
      <c r="DY137" s="0" t="n">
        <v>-0.0081522061597191</v>
      </c>
      <c r="DZ137" s="0" t="n">
        <v>-0.0039973486531509</v>
      </c>
      <c r="EA137" s="0" t="n">
        <v>0.040063711260346</v>
      </c>
      <c r="EB137" s="0" t="n">
        <v>0.0248808973154722</v>
      </c>
      <c r="EC137" s="0" t="n">
        <v>0.443953091137335</v>
      </c>
      <c r="ED137" s="0" t="n">
        <v>0.0383303367293693</v>
      </c>
      <c r="EE137" s="0" t="n">
        <v>0.0647769004281817</v>
      </c>
      <c r="EF137" s="0" t="n">
        <v>0.0352293730235215</v>
      </c>
      <c r="EG137" s="0" t="n">
        <v>0.10063415975838</v>
      </c>
      <c r="EH137" s="0" t="n">
        <v>-0.0044147186302438</v>
      </c>
      <c r="EI137" s="0" t="n">
        <v>0.0805312829032097</v>
      </c>
      <c r="EJ137" s="0" t="n">
        <v>0.0633154696741375</v>
      </c>
      <c r="EK137" s="0" t="n">
        <v>0.0891489950565778</v>
      </c>
      <c r="EL137" s="0" t="n">
        <v>0.106583767194819</v>
      </c>
      <c r="EM137" s="0" t="n">
        <v>-0.0015436516392243</v>
      </c>
      <c r="EN137" s="0" t="n">
        <v>0.0045274168133169</v>
      </c>
      <c r="EO137" s="0" t="n">
        <v>0.0187218159940408</v>
      </c>
      <c r="EP137" s="72" t="n">
        <f aca="false">SUMPRODUCT(B137:EO137,$B$5:$EO$5)</f>
        <v>0.0835826291172978</v>
      </c>
      <c r="EQ137" s="72" t="n">
        <f aca="false">SUMIF('Mi portafolio'!$A$8:$A$19,$A137,'Mi portafolio'!$B$8:$B$19)</f>
        <v>0</v>
      </c>
    </row>
    <row r="138" customFormat="false" ht="15" hidden="false" customHeight="false" outlineLevel="0" collapsed="false">
      <c r="A138" s="71" t="s">
        <v>367</v>
      </c>
      <c r="B138" s="0" t="n">
        <v>0.0063362990626312</v>
      </c>
      <c r="C138" s="0" t="n">
        <v>0.0152217174177072</v>
      </c>
      <c r="D138" s="0" t="n">
        <v>0.0136132968721805</v>
      </c>
      <c r="E138" s="0" t="n">
        <v>0.0258702300254764</v>
      </c>
      <c r="F138" s="0" t="n">
        <v>-0.0029857049129067</v>
      </c>
      <c r="G138" s="0" t="n">
        <v>0.0100434948642945</v>
      </c>
      <c r="H138" s="0" t="n">
        <v>0.0311544936476815</v>
      </c>
      <c r="I138" s="0" t="n">
        <v>0.01558283488503</v>
      </c>
      <c r="J138" s="0" t="n">
        <v>-0.007973090584519</v>
      </c>
      <c r="K138" s="0" t="n">
        <v>-0.0095168758803968</v>
      </c>
      <c r="L138" s="0" t="n">
        <v>0.011658222114539</v>
      </c>
      <c r="M138" s="0" t="n">
        <v>0.0439165849437112</v>
      </c>
      <c r="N138" s="0" t="n">
        <v>0.0361011276582926</v>
      </c>
      <c r="O138" s="0" t="n">
        <v>0.0139912177429858</v>
      </c>
      <c r="P138" s="0" t="n">
        <v>-0.005709891017154</v>
      </c>
      <c r="Q138" s="0" t="n">
        <v>-0.013206786736339</v>
      </c>
      <c r="R138" s="0" t="n">
        <v>-0.0012896129131806</v>
      </c>
      <c r="S138" s="0" t="n">
        <v>0.0085673920587559</v>
      </c>
      <c r="T138" s="0" t="n">
        <v>0.0292629244221255</v>
      </c>
      <c r="U138" s="0" t="n">
        <v>0.0340123514380737</v>
      </c>
      <c r="V138" s="0" t="n">
        <v>0.0254389650324915</v>
      </c>
      <c r="W138" s="0" t="n">
        <v>0.0231617787521004</v>
      </c>
      <c r="X138" s="0" t="n">
        <v>0.0329091124748312</v>
      </c>
      <c r="Y138" s="0" t="n">
        <v>0.0084773559425582</v>
      </c>
      <c r="Z138" s="0" t="n">
        <v>0.0254335022069105</v>
      </c>
      <c r="AA138" s="0" t="n">
        <v>0.0185657466547182</v>
      </c>
      <c r="AB138" s="0" t="n">
        <v>0.0149549851383427</v>
      </c>
      <c r="AC138" s="0" t="n">
        <v>0.0099275285921313</v>
      </c>
      <c r="AD138" s="0" t="n">
        <v>0.0096313066290849</v>
      </c>
      <c r="AE138" s="0" t="n">
        <v>0.0385429111678386</v>
      </c>
      <c r="AF138" s="0" t="n">
        <v>0.0312187812077684</v>
      </c>
      <c r="AG138" s="0" t="n">
        <v>-0.0115843468133486</v>
      </c>
      <c r="AH138" s="0" t="n">
        <v>-0.0083040869367589</v>
      </c>
      <c r="AI138" s="0" t="n">
        <v>-0.011752507413692</v>
      </c>
      <c r="AJ138" s="0" t="n">
        <v>0.0312418844250924</v>
      </c>
      <c r="AK138" s="0" t="n">
        <v>0.0253933973182003</v>
      </c>
      <c r="AL138" s="0" t="n">
        <v>0.0344468698589075</v>
      </c>
      <c r="AM138" s="0" t="n">
        <v>0.036585772265175</v>
      </c>
      <c r="AN138" s="0" t="n">
        <v>0.027079448985072</v>
      </c>
      <c r="AO138" s="0" t="n">
        <v>0.014827528580812</v>
      </c>
      <c r="AP138" s="0" t="n">
        <v>0.0463275345415181</v>
      </c>
      <c r="AQ138" s="0" t="n">
        <v>-0.0179597949756723</v>
      </c>
      <c r="AR138" s="0" t="n">
        <v>0.0281762668327212</v>
      </c>
      <c r="AS138" s="0" t="n">
        <v>0.024327264537694</v>
      </c>
      <c r="AT138" s="0" t="n">
        <v>0.0480427401677778</v>
      </c>
      <c r="AU138" s="0" t="n">
        <v>0.0020167357203178</v>
      </c>
      <c r="AV138" s="0" t="n">
        <v>0.0372822444665039</v>
      </c>
      <c r="AW138" s="0" t="n">
        <v>0.0405346415358468</v>
      </c>
      <c r="AX138" s="0" t="n">
        <v>0.0370262188090183</v>
      </c>
      <c r="AY138" s="0" t="n">
        <v>0.0300485187423641</v>
      </c>
      <c r="AZ138" s="0" t="n">
        <v>0.0594151399600044</v>
      </c>
      <c r="BA138" s="0" t="n">
        <v>0.0382590763345611</v>
      </c>
      <c r="BB138" s="0" t="n">
        <v>0.0598110708202786</v>
      </c>
      <c r="BC138" s="0" t="n">
        <v>0.0349117676092588</v>
      </c>
      <c r="BD138" s="0" t="n">
        <v>0.0306781254833638</v>
      </c>
      <c r="BE138" s="0" t="n">
        <v>0.0237236543740341</v>
      </c>
      <c r="BF138" s="0" t="n">
        <v>0.0439851718433975</v>
      </c>
      <c r="BG138" s="0" t="n">
        <v>0.0347627694269359</v>
      </c>
      <c r="BH138" s="0" t="n">
        <v>0.0428074158780666</v>
      </c>
      <c r="BI138" s="0" t="n">
        <v>0.0273841342262382</v>
      </c>
      <c r="BJ138" s="0" t="n">
        <v>-0.0036841851772254</v>
      </c>
      <c r="BK138" s="0" t="n">
        <v>0.0387070879231624</v>
      </c>
      <c r="BL138" s="0" t="n">
        <v>0.0332486754440524</v>
      </c>
      <c r="BM138" s="0" t="n">
        <v>0.0383454572765249</v>
      </c>
      <c r="BN138" s="0" t="n">
        <v>0.0081704637434034</v>
      </c>
      <c r="BO138" s="0" t="n">
        <v>0.0482470020858089</v>
      </c>
      <c r="BP138" s="0" t="n">
        <v>0.0446743391233161</v>
      </c>
      <c r="BQ138" s="0" t="n">
        <v>0.05537225646211</v>
      </c>
      <c r="BR138" s="0" t="n">
        <v>0.0746135902339955</v>
      </c>
      <c r="BS138" s="0" t="n">
        <v>-0.0057844111162299</v>
      </c>
      <c r="BT138" s="0" t="n">
        <v>0.0529312721185341</v>
      </c>
      <c r="BU138" s="0" t="n">
        <v>0.0347811813749432</v>
      </c>
      <c r="BV138" s="0" t="n">
        <v>0.036251734352434</v>
      </c>
      <c r="BW138" s="0" t="n">
        <v>0.0566110601643762</v>
      </c>
      <c r="BX138" s="0" t="n">
        <v>0.0355813892998114</v>
      </c>
      <c r="BY138" s="0" t="n">
        <v>0.0757385634504003</v>
      </c>
      <c r="BZ138" s="0" t="n">
        <v>0.0625855345151584</v>
      </c>
      <c r="CA138" s="0" t="n">
        <v>0.038703719643367</v>
      </c>
      <c r="CB138" s="0" t="n">
        <v>-0.0159937676698305</v>
      </c>
      <c r="CC138" s="0" t="n">
        <v>0.0283073967844805</v>
      </c>
      <c r="CD138" s="0" t="n">
        <v>0.029204673588806</v>
      </c>
      <c r="CE138" s="0" t="n">
        <v>0.0519849100752786</v>
      </c>
      <c r="CF138" s="0" t="n">
        <v>-0.0112930777478137</v>
      </c>
      <c r="CG138" s="0" t="n">
        <v>0.077658456107561</v>
      </c>
      <c r="CH138" s="0" t="n">
        <v>0.0747581263842858</v>
      </c>
      <c r="CI138" s="0" t="n">
        <v>-0.0155221409368613</v>
      </c>
      <c r="CJ138" s="0" t="n">
        <v>0.0452336705341987</v>
      </c>
      <c r="CK138" s="0" t="n">
        <v>0.0493724232660552</v>
      </c>
      <c r="CL138" s="0" t="n">
        <v>0.07708029972848</v>
      </c>
      <c r="CM138" s="0" t="n">
        <v>0.0449313455674714</v>
      </c>
      <c r="CN138" s="0" t="n">
        <v>0.0192276553660866</v>
      </c>
      <c r="CO138" s="0" t="n">
        <v>0.0391701052151189</v>
      </c>
      <c r="CP138" s="0" t="n">
        <v>0.0462660132485645</v>
      </c>
      <c r="CQ138" s="0" t="n">
        <v>0.0856227113429519</v>
      </c>
      <c r="CR138" s="0" t="n">
        <v>0.0806866393106311</v>
      </c>
      <c r="CS138" s="0" t="n">
        <v>0.0736309396171619</v>
      </c>
      <c r="CT138" s="0" t="n">
        <v>0.110132199009327</v>
      </c>
      <c r="CU138" s="0" t="n">
        <v>0.0305865666698409</v>
      </c>
      <c r="CV138" s="0" t="n">
        <v>0.0483244642460682</v>
      </c>
      <c r="CW138" s="0" t="n">
        <v>0.0464961776207891</v>
      </c>
      <c r="CX138" s="0" t="n">
        <v>0.0822090874964071</v>
      </c>
      <c r="CY138" s="0" t="n">
        <v>0.0709779930031059</v>
      </c>
      <c r="CZ138" s="0" t="n">
        <v>0.0438561849467909</v>
      </c>
      <c r="DA138" s="0" t="n">
        <v>0.0665560375017398</v>
      </c>
      <c r="DB138" s="0" t="n">
        <v>0.134345874009431</v>
      </c>
      <c r="DC138" s="0" t="n">
        <v>0.103147097455384</v>
      </c>
      <c r="DD138" s="0" t="n">
        <v>0.109656264233767</v>
      </c>
      <c r="DE138" s="0" t="n">
        <v>0.112591725221897</v>
      </c>
      <c r="DF138" s="0" t="n">
        <v>0.0518548980382519</v>
      </c>
      <c r="DG138" s="0" t="n">
        <v>0.108531182447388</v>
      </c>
      <c r="DH138" s="0" t="n">
        <v>0.0894886387509549</v>
      </c>
      <c r="DI138" s="0" t="n">
        <v>0.0932529352946412</v>
      </c>
      <c r="DJ138" s="0" t="n">
        <v>0.0691690827062631</v>
      </c>
      <c r="DK138" s="0" t="n">
        <v>0.105148464240105</v>
      </c>
      <c r="DL138" s="0" t="n">
        <v>0.0716586392903588</v>
      </c>
      <c r="DM138" s="0" t="n">
        <v>0.100241582131147</v>
      </c>
      <c r="DN138" s="0" t="n">
        <v>0.0772210137849239</v>
      </c>
      <c r="DO138" s="0" t="n">
        <v>0.123898453302439</v>
      </c>
      <c r="DP138" s="0" t="n">
        <v>0.0719679123731509</v>
      </c>
      <c r="DQ138" s="0" t="n">
        <v>0.0931108228791652</v>
      </c>
      <c r="DR138" s="0" t="n">
        <v>0.0948538955781515</v>
      </c>
      <c r="DS138" s="0" t="n">
        <v>-0.0360444739735799</v>
      </c>
      <c r="DT138" s="0" t="n">
        <v>0.12959093487682</v>
      </c>
      <c r="DU138" s="0" t="n">
        <v>0.166004634866947</v>
      </c>
      <c r="DV138" s="0" t="n">
        <v>0.115800393860435</v>
      </c>
      <c r="DW138" s="0" t="n">
        <v>0.100120688284266</v>
      </c>
      <c r="DX138" s="0" t="n">
        <v>0.1287117867358</v>
      </c>
      <c r="DY138" s="0" t="n">
        <v>0.121291652345637</v>
      </c>
      <c r="DZ138" s="0" t="n">
        <v>0.0764342524920362</v>
      </c>
      <c r="EA138" s="0" t="n">
        <v>0.107115794628038</v>
      </c>
      <c r="EB138" s="0" t="n">
        <v>0.133096403560086</v>
      </c>
      <c r="EC138" s="0" t="n">
        <v>0.0383303367293693</v>
      </c>
      <c r="ED138" s="0" t="n">
        <v>0.502954425786485</v>
      </c>
      <c r="EE138" s="0" t="n">
        <v>0.140333505954432</v>
      </c>
      <c r="EF138" s="0" t="n">
        <v>0.0513575564566269</v>
      </c>
      <c r="EG138" s="0" t="n">
        <v>0.131913688258319</v>
      </c>
      <c r="EH138" s="0" t="n">
        <v>0.0965293335375447</v>
      </c>
      <c r="EI138" s="0" t="n">
        <v>0.13130002043418</v>
      </c>
      <c r="EJ138" s="0" t="n">
        <v>0.230326117066197</v>
      </c>
      <c r="EK138" s="0" t="n">
        <v>0.215213069147709</v>
      </c>
      <c r="EL138" s="0" t="n">
        <v>0.16944728192995</v>
      </c>
      <c r="EM138" s="0" t="n">
        <v>0.137764090613515</v>
      </c>
      <c r="EN138" s="0" t="n">
        <v>0.260065049450214</v>
      </c>
      <c r="EO138" s="0" t="n">
        <v>0.151649785152534</v>
      </c>
      <c r="EP138" s="72" t="n">
        <f aca="false">SUMPRODUCT(B138:EO138,$B$5:$EO$5)</f>
        <v>0.122530560926735</v>
      </c>
      <c r="EQ138" s="72" t="n">
        <f aca="false">SUMIF('Mi portafolio'!$A$8:$A$19,$A138,'Mi portafolio'!$B$8:$B$19)</f>
        <v>0</v>
      </c>
    </row>
    <row r="139" customFormat="false" ht="15" hidden="false" customHeight="false" outlineLevel="0" collapsed="false">
      <c r="A139" s="71" t="s">
        <v>368</v>
      </c>
      <c r="B139" s="0" t="n">
        <v>-0.009311074876629</v>
      </c>
      <c r="C139" s="0" t="n">
        <v>0.0036159882236765</v>
      </c>
      <c r="D139" s="0" t="n">
        <v>0.0054005657559209</v>
      </c>
      <c r="E139" s="0" t="n">
        <v>0.0103987928369602</v>
      </c>
      <c r="F139" s="0" t="n">
        <v>-0.0244187605429754</v>
      </c>
      <c r="G139" s="0" t="n">
        <v>0.0039279147286374</v>
      </c>
      <c r="H139" s="0" t="n">
        <v>0.0137352843467295</v>
      </c>
      <c r="I139" s="0" t="n">
        <v>-0.0193900126735117</v>
      </c>
      <c r="J139" s="0" t="n">
        <v>-0.0215592476804745</v>
      </c>
      <c r="K139" s="0" t="n">
        <v>-0.0101255494173597</v>
      </c>
      <c r="L139" s="0" t="n">
        <v>0.0157133773383495</v>
      </c>
      <c r="M139" s="0" t="n">
        <v>0.0326445051991207</v>
      </c>
      <c r="N139" s="0" t="n">
        <v>-0.0044780950014111</v>
      </c>
      <c r="O139" s="0" t="n">
        <v>0.0149445841160234</v>
      </c>
      <c r="P139" s="0" t="n">
        <v>-0.0149668766841168</v>
      </c>
      <c r="Q139" s="0" t="n">
        <v>0.0082994349399244</v>
      </c>
      <c r="R139" s="0" t="n">
        <v>-0.0207903099337906</v>
      </c>
      <c r="S139" s="0" t="n">
        <v>0.0069084869908189</v>
      </c>
      <c r="T139" s="0" t="n">
        <v>0.024374367629802</v>
      </c>
      <c r="U139" s="0" t="n">
        <v>0.0187205309732556</v>
      </c>
      <c r="V139" s="0" t="n">
        <v>0.0062191142028562</v>
      </c>
      <c r="W139" s="0" t="n">
        <v>0.008531768147816</v>
      </c>
      <c r="X139" s="0" t="n">
        <v>0.0322968161920231</v>
      </c>
      <c r="Y139" s="0" t="n">
        <v>-0.009056795757804</v>
      </c>
      <c r="Z139" s="0" t="n">
        <v>0.0107859913950522</v>
      </c>
      <c r="AA139" s="0" t="n">
        <v>0.0123694532560361</v>
      </c>
      <c r="AB139" s="0" t="n">
        <v>-0.017695657951705</v>
      </c>
      <c r="AC139" s="0" t="n">
        <v>0.0180010422561328</v>
      </c>
      <c r="AD139" s="0" t="n">
        <v>0.0288337390037564</v>
      </c>
      <c r="AE139" s="0" t="n">
        <v>0.0287653403601041</v>
      </c>
      <c r="AF139" s="0" t="n">
        <v>0.0262877062071856</v>
      </c>
      <c r="AG139" s="0" t="n">
        <v>-0.0266689951172716</v>
      </c>
      <c r="AH139" s="0" t="n">
        <v>-0.0313952842826155</v>
      </c>
      <c r="AI139" s="0" t="n">
        <v>-0.0286571645604212</v>
      </c>
      <c r="AJ139" s="0" t="n">
        <v>0.0136418134816645</v>
      </c>
      <c r="AK139" s="0" t="n">
        <v>0.0342503799997007</v>
      </c>
      <c r="AL139" s="0" t="n">
        <v>0.0205478861118464</v>
      </c>
      <c r="AM139" s="0" t="n">
        <v>0.033665100060556</v>
      </c>
      <c r="AN139" s="0" t="n">
        <v>0.0142002552279849</v>
      </c>
      <c r="AO139" s="0" t="n">
        <v>-0.0101919348070588</v>
      </c>
      <c r="AP139" s="0" t="n">
        <v>0.0157582346639175</v>
      </c>
      <c r="AQ139" s="0" t="n">
        <v>-0.0299883693233301</v>
      </c>
      <c r="AR139" s="0" t="n">
        <v>0.0253235219550993</v>
      </c>
      <c r="AS139" s="0" t="n">
        <v>0.0211646014761462</v>
      </c>
      <c r="AT139" s="0" t="n">
        <v>0.0280244386166067</v>
      </c>
      <c r="AU139" s="0" t="n">
        <v>-0.0104758013513916</v>
      </c>
      <c r="AV139" s="0" t="n">
        <v>0.0171254222652216</v>
      </c>
      <c r="AW139" s="0" t="n">
        <v>0.0311185175643104</v>
      </c>
      <c r="AX139" s="0" t="n">
        <v>-0.00457336582061</v>
      </c>
      <c r="AY139" s="0" t="n">
        <v>0.0185108559696485</v>
      </c>
      <c r="AZ139" s="0" t="n">
        <v>0.0468113424513031</v>
      </c>
      <c r="BA139" s="0" t="n">
        <v>0.0349647169243225</v>
      </c>
      <c r="BB139" s="0" t="n">
        <v>0.0624351284959373</v>
      </c>
      <c r="BC139" s="0" t="n">
        <v>0.0216951451558454</v>
      </c>
      <c r="BD139" s="0" t="n">
        <v>0.0336125746816156</v>
      </c>
      <c r="BE139" s="0" t="n">
        <v>-0.0134818782048462</v>
      </c>
      <c r="BF139" s="0" t="n">
        <v>0.0394942857450183</v>
      </c>
      <c r="BG139" s="0" t="n">
        <v>0.0180682511778793</v>
      </c>
      <c r="BH139" s="0" t="n">
        <v>0.0289238381839842</v>
      </c>
      <c r="BI139" s="0" t="n">
        <v>0.0008778182031727</v>
      </c>
      <c r="BJ139" s="0" t="n">
        <v>0.0071998301092919</v>
      </c>
      <c r="BK139" s="0" t="n">
        <v>0.0488639514580646</v>
      </c>
      <c r="BL139" s="0" t="n">
        <v>0.0857848507985526</v>
      </c>
      <c r="BM139" s="0" t="n">
        <v>0.0008452381921608</v>
      </c>
      <c r="BN139" s="0" t="n">
        <v>0.0269076344670095</v>
      </c>
      <c r="BO139" s="0" t="n">
        <v>0.0577430153964428</v>
      </c>
      <c r="BP139" s="0" t="n">
        <v>0.0404744030259195</v>
      </c>
      <c r="BQ139" s="0" t="n">
        <v>0.0648930273984347</v>
      </c>
      <c r="BR139" s="0" t="n">
        <v>0.0380577666699898</v>
      </c>
      <c r="BS139" s="0" t="n">
        <v>-0.0136382677817455</v>
      </c>
      <c r="BT139" s="0" t="n">
        <v>0.073816202792857</v>
      </c>
      <c r="BU139" s="0" t="n">
        <v>0.0174798798186369</v>
      </c>
      <c r="BV139" s="0" t="n">
        <v>0.0610872823344233</v>
      </c>
      <c r="BW139" s="0" t="n">
        <v>0.0312104115123116</v>
      </c>
      <c r="BX139" s="0" t="n">
        <v>-0.0202890924249943</v>
      </c>
      <c r="BY139" s="0" t="n">
        <v>0.0476829844955914</v>
      </c>
      <c r="BZ139" s="0" t="n">
        <v>0.0674429084140212</v>
      </c>
      <c r="CA139" s="0" t="n">
        <v>0.0200196476854271</v>
      </c>
      <c r="CB139" s="0" t="n">
        <v>-0.0165596100234963</v>
      </c>
      <c r="CC139" s="0" t="n">
        <v>0.0224176584619367</v>
      </c>
      <c r="CD139" s="0" t="n">
        <v>0.0374180140424597</v>
      </c>
      <c r="CE139" s="0" t="n">
        <v>0.082504630320956</v>
      </c>
      <c r="CF139" s="0" t="n">
        <v>-0.026170597368517</v>
      </c>
      <c r="CG139" s="0" t="n">
        <v>0.0178669533111828</v>
      </c>
      <c r="CH139" s="0" t="n">
        <v>0.0894795004897435</v>
      </c>
      <c r="CI139" s="0" t="n">
        <v>-0.0284151556508213</v>
      </c>
      <c r="CJ139" s="0" t="n">
        <v>-0.0014576182078814</v>
      </c>
      <c r="CK139" s="0" t="n">
        <v>-0.0046773856281916</v>
      </c>
      <c r="CL139" s="0" t="n">
        <v>0.0648004426635385</v>
      </c>
      <c r="CM139" s="0" t="n">
        <v>0.134417262140346</v>
      </c>
      <c r="CN139" s="0" t="n">
        <v>0.0230444787255185</v>
      </c>
      <c r="CO139" s="0" t="n">
        <v>0.0441725722904347</v>
      </c>
      <c r="CP139" s="0" t="n">
        <v>0.0585740361233592</v>
      </c>
      <c r="CQ139" s="0" t="n">
        <v>0.102606176054459</v>
      </c>
      <c r="CR139" s="0" t="n">
        <v>0.179919376770811</v>
      </c>
      <c r="CS139" s="0" t="n">
        <v>0.156160524309209</v>
      </c>
      <c r="CT139" s="0" t="n">
        <v>0.0801286926694635</v>
      </c>
      <c r="CU139" s="0" t="n">
        <v>0.0835636472208943</v>
      </c>
      <c r="CV139" s="0" t="n">
        <v>0.0629843821468186</v>
      </c>
      <c r="CW139" s="0" t="n">
        <v>0.0313154226108902</v>
      </c>
      <c r="CX139" s="0" t="n">
        <v>0.0918256434859952</v>
      </c>
      <c r="CY139" s="0" t="n">
        <v>0.083468373612399</v>
      </c>
      <c r="CZ139" s="0" t="n">
        <v>0.0139196322995475</v>
      </c>
      <c r="DA139" s="0" t="n">
        <v>0.0265797419972444</v>
      </c>
      <c r="DB139" s="0" t="n">
        <v>0.144624414056004</v>
      </c>
      <c r="DC139" s="0" t="n">
        <v>0.0804811250188186</v>
      </c>
      <c r="DD139" s="0" t="n">
        <v>0.0721327279399941</v>
      </c>
      <c r="DE139" s="0" t="n">
        <v>0.161683897722974</v>
      </c>
      <c r="DF139" s="0" t="n">
        <v>-0.0478732369269518</v>
      </c>
      <c r="DG139" s="0" t="n">
        <v>0.125129190047751</v>
      </c>
      <c r="DH139" s="0" t="n">
        <v>0.168606200489814</v>
      </c>
      <c r="DI139" s="0" t="n">
        <v>0.117693401845793</v>
      </c>
      <c r="DJ139" s="0" t="n">
        <v>0.0734117574015805</v>
      </c>
      <c r="DK139" s="0" t="n">
        <v>0.140327408090268</v>
      </c>
      <c r="DL139" s="0" t="n">
        <v>0.0742305793866665</v>
      </c>
      <c r="DM139" s="0" t="n">
        <v>0.0973665343670234</v>
      </c>
      <c r="DN139" s="0" t="n">
        <v>0.0378134646710297</v>
      </c>
      <c r="DO139" s="0" t="n">
        <v>0.195642815515423</v>
      </c>
      <c r="DP139" s="0" t="n">
        <v>0.0801652798622418</v>
      </c>
      <c r="DQ139" s="0" t="n">
        <v>0.142395693776379</v>
      </c>
      <c r="DR139" s="0" t="n">
        <v>0.134859751799051</v>
      </c>
      <c r="DS139" s="0" t="n">
        <v>0.0148107581849706</v>
      </c>
      <c r="DT139" s="0" t="n">
        <v>0.138473410245607</v>
      </c>
      <c r="DU139" s="0" t="n">
        <v>0.154944211633001</v>
      </c>
      <c r="DV139" s="0" t="n">
        <v>0.0975211196767976</v>
      </c>
      <c r="DW139" s="0" t="n">
        <v>0.0343737511251886</v>
      </c>
      <c r="DX139" s="0" t="n">
        <v>0.259441296320896</v>
      </c>
      <c r="DY139" s="0" t="n">
        <v>0.101810879740307</v>
      </c>
      <c r="DZ139" s="0" t="n">
        <v>0.0381343104326932</v>
      </c>
      <c r="EA139" s="0" t="n">
        <v>0.133246361254796</v>
      </c>
      <c r="EB139" s="0" t="n">
        <v>0.121591919405932</v>
      </c>
      <c r="EC139" s="0" t="n">
        <v>0.0647769004281817</v>
      </c>
      <c r="ED139" s="0" t="n">
        <v>0.140333505954432</v>
      </c>
      <c r="EE139" s="0" t="n">
        <v>0.464171273895559</v>
      </c>
      <c r="EF139" s="0" t="n">
        <v>0.137019976722962</v>
      </c>
      <c r="EG139" s="0" t="n">
        <v>0.355931317636159</v>
      </c>
      <c r="EH139" s="0" t="n">
        <v>0.0046970582957296</v>
      </c>
      <c r="EI139" s="0" t="n">
        <v>0.347984628581089</v>
      </c>
      <c r="EJ139" s="0" t="n">
        <v>0.133905503791343</v>
      </c>
      <c r="EK139" s="0" t="n">
        <v>0.309868026062091</v>
      </c>
      <c r="EL139" s="0" t="n">
        <v>0.346254378073907</v>
      </c>
      <c r="EM139" s="0" t="n">
        <v>0.174884174134667</v>
      </c>
      <c r="EN139" s="0" t="n">
        <v>0.0707280189146074</v>
      </c>
      <c r="EO139" s="0" t="n">
        <v>0.16814379134918</v>
      </c>
      <c r="EP139" s="72" t="n">
        <f aca="false">SUMPRODUCT(B139:EO139,$B$5:$EO$5)</f>
        <v>0.322750250109393</v>
      </c>
      <c r="EQ139" s="72" t="n">
        <f aca="false">SUMIF('Mi portafolio'!$A$8:$A$19,$A139,'Mi portafolio'!$B$8:$B$19)</f>
        <v>0</v>
      </c>
    </row>
    <row r="140" customFormat="false" ht="15" hidden="false" customHeight="false" outlineLevel="0" collapsed="false">
      <c r="A140" s="71" t="s">
        <v>369</v>
      </c>
      <c r="B140" s="0" t="n">
        <v>0.0065326201855996</v>
      </c>
      <c r="C140" s="0" t="n">
        <v>0.0127000209330389</v>
      </c>
      <c r="D140" s="0" t="n">
        <v>0.010966194993916</v>
      </c>
      <c r="E140" s="0" t="n">
        <v>0.0014695783704948</v>
      </c>
      <c r="F140" s="0" t="n">
        <v>-0.008656729512174</v>
      </c>
      <c r="G140" s="0" t="n">
        <v>0.0098401725340958</v>
      </c>
      <c r="H140" s="0" t="n">
        <v>0.0004784345615741</v>
      </c>
      <c r="I140" s="0" t="n">
        <v>0.0004922536764817</v>
      </c>
      <c r="J140" s="0" t="n">
        <v>0.0076247935264383</v>
      </c>
      <c r="K140" s="0" t="n">
        <v>0.0173416953494845</v>
      </c>
      <c r="L140" s="0" t="n">
        <v>0.0101187077477686</v>
      </c>
      <c r="M140" s="0" t="n">
        <v>0.0373561832873825</v>
      </c>
      <c r="N140" s="0" t="n">
        <v>0.0238825698404371</v>
      </c>
      <c r="O140" s="0" t="n">
        <v>0.0104901968176267</v>
      </c>
      <c r="P140" s="0" t="n">
        <v>-0.0095016345586452</v>
      </c>
      <c r="Q140" s="0" t="n">
        <v>0.0108458040713295</v>
      </c>
      <c r="R140" s="0" t="n">
        <v>0.0108618803009673</v>
      </c>
      <c r="S140" s="0" t="n">
        <v>0.0020056447153652</v>
      </c>
      <c r="T140" s="0" t="n">
        <v>0.0429359361905654</v>
      </c>
      <c r="U140" s="0" t="n">
        <v>0.0111762986586893</v>
      </c>
      <c r="V140" s="0" t="n">
        <v>0.0101366561732483</v>
      </c>
      <c r="W140" s="0" t="n">
        <v>0.0068465270536642</v>
      </c>
      <c r="X140" s="0" t="n">
        <v>0.04693571027486</v>
      </c>
      <c r="Y140" s="0" t="n">
        <v>0.0188807184763045</v>
      </c>
      <c r="Z140" s="0" t="n">
        <v>0.0249777416302041</v>
      </c>
      <c r="AA140" s="0" t="n">
        <v>0.0006471678287959</v>
      </c>
      <c r="AB140" s="0" t="n">
        <v>0.0162908946436411</v>
      </c>
      <c r="AC140" s="0" t="n">
        <v>-0.0049405813335005</v>
      </c>
      <c r="AD140" s="0" t="n">
        <v>0.0143849894625028</v>
      </c>
      <c r="AE140" s="0" t="n">
        <v>0.0164290810987698</v>
      </c>
      <c r="AF140" s="0" t="n">
        <v>0.0260597745355667</v>
      </c>
      <c r="AG140" s="0" t="n">
        <v>0.0016074491213167</v>
      </c>
      <c r="AH140" s="0" t="n">
        <v>0.0036893916515102</v>
      </c>
      <c r="AI140" s="0" t="n">
        <v>0.0028918088123323</v>
      </c>
      <c r="AJ140" s="0" t="n">
        <v>0.016943234988564</v>
      </c>
      <c r="AK140" s="0" t="n">
        <v>0.0238773751661004</v>
      </c>
      <c r="AL140" s="0" t="n">
        <v>0.0488072736618047</v>
      </c>
      <c r="AM140" s="0" t="n">
        <v>0.0239620362137654</v>
      </c>
      <c r="AN140" s="0" t="n">
        <v>0.0243152833713945</v>
      </c>
      <c r="AO140" s="0" t="n">
        <v>0.0022522883175705</v>
      </c>
      <c r="AP140" s="0" t="n">
        <v>0.0238217632236665</v>
      </c>
      <c r="AQ140" s="0" t="n">
        <v>0.0028993101346208</v>
      </c>
      <c r="AR140" s="0" t="n">
        <v>0.0515932739796269</v>
      </c>
      <c r="AS140" s="0" t="n">
        <v>0.0162776839330333</v>
      </c>
      <c r="AT140" s="0" t="n">
        <v>0.0287804301445856</v>
      </c>
      <c r="AU140" s="0" t="n">
        <v>-0.0010803325799648</v>
      </c>
      <c r="AV140" s="0" t="n">
        <v>0.0204417563746525</v>
      </c>
      <c r="AW140" s="0" t="n">
        <v>0.0307505344966034</v>
      </c>
      <c r="AX140" s="0" t="n">
        <v>-0.0051160004637592</v>
      </c>
      <c r="AY140" s="0" t="n">
        <v>0.0351643989367596</v>
      </c>
      <c r="AZ140" s="0" t="n">
        <v>0.0276864288517437</v>
      </c>
      <c r="BA140" s="0" t="n">
        <v>0.0368311467845331</v>
      </c>
      <c r="BB140" s="0" t="n">
        <v>0.0661983703997638</v>
      </c>
      <c r="BC140" s="0" t="n">
        <v>0.007041490050801</v>
      </c>
      <c r="BD140" s="0" t="n">
        <v>0.0169376569998571</v>
      </c>
      <c r="BE140" s="0" t="n">
        <v>0.0269121476015826</v>
      </c>
      <c r="BF140" s="0" t="n">
        <v>0.0289092541366149</v>
      </c>
      <c r="BG140" s="0" t="n">
        <v>0.0405741888303036</v>
      </c>
      <c r="BH140" s="0" t="n">
        <v>0.0158062667673495</v>
      </c>
      <c r="BI140" s="0" t="n">
        <v>0.0126127427341447</v>
      </c>
      <c r="BJ140" s="0" t="n">
        <v>0.009809900446322</v>
      </c>
      <c r="BK140" s="0" t="n">
        <v>0.0249675539828797</v>
      </c>
      <c r="BL140" s="0" t="n">
        <v>0.102816485557716</v>
      </c>
      <c r="BM140" s="0" t="n">
        <v>0.0214575752448848</v>
      </c>
      <c r="BN140" s="0" t="n">
        <v>0.0226757796056358</v>
      </c>
      <c r="BO140" s="0" t="n">
        <v>0.0163315399720474</v>
      </c>
      <c r="BP140" s="0" t="n">
        <v>0.0155897032019352</v>
      </c>
      <c r="BQ140" s="0" t="n">
        <v>0.0563988319265918</v>
      </c>
      <c r="BR140" s="0" t="n">
        <v>0.0587038837189818</v>
      </c>
      <c r="BS140" s="0" t="n">
        <v>0.0054701735018721</v>
      </c>
      <c r="BT140" s="0" t="n">
        <v>0.0707106363351928</v>
      </c>
      <c r="BU140" s="0" t="n">
        <v>0.010022435600247</v>
      </c>
      <c r="BV140" s="0" t="n">
        <v>0.024976918730531</v>
      </c>
      <c r="BW140" s="0" t="n">
        <v>0.0354674332370357</v>
      </c>
      <c r="BX140" s="0" t="n">
        <v>0.0015783820274924</v>
      </c>
      <c r="BY140" s="0" t="n">
        <v>0.0298830771687146</v>
      </c>
      <c r="BZ140" s="0" t="n">
        <v>0.0680317788482762</v>
      </c>
      <c r="CA140" s="0" t="n">
        <v>0.018004122679265</v>
      </c>
      <c r="CB140" s="0" t="n">
        <v>0.0081887228236089</v>
      </c>
      <c r="CC140" s="0" t="n">
        <v>0.0198021574993113</v>
      </c>
      <c r="CD140" s="0" t="n">
        <v>0.0169467363594321</v>
      </c>
      <c r="CE140" s="0" t="n">
        <v>0.0580358277249424</v>
      </c>
      <c r="CF140" s="0" t="n">
        <v>0.0049111435987716</v>
      </c>
      <c r="CG140" s="0" t="n">
        <v>0.0211989240803551</v>
      </c>
      <c r="CH140" s="0" t="n">
        <v>0.0821852493119952</v>
      </c>
      <c r="CI140" s="0" t="n">
        <v>0.0023813117599855</v>
      </c>
      <c r="CJ140" s="0" t="n">
        <v>0.0241919030388974</v>
      </c>
      <c r="CK140" s="0" t="n">
        <v>0.0339038103793173</v>
      </c>
      <c r="CL140" s="0" t="n">
        <v>0.0507793913170586</v>
      </c>
      <c r="CM140" s="0" t="n">
        <v>0.071467739484189</v>
      </c>
      <c r="CN140" s="0" t="n">
        <v>0.015434292862942</v>
      </c>
      <c r="CO140" s="0" t="n">
        <v>0.0153188164875787</v>
      </c>
      <c r="CP140" s="0" t="n">
        <v>0.0446760605230895</v>
      </c>
      <c r="CQ140" s="0" t="n">
        <v>0.0872828555907738</v>
      </c>
      <c r="CR140" s="0" t="n">
        <v>0.0776387529664606</v>
      </c>
      <c r="CS140" s="0" t="n">
        <v>0.0917743554764966</v>
      </c>
      <c r="CT140" s="0" t="n">
        <v>0.0398834952496573</v>
      </c>
      <c r="CU140" s="0" t="n">
        <v>0.0611622062268934</v>
      </c>
      <c r="CV140" s="0" t="n">
        <v>0.043834538040873</v>
      </c>
      <c r="CW140" s="0" t="n">
        <v>0.0277279339709314</v>
      </c>
      <c r="CX140" s="0" t="n">
        <v>0.067580361178107</v>
      </c>
      <c r="CY140" s="0" t="n">
        <v>0.0780653077067534</v>
      </c>
      <c r="CZ140" s="0" t="n">
        <v>0.0159003611639556</v>
      </c>
      <c r="DA140" s="0" t="n">
        <v>0.0315488761277513</v>
      </c>
      <c r="DB140" s="0" t="n">
        <v>0.0478536329481357</v>
      </c>
      <c r="DC140" s="0" t="n">
        <v>0.0447662883435882</v>
      </c>
      <c r="DD140" s="0" t="n">
        <v>0.0708250724015611</v>
      </c>
      <c r="DE140" s="0" t="n">
        <v>0.132185985681104</v>
      </c>
      <c r="DF140" s="0" t="n">
        <v>0.0087824765586458</v>
      </c>
      <c r="DG140" s="0" t="n">
        <v>0.120472648700213</v>
      </c>
      <c r="DH140" s="0" t="n">
        <v>0.0896197375695861</v>
      </c>
      <c r="DI140" s="0" t="n">
        <v>0.0710668544400591</v>
      </c>
      <c r="DJ140" s="0" t="n">
        <v>0.0637265604735425</v>
      </c>
      <c r="DK140" s="0" t="n">
        <v>0.109123765333464</v>
      </c>
      <c r="DL140" s="0" t="n">
        <v>0.0702552324302193</v>
      </c>
      <c r="DM140" s="0" t="n">
        <v>0.0953213073204756</v>
      </c>
      <c r="DN140" s="0" t="n">
        <v>0.0614656754744221</v>
      </c>
      <c r="DO140" s="0" t="n">
        <v>0.108319680464472</v>
      </c>
      <c r="DP140" s="0" t="n">
        <v>0.0888732147456193</v>
      </c>
      <c r="DQ140" s="0" t="n">
        <v>0.0973763309968891</v>
      </c>
      <c r="DR140" s="0" t="n">
        <v>0.153412068304246</v>
      </c>
      <c r="DS140" s="0" t="n">
        <v>0.0269631752003924</v>
      </c>
      <c r="DT140" s="0" t="n">
        <v>0.0349524836359114</v>
      </c>
      <c r="DU140" s="0" t="n">
        <v>0.1249027162494</v>
      </c>
      <c r="DV140" s="0" t="n">
        <v>0.0839710074520839</v>
      </c>
      <c r="DW140" s="0" t="n">
        <v>0.0565496717484345</v>
      </c>
      <c r="DX140" s="0" t="n">
        <v>0.103832309476903</v>
      </c>
      <c r="DY140" s="0" t="n">
        <v>0.103384192629996</v>
      </c>
      <c r="DZ140" s="0" t="n">
        <v>0.0457367167098557</v>
      </c>
      <c r="EA140" s="0" t="n">
        <v>0.106554372836649</v>
      </c>
      <c r="EB140" s="0" t="n">
        <v>0.118871589229026</v>
      </c>
      <c r="EC140" s="0" t="n">
        <v>0.0352293730235215</v>
      </c>
      <c r="ED140" s="0" t="n">
        <v>0.0513575564566269</v>
      </c>
      <c r="EE140" s="0" t="n">
        <v>0.137019976722962</v>
      </c>
      <c r="EF140" s="0" t="n">
        <v>0.478088339790275</v>
      </c>
      <c r="EG140" s="0" t="n">
        <v>0.142744520607593</v>
      </c>
      <c r="EH140" s="0" t="n">
        <v>0.0268768508129898</v>
      </c>
      <c r="EI140" s="0" t="n">
        <v>0.15845935390399</v>
      </c>
      <c r="EJ140" s="0" t="n">
        <v>0.0503947395933499</v>
      </c>
      <c r="EK140" s="0" t="n">
        <v>0.158957388631916</v>
      </c>
      <c r="EL140" s="0" t="n">
        <v>0.193648654115231</v>
      </c>
      <c r="EM140" s="0" t="n">
        <v>0.120600433162152</v>
      </c>
      <c r="EN140" s="0" t="n">
        <v>-0.046792839495824</v>
      </c>
      <c r="EO140" s="0" t="n">
        <v>0.0499679739390721</v>
      </c>
      <c r="EP140" s="72" t="n">
        <f aca="false">SUMPRODUCT(B140:EO140,$B$5:$EO$5)</f>
        <v>0.139971905978571</v>
      </c>
      <c r="EQ140" s="72" t="n">
        <f aca="false">SUMIF('Mi portafolio'!$A$8:$A$19,$A140,'Mi portafolio'!$B$8:$B$19)</f>
        <v>0</v>
      </c>
    </row>
    <row r="141" customFormat="false" ht="15" hidden="false" customHeight="false" outlineLevel="0" collapsed="false">
      <c r="A141" s="71" t="s">
        <v>105</v>
      </c>
      <c r="B141" s="0" t="n">
        <v>-0.0083671210444255</v>
      </c>
      <c r="C141" s="0" t="n">
        <v>0.0099872811605148</v>
      </c>
      <c r="D141" s="0" t="n">
        <v>-0.0012516326742691</v>
      </c>
      <c r="E141" s="0" t="n">
        <v>0.0090844726260415</v>
      </c>
      <c r="F141" s="0" t="n">
        <v>-0.0146048075053598</v>
      </c>
      <c r="G141" s="0" t="n">
        <v>0.0080054278102301</v>
      </c>
      <c r="H141" s="0" t="n">
        <v>0.0136160692343276</v>
      </c>
      <c r="I141" s="0" t="n">
        <v>-0.0254985942903272</v>
      </c>
      <c r="J141" s="0" t="n">
        <v>-0.0166738414463824</v>
      </c>
      <c r="K141" s="0" t="n">
        <v>-0.012421337394771</v>
      </c>
      <c r="L141" s="0" t="n">
        <v>0.031389353335008</v>
      </c>
      <c r="M141" s="0" t="n">
        <v>0.0380496626764997</v>
      </c>
      <c r="N141" s="0" t="n">
        <v>0.002843988760842</v>
      </c>
      <c r="O141" s="0" t="n">
        <v>0.0187625252140195</v>
      </c>
      <c r="P141" s="0" t="n">
        <v>-0.0103022311830114</v>
      </c>
      <c r="Q141" s="0" t="n">
        <v>0.0160865840812003</v>
      </c>
      <c r="R141" s="0" t="n">
        <v>-0.0180613352131911</v>
      </c>
      <c r="S141" s="0" t="n">
        <v>0.0176096783998542</v>
      </c>
      <c r="T141" s="0" t="n">
        <v>0.0231510939999396</v>
      </c>
      <c r="U141" s="0" t="n">
        <v>0.0164625503135303</v>
      </c>
      <c r="V141" s="0" t="n">
        <v>-0.0002298493250615</v>
      </c>
      <c r="W141" s="0" t="n">
        <v>0.0162387765110872</v>
      </c>
      <c r="X141" s="0" t="n">
        <v>0.0245132743945007</v>
      </c>
      <c r="Y141" s="0" t="n">
        <v>-0.0051397017413248</v>
      </c>
      <c r="Z141" s="0" t="n">
        <v>0.0085162399569886</v>
      </c>
      <c r="AA141" s="0" t="n">
        <v>0.0211874385650877</v>
      </c>
      <c r="AB141" s="0" t="n">
        <v>-0.0117673728092088</v>
      </c>
      <c r="AC141" s="0" t="n">
        <v>0.0040527703395027</v>
      </c>
      <c r="AD141" s="0" t="n">
        <v>0.0370758493757037</v>
      </c>
      <c r="AE141" s="0" t="n">
        <v>0.0256365889283187</v>
      </c>
      <c r="AF141" s="0" t="n">
        <v>0.0401597238003337</v>
      </c>
      <c r="AG141" s="0" t="n">
        <v>-0.0414781282123147</v>
      </c>
      <c r="AH141" s="0" t="n">
        <v>-0.0368478526309851</v>
      </c>
      <c r="AI141" s="0" t="n">
        <v>-0.0306975442908913</v>
      </c>
      <c r="AJ141" s="0" t="n">
        <v>0.0081290546558032</v>
      </c>
      <c r="AK141" s="0" t="n">
        <v>0.0400699736123905</v>
      </c>
      <c r="AL141" s="0" t="n">
        <v>0.018678437787376</v>
      </c>
      <c r="AM141" s="0" t="n">
        <v>0.0223538968273012</v>
      </c>
      <c r="AN141" s="0" t="n">
        <v>0.0162202764905005</v>
      </c>
      <c r="AO141" s="0" t="n">
        <v>-0.0161722191712466</v>
      </c>
      <c r="AP141" s="0" t="n">
        <v>0.0060031692860561</v>
      </c>
      <c r="AQ141" s="0" t="n">
        <v>-0.0308243565609445</v>
      </c>
      <c r="AR141" s="0" t="n">
        <v>0.0169345192744769</v>
      </c>
      <c r="AS141" s="0" t="n">
        <v>0.0264649986807726</v>
      </c>
      <c r="AT141" s="0" t="n">
        <v>0.0226063153609865</v>
      </c>
      <c r="AU141" s="0" t="n">
        <v>-0.0046186453115423</v>
      </c>
      <c r="AV141" s="0" t="n">
        <v>0.022399926960295</v>
      </c>
      <c r="AW141" s="0" t="n">
        <v>0.0465170463959958</v>
      </c>
      <c r="AX141" s="0" t="n">
        <v>-0.0081287929565376</v>
      </c>
      <c r="AY141" s="0" t="n">
        <v>0.0400710200810127</v>
      </c>
      <c r="AZ141" s="0" t="n">
        <v>0.0543798369020838</v>
      </c>
      <c r="BA141" s="0" t="n">
        <v>0.0400202115952665</v>
      </c>
      <c r="BB141" s="0" t="n">
        <v>0.0631260675055566</v>
      </c>
      <c r="BC141" s="0" t="n">
        <v>0.0191337674505647</v>
      </c>
      <c r="BD141" s="0" t="n">
        <v>0.0288451633818649</v>
      </c>
      <c r="BE141" s="0" t="n">
        <v>0.0008065581465958</v>
      </c>
      <c r="BF141" s="0" t="n">
        <v>0.0311539055554554</v>
      </c>
      <c r="BG141" s="0" t="n">
        <v>0.0148797859144733</v>
      </c>
      <c r="BH141" s="0" t="n">
        <v>0.0177600772830637</v>
      </c>
      <c r="BI141" s="0" t="n">
        <v>0.0136429361445769</v>
      </c>
      <c r="BJ141" s="0" t="n">
        <v>0.0140296799664496</v>
      </c>
      <c r="BK141" s="0" t="n">
        <v>0.0389591960989697</v>
      </c>
      <c r="BL141" s="0" t="n">
        <v>0.0833272803128067</v>
      </c>
      <c r="BM141" s="0" t="n">
        <v>0.0003629750398859</v>
      </c>
      <c r="BN141" s="0" t="n">
        <v>0.014230246496092</v>
      </c>
      <c r="BO141" s="0" t="n">
        <v>0.0582366067489447</v>
      </c>
      <c r="BP141" s="0" t="n">
        <v>0.0133821475186757</v>
      </c>
      <c r="BQ141" s="0" t="n">
        <v>0.0658304089187257</v>
      </c>
      <c r="BR141" s="0" t="n">
        <v>0.0457661955514583</v>
      </c>
      <c r="BS141" s="0" t="n">
        <v>-0.0158916429701966</v>
      </c>
      <c r="BT141" s="0" t="n">
        <v>0.0674268897734239</v>
      </c>
      <c r="BU141" s="0" t="n">
        <v>0.0092449258009755</v>
      </c>
      <c r="BV141" s="0" t="n">
        <v>0.0556258940016707</v>
      </c>
      <c r="BW141" s="0" t="n">
        <v>0.0258480490131937</v>
      </c>
      <c r="BX141" s="0" t="n">
        <v>-0.0057000502678134</v>
      </c>
      <c r="BY141" s="0" t="n">
        <v>0.0395253476620202</v>
      </c>
      <c r="BZ141" s="0" t="n">
        <v>0.0730329939299445</v>
      </c>
      <c r="CA141" s="0" t="n">
        <v>0.0291171911169236</v>
      </c>
      <c r="CB141" s="0" t="n">
        <v>-0.0079948139512299</v>
      </c>
      <c r="CC141" s="0" t="n">
        <v>0.0237358276940415</v>
      </c>
      <c r="CD141" s="0" t="n">
        <v>0.0093895887194301</v>
      </c>
      <c r="CE141" s="0" t="n">
        <v>0.0724106817052825</v>
      </c>
      <c r="CF141" s="0" t="n">
        <v>-0.0172885677160376</v>
      </c>
      <c r="CG141" s="0" t="n">
        <v>0.0244342748259867</v>
      </c>
      <c r="CH141" s="0" t="n">
        <v>0.0937868940722915</v>
      </c>
      <c r="CI141" s="0" t="n">
        <v>-0.0359867386421884</v>
      </c>
      <c r="CJ141" s="0" t="n">
        <v>-0.0157961391338102</v>
      </c>
      <c r="CK141" s="0" t="n">
        <v>-0.0036559985902593</v>
      </c>
      <c r="CL141" s="0" t="n">
        <v>0.0370886180617812</v>
      </c>
      <c r="CM141" s="0" t="n">
        <v>0.115641560448228</v>
      </c>
      <c r="CN141" s="0" t="n">
        <v>0.0224403412779586</v>
      </c>
      <c r="CO141" s="0" t="n">
        <v>0.0487992924352638</v>
      </c>
      <c r="CP141" s="0" t="n">
        <v>0.0645941729741889</v>
      </c>
      <c r="CQ141" s="0" t="n">
        <v>0.0888244391601205</v>
      </c>
      <c r="CR141" s="0" t="n">
        <v>0.164568307589522</v>
      </c>
      <c r="CS141" s="0" t="n">
        <v>0.15241581804944</v>
      </c>
      <c r="CT141" s="0" t="n">
        <v>0.0651719114009278</v>
      </c>
      <c r="CU141" s="0" t="n">
        <v>0.0546591380098509</v>
      </c>
      <c r="CV141" s="0" t="n">
        <v>0.058290581365861</v>
      </c>
      <c r="CW141" s="0" t="n">
        <v>0.0110554251239323</v>
      </c>
      <c r="CX141" s="0" t="n">
        <v>0.0684545064361712</v>
      </c>
      <c r="CY141" s="0" t="n">
        <v>0.0935813779514769</v>
      </c>
      <c r="CZ141" s="0" t="n">
        <v>0.0250149158703384</v>
      </c>
      <c r="DA141" s="0" t="n">
        <v>0.0008388204044039</v>
      </c>
      <c r="DB141" s="0" t="n">
        <v>0.134699856426246</v>
      </c>
      <c r="DC141" s="0" t="n">
        <v>0.0959038938924448</v>
      </c>
      <c r="DD141" s="0" t="n">
        <v>0.0659584380257981</v>
      </c>
      <c r="DE141" s="0" t="n">
        <v>0.139690001858935</v>
      </c>
      <c r="DF141" s="0" t="n">
        <v>-0.036744246720846</v>
      </c>
      <c r="DG141" s="0" t="n">
        <v>0.0949141673587196</v>
      </c>
      <c r="DH141" s="0" t="n">
        <v>0.159954763663143</v>
      </c>
      <c r="DI141" s="0" t="n">
        <v>0.115465310804396</v>
      </c>
      <c r="DJ141" s="0" t="n">
        <v>0.0707697959962278</v>
      </c>
      <c r="DK141" s="0" t="n">
        <v>0.13745100777563</v>
      </c>
      <c r="DL141" s="0" t="n">
        <v>0.0682184472374764</v>
      </c>
      <c r="DM141" s="0" t="n">
        <v>0.0895962892742164</v>
      </c>
      <c r="DN141" s="0" t="n">
        <v>0.0489719104023309</v>
      </c>
      <c r="DO141" s="0" t="n">
        <v>0.210208842149678</v>
      </c>
      <c r="DP141" s="0" t="n">
        <v>0.0764728857377381</v>
      </c>
      <c r="DQ141" s="0" t="n">
        <v>0.104786921030459</v>
      </c>
      <c r="DR141" s="0" t="n">
        <v>0.127623042721839</v>
      </c>
      <c r="DS141" s="0" t="n">
        <v>-0.0061857136772529</v>
      </c>
      <c r="DT141" s="0" t="n">
        <v>0.0975227487712194</v>
      </c>
      <c r="DU141" s="0" t="n">
        <v>0.107716283216023</v>
      </c>
      <c r="DV141" s="0" t="n">
        <v>0.0525415645130611</v>
      </c>
      <c r="DW141" s="0" t="n">
        <v>0.0110288943421517</v>
      </c>
      <c r="DX141" s="0" t="n">
        <v>0.2769014944809</v>
      </c>
      <c r="DY141" s="0" t="n">
        <v>0.0974071986139183</v>
      </c>
      <c r="DZ141" s="0" t="n">
        <v>0.0466516656906897</v>
      </c>
      <c r="EA141" s="0" t="n">
        <v>0.117371519060427</v>
      </c>
      <c r="EB141" s="0" t="n">
        <v>0.101476997943861</v>
      </c>
      <c r="EC141" s="0" t="n">
        <v>0.10063415975838</v>
      </c>
      <c r="ED141" s="0" t="n">
        <v>0.131913688258319</v>
      </c>
      <c r="EE141" s="0" t="n">
        <v>0.355931317636159</v>
      </c>
      <c r="EF141" s="0" t="n">
        <v>0.142744520607593</v>
      </c>
      <c r="EG141" s="0" t="n">
        <v>0.603551890125956</v>
      </c>
      <c r="EH141" s="0" t="n">
        <v>0.0194896990909541</v>
      </c>
      <c r="EI141" s="0" t="n">
        <v>0.373634280567731</v>
      </c>
      <c r="EJ141" s="0" t="n">
        <v>0.131523213454811</v>
      </c>
      <c r="EK141" s="0" t="n">
        <v>0.260288377635313</v>
      </c>
      <c r="EL141" s="0" t="n">
        <v>0.296889114524451</v>
      </c>
      <c r="EM141" s="0" t="n">
        <v>0.111523294395622</v>
      </c>
      <c r="EN141" s="0" t="n">
        <v>0.0810002667370169</v>
      </c>
      <c r="EO141" s="0" t="n">
        <v>0.118902692601437</v>
      </c>
      <c r="EP141" s="72" t="n">
        <f aca="false">SUMPRODUCT(B141:EO141,$B$5:$EO$5)</f>
        <v>0.437350923062708</v>
      </c>
      <c r="EQ141" s="72" t="n">
        <f aca="false">SUMIF('Mi portafolio'!$A$8:$A$19,$A141,'Mi portafolio'!$B$8:$B$19)</f>
        <v>0.41</v>
      </c>
    </row>
    <row r="142" customFormat="false" ht="15" hidden="false" customHeight="false" outlineLevel="0" collapsed="false">
      <c r="A142" s="71" t="s">
        <v>370</v>
      </c>
      <c r="B142" s="0" t="n">
        <v>0.0088916082154203</v>
      </c>
      <c r="C142" s="0" t="n">
        <v>-0.0009775777606138</v>
      </c>
      <c r="D142" s="0" t="n">
        <v>0.0086147702137287</v>
      </c>
      <c r="E142" s="0" t="n">
        <v>-0.002380390155432</v>
      </c>
      <c r="F142" s="0" t="n">
        <v>0.0094584855186684</v>
      </c>
      <c r="G142" s="0" t="n">
        <v>-0.0107172694146589</v>
      </c>
      <c r="H142" s="0" t="n">
        <v>-0.0063181581838461</v>
      </c>
      <c r="I142" s="0" t="n">
        <v>0.0222494100216886</v>
      </c>
      <c r="J142" s="0" t="n">
        <v>0.0023419824425334</v>
      </c>
      <c r="K142" s="0" t="n">
        <v>-0.0008788900493833</v>
      </c>
      <c r="L142" s="0" t="n">
        <v>0.0002777684215632</v>
      </c>
      <c r="M142" s="0" t="n">
        <v>0.0241137204046777</v>
      </c>
      <c r="N142" s="0" t="n">
        <v>0.017807950573306</v>
      </c>
      <c r="O142" s="0" t="n">
        <v>-0.0183367280087601</v>
      </c>
      <c r="P142" s="0" t="n">
        <v>0.0132752881199393</v>
      </c>
      <c r="Q142" s="0" t="n">
        <v>0.0022778986009974</v>
      </c>
      <c r="R142" s="0" t="n">
        <v>0.0036927297575119</v>
      </c>
      <c r="S142" s="0" t="n">
        <v>-0.0132657494219519</v>
      </c>
      <c r="T142" s="0" t="n">
        <v>0.0227450096349409</v>
      </c>
      <c r="U142" s="0" t="n">
        <v>-0.0051203501126901</v>
      </c>
      <c r="V142" s="0" t="n">
        <v>-0.0122064275433873</v>
      </c>
      <c r="W142" s="0" t="n">
        <v>-0.0034570490988397</v>
      </c>
      <c r="X142" s="0" t="n">
        <v>0.0086988783900896</v>
      </c>
      <c r="Y142" s="0" t="n">
        <v>0.0385367470466635</v>
      </c>
      <c r="Z142" s="0" t="n">
        <v>0.0052276989048413</v>
      </c>
      <c r="AA142" s="0" t="n">
        <v>0.0028753016657408</v>
      </c>
      <c r="AB142" s="0" t="n">
        <v>0.0383626913832282</v>
      </c>
      <c r="AC142" s="0" t="n">
        <v>-0.0172608988113435</v>
      </c>
      <c r="AD142" s="0" t="n">
        <v>-0.0132258512568263</v>
      </c>
      <c r="AE142" s="0" t="n">
        <v>-0.0101524263615367</v>
      </c>
      <c r="AF142" s="0" t="n">
        <v>-0.0236585833731521</v>
      </c>
      <c r="AG142" s="0" t="n">
        <v>0.0077854515544257</v>
      </c>
      <c r="AH142" s="0" t="n">
        <v>0.0009894112573017</v>
      </c>
      <c r="AI142" s="0" t="n">
        <v>-0.0125068234581964</v>
      </c>
      <c r="AJ142" s="0" t="n">
        <v>-0.0066987705703868</v>
      </c>
      <c r="AK142" s="0" t="n">
        <v>-0.006757950623222</v>
      </c>
      <c r="AL142" s="0" t="n">
        <v>0.0437140068268138</v>
      </c>
      <c r="AM142" s="0" t="n">
        <v>0.0095614811624073</v>
      </c>
      <c r="AN142" s="0" t="n">
        <v>0.0189179107232599</v>
      </c>
      <c r="AO142" s="0" t="n">
        <v>0.0147034493615499</v>
      </c>
      <c r="AP142" s="0" t="n">
        <v>0.040935182005843</v>
      </c>
      <c r="AQ142" s="0" t="n">
        <v>-0.0144801242213813</v>
      </c>
      <c r="AR142" s="0" t="n">
        <v>0.0303488997577531</v>
      </c>
      <c r="AS142" s="0" t="n">
        <v>-0.0056588931896633</v>
      </c>
      <c r="AT142" s="0" t="n">
        <v>0.0561530451461159</v>
      </c>
      <c r="AU142" s="0" t="n">
        <v>0.0010277102644185</v>
      </c>
      <c r="AV142" s="0" t="n">
        <v>0.0095641859284631</v>
      </c>
      <c r="AW142" s="0" t="n">
        <v>-0.0072285812943489</v>
      </c>
      <c r="AX142" s="0" t="n">
        <v>0.0067845074505592</v>
      </c>
      <c r="AY142" s="0" t="n">
        <v>0.0331218062944681</v>
      </c>
      <c r="AZ142" s="0" t="n">
        <v>-0.0018767978597068</v>
      </c>
      <c r="BA142" s="0" t="n">
        <v>0.0015243952011548</v>
      </c>
      <c r="BB142" s="0" t="n">
        <v>0.0474095687606196</v>
      </c>
      <c r="BC142" s="0" t="n">
        <v>0.0088844410505001</v>
      </c>
      <c r="BD142" s="0" t="n">
        <v>0.0133992787965009</v>
      </c>
      <c r="BE142" s="0" t="n">
        <v>0.0199016144910337</v>
      </c>
      <c r="BF142" s="0" t="n">
        <v>0.0014793003710055</v>
      </c>
      <c r="BG142" s="0" t="n">
        <v>0.0451500428466506</v>
      </c>
      <c r="BH142" s="0" t="n">
        <v>0.0053621460443053</v>
      </c>
      <c r="BI142" s="0" t="n">
        <v>-0.0123070906182115</v>
      </c>
      <c r="BJ142" s="0" t="n">
        <v>-0.0255125134865114</v>
      </c>
      <c r="BK142" s="0" t="n">
        <v>-0.01273717390927</v>
      </c>
      <c r="BL142" s="0" t="n">
        <v>0.0055900372787988</v>
      </c>
      <c r="BM142" s="0" t="n">
        <v>0.0345144749842333</v>
      </c>
      <c r="BN142" s="0" t="n">
        <v>-0.0103938130218519</v>
      </c>
      <c r="BO142" s="0" t="n">
        <v>0.0542713931429167</v>
      </c>
      <c r="BP142" s="0" t="n">
        <v>0.0693515695209331</v>
      </c>
      <c r="BQ142" s="0" t="n">
        <v>0.0038932900953026</v>
      </c>
      <c r="BR142" s="0" t="n">
        <v>0.0566161212644261</v>
      </c>
      <c r="BS142" s="0" t="n">
        <v>-0.0127629864442012</v>
      </c>
      <c r="BT142" s="0" t="n">
        <v>0.026128654331961</v>
      </c>
      <c r="BU142" s="0" t="n">
        <v>-0.0130681210361789</v>
      </c>
      <c r="BV142" s="0" t="n">
        <v>0.0692970739627053</v>
      </c>
      <c r="BW142" s="0" t="n">
        <v>0.0488162647063049</v>
      </c>
      <c r="BX142" s="0" t="n">
        <v>0.0395106323233803</v>
      </c>
      <c r="BY142" s="0" t="n">
        <v>0.0345652963933993</v>
      </c>
      <c r="BZ142" s="0" t="n">
        <v>0.0514571876261285</v>
      </c>
      <c r="CA142" s="0" t="n">
        <v>-0.0299371910913208</v>
      </c>
      <c r="CB142" s="0" t="n">
        <v>-0.0003611631411699</v>
      </c>
      <c r="CC142" s="0" t="n">
        <v>0.0338362340840497</v>
      </c>
      <c r="CD142" s="0" t="n">
        <v>0.0711301721299159</v>
      </c>
      <c r="CE142" s="0" t="n">
        <v>0.004175525620854</v>
      </c>
      <c r="CF142" s="0" t="n">
        <v>-0.012513040570206</v>
      </c>
      <c r="CG142" s="0" t="n">
        <v>0.0853328556127752</v>
      </c>
      <c r="CH142" s="0" t="n">
        <v>-0.0192675262829112</v>
      </c>
      <c r="CI142" s="0" t="n">
        <v>-0.0319442774014503</v>
      </c>
      <c r="CJ142" s="0" t="n">
        <v>0.0905982745613803</v>
      </c>
      <c r="CK142" s="0" t="n">
        <v>0.0514201674620987</v>
      </c>
      <c r="CL142" s="0" t="n">
        <v>0.0399396504894176</v>
      </c>
      <c r="CM142" s="0" t="n">
        <v>0.0365688346286629</v>
      </c>
      <c r="CN142" s="0" t="n">
        <v>-0.0217671366428348</v>
      </c>
      <c r="CO142" s="0" t="n">
        <v>0.0228836210702316</v>
      </c>
      <c r="CP142" s="0" t="n">
        <v>0.0500475516029471</v>
      </c>
      <c r="CQ142" s="0" t="n">
        <v>0.049289265491588</v>
      </c>
      <c r="CR142" s="0" t="n">
        <v>0.0286344006130026</v>
      </c>
      <c r="CS142" s="0" t="n">
        <v>-0.0200684090781325</v>
      </c>
      <c r="CT142" s="0" t="n">
        <v>0.0628837854845218</v>
      </c>
      <c r="CU142" s="0" t="n">
        <v>0.0403409270428405</v>
      </c>
      <c r="CV142" s="0" t="n">
        <v>0.0547891570462003</v>
      </c>
      <c r="CW142" s="0" t="n">
        <v>0.1034915049423</v>
      </c>
      <c r="CX142" s="0" t="n">
        <v>0.0720356974366223</v>
      </c>
      <c r="CY142" s="0" t="n">
        <v>0.0538414372451787</v>
      </c>
      <c r="CZ142" s="0" t="n">
        <v>0.101418536497844</v>
      </c>
      <c r="DA142" s="0" t="n">
        <v>0.12435559426404</v>
      </c>
      <c r="DB142" s="0" t="n">
        <v>0.0454837026564102</v>
      </c>
      <c r="DC142" s="0" t="n">
        <v>0.0005442066940199</v>
      </c>
      <c r="DD142" s="0" t="n">
        <v>0.126476818771115</v>
      </c>
      <c r="DE142" s="0" t="n">
        <v>0.0063380425760288</v>
      </c>
      <c r="DF142" s="0" t="n">
        <v>0.113471477033708</v>
      </c>
      <c r="DG142" s="0" t="n">
        <v>0.0039229377822071</v>
      </c>
      <c r="DH142" s="0" t="n">
        <v>0.0389427153338772</v>
      </c>
      <c r="DI142" s="0" t="n">
        <v>0.060123903888748</v>
      </c>
      <c r="DJ142" s="0" t="n">
        <v>0.0389605326787771</v>
      </c>
      <c r="DK142" s="0" t="n">
        <v>0.0560939991490976</v>
      </c>
      <c r="DL142" s="0" t="n">
        <v>-0.0396500985931445</v>
      </c>
      <c r="DM142" s="0" t="n">
        <v>0.0596394783639241</v>
      </c>
      <c r="DN142" s="0" t="n">
        <v>0.0985482479101872</v>
      </c>
      <c r="DO142" s="0" t="n">
        <v>-0.0032809797381759</v>
      </c>
      <c r="DP142" s="0" t="n">
        <v>0.0783413904950508</v>
      </c>
      <c r="DQ142" s="0" t="n">
        <v>0.0376536044803892</v>
      </c>
      <c r="DR142" s="0" t="n">
        <v>0.0140681460245491</v>
      </c>
      <c r="DS142" s="0" t="n">
        <v>0.0963574397667765</v>
      </c>
      <c r="DT142" s="0" t="n">
        <v>0.0786315667502024</v>
      </c>
      <c r="DU142" s="0" t="n">
        <v>0.129184329279837</v>
      </c>
      <c r="DV142" s="0" t="n">
        <v>0.108446696519792</v>
      </c>
      <c r="DW142" s="0" t="n">
        <v>0.193991301135326</v>
      </c>
      <c r="DX142" s="0" t="n">
        <v>-0.0035366402542331</v>
      </c>
      <c r="DY142" s="0" t="n">
        <v>0.168703449660021</v>
      </c>
      <c r="DZ142" s="0" t="n">
        <v>0.130006755689091</v>
      </c>
      <c r="EA142" s="0" t="n">
        <v>0.0292820792543497</v>
      </c>
      <c r="EB142" s="0" t="n">
        <v>0.180293355695662</v>
      </c>
      <c r="EC142" s="0" t="n">
        <v>-0.0044147186302438</v>
      </c>
      <c r="ED142" s="0" t="n">
        <v>0.0965293335375447</v>
      </c>
      <c r="EE142" s="0" t="n">
        <v>0.0046970582957296</v>
      </c>
      <c r="EF142" s="0" t="n">
        <v>0.0268768508129898</v>
      </c>
      <c r="EG142" s="0" t="n">
        <v>0.0194896990909541</v>
      </c>
      <c r="EH142" s="0" t="n">
        <v>0.609681703337281</v>
      </c>
      <c r="EI142" s="0" t="n">
        <v>0.0256674319336417</v>
      </c>
      <c r="EJ142" s="0" t="n">
        <v>0.134548203672463</v>
      </c>
      <c r="EK142" s="0" t="n">
        <v>0.120964156491754</v>
      </c>
      <c r="EL142" s="0" t="n">
        <v>0.0836889527303587</v>
      </c>
      <c r="EM142" s="0" t="n">
        <v>0.294645138233158</v>
      </c>
      <c r="EN142" s="0" t="n">
        <v>0.144078674426049</v>
      </c>
      <c r="EO142" s="0" t="n">
        <v>0.0902770128187828</v>
      </c>
      <c r="EP142" s="72" t="n">
        <f aca="false">SUMPRODUCT(B142:EO142,$B$5:$EO$5)</f>
        <v>0.020198841009093</v>
      </c>
      <c r="EQ142" s="72" t="n">
        <f aca="false">SUMIF('Mi portafolio'!$A$8:$A$19,$A142,'Mi portafolio'!$B$8:$B$19)</f>
        <v>0</v>
      </c>
    </row>
    <row r="143" customFormat="false" ht="15" hidden="false" customHeight="false" outlineLevel="0" collapsed="false">
      <c r="A143" s="71" t="s">
        <v>104</v>
      </c>
      <c r="B143" s="0" t="n">
        <v>-0.0256187256189332</v>
      </c>
      <c r="C143" s="0" t="n">
        <v>0.0032185705353926</v>
      </c>
      <c r="D143" s="0" t="n">
        <v>0.0088611822209742</v>
      </c>
      <c r="E143" s="0" t="n">
        <v>-0.0025661856800389</v>
      </c>
      <c r="F143" s="0" t="n">
        <v>-0.0334852709701844</v>
      </c>
      <c r="G143" s="0" t="n">
        <v>0.0007975509329203</v>
      </c>
      <c r="H143" s="0" t="n">
        <v>0.0046326262873482</v>
      </c>
      <c r="I143" s="0" t="n">
        <v>-0.0379189392606548</v>
      </c>
      <c r="J143" s="0" t="n">
        <v>-0.0302013696091547</v>
      </c>
      <c r="K143" s="0" t="n">
        <v>-0.0403893701515249</v>
      </c>
      <c r="L143" s="0" t="n">
        <v>0.0137242085377669</v>
      </c>
      <c r="M143" s="0" t="n">
        <v>0.0323526326624487</v>
      </c>
      <c r="N143" s="0" t="n">
        <v>-0.0067680386367526</v>
      </c>
      <c r="O143" s="0" t="n">
        <v>0.0024651671873428</v>
      </c>
      <c r="P143" s="0" t="n">
        <v>-0.0354434405624118</v>
      </c>
      <c r="Q143" s="0" t="n">
        <v>0.0004398448627276</v>
      </c>
      <c r="R143" s="0" t="n">
        <v>-0.0476002500515678</v>
      </c>
      <c r="S143" s="0" t="n">
        <v>0.0013292719379606</v>
      </c>
      <c r="T143" s="0" t="n">
        <v>0.0136782166426303</v>
      </c>
      <c r="U143" s="0" t="n">
        <v>0.0035219121007269</v>
      </c>
      <c r="V143" s="0" t="n">
        <v>-0.0043030487210918</v>
      </c>
      <c r="W143" s="0" t="n">
        <v>0.0034993125961587</v>
      </c>
      <c r="X143" s="0" t="n">
        <v>0.017338899044799</v>
      </c>
      <c r="Y143" s="0" t="n">
        <v>-0.0234168272280359</v>
      </c>
      <c r="Z143" s="0" t="n">
        <v>0.0172718028323272</v>
      </c>
      <c r="AA143" s="0" t="n">
        <v>0.0114097198842112</v>
      </c>
      <c r="AB143" s="0" t="n">
        <v>-0.0270209446657904</v>
      </c>
      <c r="AC143" s="0" t="n">
        <v>0.0038648537178452</v>
      </c>
      <c r="AD143" s="0" t="n">
        <v>0.0227484601389598</v>
      </c>
      <c r="AE143" s="0" t="n">
        <v>0.0346963896041816</v>
      </c>
      <c r="AF143" s="0" t="n">
        <v>0.0231790112886129</v>
      </c>
      <c r="AG143" s="0" t="n">
        <v>-0.0477951462512623</v>
      </c>
      <c r="AH143" s="0" t="n">
        <v>-0.0444254988625721</v>
      </c>
      <c r="AI143" s="0" t="n">
        <v>-0.0419336844025777</v>
      </c>
      <c r="AJ143" s="0" t="n">
        <v>0.0136133031044542</v>
      </c>
      <c r="AK143" s="0" t="n">
        <v>0.0341588245725533</v>
      </c>
      <c r="AL143" s="0" t="n">
        <v>-0.0002033483072052</v>
      </c>
      <c r="AM143" s="0" t="n">
        <v>0.0053656560421412</v>
      </c>
      <c r="AN143" s="0" t="n">
        <v>0.0016238142911527</v>
      </c>
      <c r="AO143" s="0" t="n">
        <v>-0.0216456491079939</v>
      </c>
      <c r="AP143" s="0" t="n">
        <v>-0.0203058294778119</v>
      </c>
      <c r="AQ143" s="0" t="n">
        <v>-0.0348318280996568</v>
      </c>
      <c r="AR143" s="0" t="n">
        <v>0.0061661956587108</v>
      </c>
      <c r="AS143" s="0" t="n">
        <v>0.0236124063117183</v>
      </c>
      <c r="AT143" s="0" t="n">
        <v>0.0174155581495628</v>
      </c>
      <c r="AU143" s="0" t="n">
        <v>-0.0354765661812413</v>
      </c>
      <c r="AV143" s="0" t="n">
        <v>0.0001367377702636</v>
      </c>
      <c r="AW143" s="0" t="n">
        <v>0.0316033879410622</v>
      </c>
      <c r="AX143" s="0" t="n">
        <v>-0.024166776090974</v>
      </c>
      <c r="AY143" s="0" t="n">
        <v>0.0203774457526754</v>
      </c>
      <c r="AZ143" s="0" t="n">
        <v>0.0640312488847352</v>
      </c>
      <c r="BA143" s="0" t="n">
        <v>0.0452042946247852</v>
      </c>
      <c r="BB143" s="0" t="n">
        <v>0.0640589563744874</v>
      </c>
      <c r="BC143" s="0" t="n">
        <v>0.0169584716695336</v>
      </c>
      <c r="BD143" s="0" t="n">
        <v>0.0221793327365067</v>
      </c>
      <c r="BE143" s="0" t="n">
        <v>-0.0052692891027977</v>
      </c>
      <c r="BF143" s="0" t="n">
        <v>0.0220226367527303</v>
      </c>
      <c r="BG143" s="0" t="n">
        <v>0.0125184373034004</v>
      </c>
      <c r="BH143" s="0" t="n">
        <v>0.0167399763472635</v>
      </c>
      <c r="BI143" s="0" t="n">
        <v>0.0038499133152193</v>
      </c>
      <c r="BJ143" s="0" t="n">
        <v>0.019531429253073</v>
      </c>
      <c r="BK143" s="0" t="n">
        <v>0.0405306205124399</v>
      </c>
      <c r="BL143" s="0" t="n">
        <v>0.0821615658133286</v>
      </c>
      <c r="BM143" s="0" t="n">
        <v>-0.0193892826622303</v>
      </c>
      <c r="BN143" s="0" t="n">
        <v>0.0090606797093306</v>
      </c>
      <c r="BO143" s="0" t="n">
        <v>0.0427193514169059</v>
      </c>
      <c r="BP143" s="0" t="n">
        <v>0.0164784253088354</v>
      </c>
      <c r="BQ143" s="0" t="n">
        <v>0.0674691763199671</v>
      </c>
      <c r="BR143" s="0" t="n">
        <v>0.0408889289935211</v>
      </c>
      <c r="BS143" s="0" t="n">
        <v>-0.0080822318396786</v>
      </c>
      <c r="BT143" s="0" t="n">
        <v>0.0746518481391613</v>
      </c>
      <c r="BU143" s="0" t="n">
        <v>0.0169793561879151</v>
      </c>
      <c r="BV143" s="0" t="n">
        <v>0.0471091175597803</v>
      </c>
      <c r="BW143" s="0" t="n">
        <v>0.0326825624306331</v>
      </c>
      <c r="BX143" s="0" t="n">
        <v>-0.0074246470212813</v>
      </c>
      <c r="BY143" s="0" t="n">
        <v>0.045860870005662</v>
      </c>
      <c r="BZ143" s="0" t="n">
        <v>0.0670958472698976</v>
      </c>
      <c r="CA143" s="0" t="n">
        <v>0.0113558219317101</v>
      </c>
      <c r="CB143" s="0" t="n">
        <v>-0.0058283684947765</v>
      </c>
      <c r="CC143" s="0" t="n">
        <v>0.006976136672788</v>
      </c>
      <c r="CD143" s="0" t="n">
        <v>0.028198496902547</v>
      </c>
      <c r="CE143" s="0" t="n">
        <v>0.0672920990077095</v>
      </c>
      <c r="CF143" s="0" t="n">
        <v>-0.025946790407766</v>
      </c>
      <c r="CG143" s="0" t="n">
        <v>0.011222625401569</v>
      </c>
      <c r="CH143" s="0" t="n">
        <v>0.108173522928056</v>
      </c>
      <c r="CI143" s="0" t="n">
        <v>-0.0357639845393171</v>
      </c>
      <c r="CJ143" s="0" t="n">
        <v>-0.032862705114261</v>
      </c>
      <c r="CK143" s="0" t="n">
        <v>-0.0279218669853759</v>
      </c>
      <c r="CL143" s="0" t="n">
        <v>0.0735089176347433</v>
      </c>
      <c r="CM143" s="0" t="n">
        <v>0.134305198831201</v>
      </c>
      <c r="CN143" s="0" t="n">
        <v>0.0140485151635111</v>
      </c>
      <c r="CO143" s="0" t="n">
        <v>0.0294615943273181</v>
      </c>
      <c r="CP143" s="0" t="n">
        <v>0.0231460196081955</v>
      </c>
      <c r="CQ143" s="0" t="n">
        <v>0.0975103806498849</v>
      </c>
      <c r="CR143" s="0" t="n">
        <v>0.198008794603212</v>
      </c>
      <c r="CS143" s="0" t="n">
        <v>0.180129729289509</v>
      </c>
      <c r="CT143" s="0" t="n">
        <v>0.0426936523376653</v>
      </c>
      <c r="CU143" s="0" t="n">
        <v>0.0539348310681132</v>
      </c>
      <c r="CV143" s="0" t="n">
        <v>0.0303888530500047</v>
      </c>
      <c r="CW143" s="0" t="n">
        <v>0.0094348432235038</v>
      </c>
      <c r="CX143" s="0" t="n">
        <v>0.0787159494052929</v>
      </c>
      <c r="CY143" s="0" t="n">
        <v>0.085504521828575</v>
      </c>
      <c r="CZ143" s="0" t="n">
        <v>-0.0003383208926196</v>
      </c>
      <c r="DA143" s="0" t="n">
        <v>-0.0079988044213484</v>
      </c>
      <c r="DB143" s="0" t="n">
        <v>0.126346742345014</v>
      </c>
      <c r="DC143" s="0" t="n">
        <v>0.0978504696833302</v>
      </c>
      <c r="DD143" s="0" t="n">
        <v>0.0645904545389459</v>
      </c>
      <c r="DE143" s="0" t="n">
        <v>0.182167967314726</v>
      </c>
      <c r="DF143" s="0" t="n">
        <v>-0.0565148700121098</v>
      </c>
      <c r="DG143" s="0" t="n">
        <v>0.14432096572922</v>
      </c>
      <c r="DH143" s="0" t="n">
        <v>0.185511348552821</v>
      </c>
      <c r="DI143" s="0" t="n">
        <v>0.107061894573849</v>
      </c>
      <c r="DJ143" s="0" t="n">
        <v>0.0670159935832919</v>
      </c>
      <c r="DK143" s="0" t="n">
        <v>0.131293814279458</v>
      </c>
      <c r="DL143" s="0" t="n">
        <v>0.104468948632569</v>
      </c>
      <c r="DM143" s="0" t="n">
        <v>0.0885473569620646</v>
      </c>
      <c r="DN143" s="0" t="n">
        <v>0.0310374468645422</v>
      </c>
      <c r="DO143" s="0" t="n">
        <v>0.172672187453248</v>
      </c>
      <c r="DP143" s="0" t="n">
        <v>0.0744569745758552</v>
      </c>
      <c r="DQ143" s="0" t="n">
        <v>0.157910587159129</v>
      </c>
      <c r="DR143" s="0" t="n">
        <v>0.158398824995709</v>
      </c>
      <c r="DS143" s="0" t="n">
        <v>-0.0186210837620783</v>
      </c>
      <c r="DT143" s="0" t="n">
        <v>0.142737522982465</v>
      </c>
      <c r="DU143" s="0" t="n">
        <v>0.134433322451575</v>
      </c>
      <c r="DV143" s="0" t="n">
        <v>0.0624221146117587</v>
      </c>
      <c r="DW143" s="0" t="n">
        <v>0.0205118184103701</v>
      </c>
      <c r="DX143" s="0" t="n">
        <v>0.351616851891849</v>
      </c>
      <c r="DY143" s="0" t="n">
        <v>0.106906554929581</v>
      </c>
      <c r="DZ143" s="0" t="n">
        <v>0.0447613014934942</v>
      </c>
      <c r="EA143" s="0" t="n">
        <v>0.127850138699427</v>
      </c>
      <c r="EB143" s="0" t="n">
        <v>0.0987355076982181</v>
      </c>
      <c r="EC143" s="0" t="n">
        <v>0.0805312829032097</v>
      </c>
      <c r="ED143" s="0" t="n">
        <v>0.13130002043418</v>
      </c>
      <c r="EE143" s="0" t="n">
        <v>0.347984628581089</v>
      </c>
      <c r="EF143" s="0" t="n">
        <v>0.15845935390399</v>
      </c>
      <c r="EG143" s="0" t="n">
        <v>0.373634280567731</v>
      </c>
      <c r="EH143" s="0" t="n">
        <v>0.0256674319336417</v>
      </c>
      <c r="EI143" s="0" t="n">
        <v>0.652053596720205</v>
      </c>
      <c r="EJ143" s="0" t="n">
        <v>0.0862318446586096</v>
      </c>
      <c r="EK143" s="0" t="n">
        <v>0.307607152535012</v>
      </c>
      <c r="EL143" s="0" t="n">
        <v>0.383197060738055</v>
      </c>
      <c r="EM143" s="0" t="n">
        <v>0.177879982985897</v>
      </c>
      <c r="EN143" s="0" t="n">
        <v>0.112494903035814</v>
      </c>
      <c r="EO143" s="0" t="n">
        <v>0.0794213369559658</v>
      </c>
      <c r="EP143" s="72" t="n">
        <f aca="false">SUMPRODUCT(B143:EO143,$B$5:$EO$5)</f>
        <v>0.481097958149971</v>
      </c>
      <c r="EQ143" s="72" t="n">
        <f aca="false">SUMIF('Mi portafolio'!$A$8:$A$19,$A143,'Mi portafolio'!$B$8:$B$19)</f>
        <v>0.5</v>
      </c>
    </row>
    <row r="144" customFormat="false" ht="15" hidden="false" customHeight="false" outlineLevel="0" collapsed="false">
      <c r="A144" s="71" t="s">
        <v>372</v>
      </c>
      <c r="B144" s="0" t="n">
        <v>0.0093091876776001</v>
      </c>
      <c r="C144" s="0" t="n">
        <v>-0.0028946789882162</v>
      </c>
      <c r="D144" s="0" t="n">
        <v>0.0087913405670576</v>
      </c>
      <c r="E144" s="0" t="n">
        <v>0.0274398578623772</v>
      </c>
      <c r="F144" s="0" t="n">
        <v>0.0047200677304145</v>
      </c>
      <c r="G144" s="0" t="n">
        <v>0.0178208707667536</v>
      </c>
      <c r="H144" s="0" t="n">
        <v>0.017771428508469</v>
      </c>
      <c r="I144" s="0" t="n">
        <v>0.0061358913229276</v>
      </c>
      <c r="J144" s="0" t="n">
        <v>-0.0062394732479137</v>
      </c>
      <c r="K144" s="0" t="n">
        <v>0.0019531464261229</v>
      </c>
      <c r="L144" s="0" t="n">
        <v>0.0237355759059348</v>
      </c>
      <c r="M144" s="0" t="n">
        <v>0.0599102994187311</v>
      </c>
      <c r="N144" s="0" t="n">
        <v>0.0478337429941231</v>
      </c>
      <c r="O144" s="0" t="n">
        <v>0.0151087709384933</v>
      </c>
      <c r="P144" s="0" t="n">
        <v>0.0039131367919081</v>
      </c>
      <c r="Q144" s="0" t="n">
        <v>-0.0022048949587986</v>
      </c>
      <c r="R144" s="0" t="n">
        <v>0.0110028299671341</v>
      </c>
      <c r="S144" s="0" t="n">
        <v>0.0125121890139079</v>
      </c>
      <c r="T144" s="0" t="n">
        <v>0.0373197148735503</v>
      </c>
      <c r="U144" s="0" t="n">
        <v>0.0353827060496216</v>
      </c>
      <c r="V144" s="0" t="n">
        <v>0.0113954037967481</v>
      </c>
      <c r="W144" s="0" t="n">
        <v>0.0006800225818841</v>
      </c>
      <c r="X144" s="0" t="n">
        <v>0.0371807318220582</v>
      </c>
      <c r="Y144" s="0" t="n">
        <v>0.0139251804735214</v>
      </c>
      <c r="Z144" s="0" t="n">
        <v>0.033906908635904</v>
      </c>
      <c r="AA144" s="0" t="n">
        <v>0.0186864378207711</v>
      </c>
      <c r="AB144" s="0" t="n">
        <v>0.0182248633194396</v>
      </c>
      <c r="AC144" s="0" t="n">
        <v>0.0194535372825422</v>
      </c>
      <c r="AD144" s="0" t="n">
        <v>0.0263572348983788</v>
      </c>
      <c r="AE144" s="0" t="n">
        <v>0.0468527120273715</v>
      </c>
      <c r="AF144" s="0" t="n">
        <v>0.0279197151924319</v>
      </c>
      <c r="AG144" s="0" t="n">
        <v>-0.0059024914692768</v>
      </c>
      <c r="AH144" s="0" t="n">
        <v>-0.0038316660756065</v>
      </c>
      <c r="AI144" s="0" t="n">
        <v>-0.0060533148806747</v>
      </c>
      <c r="AJ144" s="0" t="n">
        <v>0.0131824468817956</v>
      </c>
      <c r="AK144" s="0" t="n">
        <v>0.0294341087021659</v>
      </c>
      <c r="AL144" s="0" t="n">
        <v>0.0432887483320202</v>
      </c>
      <c r="AM144" s="0" t="n">
        <v>0.0465704883546372</v>
      </c>
      <c r="AN144" s="0" t="n">
        <v>0.0382603228572887</v>
      </c>
      <c r="AO144" s="0" t="n">
        <v>0.0246043190488553</v>
      </c>
      <c r="AP144" s="0" t="n">
        <v>0.0529547444470789</v>
      </c>
      <c r="AQ144" s="0" t="n">
        <v>-0.0127622336181933</v>
      </c>
      <c r="AR144" s="0" t="n">
        <v>0.0493445469084179</v>
      </c>
      <c r="AS144" s="0" t="n">
        <v>0.0341133695557365</v>
      </c>
      <c r="AT144" s="0" t="n">
        <v>0.072246080130751</v>
      </c>
      <c r="AU144" s="0" t="n">
        <v>-0.001230644068801</v>
      </c>
      <c r="AV144" s="0" t="n">
        <v>0.0397606913393625</v>
      </c>
      <c r="AW144" s="0" t="n">
        <v>0.034172500014098</v>
      </c>
      <c r="AX144" s="0" t="n">
        <v>0.0567715994750337</v>
      </c>
      <c r="AY144" s="0" t="n">
        <v>0.0333480435938762</v>
      </c>
      <c r="AZ144" s="0" t="n">
        <v>0.0499821722508011</v>
      </c>
      <c r="BA144" s="0" t="n">
        <v>0.0388927653506312</v>
      </c>
      <c r="BB144" s="0" t="n">
        <v>0.0654690195798792</v>
      </c>
      <c r="BC144" s="0" t="n">
        <v>0.0313505335073085</v>
      </c>
      <c r="BD144" s="0" t="n">
        <v>0.0390335877712254</v>
      </c>
      <c r="BE144" s="0" t="n">
        <v>0.046732680611629</v>
      </c>
      <c r="BF144" s="0" t="n">
        <v>0.0519669921161523</v>
      </c>
      <c r="BG144" s="0" t="n">
        <v>0.0557156490182961</v>
      </c>
      <c r="BH144" s="0" t="n">
        <v>0.0343234132441842</v>
      </c>
      <c r="BI144" s="0" t="n">
        <v>0.0271906006433352</v>
      </c>
      <c r="BJ144" s="0" t="n">
        <v>-0.0039248412632853</v>
      </c>
      <c r="BK144" s="0" t="n">
        <v>0.0473124944207036</v>
      </c>
      <c r="BL144" s="0" t="n">
        <v>0.0402638361565525</v>
      </c>
      <c r="BM144" s="0" t="n">
        <v>0.0348324166476838</v>
      </c>
      <c r="BN144" s="0" t="n">
        <v>0.0068051278617887</v>
      </c>
      <c r="BO144" s="0" t="n">
        <v>0.0667818741793094</v>
      </c>
      <c r="BP144" s="0" t="n">
        <v>0.0494072706834445</v>
      </c>
      <c r="BQ144" s="0" t="n">
        <v>0.050158914146475</v>
      </c>
      <c r="BR144" s="0" t="n">
        <v>0.0500247858817819</v>
      </c>
      <c r="BS144" s="0" t="n">
        <v>0.0059198237641066</v>
      </c>
      <c r="BT144" s="0" t="n">
        <v>0.0673550014078475</v>
      </c>
      <c r="BU144" s="0" t="n">
        <v>0.0318470814814087</v>
      </c>
      <c r="BV144" s="0" t="n">
        <v>0.0525268703812439</v>
      </c>
      <c r="BW144" s="0" t="n">
        <v>0.0441602609655569</v>
      </c>
      <c r="BX144" s="0" t="n">
        <v>0.0560608741262361</v>
      </c>
      <c r="BY144" s="0" t="n">
        <v>0.0813509893768787</v>
      </c>
      <c r="BZ144" s="0" t="n">
        <v>0.0782396351691574</v>
      </c>
      <c r="CA144" s="0" t="n">
        <v>0.0410645788165268</v>
      </c>
      <c r="CB144" s="0" t="n">
        <v>0.0085084511587941</v>
      </c>
      <c r="CC144" s="0" t="n">
        <v>0.0352559168763777</v>
      </c>
      <c r="CD144" s="0" t="n">
        <v>0.0697793353286249</v>
      </c>
      <c r="CE144" s="0" t="n">
        <v>0.0272339319856865</v>
      </c>
      <c r="CF144" s="0" t="n">
        <v>-0.0027719955636096</v>
      </c>
      <c r="CG144" s="0" t="n">
        <v>0.062383834592324</v>
      </c>
      <c r="CH144" s="0" t="n">
        <v>0.0626298774366136</v>
      </c>
      <c r="CI144" s="0" t="n">
        <v>-0.0021006051720553</v>
      </c>
      <c r="CJ144" s="0" t="n">
        <v>0.0269398496959591</v>
      </c>
      <c r="CK144" s="0" t="n">
        <v>0.0590585954668877</v>
      </c>
      <c r="CL144" s="0" t="n">
        <v>0.102266681219848</v>
      </c>
      <c r="CM144" s="0" t="n">
        <v>0.0486325145887647</v>
      </c>
      <c r="CN144" s="0" t="n">
        <v>0.0338465813948222</v>
      </c>
      <c r="CO144" s="0" t="n">
        <v>0.0522201703382268</v>
      </c>
      <c r="CP144" s="0" t="n">
        <v>0.0303387280619059</v>
      </c>
      <c r="CQ144" s="0" t="n">
        <v>0.128797715022382</v>
      </c>
      <c r="CR144" s="0" t="n">
        <v>0.0974802115335113</v>
      </c>
      <c r="CS144" s="0" t="n">
        <v>0.0778335424992224</v>
      </c>
      <c r="CT144" s="0" t="n">
        <v>0.0842645923416421</v>
      </c>
      <c r="CU144" s="0" t="n">
        <v>0.0649120633104021</v>
      </c>
      <c r="CV144" s="0" t="n">
        <v>0.0587582771072066</v>
      </c>
      <c r="CW144" s="0" t="n">
        <v>0.0550651983653372</v>
      </c>
      <c r="CX144" s="0" t="n">
        <v>0.0931706895769857</v>
      </c>
      <c r="CY144" s="0" t="n">
        <v>0.121974112354638</v>
      </c>
      <c r="CZ144" s="0" t="n">
        <v>0.0743295689185971</v>
      </c>
      <c r="DA144" s="0" t="n">
        <v>0.12961719965295</v>
      </c>
      <c r="DB144" s="0" t="n">
        <v>0.121649185732366</v>
      </c>
      <c r="DC144" s="0" t="n">
        <v>0.0991126368902887</v>
      </c>
      <c r="DD144" s="0" t="n">
        <v>0.118747926550782</v>
      </c>
      <c r="DE144" s="0" t="n">
        <v>0.0710924215917994</v>
      </c>
      <c r="DF144" s="0" t="n">
        <v>0.0607335345549654</v>
      </c>
      <c r="DG144" s="0" t="n">
        <v>0.0462430054565503</v>
      </c>
      <c r="DH144" s="0" t="n">
        <v>0.0824497635746089</v>
      </c>
      <c r="DI144" s="0" t="n">
        <v>0.12970997420151</v>
      </c>
      <c r="DJ144" s="0" t="n">
        <v>0.147508968233966</v>
      </c>
      <c r="DK144" s="0" t="n">
        <v>0.147838325002124</v>
      </c>
      <c r="DL144" s="0" t="n">
        <v>0.0200465128410977</v>
      </c>
      <c r="DM144" s="0" t="n">
        <v>0.134245293472629</v>
      </c>
      <c r="DN144" s="0" t="n">
        <v>0.0571067698140176</v>
      </c>
      <c r="DO144" s="0" t="n">
        <v>0.10154949234077</v>
      </c>
      <c r="DP144" s="0" t="n">
        <v>0.136524722169484</v>
      </c>
      <c r="DQ144" s="0" t="n">
        <v>0.0948712607534991</v>
      </c>
      <c r="DR144" s="0" t="n">
        <v>0.113399906305017</v>
      </c>
      <c r="DS144" s="0" t="n">
        <v>0.0778365762760567</v>
      </c>
      <c r="DT144" s="0" t="n">
        <v>0.135284121532317</v>
      </c>
      <c r="DU144" s="0" t="n">
        <v>0.155806034163816</v>
      </c>
      <c r="DV144" s="0" t="n">
        <v>0.092612445816151</v>
      </c>
      <c r="DW144" s="0" t="n">
        <v>0.107678698659466</v>
      </c>
      <c r="DX144" s="0" t="n">
        <v>0.0914437224008544</v>
      </c>
      <c r="DY144" s="0" t="n">
        <v>0.105017701563069</v>
      </c>
      <c r="DZ144" s="0" t="n">
        <v>0.0705734879932535</v>
      </c>
      <c r="EA144" s="0" t="n">
        <v>0.176758032228214</v>
      </c>
      <c r="EB144" s="0" t="n">
        <v>0.180980893413001</v>
      </c>
      <c r="EC144" s="0" t="n">
        <v>0.0633154696741375</v>
      </c>
      <c r="ED144" s="0" t="n">
        <v>0.230326117066197</v>
      </c>
      <c r="EE144" s="0" t="n">
        <v>0.133905503791343</v>
      </c>
      <c r="EF144" s="0" t="n">
        <v>0.0503947395933499</v>
      </c>
      <c r="EG144" s="0" t="n">
        <v>0.131523213454811</v>
      </c>
      <c r="EH144" s="0" t="n">
        <v>0.134548203672463</v>
      </c>
      <c r="EI144" s="0" t="n">
        <v>0.0862318446586096</v>
      </c>
      <c r="EJ144" s="0" t="n">
        <v>0.704105001672615</v>
      </c>
      <c r="EK144" s="0" t="n">
        <v>0.243954005043322</v>
      </c>
      <c r="EL144" s="0" t="n">
        <v>0.213407708701348</v>
      </c>
      <c r="EM144" s="0" t="n">
        <v>0.287616623116042</v>
      </c>
      <c r="EN144" s="0" t="n">
        <v>0.265692929090368</v>
      </c>
      <c r="EO144" s="0" t="n">
        <v>0.12117079329163</v>
      </c>
      <c r="EP144" s="72" t="n">
        <f aca="false">SUMPRODUCT(B144:EO144,$B$5:$EO$5)</f>
        <v>0.100158169213254</v>
      </c>
      <c r="EQ144" s="72" t="n">
        <f aca="false">SUMIF('Mi portafolio'!$A$8:$A$19,$A144,'Mi portafolio'!$B$8:$B$19)</f>
        <v>0</v>
      </c>
    </row>
    <row r="145" customFormat="false" ht="15" hidden="false" customHeight="false" outlineLevel="0" collapsed="false">
      <c r="A145" s="71" t="s">
        <v>373</v>
      </c>
      <c r="B145" s="0" t="n">
        <v>-0.0035550980522269</v>
      </c>
      <c r="C145" s="0" t="n">
        <v>0.0056337094088556</v>
      </c>
      <c r="D145" s="0" t="n">
        <v>0.0064051081025769</v>
      </c>
      <c r="E145" s="0" t="n">
        <v>0.0110763081664342</v>
      </c>
      <c r="F145" s="0" t="n">
        <v>-0.0081132291721004</v>
      </c>
      <c r="G145" s="0" t="n">
        <v>0.0072519543099566</v>
      </c>
      <c r="H145" s="0" t="n">
        <v>0.0092774791541013</v>
      </c>
      <c r="I145" s="0" t="n">
        <v>-0.0013457320295618</v>
      </c>
      <c r="J145" s="0" t="n">
        <v>-0.0147336108292815</v>
      </c>
      <c r="K145" s="0" t="n">
        <v>-0.0130130021668283</v>
      </c>
      <c r="L145" s="0" t="n">
        <v>0.0204215067265373</v>
      </c>
      <c r="M145" s="0" t="n">
        <v>0.0505069314431985</v>
      </c>
      <c r="N145" s="0" t="n">
        <v>0.02032759977562</v>
      </c>
      <c r="O145" s="0" t="n">
        <v>0.0142631192161274</v>
      </c>
      <c r="P145" s="0" t="n">
        <v>-0.0067919325293429</v>
      </c>
      <c r="Q145" s="0" t="n">
        <v>0.0026230565492862</v>
      </c>
      <c r="R145" s="0" t="n">
        <v>-0.0035995737130062</v>
      </c>
      <c r="S145" s="0" t="n">
        <v>-0.0082970968899004</v>
      </c>
      <c r="T145" s="0" t="n">
        <v>0.0375617021885573</v>
      </c>
      <c r="U145" s="0" t="n">
        <v>0.0256487842198996</v>
      </c>
      <c r="V145" s="0" t="n">
        <v>0.006060644963246</v>
      </c>
      <c r="W145" s="0" t="n">
        <v>0.0235865095877712</v>
      </c>
      <c r="X145" s="0" t="n">
        <v>0.0581578011389454</v>
      </c>
      <c r="Y145" s="0" t="n">
        <v>0.001576222076515</v>
      </c>
      <c r="Z145" s="0" t="n">
        <v>0.0241784994049826</v>
      </c>
      <c r="AA145" s="0" t="n">
        <v>0.0100621280985953</v>
      </c>
      <c r="AB145" s="0" t="n">
        <v>-0.0019009258321017</v>
      </c>
      <c r="AC145" s="0" t="n">
        <v>0.0298853816581458</v>
      </c>
      <c r="AD145" s="0" t="n">
        <v>0.0218722184490403</v>
      </c>
      <c r="AE145" s="0" t="n">
        <v>0.0219538193932569</v>
      </c>
      <c r="AF145" s="0" t="n">
        <v>0.0188613963643881</v>
      </c>
      <c r="AG145" s="0" t="n">
        <v>-0.0100566334008265</v>
      </c>
      <c r="AH145" s="0" t="n">
        <v>-0.0077599977374252</v>
      </c>
      <c r="AI145" s="0" t="n">
        <v>0.0108366316215637</v>
      </c>
      <c r="AJ145" s="0" t="n">
        <v>0.0264206680504655</v>
      </c>
      <c r="AK145" s="0" t="n">
        <v>0.0295935143250831</v>
      </c>
      <c r="AL145" s="0" t="n">
        <v>0.0165468082193578</v>
      </c>
      <c r="AM145" s="0" t="n">
        <v>0.0354500284077958</v>
      </c>
      <c r="AN145" s="0" t="n">
        <v>0.0187134719299518</v>
      </c>
      <c r="AO145" s="0" t="n">
        <v>-0.0003388787031336</v>
      </c>
      <c r="AP145" s="0" t="n">
        <v>0.0340369858581939</v>
      </c>
      <c r="AQ145" s="0" t="n">
        <v>0.0046525601714377</v>
      </c>
      <c r="AR145" s="0" t="n">
        <v>0.0434153561312742</v>
      </c>
      <c r="AS145" s="0" t="n">
        <v>0.0202555380507803</v>
      </c>
      <c r="AT145" s="0" t="n">
        <v>0.0517684929677505</v>
      </c>
      <c r="AU145" s="0" t="n">
        <v>-0.0039024514187587</v>
      </c>
      <c r="AV145" s="0" t="n">
        <v>0.0407394012809907</v>
      </c>
      <c r="AW145" s="0" t="n">
        <v>0.0306147851120067</v>
      </c>
      <c r="AX145" s="0" t="n">
        <v>0.0284187889731736</v>
      </c>
      <c r="AY145" s="0" t="n">
        <v>0.0337331092271006</v>
      </c>
      <c r="AZ145" s="0" t="n">
        <v>0.0345338712390851</v>
      </c>
      <c r="BA145" s="0" t="n">
        <v>0.0428692017524119</v>
      </c>
      <c r="BB145" s="0" t="n">
        <v>0.0865199640600569</v>
      </c>
      <c r="BC145" s="0" t="n">
        <v>0.0450953704302044</v>
      </c>
      <c r="BD145" s="0" t="n">
        <v>0.038048466609925</v>
      </c>
      <c r="BE145" s="0" t="n">
        <v>0.0245641730770235</v>
      </c>
      <c r="BF145" s="0" t="n">
        <v>0.0378722273026053</v>
      </c>
      <c r="BG145" s="0" t="n">
        <v>0.0491983194577646</v>
      </c>
      <c r="BH145" s="0" t="n">
        <v>0.044510123738869</v>
      </c>
      <c r="BI145" s="0" t="n">
        <v>0.0055649978304147</v>
      </c>
      <c r="BJ145" s="0" t="n">
        <v>0.0153601026282316</v>
      </c>
      <c r="BK145" s="0" t="n">
        <v>0.0399227464910388</v>
      </c>
      <c r="BL145" s="0" t="n">
        <v>0.0807771323467672</v>
      </c>
      <c r="BM145" s="0" t="n">
        <v>0.0314582276920735</v>
      </c>
      <c r="BN145" s="0" t="n">
        <v>0.0161607845792288</v>
      </c>
      <c r="BO145" s="0" t="n">
        <v>0.0578203770107372</v>
      </c>
      <c r="BP145" s="0" t="n">
        <v>0.0783583501892425</v>
      </c>
      <c r="BQ145" s="0" t="n">
        <v>0.074466672705556</v>
      </c>
      <c r="BR145" s="0" t="n">
        <v>0.0689192045374867</v>
      </c>
      <c r="BS145" s="0" t="n">
        <v>0.0234874172128529</v>
      </c>
      <c r="BT145" s="0" t="n">
        <v>0.0778655034656713</v>
      </c>
      <c r="BU145" s="0" t="n">
        <v>0.0021591540562957</v>
      </c>
      <c r="BV145" s="0" t="n">
        <v>0.0680383217146745</v>
      </c>
      <c r="BW145" s="0" t="n">
        <v>0.049333331312749</v>
      </c>
      <c r="BX145" s="0" t="n">
        <v>0.0203627219879937</v>
      </c>
      <c r="BY145" s="0" t="n">
        <v>0.0724377532766398</v>
      </c>
      <c r="BZ145" s="0" t="n">
        <v>0.0837526150511708</v>
      </c>
      <c r="CA145" s="0" t="n">
        <v>0.0328608951453173</v>
      </c>
      <c r="CB145" s="0" t="n">
        <v>0.0047651168681542</v>
      </c>
      <c r="CC145" s="0" t="n">
        <v>0.046055679747771</v>
      </c>
      <c r="CD145" s="0" t="n">
        <v>0.0436242646634448</v>
      </c>
      <c r="CE145" s="0" t="n">
        <v>0.081141208193128</v>
      </c>
      <c r="CF145" s="0" t="n">
        <v>0.0121363877630889</v>
      </c>
      <c r="CG145" s="0" t="n">
        <v>0.0287247764988386</v>
      </c>
      <c r="CH145" s="0" t="n">
        <v>0.105968832264829</v>
      </c>
      <c r="CI145" s="0" t="n">
        <v>0.0247772638210423</v>
      </c>
      <c r="CJ145" s="0" t="n">
        <v>0.0460694947551778</v>
      </c>
      <c r="CK145" s="0" t="n">
        <v>0.0068158387439051</v>
      </c>
      <c r="CL145" s="0" t="n">
        <v>0.070063003951368</v>
      </c>
      <c r="CM145" s="0" t="n">
        <v>0.126069046528698</v>
      </c>
      <c r="CN145" s="0" t="n">
        <v>0.0334470690323825</v>
      </c>
      <c r="CO145" s="0" t="n">
        <v>0.0154938179274227</v>
      </c>
      <c r="CP145" s="0" t="n">
        <v>0.0580392680177397</v>
      </c>
      <c r="CQ145" s="0" t="n">
        <v>0.107086588757453</v>
      </c>
      <c r="CR145" s="0" t="n">
        <v>0.160019696655141</v>
      </c>
      <c r="CS145" s="0" t="n">
        <v>0.165415567092244</v>
      </c>
      <c r="CT145" s="0" t="n">
        <v>0.0945151985895202</v>
      </c>
      <c r="CU145" s="0" t="n">
        <v>0.101345429975481</v>
      </c>
      <c r="CV145" s="0" t="n">
        <v>0.0316379983240406</v>
      </c>
      <c r="CW145" s="0" t="n">
        <v>0.0679683915292473</v>
      </c>
      <c r="CX145" s="0" t="n">
        <v>0.114907197221392</v>
      </c>
      <c r="CY145" s="0" t="n">
        <v>0.0763276337449921</v>
      </c>
      <c r="CZ145" s="0" t="n">
        <v>0.0479904143354072</v>
      </c>
      <c r="DA145" s="0" t="n">
        <v>0.0872685552677851</v>
      </c>
      <c r="DB145" s="0" t="n">
        <v>0.15194537754195</v>
      </c>
      <c r="DC145" s="0" t="n">
        <v>0.0693593311499511</v>
      </c>
      <c r="DD145" s="0" t="n">
        <v>0.139231486335892</v>
      </c>
      <c r="DE145" s="0" t="n">
        <v>0.178678941208598</v>
      </c>
      <c r="DF145" s="0" t="n">
        <v>0.0201936352754909</v>
      </c>
      <c r="DG145" s="0" t="n">
        <v>0.159213738518829</v>
      </c>
      <c r="DH145" s="0" t="n">
        <v>0.164190417621536</v>
      </c>
      <c r="DI145" s="0" t="n">
        <v>0.122226614882682</v>
      </c>
      <c r="DJ145" s="0" t="n">
        <v>0.053046609254573</v>
      </c>
      <c r="DK145" s="0" t="n">
        <v>0.144891816807565</v>
      </c>
      <c r="DL145" s="0" t="n">
        <v>0.10678837500133</v>
      </c>
      <c r="DM145" s="0" t="n">
        <v>0.0851449424425094</v>
      </c>
      <c r="DN145" s="0" t="n">
        <v>0.0773159845975685</v>
      </c>
      <c r="DO145" s="0" t="n">
        <v>0.146408894611258</v>
      </c>
      <c r="DP145" s="0" t="n">
        <v>0.0687700885274913</v>
      </c>
      <c r="DQ145" s="0" t="n">
        <v>0.110928577752904</v>
      </c>
      <c r="DR145" s="0" t="n">
        <v>0.149102084592228</v>
      </c>
      <c r="DS145" s="0" t="n">
        <v>-0.0011288360890945</v>
      </c>
      <c r="DT145" s="0" t="n">
        <v>0.180489824366939</v>
      </c>
      <c r="DU145" s="0" t="n">
        <v>0.252042000860175</v>
      </c>
      <c r="DV145" s="0" t="n">
        <v>0.126863903020587</v>
      </c>
      <c r="DW145" s="0" t="n">
        <v>0.0802394012055962</v>
      </c>
      <c r="DX145" s="0" t="n">
        <v>0.241612998154906</v>
      </c>
      <c r="DY145" s="0" t="n">
        <v>0.151187324921258</v>
      </c>
      <c r="DZ145" s="0" t="n">
        <v>0.0670133925889466</v>
      </c>
      <c r="EA145" s="0" t="n">
        <v>0.134288313111148</v>
      </c>
      <c r="EB145" s="0" t="n">
        <v>0.22399617289866</v>
      </c>
      <c r="EC145" s="0" t="n">
        <v>0.0891489950565778</v>
      </c>
      <c r="ED145" s="0" t="n">
        <v>0.215213069147709</v>
      </c>
      <c r="EE145" s="0" t="n">
        <v>0.309868026062091</v>
      </c>
      <c r="EF145" s="0" t="n">
        <v>0.158957388631916</v>
      </c>
      <c r="EG145" s="0" t="n">
        <v>0.260288377635313</v>
      </c>
      <c r="EH145" s="0" t="n">
        <v>0.120964156491754</v>
      </c>
      <c r="EI145" s="0" t="n">
        <v>0.307607152535012</v>
      </c>
      <c r="EJ145" s="0" t="n">
        <v>0.243954005043322</v>
      </c>
      <c r="EK145" s="0" t="n">
        <v>0.723890923985418</v>
      </c>
      <c r="EL145" s="0" t="n">
        <v>0.58034434010374</v>
      </c>
      <c r="EM145" s="0" t="n">
        <v>0.232072835459407</v>
      </c>
      <c r="EN145" s="0" t="n">
        <v>0.274972140227277</v>
      </c>
      <c r="EO145" s="0" t="n">
        <v>0.293448911399987</v>
      </c>
      <c r="EP145" s="72" t="n">
        <f aca="false">SUMPRODUCT(B145:EO145,$B$5:$EO$5)</f>
        <v>0.263038959270903</v>
      </c>
      <c r="EQ145" s="72" t="n">
        <f aca="false">SUMIF('Mi portafolio'!$A$8:$A$19,$A145,'Mi portafolio'!$B$8:$B$19)</f>
        <v>0</v>
      </c>
    </row>
    <row r="146" customFormat="false" ht="15" hidden="false" customHeight="false" outlineLevel="0" collapsed="false">
      <c r="A146" s="71" t="s">
        <v>374</v>
      </c>
      <c r="B146" s="0" t="n">
        <v>-0.0160334130217008</v>
      </c>
      <c r="C146" s="0" t="n">
        <v>0.0031516126788897</v>
      </c>
      <c r="D146" s="0" t="n">
        <v>0.0148155144119978</v>
      </c>
      <c r="E146" s="0" t="n">
        <v>0.0163963186541722</v>
      </c>
      <c r="F146" s="0" t="n">
        <v>-0.0292234994195924</v>
      </c>
      <c r="G146" s="0" t="n">
        <v>0.0078197494817641</v>
      </c>
      <c r="H146" s="0" t="n">
        <v>0.01639101641547</v>
      </c>
      <c r="I146" s="0" t="n">
        <v>-0.0183655145022314</v>
      </c>
      <c r="J146" s="0" t="n">
        <v>-0.0152332588327638</v>
      </c>
      <c r="K146" s="0" t="n">
        <v>-0.0184562689587103</v>
      </c>
      <c r="L146" s="0" t="n">
        <v>0.0268316585386622</v>
      </c>
      <c r="M146" s="0" t="n">
        <v>0.0579003086261142</v>
      </c>
      <c r="N146" s="0" t="n">
        <v>0.0024599041740638</v>
      </c>
      <c r="O146" s="0" t="n">
        <v>0.0328877497117657</v>
      </c>
      <c r="P146" s="0" t="n">
        <v>-0.0187836865100958</v>
      </c>
      <c r="Q146" s="0" t="n">
        <v>0.004890478725388</v>
      </c>
      <c r="R146" s="0" t="n">
        <v>-0.0271394183536374</v>
      </c>
      <c r="S146" s="0" t="n">
        <v>0.0033725899244248</v>
      </c>
      <c r="T146" s="0" t="n">
        <v>0.042505003220242</v>
      </c>
      <c r="U146" s="0" t="n">
        <v>0.0419474388440202</v>
      </c>
      <c r="V146" s="0" t="n">
        <v>0.0217559336407188</v>
      </c>
      <c r="W146" s="0" t="n">
        <v>0.0240150475757978</v>
      </c>
      <c r="X146" s="0" t="n">
        <v>0.0541945065855889</v>
      </c>
      <c r="Y146" s="0" t="n">
        <v>-0.0127418180657273</v>
      </c>
      <c r="Z146" s="0" t="n">
        <v>0.0250410069359199</v>
      </c>
      <c r="AA146" s="0" t="n">
        <v>0.0226618200819077</v>
      </c>
      <c r="AB146" s="0" t="n">
        <v>-0.0149226351153806</v>
      </c>
      <c r="AC146" s="0" t="n">
        <v>0.0271152829766231</v>
      </c>
      <c r="AD146" s="0" t="n">
        <v>0.0333837862099349</v>
      </c>
      <c r="AE146" s="0" t="n">
        <v>0.0410282637503339</v>
      </c>
      <c r="AF146" s="0" t="n">
        <v>0.0366345971710481</v>
      </c>
      <c r="AG146" s="0" t="n">
        <v>-0.0421056894737585</v>
      </c>
      <c r="AH146" s="0" t="n">
        <v>-0.0461649762557601</v>
      </c>
      <c r="AI146" s="0" t="n">
        <v>-0.0390318685935117</v>
      </c>
      <c r="AJ146" s="0" t="n">
        <v>0.0380319419312406</v>
      </c>
      <c r="AK146" s="0" t="n">
        <v>0.0608566762114431</v>
      </c>
      <c r="AL146" s="0" t="n">
        <v>0.0216349498389263</v>
      </c>
      <c r="AM146" s="0" t="n">
        <v>0.0504653570203744</v>
      </c>
      <c r="AN146" s="0" t="n">
        <v>0.0275311513811826</v>
      </c>
      <c r="AO146" s="0" t="n">
        <v>-0.0135109601946375</v>
      </c>
      <c r="AP146" s="0" t="n">
        <v>0.0235041957310789</v>
      </c>
      <c r="AQ146" s="0" t="n">
        <v>-0.0333465750887586</v>
      </c>
      <c r="AR146" s="0" t="n">
        <v>0.037025714840218</v>
      </c>
      <c r="AS146" s="0" t="n">
        <v>0.0387718050983403</v>
      </c>
      <c r="AT146" s="0" t="n">
        <v>0.0455189966380698</v>
      </c>
      <c r="AU146" s="0" t="n">
        <v>-0.0052150899265369</v>
      </c>
      <c r="AV146" s="0" t="n">
        <v>0.0430025113750599</v>
      </c>
      <c r="AW146" s="0" t="n">
        <v>0.0403206289434379</v>
      </c>
      <c r="AX146" s="0" t="n">
        <v>0.0006022355840361</v>
      </c>
      <c r="AY146" s="0" t="n">
        <v>0.0309951950061897</v>
      </c>
      <c r="AZ146" s="0" t="n">
        <v>0.0583402069080456</v>
      </c>
      <c r="BA146" s="0" t="n">
        <v>0.041451089252449</v>
      </c>
      <c r="BB146" s="0" t="n">
        <v>0.0983174528998135</v>
      </c>
      <c r="BC146" s="0" t="n">
        <v>0.0412981221645148</v>
      </c>
      <c r="BD146" s="0" t="n">
        <v>0.0595247482455887</v>
      </c>
      <c r="BE146" s="0" t="n">
        <v>0.0154396685840528</v>
      </c>
      <c r="BF146" s="0" t="n">
        <v>0.044143756727456</v>
      </c>
      <c r="BG146" s="0" t="n">
        <v>0.0440634164512882</v>
      </c>
      <c r="BH146" s="0" t="n">
        <v>0.0436407701770207</v>
      </c>
      <c r="BI146" s="0" t="n">
        <v>0.0257079472727009</v>
      </c>
      <c r="BJ146" s="0" t="n">
        <v>0.0316500766285671</v>
      </c>
      <c r="BK146" s="0" t="n">
        <v>0.0569200504220922</v>
      </c>
      <c r="BL146" s="0" t="n">
        <v>0.0969547509489786</v>
      </c>
      <c r="BM146" s="0" t="n">
        <v>0.018963886929949</v>
      </c>
      <c r="BN146" s="0" t="n">
        <v>-0.0054501925211681</v>
      </c>
      <c r="BO146" s="0" t="n">
        <v>0.0566887282174982</v>
      </c>
      <c r="BP146" s="0" t="n">
        <v>0.0723813021275397</v>
      </c>
      <c r="BQ146" s="0" t="n">
        <v>0.0919483968486697</v>
      </c>
      <c r="BR146" s="0" t="n">
        <v>0.0804229526972317</v>
      </c>
      <c r="BS146" s="0" t="n">
        <v>-0.0275128158924544</v>
      </c>
      <c r="BT146" s="0" t="n">
        <v>0.118781624079631</v>
      </c>
      <c r="BU146" s="0" t="n">
        <v>0.029541751716328</v>
      </c>
      <c r="BV146" s="0" t="n">
        <v>0.0622248320974391</v>
      </c>
      <c r="BW146" s="0" t="n">
        <v>0.0556842596659721</v>
      </c>
      <c r="BX146" s="0" t="n">
        <v>0.0175674820206732</v>
      </c>
      <c r="BY146" s="0" t="n">
        <v>0.0671098254762904</v>
      </c>
      <c r="BZ146" s="0" t="n">
        <v>0.0935770416217759</v>
      </c>
      <c r="CA146" s="0" t="n">
        <v>0.0547530524780529</v>
      </c>
      <c r="CB146" s="0" t="n">
        <v>-0.0222522203040689</v>
      </c>
      <c r="CC146" s="0" t="n">
        <v>0.0142396125677125</v>
      </c>
      <c r="CD146" s="0" t="n">
        <v>0.0504365018578977</v>
      </c>
      <c r="CE146" s="0" t="n">
        <v>0.0631459942897729</v>
      </c>
      <c r="CF146" s="0" t="n">
        <v>-0.0442800024511306</v>
      </c>
      <c r="CG146" s="0" t="n">
        <v>0.0211410604258355</v>
      </c>
      <c r="CH146" s="0" t="n">
        <v>0.144101508773944</v>
      </c>
      <c r="CI146" s="0" t="n">
        <v>-0.0404600711848778</v>
      </c>
      <c r="CJ146" s="0" t="n">
        <v>-0.0102546274269258</v>
      </c>
      <c r="CK146" s="0" t="n">
        <v>-0.0080842291256734</v>
      </c>
      <c r="CL146" s="0" t="n">
        <v>0.0677046832541679</v>
      </c>
      <c r="CM146" s="0" t="n">
        <v>0.141979010303536</v>
      </c>
      <c r="CN146" s="0" t="n">
        <v>0.0479226043807426</v>
      </c>
      <c r="CO146" s="0" t="n">
        <v>0.0269726456122402</v>
      </c>
      <c r="CP146" s="0" t="n">
        <v>0.045851945424334</v>
      </c>
      <c r="CQ146" s="0" t="n">
        <v>0.129495940169164</v>
      </c>
      <c r="CR146" s="0" t="n">
        <v>0.198327112871968</v>
      </c>
      <c r="CS146" s="0" t="n">
        <v>0.183273070555189</v>
      </c>
      <c r="CT146" s="0" t="n">
        <v>0.0875402013587823</v>
      </c>
      <c r="CU146" s="0" t="n">
        <v>0.102848375812906</v>
      </c>
      <c r="CV146" s="0" t="n">
        <v>0.0397562008992523</v>
      </c>
      <c r="CW146" s="0" t="n">
        <v>0.0797655196208274</v>
      </c>
      <c r="CX146" s="0" t="n">
        <v>0.122030318736737</v>
      </c>
      <c r="CY146" s="0" t="n">
        <v>0.108644592406988</v>
      </c>
      <c r="CZ146" s="0" t="n">
        <v>0.0287807539963177</v>
      </c>
      <c r="DA146" s="0" t="n">
        <v>0.0528106801814535</v>
      </c>
      <c r="DB146" s="0" t="n">
        <v>0.141348392722997</v>
      </c>
      <c r="DC146" s="0" t="n">
        <v>0.12515370704749</v>
      </c>
      <c r="DD146" s="0" t="n">
        <v>0.112754412126298</v>
      </c>
      <c r="DE146" s="0" t="n">
        <v>0.209944475174864</v>
      </c>
      <c r="DF146" s="0" t="n">
        <v>-0.0273623115828713</v>
      </c>
      <c r="DG146" s="0" t="n">
        <v>0.192638937054531</v>
      </c>
      <c r="DH146" s="0" t="n">
        <v>0.176675598556991</v>
      </c>
      <c r="DI146" s="0" t="n">
        <v>0.1382081585718</v>
      </c>
      <c r="DJ146" s="0" t="n">
        <v>0.0909051486112752</v>
      </c>
      <c r="DK146" s="0" t="n">
        <v>0.181957137384205</v>
      </c>
      <c r="DL146" s="0" t="n">
        <v>0.152985051904724</v>
      </c>
      <c r="DM146" s="0" t="n">
        <v>0.126256550888802</v>
      </c>
      <c r="DN146" s="0" t="n">
        <v>0.0364837974051756</v>
      </c>
      <c r="DO146" s="0" t="n">
        <v>0.151693041169456</v>
      </c>
      <c r="DP146" s="0" t="n">
        <v>0.111777456204809</v>
      </c>
      <c r="DQ146" s="0" t="n">
        <v>0.131508469115699</v>
      </c>
      <c r="DR146" s="0" t="n">
        <v>0.172635835631451</v>
      </c>
      <c r="DS146" s="0" t="n">
        <v>0.0115229881209987</v>
      </c>
      <c r="DT146" s="0" t="n">
        <v>0.187534445125276</v>
      </c>
      <c r="DU146" s="0" t="n">
        <v>0.243864034284672</v>
      </c>
      <c r="DV146" s="0" t="n">
        <v>0.0991614645050582</v>
      </c>
      <c r="DW146" s="0" t="n">
        <v>0.0893106761608489</v>
      </c>
      <c r="DX146" s="0" t="n">
        <v>0.287546779832066</v>
      </c>
      <c r="DY146" s="0" t="n">
        <v>0.157976607904383</v>
      </c>
      <c r="DZ146" s="0" t="n">
        <v>0.0490471097547928</v>
      </c>
      <c r="EA146" s="0" t="n">
        <v>0.163983616874715</v>
      </c>
      <c r="EB146" s="0" t="n">
        <v>0.205272594771502</v>
      </c>
      <c r="EC146" s="0" t="n">
        <v>0.106583767194819</v>
      </c>
      <c r="ED146" s="0" t="n">
        <v>0.16944728192995</v>
      </c>
      <c r="EE146" s="0" t="n">
        <v>0.346254378073907</v>
      </c>
      <c r="EF146" s="0" t="n">
        <v>0.193648654115231</v>
      </c>
      <c r="EG146" s="0" t="n">
        <v>0.296889114524451</v>
      </c>
      <c r="EH146" s="0" t="n">
        <v>0.0836889527303587</v>
      </c>
      <c r="EI146" s="0" t="n">
        <v>0.383197060738055</v>
      </c>
      <c r="EJ146" s="0" t="n">
        <v>0.213407708701348</v>
      </c>
      <c r="EK146" s="0" t="n">
        <v>0.58034434010374</v>
      </c>
      <c r="EL146" s="0" t="n">
        <v>0.765887013003256</v>
      </c>
      <c r="EM146" s="0" t="n">
        <v>0.276788924869671</v>
      </c>
      <c r="EN146" s="0" t="n">
        <v>0.198254145256976</v>
      </c>
      <c r="EO146" s="0" t="n">
        <v>0.222393052786399</v>
      </c>
      <c r="EP146" s="72" t="n">
        <f aca="false">SUMPRODUCT(B146:EO146,$B$5:$EO$5)</f>
        <v>0.317761766236138</v>
      </c>
      <c r="EQ146" s="72" t="n">
        <f aca="false">SUMIF('Mi portafolio'!$A$8:$A$19,$A146,'Mi portafolio'!$B$8:$B$19)</f>
        <v>0</v>
      </c>
    </row>
    <row r="147" customFormat="false" ht="15" hidden="false" customHeight="false" outlineLevel="0" collapsed="false">
      <c r="A147" s="71" t="s">
        <v>375</v>
      </c>
      <c r="B147" s="0" t="n">
        <v>-0.0130824520779614</v>
      </c>
      <c r="C147" s="0" t="n">
        <v>-0.0110415146877891</v>
      </c>
      <c r="D147" s="0" t="n">
        <v>0.0051018385334933</v>
      </c>
      <c r="E147" s="0" t="n">
        <v>0.0097873904506501</v>
      </c>
      <c r="F147" s="0" t="n">
        <v>-0.0203567156121244</v>
      </c>
      <c r="G147" s="0" t="n">
        <v>-0.0125572533907804</v>
      </c>
      <c r="H147" s="0" t="n">
        <v>0.0055011004194646</v>
      </c>
      <c r="I147" s="0" t="n">
        <v>0.0007592742045769</v>
      </c>
      <c r="J147" s="0" t="n">
        <v>-0.0199576322991196</v>
      </c>
      <c r="K147" s="0" t="n">
        <v>-0.0204786658346118</v>
      </c>
      <c r="L147" s="0" t="n">
        <v>0.0030674025522255</v>
      </c>
      <c r="M147" s="0" t="n">
        <v>0.0421236138611198</v>
      </c>
      <c r="N147" s="0" t="n">
        <v>0.017130451097599</v>
      </c>
      <c r="O147" s="0" t="n">
        <v>0.0065659097025511</v>
      </c>
      <c r="P147" s="0" t="n">
        <v>-0.04234044394848</v>
      </c>
      <c r="Q147" s="0" t="n">
        <v>0.0017242191029508</v>
      </c>
      <c r="R147" s="0" t="n">
        <v>-0.0183868463625747</v>
      </c>
      <c r="S147" s="0" t="n">
        <v>0.0038401566782184</v>
      </c>
      <c r="T147" s="0" t="n">
        <v>0.0225152201664454</v>
      </c>
      <c r="U147" s="0" t="n">
        <v>0.0212597655333269</v>
      </c>
      <c r="V147" s="0" t="n">
        <v>-0.0209296656512037</v>
      </c>
      <c r="W147" s="0" t="n">
        <v>0.0059204152462588</v>
      </c>
      <c r="X147" s="0" t="n">
        <v>0.0311674087867864</v>
      </c>
      <c r="Y147" s="0" t="n">
        <v>-0.0053018991593568</v>
      </c>
      <c r="Z147" s="0" t="n">
        <v>0.0190049703427295</v>
      </c>
      <c r="AA147" s="0" t="n">
        <v>-0.0008562825227799</v>
      </c>
      <c r="AB147" s="0" t="n">
        <v>0.0113861198749477</v>
      </c>
      <c r="AC147" s="0" t="n">
        <v>0.0002893246833278</v>
      </c>
      <c r="AD147" s="0" t="n">
        <v>0.0175578244334656</v>
      </c>
      <c r="AE147" s="0" t="n">
        <v>-0.0123471608023448</v>
      </c>
      <c r="AF147" s="0" t="n">
        <v>0.0011595982182281</v>
      </c>
      <c r="AG147" s="0" t="n">
        <v>-0.0206035069831792</v>
      </c>
      <c r="AH147" s="0" t="n">
        <v>-0.0097770614790446</v>
      </c>
      <c r="AI147" s="0" t="n">
        <v>-0.0193766163430382</v>
      </c>
      <c r="AJ147" s="0" t="n">
        <v>0.0078628202226464</v>
      </c>
      <c r="AK147" s="0" t="n">
        <v>0.0040778671409181</v>
      </c>
      <c r="AL147" s="0" t="n">
        <v>0.0242169013759731</v>
      </c>
      <c r="AM147" s="0" t="n">
        <v>0.0307409205083773</v>
      </c>
      <c r="AN147" s="0" t="n">
        <v>0.0118047323298159</v>
      </c>
      <c r="AO147" s="0" t="n">
        <v>-0.0102412728205538</v>
      </c>
      <c r="AP147" s="0" t="n">
        <v>0.043842885149337</v>
      </c>
      <c r="AQ147" s="0" t="n">
        <v>-0.0173419923980389</v>
      </c>
      <c r="AR147" s="0" t="n">
        <v>0.0271625410987758</v>
      </c>
      <c r="AS147" s="0" t="n">
        <v>-0.0084930868694403</v>
      </c>
      <c r="AT147" s="0" t="n">
        <v>0.0413349929824796</v>
      </c>
      <c r="AU147" s="0" t="n">
        <v>-0.0168965289579172</v>
      </c>
      <c r="AV147" s="0" t="n">
        <v>0.0112780296760127</v>
      </c>
      <c r="AW147" s="0" t="n">
        <v>0.0143984764907693</v>
      </c>
      <c r="AX147" s="0" t="n">
        <v>0.0081961022633738</v>
      </c>
      <c r="AY147" s="0" t="n">
        <v>0.0237665437015368</v>
      </c>
      <c r="AZ147" s="0" t="n">
        <v>-0.0073681872161776</v>
      </c>
      <c r="BA147" s="0" t="n">
        <v>0.0539557579656335</v>
      </c>
      <c r="BB147" s="0" t="n">
        <v>0.0478219377253876</v>
      </c>
      <c r="BC147" s="0" t="n">
        <v>0.016187216582503</v>
      </c>
      <c r="BD147" s="0" t="n">
        <v>0.0222464486113819</v>
      </c>
      <c r="BE147" s="0" t="n">
        <v>0.0185374635873676</v>
      </c>
      <c r="BF147" s="0" t="n">
        <v>-0.0093624579824177</v>
      </c>
      <c r="BG147" s="0" t="n">
        <v>0.0463732747101994</v>
      </c>
      <c r="BH147" s="0" t="n">
        <v>0.0333570987233353</v>
      </c>
      <c r="BI147" s="0" t="n">
        <v>0.0273460260432309</v>
      </c>
      <c r="BJ147" s="0" t="n">
        <v>0.0088445373682716</v>
      </c>
      <c r="BK147" s="0" t="n">
        <v>-0.0176759268842604</v>
      </c>
      <c r="BL147" s="0" t="n">
        <v>0.0361901617193383</v>
      </c>
      <c r="BM147" s="0" t="n">
        <v>0.0229326368046619</v>
      </c>
      <c r="BN147" s="0" t="n">
        <v>-0.0001326511695388</v>
      </c>
      <c r="BO147" s="0" t="n">
        <v>0.0494029740334065</v>
      </c>
      <c r="BP147" s="0" t="n">
        <v>0.106843342261965</v>
      </c>
      <c r="BQ147" s="0" t="n">
        <v>0.0454358356210775</v>
      </c>
      <c r="BR147" s="0" t="n">
        <v>0.0686783240112158</v>
      </c>
      <c r="BS147" s="0" t="n">
        <v>-0.0080856208028682</v>
      </c>
      <c r="BT147" s="0" t="n">
        <v>0.0682019235710304</v>
      </c>
      <c r="BU147" s="0" t="n">
        <v>0.0294663177537698</v>
      </c>
      <c r="BV147" s="0" t="n">
        <v>0.0622536831561301</v>
      </c>
      <c r="BW147" s="0" t="n">
        <v>0.0637833670691543</v>
      </c>
      <c r="BX147" s="0" t="n">
        <v>0.0349711631801251</v>
      </c>
      <c r="BY147" s="0" t="n">
        <v>0.0331034865734506</v>
      </c>
      <c r="BZ147" s="0" t="n">
        <v>0.0971080483546217</v>
      </c>
      <c r="CA147" s="0" t="n">
        <v>-0.0130454477821989</v>
      </c>
      <c r="CB147" s="0" t="n">
        <v>-0.0104681832856473</v>
      </c>
      <c r="CC147" s="0" t="n">
        <v>0.0220362538213396</v>
      </c>
      <c r="CD147" s="0" t="n">
        <v>0.0843721597310462</v>
      </c>
      <c r="CE147" s="0" t="n">
        <v>0.0330063023108967</v>
      </c>
      <c r="CF147" s="0" t="n">
        <v>-0.0037690396250326</v>
      </c>
      <c r="CG147" s="0" t="n">
        <v>0.0493835537460118</v>
      </c>
      <c r="CH147" s="0" t="n">
        <v>0.0726040801568334</v>
      </c>
      <c r="CI147" s="0" t="n">
        <v>-0.0074548444720615</v>
      </c>
      <c r="CJ147" s="0" t="n">
        <v>0.0336538587688598</v>
      </c>
      <c r="CK147" s="0" t="n">
        <v>0.0511544082401562</v>
      </c>
      <c r="CL147" s="0" t="n">
        <v>0.0968069621846267</v>
      </c>
      <c r="CM147" s="0" t="n">
        <v>0.0887157116710486</v>
      </c>
      <c r="CN147" s="0" t="n">
        <v>0.0341252659640132</v>
      </c>
      <c r="CO147" s="0" t="n">
        <v>0.0180649533866247</v>
      </c>
      <c r="CP147" s="0" t="n">
        <v>0.0551201916851151</v>
      </c>
      <c r="CQ147" s="0" t="n">
        <v>0.0842975248377793</v>
      </c>
      <c r="CR147" s="0" t="n">
        <v>0.0886640541218163</v>
      </c>
      <c r="CS147" s="0" t="n">
        <v>0.0340671991883621</v>
      </c>
      <c r="CT147" s="0" t="n">
        <v>0.0107492656971475</v>
      </c>
      <c r="CU147" s="0" t="n">
        <v>0.0435700811717836</v>
      </c>
      <c r="CV147" s="0" t="n">
        <v>0.0450467609146613</v>
      </c>
      <c r="CW147" s="0" t="n">
        <v>0.0629248458851434</v>
      </c>
      <c r="CX147" s="0" t="n">
        <v>0.129475141405615</v>
      </c>
      <c r="CY147" s="0" t="n">
        <v>0.0555947523019677</v>
      </c>
      <c r="CZ147" s="0" t="n">
        <v>0.0828980922729975</v>
      </c>
      <c r="DA147" s="0" t="n">
        <v>0.0550079729006058</v>
      </c>
      <c r="DB147" s="0" t="n">
        <v>0.0775546290305736</v>
      </c>
      <c r="DC147" s="0" t="n">
        <v>0.0451284952751377</v>
      </c>
      <c r="DD147" s="0" t="n">
        <v>0.113065743992162</v>
      </c>
      <c r="DE147" s="0" t="n">
        <v>0.0893935490847204</v>
      </c>
      <c r="DF147" s="0" t="n">
        <v>0.0983822353703083</v>
      </c>
      <c r="DG147" s="0" t="n">
        <v>0.074514726690949</v>
      </c>
      <c r="DH147" s="0" t="n">
        <v>0.100000965698008</v>
      </c>
      <c r="DI147" s="0" t="n">
        <v>0.088071708310926</v>
      </c>
      <c r="DJ147" s="0" t="n">
        <v>0.0715080462276064</v>
      </c>
      <c r="DK147" s="0" t="n">
        <v>0.114115665757911</v>
      </c>
      <c r="DL147" s="0" t="n">
        <v>0.0014916015836067</v>
      </c>
      <c r="DM147" s="0" t="n">
        <v>0.0756276234488132</v>
      </c>
      <c r="DN147" s="0" t="n">
        <v>0.0818619808562388</v>
      </c>
      <c r="DO147" s="0" t="n">
        <v>0.079840673315985</v>
      </c>
      <c r="DP147" s="0" t="n">
        <v>0.0960453715601117</v>
      </c>
      <c r="DQ147" s="0" t="n">
        <v>0.141852432627367</v>
      </c>
      <c r="DR147" s="0" t="n">
        <v>0.145855689998301</v>
      </c>
      <c r="DS147" s="0" t="n">
        <v>0.095340833000746</v>
      </c>
      <c r="DT147" s="0" t="n">
        <v>0.229724263719732</v>
      </c>
      <c r="DU147" s="0" t="n">
        <v>0.219745190322574</v>
      </c>
      <c r="DV147" s="0" t="n">
        <v>0.204341901020406</v>
      </c>
      <c r="DW147" s="0" t="n">
        <v>0.147902496313415</v>
      </c>
      <c r="DX147" s="0" t="n">
        <v>0.0925496558122219</v>
      </c>
      <c r="DY147" s="0" t="n">
        <v>0.135809976739196</v>
      </c>
      <c r="DZ147" s="0" t="n">
        <v>0.167356596926589</v>
      </c>
      <c r="EA147" s="0" t="n">
        <v>0.191688650311358</v>
      </c>
      <c r="EB147" s="0" t="n">
        <v>0.218218397458068</v>
      </c>
      <c r="EC147" s="0" t="n">
        <v>-0.0015436516392243</v>
      </c>
      <c r="ED147" s="0" t="n">
        <v>0.137764090613515</v>
      </c>
      <c r="EE147" s="0" t="n">
        <v>0.174884174134667</v>
      </c>
      <c r="EF147" s="0" t="n">
        <v>0.120600433162152</v>
      </c>
      <c r="EG147" s="0" t="n">
        <v>0.111523294395622</v>
      </c>
      <c r="EH147" s="0" t="n">
        <v>0.294645138233158</v>
      </c>
      <c r="EI147" s="0" t="n">
        <v>0.177879982985897</v>
      </c>
      <c r="EJ147" s="0" t="n">
        <v>0.287616623116042</v>
      </c>
      <c r="EK147" s="0" t="n">
        <v>0.232072835459407</v>
      </c>
      <c r="EL147" s="0" t="n">
        <v>0.276788924869671</v>
      </c>
      <c r="EM147" s="0" t="n">
        <v>1.16247166061593</v>
      </c>
      <c r="EN147" s="0" t="n">
        <v>0.189874857143364</v>
      </c>
      <c r="EO147" s="0" t="n">
        <v>0.098992776819143</v>
      </c>
      <c r="EP147" s="72" t="n">
        <f aca="false">SUMPRODUCT(B147:EO147,$B$5:$EO$5)</f>
        <v>0.135743893771179</v>
      </c>
      <c r="EQ147" s="72" t="n">
        <f aca="false">SUMIF('Mi portafolio'!$A$8:$A$19,$A147,'Mi portafolio'!$B$8:$B$19)</f>
        <v>0</v>
      </c>
    </row>
    <row r="148" customFormat="false" ht="15" hidden="false" customHeight="false" outlineLevel="0" collapsed="false">
      <c r="A148" s="71" t="s">
        <v>377</v>
      </c>
      <c r="B148" s="0" t="n">
        <v>0.0007453097273575</v>
      </c>
      <c r="C148" s="0" t="n">
        <v>0.0017702739720122</v>
      </c>
      <c r="D148" s="0" t="n">
        <v>-0.0037271395563027</v>
      </c>
      <c r="E148" s="0" t="n">
        <v>0.0066822237016528</v>
      </c>
      <c r="F148" s="0" t="n">
        <v>0.0356206325427642</v>
      </c>
      <c r="G148" s="0" t="n">
        <v>0.0016852168652154</v>
      </c>
      <c r="H148" s="0" t="n">
        <v>0.0046005003614232</v>
      </c>
      <c r="I148" s="0" t="n">
        <v>0.0289437369653401</v>
      </c>
      <c r="J148" s="0" t="n">
        <v>0.0444963883188789</v>
      </c>
      <c r="K148" s="0" t="n">
        <v>0.0334365641466362</v>
      </c>
      <c r="L148" s="0" t="n">
        <v>-0.0011994082237911</v>
      </c>
      <c r="M148" s="0" t="n">
        <v>0.0698796216132854</v>
      </c>
      <c r="N148" s="0" t="n">
        <v>0.110523216325784</v>
      </c>
      <c r="O148" s="0" t="n">
        <v>-0.0106430836069939</v>
      </c>
      <c r="P148" s="0" t="n">
        <v>0.0044915737152196</v>
      </c>
      <c r="Q148" s="0" t="n">
        <v>-0.0293095114642796</v>
      </c>
      <c r="R148" s="0" t="n">
        <v>0.0444799061890041</v>
      </c>
      <c r="S148" s="0" t="n">
        <v>0.0275209570510968</v>
      </c>
      <c r="T148" s="0" t="n">
        <v>0.0078509511492478</v>
      </c>
      <c r="U148" s="0" t="n">
        <v>0.0770551062018547</v>
      </c>
      <c r="V148" s="0" t="n">
        <v>-0.0055238560272661</v>
      </c>
      <c r="W148" s="0" t="n">
        <v>0.0345131022155563</v>
      </c>
      <c r="X148" s="0" t="n">
        <v>0.0112906739124851</v>
      </c>
      <c r="Y148" s="0" t="n">
        <v>0.0305595207446548</v>
      </c>
      <c r="Z148" s="0" t="n">
        <v>0.0304917364034576</v>
      </c>
      <c r="AA148" s="0" t="n">
        <v>0.0647060461046787</v>
      </c>
      <c r="AB148" s="0" t="n">
        <v>0.0249547878896717</v>
      </c>
      <c r="AC148" s="0" t="n">
        <v>0.0134769682997632</v>
      </c>
      <c r="AD148" s="0" t="n">
        <v>0.0041906844957739</v>
      </c>
      <c r="AE148" s="0" t="n">
        <v>0.0173541136199052</v>
      </c>
      <c r="AF148" s="0" t="n">
        <v>0.0101151343485319</v>
      </c>
      <c r="AG148" s="0" t="n">
        <v>-0.0064850708508303</v>
      </c>
      <c r="AH148" s="0" t="n">
        <v>0.0070054011658828</v>
      </c>
      <c r="AI148" s="0" t="n">
        <v>-0.0122632475437711</v>
      </c>
      <c r="AJ148" s="0" t="n">
        <v>0.0385656392072998</v>
      </c>
      <c r="AK148" s="0" t="n">
        <v>-0.0023502955447191</v>
      </c>
      <c r="AL148" s="0" t="n">
        <v>0.0770279611783842</v>
      </c>
      <c r="AM148" s="0" t="n">
        <v>0.0400951687390162</v>
      </c>
      <c r="AN148" s="0" t="n">
        <v>0.0840856974534107</v>
      </c>
      <c r="AO148" s="0" t="n">
        <v>0.0970552124310096</v>
      </c>
      <c r="AP148" s="0" t="n">
        <v>0.109219560766212</v>
      </c>
      <c r="AQ148" s="0" t="n">
        <v>-0.0302285164219145</v>
      </c>
      <c r="AR148" s="0" t="n">
        <v>0.002439348935454</v>
      </c>
      <c r="AS148" s="0" t="n">
        <v>0.0279702639116763</v>
      </c>
      <c r="AT148" s="0" t="n">
        <v>0.0723392585013744</v>
      </c>
      <c r="AU148" s="0" t="n">
        <v>0.0175334271941169</v>
      </c>
      <c r="AV148" s="0" t="n">
        <v>0.0046462723699355</v>
      </c>
      <c r="AW148" s="0" t="n">
        <v>0.0285863458257014</v>
      </c>
      <c r="AX148" s="0" t="n">
        <v>0.10427170154986</v>
      </c>
      <c r="AY148" s="0" t="n">
        <v>0.0274736738394547</v>
      </c>
      <c r="AZ148" s="0" t="n">
        <v>0.0458614395604256</v>
      </c>
      <c r="BA148" s="0" t="n">
        <v>0.0240935714191662</v>
      </c>
      <c r="BB148" s="0" t="n">
        <v>0.0037643120291647</v>
      </c>
      <c r="BC148" s="0" t="n">
        <v>0.0035570383596311</v>
      </c>
      <c r="BD148" s="0" t="n">
        <v>0.0149628100874725</v>
      </c>
      <c r="BE148" s="0" t="n">
        <v>0.279397685803676</v>
      </c>
      <c r="BF148" s="0" t="n">
        <v>0.0257909212541351</v>
      </c>
      <c r="BG148" s="0" t="n">
        <v>0.126491394178013</v>
      </c>
      <c r="BH148" s="0" t="n">
        <v>0.014689270551734</v>
      </c>
      <c r="BI148" s="0" t="n">
        <v>0.0176064611431051</v>
      </c>
      <c r="BJ148" s="0" t="n">
        <v>0.0169746862120233</v>
      </c>
      <c r="BK148" s="0" t="n">
        <v>0.028905200159695</v>
      </c>
      <c r="BL148" s="0" t="n">
        <v>0.0552559174447508</v>
      </c>
      <c r="BM148" s="0" t="n">
        <v>0.0838947418288174</v>
      </c>
      <c r="BN148" s="0" t="n">
        <v>0.0004271331523278</v>
      </c>
      <c r="BO148" s="0" t="n">
        <v>0.0605543562932456</v>
      </c>
      <c r="BP148" s="0" t="n">
        <v>0.036708278000849</v>
      </c>
      <c r="BQ148" s="0" t="n">
        <v>0.0193882016932598</v>
      </c>
      <c r="BR148" s="0" t="n">
        <v>0.0135657529909409</v>
      </c>
      <c r="BS148" s="0" t="n">
        <v>-0.027212360212858</v>
      </c>
      <c r="BT148" s="0" t="n">
        <v>-0.0109447484585551</v>
      </c>
      <c r="BU148" s="0" t="n">
        <v>0.0533417517631607</v>
      </c>
      <c r="BV148" s="0" t="n">
        <v>0.0835527114681967</v>
      </c>
      <c r="BW148" s="0" t="n">
        <v>0.0738168167320665</v>
      </c>
      <c r="BX148" s="0" t="n">
        <v>0.141783583307019</v>
      </c>
      <c r="BY148" s="0" t="n">
        <v>0.0725321860859177</v>
      </c>
      <c r="BZ148" s="0" t="n">
        <v>0.0650208049307713</v>
      </c>
      <c r="CA148" s="0" t="n">
        <v>0.0382737901592971</v>
      </c>
      <c r="CB148" s="0" t="n">
        <v>-0.0377402168918117</v>
      </c>
      <c r="CC148" s="0" t="n">
        <v>0.0351158714698264</v>
      </c>
      <c r="CD148" s="0" t="n">
        <v>0.152978556684762</v>
      </c>
      <c r="CE148" s="0" t="n">
        <v>0.0150830162344118</v>
      </c>
      <c r="CF148" s="0" t="n">
        <v>-0.0105669922765085</v>
      </c>
      <c r="CG148" s="0" t="n">
        <v>0.1297888156936</v>
      </c>
      <c r="CH148" s="0" t="n">
        <v>0.0780875894191607</v>
      </c>
      <c r="CI148" s="0" t="n">
        <v>-0.0100479261585554</v>
      </c>
      <c r="CJ148" s="0" t="n">
        <v>0.104526125248793</v>
      </c>
      <c r="CK148" s="0" t="n">
        <v>0.0933836223823495</v>
      </c>
      <c r="CL148" s="0" t="n">
        <v>0.121210510643442</v>
      </c>
      <c r="CM148" s="0" t="n">
        <v>0.0138411966468974</v>
      </c>
      <c r="CN148" s="0" t="n">
        <v>-0.0059246056100049</v>
      </c>
      <c r="CO148" s="0" t="n">
        <v>0.0283516764793181</v>
      </c>
      <c r="CP148" s="0" t="n">
        <v>0.075838983583257</v>
      </c>
      <c r="CQ148" s="0" t="n">
        <v>0.0288444134870949</v>
      </c>
      <c r="CR148" s="0" t="n">
        <v>0.0565172933318172</v>
      </c>
      <c r="CS148" s="0" t="n">
        <v>0.0024949797097569</v>
      </c>
      <c r="CT148" s="0" t="n">
        <v>0.0707056874200397</v>
      </c>
      <c r="CU148" s="0" t="n">
        <v>0.0218755863624267</v>
      </c>
      <c r="CV148" s="0" t="n">
        <v>0.0571046526672633</v>
      </c>
      <c r="CW148" s="0" t="n">
        <v>0.18659153744318</v>
      </c>
      <c r="CX148" s="0" t="n">
        <v>0.115105491688561</v>
      </c>
      <c r="CY148" s="0" t="n">
        <v>0.0517595637776257</v>
      </c>
      <c r="CZ148" s="0" t="n">
        <v>0.080520580082295</v>
      </c>
      <c r="DA148" s="0" t="n">
        <v>0.083092407244244</v>
      </c>
      <c r="DB148" s="0" t="n">
        <v>0.1514588162384</v>
      </c>
      <c r="DC148" s="0" t="n">
        <v>0.0306383804702652</v>
      </c>
      <c r="DD148" s="0" t="n">
        <v>0.139872599388991</v>
      </c>
      <c r="DE148" s="0" t="n">
        <v>0.164445064682689</v>
      </c>
      <c r="DF148" s="0" t="n">
        <v>0.0920784382533444</v>
      </c>
      <c r="DG148" s="0" t="n">
        <v>0.227768998073038</v>
      </c>
      <c r="DH148" s="0" t="n">
        <v>-0.0204013079028837</v>
      </c>
      <c r="DI148" s="0" t="n">
        <v>0.0701422148336916</v>
      </c>
      <c r="DJ148" s="0" t="n">
        <v>0.090627299925785</v>
      </c>
      <c r="DK148" s="0" t="n">
        <v>0.0546574738476626</v>
      </c>
      <c r="DL148" s="0" t="n">
        <v>0.0882685738926146</v>
      </c>
      <c r="DM148" s="0" t="n">
        <v>0.0812098251151029</v>
      </c>
      <c r="DN148" s="0" t="n">
        <v>0.0851802503782584</v>
      </c>
      <c r="DO148" s="0" t="n">
        <v>0.101372448111391</v>
      </c>
      <c r="DP148" s="0" t="n">
        <v>0.0861909459666304</v>
      </c>
      <c r="DQ148" s="0" t="n">
        <v>0.0778797710264627</v>
      </c>
      <c r="DR148" s="0" t="n">
        <v>0.137594836668046</v>
      </c>
      <c r="DS148" s="0" t="n">
        <v>0.105465977051995</v>
      </c>
      <c r="DT148" s="0" t="n">
        <v>0.0824444451330404</v>
      </c>
      <c r="DU148" s="0" t="n">
        <v>0.189533443001048</v>
      </c>
      <c r="DV148" s="0" t="n">
        <v>0.138183179548022</v>
      </c>
      <c r="DW148" s="0" t="n">
        <v>0.101503347649054</v>
      </c>
      <c r="DX148" s="0" t="n">
        <v>0.025210527638291</v>
      </c>
      <c r="DY148" s="0" t="n">
        <v>0.205600756374266</v>
      </c>
      <c r="DZ148" s="0" t="n">
        <v>-0.0090602101964173</v>
      </c>
      <c r="EA148" s="0" t="n">
        <v>0.473606829985119</v>
      </c>
      <c r="EB148" s="0" t="n">
        <v>0.24559620258664</v>
      </c>
      <c r="EC148" s="0" t="n">
        <v>0.0045274168133169</v>
      </c>
      <c r="ED148" s="0" t="n">
        <v>0.260065049450214</v>
      </c>
      <c r="EE148" s="0" t="n">
        <v>0.0707280189146074</v>
      </c>
      <c r="EF148" s="0" t="n">
        <v>-0.046792839495824</v>
      </c>
      <c r="EG148" s="0" t="n">
        <v>0.0810002667370169</v>
      </c>
      <c r="EH148" s="0" t="n">
        <v>0.144078674426049</v>
      </c>
      <c r="EI148" s="0" t="n">
        <v>0.112494903035814</v>
      </c>
      <c r="EJ148" s="0" t="n">
        <v>0.265692929090368</v>
      </c>
      <c r="EK148" s="0" t="n">
        <v>0.274972140227277</v>
      </c>
      <c r="EL148" s="0" t="n">
        <v>0.198254145256976</v>
      </c>
      <c r="EM148" s="0" t="n">
        <v>0.189874857143364</v>
      </c>
      <c r="EN148" s="0" t="n">
        <v>3.73796781106744</v>
      </c>
      <c r="EO148" s="0" t="n">
        <v>0.350984849384125</v>
      </c>
      <c r="EP148" s="72" t="n">
        <f aca="false">SUMPRODUCT(B148:EO148,$B$5:$EO$5)</f>
        <v>0.0908933611063687</v>
      </c>
      <c r="EQ148" s="72" t="n">
        <f aca="false">SUMIF('Mi portafolio'!$A$8:$A$19,$A148,'Mi portafolio'!$B$8:$B$19)</f>
        <v>0</v>
      </c>
    </row>
    <row r="149" customFormat="false" ht="15" hidden="false" customHeight="false" outlineLevel="0" collapsed="false">
      <c r="A149" s="71" t="s">
        <v>378</v>
      </c>
      <c r="B149" s="0" t="n">
        <v>-0.0061273357039845</v>
      </c>
      <c r="C149" s="0" t="n">
        <v>0.014401477524074</v>
      </c>
      <c r="D149" s="0" t="n">
        <v>-0.0392468848702751</v>
      </c>
      <c r="E149" s="0" t="n">
        <v>0.0070333762418612</v>
      </c>
      <c r="F149" s="0" t="n">
        <v>0.0493676545305824</v>
      </c>
      <c r="G149" s="0" t="n">
        <v>0.0279658105319084</v>
      </c>
      <c r="H149" s="0" t="n">
        <v>0.0135283031289079</v>
      </c>
      <c r="I149" s="0" t="n">
        <v>0.0040883868595591</v>
      </c>
      <c r="J149" s="0" t="n">
        <v>-0.0186426211816541</v>
      </c>
      <c r="K149" s="0" t="n">
        <v>0.0033113606879405</v>
      </c>
      <c r="L149" s="0" t="n">
        <v>0.0131826579634386</v>
      </c>
      <c r="M149" s="0" t="n">
        <v>0.0421903384478105</v>
      </c>
      <c r="N149" s="0" t="n">
        <v>0.0157788770305932</v>
      </c>
      <c r="O149" s="0" t="n">
        <v>0.005159442588032</v>
      </c>
      <c r="P149" s="0" t="n">
        <v>0.0039033462190968</v>
      </c>
      <c r="Q149" s="0" t="n">
        <v>0.0068800648174281</v>
      </c>
      <c r="R149" s="0" t="n">
        <v>0.0091765077546494</v>
      </c>
      <c r="S149" s="0" t="n">
        <v>-0.0342524197487327</v>
      </c>
      <c r="T149" s="0" t="n">
        <v>0.0192079506782976</v>
      </c>
      <c r="U149" s="0" t="n">
        <v>0.0213847350603841</v>
      </c>
      <c r="V149" s="0" t="n">
        <v>-0.0046056049581778</v>
      </c>
      <c r="W149" s="0" t="n">
        <v>-0.0222001632947767</v>
      </c>
      <c r="X149" s="0" t="n">
        <v>0.0291853632146342</v>
      </c>
      <c r="Y149" s="0" t="n">
        <v>0.0171833210344666</v>
      </c>
      <c r="Z149" s="0" t="n">
        <v>0.0161577245659987</v>
      </c>
      <c r="AA149" s="0" t="n">
        <v>-0.0126703519592904</v>
      </c>
      <c r="AB149" s="0" t="n">
        <v>0.0202784689252724</v>
      </c>
      <c r="AC149" s="0" t="n">
        <v>0.0012132358719568</v>
      </c>
      <c r="AD149" s="0" t="n">
        <v>-0.0158844280715483</v>
      </c>
      <c r="AE149" s="0" t="n">
        <v>0.0144197854166488</v>
      </c>
      <c r="AF149" s="0" t="n">
        <v>-0.0281571537716865</v>
      </c>
      <c r="AG149" s="0" t="n">
        <v>-0.0499337191512392</v>
      </c>
      <c r="AH149" s="0" t="n">
        <v>-0.0218971099236739</v>
      </c>
      <c r="AI149" s="0" t="n">
        <v>-0.0097860845575523</v>
      </c>
      <c r="AJ149" s="0" t="n">
        <v>0.0042962282013009</v>
      </c>
      <c r="AK149" s="0" t="n">
        <v>0.0388440683919435</v>
      </c>
      <c r="AL149" s="0" t="n">
        <v>0.0694569060672908</v>
      </c>
      <c r="AM149" s="0" t="n">
        <v>0.0299018937229238</v>
      </c>
      <c r="AN149" s="0" t="n">
        <v>0.0588188419002982</v>
      </c>
      <c r="AO149" s="0" t="n">
        <v>0.0125986335333375</v>
      </c>
      <c r="AP149" s="0" t="n">
        <v>0.104754873228063</v>
      </c>
      <c r="AQ149" s="0" t="n">
        <v>-0.0082609968313805</v>
      </c>
      <c r="AR149" s="0" t="n">
        <v>0.0363771381516709</v>
      </c>
      <c r="AS149" s="0" t="n">
        <v>0.0709774517082865</v>
      </c>
      <c r="AT149" s="0" t="n">
        <v>0.0714138049763667</v>
      </c>
      <c r="AU149" s="0" t="n">
        <v>-0.0095886318877008</v>
      </c>
      <c r="AV149" s="0" t="n">
        <v>0.0318266763477784</v>
      </c>
      <c r="AW149" s="0" t="n">
        <v>0.007270513673681</v>
      </c>
      <c r="AX149" s="0" t="n">
        <v>0.0445469332657614</v>
      </c>
      <c r="AY149" s="0" t="n">
        <v>0.0209278093365897</v>
      </c>
      <c r="AZ149" s="0" t="n">
        <v>-0.0395004988122958</v>
      </c>
      <c r="BA149" s="0" t="n">
        <v>0.0641723453872355</v>
      </c>
      <c r="BB149" s="0" t="n">
        <v>0.0592671150496324</v>
      </c>
      <c r="BC149" s="0" t="n">
        <v>-0.0394988850237994</v>
      </c>
      <c r="BD149" s="0" t="n">
        <v>0.0763135797600907</v>
      </c>
      <c r="BE149" s="0" t="n">
        <v>0.0444933909617711</v>
      </c>
      <c r="BF149" s="0" t="n">
        <v>0.0666075709564402</v>
      </c>
      <c r="BG149" s="0" t="n">
        <v>0.0986708273217583</v>
      </c>
      <c r="BH149" s="0" t="n">
        <v>0.0313821945471368</v>
      </c>
      <c r="BI149" s="0" t="n">
        <v>-0.0510295215371017</v>
      </c>
      <c r="BJ149" s="0" t="n">
        <v>-0.0197615476962367</v>
      </c>
      <c r="BK149" s="0" t="n">
        <v>-0.0871699428692598</v>
      </c>
      <c r="BL149" s="0" t="n">
        <v>0.0800001835297448</v>
      </c>
      <c r="BM149" s="0" t="n">
        <v>0.116779085236018</v>
      </c>
      <c r="BN149" s="0" t="n">
        <v>0.0262701847083021</v>
      </c>
      <c r="BO149" s="0" t="n">
        <v>0.0473232370677973</v>
      </c>
      <c r="BP149" s="0" t="n">
        <v>0.0599831478275853</v>
      </c>
      <c r="BQ149" s="0" t="n">
        <v>-0.0295534705210616</v>
      </c>
      <c r="BR149" s="0" t="n">
        <v>0.0809137612692988</v>
      </c>
      <c r="BS149" s="0" t="n">
        <v>0.0077745738019404</v>
      </c>
      <c r="BT149" s="0" t="n">
        <v>0.081738440500322</v>
      </c>
      <c r="BU149" s="0" t="n">
        <v>0.036762510130608</v>
      </c>
      <c r="BV149" s="0" t="n">
        <v>0.120701179883323</v>
      </c>
      <c r="BW149" s="0" t="n">
        <v>0.0897574129769108</v>
      </c>
      <c r="BX149" s="0" t="n">
        <v>0.0178958629440217</v>
      </c>
      <c r="BY149" s="0" t="n">
        <v>0.25998949888148</v>
      </c>
      <c r="BZ149" s="0" t="n">
        <v>0.098332644365254</v>
      </c>
      <c r="CA149" s="0" t="n">
        <v>-0.0239423335101446</v>
      </c>
      <c r="CB149" s="0" t="n">
        <v>-0.0541554343977696</v>
      </c>
      <c r="CC149" s="0" t="n">
        <v>0.0600166532412444</v>
      </c>
      <c r="CD149" s="0" t="n">
        <v>0.0689383250606459</v>
      </c>
      <c r="CE149" s="0" t="n">
        <v>0.0597100458246975</v>
      </c>
      <c r="CF149" s="0" t="n">
        <v>-0.0200629042132431</v>
      </c>
      <c r="CG149" s="0" t="n">
        <v>0.106265466660572</v>
      </c>
      <c r="CH149" s="0" t="n">
        <v>0.066593952097445</v>
      </c>
      <c r="CI149" s="0" t="n">
        <v>-0.020130205815125</v>
      </c>
      <c r="CJ149" s="0" t="n">
        <v>0.116311144103792</v>
      </c>
      <c r="CK149" s="0" t="n">
        <v>0.0951915199214775</v>
      </c>
      <c r="CL149" s="0" t="n">
        <v>0.120687474243986</v>
      </c>
      <c r="CM149" s="0" t="n">
        <v>0.0634136843199217</v>
      </c>
      <c r="CN149" s="0" t="n">
        <v>0.0254830698668748</v>
      </c>
      <c r="CO149" s="0" t="n">
        <v>0.0137126785744237</v>
      </c>
      <c r="CP149" s="0" t="n">
        <v>0.0534230217367191</v>
      </c>
      <c r="CQ149" s="0" t="n">
        <v>0.115154815938736</v>
      </c>
      <c r="CR149" s="0" t="n">
        <v>0.0881933822875671</v>
      </c>
      <c r="CS149" s="0" t="n">
        <v>0.0680786172287677</v>
      </c>
      <c r="CT149" s="0" t="n">
        <v>0.146374938867761</v>
      </c>
      <c r="CU149" s="0" t="n">
        <v>0.0824986128076968</v>
      </c>
      <c r="CV149" s="0" t="n">
        <v>0.0584943614662461</v>
      </c>
      <c r="CW149" s="0" t="n">
        <v>0.139127033763182</v>
      </c>
      <c r="CX149" s="0" t="n">
        <v>0.0984676571205358</v>
      </c>
      <c r="CY149" s="0" t="n">
        <v>0.102577734260184</v>
      </c>
      <c r="CZ149" s="0" t="n">
        <v>0.0852211356702048</v>
      </c>
      <c r="DA149" s="0" t="n">
        <v>0.107487076246781</v>
      </c>
      <c r="DB149" s="0" t="n">
        <v>0.122567892373104</v>
      </c>
      <c r="DC149" s="0" t="n">
        <v>0.0635397261671374</v>
      </c>
      <c r="DD149" s="0" t="n">
        <v>0.184118832039811</v>
      </c>
      <c r="DE149" s="0" t="n">
        <v>0.121605450498906</v>
      </c>
      <c r="DF149" s="0" t="n">
        <v>0.158585624406525</v>
      </c>
      <c r="DG149" s="0" t="n">
        <v>0.0190672759637331</v>
      </c>
      <c r="DH149" s="0" t="n">
        <v>0.0403796776973963</v>
      </c>
      <c r="DI149" s="0" t="n">
        <v>0.107143235702</v>
      </c>
      <c r="DJ149" s="0" t="n">
        <v>0.164921867931039</v>
      </c>
      <c r="DK149" s="0" t="n">
        <v>0.0878385997906226</v>
      </c>
      <c r="DL149" s="0" t="n">
        <v>0.0065310335035363</v>
      </c>
      <c r="DM149" s="0" t="n">
        <v>0.186537466703745</v>
      </c>
      <c r="DN149" s="0" t="n">
        <v>0.160614737189126</v>
      </c>
      <c r="DO149" s="0" t="n">
        <v>0.112883949620728</v>
      </c>
      <c r="DP149" s="0" t="n">
        <v>0.174284617310377</v>
      </c>
      <c r="DQ149" s="0" t="n">
        <v>0.028267091898569</v>
      </c>
      <c r="DR149" s="0" t="n">
        <v>0.0798278801859995</v>
      </c>
      <c r="DS149" s="0" t="n">
        <v>0.155486528827821</v>
      </c>
      <c r="DT149" s="0" t="n">
        <v>0.133307107326664</v>
      </c>
      <c r="DU149" s="0" t="n">
        <v>0.260211550360626</v>
      </c>
      <c r="DV149" s="0" t="n">
        <v>0.149604133215778</v>
      </c>
      <c r="DW149" s="0" t="n">
        <v>0.111783012119836</v>
      </c>
      <c r="DX149" s="0" t="n">
        <v>0.103279351904021</v>
      </c>
      <c r="DY149" s="0" t="n">
        <v>0.303267512791</v>
      </c>
      <c r="DZ149" s="0" t="n">
        <v>0.12471499216322</v>
      </c>
      <c r="EA149" s="0" t="n">
        <v>0.140972037138055</v>
      </c>
      <c r="EB149" s="0" t="n">
        <v>0.373352934312329</v>
      </c>
      <c r="EC149" s="0" t="n">
        <v>0.0187218159940408</v>
      </c>
      <c r="ED149" s="0" t="n">
        <v>0.151649785152534</v>
      </c>
      <c r="EE149" s="0" t="n">
        <v>0.16814379134918</v>
      </c>
      <c r="EF149" s="0" t="n">
        <v>0.0499679739390721</v>
      </c>
      <c r="EG149" s="0" t="n">
        <v>0.118902692601437</v>
      </c>
      <c r="EH149" s="0" t="n">
        <v>0.0902770128187828</v>
      </c>
      <c r="EI149" s="0" t="n">
        <v>0.0794213369559658</v>
      </c>
      <c r="EJ149" s="0" t="n">
        <v>0.12117079329163</v>
      </c>
      <c r="EK149" s="0" t="n">
        <v>0.293448911399987</v>
      </c>
      <c r="EL149" s="0" t="n">
        <v>0.222393052786399</v>
      </c>
      <c r="EM149" s="0" t="n">
        <v>0.098992776819143</v>
      </c>
      <c r="EN149" s="0" t="n">
        <v>0.350984849384125</v>
      </c>
      <c r="EO149" s="0" t="n">
        <v>5.09545441538028</v>
      </c>
      <c r="EP149" s="72" t="n">
        <f aca="false">SUMPRODUCT(B149:EO149,$B$5:$EO$5)</f>
        <v>0.0896784366948675</v>
      </c>
      <c r="EQ149" s="72" t="n">
        <f aca="false">SUMIF('Mi portafolio'!$A$8:$A$19,$A149,'Mi portafolio'!$B$8:$B$19)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2026-10-08T16:30:44Z</dcterms:created>
  <dc:creator>openpyxl</dc:creator>
  <dc:description/>
  <dc:language>en-US</dc:language>
  <cp:lastModifiedBy/>
  <dcterms:modified xsi:type="dcterms:W3CDTF">2026-10-08T17:15:27Z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