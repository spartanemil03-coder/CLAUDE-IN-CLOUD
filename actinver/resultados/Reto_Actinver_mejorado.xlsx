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eme" sheetId="1" state="visible" r:id="rId3"/>
    <sheet name="Mi portafolio" sheetId="2" state="visible" r:id="rId4"/>
    <sheet name="Pronóstico" sheetId="3" state="visible" r:id="rId5"/>
    <sheet name="Portafolios" sheetId="4" state="visible" r:id="rId6"/>
    <sheet name="Acciones" sheetId="5" state="visible" r:id="rId7"/>
    <sheet name="Correlaciones" sheetId="6" state="visible" r:id="rId8"/>
    <sheet name="Covarianza" sheetId="7" state="visible" r:id="rId9"/>
    <sheet name="Beta" sheetId="8" state="visible" r:id="rId10"/>
  </sheets>
  <definedNames>
    <definedName function="false" hidden="true" localSheetId="4" name="_xlnm._FilterDatabase" vbProcedure="false">Acciones!$A$4:$U$149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<sst xmlns="http://schemas.openxmlformats.org/spreadsheetml/2006/main" count="1484" uniqueCount="300">
  <si>
    <t xml:space="preserve">Reto Actinver 2026: las 145 acciones de la plataforma, con datos y calculadora de portafolio</t>
  </si>
  <si>
    <t xml:space="preserve">Precios de mercado y cierres al 2026-10-08. Datos descriptivos del pasado: NO son una recomendación de inversión y no predicen lo que va a pasar.</t>
  </si>
  <si>
    <t xml:space="preserve">Qué hay en cada hoja</t>
  </si>
  <si>
    <t xml:space="preserve">• Acciones: las 145 de tu monitor (Reto Actinver &gt; Monitores &gt; Acciones), con el precio de compra y de venta que vio la plataforma, la diferencia entre ambos, el volumen disponible y los datos históricos en pesos.</t>
  </si>
  <si>
    <t xml:space="preserve">• Mi portafolio: eliges emisoras y porcentajes (celdas amarillas). Revisa las reglas del reto, los costos reales (comisión + diferencia compra-venta) y cuánto se ha movido un portafolio así.</t>
  </si>
  <si>
    <t xml:space="preserve">• Correlaciones / Covarianza: qué tanto se mueven juntas (apoyo de la calculadora).</t>
  </si>
  <si>
    <t xml:space="preserve">Lo que más cambia el resultado: la diferencia entre precio de compra y de venta</t>
  </si>
  <si>
    <t xml:space="preserve">• Si compras al precio de venta y vendes al precio de compra, pierdes esa diferencia cada vez que haces el viaje completo. En las mexicanas es de centésimas de punto porcentual; en muchas del exterior (SIC) es de 2% a 5%.</t>
  </si>
  <si>
    <t xml:space="preserve">• 'Sin contraparte' = hoy no hay quien compre o quien venda (precio $0.00): esa orden no se asigna. Son datos de un instante; cambian durante el día.</t>
  </si>
  <si>
    <t xml:space="preserve">• Estos precios son una foto del monitor al momento de copiarlo. Vuelve a revisarlo en la plataforma antes de operar.</t>
  </si>
  <si>
    <t xml:space="preserve">Cómo leer las columnas históricas</t>
  </si>
  <si>
    <t xml:space="preserve">• Todo está en pesos. En las acciones del exterior se usó el precio en dólares por el tipo de cambio del día (aproximación del precio SIC en pesos).</t>
  </si>
  <si>
    <t xml:space="preserve">• Volatilidad anual: qué tanto se mueve el precio (desv. estándar de rendimientos diarios del último año, anualizada). Mov. típico ±1σ: lo que suele moverse en 25 sesiones; ~2 de cada 3 veces cae dentro de ese rango.</t>
  </si>
  <si>
    <t xml:space="preserve">• Peor caída: la mayor baja desde un máximo en el último año. Beta: sensibilidad al IPC. Mejor / peor ventana de 25 sesiones: el mejor y el peor tramo de ese largo en 3 años.</t>
  </si>
  <si>
    <t xml:space="preserve">• Perfil: tercios de volatilidad entre las 144 con historial. Solo describe el pasado.</t>
  </si>
  <si>
    <t xml:space="preserve">Reglas del reto usadas (de las bases publicadas; confírmalas)</t>
  </si>
  <si>
    <t xml:space="preserve">• $1,000,000 virtuales. Mínimo 5 emisoras distintas. Máximo 50% en una acción. Sin ventas en corto. Comisión 0.10% + 16% IVA (0.116%) por operación. Se gana por mayor ganancia absoluta en pesos al 13 de noviembre de 2026.</t>
  </si>
  <si>
    <t xml:space="preserve">Limitaciones</t>
  </si>
  <si>
    <t xml:space="preserve">• LASITE B-1 no tiene historial en la fuente (no entra a la calculadora). Las emisoras sin contraparte hoy siguen en la lista pero aparecen marcadas.</t>
  </si>
  <si>
    <t xml:space="preserve">• Yahoo Finance puede tener huecos o errores en emisoras mexicanas y en SIC. Compara con la plataforma.</t>
  </si>
  <si>
    <t xml:space="preserve">• No incluye fechas de reporte de resultados del 3T, que suelen mover mucho los precios: revísalas en tu calendario.</t>
  </si>
  <si>
    <t xml:space="preserve">• El rango ±1σ supone que el futuro se parece al último año; los eventos extremos pasan más seguido de lo que sugiere.</t>
  </si>
  <si>
    <t xml:space="preserve">Hojas agregadas (versión mejorada)</t>
  </si>
  <si>
    <t xml:space="preserve">• Pronóstico: tres escenarios de mercado (bajista, base, alcista), ganancia en pesos de cada portafolio candidato y ganador.</t>
  </si>
  <si>
    <t xml:space="preserve">• Portafolios: pesos de los 5 candidatos (A a E) y su ganancia por escenario; los pesos se pueden cambiar.</t>
  </si>
  <si>
    <t xml:space="preserve">• Beta: sensibilidad de cada emisora a la canasta de las 144 acciones y su costo de operar (hoja de apoyo).</t>
  </si>
  <si>
    <t xml:space="preserve">• Mi portafolio viene llenado con el ganador del análisis (E Optimizado: ganancia máx.). Cámbialo si quieres probar otra combinación. No es una recomendación de inversión.</t>
  </si>
  <si>
    <t xml:space="preserve">Mi portafolio del Reto Actinver 2026</t>
  </si>
  <si>
    <t xml:space="preserve">Elige emisoras en las celdas amarillas (lista desplegable) y su porcentaje. Todo lo demás se calcula solo.</t>
  </si>
  <si>
    <t xml:space="preserve">Capital del reto ($)</t>
  </si>
  <si>
    <t xml:space="preserve">Sesiones que faltan (aprox.)</t>
  </si>
  <si>
    <t xml:space="preserve">Comisión por operación (0.10% + 16% IVA)</t>
  </si>
  <si>
    <t xml:space="preserve">Emisora</t>
  </si>
  <si>
    <t xml:space="preserve">Peso (%)</t>
  </si>
  <si>
    <t xml:space="preserve">Tipo</t>
  </si>
  <si>
    <t xml:space="preserve">Perfil por volatilidad</t>
  </si>
  <si>
    <t xml:space="preserve">Volatilidad anual</t>
  </si>
  <si>
    <t xml:space="preserve">Mov. típico ±1σ (25 ses.)</t>
  </si>
  <si>
    <t xml:space="preserve">Peor caída 1 año</t>
  </si>
  <si>
    <t xml:space="preserve">Diferencia compra-venta</t>
  </si>
  <si>
    <t xml:space="preserve">¿Operable hoy?</t>
  </si>
  <si>
    <t xml:space="preserve">Importe a comprar ($)</t>
  </si>
  <si>
    <t xml:space="preserve">Costo estimado ida y vuelta ($)</t>
  </si>
  <si>
    <t xml:space="preserve">Peor ventana 25 ses. (3a) en $</t>
  </si>
  <si>
    <t xml:space="preserve">Mejor ventana 25 ses. (3a) en $</t>
  </si>
  <si>
    <t xml:space="preserve">Beta</t>
  </si>
  <si>
    <t xml:space="preserve">Peso × beta</t>
  </si>
  <si>
    <t xml:space="preserve">GOOGL *</t>
  </si>
  <si>
    <t xml:space="preserve">CEMEX CPO</t>
  </si>
  <si>
    <t xml:space="preserve">GMEXICO B</t>
  </si>
  <si>
    <t xml:space="preserve">TSLA *</t>
  </si>
  <si>
    <t xml:space="preserve">AVGO *</t>
  </si>
  <si>
    <t xml:space="preserve">Resumen y revisión de reglas</t>
  </si>
  <si>
    <t xml:space="preserve">Suma de pesos</t>
  </si>
  <si>
    <t xml:space="preserve">Emisoras distintas (mín. 5)</t>
  </si>
  <si>
    <t xml:space="preserve">Peso máximo en una emisora (máx. 50%)</t>
  </si>
  <si>
    <t xml:space="preserve">Emisoras repetidas en la lista</t>
  </si>
  <si>
    <t xml:space="preserve">Emisoras sin contraparte hoy</t>
  </si>
  <si>
    <t xml:space="preserve">Total a invertir ($)</t>
  </si>
  <si>
    <t xml:space="preserve">Comisión total de compra ($)</t>
  </si>
  <si>
    <t xml:space="preserve">Volatilidad anual del portafolio</t>
  </si>
  <si>
    <t xml:space="preserve">Usa la correlación entre emisoras (hoja Covarianza).</t>
  </si>
  <si>
    <t xml:space="preserve">Mov. típico del portafolio (±1σ) en el lapso</t>
  </si>
  <si>
    <t xml:space="preserve">~2 de cada 3 veces el resultado cae dentro de ± este porcentaje.</t>
  </si>
  <si>
    <t xml:space="preserve">Mov. típico en pesos (±1σ)</t>
  </si>
  <si>
    <t xml:space="preserve">Solo la parte invertida; descuenta costos.</t>
  </si>
  <si>
    <t xml:space="preserve">Beta del portafolio vs IPC (aprox.)</t>
  </si>
  <si>
    <t xml:space="preserve">1 = se mueve como el IPC; &gt;1 más; &lt;1 menos.</t>
  </si>
  <si>
    <t xml:space="preserve">Los rangos son históricos y orientativos; el precio real puede salirse de ellos. No es una recomendación de inversión.</t>
  </si>
  <si>
    <t xml:space="preserve">Pronóstico por escenarios y ganador</t>
  </si>
  <si>
    <t xml:space="preserve">Hipotético y descriptivo del pasado: no predice qué acción sube más. Cada escenario supone cómo se mueve el mercado (canasta de las 144 acciones) y cada acción lo sigue según su beta.</t>
  </si>
  <si>
    <t xml:space="preserve">Supuestos (celdas amarillas editables)</t>
  </si>
  <si>
    <t xml:space="preserve">Mov. típico (±1σ) de la canasta en las sesiones que faltan</t>
  </si>
  <si>
    <t xml:space="preserve">Escenario</t>
  </si>
  <si>
    <t xml:space="preserve">Probabilidad</t>
  </si>
  <si>
    <t xml:space="preserve">Rend. de la canasta</t>
  </si>
  <si>
    <t xml:space="preserve">Cómo se lee</t>
  </si>
  <si>
    <t xml:space="preserve">Bajista</t>
  </si>
  <si>
    <t xml:space="preserve">El mercado baja 1σ</t>
  </si>
  <si>
    <t xml:space="preserve">Base</t>
  </si>
  <si>
    <t xml:space="preserve">Sube ~1% en el lapso (≈10% anual)</t>
  </si>
  <si>
    <t xml:space="preserve">Alcista</t>
  </si>
  <si>
    <t xml:space="preserve">El mercado sube 1σ</t>
  </si>
  <si>
    <t xml:space="preserve">Suma de probabilidades (debe ser 100%)</t>
  </si>
  <si>
    <t xml:space="preserve">Rend. medio esperado de la canasta</t>
  </si>
  <si>
    <t xml:space="preserve">Resultado por portafolio (pesos sobre el capital, ya con costos de operar)</t>
  </si>
  <si>
    <t xml:space="preserve">Portafolio</t>
  </si>
  <si>
    <t xml:space="preserve">Emisoras</t>
  </si>
  <si>
    <t xml:space="preserve">Costo estimado ($)</t>
  </si>
  <si>
    <t xml:space="preserve">Bajista ($)</t>
  </si>
  <si>
    <t xml:space="preserve">Base ($)</t>
  </si>
  <si>
    <t xml:space="preserve">Alcista ($)</t>
  </si>
  <si>
    <t xml:space="preserve">Ganancia esperada ($)</t>
  </si>
  <si>
    <t xml:space="preserve">Vol. anual*</t>
  </si>
  <si>
    <t xml:space="preserve">Desv. de la ganancia ($)*</t>
  </si>
  <si>
    <t xml:space="preserve">Ganancia por riesgo</t>
  </si>
  <si>
    <t xml:space="preserve">Peor 5% ($)*</t>
  </si>
  <si>
    <t xml:space="preserve">Mejor 5% ($)*</t>
  </si>
  <si>
    <t xml:space="preserve">Prob. de ganar*</t>
  </si>
  <si>
    <t xml:space="preserve">A Prudente</t>
  </si>
  <si>
    <t xml:space="preserve">B Tu idea + diversificadores</t>
  </si>
  <si>
    <t xml:space="preserve">C Ranking (alto riesgo)</t>
  </si>
  <si>
    <t xml:space="preserve">D Optimizado: ganancia/riesgo</t>
  </si>
  <si>
    <t xml:space="preserve">E Optimizado: ganancia máx.</t>
  </si>
  <si>
    <t xml:space="preserve">Ganadores</t>
  </si>
  <si>
    <t xml:space="preserve">Ganador: mayor ganancia esperada por riesgo</t>
  </si>
  <si>
    <t xml:space="preserve">Gana si el mercado baja</t>
  </si>
  <si>
    <t xml:space="preserve">Gana en el escenario base</t>
  </si>
  <si>
    <t xml:space="preserve">Gana si el mercado sube</t>
  </si>
  <si>
    <t xml:space="preserve">Mayor ganancia esperada</t>
  </si>
  <si>
    <t xml:space="preserve">Cómo se calcula: ganancia = capital × (beta del portafolio × rendimiento de la canasta en el escenario) − costo de operar. El costo supone ida y vuelta completa (diferencia compra-venta + 2 comisiones); si se valúa a precio de mercado sin vender, es menor.</t>
  </si>
  <si>
    <t xml:space="preserve">No hay pronóstico por emisora: ninguna acción tiene ventaja propia en el modelo. Lo que cambia entre portafolios es cuánto mercado toman (beta), cuánto riesgo propio cargan y cuánto cuesta operarlos.</t>
  </si>
  <si>
    <t xml:space="preserve">* Columnas grises (cursiva): simulación de 40,000 trayectorias en Python con la covarianza completa del último año y media = beta × rendimiento medio de la canasta (semilla 2026). El riesgo coincide con el de la hoja Mi portafolio. No se recalculan si cambias los supuestos de arriba; las demás sí.</t>
  </si>
  <si>
    <t xml:space="preserve">'Ganancia por riesgo' = ganancia esperada ÷ desviación de la ganancia simulada. Los portafolios D y E se optimizaron con los mismos datos del último año, así que su ventaja sobre A, B y C es optimista.</t>
  </si>
  <si>
    <t xml:space="preserve">Las betas, volatilidades y spreads son de una foto del 8 de octubre. Verifica precios, volumen y fechas de resultados trimestrales antes de operar. No es una recomendación de inversión.</t>
  </si>
  <si>
    <t xml:space="preserve">Portafolios candidatos: pesos y ganancia por escenario</t>
  </si>
  <si>
    <t xml:space="preserve">Los pesos (celdas amarillas) se pueden cambiar; las métricas se recalculan. A, B y C son los de la propuesta anterior; D y E salen del optimizador.</t>
  </si>
  <si>
    <t xml:space="preserve">Beta vs canasta</t>
  </si>
  <si>
    <t xml:space="preserve">Costo ida y vuelta</t>
  </si>
  <si>
    <t xml:space="preserve">GFNORTE O</t>
  </si>
  <si>
    <t xml:space="preserve">AC *</t>
  </si>
  <si>
    <t xml:space="preserve">FUNO 11</t>
  </si>
  <si>
    <t xml:space="preserve">MSFT *</t>
  </si>
  <si>
    <t xml:space="preserve">NVDA *</t>
  </si>
  <si>
    <t xml:space="preserve">OMA B</t>
  </si>
  <si>
    <t xml:space="preserve">Peso máximo (máx. 50%)</t>
  </si>
  <si>
    <t xml:space="preserve">Revisión de reglas</t>
  </si>
  <si>
    <t xml:space="preserve">Ganancia neta, escenario bajista ($)</t>
  </si>
  <si>
    <t xml:space="preserve">Ganancia neta, escenario base ($)</t>
  </si>
  <si>
    <t xml:space="preserve">Ganancia neta, escenario alcista ($)</t>
  </si>
  <si>
    <t xml:space="preserve">Ganancia esperada (ponderada por probabilidad, $)</t>
  </si>
  <si>
    <t xml:space="preserve">Las 145 acciones del Reto: mercado y datos históricos (2026-10-08)</t>
  </si>
  <si>
    <t xml:space="preserve">Ordenadas de menor a mayor volatilidad (las que no tienen historial, al final). Usa los filtros. No es una recomendación de inversión.</t>
  </si>
  <si>
    <t xml:space="preserve">Último precio ($)</t>
  </si>
  <si>
    <t xml:space="preserve">Var. del día</t>
  </si>
  <si>
    <t xml:space="preserve">Precio de compra ($)</t>
  </si>
  <si>
    <t xml:space="preserve">Precio de venta ($)</t>
  </si>
  <si>
    <t xml:space="preserve">Volumen compra</t>
  </si>
  <si>
    <t xml:space="preserve">Volumen venta</t>
  </si>
  <si>
    <t xml:space="preserve">Rend. 1 mes</t>
  </si>
  <si>
    <t xml:space="preserve">Rend. 3 meses</t>
  </si>
  <si>
    <t xml:space="preserve">Rend. 6 meses</t>
  </si>
  <si>
    <t xml:space="preserve">Rend. 12 meses</t>
  </si>
  <si>
    <t xml:space="preserve">Volatilidad anual (1 año)</t>
  </si>
  <si>
    <t xml:space="preserve">Mov. típico ±1σ en 25 sesiones</t>
  </si>
  <si>
    <t xml:space="preserve">Peor caída (1 año)</t>
  </si>
  <si>
    <t xml:space="preserve">Beta vs IPC</t>
  </si>
  <si>
    <t xml:space="preserve">Mejor ventana 25 ses. (3 años)</t>
  </si>
  <si>
    <t xml:space="preserve">Peor ventana 25 ses. (3 años)</t>
  </si>
  <si>
    <t xml:space="preserve">BRKB *</t>
  </si>
  <si>
    <t xml:space="preserve">Exterior (SIC)</t>
  </si>
  <si>
    <t xml:space="preserve">Sí</t>
  </si>
  <si>
    <t xml:space="preserve">Menor movimiento</t>
  </si>
  <si>
    <t xml:space="preserve">SIGMAF A</t>
  </si>
  <si>
    <t xml:space="preserve">Mexicana</t>
  </si>
  <si>
    <t xml:space="preserve">LIVEPOL C-1</t>
  </si>
  <si>
    <t xml:space="preserve">GRUMA B</t>
  </si>
  <si>
    <t xml:space="preserve">KO *</t>
  </si>
  <si>
    <t xml:space="preserve">FIBRAMQ 12</t>
  </si>
  <si>
    <t xml:space="preserve">VESTA *</t>
  </si>
  <si>
    <t xml:space="preserve">MCD *</t>
  </si>
  <si>
    <t xml:space="preserve">JNJ *</t>
  </si>
  <si>
    <t xml:space="preserve">PG *</t>
  </si>
  <si>
    <t xml:space="preserve">WALMEX *</t>
  </si>
  <si>
    <t xml:space="preserve">AGNC *</t>
  </si>
  <si>
    <t xml:space="preserve">PFE *</t>
  </si>
  <si>
    <t xml:space="preserve">COST *</t>
  </si>
  <si>
    <t xml:space="preserve">ACTINVR B</t>
  </si>
  <si>
    <t xml:space="preserve">PEP *</t>
  </si>
  <si>
    <t xml:space="preserve">CHDRAUI B</t>
  </si>
  <si>
    <t xml:space="preserve">BAC *</t>
  </si>
  <si>
    <t xml:space="preserve">GFINBUR O</t>
  </si>
  <si>
    <t xml:space="preserve">FEMSA UBD</t>
  </si>
  <si>
    <t xml:space="preserve">JPM *</t>
  </si>
  <si>
    <t xml:space="preserve">V *</t>
  </si>
  <si>
    <t xml:space="preserve">KIMBER A</t>
  </si>
  <si>
    <t xml:space="preserve">KOF UBL</t>
  </si>
  <si>
    <t xml:space="preserve">MA *</t>
  </si>
  <si>
    <t xml:space="preserve">FIBRAPL 14</t>
  </si>
  <si>
    <t xml:space="preserve">AMX B</t>
  </si>
  <si>
    <t xml:space="preserve">ASUR B</t>
  </si>
  <si>
    <t xml:space="preserve">PINFRA *</t>
  </si>
  <si>
    <t xml:space="preserve">T *</t>
  </si>
  <si>
    <t xml:space="preserve">VZ *</t>
  </si>
  <si>
    <t xml:space="preserve">CVX *</t>
  </si>
  <si>
    <t xml:space="preserve">ALSEA *</t>
  </si>
  <si>
    <t xml:space="preserve">AAPL *</t>
  </si>
  <si>
    <t xml:space="preserve">BOLSA A</t>
  </si>
  <si>
    <t xml:space="preserve">HD *</t>
  </si>
  <si>
    <t xml:space="preserve">ABBV *</t>
  </si>
  <si>
    <t xml:space="preserve">DIS *</t>
  </si>
  <si>
    <t xml:space="preserve">XOM *</t>
  </si>
  <si>
    <t xml:space="preserve">WFC *</t>
  </si>
  <si>
    <t xml:space="preserve">BBAJIO O</t>
  </si>
  <si>
    <t xml:space="preserve">AXP *</t>
  </si>
  <si>
    <t xml:space="preserve">WMT *</t>
  </si>
  <si>
    <t xml:space="preserve">BIMBO A</t>
  </si>
  <si>
    <t xml:space="preserve">GCC *</t>
  </si>
  <si>
    <t xml:space="preserve">BMY *</t>
  </si>
  <si>
    <t xml:space="preserve">Movimiento medio</t>
  </si>
  <si>
    <t xml:space="preserve">SBUX *</t>
  </si>
  <si>
    <t xml:space="preserve">FDX *</t>
  </si>
  <si>
    <t xml:space="preserve">C *</t>
  </si>
  <si>
    <t xml:space="preserve">Q *</t>
  </si>
  <si>
    <t xml:space="preserve">R A</t>
  </si>
  <si>
    <t xml:space="preserve">MRK *</t>
  </si>
  <si>
    <t xml:space="preserve">MEGA CPO</t>
  </si>
  <si>
    <t xml:space="preserve">TMO *</t>
  </si>
  <si>
    <t xml:space="preserve">LAB B</t>
  </si>
  <si>
    <t xml:space="preserve">CUERVO *</t>
  </si>
  <si>
    <t xml:space="preserve">SITES1 A-1</t>
  </si>
  <si>
    <t xml:space="preserve">GAP B</t>
  </si>
  <si>
    <t xml:space="preserve">TX *</t>
  </si>
  <si>
    <t xml:space="preserve">TGT *</t>
  </si>
  <si>
    <t xml:space="preserve">CVS *</t>
  </si>
  <si>
    <t xml:space="preserve">WYNN *</t>
  </si>
  <si>
    <t xml:space="preserve">FANG *</t>
  </si>
  <si>
    <t xml:space="preserve">Sin contraparte</t>
  </si>
  <si>
    <t xml:space="preserve">GE *</t>
  </si>
  <si>
    <t xml:space="preserve">GENTERA *</t>
  </si>
  <si>
    <t xml:space="preserve">AMZN *</t>
  </si>
  <si>
    <t xml:space="preserve">LVS *</t>
  </si>
  <si>
    <t xml:space="preserve">LLY *</t>
  </si>
  <si>
    <t xml:space="preserve">GM *</t>
  </si>
  <si>
    <t xml:space="preserve">BA *</t>
  </si>
  <si>
    <t xml:space="preserve">GCARSO A1</t>
  </si>
  <si>
    <t xml:space="preserve">ALPEK A</t>
  </si>
  <si>
    <t xml:space="preserve">UNH *</t>
  </si>
  <si>
    <t xml:space="preserve">UBER *</t>
  </si>
  <si>
    <t xml:space="preserve">CSCO *</t>
  </si>
  <si>
    <t xml:space="preserve">DVN *</t>
  </si>
  <si>
    <t xml:space="preserve">ABNB *</t>
  </si>
  <si>
    <t xml:space="preserve">OXY1 *</t>
  </si>
  <si>
    <t xml:space="preserve">NFLX *</t>
  </si>
  <si>
    <t xml:space="preserve">NKE *</t>
  </si>
  <si>
    <t xml:space="preserve">F *</t>
  </si>
  <si>
    <t xml:space="preserve">ORBIA *</t>
  </si>
  <si>
    <t xml:space="preserve">TLEVISA CPO</t>
  </si>
  <si>
    <t xml:space="preserve">GME *</t>
  </si>
  <si>
    <t xml:space="preserve">DAL *</t>
  </si>
  <si>
    <t xml:space="preserve">TSM N</t>
  </si>
  <si>
    <t xml:space="preserve">CAT *</t>
  </si>
  <si>
    <t xml:space="preserve">ROKU *</t>
  </si>
  <si>
    <t xml:space="preserve">Mayor movimiento</t>
  </si>
  <si>
    <t xml:space="preserve">BABA N</t>
  </si>
  <si>
    <t xml:space="preserve">META *</t>
  </si>
  <si>
    <t xml:space="preserve">MELI N</t>
  </si>
  <si>
    <t xml:space="preserve">NU N</t>
  </si>
  <si>
    <t xml:space="preserve">LUV *</t>
  </si>
  <si>
    <t xml:space="preserve">ZM *</t>
  </si>
  <si>
    <t xml:space="preserve">PYPL *</t>
  </si>
  <si>
    <t xml:space="preserve">VOLAR A</t>
  </si>
  <si>
    <t xml:space="preserve">XYZ *</t>
  </si>
  <si>
    <t xml:space="preserve">FCX *</t>
  </si>
  <si>
    <t xml:space="preserve">CRM *</t>
  </si>
  <si>
    <t xml:space="preserve">B N</t>
  </si>
  <si>
    <t xml:space="preserve">AAL *</t>
  </si>
  <si>
    <t xml:space="preserve">RCL *</t>
  </si>
  <si>
    <t xml:space="preserve">UAL *</t>
  </si>
  <si>
    <t xml:space="preserve">PE&amp;OLES *</t>
  </si>
  <si>
    <t xml:space="preserve">CCL1 N</t>
  </si>
  <si>
    <t xml:space="preserve">ETSY *</t>
  </si>
  <si>
    <t xml:space="preserve">QCOM *</t>
  </si>
  <si>
    <t xml:space="preserve">NCLH N</t>
  </si>
  <si>
    <t xml:space="preserve">FSLR *</t>
  </si>
  <si>
    <t xml:space="preserve">AA1 *</t>
  </si>
  <si>
    <t xml:space="preserve">PINS *</t>
  </si>
  <si>
    <t xml:space="preserve">ORCL *</t>
  </si>
  <si>
    <t xml:space="preserve">SOFI *</t>
  </si>
  <si>
    <t xml:space="preserve">PLTR *</t>
  </si>
  <si>
    <t xml:space="preserve">SHOP N</t>
  </si>
  <si>
    <t xml:space="preserve">AMAT *</t>
  </si>
  <si>
    <t xml:space="preserve">AFRM *</t>
  </si>
  <si>
    <t xml:space="preserve">TWLO *</t>
  </si>
  <si>
    <t xml:space="preserve">NVAX *</t>
  </si>
  <si>
    <t xml:space="preserve">UPST *</t>
  </si>
  <si>
    <t xml:space="preserve">MFRISCO A-1</t>
  </si>
  <si>
    <t xml:space="preserve">RIVN *</t>
  </si>
  <si>
    <t xml:space="preserve">AMD *</t>
  </si>
  <si>
    <t xml:space="preserve">CLF *</t>
  </si>
  <si>
    <t xml:space="preserve">INTC *</t>
  </si>
  <si>
    <t xml:space="preserve">FUBO *</t>
  </si>
  <si>
    <t xml:space="preserve">MU *</t>
  </si>
  <si>
    <t xml:space="preserve">LCID *</t>
  </si>
  <si>
    <t xml:space="preserve">MARA *</t>
  </si>
  <si>
    <t xml:space="preserve">RIOT *</t>
  </si>
  <si>
    <t xml:space="preserve">SPCE *</t>
  </si>
  <si>
    <t xml:space="preserve">MRNA *</t>
  </si>
  <si>
    <t xml:space="preserve">BYND *</t>
  </si>
  <si>
    <t xml:space="preserve">LASITE B-1</t>
  </si>
  <si>
    <t xml:space="preserve">Sin historial</t>
  </si>
  <si>
    <t xml:space="preserve">Correlaciones de rendimientos diarios (último año, en pesos)</t>
  </si>
  <si>
    <t xml:space="preserve">Cerca de 1 = se mueven casi igual (no se diversifican entre sí). Cerca de 0 = independientes.</t>
  </si>
  <si>
    <t xml:space="preserve">Hoja de apoyo (no tocar): varianza del portafolio = w' · Σ · w</t>
  </si>
  <si>
    <t xml:space="preserve">Varianza anual del portafolio</t>
  </si>
  <si>
    <t xml:space="preserve">Σw</t>
  </si>
  <si>
    <t xml:space="preserve">w</t>
  </si>
  <si>
    <t xml:space="preserve">w (peso)</t>
  </si>
  <si>
    <t xml:space="preserve">Beta de cada emisora contra la canasta de las 144 acciones (mismo peso)</t>
  </si>
  <si>
    <t xml:space="preserve">Sale de la hoja Covarianza: beta = cov(emisora, canasta) / var(canasta). Costo ida y vuelta = diferencia compra-venta + 2 comisiones. Hoja de apoyo.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</si>
</sst>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00%"/>
    <numFmt numFmtId="167" formatCode="0.0%"/>
    <numFmt numFmtId="168" formatCode="0.00%"/>
    <numFmt numFmtId="169" formatCode="0.00"/>
    <numFmt numFmtId="170" formatCode="0.000"/>
    <numFmt numFmtId="171" formatCode="0"/>
    <numFmt numFmtId="172" formatCode="0%"/>
    <numFmt numFmtId="173" formatCode="0.0%;[RED]\-0.0%;\-"/>
    <numFmt numFmtId="174" formatCode="#,##0;[RED]\-#,##0;\-"/>
    <numFmt numFmtId="175" formatCode="#,##0.00"/>
    <numFmt numFmtId="176" formatCode="0.0000"/>
    <numFmt numFmtId="177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b val="true"/>
      <sz val="12"/>
      <color rgb="FF1F4E78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8"/>
      <name val="Calibri"/>
      <family val="0"/>
      <charset val="1"/>
    </font>
    <font>
      <sz val="7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49">
    <dxf>
      <font>
        <b val="1"/>
        <color rgb="FFC00000"/>
      </font>
      <fill>
        <patternFill>
          <bgColor rgb="FFF8A5A5"/>
        </patternFill>
      </fill>
    </dxf>
    <dxf>
      <fill>
        <patternFill>
          <bgColor rgb="FFF8A5A5"/>
        </patternFill>
      </fill>
    </dxf>
    <dxf>
      <fill>
        <patternFill>
          <bgColor rgb="FFFFE699"/>
        </patternFill>
      </fill>
    </dxf>
    <dxf>
      <font>
        <b val="1"/>
        <color rgb="FF008000"/>
      </font>
    </dxf>
    <dxf>
      <font>
        <b val="1"/>
        <color rgb="FFC00000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A6DAB3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FDEBB"/>
          <bgColor rgb="FF000000"/>
        </patternFill>
      </fill>
    </dxf>
    <dxf>
      <fill>
        <patternFill patternType="solid">
          <fgColor rgb="FFBCE3C7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6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AE9D3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BCBC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CD3D3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BEC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8A5A5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ED09F"/>
          <bgColor rgb="FF000000"/>
        </patternFill>
      </fill>
    </dxf>
    <dxf>
      <fill>
        <patternFill patternType="solid">
          <fgColor rgb="FF96D4A7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AF0DF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98E90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596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4B5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CFCF"/>
          <bgColor rgb="FF000000"/>
        </patternFill>
      </fill>
    </dxf>
    <dxf>
      <fill>
        <patternFill patternType="solid">
          <fgColor rgb="FFFCD0D0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E0E1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F2F3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DEF2E4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ACA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FCCD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2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4F5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86A6C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BAAAB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7C7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ECF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F8F9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87273"/>
          <bgColor rgb="FF000000"/>
        </patternFill>
      </fill>
    </dxf>
    <dxf>
      <fill>
        <patternFill patternType="solid">
          <fgColor rgb="FFF87678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6A7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AAC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E5E6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8CCAD"/>
          <bgColor rgb="FF000000"/>
        </patternFill>
      </fill>
    </dxf>
    <dxf>
      <fill>
        <patternFill patternType="solid">
          <fgColor rgb="FFF9D4BA"/>
          <bgColor rgb="FF000000"/>
        </patternFill>
      </fill>
    </dxf>
    <dxf>
      <fill>
        <patternFill patternType="solid">
          <fgColor rgb="FFFBDECB"/>
          <bgColor rgb="FF000000"/>
        </patternFill>
      </fill>
    </dxf>
    <dxf>
      <fill>
        <patternFill patternType="solid">
          <fgColor rgb="FFFBDFCC"/>
          <bgColor rgb="FF000000"/>
        </patternFill>
      </fill>
    </dxf>
    <dxf>
      <fill>
        <patternFill patternType="solid">
          <fgColor rgb="FFFBE1CF"/>
          <bgColor rgb="FF000000"/>
        </patternFill>
      </fill>
    </dxf>
    <dxf>
      <fill>
        <patternFill patternType="solid">
          <fgColor rgb="FFFBE2D0"/>
          <bgColor rgb="FF000000"/>
        </patternFill>
      </fill>
    </dxf>
    <dxf>
      <fill>
        <patternFill patternType="solid">
          <fgColor rgb="FFFBE3D2"/>
          <bgColor rgb="FF000000"/>
        </patternFill>
      </fill>
    </dxf>
    <dxf>
      <fill>
        <patternFill patternType="solid">
          <fgColor rgb="FFFCE4D3"/>
          <bgColor rgb="FF000000"/>
        </patternFill>
      </fill>
    </dxf>
    <dxf>
      <fill>
        <patternFill patternType="solid">
          <fgColor rgb="FFFCE6D8"/>
          <bgColor rgb="FF000000"/>
        </patternFill>
      </fill>
    </dxf>
    <dxf>
      <fill>
        <patternFill patternType="solid">
          <fgColor rgb="FFFCE7D8"/>
          <bgColor rgb="FF000000"/>
        </patternFill>
      </fill>
    </dxf>
    <dxf>
      <fill>
        <patternFill patternType="solid">
          <fgColor rgb="FFFCE8DA"/>
          <bgColor rgb="FF000000"/>
        </patternFill>
      </fill>
    </dxf>
    <dxf>
      <fill>
        <patternFill patternType="solid">
          <fgColor rgb="FFFCE8DB"/>
          <bgColor rgb="FF000000"/>
        </patternFill>
      </fill>
    </dxf>
    <dxf>
      <fill>
        <patternFill patternType="solid">
          <fgColor rgb="FFFCE9DB"/>
          <bgColor rgb="FF000000"/>
        </patternFill>
      </fill>
    </dxf>
    <dxf>
      <fill>
        <patternFill patternType="solid">
          <fgColor rgb="FFFDEADE"/>
          <bgColor rgb="FF000000"/>
        </patternFill>
      </fill>
    </dxf>
    <dxf>
      <fill>
        <patternFill patternType="solid">
          <fgColor rgb="FFFDEBDF"/>
          <bgColor rgb="FF000000"/>
        </patternFill>
      </fill>
    </dxf>
    <dxf>
      <fill>
        <patternFill patternType="solid">
          <fgColor rgb="FFFDEBE0"/>
          <bgColor rgb="FF000000"/>
        </patternFill>
      </fill>
    </dxf>
    <dxf>
      <fill>
        <patternFill patternType="solid">
          <fgColor rgb="FFFDECE1"/>
          <bgColor rgb="FF000000"/>
        </patternFill>
      </fill>
    </dxf>
    <dxf>
      <fill>
        <patternFill patternType="solid">
          <fgColor rgb="FFFDEDE2"/>
          <bgColor rgb="FF000000"/>
        </patternFill>
      </fill>
    </dxf>
    <dxf>
      <fill>
        <patternFill patternType="solid">
          <fgColor rgb="FFFDEDE3"/>
          <bgColor rgb="FF000000"/>
        </patternFill>
      </fill>
    </dxf>
    <dxf>
      <fill>
        <patternFill patternType="solid">
          <fgColor rgb="FFFDEFE6"/>
          <bgColor rgb="FF000000"/>
        </patternFill>
      </fill>
    </dxf>
    <dxf>
      <fill>
        <patternFill patternType="solid">
          <fgColor rgb="FFFDF0E6"/>
          <bgColor rgb="FF000000"/>
        </patternFill>
      </fill>
    </dxf>
    <dxf>
      <fill>
        <patternFill patternType="solid">
          <fgColor rgb="FFFDF0E7"/>
          <bgColor rgb="FF000000"/>
        </patternFill>
      </fill>
    </dxf>
    <dxf>
      <fill>
        <patternFill patternType="solid">
          <fgColor rgb="FFFDF0E8"/>
          <bgColor rgb="FF000000"/>
        </patternFill>
      </fill>
    </dxf>
    <dxf>
      <fill>
        <patternFill patternType="solid">
          <fgColor rgb="FFFDF1E8"/>
          <bgColor rgb="FF000000"/>
        </patternFill>
      </fill>
    </dxf>
    <dxf>
      <fill>
        <patternFill patternType="solid">
          <fgColor rgb="FFFDF1E9"/>
          <bgColor rgb="FF000000"/>
        </patternFill>
      </fill>
    </dxf>
    <dxf>
      <fill>
        <patternFill patternType="solid">
          <fgColor rgb="FFFEF1E9"/>
          <bgColor rgb="FF000000"/>
        </patternFill>
      </fill>
    </dxf>
    <dxf>
      <fill>
        <patternFill patternType="solid">
          <fgColor rgb="FFFEF2E9"/>
          <bgColor rgb="FF000000"/>
        </patternFill>
      </fill>
    </dxf>
    <dxf>
      <fill>
        <patternFill patternType="solid">
          <fgColor rgb="FFFEF2EA"/>
          <bgColor rgb="FF000000"/>
        </patternFill>
      </fill>
    </dxf>
    <dxf>
      <fill>
        <patternFill patternType="solid">
          <fgColor rgb="FFFEF2EB"/>
          <bgColor rgb="FF000000"/>
        </patternFill>
      </fill>
    </dxf>
    <dxf>
      <fill>
        <patternFill patternType="solid">
          <fgColor rgb="FFFEF3EB"/>
          <bgColor rgb="FF000000"/>
        </patternFill>
      </fill>
    </dxf>
    <dxf>
      <fill>
        <patternFill patternType="solid">
          <fgColor rgb="FFFEF3EC"/>
          <bgColor rgb="FF000000"/>
        </patternFill>
      </fill>
    </dxf>
    <dxf>
      <fill>
        <patternFill patternType="solid">
          <fgColor rgb="FFFEF4ED"/>
          <bgColor rgb="FF000000"/>
        </patternFill>
      </fill>
    </dxf>
    <dxf>
      <fill>
        <patternFill patternType="solid">
          <fgColor rgb="FFFEF4EE"/>
          <bgColor rgb="FF000000"/>
        </patternFill>
      </fill>
    </dxf>
    <dxf>
      <fill>
        <patternFill patternType="solid">
          <fgColor rgb="FFFEF5EE"/>
          <bgColor rgb="FF000000"/>
        </patternFill>
      </fill>
    </dxf>
    <dxf>
      <fill>
        <patternFill patternType="solid">
          <fgColor rgb="FFFEF5EF"/>
          <bgColor rgb="FF000000"/>
        </patternFill>
      </fill>
    </dxf>
    <dxf>
      <fill>
        <patternFill patternType="solid">
          <fgColor rgb="FFFEF6F0"/>
          <bgColor rgb="FF000000"/>
        </patternFill>
      </fill>
    </dxf>
    <dxf>
      <fill>
        <patternFill patternType="solid">
          <fgColor rgb="FFFEF6F1"/>
          <bgColor rgb="FF000000"/>
        </patternFill>
      </fill>
    </dxf>
    <dxf>
      <fill>
        <patternFill patternType="solid">
          <fgColor rgb="FFFEF7F1"/>
          <bgColor rgb="FF000000"/>
        </patternFill>
      </fill>
    </dxf>
    <dxf>
      <fill>
        <patternFill patternType="solid">
          <fgColor rgb="FFFEF7F2"/>
          <bgColor rgb="FF000000"/>
        </patternFill>
      </fill>
    </dxf>
    <dxf>
      <fill>
        <patternFill patternType="solid">
          <fgColor rgb="FFFEF7F3"/>
          <bgColor rgb="FF000000"/>
        </patternFill>
      </fill>
    </dxf>
    <dxf>
      <fill>
        <patternFill patternType="solid">
          <fgColor rgb="FFFEF8F3"/>
          <bgColor rgb="FF000000"/>
        </patternFill>
      </fill>
    </dxf>
    <dxf>
      <fill>
        <patternFill patternType="solid">
          <fgColor rgb="FFFEF8F4"/>
          <bgColor rgb="FF000000"/>
        </patternFill>
      </fill>
    </dxf>
    <dxf>
      <fill>
        <patternFill patternType="solid">
          <fgColor rgb="FFFFF9F4"/>
          <bgColor rgb="FF000000"/>
        </patternFill>
      </fill>
    </dxf>
    <dxf>
      <fill>
        <patternFill patternType="solid">
          <fgColor rgb="FFFFF9F5"/>
          <bgColor rgb="FF000000"/>
        </patternFill>
      </fill>
    </dxf>
    <dxf>
      <fill>
        <patternFill patternType="solid">
          <fgColor rgb="FFFFF9F6"/>
          <bgColor rgb="FF000000"/>
        </patternFill>
      </fill>
    </dxf>
    <dxf>
      <fill>
        <patternFill patternType="solid">
          <fgColor rgb="FFFFFAF6"/>
          <bgColor rgb="FF000000"/>
        </patternFill>
      </fill>
    </dxf>
    <dxf>
      <fill>
        <patternFill patternType="solid">
          <fgColor rgb="FFFFFAF7"/>
          <bgColor rgb="FF000000"/>
        </patternFill>
      </fill>
    </dxf>
    <dxf>
      <fill>
        <patternFill patternType="solid">
          <fgColor rgb="FFFFFBF8"/>
          <bgColor rgb="FF000000"/>
        </patternFill>
      </fill>
    </dxf>
    <dxf>
      <fill>
        <patternFill patternType="solid">
          <fgColor rgb="FFFFFBF9"/>
          <bgColor rgb="FF000000"/>
        </patternFill>
      </fill>
    </dxf>
    <dxf>
      <fill>
        <patternFill patternType="solid">
          <fgColor rgb="FFFFFCF9"/>
          <bgColor rgb="FF000000"/>
        </patternFill>
      </fill>
    </dxf>
    <dxf>
      <fill>
        <patternFill patternType="solid">
          <fgColor rgb="FFFFFCFA"/>
          <bgColor rgb="FF000000"/>
        </patternFill>
      </fill>
    </dxf>
    <dxf>
      <fill>
        <patternFill patternType="solid">
          <fgColor rgb="FFFFFCFB"/>
          <bgColor rgb="FF000000"/>
        </patternFill>
      </fill>
    </dxf>
    <dxf>
      <fill>
        <patternFill patternType="solid">
          <fgColor rgb="FFFFFDFB"/>
          <bgColor rgb="FF000000"/>
        </patternFill>
      </fill>
    </dxf>
    <dxf>
      <fill>
        <patternFill patternType="solid">
          <fgColor rgb="FFFFFDFC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EFD"/>
          <bgColor rgb="FF000000"/>
        </patternFill>
      </fill>
    </dxf>
    <dxf>
      <fill>
        <patternFill patternType="solid">
          <fgColor rgb="FFF87778"/>
          <bgColor rgb="FF000000"/>
        </patternFill>
      </fill>
    </dxf>
    <dxf>
      <fill>
        <patternFill patternType="solid">
          <fgColor rgb="FFF8787A"/>
          <bgColor rgb="FF000000"/>
        </patternFill>
      </fill>
    </dxf>
    <dxf>
      <fill>
        <patternFill patternType="solid">
          <fgColor rgb="FFF98A8B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5A6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AEB0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BBDBD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CBFBF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2C3"/>
          <bgColor rgb="FF000000"/>
        </patternFill>
      </fill>
    </dxf>
    <dxf>
      <fill>
        <patternFill patternType="solid">
          <fgColor rgb="FFFCC5C5"/>
          <bgColor rgb="FF000000"/>
        </patternFill>
      </fill>
    </dxf>
    <dxf>
      <fill>
        <patternFill patternType="solid">
          <fgColor rgb="FFFCC6C6"/>
          <bgColor rgb="FF000000"/>
        </patternFill>
      </fill>
    </dxf>
    <dxf>
      <fill>
        <patternFill patternType="solid">
          <fgColor rgb="FFFCC8C8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ECE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E4E5"/>
          <bgColor rgb="FF000000"/>
        </patternFill>
      </fill>
    </dxf>
    <dxf>
      <fill>
        <patternFill patternType="solid">
          <fgColor rgb="FFFDE7E8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A2D9B1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98486"/>
          <bgColor rgb="FF000000"/>
        </patternFill>
      </fill>
    </dxf>
    <dxf>
      <fill>
        <patternFill patternType="solid">
          <fgColor rgb="FFFA9697"/>
          <bgColor rgb="FF000000"/>
        </patternFill>
      </fill>
    </dxf>
    <dxf>
      <fill>
        <patternFill patternType="solid">
          <fgColor rgb="FFFA9D9F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B2B3"/>
          <bgColor rgb="FF000000"/>
        </patternFill>
      </fill>
    </dxf>
    <dxf>
      <fill>
        <patternFill patternType="solid">
          <fgColor rgb="FFFBBABB"/>
          <bgColor rgb="FF000000"/>
        </patternFill>
      </fill>
    </dxf>
    <dxf>
      <fill>
        <patternFill patternType="solid">
          <fgColor rgb="FFFCC3C3"/>
          <bgColor rgb="FF000000"/>
        </patternFill>
      </fill>
    </dxf>
    <dxf>
      <fill>
        <patternFill patternType="solid">
          <fgColor rgb="FFFCC4C4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9C9"/>
          <bgColor rgb="FF000000"/>
        </patternFill>
      </fill>
    </dxf>
    <dxf>
      <fill>
        <patternFill patternType="solid">
          <fgColor rgb="FFFDD4D4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FE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8A5A5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Ganancia neta por escenario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Pronóstico!E15</c:f>
              <c:strCache>
                <c:ptCount val="1"/>
                <c:pt idx="0">
                  <c:v>Bajista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Pronóstico!$A$16:$A$20</c:f>
              <c:strCache>
                <c:ptCount val="5"/>
                <c:pt idx="0">
                  <c:v>A Prudente</c:v>
                </c:pt>
                <c:pt idx="1">
                  <c:v>B Tu idea + diversificadores</c:v>
                </c:pt>
                <c:pt idx="2">
                  <c:v>C Ranking (alto riesgo)</c:v>
                </c:pt>
                <c:pt idx="3">
                  <c:v>D Optimizado: ganancia/riesgo</c:v>
                </c:pt>
                <c:pt idx="4">
                  <c:v>E Optimizado: ganancia máx.</c:v>
                </c:pt>
              </c:strCache>
            </c:strRef>
          </c:cat>
          <c:val>
            <c:numRef>
              <c:f>Pronóstico!$E$16:$E$20</c:f>
              <c:numCache>
                <c:formatCode>#,##0;[RED]\-#,##0;\-</c:formatCode>
                <c:ptCount val="5"/>
                <c:pt idx="0">
                  <c:v>-35595.6612682156</c:v>
                </c:pt>
                <c:pt idx="1">
                  <c:v>-52839.6310529748</c:v>
                </c:pt>
                <c:pt idx="2">
                  <c:v>-67057.6778156952</c:v>
                </c:pt>
                <c:pt idx="3">
                  <c:v>-59790.0036959949</c:v>
                </c:pt>
                <c:pt idx="4">
                  <c:v>-67813.2670005476</c:v>
                </c:pt>
              </c:numCache>
            </c:numRef>
          </c:val>
        </c:ser>
        <c:ser>
          <c:idx val="1"/>
          <c:order val="1"/>
          <c:tx>
            <c:strRef>
              <c:f>Pronóstico!F15</c:f>
              <c:strCache>
                <c:ptCount val="1"/>
                <c:pt idx="0">
                  <c:v>Base ($)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Pronóstico!$A$16:$A$20</c:f>
              <c:strCache>
                <c:ptCount val="5"/>
                <c:pt idx="0">
                  <c:v>A Prudente</c:v>
                </c:pt>
                <c:pt idx="1">
                  <c:v>B Tu idea + diversificadores</c:v>
                </c:pt>
                <c:pt idx="2">
                  <c:v>C Ranking (alto riesgo)</c:v>
                </c:pt>
                <c:pt idx="3">
                  <c:v>D Optimizado: ganancia/riesgo</c:v>
                </c:pt>
                <c:pt idx="4">
                  <c:v>E Optimizado: ganancia máx.</c:v>
                </c:pt>
              </c:strCache>
            </c:strRef>
          </c:cat>
          <c:val>
            <c:numRef>
              <c:f>Pronóstico!$F$16:$F$20</c:f>
              <c:numCache>
                <c:formatCode>#,##0;[RED]\-#,##0;\-</c:formatCode>
                <c:ptCount val="5"/>
                <c:pt idx="0">
                  <c:v>3718.19406926041</c:v>
                </c:pt>
                <c:pt idx="1">
                  <c:v>5585.68393045404</c:v>
                </c:pt>
                <c:pt idx="2">
                  <c:v>7445.48846658266</c:v>
                </c:pt>
                <c:pt idx="3">
                  <c:v>7872.12048870381</c:v>
                </c:pt>
                <c:pt idx="4">
                  <c:v>9140.3339389725</c:v>
                </c:pt>
              </c:numCache>
            </c:numRef>
          </c:val>
        </c:ser>
        <c:ser>
          <c:idx val="2"/>
          <c:order val="2"/>
          <c:tx>
            <c:strRef>
              <c:f>Pronóstico!G15</c:f>
              <c:strCache>
                <c:ptCount val="1"/>
                <c:pt idx="0">
                  <c:v>Alcista ($)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Pronóstico!$A$16:$A$20</c:f>
              <c:strCache>
                <c:ptCount val="5"/>
                <c:pt idx="0">
                  <c:v>A Prudente</c:v>
                </c:pt>
                <c:pt idx="1">
                  <c:v>B Tu idea + diversificadores</c:v>
                </c:pt>
                <c:pt idx="2">
                  <c:v>C Ranking (alto riesgo)</c:v>
                </c:pt>
                <c:pt idx="3">
                  <c:v>D Optimizado: ganancia/riesgo</c:v>
                </c:pt>
                <c:pt idx="4">
                  <c:v>E Optimizado: ganancia máx.</c:v>
                </c:pt>
              </c:strCache>
            </c:strRef>
          </c:cat>
          <c:val>
            <c:numRef>
              <c:f>Pronóstico!$G$16:$G$20</c:f>
              <c:numCache>
                <c:formatCode>#,##0;[RED]\-#,##0;\-</c:formatCode>
                <c:ptCount val="5"/>
                <c:pt idx="0">
                  <c:v>29806.9914282156</c:v>
                </c:pt>
                <c:pt idx="1">
                  <c:v>44356.9056829748</c:v>
                </c:pt>
                <c:pt idx="2">
                  <c:v>56886.0226256952</c:v>
                </c:pt>
                <c:pt idx="3">
                  <c:v>52772.9177159949</c:v>
                </c:pt>
                <c:pt idx="4">
                  <c:v>60206.9842005476</c:v>
                </c:pt>
              </c:numCache>
            </c:numRef>
          </c:val>
        </c:ser>
        <c:gapWidth val="150"/>
        <c:overlap val="0"/>
        <c:axId val="73391459"/>
        <c:axId val="36369836"/>
      </c:barChart>
      <c:catAx>
        <c:axId val="733914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69836"/>
        <c:crosses val="autoZero"/>
        <c:auto val="1"/>
        <c:lblAlgn val="ctr"/>
        <c:lblOffset val="100"/>
        <c:noMultiLvlLbl val="0"/>
      </c:catAx>
      <c:valAx>
        <c:axId val="36369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914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48240</xdr:rowOff>
    </xdr:from>
    <xdr:to>
      <xdr:col>6</xdr:col>
      <xdr:colOff>675000</xdr:colOff>
      <xdr:row>50</xdr:row>
      <xdr:rowOff>49320</xdr:rowOff>
    </xdr:to>
    <xdr:graphicFrame>
      <xdr:nvGraphicFramePr>
        <xdr:cNvPr id="0" name="Chart 1"/>
        <xdr:cNvGraphicFramePr/>
      </xdr:nvGraphicFramePr>
      <xdr:xfrm>
        <a:off x="0" y="74865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8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25.5" hidden="false" customHeight="true" outlineLevel="0" collapsed="false">
      <c r="B6" s="2" t="s">
        <v>3</v>
      </c>
    </row>
    <row r="7" customFormat="false" ht="25.5" hidden="false" customHeight="tru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25.5" hidden="false" customHeight="tru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10</v>
      </c>
    </row>
    <row r="16" customFormat="false" ht="15" hidden="false" customHeight="false" outlineLevel="0" collapsed="false">
      <c r="B16" s="2" t="s">
        <v>11</v>
      </c>
    </row>
    <row r="17" customFormat="false" ht="25.5" hidden="false" customHeight="true" outlineLevel="0" collapsed="false">
      <c r="B17" s="2" t="s">
        <v>12</v>
      </c>
    </row>
    <row r="18" customFormat="false" ht="25.5" hidden="false" customHeight="tru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3" t="s">
        <v>15</v>
      </c>
    </row>
    <row r="22" customFormat="false" ht="25.5" hidden="false" customHeight="true" outlineLevel="0" collapsed="false">
      <c r="B22" s="2" t="s">
        <v>16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B24" s="3" t="s">
        <v>17</v>
      </c>
    </row>
    <row r="25" customFormat="false" ht="15" hidden="false" customHeight="false" outlineLevel="0" collapsed="false">
      <c r="B25" s="2" t="s">
        <v>18</v>
      </c>
    </row>
    <row r="26" customFormat="false" ht="15" hidden="false" customHeight="false" outlineLevel="0" collapsed="false">
      <c r="B26" s="2" t="s">
        <v>19</v>
      </c>
    </row>
    <row r="27" customFormat="false" ht="15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2" t="s">
        <v>21</v>
      </c>
    </row>
    <row r="30" customFormat="false" ht="15" hidden="false" customHeight="false" outlineLevel="0" collapsed="false">
      <c r="B30" s="4" t="s">
        <v>22</v>
      </c>
    </row>
    <row r="31" customFormat="false" ht="15" hidden="false" customHeight="false" outlineLevel="0" collapsed="false">
      <c r="B31" s="2" t="s">
        <v>23</v>
      </c>
    </row>
    <row r="32" customFormat="false" ht="15" hidden="false" customHeight="false" outlineLevel="0" collapsed="false">
      <c r="B32" s="2" t="s">
        <v>24</v>
      </c>
    </row>
    <row r="33" customFormat="false" ht="15" hidden="false" customHeight="false" outlineLevel="0" collapsed="false">
      <c r="B33" s="2" t="s">
        <v>25</v>
      </c>
    </row>
    <row r="34" customFormat="false" ht="23.85" hidden="false" customHeight="false" outlineLevel="0" collapsed="false">
      <c r="B34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3" min="11" style="0" width="15"/>
    <col collapsed="false" customWidth="true" hidden="false" outlineLevel="0" max="14" min="14" style="0" width="7"/>
    <col collapsed="false" customWidth="true" hidden="false" outlineLevel="0" max="15" min="15" style="0" width="9"/>
  </cols>
  <sheetData>
    <row r="1" customFormat="false" ht="18.75" hidden="false" customHeight="true" outlineLevel="0" collapsed="false">
      <c r="A1" s="5" t="s">
        <v>27</v>
      </c>
    </row>
    <row r="2" customFormat="false" ht="15" hidden="false" customHeight="false" outlineLevel="0" collapsed="false">
      <c r="A2" s="6" t="s">
        <v>28</v>
      </c>
    </row>
    <row r="4" customFormat="false" ht="15" hidden="false" customHeight="false" outlineLevel="0" collapsed="false">
      <c r="A4" s="7" t="s">
        <v>29</v>
      </c>
      <c r="C4" s="8" t="n">
        <v>1000000</v>
      </c>
      <c r="E4" s="7" t="s">
        <v>30</v>
      </c>
      <c r="H4" s="9" t="n">
        <v>25</v>
      </c>
    </row>
    <row r="5" customFormat="false" ht="15" hidden="false" customHeight="false" outlineLevel="0" collapsed="false">
      <c r="A5" s="7" t="s">
        <v>31</v>
      </c>
      <c r="C5" s="10" t="n">
        <f aca="false">0.001*1.16</f>
        <v>0.00116</v>
      </c>
    </row>
    <row r="7" customFormat="false" ht="48" hidden="false" customHeight="true" outlineLevel="0" collapsed="false">
      <c r="A7" s="11" t="s">
        <v>32</v>
      </c>
      <c r="B7" s="11" t="s">
        <v>33</v>
      </c>
      <c r="C7" s="11" t="s">
        <v>34</v>
      </c>
      <c r="D7" s="11" t="s">
        <v>35</v>
      </c>
      <c r="E7" s="11" t="s">
        <v>36</v>
      </c>
      <c r="F7" s="11" t="s">
        <v>37</v>
      </c>
      <c r="G7" s="11" t="s">
        <v>38</v>
      </c>
      <c r="H7" s="11" t="s">
        <v>39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44</v>
      </c>
      <c r="N7" s="11" t="s">
        <v>45</v>
      </c>
      <c r="O7" s="11" t="s">
        <v>46</v>
      </c>
    </row>
    <row r="8" customFormat="false" ht="15" hidden="false" customHeight="false" outlineLevel="0" collapsed="false">
      <c r="A8" s="12" t="s">
        <v>47</v>
      </c>
      <c r="B8" s="13" t="n">
        <v>0.2</v>
      </c>
      <c r="C8" s="14" t="str">
        <f aca="false">IF($A8="","",INDEX(Acciones!$B$5:$B$148,MATCH($A8,Acciones!$A$5:$A$148,0)))</f>
        <v>Exterior (SIC)</v>
      </c>
      <c r="D8" s="14" t="str">
        <f aca="false">IF($A8="","",INDEX(Acciones!$U$5:$U$148,MATCH($A8,Acciones!$A$5:$A$148,0)))</f>
        <v>Movimiento medio</v>
      </c>
      <c r="E8" s="15" t="n">
        <f aca="false">IF($A8="","",INDEX(Acciones!$O$5:$O$148,MATCH($A8,Acciones!$A$5:$A$148,0)))</f>
        <v>0.3281488174</v>
      </c>
      <c r="F8" s="15" t="n">
        <f aca="false">IF($A8="","",E8*SQRT($H$4/252))</f>
        <v>0.103357162364327</v>
      </c>
      <c r="G8" s="15" t="n">
        <f aca="false">IF($A8="","",INDEX(Acciones!$Q$5:$Q$148,MATCH($A8,Acciones!$A$5:$A$148,0)))</f>
        <v>-0.2025714816</v>
      </c>
      <c r="H8" s="16" t="n">
        <f aca="false">IF($A8="","",IF(INDEX(Acciones!$G$5:$G$148,MATCH($A8,Acciones!$A$5:$A$148,0))="","n/d",INDEX(Acciones!$G$5:$G$148,MATCH($A8,Acciones!$A$5:$A$148,0))))</f>
        <v>0.0015719918</v>
      </c>
      <c r="I8" s="14" t="str">
        <f aca="false">IF($A8="","",INDEX(Acciones!$J$5:$J$148,MATCH($A8,Acciones!$A$5:$A$148,0)))</f>
        <v>Sí</v>
      </c>
      <c r="J8" s="17" t="n">
        <f aca="false">IF(OR($A8="",$B8=""),"",$B8*$C$4)</f>
        <v>200000</v>
      </c>
      <c r="K8" s="17" t="n">
        <f aca="false">IF(J8="","",J8*(IF(ISNUMBER(H8),H8,0)+2*$C$5))</f>
        <v>778.39836</v>
      </c>
      <c r="L8" s="17" t="n">
        <f aca="false">IF(J8="","",J8*INDEX(Acciones!$T$5:$T$148,MATCH($A8,Acciones!$A$5:$A$148,0)))</f>
        <v>-43082.16616</v>
      </c>
      <c r="M8" s="17" t="n">
        <f aca="false">IF(J8="","",J8*INDEX(Acciones!$S$5:$S$148,MATCH($A8,Acciones!$A$5:$A$148,0)))</f>
        <v>74285.36158</v>
      </c>
      <c r="N8" s="18" t="n">
        <f aca="false">IF($A8="","",INDEX(Acciones!$R$5:$R$148,MATCH($A8,Acciones!$A$5:$A$148,0)))</f>
        <v>0.4287217232</v>
      </c>
      <c r="O8" s="19" t="n">
        <f aca="false">IF(OR($A8="",$B8=""),0,$B8*N8)</f>
        <v>0.08574434464</v>
      </c>
    </row>
    <row r="9" customFormat="false" ht="15" hidden="false" customHeight="false" outlineLevel="0" collapsed="false">
      <c r="A9" s="12" t="s">
        <v>48</v>
      </c>
      <c r="B9" s="13" t="n">
        <v>0.2</v>
      </c>
      <c r="C9" s="14" t="str">
        <f aca="false">IF($A9="","",INDEX(Acciones!$B$5:$B$148,MATCH($A9,Acciones!$A$5:$A$148,0)))</f>
        <v>Mexicana</v>
      </c>
      <c r="D9" s="14" t="str">
        <f aca="false">IF($A9="","",INDEX(Acciones!$U$5:$U$148,MATCH($A9,Acciones!$A$5:$A$148,0)))</f>
        <v>Movimiento medio</v>
      </c>
      <c r="E9" s="15" t="n">
        <f aca="false">IF($A9="","",INDEX(Acciones!$O$5:$O$148,MATCH($A9,Acciones!$A$5:$A$148,0)))</f>
        <v>0.3318662688</v>
      </c>
      <c r="F9" s="15" t="n">
        <f aca="false">IF($A9="","",E9*SQRT($H$4/252))</f>
        <v>0.104528049497109</v>
      </c>
      <c r="G9" s="15" t="n">
        <f aca="false">IF($A9="","",INDEX(Acciones!$Q$5:$Q$148,MATCH($A9,Acciones!$A$5:$A$148,0)))</f>
        <v>-0.2730191737</v>
      </c>
      <c r="H9" s="16" t="n">
        <f aca="false">IF($A9="","",IF(INDEX(Acciones!$G$5:$G$148,MATCH($A9,Acciones!$A$5:$A$148,0))="","n/d",INDEX(Acciones!$G$5:$G$148,MATCH($A9,Acciones!$A$5:$A$148,0))))</f>
        <v>0.000576535</v>
      </c>
      <c r="I9" s="14" t="str">
        <f aca="false">IF($A9="","",INDEX(Acciones!$J$5:$J$148,MATCH($A9,Acciones!$A$5:$A$148,0)))</f>
        <v>Sí</v>
      </c>
      <c r="J9" s="17" t="n">
        <f aca="false">IF(OR($A9="",$B9=""),"",$B9*$C$4)</f>
        <v>200000</v>
      </c>
      <c r="K9" s="17" t="n">
        <f aca="false">IF(J9="","",J9*(IF(ISNUMBER(H9),H9,0)+2*$C$5))</f>
        <v>579.307</v>
      </c>
      <c r="L9" s="17" t="n">
        <f aca="false">IF(J9="","",J9*INDEX(Acciones!$T$5:$T$148,MATCH($A9,Acciones!$A$5:$A$148,0)))</f>
        <v>-41160.94916</v>
      </c>
      <c r="M9" s="17" t="n">
        <f aca="false">IF(J9="","",J9*INDEX(Acciones!$S$5:$S$148,MATCH($A9,Acciones!$A$5:$A$148,0)))</f>
        <v>68522.05394</v>
      </c>
      <c r="N9" s="18" t="n">
        <f aca="false">IF($A9="","",INDEX(Acciones!$R$5:$R$148,MATCH($A9,Acciones!$A$5:$A$148,0)))</f>
        <v>1.3092958739</v>
      </c>
      <c r="O9" s="19" t="n">
        <f aca="false">IF(OR($A9="",$B9=""),0,$B9*N9)</f>
        <v>0.26185917478</v>
      </c>
    </row>
    <row r="10" customFormat="false" ht="15" hidden="false" customHeight="false" outlineLevel="0" collapsed="false">
      <c r="A10" s="12" t="s">
        <v>49</v>
      </c>
      <c r="B10" s="13" t="n">
        <v>0.2</v>
      </c>
      <c r="C10" s="14" t="str">
        <f aca="false">IF($A10="","",INDEX(Acciones!$B$5:$B$148,MATCH($A10,Acciones!$A$5:$A$148,0)))</f>
        <v>Mexicana</v>
      </c>
      <c r="D10" s="14" t="str">
        <f aca="false">IF($A10="","",INDEX(Acciones!$U$5:$U$148,MATCH($A10,Acciones!$A$5:$A$148,0)))</f>
        <v>Movimiento medio</v>
      </c>
      <c r="E10" s="15" t="n">
        <f aca="false">IF($A10="","",INDEX(Acciones!$O$5:$O$148,MATCH($A10,Acciones!$A$5:$A$148,0)))</f>
        <v>0.3689908251</v>
      </c>
      <c r="F10" s="15" t="n">
        <f aca="false">IF($A10="","",E10*SQRT($H$4/252))</f>
        <v>0.116221185628468</v>
      </c>
      <c r="G10" s="15" t="n">
        <f aca="false">IF($A10="","",INDEX(Acciones!$Q$5:$Q$148,MATCH($A10,Acciones!$A$5:$A$148,0)))</f>
        <v>-0.2106841748</v>
      </c>
      <c r="H10" s="16" t="n">
        <f aca="false">IF($A10="","",IF(INDEX(Acciones!$G$5:$G$148,MATCH($A10,Acciones!$A$5:$A$148,0))="","n/d",INDEX(Acciones!$G$5:$G$148,MATCH($A10,Acciones!$A$5:$A$148,0))))</f>
        <v>8.63595E-005</v>
      </c>
      <c r="I10" s="14" t="str">
        <f aca="false">IF($A10="","",INDEX(Acciones!$J$5:$J$148,MATCH($A10,Acciones!$A$5:$A$148,0)))</f>
        <v>Sí</v>
      </c>
      <c r="J10" s="17" t="n">
        <f aca="false">IF(OR($A10="",$B10=""),"",$B10*$C$4)</f>
        <v>200000</v>
      </c>
      <c r="K10" s="17" t="n">
        <f aca="false">IF(J10="","",J10*(IF(ISNUMBER(H10),H10,0)+2*$C$5))</f>
        <v>481.2719</v>
      </c>
      <c r="L10" s="17" t="n">
        <f aca="false">IF(J10="","",J10*INDEX(Acciones!$T$5:$T$148,MATCH($A10,Acciones!$A$5:$A$148,0)))</f>
        <v>-32322.51456</v>
      </c>
      <c r="M10" s="17" t="n">
        <f aca="false">IF(J10="","",J10*INDEX(Acciones!$S$5:$S$148,MATCH($A10,Acciones!$A$5:$A$148,0)))</f>
        <v>62185.6417</v>
      </c>
      <c r="N10" s="18" t="n">
        <f aca="false">IF($A10="","",INDEX(Acciones!$R$5:$R$148,MATCH($A10,Acciones!$A$5:$A$148,0)))</f>
        <v>1.7015402173</v>
      </c>
      <c r="O10" s="19" t="n">
        <f aca="false">IF(OR($A10="",$B10=""),0,$B10*N10)</f>
        <v>0.34030804346</v>
      </c>
    </row>
    <row r="11" customFormat="false" ht="15" hidden="false" customHeight="false" outlineLevel="0" collapsed="false">
      <c r="A11" s="12" t="s">
        <v>50</v>
      </c>
      <c r="B11" s="13" t="n">
        <v>0.2</v>
      </c>
      <c r="C11" s="14" t="str">
        <f aca="false">IF($A11="","",INDEX(Acciones!$B$5:$B$148,MATCH($A11,Acciones!$A$5:$A$148,0)))</f>
        <v>Exterior (SIC)</v>
      </c>
      <c r="D11" s="14" t="str">
        <f aca="false">IF($A11="","",INDEX(Acciones!$U$5:$U$148,MATCH($A11,Acciones!$A$5:$A$148,0)))</f>
        <v>Mayor movimiento</v>
      </c>
      <c r="E11" s="15" t="n">
        <f aca="false">IF($A11="","",INDEX(Acciones!$O$5:$O$148,MATCH($A11,Acciones!$A$5:$A$148,0)))</f>
        <v>0.4666754921</v>
      </c>
      <c r="F11" s="15" t="n">
        <f aca="false">IF($A11="","",E11*SQRT($H$4/252))</f>
        <v>0.146988963698249</v>
      </c>
      <c r="G11" s="15" t="n">
        <f aca="false">IF($A11="","",INDEX(Acciones!$Q$5:$Q$148,MATCH($A11,Acciones!$A$5:$A$148,0)))</f>
        <v>-0.4094749047</v>
      </c>
      <c r="H11" s="16" t="n">
        <f aca="false">IF($A11="","",IF(INDEX(Acciones!$G$5:$G$148,MATCH($A11,Acciones!$A$5:$A$148,0))="","n/d",INDEX(Acciones!$G$5:$G$148,MATCH($A11,Acciones!$A$5:$A$148,0))))</f>
        <v>0.0034093415</v>
      </c>
      <c r="I11" s="14" t="str">
        <f aca="false">IF($A11="","",INDEX(Acciones!$J$5:$J$148,MATCH($A11,Acciones!$A$5:$A$148,0)))</f>
        <v>Sí</v>
      </c>
      <c r="J11" s="17" t="n">
        <f aca="false">IF(OR($A11="",$B11=""),"",$B11*$C$4)</f>
        <v>200000</v>
      </c>
      <c r="K11" s="17" t="n">
        <f aca="false">IF(J11="","",J11*(IF(ISNUMBER(H11),H11,0)+2*$C$5))</f>
        <v>1145.8683</v>
      </c>
      <c r="L11" s="17" t="n">
        <f aca="false">IF(J11="","",J11*INDEX(Acciones!$T$5:$T$148,MATCH($A11,Acciones!$A$5:$A$148,0)))</f>
        <v>-92388.1345</v>
      </c>
      <c r="M11" s="17" t="n">
        <f aca="false">IF(J11="","",J11*INDEX(Acciones!$S$5:$S$148,MATCH($A11,Acciones!$A$5:$A$148,0)))</f>
        <v>138994.08156</v>
      </c>
      <c r="N11" s="18" t="n">
        <f aca="false">IF($A11="","",INDEX(Acciones!$R$5:$R$148,MATCH($A11,Acciones!$A$5:$A$148,0)))</f>
        <v>1.0091088846</v>
      </c>
      <c r="O11" s="19" t="n">
        <f aca="false">IF(OR($A11="",$B11=""),0,$B11*N11)</f>
        <v>0.20182177692</v>
      </c>
    </row>
    <row r="12" customFormat="false" ht="15" hidden="false" customHeight="false" outlineLevel="0" collapsed="false">
      <c r="A12" s="12" t="s">
        <v>51</v>
      </c>
      <c r="B12" s="13" t="n">
        <v>0.2</v>
      </c>
      <c r="C12" s="14" t="str">
        <f aca="false">IF($A12="","",INDEX(Acciones!$B$5:$B$148,MATCH($A12,Acciones!$A$5:$A$148,0)))</f>
        <v>Exterior (SIC)</v>
      </c>
      <c r="D12" s="14" t="str">
        <f aca="false">IF($A12="","",INDEX(Acciones!$U$5:$U$148,MATCH($A12,Acciones!$A$5:$A$148,0)))</f>
        <v>Mayor movimiento</v>
      </c>
      <c r="E12" s="15" t="n">
        <f aca="false">IF($A12="","",INDEX(Acciones!$O$5:$O$148,MATCH($A12,Acciones!$A$5:$A$148,0)))</f>
        <v>0.4839242629</v>
      </c>
      <c r="F12" s="15" t="n">
        <f aca="false">IF($A12="","",E12*SQRT($H$4/252))</f>
        <v>0.152421815836148</v>
      </c>
      <c r="G12" s="15" t="n">
        <f aca="false">IF($A12="","",INDEX(Acciones!$Q$5:$Q$148,MATCH($A12,Acciones!$A$5:$A$148,0)))</f>
        <v>-0.3038167097</v>
      </c>
      <c r="H12" s="16" t="n">
        <f aca="false">IF($A12="","",IF(INDEX(Acciones!$G$5:$G$148,MATCH($A12,Acciones!$A$5:$A$148,0))="","n/d",INDEX(Acciones!$G$5:$G$148,MATCH($A12,Acciones!$A$5:$A$148,0))))</f>
        <v>0.0017714792</v>
      </c>
      <c r="I12" s="14" t="str">
        <f aca="false">IF($A12="","",INDEX(Acciones!$J$5:$J$148,MATCH($A12,Acciones!$A$5:$A$148,0)))</f>
        <v>Sí</v>
      </c>
      <c r="J12" s="17" t="n">
        <f aca="false">IF(OR($A12="",$B12=""),"",$B12*$C$4)</f>
        <v>200000</v>
      </c>
      <c r="K12" s="17" t="n">
        <f aca="false">IF(J12="","",J12*(IF(ISNUMBER(H12),H12,0)+2*$C$5))</f>
        <v>818.29584</v>
      </c>
      <c r="L12" s="17" t="n">
        <f aca="false">IF(J12="","",J12*INDEX(Acciones!$T$5:$T$148,MATCH($A12,Acciones!$A$5:$A$148,0)))</f>
        <v>-56627.09782</v>
      </c>
      <c r="M12" s="17" t="n">
        <f aca="false">IF(J12="","",J12*INDEX(Acciones!$S$5:$S$148,MATCH($A12,Acciones!$A$5:$A$148,0)))</f>
        <v>101857.31632</v>
      </c>
      <c r="N12" s="18" t="n">
        <f aca="false">IF($A12="","",INDEX(Acciones!$R$5:$R$148,MATCH($A12,Acciones!$A$5:$A$148,0)))</f>
        <v>0.7155392573</v>
      </c>
      <c r="O12" s="19" t="n">
        <f aca="false">IF(OR($A12="",$B12=""),0,$B12*N12)</f>
        <v>0.14310785146</v>
      </c>
    </row>
    <row r="13" customFormat="false" ht="15" hidden="false" customHeight="false" outlineLevel="0" collapsed="false">
      <c r="A13" s="12"/>
      <c r="B13" s="13"/>
      <c r="C13" s="14" t="str">
        <f aca="false">IF($A13="","",INDEX(Acciones!$B$5:$B$148,MATCH($A13,Acciones!$A$5:$A$148,0)))</f>
        <v/>
      </c>
      <c r="D13" s="14" t="str">
        <f aca="false">IF($A13="","",INDEX(Acciones!$U$5:$U$148,MATCH($A13,Acciones!$A$5:$A$148,0)))</f>
        <v/>
      </c>
      <c r="E13" s="15" t="str">
        <f aca="false">IF($A13="","",INDEX(Acciones!$O$5:$O$148,MATCH($A13,Acciones!$A$5:$A$148,0)))</f>
        <v/>
      </c>
      <c r="F13" s="15" t="str">
        <f aca="false">IF($A13="","",E13*SQRT($H$4/252))</f>
        <v/>
      </c>
      <c r="G13" s="15" t="str">
        <f aca="false">IF($A13="","",INDEX(Acciones!$Q$5:$Q$148,MATCH($A13,Acciones!$A$5:$A$148,0)))</f>
        <v/>
      </c>
      <c r="H13" s="16" t="str">
        <f aca="false">IF($A13="","",IF(INDEX(Acciones!$G$5:$G$148,MATCH($A13,Acciones!$A$5:$A$148,0))="","n/d",INDEX(Acciones!$G$5:$G$148,MATCH($A13,Acciones!$A$5:$A$148,0))))</f>
        <v/>
      </c>
      <c r="I13" s="14" t="str">
        <f aca="false">IF($A13="","",INDEX(Acciones!$J$5:$J$148,MATCH($A13,Acciones!$A$5:$A$148,0)))</f>
        <v/>
      </c>
      <c r="J13" s="17" t="str">
        <f aca="false">IF(OR($A13="",$B13=""),"",$B13*$C$4)</f>
        <v/>
      </c>
      <c r="K13" s="17" t="str">
        <f aca="false">IF(J13="","",J13*(IF(ISNUMBER(H13),H13,0)+2*$C$5))</f>
        <v/>
      </c>
      <c r="L13" s="17" t="str">
        <f aca="false">IF(J13="","",J13*INDEX(Acciones!$T$5:$T$148,MATCH($A13,Acciones!$A$5:$A$148,0)))</f>
        <v/>
      </c>
      <c r="M13" s="17" t="str">
        <f aca="false">IF(J13="","",J13*INDEX(Acciones!$S$5:$S$148,MATCH($A13,Acciones!$A$5:$A$148,0)))</f>
        <v/>
      </c>
      <c r="N13" s="18" t="str">
        <f aca="false">IF($A13="","",INDEX(Acciones!$R$5:$R$148,MATCH($A13,Acciones!$A$5:$A$148,0)))</f>
        <v/>
      </c>
      <c r="O13" s="19" t="n">
        <f aca="false">IF(OR($A13="",$B13=""),0,$B13*N13)</f>
        <v>0</v>
      </c>
    </row>
    <row r="14" customFormat="false" ht="15" hidden="false" customHeight="false" outlineLevel="0" collapsed="false">
      <c r="A14" s="12"/>
      <c r="B14" s="13"/>
      <c r="C14" s="14" t="str">
        <f aca="false">IF($A14="","",INDEX(Acciones!$B$5:$B$148,MATCH($A14,Acciones!$A$5:$A$148,0)))</f>
        <v/>
      </c>
      <c r="D14" s="14" t="str">
        <f aca="false">IF($A14="","",INDEX(Acciones!$U$5:$U$148,MATCH($A14,Acciones!$A$5:$A$148,0)))</f>
        <v/>
      </c>
      <c r="E14" s="15" t="str">
        <f aca="false">IF($A14="","",INDEX(Acciones!$O$5:$O$148,MATCH($A14,Acciones!$A$5:$A$148,0)))</f>
        <v/>
      </c>
      <c r="F14" s="15" t="str">
        <f aca="false">IF($A14="","",E14*SQRT($H$4/252))</f>
        <v/>
      </c>
      <c r="G14" s="15" t="str">
        <f aca="false">IF($A14="","",INDEX(Acciones!$Q$5:$Q$148,MATCH($A14,Acciones!$A$5:$A$148,0)))</f>
        <v/>
      </c>
      <c r="H14" s="16" t="str">
        <f aca="false">IF($A14="","",IF(INDEX(Acciones!$G$5:$G$148,MATCH($A14,Acciones!$A$5:$A$148,0))="","n/d",INDEX(Acciones!$G$5:$G$148,MATCH($A14,Acciones!$A$5:$A$148,0))))</f>
        <v/>
      </c>
      <c r="I14" s="14" t="str">
        <f aca="false">IF($A14="","",INDEX(Acciones!$J$5:$J$148,MATCH($A14,Acciones!$A$5:$A$148,0)))</f>
        <v/>
      </c>
      <c r="J14" s="17" t="str">
        <f aca="false">IF(OR($A14="",$B14=""),"",$B14*$C$4)</f>
        <v/>
      </c>
      <c r="K14" s="17" t="str">
        <f aca="false">IF(J14="","",J14*(IF(ISNUMBER(H14),H14,0)+2*$C$5))</f>
        <v/>
      </c>
      <c r="L14" s="17" t="str">
        <f aca="false">IF(J14="","",J14*INDEX(Acciones!$T$5:$T$148,MATCH($A14,Acciones!$A$5:$A$148,0)))</f>
        <v/>
      </c>
      <c r="M14" s="17" t="str">
        <f aca="false">IF(J14="","",J14*INDEX(Acciones!$S$5:$S$148,MATCH($A14,Acciones!$A$5:$A$148,0)))</f>
        <v/>
      </c>
      <c r="N14" s="18" t="str">
        <f aca="false">IF($A14="","",INDEX(Acciones!$R$5:$R$148,MATCH($A14,Acciones!$A$5:$A$148,0)))</f>
        <v/>
      </c>
      <c r="O14" s="19" t="n">
        <f aca="false">IF(OR($A14="",$B14=""),0,$B14*N14)</f>
        <v>0</v>
      </c>
    </row>
    <row r="15" customFormat="false" ht="15" hidden="false" customHeight="false" outlineLevel="0" collapsed="false">
      <c r="A15" s="12"/>
      <c r="B15" s="13"/>
      <c r="C15" s="14" t="str">
        <f aca="false">IF($A15="","",INDEX(Acciones!$B$5:$B$148,MATCH($A15,Acciones!$A$5:$A$148,0)))</f>
        <v/>
      </c>
      <c r="D15" s="14" t="str">
        <f aca="false">IF($A15="","",INDEX(Acciones!$U$5:$U$148,MATCH($A15,Acciones!$A$5:$A$148,0)))</f>
        <v/>
      </c>
      <c r="E15" s="15" t="str">
        <f aca="false">IF($A15="","",INDEX(Acciones!$O$5:$O$148,MATCH($A15,Acciones!$A$5:$A$148,0)))</f>
        <v/>
      </c>
      <c r="F15" s="15" t="str">
        <f aca="false">IF($A15="","",E15*SQRT($H$4/252))</f>
        <v/>
      </c>
      <c r="G15" s="15" t="str">
        <f aca="false">IF($A15="","",INDEX(Acciones!$Q$5:$Q$148,MATCH($A15,Acciones!$A$5:$A$148,0)))</f>
        <v/>
      </c>
      <c r="H15" s="16" t="str">
        <f aca="false">IF($A15="","",IF(INDEX(Acciones!$G$5:$G$148,MATCH($A15,Acciones!$A$5:$A$148,0))="","n/d",INDEX(Acciones!$G$5:$G$148,MATCH($A15,Acciones!$A$5:$A$148,0))))</f>
        <v/>
      </c>
      <c r="I15" s="14" t="str">
        <f aca="false">IF($A15="","",INDEX(Acciones!$J$5:$J$148,MATCH($A15,Acciones!$A$5:$A$148,0)))</f>
        <v/>
      </c>
      <c r="J15" s="17" t="str">
        <f aca="false">IF(OR($A15="",$B15=""),"",$B15*$C$4)</f>
        <v/>
      </c>
      <c r="K15" s="17" t="str">
        <f aca="false">IF(J15="","",J15*(IF(ISNUMBER(H15),H15,0)+2*$C$5))</f>
        <v/>
      </c>
      <c r="L15" s="17" t="str">
        <f aca="false">IF(J15="","",J15*INDEX(Acciones!$T$5:$T$148,MATCH($A15,Acciones!$A$5:$A$148,0)))</f>
        <v/>
      </c>
      <c r="M15" s="17" t="str">
        <f aca="false">IF(J15="","",J15*INDEX(Acciones!$S$5:$S$148,MATCH($A15,Acciones!$A$5:$A$148,0)))</f>
        <v/>
      </c>
      <c r="N15" s="18" t="str">
        <f aca="false">IF($A15="","",INDEX(Acciones!$R$5:$R$148,MATCH($A15,Acciones!$A$5:$A$148,0)))</f>
        <v/>
      </c>
      <c r="O15" s="19" t="n">
        <f aca="false">IF(OR($A15="",$B15=""),0,$B15*N15)</f>
        <v>0</v>
      </c>
    </row>
    <row r="16" customFormat="false" ht="15" hidden="false" customHeight="false" outlineLevel="0" collapsed="false">
      <c r="A16" s="12"/>
      <c r="B16" s="13"/>
      <c r="C16" s="14" t="str">
        <f aca="false">IF($A16="","",INDEX(Acciones!$B$5:$B$148,MATCH($A16,Acciones!$A$5:$A$148,0)))</f>
        <v/>
      </c>
      <c r="D16" s="14" t="str">
        <f aca="false">IF($A16="","",INDEX(Acciones!$U$5:$U$148,MATCH($A16,Acciones!$A$5:$A$148,0)))</f>
        <v/>
      </c>
      <c r="E16" s="15" t="str">
        <f aca="false">IF($A16="","",INDEX(Acciones!$O$5:$O$148,MATCH($A16,Acciones!$A$5:$A$148,0)))</f>
        <v/>
      </c>
      <c r="F16" s="15" t="str">
        <f aca="false">IF($A16="","",E16*SQRT($H$4/252))</f>
        <v/>
      </c>
      <c r="G16" s="15" t="str">
        <f aca="false">IF($A16="","",INDEX(Acciones!$Q$5:$Q$148,MATCH($A16,Acciones!$A$5:$A$148,0)))</f>
        <v/>
      </c>
      <c r="H16" s="16" t="str">
        <f aca="false">IF($A16="","",IF(INDEX(Acciones!$G$5:$G$148,MATCH($A16,Acciones!$A$5:$A$148,0))="","n/d",INDEX(Acciones!$G$5:$G$148,MATCH($A16,Acciones!$A$5:$A$148,0))))</f>
        <v/>
      </c>
      <c r="I16" s="14" t="str">
        <f aca="false">IF($A16="","",INDEX(Acciones!$J$5:$J$148,MATCH($A16,Acciones!$A$5:$A$148,0)))</f>
        <v/>
      </c>
      <c r="J16" s="17" t="str">
        <f aca="false">IF(OR($A16="",$B16=""),"",$B16*$C$4)</f>
        <v/>
      </c>
      <c r="K16" s="17" t="str">
        <f aca="false">IF(J16="","",J16*(IF(ISNUMBER(H16),H16,0)+2*$C$5))</f>
        <v/>
      </c>
      <c r="L16" s="17" t="str">
        <f aca="false">IF(J16="","",J16*INDEX(Acciones!$T$5:$T$148,MATCH($A16,Acciones!$A$5:$A$148,0)))</f>
        <v/>
      </c>
      <c r="M16" s="17" t="str">
        <f aca="false">IF(J16="","",J16*INDEX(Acciones!$S$5:$S$148,MATCH($A16,Acciones!$A$5:$A$148,0)))</f>
        <v/>
      </c>
      <c r="N16" s="18" t="str">
        <f aca="false">IF($A16="","",INDEX(Acciones!$R$5:$R$148,MATCH($A16,Acciones!$A$5:$A$148,0)))</f>
        <v/>
      </c>
      <c r="O16" s="19" t="n">
        <f aca="false">IF(OR($A16="",$B16=""),0,$B16*N16)</f>
        <v>0</v>
      </c>
    </row>
    <row r="17" customFormat="false" ht="15" hidden="false" customHeight="false" outlineLevel="0" collapsed="false">
      <c r="A17" s="12"/>
      <c r="B17" s="13"/>
      <c r="C17" s="14" t="str">
        <f aca="false">IF($A17="","",INDEX(Acciones!$B$5:$B$148,MATCH($A17,Acciones!$A$5:$A$148,0)))</f>
        <v/>
      </c>
      <c r="D17" s="14" t="str">
        <f aca="false">IF($A17="","",INDEX(Acciones!$U$5:$U$148,MATCH($A17,Acciones!$A$5:$A$148,0)))</f>
        <v/>
      </c>
      <c r="E17" s="15" t="str">
        <f aca="false">IF($A17="","",INDEX(Acciones!$O$5:$O$148,MATCH($A17,Acciones!$A$5:$A$148,0)))</f>
        <v/>
      </c>
      <c r="F17" s="15" t="str">
        <f aca="false">IF($A17="","",E17*SQRT($H$4/252))</f>
        <v/>
      </c>
      <c r="G17" s="15" t="str">
        <f aca="false">IF($A17="","",INDEX(Acciones!$Q$5:$Q$148,MATCH($A17,Acciones!$A$5:$A$148,0)))</f>
        <v/>
      </c>
      <c r="H17" s="16" t="str">
        <f aca="false">IF($A17="","",IF(INDEX(Acciones!$G$5:$G$148,MATCH($A17,Acciones!$A$5:$A$148,0))="","n/d",INDEX(Acciones!$G$5:$G$148,MATCH($A17,Acciones!$A$5:$A$148,0))))</f>
        <v/>
      </c>
      <c r="I17" s="14" t="str">
        <f aca="false">IF($A17="","",INDEX(Acciones!$J$5:$J$148,MATCH($A17,Acciones!$A$5:$A$148,0)))</f>
        <v/>
      </c>
      <c r="J17" s="17" t="str">
        <f aca="false">IF(OR($A17="",$B17=""),"",$B17*$C$4)</f>
        <v/>
      </c>
      <c r="K17" s="17" t="str">
        <f aca="false">IF(J17="","",J17*(IF(ISNUMBER(H17),H17,0)+2*$C$5))</f>
        <v/>
      </c>
      <c r="L17" s="17" t="str">
        <f aca="false">IF(J17="","",J17*INDEX(Acciones!$T$5:$T$148,MATCH($A17,Acciones!$A$5:$A$148,0)))</f>
        <v/>
      </c>
      <c r="M17" s="17" t="str">
        <f aca="false">IF(J17="","",J17*INDEX(Acciones!$S$5:$S$148,MATCH($A17,Acciones!$A$5:$A$148,0)))</f>
        <v/>
      </c>
      <c r="N17" s="18" t="str">
        <f aca="false">IF($A17="","",INDEX(Acciones!$R$5:$R$148,MATCH($A17,Acciones!$A$5:$A$148,0)))</f>
        <v/>
      </c>
      <c r="O17" s="19" t="n">
        <f aca="false">IF(OR($A17="",$B17=""),0,$B17*N17)</f>
        <v>0</v>
      </c>
    </row>
    <row r="18" customFormat="false" ht="15" hidden="false" customHeight="false" outlineLevel="0" collapsed="false">
      <c r="A18" s="12"/>
      <c r="B18" s="13"/>
      <c r="C18" s="14" t="str">
        <f aca="false">IF($A18="","",INDEX(Acciones!$B$5:$B$148,MATCH($A18,Acciones!$A$5:$A$148,0)))</f>
        <v/>
      </c>
      <c r="D18" s="14" t="str">
        <f aca="false">IF($A18="","",INDEX(Acciones!$U$5:$U$148,MATCH($A18,Acciones!$A$5:$A$148,0)))</f>
        <v/>
      </c>
      <c r="E18" s="15" t="str">
        <f aca="false">IF($A18="","",INDEX(Acciones!$O$5:$O$148,MATCH($A18,Acciones!$A$5:$A$148,0)))</f>
        <v/>
      </c>
      <c r="F18" s="15" t="str">
        <f aca="false">IF($A18="","",E18*SQRT($H$4/252))</f>
        <v/>
      </c>
      <c r="G18" s="15" t="str">
        <f aca="false">IF($A18="","",INDEX(Acciones!$Q$5:$Q$148,MATCH($A18,Acciones!$A$5:$A$148,0)))</f>
        <v/>
      </c>
      <c r="H18" s="16" t="str">
        <f aca="false">IF($A18="","",IF(INDEX(Acciones!$G$5:$G$148,MATCH($A18,Acciones!$A$5:$A$148,0))="","n/d",INDEX(Acciones!$G$5:$G$148,MATCH($A18,Acciones!$A$5:$A$148,0))))</f>
        <v/>
      </c>
      <c r="I18" s="14" t="str">
        <f aca="false">IF($A18="","",INDEX(Acciones!$J$5:$J$148,MATCH($A18,Acciones!$A$5:$A$148,0)))</f>
        <v/>
      </c>
      <c r="J18" s="17" t="str">
        <f aca="false">IF(OR($A18="",$B18=""),"",$B18*$C$4)</f>
        <v/>
      </c>
      <c r="K18" s="17" t="str">
        <f aca="false">IF(J18="","",J18*(IF(ISNUMBER(H18),H18,0)+2*$C$5))</f>
        <v/>
      </c>
      <c r="L18" s="17" t="str">
        <f aca="false">IF(J18="","",J18*INDEX(Acciones!$T$5:$T$148,MATCH($A18,Acciones!$A$5:$A$148,0)))</f>
        <v/>
      </c>
      <c r="M18" s="17" t="str">
        <f aca="false">IF(J18="","",J18*INDEX(Acciones!$S$5:$S$148,MATCH($A18,Acciones!$A$5:$A$148,0)))</f>
        <v/>
      </c>
      <c r="N18" s="18" t="str">
        <f aca="false">IF($A18="","",INDEX(Acciones!$R$5:$R$148,MATCH($A18,Acciones!$A$5:$A$148,0)))</f>
        <v/>
      </c>
      <c r="O18" s="19" t="n">
        <f aca="false">IF(OR($A18="",$B18=""),0,$B18*N18)</f>
        <v>0</v>
      </c>
    </row>
    <row r="19" customFormat="false" ht="15" hidden="false" customHeight="false" outlineLevel="0" collapsed="false">
      <c r="A19" s="12"/>
      <c r="B19" s="13"/>
      <c r="C19" s="14" t="str">
        <f aca="false">IF($A19="","",INDEX(Acciones!$B$5:$B$148,MATCH($A19,Acciones!$A$5:$A$148,0)))</f>
        <v/>
      </c>
      <c r="D19" s="14" t="str">
        <f aca="false">IF($A19="","",INDEX(Acciones!$U$5:$U$148,MATCH($A19,Acciones!$A$5:$A$148,0)))</f>
        <v/>
      </c>
      <c r="E19" s="15" t="str">
        <f aca="false">IF($A19="","",INDEX(Acciones!$O$5:$O$148,MATCH($A19,Acciones!$A$5:$A$148,0)))</f>
        <v/>
      </c>
      <c r="F19" s="15" t="str">
        <f aca="false">IF($A19="","",E19*SQRT($H$4/252))</f>
        <v/>
      </c>
      <c r="G19" s="15" t="str">
        <f aca="false">IF($A19="","",INDEX(Acciones!$Q$5:$Q$148,MATCH($A19,Acciones!$A$5:$A$148,0)))</f>
        <v/>
      </c>
      <c r="H19" s="16" t="str">
        <f aca="false">IF($A19="","",IF(INDEX(Acciones!$G$5:$G$148,MATCH($A19,Acciones!$A$5:$A$148,0))="","n/d",INDEX(Acciones!$G$5:$G$148,MATCH($A19,Acciones!$A$5:$A$148,0))))</f>
        <v/>
      </c>
      <c r="I19" s="14" t="str">
        <f aca="false">IF($A19="","",INDEX(Acciones!$J$5:$J$148,MATCH($A19,Acciones!$A$5:$A$148,0)))</f>
        <v/>
      </c>
      <c r="J19" s="17" t="str">
        <f aca="false">IF(OR($A19="",$B19=""),"",$B19*$C$4)</f>
        <v/>
      </c>
      <c r="K19" s="17" t="str">
        <f aca="false">IF(J19="","",J19*(IF(ISNUMBER(H19),H19,0)+2*$C$5))</f>
        <v/>
      </c>
      <c r="L19" s="17" t="str">
        <f aca="false">IF(J19="","",J19*INDEX(Acciones!$T$5:$T$148,MATCH($A19,Acciones!$A$5:$A$148,0)))</f>
        <v/>
      </c>
      <c r="M19" s="17" t="str">
        <f aca="false">IF(J19="","",J19*INDEX(Acciones!$S$5:$S$148,MATCH($A19,Acciones!$A$5:$A$148,0)))</f>
        <v/>
      </c>
      <c r="N19" s="18" t="str">
        <f aca="false">IF($A19="","",INDEX(Acciones!$R$5:$R$148,MATCH($A19,Acciones!$A$5:$A$148,0)))</f>
        <v/>
      </c>
      <c r="O19" s="19" t="n">
        <f aca="false">IF(OR($A19="",$B19=""),0,$B19*N19)</f>
        <v>0</v>
      </c>
    </row>
    <row r="21" customFormat="false" ht="15.75" hidden="false" customHeight="true" outlineLevel="0" collapsed="false">
      <c r="A21" s="20" t="s">
        <v>52</v>
      </c>
    </row>
    <row r="22" customFormat="false" ht="15" hidden="false" customHeight="false" outlineLevel="0" collapsed="false">
      <c r="A22" s="7" t="s">
        <v>53</v>
      </c>
      <c r="B22" s="21" t="n">
        <f aca="false">SUM($B$8:$B$19)</f>
        <v>1</v>
      </c>
      <c r="C22" s="6" t="str">
        <f aca="false">IF(ABS(B22-1)&lt;0.0005,"OK: 100%",IF(B22&lt;1,"Te falta "&amp;TEXT(1-B22,"0.0%")&amp;" por asignar (queda en efectivo, que no rinde)","Pasas de 100% por "&amp;TEXT(B22-1,"0.0%")))</f>
        <v>OK: 100%</v>
      </c>
    </row>
    <row r="23" customFormat="false" ht="15" hidden="false" customHeight="false" outlineLevel="0" collapsed="false">
      <c r="A23" s="7" t="s">
        <v>54</v>
      </c>
      <c r="B23" s="22" t="n">
        <f aca="false">SUMPRODUCT(($A$8:$A$19&lt;&gt;"")*($B$8:$B$19&gt;0)/COUNTIF($A$8:$A$19,$A$8:$A$19&amp;""))</f>
        <v>5</v>
      </c>
      <c r="C23" s="6" t="str">
        <f aca="false">IF(B23&gt;=5,"OK","REVISAR: necesitas al menos 5")</f>
        <v>OK</v>
      </c>
    </row>
    <row r="24" customFormat="false" ht="15" hidden="false" customHeight="false" outlineLevel="0" collapsed="false">
      <c r="A24" s="7" t="s">
        <v>55</v>
      </c>
      <c r="B24" s="21" t="n">
        <f aca="false">MAX($B$8:$B$19)</f>
        <v>0.2</v>
      </c>
      <c r="C24" s="6" t="str">
        <f aca="false">IF(B24&lt;=0.5,"OK","REVISAR: ninguna puede pasar de 50%")</f>
        <v>OK</v>
      </c>
    </row>
    <row r="25" customFormat="false" ht="15" hidden="false" customHeight="false" outlineLevel="0" collapsed="false">
      <c r="A25" s="7" t="s">
        <v>56</v>
      </c>
      <c r="B25" s="22" t="n">
        <f aca="false">SUMPRODUCT(($A$8:$A$19&lt;&gt;"")*(COUNTIF($A$8:$A$19,$A$8:$A$19)&gt;1))</f>
        <v>0</v>
      </c>
      <c r="C25" s="6" t="str">
        <f aca="false">IF(B25=0,"OK","REVISAR: repetiste una emisora")</f>
        <v>OK</v>
      </c>
    </row>
    <row r="26" customFormat="false" ht="15" hidden="false" customHeight="false" outlineLevel="0" collapsed="false">
      <c r="A26" s="7" t="s">
        <v>57</v>
      </c>
      <c r="B26" s="22" t="n">
        <f aca="false">SUMPRODUCT(($A$8:$A$19&lt;&gt;"")*($I$8:$I$19&lt;&gt;"Sí"))</f>
        <v>0</v>
      </c>
      <c r="C26" s="6" t="str">
        <f aca="false">IF(B26=0,"OK","REVISAR: hoy no hay quien compre o venda alguna de tus emisoras")</f>
        <v>OK</v>
      </c>
    </row>
    <row r="27" customFormat="false" ht="15" hidden="false" customHeight="false" outlineLevel="0" collapsed="false">
      <c r="A27" s="7" t="s">
        <v>58</v>
      </c>
      <c r="B27" s="23" t="n">
        <f aca="false">SUM($J$8:$J$19)</f>
        <v>1000000</v>
      </c>
    </row>
    <row r="28" customFormat="false" ht="15" hidden="false" customHeight="false" outlineLevel="0" collapsed="false">
      <c r="A28" s="7" t="s">
        <v>59</v>
      </c>
      <c r="B28" s="23" t="n">
        <f aca="false">B27*$C$5</f>
        <v>1160</v>
      </c>
    </row>
    <row r="29" customFormat="false" ht="15" hidden="false" customHeight="false" outlineLevel="0" collapsed="false">
      <c r="A29" s="7" t="s">
        <v>42</v>
      </c>
      <c r="B29" s="23" t="n">
        <f aca="false">SUM($K$8:$K$19)</f>
        <v>3803.1414</v>
      </c>
      <c r="C29" s="6" t="str">
        <f aca="false">"Comisiones + diferencia compra-venta: "&amp;TEXT(B29/$C$4,"0.00%")&amp;" del capital"</f>
        <v>Comisiones + diferencia compra-venta: 0.38% del capital</v>
      </c>
    </row>
    <row r="30" customFormat="false" ht="15" hidden="false" customHeight="false" outlineLevel="0" collapsed="false">
      <c r="A30" s="7" t="s">
        <v>60</v>
      </c>
      <c r="B30" s="21" t="n">
        <f aca="false">SQRT(Covarianza!$B$2)</f>
        <v>0.269615814818048</v>
      </c>
      <c r="C30" s="6" t="s">
        <v>61</v>
      </c>
    </row>
    <row r="31" customFormat="false" ht="15" hidden="false" customHeight="false" outlineLevel="0" collapsed="false">
      <c r="A31" s="7" t="s">
        <v>62</v>
      </c>
      <c r="B31" s="21" t="n">
        <f aca="false">B30*SQRT($H$4/252)</f>
        <v>0.0849209994688808</v>
      </c>
      <c r="C31" s="6" t="s">
        <v>63</v>
      </c>
    </row>
    <row r="32" customFormat="false" ht="15" hidden="false" customHeight="false" outlineLevel="0" collapsed="false">
      <c r="A32" s="7" t="s">
        <v>64</v>
      </c>
      <c r="B32" s="23" t="n">
        <f aca="false">B31*SUM($J$8:$J$19)</f>
        <v>84920.9994688808</v>
      </c>
      <c r="C32" s="6" t="s">
        <v>65</v>
      </c>
    </row>
    <row r="33" customFormat="false" ht="15" hidden="false" customHeight="false" outlineLevel="0" collapsed="false">
      <c r="A33" s="7" t="s">
        <v>66</v>
      </c>
      <c r="B33" s="24" t="n">
        <f aca="false">SUM($O$8:$O$19)</f>
        <v>1.03284119126</v>
      </c>
      <c r="C33" s="6" t="s">
        <v>67</v>
      </c>
    </row>
    <row r="35" customFormat="false" ht="15" hidden="false" customHeight="false" outlineLevel="0" collapsed="false">
      <c r="A35" s="6" t="s">
        <v>68</v>
      </c>
    </row>
  </sheetData>
  <conditionalFormatting sqref="I8:I19">
    <cfRule type="expression" priority="2" aboveAverage="0" equalAverage="0" bottom="0" percent="0" rank="0" text="" dxfId="0">
      <formula>AND(I8&lt;&gt;"",I8&lt;&gt;"Sí")</formula>
    </cfRule>
  </conditionalFormatting>
  <conditionalFormatting sqref="H8:H19">
    <cfRule type="cellIs" priority="3" operator="greaterThan" aboveAverage="0" equalAverage="0" bottom="0" percent="0" rank="0" text="" dxfId="1">
      <formula>0.03</formula>
    </cfRule>
    <cfRule type="cellIs" priority="4" operator="between" aboveAverage="0" equalAverage="0" bottom="0" percent="0" rank="0" text="" dxfId="2">
      <formula>0.01</formula>
      <formula>0.03</formula>
    </cfRule>
  </conditionalFormatting>
  <conditionalFormatting sqref="C22:C26">
    <cfRule type="expression" priority="5" aboveAverage="0" equalAverage="0" bottom="0" percent="0" rank="0" text="" dxfId="3">
      <formula>LEFT(C22,2)="OK"</formula>
    </cfRule>
    <cfRule type="expression" priority="6" aboveAverage="0" equalAverage="0" bottom="0" percent="0" rank="0" text="" dxfId="4">
      <formula>OR(LEFT(C22,7)="REVISAR",LEFT(C22,2)="Te",LEFT(C22,2)="Pa")</formula>
    </cfRule>
  </conditionalFormatting>
  <dataValidations count="2">
    <dataValidation allowBlank="true" error="Escribe un porcentaje entre 0% y 100%." errorStyle="stop" errorTitle="Peso" operator="between" showDropDown="false" showErrorMessage="true" showInputMessage="false" sqref="B8:B19" type="decimal">
      <formula1>0</formula1>
      <formula2>1</formula2>
    </dataValidation>
    <dataValidation allowBlank="true" error="Elige una emisora de la lista (hoja Acciones)." errorStyle="stop" errorTitle="Emisora" operator="between" showDropDown="false" showErrorMessage="true" showInputMessage="false" sqref="A8:A19" type="list">
      <formula1>Acciones!$A$5:$A$148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4" min="2" style="0" width="13"/>
  </cols>
  <sheetData>
    <row r="1" customFormat="false" ht="17.35" hidden="false" customHeight="false" outlineLevel="0" collapsed="false">
      <c r="A1" s="5" t="s">
        <v>69</v>
      </c>
    </row>
    <row r="2" customFormat="false" ht="15" hidden="false" customHeight="false" outlineLevel="0" collapsed="false">
      <c r="A2" s="25" t="s">
        <v>70</v>
      </c>
    </row>
    <row r="4" customFormat="false" ht="15" hidden="false" customHeight="false" outlineLevel="0" collapsed="false">
      <c r="A4" s="20" t="s">
        <v>71</v>
      </c>
    </row>
    <row r="5" customFormat="false" ht="15" hidden="false" customHeight="false" outlineLevel="0" collapsed="false">
      <c r="A5" s="7" t="s">
        <v>72</v>
      </c>
      <c r="B5" s="21" t="n">
        <f aca="false">SQRT(SUM(Covarianza!$B$6:$EO$149)/144^2*'Mi portafolio'!$H$4/252)</f>
        <v>0.0494535848558498</v>
      </c>
    </row>
    <row r="7" customFormat="false" ht="23.85" hidden="false" customHeight="false" outlineLevel="0" collapsed="false">
      <c r="A7" s="26" t="s">
        <v>73</v>
      </c>
      <c r="B7" s="26" t="s">
        <v>74</v>
      </c>
      <c r="C7" s="26" t="s">
        <v>75</v>
      </c>
      <c r="D7" s="26" t="s">
        <v>76</v>
      </c>
    </row>
    <row r="8" customFormat="false" ht="15" hidden="false" customHeight="false" outlineLevel="0" collapsed="false">
      <c r="A8" s="7" t="s">
        <v>77</v>
      </c>
      <c r="B8" s="27" t="n">
        <v>0.25</v>
      </c>
      <c r="C8" s="28" t="n">
        <f aca="false">-$B$5</f>
        <v>-0.0494535848558498</v>
      </c>
      <c r="D8" s="25" t="s">
        <v>78</v>
      </c>
    </row>
    <row r="9" customFormat="false" ht="15" hidden="false" customHeight="false" outlineLevel="0" collapsed="false">
      <c r="A9" s="7" t="s">
        <v>79</v>
      </c>
      <c r="B9" s="27" t="n">
        <v>0.5</v>
      </c>
      <c r="C9" s="28" t="n">
        <v>0.01</v>
      </c>
      <c r="D9" s="25" t="s">
        <v>80</v>
      </c>
    </row>
    <row r="10" customFormat="false" ht="15" hidden="false" customHeight="false" outlineLevel="0" collapsed="false">
      <c r="A10" s="7" t="s">
        <v>81</v>
      </c>
      <c r="B10" s="27" t="n">
        <v>0.25</v>
      </c>
      <c r="C10" s="28" t="n">
        <f aca="false">$B$5</f>
        <v>0.0494535848558498</v>
      </c>
      <c r="D10" s="25" t="s">
        <v>82</v>
      </c>
    </row>
    <row r="11" customFormat="false" ht="15" hidden="false" customHeight="false" outlineLevel="0" collapsed="false">
      <c r="A11" s="25" t="s">
        <v>83</v>
      </c>
      <c r="B11" s="29" t="n">
        <f aca="false">SUM(B8:B10)</f>
        <v>1</v>
      </c>
    </row>
    <row r="12" customFormat="false" ht="15" hidden="false" customHeight="false" outlineLevel="0" collapsed="false">
      <c r="A12" s="25" t="s">
        <v>84</v>
      </c>
      <c r="B12" s="30" t="n">
        <f aca="false">SUMPRODUCT(B8:B10,C8:C10)</f>
        <v>0.005</v>
      </c>
    </row>
    <row r="14" customFormat="false" ht="15" hidden="false" customHeight="false" outlineLevel="0" collapsed="false">
      <c r="A14" s="20" t="s">
        <v>85</v>
      </c>
    </row>
    <row r="15" customFormat="false" ht="42" hidden="false" customHeight="true" outlineLevel="0" collapsed="false">
      <c r="A15" s="26" t="s">
        <v>86</v>
      </c>
      <c r="B15" s="26" t="s">
        <v>87</v>
      </c>
      <c r="C15" s="26" t="s">
        <v>45</v>
      </c>
      <c r="D15" s="26" t="s">
        <v>88</v>
      </c>
      <c r="E15" s="26" t="s">
        <v>89</v>
      </c>
      <c r="F15" s="26" t="s">
        <v>90</v>
      </c>
      <c r="G15" s="26" t="s">
        <v>91</v>
      </c>
      <c r="H15" s="26" t="s">
        <v>92</v>
      </c>
      <c r="I15" s="26" t="s">
        <v>93</v>
      </c>
      <c r="J15" s="26" t="s">
        <v>94</v>
      </c>
      <c r="K15" s="26" t="s">
        <v>95</v>
      </c>
      <c r="L15" s="26" t="s">
        <v>96</v>
      </c>
      <c r="M15" s="26" t="s">
        <v>97</v>
      </c>
      <c r="N15" s="26" t="s">
        <v>98</v>
      </c>
    </row>
    <row r="16" customFormat="false" ht="15" hidden="false" customHeight="false" outlineLevel="0" collapsed="false">
      <c r="A16" s="7" t="s">
        <v>99</v>
      </c>
      <c r="B16" s="31" t="n">
        <f aca="false">Portafolios!D18</f>
        <v>5</v>
      </c>
      <c r="C16" s="32" t="n">
        <f aca="false">Portafolios!D21</f>
        <v>0.661252898926041</v>
      </c>
      <c r="D16" s="33" t="n">
        <f aca="false">Portafolios!D22</f>
        <v>2894.33492</v>
      </c>
      <c r="E16" s="33" t="n">
        <f aca="false">Portafolios!D23</f>
        <v>-35595.6612682156</v>
      </c>
      <c r="F16" s="33" t="n">
        <f aca="false">Portafolios!D24</f>
        <v>3718.19406926041</v>
      </c>
      <c r="G16" s="33" t="n">
        <f aca="false">Portafolios!D25</f>
        <v>29806.9914282156</v>
      </c>
      <c r="H16" s="34" t="n">
        <f aca="false">Portafolios!D26</f>
        <v>411.929574630203</v>
      </c>
      <c r="I16" s="35" t="n">
        <v>0.177</v>
      </c>
      <c r="J16" s="36" t="n">
        <v>55679</v>
      </c>
      <c r="K16" s="37" t="n">
        <f aca="false">IF(J16&gt;0,H16/J16,0)</f>
        <v>0.00739829333555206</v>
      </c>
      <c r="L16" s="36" t="n">
        <v>-90875</v>
      </c>
      <c r="M16" s="36" t="n">
        <v>92795</v>
      </c>
      <c r="N16" s="35" t="n">
        <v>0.505</v>
      </c>
    </row>
    <row r="17" customFormat="false" ht="15" hidden="false" customHeight="false" outlineLevel="0" collapsed="false">
      <c r="A17" s="7" t="s">
        <v>100</v>
      </c>
      <c r="B17" s="31" t="n">
        <f aca="false">Portafolios!E18</f>
        <v>5</v>
      </c>
      <c r="C17" s="32" t="n">
        <f aca="false">Portafolios!E21</f>
        <v>0.982704661545404</v>
      </c>
      <c r="D17" s="33" t="n">
        <f aca="false">Portafolios!E22</f>
        <v>4241.362685</v>
      </c>
      <c r="E17" s="33" t="n">
        <f aca="false">Portafolios!E23</f>
        <v>-52839.6310529748</v>
      </c>
      <c r="F17" s="33" t="n">
        <f aca="false">Portafolios!E24</f>
        <v>5585.68393045404</v>
      </c>
      <c r="G17" s="33" t="n">
        <f aca="false">Portafolios!E25</f>
        <v>44356.9056829748</v>
      </c>
      <c r="H17" s="34" t="n">
        <f aca="false">Portafolios!E26</f>
        <v>672.160622727022</v>
      </c>
      <c r="I17" s="35" t="n">
        <v>0.214</v>
      </c>
      <c r="J17" s="36" t="n">
        <v>67525</v>
      </c>
      <c r="K17" s="37" t="n">
        <f aca="false">IF(J17&gt;0,H17/J17,0)</f>
        <v>0.00995424839284742</v>
      </c>
      <c r="L17" s="36" t="n">
        <v>-109872</v>
      </c>
      <c r="M17" s="36" t="n">
        <v>112317</v>
      </c>
      <c r="N17" s="35" t="n">
        <v>0.508</v>
      </c>
    </row>
    <row r="18" customFormat="false" ht="15" hidden="false" customHeight="false" outlineLevel="0" collapsed="false">
      <c r="A18" s="7" t="s">
        <v>101</v>
      </c>
      <c r="B18" s="31" t="n">
        <f aca="false">Portafolios!F18</f>
        <v>5</v>
      </c>
      <c r="C18" s="32" t="n">
        <f aca="false">Portafolios!F21</f>
        <v>1.25313160615827</v>
      </c>
      <c r="D18" s="33" t="n">
        <f aca="false">Portafolios!F22</f>
        <v>5085.827595</v>
      </c>
      <c r="E18" s="33" t="n">
        <f aca="false">Portafolios!F23</f>
        <v>-67057.6778156952</v>
      </c>
      <c r="F18" s="33" t="n">
        <f aca="false">Portafolios!F24</f>
        <v>7445.48846658266</v>
      </c>
      <c r="G18" s="33" t="n">
        <f aca="false">Portafolios!F25</f>
        <v>56886.0226256952</v>
      </c>
      <c r="H18" s="34" t="n">
        <f aca="false">Portafolios!F26</f>
        <v>1179.83043579133</v>
      </c>
      <c r="I18" s="35" t="n">
        <v>0.2908</v>
      </c>
      <c r="J18" s="36" t="n">
        <v>91872</v>
      </c>
      <c r="K18" s="37" t="n">
        <f aca="false">IF(J18&gt;0,H18/J18,0)</f>
        <v>0.0128421111523786</v>
      </c>
      <c r="L18" s="36" t="n">
        <v>-150153</v>
      </c>
      <c r="M18" s="36" t="n">
        <v>151951</v>
      </c>
      <c r="N18" s="35" t="n">
        <v>0.506</v>
      </c>
    </row>
    <row r="19" customFormat="false" ht="15" hidden="false" customHeight="false" outlineLevel="0" collapsed="false">
      <c r="A19" s="7" t="s">
        <v>102</v>
      </c>
      <c r="B19" s="31" t="n">
        <f aca="false">Portafolios!G18</f>
        <v>7</v>
      </c>
      <c r="C19" s="32" t="n">
        <f aca="false">Portafolios!G21</f>
        <v>1.13806634787038</v>
      </c>
      <c r="D19" s="33" t="n">
        <f aca="false">Portafolios!G22</f>
        <v>3508.54299</v>
      </c>
      <c r="E19" s="33" t="n">
        <f aca="false">Portafolios!G23</f>
        <v>-59790.0036959949</v>
      </c>
      <c r="F19" s="33" t="n">
        <f aca="false">Portafolios!G24</f>
        <v>7872.12048870381</v>
      </c>
      <c r="G19" s="33" t="n">
        <f aca="false">Portafolios!G25</f>
        <v>52772.9177159949</v>
      </c>
      <c r="H19" s="34" t="n">
        <f aca="false">Portafolios!G26</f>
        <v>2181.7887493519</v>
      </c>
      <c r="I19" s="35" t="n">
        <v>0.2332</v>
      </c>
      <c r="J19" s="36" t="n">
        <v>73435</v>
      </c>
      <c r="K19" s="37" t="n">
        <f aca="false">IF(J19&gt;0,H19/J19,0)</f>
        <v>0.0297104752413958</v>
      </c>
      <c r="L19" s="36" t="n">
        <v>-118483</v>
      </c>
      <c r="M19" s="36" t="n">
        <v>122802</v>
      </c>
      <c r="N19" s="35" t="n">
        <v>0.511</v>
      </c>
    </row>
    <row r="20" customFormat="false" ht="15" hidden="false" customHeight="false" outlineLevel="0" collapsed="false">
      <c r="A20" s="38" t="s">
        <v>103</v>
      </c>
      <c r="B20" s="31" t="n">
        <f aca="false">Portafolios!H18</f>
        <v>5</v>
      </c>
      <c r="C20" s="32" t="n">
        <f aca="false">Portafolios!H21</f>
        <v>1.29434753389725</v>
      </c>
      <c r="D20" s="33" t="n">
        <f aca="false">Portafolios!H22</f>
        <v>3803.1414</v>
      </c>
      <c r="E20" s="33" t="n">
        <f aca="false">Portafolios!H23</f>
        <v>-67813.2670005476</v>
      </c>
      <c r="F20" s="33" t="n">
        <f aca="false">Portafolios!H24</f>
        <v>9140.3339389725</v>
      </c>
      <c r="G20" s="33" t="n">
        <f aca="false">Portafolios!H25</f>
        <v>60206.9842005476</v>
      </c>
      <c r="H20" s="34" t="n">
        <f aca="false">Portafolios!H26</f>
        <v>2668.59626948625</v>
      </c>
      <c r="I20" s="35" t="n">
        <v>0.2696</v>
      </c>
      <c r="J20" s="36" t="n">
        <v>84710</v>
      </c>
      <c r="K20" s="37" t="n">
        <f aca="false">IF(J20&gt;0,H20/J20,0)</f>
        <v>0.0315027301320535</v>
      </c>
      <c r="L20" s="36" t="n">
        <v>-137232</v>
      </c>
      <c r="M20" s="36" t="n">
        <v>142726</v>
      </c>
      <c r="N20" s="35" t="n">
        <v>0.511</v>
      </c>
    </row>
    <row r="22" customFormat="false" ht="15" hidden="false" customHeight="false" outlineLevel="0" collapsed="false">
      <c r="A22" s="20" t="s">
        <v>104</v>
      </c>
    </row>
    <row r="23" customFormat="false" ht="15" hidden="false" customHeight="false" outlineLevel="0" collapsed="false">
      <c r="A23" s="7" t="s">
        <v>105</v>
      </c>
      <c r="B23" s="38" t="str">
        <f aca="false">INDEX($A$16:$A$20,MATCH(MAX($K$16:$K$20),$K$16:$K$20,0))</f>
        <v>E Optimizado: ganancia máx.</v>
      </c>
    </row>
    <row r="24" customFormat="false" ht="15" hidden="false" customHeight="false" outlineLevel="0" collapsed="false">
      <c r="A24" s="39" t="s">
        <v>106</v>
      </c>
      <c r="B24" s="39" t="str">
        <f aca="false">INDEX($A$16:$A$20,MATCH(MAX(E$16:E$20),E$16:E$20,0))</f>
        <v>A Prudente</v>
      </c>
    </row>
    <row r="25" customFormat="false" ht="15" hidden="false" customHeight="false" outlineLevel="0" collapsed="false">
      <c r="A25" s="39" t="s">
        <v>107</v>
      </c>
      <c r="B25" s="39" t="str">
        <f aca="false">INDEX($A$16:$A$20,MATCH(MAX(F$16:F$20),F$16:F$20,0))</f>
        <v>E Optimizado: ganancia máx.</v>
      </c>
    </row>
    <row r="26" customFormat="false" ht="15" hidden="false" customHeight="false" outlineLevel="0" collapsed="false">
      <c r="A26" s="39" t="s">
        <v>108</v>
      </c>
      <c r="B26" s="39" t="str">
        <f aca="false">INDEX($A$16:$A$20,MATCH(MAX(G$16:G$20),G$16:G$20,0))</f>
        <v>E Optimizado: ganancia máx.</v>
      </c>
    </row>
    <row r="27" customFormat="false" ht="15" hidden="false" customHeight="false" outlineLevel="0" collapsed="false">
      <c r="A27" s="39" t="s">
        <v>109</v>
      </c>
      <c r="B27" s="39" t="str">
        <f aca="false">INDEX($A$16:$A$20,MATCH(MAX(H$16:H$20),H$16:H$20,0))</f>
        <v>E Optimizado: ganancia máx.</v>
      </c>
    </row>
    <row r="29" customFormat="false" ht="25.5" hidden="false" customHeight="true" outlineLevel="0" collapsed="false">
      <c r="A29" s="40" t="s">
        <v>110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</row>
    <row r="30" customFormat="false" ht="25.5" hidden="false" customHeight="true" outlineLevel="0" collapsed="false">
      <c r="A30" s="40" t="s">
        <v>111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</row>
    <row r="31" customFormat="false" ht="25.5" hidden="false" customHeight="true" outlineLevel="0" collapsed="false">
      <c r="A31" s="40" t="s">
        <v>112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</row>
    <row r="32" customFormat="false" ht="25.5" hidden="false" customHeight="true" outlineLevel="0" collapsed="false">
      <c r="A32" s="40" t="s">
        <v>113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</row>
    <row r="33" customFormat="false" ht="25.5" hidden="false" customHeight="true" outlineLevel="0" collapsed="false">
      <c r="A33" s="40" t="s">
        <v>114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</sheetData>
  <mergeCells count="5">
    <mergeCell ref="A29:N29"/>
    <mergeCell ref="A30:N30"/>
    <mergeCell ref="A31:N31"/>
    <mergeCell ref="A32:N32"/>
    <mergeCell ref="A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8" min="4" style="0" width="18"/>
  </cols>
  <sheetData>
    <row r="1" customFormat="false" ht="17.35" hidden="false" customHeight="false" outlineLevel="0" collapsed="false">
      <c r="A1" s="5" t="s">
        <v>115</v>
      </c>
    </row>
    <row r="2" customFormat="false" ht="15" hidden="false" customHeight="false" outlineLevel="0" collapsed="false">
      <c r="A2" s="25" t="s">
        <v>116</v>
      </c>
    </row>
    <row r="4" customFormat="false" ht="42" hidden="false" customHeight="true" outlineLevel="0" collapsed="false">
      <c r="A4" s="26" t="s">
        <v>32</v>
      </c>
      <c r="B4" s="26" t="s">
        <v>117</v>
      </c>
      <c r="C4" s="26" t="s">
        <v>118</v>
      </c>
      <c r="D4" s="26" t="s">
        <v>99</v>
      </c>
      <c r="E4" s="26" t="s">
        <v>100</v>
      </c>
      <c r="F4" s="26" t="s">
        <v>101</v>
      </c>
      <c r="G4" s="26" t="s">
        <v>102</v>
      </c>
      <c r="H4" s="26" t="s">
        <v>103</v>
      </c>
    </row>
    <row r="5" customFormat="false" ht="15" hidden="false" customHeight="false" outlineLevel="0" collapsed="false">
      <c r="A5" s="39" t="s">
        <v>119</v>
      </c>
      <c r="B5" s="32" t="n">
        <f aca="false">INDEX(Beta!$B$5:$B$148,MATCH($A5,Beta!$A$5:$A$148,0))</f>
        <v>0.574191279283089</v>
      </c>
      <c r="C5" s="41" t="n">
        <f aca="false">INDEX(Beta!$C$5:$C$148,MATCH($A5,Beta!$A$5:$A$148,0))</f>
        <v>0.0026365893</v>
      </c>
      <c r="D5" s="28" t="n">
        <v>0.2</v>
      </c>
      <c r="E5" s="28" t="n">
        <v>0.2</v>
      </c>
      <c r="F5" s="28" t="n">
        <v>0.1</v>
      </c>
      <c r="G5" s="28" t="n">
        <v>0.1</v>
      </c>
      <c r="H5" s="28" t="n">
        <v>0</v>
      </c>
    </row>
    <row r="6" customFormat="false" ht="15" hidden="false" customHeight="false" outlineLevel="0" collapsed="false">
      <c r="A6" s="39" t="s">
        <v>49</v>
      </c>
      <c r="B6" s="32" t="n">
        <f aca="false">INDEX(Beta!$B$5:$B$148,MATCH($A6,Beta!$A$5:$A$148,0))</f>
        <v>1.28344348462357</v>
      </c>
      <c r="C6" s="41" t="n">
        <f aca="false">INDEX(Beta!$C$5:$C$148,MATCH($A6,Beta!$A$5:$A$148,0))</f>
        <v>0.0024063595</v>
      </c>
      <c r="D6" s="28" t="n">
        <v>0.2</v>
      </c>
      <c r="E6" s="28" t="n">
        <v>0.2</v>
      </c>
      <c r="F6" s="28" t="n">
        <v>0.15</v>
      </c>
      <c r="G6" s="28" t="n">
        <v>0.15</v>
      </c>
      <c r="H6" s="28" t="n">
        <v>0.2</v>
      </c>
    </row>
    <row r="7" customFormat="false" ht="15" hidden="false" customHeight="false" outlineLevel="0" collapsed="false">
      <c r="A7" s="39" t="s">
        <v>120</v>
      </c>
      <c r="B7" s="32" t="n">
        <f aca="false">INDEX(Beta!$B$5:$B$148,MATCH($A7,Beta!$A$5:$A$148,0))</f>
        <v>0.348691864930576</v>
      </c>
      <c r="C7" s="41" t="n">
        <f aca="false">INDEX(Beta!$C$5:$C$148,MATCH($A7,Beta!$A$5:$A$148,0))</f>
        <v>0.0026278028</v>
      </c>
      <c r="D7" s="28" t="n">
        <v>0.2</v>
      </c>
      <c r="E7" s="28" t="n">
        <v>0</v>
      </c>
      <c r="F7" s="28" t="n">
        <v>0</v>
      </c>
      <c r="G7" s="28" t="n">
        <v>0</v>
      </c>
      <c r="H7" s="28" t="n">
        <v>0</v>
      </c>
    </row>
    <row r="8" customFormat="false" ht="15" hidden="false" customHeight="false" outlineLevel="0" collapsed="false">
      <c r="A8" s="39" t="s">
        <v>121</v>
      </c>
      <c r="B8" s="32" t="n">
        <f aca="false">INDEX(Beta!$B$5:$B$148,MATCH($A8,Beta!$A$5:$A$148,0))</f>
        <v>0.306784116415061</v>
      </c>
      <c r="C8" s="41" t="n">
        <f aca="false">INDEX(Beta!$C$5:$C$148,MATCH($A8,Beta!$A$5:$A$148,0))</f>
        <v>0.0026492181</v>
      </c>
      <c r="D8" s="28" t="n">
        <v>0.2</v>
      </c>
      <c r="E8" s="28" t="n">
        <v>0</v>
      </c>
      <c r="F8" s="28" t="n">
        <v>0</v>
      </c>
      <c r="G8" s="28" t="n">
        <v>0</v>
      </c>
      <c r="H8" s="28" t="n">
        <v>0</v>
      </c>
    </row>
    <row r="9" customFormat="false" ht="15" hidden="false" customHeight="false" outlineLevel="0" collapsed="false">
      <c r="A9" s="39" t="s">
        <v>122</v>
      </c>
      <c r="B9" s="32" t="n">
        <f aca="false">INDEX(Beta!$B$5:$B$148,MATCH($A9,Beta!$A$5:$A$148,0))</f>
        <v>0.793153749377906</v>
      </c>
      <c r="C9" s="41" t="n">
        <f aca="false">INDEX(Beta!$C$5:$C$148,MATCH($A9,Beta!$A$5:$A$148,0))</f>
        <v>0.0041517049</v>
      </c>
      <c r="D9" s="28" t="n">
        <v>0.2</v>
      </c>
      <c r="E9" s="28" t="n">
        <v>0.15</v>
      </c>
      <c r="F9" s="28" t="n">
        <v>0</v>
      </c>
      <c r="G9" s="28" t="n">
        <v>0</v>
      </c>
      <c r="H9" s="28" t="n">
        <v>0</v>
      </c>
    </row>
    <row r="10" customFormat="false" ht="15" hidden="false" customHeight="false" outlineLevel="0" collapsed="false">
      <c r="A10" s="39" t="s">
        <v>123</v>
      </c>
      <c r="B10" s="32" t="n">
        <f aca="false">INDEX(Beta!$B$5:$B$148,MATCH($A10,Beta!$A$5:$A$148,0))</f>
        <v>1.11777997426451</v>
      </c>
      <c r="C10" s="41" t="n">
        <f aca="false">INDEX(Beta!$C$5:$C$148,MATCH($A10,Beta!$A$5:$A$148,0))</f>
        <v>0.0067540614</v>
      </c>
      <c r="D10" s="28" t="n">
        <v>0</v>
      </c>
      <c r="E10" s="28" t="n">
        <v>0.3</v>
      </c>
      <c r="F10" s="28" t="n">
        <v>0.4</v>
      </c>
      <c r="G10" s="28" t="n">
        <v>0</v>
      </c>
      <c r="H10" s="28" t="n">
        <v>0</v>
      </c>
    </row>
    <row r="11" customFormat="false" ht="15" hidden="false" customHeight="false" outlineLevel="0" collapsed="false">
      <c r="A11" s="39" t="s">
        <v>47</v>
      </c>
      <c r="B11" s="32" t="n">
        <f aca="false">INDEX(Beta!$B$5:$B$148,MATCH($A11,Beta!$A$5:$A$148,0))</f>
        <v>1.04580436052022</v>
      </c>
      <c r="C11" s="41" t="n">
        <f aca="false">INDEX(Beta!$C$5:$C$148,MATCH($A11,Beta!$A$5:$A$148,0))</f>
        <v>0.0038919918</v>
      </c>
      <c r="D11" s="28" t="n">
        <v>0</v>
      </c>
      <c r="E11" s="28" t="n">
        <v>0.15</v>
      </c>
      <c r="F11" s="28" t="n">
        <v>0</v>
      </c>
      <c r="G11" s="28" t="n">
        <v>0.15</v>
      </c>
      <c r="H11" s="28" t="n">
        <v>0.2</v>
      </c>
    </row>
    <row r="12" customFormat="false" ht="15" hidden="false" customHeight="false" outlineLevel="0" collapsed="false">
      <c r="A12" s="39" t="s">
        <v>50</v>
      </c>
      <c r="B12" s="32" t="n">
        <f aca="false">INDEX(Beta!$B$5:$B$148,MATCH($A12,Beta!$A$5:$A$148,0))</f>
        <v>1.71601900023124</v>
      </c>
      <c r="C12" s="41" t="n">
        <f aca="false">INDEX(Beta!$C$5:$C$148,MATCH($A12,Beta!$A$5:$A$148,0))</f>
        <v>0.0057293415</v>
      </c>
      <c r="D12" s="28" t="n">
        <v>0</v>
      </c>
      <c r="E12" s="28" t="n">
        <v>0</v>
      </c>
      <c r="F12" s="28" t="n">
        <v>0.2</v>
      </c>
      <c r="G12" s="28" t="n">
        <v>0.15</v>
      </c>
      <c r="H12" s="28" t="n">
        <v>0.2</v>
      </c>
    </row>
    <row r="13" customFormat="false" ht="15" hidden="false" customHeight="false" outlineLevel="0" collapsed="false">
      <c r="A13" s="39" t="s">
        <v>51</v>
      </c>
      <c r="B13" s="32" t="n">
        <f aca="false">INDEX(Beta!$B$5:$B$148,MATCH($A13,Beta!$A$5:$A$148,0))</f>
        <v>1.41920110522912</v>
      </c>
      <c r="C13" s="41" t="n">
        <f aca="false">INDEX(Beta!$C$5:$C$148,MATCH($A13,Beta!$A$5:$A$148,0))</f>
        <v>0.0040914792</v>
      </c>
      <c r="D13" s="28" t="n">
        <v>0</v>
      </c>
      <c r="E13" s="28" t="n">
        <v>0</v>
      </c>
      <c r="F13" s="28" t="n">
        <v>0.15</v>
      </c>
      <c r="G13" s="28" t="n">
        <v>0.15</v>
      </c>
      <c r="H13" s="28" t="n">
        <v>0.2</v>
      </c>
    </row>
    <row r="14" customFormat="false" ht="15" hidden="false" customHeight="false" outlineLevel="0" collapsed="false">
      <c r="A14" s="39" t="s">
        <v>124</v>
      </c>
      <c r="B14" s="32" t="n">
        <f aca="false">INDEX(Beta!$B$5:$B$148,MATCH($A14,Beta!$A$5:$A$148,0))</f>
        <v>0.732577130127564</v>
      </c>
      <c r="C14" s="41" t="n">
        <f aca="false">INDEX(Beta!$C$5:$C$148,MATCH($A14,Beta!$A$5:$A$148,0))</f>
        <v>0.0026168534</v>
      </c>
      <c r="D14" s="28" t="n">
        <v>0</v>
      </c>
      <c r="E14" s="28" t="n">
        <v>0</v>
      </c>
      <c r="F14" s="28" t="n">
        <v>0</v>
      </c>
      <c r="G14" s="28" t="n">
        <v>0.15</v>
      </c>
      <c r="H14" s="28" t="n">
        <v>0</v>
      </c>
    </row>
    <row r="15" customFormat="false" ht="15" hidden="false" customHeight="false" outlineLevel="0" collapsed="false">
      <c r="A15" s="39" t="s">
        <v>48</v>
      </c>
      <c r="B15" s="32" t="n">
        <f aca="false">INDEX(Beta!$B$5:$B$148,MATCH($A15,Beta!$A$5:$A$148,0))</f>
        <v>1.00726971888209</v>
      </c>
      <c r="C15" s="41" t="n">
        <f aca="false">INDEX(Beta!$C$5:$C$148,MATCH($A15,Beta!$A$5:$A$148,0))</f>
        <v>0.002896535</v>
      </c>
      <c r="D15" s="28" t="n">
        <v>0</v>
      </c>
      <c r="E15" s="28" t="n">
        <v>0</v>
      </c>
      <c r="F15" s="28" t="n">
        <v>0</v>
      </c>
      <c r="G15" s="28" t="n">
        <v>0.15</v>
      </c>
      <c r="H15" s="28" t="n">
        <v>0.2</v>
      </c>
    </row>
    <row r="17" customFormat="false" ht="15" hidden="false" customHeight="false" outlineLevel="0" collapsed="false">
      <c r="A17" s="7" t="s">
        <v>53</v>
      </c>
      <c r="D17" s="42" t="n">
        <f aca="false">SUM(D$5:D$15)</f>
        <v>1</v>
      </c>
      <c r="E17" s="42" t="n">
        <f aca="false">SUM(E$5:E$15)</f>
        <v>1</v>
      </c>
      <c r="F17" s="42" t="n">
        <f aca="false">SUM(F$5:F$15)</f>
        <v>1</v>
      </c>
      <c r="G17" s="42" t="n">
        <f aca="false">SUM(G$5:G$15)</f>
        <v>1</v>
      </c>
      <c r="H17" s="42" t="n">
        <f aca="false">SUM(H$5:H$15)</f>
        <v>1</v>
      </c>
    </row>
    <row r="18" customFormat="false" ht="15" hidden="false" customHeight="false" outlineLevel="0" collapsed="false">
      <c r="A18" s="7" t="s">
        <v>54</v>
      </c>
      <c r="D18" s="22" t="n">
        <f aca="false">COUNTIF(D$5:D$15,"&gt;0")</f>
        <v>5</v>
      </c>
      <c r="E18" s="22" t="n">
        <f aca="false">COUNTIF(E$5:E$15,"&gt;0")</f>
        <v>5</v>
      </c>
      <c r="F18" s="22" t="n">
        <f aca="false">COUNTIF(F$5:F$15,"&gt;0")</f>
        <v>5</v>
      </c>
      <c r="G18" s="22" t="n">
        <f aca="false">COUNTIF(G$5:G$15,"&gt;0")</f>
        <v>7</v>
      </c>
      <c r="H18" s="22" t="n">
        <f aca="false">COUNTIF(H$5:H$15,"&gt;0")</f>
        <v>5</v>
      </c>
    </row>
    <row r="19" customFormat="false" ht="15" hidden="false" customHeight="false" outlineLevel="0" collapsed="false">
      <c r="A19" s="7" t="s">
        <v>125</v>
      </c>
      <c r="D19" s="42" t="n">
        <f aca="false">MAX(D$5:D$15)</f>
        <v>0.2</v>
      </c>
      <c r="E19" s="42" t="n">
        <f aca="false">MAX(E$5:E$15)</f>
        <v>0.3</v>
      </c>
      <c r="F19" s="42" t="n">
        <f aca="false">MAX(F$5:F$15)</f>
        <v>0.4</v>
      </c>
      <c r="G19" s="42" t="n">
        <f aca="false">MAX(G$5:G$15)</f>
        <v>0.15</v>
      </c>
      <c r="H19" s="42" t="n">
        <f aca="false">MAX(H$5:H$15)</f>
        <v>0.2</v>
      </c>
    </row>
    <row r="20" customFormat="false" ht="15" hidden="false" customHeight="false" outlineLevel="0" collapsed="false">
      <c r="A20" s="7" t="s">
        <v>126</v>
      </c>
      <c r="D20" s="43" t="str">
        <f aca="false">IF(AND(ABS(D17-1)&lt;0.0005,D18&gt;=5,D19&lt;=0.5),"OK","REVISAR")</f>
        <v>OK</v>
      </c>
      <c r="E20" s="43" t="str">
        <f aca="false">IF(AND(ABS(E17-1)&lt;0.0005,E18&gt;=5,E19&lt;=0.5),"OK","REVISAR")</f>
        <v>OK</v>
      </c>
      <c r="F20" s="43" t="str">
        <f aca="false">IF(AND(ABS(F17-1)&lt;0.0005,F18&gt;=5,F19&lt;=0.5),"OK","REVISAR")</f>
        <v>OK</v>
      </c>
      <c r="G20" s="43" t="str">
        <f aca="false">IF(AND(ABS(G17-1)&lt;0.0005,G18&gt;=5,G19&lt;=0.5),"OK","REVISAR")</f>
        <v>OK</v>
      </c>
      <c r="H20" s="43" t="str">
        <f aca="false">IF(AND(ABS(H17-1)&lt;0.0005,H18&gt;=5,H19&lt;=0.5),"OK","REVISAR")</f>
        <v>OK</v>
      </c>
    </row>
    <row r="21" customFormat="false" ht="15" hidden="false" customHeight="false" outlineLevel="0" collapsed="false">
      <c r="A21" s="7" t="s">
        <v>117</v>
      </c>
      <c r="D21" s="24" t="n">
        <f aca="false">SUMPRODUCT(D$5:D$15,$B$5:$B$15)</f>
        <v>0.661252898926041</v>
      </c>
      <c r="E21" s="24" t="n">
        <f aca="false">SUMPRODUCT(E$5:E$15,$B$5:$B$15)</f>
        <v>0.982704661545404</v>
      </c>
      <c r="F21" s="24" t="n">
        <f aca="false">SUMPRODUCT(F$5:F$15,$B$5:$B$15)</f>
        <v>1.25313160615827</v>
      </c>
      <c r="G21" s="24" t="n">
        <f aca="false">SUMPRODUCT(G$5:G$15,$B$5:$B$15)</f>
        <v>1.13806634787038</v>
      </c>
      <c r="H21" s="24" t="n">
        <f aca="false">SUMPRODUCT(H$5:H$15,$B$5:$B$15)</f>
        <v>1.29434753389725</v>
      </c>
    </row>
    <row r="22" customFormat="false" ht="15" hidden="false" customHeight="false" outlineLevel="0" collapsed="false">
      <c r="A22" s="7" t="s">
        <v>42</v>
      </c>
      <c r="D22" s="34" t="n">
        <f aca="false">SUMPRODUCT(D$5:D$15,$C$5:$C$15)*'Mi portafolio'!$C$4</f>
        <v>2894.33492</v>
      </c>
      <c r="E22" s="34" t="n">
        <f aca="false">SUMPRODUCT(E$5:E$15,$C$5:$C$15)*'Mi portafolio'!$C$4</f>
        <v>4241.362685</v>
      </c>
      <c r="F22" s="34" t="n">
        <f aca="false">SUMPRODUCT(F$5:F$15,$C$5:$C$15)*'Mi portafolio'!$C$4</f>
        <v>5085.827595</v>
      </c>
      <c r="G22" s="34" t="n">
        <f aca="false">SUMPRODUCT(G$5:G$15,$C$5:$C$15)*'Mi portafolio'!$C$4</f>
        <v>3508.54299</v>
      </c>
      <c r="H22" s="34" t="n">
        <f aca="false">SUMPRODUCT(H$5:H$15,$C$5:$C$15)*'Mi portafolio'!$C$4</f>
        <v>3803.1414</v>
      </c>
    </row>
    <row r="23" customFormat="false" ht="15" hidden="false" customHeight="false" outlineLevel="0" collapsed="false">
      <c r="A23" s="7" t="s">
        <v>127</v>
      </c>
      <c r="D23" s="34" t="n">
        <f aca="false">'Mi portafolio'!$C$4*D21*Pronóstico!$C$8-D22</f>
        <v>-35595.6612682156</v>
      </c>
      <c r="E23" s="34" t="n">
        <f aca="false">'Mi portafolio'!$C$4*E21*Pronóstico!$C$8-E22</f>
        <v>-52839.6310529748</v>
      </c>
      <c r="F23" s="34" t="n">
        <f aca="false">'Mi portafolio'!$C$4*F21*Pronóstico!$C$8-F22</f>
        <v>-67057.6778156952</v>
      </c>
      <c r="G23" s="34" t="n">
        <f aca="false">'Mi portafolio'!$C$4*G21*Pronóstico!$C$8-G22</f>
        <v>-59790.0036959949</v>
      </c>
      <c r="H23" s="34" t="n">
        <f aca="false">'Mi portafolio'!$C$4*H21*Pronóstico!$C$8-H22</f>
        <v>-67813.2670005476</v>
      </c>
    </row>
    <row r="24" customFormat="false" ht="15" hidden="false" customHeight="false" outlineLevel="0" collapsed="false">
      <c r="A24" s="7" t="s">
        <v>128</v>
      </c>
      <c r="D24" s="34" t="n">
        <f aca="false">'Mi portafolio'!$C$4*D21*Pronóstico!$C$9-D22</f>
        <v>3718.19406926041</v>
      </c>
      <c r="E24" s="34" t="n">
        <f aca="false">'Mi portafolio'!$C$4*E21*Pronóstico!$C$9-E22</f>
        <v>5585.68393045404</v>
      </c>
      <c r="F24" s="34" t="n">
        <f aca="false">'Mi portafolio'!$C$4*F21*Pronóstico!$C$9-F22</f>
        <v>7445.48846658266</v>
      </c>
      <c r="G24" s="34" t="n">
        <f aca="false">'Mi portafolio'!$C$4*G21*Pronóstico!$C$9-G22</f>
        <v>7872.12048870381</v>
      </c>
      <c r="H24" s="34" t="n">
        <f aca="false">'Mi portafolio'!$C$4*H21*Pronóstico!$C$9-H22</f>
        <v>9140.3339389725</v>
      </c>
    </row>
    <row r="25" customFormat="false" ht="15" hidden="false" customHeight="false" outlineLevel="0" collapsed="false">
      <c r="A25" s="7" t="s">
        <v>129</v>
      </c>
      <c r="D25" s="34" t="n">
        <f aca="false">'Mi portafolio'!$C$4*D21*Pronóstico!$C$10-D22</f>
        <v>29806.9914282156</v>
      </c>
      <c r="E25" s="34" t="n">
        <f aca="false">'Mi portafolio'!$C$4*E21*Pronóstico!$C$10-E22</f>
        <v>44356.9056829748</v>
      </c>
      <c r="F25" s="34" t="n">
        <f aca="false">'Mi portafolio'!$C$4*F21*Pronóstico!$C$10-F22</f>
        <v>56886.0226256952</v>
      </c>
      <c r="G25" s="34" t="n">
        <f aca="false">'Mi portafolio'!$C$4*G21*Pronóstico!$C$10-G22</f>
        <v>52772.9177159949</v>
      </c>
      <c r="H25" s="34" t="n">
        <f aca="false">'Mi portafolio'!$C$4*H21*Pronóstico!$C$10-H22</f>
        <v>60206.9842005476</v>
      </c>
    </row>
    <row r="26" customFormat="false" ht="15" hidden="false" customHeight="false" outlineLevel="0" collapsed="false">
      <c r="A26" s="7" t="s">
        <v>130</v>
      </c>
      <c r="D26" s="34" t="n">
        <f aca="false">Pronóstico!$B$8*D23+Pronóstico!$B$9*D24+Pronóstico!$B$10*D25</f>
        <v>411.929574630203</v>
      </c>
      <c r="E26" s="34" t="n">
        <f aca="false">Pronóstico!$B$8*E23+Pronóstico!$B$9*E24+Pronóstico!$B$10*E25</f>
        <v>672.160622727022</v>
      </c>
      <c r="F26" s="34" t="n">
        <f aca="false">Pronóstico!$B$8*F23+Pronóstico!$B$9*F24+Pronóstico!$B$10*F25</f>
        <v>1179.83043579133</v>
      </c>
      <c r="G26" s="34" t="n">
        <f aca="false">Pronóstico!$B$8*G23+Pronóstico!$B$9*G24+Pronóstico!$B$10*G25</f>
        <v>2181.7887493519</v>
      </c>
      <c r="H26" s="34" t="n">
        <f aca="false">Pronóstico!$B$8*H23+Pronóstico!$B$9*H24+Pronóstico!$B$10*H25</f>
        <v>2668.59626948625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7" min="5" style="0" width="11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4" min="11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7"/>
    <col collapsed="false" customWidth="true" hidden="false" outlineLevel="0" max="20" min="19" style="0" width="10"/>
    <col collapsed="false" customWidth="true" hidden="false" outlineLevel="0" max="21" min="21" style="0" width="17"/>
  </cols>
  <sheetData>
    <row r="1" customFormat="false" ht="18.75" hidden="false" customHeight="true" outlineLevel="0" collapsed="false">
      <c r="A1" s="5" t="s">
        <v>131</v>
      </c>
    </row>
    <row r="2" customFormat="false" ht="15" hidden="false" customHeight="false" outlineLevel="0" collapsed="false">
      <c r="A2" s="6" t="s">
        <v>132</v>
      </c>
    </row>
    <row r="4" customFormat="false" ht="49.5" hidden="false" customHeight="true" outlineLevel="0" collapsed="false">
      <c r="A4" s="11" t="s">
        <v>32</v>
      </c>
      <c r="B4" s="11" t="s">
        <v>34</v>
      </c>
      <c r="C4" s="11" t="s">
        <v>133</v>
      </c>
      <c r="D4" s="11" t="s">
        <v>134</v>
      </c>
      <c r="E4" s="11" t="s">
        <v>135</v>
      </c>
      <c r="F4" s="11" t="s">
        <v>136</v>
      </c>
      <c r="G4" s="11" t="s">
        <v>39</v>
      </c>
      <c r="H4" s="11" t="s">
        <v>137</v>
      </c>
      <c r="I4" s="11" t="s">
        <v>138</v>
      </c>
      <c r="J4" s="11" t="s">
        <v>40</v>
      </c>
      <c r="K4" s="11" t="s">
        <v>139</v>
      </c>
      <c r="L4" s="11" t="s">
        <v>140</v>
      </c>
      <c r="M4" s="11" t="s">
        <v>141</v>
      </c>
      <c r="N4" s="11" t="s">
        <v>142</v>
      </c>
      <c r="O4" s="11" t="s">
        <v>143</v>
      </c>
      <c r="P4" s="11" t="s">
        <v>144</v>
      </c>
      <c r="Q4" s="11" t="s">
        <v>145</v>
      </c>
      <c r="R4" s="11" t="s">
        <v>146</v>
      </c>
      <c r="S4" s="11" t="s">
        <v>147</v>
      </c>
      <c r="T4" s="11" t="s">
        <v>148</v>
      </c>
      <c r="U4" s="11" t="s">
        <v>35</v>
      </c>
    </row>
    <row r="5" customFormat="false" ht="15" hidden="false" customHeight="false" outlineLevel="0" collapsed="false">
      <c r="A5" s="44" t="s">
        <v>149</v>
      </c>
      <c r="B5" s="44" t="s">
        <v>150</v>
      </c>
      <c r="C5" s="45" t="n">
        <v>9246</v>
      </c>
      <c r="D5" s="46" t="n">
        <v>0.016</v>
      </c>
      <c r="E5" s="45" t="n">
        <v>9095.02</v>
      </c>
      <c r="F5" s="45" t="n">
        <v>9383.91</v>
      </c>
      <c r="G5" s="47" t="n">
        <v>0.0312669619</v>
      </c>
      <c r="H5" s="48" t="n">
        <v>4540</v>
      </c>
      <c r="I5" s="48" t="n">
        <v>4437</v>
      </c>
      <c r="J5" s="49" t="s">
        <v>151</v>
      </c>
      <c r="K5" s="46" t="n">
        <v>0.06339403</v>
      </c>
      <c r="L5" s="46" t="n">
        <v>0.0523102023</v>
      </c>
      <c r="M5" s="46" t="n">
        <v>0.0764010287</v>
      </c>
      <c r="N5" s="46" t="n">
        <v>-0.0107744692</v>
      </c>
      <c r="O5" s="46" t="n">
        <v>0.1652258613</v>
      </c>
      <c r="P5" s="46" t="n">
        <f aca="false">IF(O5="","",O5*SQRT(25/252))</f>
        <v>0.0520412546614585</v>
      </c>
      <c r="Q5" s="46" t="n">
        <v>-0.1440936693</v>
      </c>
      <c r="R5" s="50" t="n">
        <v>-0.0303193498</v>
      </c>
      <c r="S5" s="46" t="n">
        <v>0.171071266</v>
      </c>
      <c r="T5" s="46" t="n">
        <v>-0.1095524673</v>
      </c>
      <c r="U5" s="44" t="s">
        <v>152</v>
      </c>
    </row>
    <row r="6" customFormat="false" ht="15" hidden="false" customHeight="false" outlineLevel="0" collapsed="false">
      <c r="A6" s="44" t="s">
        <v>153</v>
      </c>
      <c r="B6" s="44" t="s">
        <v>154</v>
      </c>
      <c r="C6" s="45" t="n">
        <v>18.24</v>
      </c>
      <c r="D6" s="46" t="n">
        <v>-0.0108</v>
      </c>
      <c r="E6" s="45" t="n">
        <v>18.24</v>
      </c>
      <c r="F6" s="45" t="n">
        <v>18.25</v>
      </c>
      <c r="G6" s="47" t="n">
        <v>0.0005480954</v>
      </c>
      <c r="H6" s="48" t="n">
        <v>915</v>
      </c>
      <c r="I6" s="48" t="n">
        <v>558</v>
      </c>
      <c r="J6" s="49" t="s">
        <v>151</v>
      </c>
      <c r="K6" s="46" t="n">
        <v>0.0029476092</v>
      </c>
      <c r="L6" s="46" t="n">
        <v>0.1314987612</v>
      </c>
      <c r="M6" s="46" t="n">
        <v>0.1683954817</v>
      </c>
      <c r="N6" s="46" t="n">
        <v>0.2239174734</v>
      </c>
      <c r="O6" s="46" t="n">
        <v>0.178186504</v>
      </c>
      <c r="P6" s="46" t="n">
        <f aca="false">IF(O6="","",O6*SQRT(25/252))</f>
        <v>0.0561234734014305</v>
      </c>
      <c r="Q6" s="46" t="n">
        <v>-0.0762762346</v>
      </c>
      <c r="R6" s="50" t="n">
        <v>0.2859237613</v>
      </c>
      <c r="S6" s="46" t="n">
        <v>0.3441848467</v>
      </c>
      <c r="T6" s="46" t="n">
        <v>-0.2852806055</v>
      </c>
      <c r="U6" s="44" t="s">
        <v>152</v>
      </c>
    </row>
    <row r="7" customFormat="false" ht="15" hidden="false" customHeight="false" outlineLevel="0" collapsed="false">
      <c r="A7" s="44" t="s">
        <v>155</v>
      </c>
      <c r="B7" s="44" t="s">
        <v>154</v>
      </c>
      <c r="C7" s="45" t="n">
        <v>102.53</v>
      </c>
      <c r="D7" s="46" t="n">
        <v>-0.015</v>
      </c>
      <c r="E7" s="45" t="n">
        <v>102.32</v>
      </c>
      <c r="F7" s="45" t="n">
        <v>102.53</v>
      </c>
      <c r="G7" s="47" t="n">
        <v>0.0020502807</v>
      </c>
      <c r="H7" s="48" t="n">
        <v>90</v>
      </c>
      <c r="I7" s="48" t="n">
        <v>322</v>
      </c>
      <c r="J7" s="49" t="s">
        <v>151</v>
      </c>
      <c r="K7" s="46" t="n">
        <v>0.0394386445</v>
      </c>
      <c r="L7" s="46" t="n">
        <v>0.0310702994</v>
      </c>
      <c r="M7" s="46" t="n">
        <v>-0.0217140961</v>
      </c>
      <c r="N7" s="46" t="n">
        <v>0.1935137953</v>
      </c>
      <c r="O7" s="46" t="n">
        <v>0.1953086221</v>
      </c>
      <c r="P7" s="46" t="n">
        <f aca="false">IF(O7="","",O7*SQRT(25/252))</f>
        <v>0.0615164336884873</v>
      </c>
      <c r="Q7" s="46" t="n">
        <v>-0.0931632672</v>
      </c>
      <c r="R7" s="50" t="n">
        <v>0.1767399675</v>
      </c>
      <c r="S7" s="46" t="n">
        <v>0.2448494327</v>
      </c>
      <c r="T7" s="46" t="n">
        <v>-0.17019387</v>
      </c>
      <c r="U7" s="44" t="s">
        <v>152</v>
      </c>
    </row>
    <row r="8" customFormat="false" ht="15" hidden="false" customHeight="false" outlineLevel="0" collapsed="false">
      <c r="A8" s="44" t="s">
        <v>156</v>
      </c>
      <c r="B8" s="44" t="s">
        <v>154</v>
      </c>
      <c r="C8" s="45" t="n">
        <v>236.65</v>
      </c>
      <c r="D8" s="46" t="n">
        <v>-0.0035</v>
      </c>
      <c r="E8" s="45" t="n">
        <v>236.41</v>
      </c>
      <c r="F8" s="45" t="n">
        <v>236.52</v>
      </c>
      <c r="G8" s="47" t="n">
        <v>0.0004651851</v>
      </c>
      <c r="H8" s="48" t="n">
        <v>28</v>
      </c>
      <c r="I8" s="48" t="n">
        <v>126</v>
      </c>
      <c r="J8" s="49" t="s">
        <v>151</v>
      </c>
      <c r="K8" s="46" t="n">
        <v>0.0001089388</v>
      </c>
      <c r="L8" s="46" t="n">
        <v>-0.1573342579</v>
      </c>
      <c r="M8" s="46" t="n">
        <v>-0.2227506903</v>
      </c>
      <c r="N8" s="46" t="n">
        <v>-0.2691434501</v>
      </c>
      <c r="O8" s="46" t="n">
        <v>0.2000121799</v>
      </c>
      <c r="P8" s="46" t="n">
        <f aca="false">IF(O8="","",O8*SQRT(25/252))</f>
        <v>0.0629979151427752</v>
      </c>
      <c r="Q8" s="46" t="n">
        <v>-0.3406871443</v>
      </c>
      <c r="R8" s="50" t="n">
        <v>0.4393856663</v>
      </c>
      <c r="S8" s="46" t="n">
        <v>0.1826648747</v>
      </c>
      <c r="T8" s="46" t="n">
        <v>-0.1294000117</v>
      </c>
      <c r="U8" s="44" t="s">
        <v>152</v>
      </c>
    </row>
    <row r="9" customFormat="false" ht="15" hidden="false" customHeight="false" outlineLevel="0" collapsed="false">
      <c r="A9" s="44" t="s">
        <v>157</v>
      </c>
      <c r="B9" s="44" t="s">
        <v>150</v>
      </c>
      <c r="C9" s="45" t="n">
        <v>1576</v>
      </c>
      <c r="D9" s="46" t="n">
        <v>0.0194</v>
      </c>
      <c r="E9" s="45" t="n">
        <v>1557.06</v>
      </c>
      <c r="F9" s="45" t="n">
        <v>1593.98</v>
      </c>
      <c r="G9" s="47" t="n">
        <v>0.0234335331</v>
      </c>
      <c r="H9" s="48" t="n">
        <v>10809</v>
      </c>
      <c r="I9" s="48" t="n">
        <v>7200</v>
      </c>
      <c r="J9" s="49" t="s">
        <v>151</v>
      </c>
      <c r="K9" s="46" t="n">
        <v>0.0613592369</v>
      </c>
      <c r="L9" s="46" t="n">
        <v>0.0730934303</v>
      </c>
      <c r="M9" s="46" t="n">
        <v>0.1594458774</v>
      </c>
      <c r="N9" s="46" t="n">
        <v>0.3092241039</v>
      </c>
      <c r="O9" s="46" t="n">
        <v>0.2018149132</v>
      </c>
      <c r="P9" s="46" t="n">
        <f aca="false">IF(O9="","",O9*SQRT(25/252))</f>
        <v>0.0635657227608674</v>
      </c>
      <c r="Q9" s="46" t="n">
        <v>-0.0891335033</v>
      </c>
      <c r="R9" s="50" t="n">
        <v>0.0007845787</v>
      </c>
      <c r="S9" s="46" t="n">
        <v>0.1893118235</v>
      </c>
      <c r="T9" s="46" t="n">
        <v>-0.0886201881</v>
      </c>
      <c r="U9" s="44" t="s">
        <v>152</v>
      </c>
    </row>
    <row r="10" customFormat="false" ht="15" hidden="false" customHeight="false" outlineLevel="0" collapsed="false">
      <c r="A10" s="44" t="s">
        <v>158</v>
      </c>
      <c r="B10" s="44" t="s">
        <v>154</v>
      </c>
      <c r="C10" s="45" t="n">
        <v>44.5</v>
      </c>
      <c r="D10" s="46" t="n">
        <v>-0.0069</v>
      </c>
      <c r="E10" s="45" t="n">
        <v>44.5</v>
      </c>
      <c r="F10" s="45" t="n">
        <v>44.64</v>
      </c>
      <c r="G10" s="47" t="n">
        <v>0.0031411263</v>
      </c>
      <c r="H10" s="48" t="n">
        <v>800</v>
      </c>
      <c r="I10" s="48" t="n">
        <v>704</v>
      </c>
      <c r="J10" s="49" t="s">
        <v>151</v>
      </c>
      <c r="K10" s="46" t="n">
        <v>0.0481922284</v>
      </c>
      <c r="L10" s="46" t="n">
        <v>0.0041764689</v>
      </c>
      <c r="M10" s="46" t="n">
        <v>0.1030516334</v>
      </c>
      <c r="N10" s="46" t="n">
        <v>0.5195636155</v>
      </c>
      <c r="O10" s="46" t="n">
        <v>0.205518782</v>
      </c>
      <c r="P10" s="46" t="n">
        <f aca="false">IF(O10="","",O10*SQRT(25/252))</f>
        <v>0.0647323317767736</v>
      </c>
      <c r="Q10" s="46" t="n">
        <v>-0.0978210906</v>
      </c>
      <c r="R10" s="50" t="n">
        <v>0.2552510894</v>
      </c>
      <c r="S10" s="46" t="n">
        <v>0.2385197591</v>
      </c>
      <c r="T10" s="46" t="n">
        <v>-0.1247443501</v>
      </c>
      <c r="U10" s="44" t="s">
        <v>152</v>
      </c>
    </row>
    <row r="11" customFormat="false" ht="15" hidden="false" customHeight="false" outlineLevel="0" collapsed="false">
      <c r="A11" s="44" t="s">
        <v>159</v>
      </c>
      <c r="B11" s="44" t="s">
        <v>154</v>
      </c>
      <c r="C11" s="45" t="n">
        <v>61.43</v>
      </c>
      <c r="D11" s="46" t="n">
        <v>0.0119</v>
      </c>
      <c r="E11" s="45" t="n">
        <v>61.42</v>
      </c>
      <c r="F11" s="45" t="n">
        <v>61.43</v>
      </c>
      <c r="G11" s="47" t="n">
        <v>0.0001628002</v>
      </c>
      <c r="H11" s="48" t="n">
        <v>2852</v>
      </c>
      <c r="I11" s="48" t="n">
        <v>259</v>
      </c>
      <c r="J11" s="49" t="s">
        <v>151</v>
      </c>
      <c r="K11" s="46" t="n">
        <v>0.062889764</v>
      </c>
      <c r="L11" s="46" t="n">
        <v>0.0228422304</v>
      </c>
      <c r="M11" s="46" t="n">
        <v>-0.0011032095</v>
      </c>
      <c r="N11" s="46" t="n">
        <v>0.2533704547</v>
      </c>
      <c r="O11" s="46" t="n">
        <v>0.2061212759</v>
      </c>
      <c r="P11" s="46" t="n">
        <f aca="false">IF(O11="","",O11*SQRT(25/252))</f>
        <v>0.0649220995179442</v>
      </c>
      <c r="Q11" s="46" t="n">
        <v>-0.1097307072</v>
      </c>
      <c r="R11" s="50" t="n">
        <v>0.5030333981</v>
      </c>
      <c r="S11" s="46" t="n">
        <v>0.2370715224</v>
      </c>
      <c r="T11" s="46" t="n">
        <v>-0.1553719546</v>
      </c>
      <c r="U11" s="44" t="s">
        <v>152</v>
      </c>
    </row>
    <row r="12" customFormat="false" ht="15" hidden="false" customHeight="false" outlineLevel="0" collapsed="false">
      <c r="A12" s="44" t="s">
        <v>160</v>
      </c>
      <c r="B12" s="44" t="s">
        <v>150</v>
      </c>
      <c r="C12" s="45" t="n">
        <v>4226.01</v>
      </c>
      <c r="D12" s="46" t="n">
        <v>0.0183</v>
      </c>
      <c r="E12" s="45" t="n">
        <v>4247.15</v>
      </c>
      <c r="F12" s="45" t="n">
        <v>4349.19</v>
      </c>
      <c r="G12" s="47" t="n">
        <v>0.023740336</v>
      </c>
      <c r="H12" s="48" t="n">
        <v>4000</v>
      </c>
      <c r="I12" s="48" t="n">
        <v>4100</v>
      </c>
      <c r="J12" s="49" t="s">
        <v>151</v>
      </c>
      <c r="K12" s="46" t="n">
        <v>-0.0171288322</v>
      </c>
      <c r="L12" s="46" t="n">
        <v>-0.1190136656</v>
      </c>
      <c r="M12" s="46" t="n">
        <v>-0.2090415824</v>
      </c>
      <c r="N12" s="46" t="n">
        <v>-0.204748196</v>
      </c>
      <c r="O12" s="46" t="n">
        <v>0.2080527022</v>
      </c>
      <c r="P12" s="46" t="n">
        <f aca="false">IF(O12="","",O12*SQRT(25/252))</f>
        <v>0.0655304416209739</v>
      </c>
      <c r="Q12" s="46" t="n">
        <v>-0.2982146126</v>
      </c>
      <c r="R12" s="50" t="n">
        <v>0.1034177803</v>
      </c>
      <c r="S12" s="46" t="n">
        <v>0.2332054331</v>
      </c>
      <c r="T12" s="46" t="n">
        <v>-0.146516937</v>
      </c>
      <c r="U12" s="44" t="s">
        <v>152</v>
      </c>
    </row>
    <row r="13" customFormat="false" ht="15" hidden="false" customHeight="false" outlineLevel="0" collapsed="false">
      <c r="A13" s="44" t="s">
        <v>161</v>
      </c>
      <c r="B13" s="44" t="s">
        <v>150</v>
      </c>
      <c r="C13" s="45" t="n">
        <v>4542</v>
      </c>
      <c r="D13" s="46" t="n">
        <v>-0.0259</v>
      </c>
      <c r="E13" s="45" t="n">
        <v>4501.21</v>
      </c>
      <c r="F13" s="45" t="n">
        <v>4649.99</v>
      </c>
      <c r="G13" s="47" t="n">
        <v>0.0325159542</v>
      </c>
      <c r="H13" s="48" t="n">
        <v>400</v>
      </c>
      <c r="I13" s="48" t="n">
        <v>400</v>
      </c>
      <c r="J13" s="49" t="s">
        <v>151</v>
      </c>
      <c r="K13" s="46" t="n">
        <v>0.0053354318</v>
      </c>
      <c r="L13" s="46" t="n">
        <v>0.0123788527</v>
      </c>
      <c r="M13" s="46" t="n">
        <v>0.0900258442</v>
      </c>
      <c r="N13" s="46" t="n">
        <v>0.3403495019</v>
      </c>
      <c r="O13" s="46" t="n">
        <v>0.208272195</v>
      </c>
      <c r="P13" s="46" t="n">
        <f aca="false">IF(O13="","",O13*SQRT(25/252))</f>
        <v>0.0655995753547083</v>
      </c>
      <c r="Q13" s="46" t="n">
        <v>-0.1403268595</v>
      </c>
      <c r="R13" s="50" t="n">
        <v>0.0736923443</v>
      </c>
      <c r="S13" s="46" t="n">
        <v>0.1909958829</v>
      </c>
      <c r="T13" s="46" t="n">
        <v>-0.1217060356</v>
      </c>
      <c r="U13" s="44" t="s">
        <v>152</v>
      </c>
    </row>
    <row r="14" customFormat="false" ht="15" hidden="false" customHeight="false" outlineLevel="0" collapsed="false">
      <c r="A14" s="44" t="s">
        <v>162</v>
      </c>
      <c r="B14" s="44" t="s">
        <v>150</v>
      </c>
      <c r="C14" s="45" t="n">
        <v>2710</v>
      </c>
      <c r="D14" s="46" t="n">
        <v>0.0175</v>
      </c>
      <c r="E14" s="45" t="n">
        <v>2696.01</v>
      </c>
      <c r="F14" s="45" t="n">
        <v>2749.99</v>
      </c>
      <c r="G14" s="47" t="n">
        <v>0.0198237238</v>
      </c>
      <c r="H14" s="48" t="n">
        <v>1805</v>
      </c>
      <c r="I14" s="48" t="n">
        <v>1500</v>
      </c>
      <c r="J14" s="49" t="s">
        <v>151</v>
      </c>
      <c r="K14" s="46" t="n">
        <v>0.10846619</v>
      </c>
      <c r="L14" s="46" t="n">
        <v>0.0445078636</v>
      </c>
      <c r="M14" s="46" t="n">
        <v>0.0606514607</v>
      </c>
      <c r="N14" s="46" t="n">
        <v>-0.0160722043</v>
      </c>
      <c r="O14" s="46" t="n">
        <v>0.2083317927</v>
      </c>
      <c r="P14" s="46" t="n">
        <f aca="false">IF(O14="","",O14*SQRT(25/252))</f>
        <v>0.0656183468657692</v>
      </c>
      <c r="Q14" s="46" t="n">
        <v>-0.1505470282</v>
      </c>
      <c r="R14" s="50" t="n">
        <v>0.1286229742</v>
      </c>
      <c r="S14" s="46" t="n">
        <v>0.1611131062</v>
      </c>
      <c r="T14" s="46" t="n">
        <v>-0.1134013428</v>
      </c>
      <c r="U14" s="44" t="s">
        <v>152</v>
      </c>
    </row>
    <row r="15" customFormat="false" ht="15" hidden="false" customHeight="false" outlineLevel="0" collapsed="false">
      <c r="A15" s="44" t="s">
        <v>163</v>
      </c>
      <c r="B15" s="44" t="s">
        <v>154</v>
      </c>
      <c r="C15" s="45" t="n">
        <v>46.73</v>
      </c>
      <c r="D15" s="46" t="n">
        <v>0.0009</v>
      </c>
      <c r="E15" s="45" t="n">
        <v>46.72</v>
      </c>
      <c r="F15" s="45" t="n">
        <v>46.74</v>
      </c>
      <c r="G15" s="47" t="n">
        <v>0.0004279906</v>
      </c>
      <c r="H15" s="48" t="n">
        <v>2268</v>
      </c>
      <c r="I15" s="48" t="n">
        <v>901</v>
      </c>
      <c r="J15" s="49" t="s">
        <v>151</v>
      </c>
      <c r="K15" s="46" t="n">
        <v>0.0092732438</v>
      </c>
      <c r="L15" s="46" t="n">
        <v>-0.0509024958</v>
      </c>
      <c r="M15" s="46" t="n">
        <v>-0.1901713359</v>
      </c>
      <c r="N15" s="46" t="n">
        <v>-0.1188245985</v>
      </c>
      <c r="O15" s="46" t="n">
        <v>0.2133445861</v>
      </c>
      <c r="P15" s="46" t="n">
        <f aca="false">IF(O15="","",O15*SQRT(25/252))</f>
        <v>0.0671972283788818</v>
      </c>
      <c r="Q15" s="46" t="n">
        <v>-0.271392851</v>
      </c>
      <c r="R15" s="50" t="n">
        <v>0.5497031732</v>
      </c>
      <c r="S15" s="46" t="n">
        <v>0.1982237425</v>
      </c>
      <c r="T15" s="46" t="n">
        <v>-0.1722791959</v>
      </c>
      <c r="U15" s="44" t="s">
        <v>152</v>
      </c>
    </row>
    <row r="16" customFormat="false" ht="15" hidden="false" customHeight="false" outlineLevel="0" collapsed="false">
      <c r="A16" s="44" t="s">
        <v>164</v>
      </c>
      <c r="B16" s="44" t="s">
        <v>150</v>
      </c>
      <c r="C16" s="45" t="n">
        <v>152.73</v>
      </c>
      <c r="D16" s="46" t="n">
        <v>-0.0018</v>
      </c>
      <c r="E16" s="45" t="n">
        <v>153.49</v>
      </c>
      <c r="F16" s="45" t="n">
        <v>154.49</v>
      </c>
      <c r="G16" s="47" t="n">
        <v>0.0064939282</v>
      </c>
      <c r="H16" s="48" t="n">
        <v>3</v>
      </c>
      <c r="I16" s="48" t="n">
        <v>94400</v>
      </c>
      <c r="J16" s="49" t="s">
        <v>151</v>
      </c>
      <c r="K16" s="46" t="n">
        <v>-0.132597026</v>
      </c>
      <c r="L16" s="46" t="n">
        <v>-0.19260039</v>
      </c>
      <c r="M16" s="46" t="n">
        <v>-0.1087275017</v>
      </c>
      <c r="N16" s="46" t="n">
        <v>-0.0482114607</v>
      </c>
      <c r="O16" s="46" t="n">
        <v>0.2183508167</v>
      </c>
      <c r="P16" s="46" t="n">
        <f aca="false">IF(O16="","",O16*SQRT(25/252))</f>
        <v>0.0687740428042916</v>
      </c>
      <c r="Q16" s="46" t="n">
        <v>-0.2071161948</v>
      </c>
      <c r="R16" s="50" t="n">
        <v>0.4778841677</v>
      </c>
      <c r="S16" s="46" t="n">
        <v>0.2680354662</v>
      </c>
      <c r="T16" s="46" t="n">
        <v>-0.1996851596</v>
      </c>
      <c r="U16" s="44" t="s">
        <v>152</v>
      </c>
    </row>
    <row r="17" customFormat="false" ht="15" hidden="false" customHeight="false" outlineLevel="0" collapsed="false">
      <c r="A17" s="44" t="s">
        <v>165</v>
      </c>
      <c r="B17" s="44" t="s">
        <v>150</v>
      </c>
      <c r="C17" s="45" t="n">
        <v>501.99</v>
      </c>
      <c r="D17" s="46" t="n">
        <v>-0.004</v>
      </c>
      <c r="E17" s="45" t="n">
        <v>494.96</v>
      </c>
      <c r="F17" s="45" t="n">
        <v>500.99</v>
      </c>
      <c r="G17" s="47" t="n">
        <v>0.0121090416</v>
      </c>
      <c r="H17" s="48" t="n">
        <v>21300</v>
      </c>
      <c r="I17" s="48" t="n">
        <v>7100</v>
      </c>
      <c r="J17" s="49" t="s">
        <v>151</v>
      </c>
      <c r="K17" s="46" t="n">
        <v>0.0532776805</v>
      </c>
      <c r="L17" s="46" t="n">
        <v>0.1876370262</v>
      </c>
      <c r="M17" s="46" t="n">
        <v>0.0776103198</v>
      </c>
      <c r="N17" s="46" t="n">
        <v>0.099129134</v>
      </c>
      <c r="O17" s="46" t="n">
        <v>0.2211669168</v>
      </c>
      <c r="P17" s="46" t="n">
        <f aca="false">IF(O17="","",O17*SQRT(25/252))</f>
        <v>0.069661030962823</v>
      </c>
      <c r="Q17" s="46" t="n">
        <v>-0.1747243547</v>
      </c>
      <c r="R17" s="50" t="n">
        <v>0.1566197364</v>
      </c>
      <c r="S17" s="46" t="n">
        <v>0.2258725334</v>
      </c>
      <c r="T17" s="46" t="n">
        <v>-0.1800022939</v>
      </c>
      <c r="U17" s="44" t="s">
        <v>152</v>
      </c>
    </row>
    <row r="18" customFormat="false" ht="15" hidden="false" customHeight="false" outlineLevel="0" collapsed="false">
      <c r="A18" s="44" t="s">
        <v>120</v>
      </c>
      <c r="B18" s="44" t="s">
        <v>154</v>
      </c>
      <c r="C18" s="45" t="n">
        <v>194.9</v>
      </c>
      <c r="D18" s="46" t="n">
        <v>0.0041</v>
      </c>
      <c r="E18" s="45" t="n">
        <v>194.9</v>
      </c>
      <c r="F18" s="45" t="n">
        <v>194.96</v>
      </c>
      <c r="G18" s="47" t="n">
        <v>0.0003078028</v>
      </c>
      <c r="H18" s="48" t="n">
        <v>693</v>
      </c>
      <c r="I18" s="48" t="n">
        <v>1700</v>
      </c>
      <c r="J18" s="49" t="s">
        <v>151</v>
      </c>
      <c r="K18" s="46" t="n">
        <v>0.0176041921</v>
      </c>
      <c r="L18" s="46" t="n">
        <v>7.86509E-005</v>
      </c>
      <c r="M18" s="46" t="n">
        <v>-0.0739059882</v>
      </c>
      <c r="N18" s="46" t="n">
        <v>0.0746898115</v>
      </c>
      <c r="O18" s="46" t="n">
        <v>0.2223955067</v>
      </c>
      <c r="P18" s="46" t="n">
        <f aca="false">IF(O18="","",O18*SQRT(25/252))</f>
        <v>0.0700480004079046</v>
      </c>
      <c r="Q18" s="46" t="n">
        <v>-0.1678861097</v>
      </c>
      <c r="R18" s="50" t="n">
        <v>0.7501443962</v>
      </c>
      <c r="S18" s="46" t="n">
        <v>0.2021920311</v>
      </c>
      <c r="T18" s="46" t="n">
        <v>-0.0990838926</v>
      </c>
      <c r="U18" s="44" t="s">
        <v>152</v>
      </c>
    </row>
    <row r="19" customFormat="false" ht="15" hidden="false" customHeight="false" outlineLevel="0" collapsed="false">
      <c r="A19" s="44" t="s">
        <v>166</v>
      </c>
      <c r="B19" s="44" t="s">
        <v>150</v>
      </c>
      <c r="C19" s="45" t="n">
        <v>17215</v>
      </c>
      <c r="D19" s="46" t="n">
        <v>0.0168</v>
      </c>
      <c r="E19" s="45" t="n">
        <v>17050.01</v>
      </c>
      <c r="F19" s="45" t="n">
        <v>17256.99</v>
      </c>
      <c r="G19" s="47" t="n">
        <v>0.0120663421</v>
      </c>
      <c r="H19" s="48" t="n">
        <v>4820</v>
      </c>
      <c r="I19" s="48" t="n">
        <v>4520</v>
      </c>
      <c r="J19" s="49" t="s">
        <v>151</v>
      </c>
      <c r="K19" s="46" t="n">
        <v>0.1139689675</v>
      </c>
      <c r="L19" s="46" t="n">
        <v>0.0597362921</v>
      </c>
      <c r="M19" s="46" t="n">
        <v>-0.0528290053</v>
      </c>
      <c r="N19" s="46" t="n">
        <v>0.0194478522</v>
      </c>
      <c r="O19" s="46" t="n">
        <v>0.223219479</v>
      </c>
      <c r="P19" s="46" t="n">
        <f aca="false">IF(O19="","",O19*SQRT(25/252))</f>
        <v>0.0703075272880244</v>
      </c>
      <c r="Q19" s="46" t="n">
        <v>-0.1923637736</v>
      </c>
      <c r="R19" s="50" t="n">
        <v>0.0959428466</v>
      </c>
      <c r="S19" s="46" t="n">
        <v>0.2408213509</v>
      </c>
      <c r="T19" s="46" t="n">
        <v>-0.1808031353</v>
      </c>
      <c r="U19" s="44" t="s">
        <v>152</v>
      </c>
    </row>
    <row r="20" customFormat="false" ht="15" hidden="false" customHeight="false" outlineLevel="0" collapsed="false">
      <c r="A20" s="44" t="s">
        <v>167</v>
      </c>
      <c r="B20" s="44" t="s">
        <v>154</v>
      </c>
      <c r="C20" s="45" t="n">
        <v>21.55</v>
      </c>
      <c r="D20" s="46" t="n">
        <v>0.0019</v>
      </c>
      <c r="E20" s="45" t="n">
        <v>21.51</v>
      </c>
      <c r="F20" s="45" t="n">
        <v>21.55</v>
      </c>
      <c r="G20" s="47" t="n">
        <v>0.0018578727</v>
      </c>
      <c r="H20" s="48" t="n">
        <v>247</v>
      </c>
      <c r="I20" s="48" t="n">
        <v>5153</v>
      </c>
      <c r="J20" s="49" t="s">
        <v>151</v>
      </c>
      <c r="K20" s="46" t="n">
        <v>-0.0083660883</v>
      </c>
      <c r="L20" s="46" t="n">
        <v>-0.0065382537</v>
      </c>
      <c r="M20" s="46" t="n">
        <v>0.0182770842</v>
      </c>
      <c r="N20" s="46" t="n">
        <v>0.1344033552</v>
      </c>
      <c r="O20" s="46" t="n">
        <v>0.2257680699</v>
      </c>
      <c r="P20" s="46" t="n">
        <f aca="false">IF(O20="","",O20*SQRT(25/252))</f>
        <v>0.0711102579683866</v>
      </c>
      <c r="Q20" s="46" t="n">
        <v>-0.0732159792</v>
      </c>
      <c r="R20" s="50" t="n">
        <v>0.1214182877</v>
      </c>
      <c r="S20" s="46" t="n">
        <v>0.1410255623</v>
      </c>
      <c r="T20" s="46" t="n">
        <v>-0.0561223819</v>
      </c>
      <c r="U20" s="44" t="s">
        <v>152</v>
      </c>
    </row>
    <row r="21" customFormat="false" ht="15" hidden="false" customHeight="false" outlineLevel="0" collapsed="false">
      <c r="A21" s="44" t="s">
        <v>168</v>
      </c>
      <c r="B21" s="44" t="s">
        <v>150</v>
      </c>
      <c r="C21" s="45" t="n">
        <v>2274</v>
      </c>
      <c r="D21" s="46" t="n">
        <v>0.0225</v>
      </c>
      <c r="E21" s="45" t="n">
        <v>2270.01</v>
      </c>
      <c r="F21" s="45" t="n">
        <v>2275.34</v>
      </c>
      <c r="G21" s="47" t="n">
        <v>0.0023452539</v>
      </c>
      <c r="H21" s="48" t="n">
        <v>2906</v>
      </c>
      <c r="I21" s="48" t="n">
        <v>2</v>
      </c>
      <c r="J21" s="49" t="s">
        <v>151</v>
      </c>
      <c r="K21" s="46" t="n">
        <v>-0.0276473441</v>
      </c>
      <c r="L21" s="46" t="n">
        <v>-0.0572308256</v>
      </c>
      <c r="M21" s="46" t="n">
        <v>-0.1645884099</v>
      </c>
      <c r="N21" s="46" t="n">
        <v>-0.0941939545</v>
      </c>
      <c r="O21" s="46" t="n">
        <v>0.2257684919</v>
      </c>
      <c r="P21" s="46" t="n">
        <f aca="false">IF(O21="","",O21*SQRT(25/252))</f>
        <v>0.0711103908858929</v>
      </c>
      <c r="Q21" s="46" t="n">
        <v>-0.2322844716</v>
      </c>
      <c r="R21" s="50" t="n">
        <v>0.0812269188</v>
      </c>
      <c r="S21" s="46" t="n">
        <v>0.167535552</v>
      </c>
      <c r="T21" s="46" t="n">
        <v>-0.169730748</v>
      </c>
      <c r="U21" s="44" t="s">
        <v>152</v>
      </c>
    </row>
    <row r="22" customFormat="false" ht="15" hidden="false" customHeight="false" outlineLevel="0" collapsed="false">
      <c r="A22" s="44" t="s">
        <v>169</v>
      </c>
      <c r="B22" s="44" t="s">
        <v>154</v>
      </c>
      <c r="C22" s="45" t="n">
        <v>86.6</v>
      </c>
      <c r="D22" s="46" t="n">
        <v>0.0127</v>
      </c>
      <c r="E22" s="45" t="n">
        <v>86.61</v>
      </c>
      <c r="F22" s="45" t="n">
        <v>86.62</v>
      </c>
      <c r="G22" s="47" t="n">
        <v>0.0001154534</v>
      </c>
      <c r="H22" s="48" t="n">
        <v>112</v>
      </c>
      <c r="I22" s="48" t="n">
        <v>97</v>
      </c>
      <c r="J22" s="49" t="s">
        <v>151</v>
      </c>
      <c r="K22" s="46" t="n">
        <v>-0.0220041133</v>
      </c>
      <c r="L22" s="46" t="n">
        <v>-0.0414731263</v>
      </c>
      <c r="M22" s="46" t="n">
        <v>-0.1654564204</v>
      </c>
      <c r="N22" s="46" t="n">
        <v>-0.3689629359</v>
      </c>
      <c r="O22" s="46" t="n">
        <v>0.2260052492</v>
      </c>
      <c r="P22" s="46" t="n">
        <f aca="false">IF(O22="","",O22*SQRT(25/252))</f>
        <v>0.0711849624259976</v>
      </c>
      <c r="Q22" s="46" t="n">
        <v>-0.3854605137</v>
      </c>
      <c r="R22" s="50" t="n">
        <v>0.5182219479</v>
      </c>
      <c r="S22" s="46" t="n">
        <v>0.3106515345</v>
      </c>
      <c r="T22" s="46" t="n">
        <v>-0.1967095952</v>
      </c>
      <c r="U22" s="44" t="s">
        <v>152</v>
      </c>
    </row>
    <row r="23" customFormat="false" ht="15" hidden="false" customHeight="false" outlineLevel="0" collapsed="false">
      <c r="A23" s="44" t="s">
        <v>170</v>
      </c>
      <c r="B23" s="44" t="s">
        <v>150</v>
      </c>
      <c r="C23" s="45" t="n">
        <v>954</v>
      </c>
      <c r="D23" s="46" t="n">
        <v>-0.0071</v>
      </c>
      <c r="E23" s="45" t="n">
        <v>950.01</v>
      </c>
      <c r="F23" s="45" t="n">
        <v>960.99</v>
      </c>
      <c r="G23" s="47" t="n">
        <v>0.0114913658</v>
      </c>
      <c r="H23" s="48" t="n">
        <v>20000</v>
      </c>
      <c r="I23" s="48" t="n">
        <v>16300</v>
      </c>
      <c r="J23" s="49" t="s">
        <v>151</v>
      </c>
      <c r="K23" s="46" t="n">
        <v>-0.1097109236</v>
      </c>
      <c r="L23" s="46" t="n">
        <v>-0.0938537484</v>
      </c>
      <c r="M23" s="46" t="n">
        <v>0.0365522036</v>
      </c>
      <c r="N23" s="46" t="n">
        <v>0.0448775251</v>
      </c>
      <c r="O23" s="46" t="n">
        <v>0.2306586844</v>
      </c>
      <c r="P23" s="46" t="n">
        <f aca="false">IF(O23="","",O23*SQRT(25/252))</f>
        <v>0.0726506567452064</v>
      </c>
      <c r="Q23" s="46" t="n">
        <v>-0.1894475188</v>
      </c>
      <c r="R23" s="50" t="n">
        <v>0.2584453697</v>
      </c>
      <c r="S23" s="46" t="n">
        <v>0.2298002886</v>
      </c>
      <c r="T23" s="46" t="n">
        <v>-0.2685845637</v>
      </c>
      <c r="U23" s="44" t="s">
        <v>152</v>
      </c>
    </row>
    <row r="24" customFormat="false" ht="15" hidden="false" customHeight="false" outlineLevel="0" collapsed="false">
      <c r="A24" s="44" t="s">
        <v>171</v>
      </c>
      <c r="B24" s="44" t="s">
        <v>154</v>
      </c>
      <c r="C24" s="45" t="n">
        <v>41.59</v>
      </c>
      <c r="D24" s="46" t="n">
        <v>0.0039</v>
      </c>
      <c r="E24" s="45" t="n">
        <v>41.58</v>
      </c>
      <c r="F24" s="45" t="n">
        <v>41.59</v>
      </c>
      <c r="G24" s="47" t="n">
        <v>0.0002404713</v>
      </c>
      <c r="H24" s="48" t="n">
        <v>716</v>
      </c>
      <c r="I24" s="48" t="n">
        <v>410</v>
      </c>
      <c r="J24" s="49" t="s">
        <v>151</v>
      </c>
      <c r="K24" s="46" t="n">
        <v>-0.0361278685</v>
      </c>
      <c r="L24" s="46" t="n">
        <v>0.0050712167</v>
      </c>
      <c r="M24" s="46" t="n">
        <v>-0.0539401784</v>
      </c>
      <c r="N24" s="46" t="n">
        <v>-0.1304187071</v>
      </c>
      <c r="O24" s="46" t="n">
        <v>0.2320760837</v>
      </c>
      <c r="P24" s="46" t="n">
        <f aca="false">IF(O24="","",O24*SQRT(25/252))</f>
        <v>0.0730970955614298</v>
      </c>
      <c r="Q24" s="46" t="n">
        <v>-0.1601673449</v>
      </c>
      <c r="R24" s="50" t="n">
        <v>0.820527014</v>
      </c>
      <c r="S24" s="46" t="n">
        <v>0.243743018</v>
      </c>
      <c r="T24" s="46" t="n">
        <v>-0.1753105629</v>
      </c>
      <c r="U24" s="44" t="s">
        <v>152</v>
      </c>
    </row>
    <row r="25" customFormat="false" ht="15" hidden="false" customHeight="false" outlineLevel="0" collapsed="false">
      <c r="A25" s="44" t="s">
        <v>121</v>
      </c>
      <c r="B25" s="44" t="s">
        <v>154</v>
      </c>
      <c r="C25" s="45" t="n">
        <v>30.38</v>
      </c>
      <c r="D25" s="46" t="n">
        <v>0.0096</v>
      </c>
      <c r="E25" s="45" t="n">
        <v>30.37</v>
      </c>
      <c r="F25" s="45" t="n">
        <v>30.38</v>
      </c>
      <c r="G25" s="47" t="n">
        <v>0.0003292181</v>
      </c>
      <c r="H25" s="48" t="n">
        <v>6802</v>
      </c>
      <c r="I25" s="48" t="n">
        <v>5146</v>
      </c>
      <c r="J25" s="49" t="s">
        <v>151</v>
      </c>
      <c r="K25" s="46" t="n">
        <v>0.0229342433</v>
      </c>
      <c r="L25" s="46" t="n">
        <v>0.0315864187</v>
      </c>
      <c r="M25" s="46" t="n">
        <v>0.032830592</v>
      </c>
      <c r="N25" s="46" t="n">
        <v>0.1954554117</v>
      </c>
      <c r="O25" s="46" t="n">
        <v>0.2330489161</v>
      </c>
      <c r="P25" s="46" t="n">
        <f aca="false">IF(O25="","",O25*SQRT(25/252))</f>
        <v>0.0734035089659234</v>
      </c>
      <c r="Q25" s="46" t="n">
        <v>-0.1201859782</v>
      </c>
      <c r="R25" s="50" t="n">
        <v>0.6934908215</v>
      </c>
      <c r="S25" s="46" t="n">
        <v>0.1750943661</v>
      </c>
      <c r="T25" s="46" t="n">
        <v>-0.1547742201</v>
      </c>
      <c r="U25" s="44" t="s">
        <v>152</v>
      </c>
    </row>
    <row r="26" customFormat="false" ht="15" hidden="false" customHeight="false" outlineLevel="0" collapsed="false">
      <c r="A26" s="44" t="s">
        <v>172</v>
      </c>
      <c r="B26" s="44" t="s">
        <v>154</v>
      </c>
      <c r="C26" s="45" t="n">
        <v>215.82</v>
      </c>
      <c r="D26" s="46" t="n">
        <v>0.0232</v>
      </c>
      <c r="E26" s="45" t="n">
        <v>215.82</v>
      </c>
      <c r="F26" s="45" t="n">
        <v>216.09</v>
      </c>
      <c r="G26" s="47" t="n">
        <v>0.0012502605</v>
      </c>
      <c r="H26" s="48" t="n">
        <v>291</v>
      </c>
      <c r="I26" s="48" t="n">
        <v>229</v>
      </c>
      <c r="J26" s="49" t="s">
        <v>151</v>
      </c>
      <c r="K26" s="46" t="n">
        <v>0.0705806944</v>
      </c>
      <c r="L26" s="46" t="n">
        <v>-0.0166971183</v>
      </c>
      <c r="M26" s="46" t="n">
        <v>0.1053196706</v>
      </c>
      <c r="N26" s="46" t="n">
        <v>0.3302331404</v>
      </c>
      <c r="O26" s="46" t="n">
        <v>0.233614221</v>
      </c>
      <c r="P26" s="46" t="n">
        <f aca="false">IF(O26="","",O26*SQRT(25/252))</f>
        <v>0.0735815632731051</v>
      </c>
      <c r="Q26" s="46" t="n">
        <v>-0.1393317649</v>
      </c>
      <c r="R26" s="50" t="n">
        <v>0.6596104456</v>
      </c>
      <c r="S26" s="46" t="n">
        <v>0.2113171566</v>
      </c>
      <c r="T26" s="46" t="n">
        <v>-0.1659035323</v>
      </c>
      <c r="U26" s="44" t="s">
        <v>152</v>
      </c>
    </row>
    <row r="27" customFormat="false" ht="15" hidden="false" customHeight="false" outlineLevel="0" collapsed="false">
      <c r="A27" s="44" t="s">
        <v>173</v>
      </c>
      <c r="B27" s="44" t="s">
        <v>150</v>
      </c>
      <c r="C27" s="45" t="n">
        <v>5910</v>
      </c>
      <c r="D27" s="46" t="n">
        <v>-0.003</v>
      </c>
      <c r="E27" s="45" t="n">
        <v>5868.03</v>
      </c>
      <c r="F27" s="45" t="n">
        <v>5994.99</v>
      </c>
      <c r="G27" s="47" t="n">
        <v>0.0214043304</v>
      </c>
      <c r="H27" s="48" t="n">
        <v>6702</v>
      </c>
      <c r="I27" s="48" t="n">
        <v>6502</v>
      </c>
      <c r="J27" s="49" t="s">
        <v>151</v>
      </c>
      <c r="K27" s="46" t="n">
        <v>-0.0136709908</v>
      </c>
      <c r="L27" s="46" t="n">
        <v>0.0025413899</v>
      </c>
      <c r="M27" s="46" t="n">
        <v>0.0976306705</v>
      </c>
      <c r="N27" s="46" t="n">
        <v>0.0634123758</v>
      </c>
      <c r="O27" s="46" t="n">
        <v>0.2368384799</v>
      </c>
      <c r="P27" s="46" t="n">
        <f aca="false">IF(O27="","",O27*SQRT(25/252))</f>
        <v>0.0745971093697583</v>
      </c>
      <c r="Q27" s="46" t="n">
        <v>-0.1626420446</v>
      </c>
      <c r="R27" s="50" t="n">
        <v>0.3414374579</v>
      </c>
      <c r="S27" s="46" t="n">
        <v>0.230025446</v>
      </c>
      <c r="T27" s="46" t="n">
        <v>-0.2210783583</v>
      </c>
      <c r="U27" s="44" t="s">
        <v>152</v>
      </c>
    </row>
    <row r="28" customFormat="false" ht="15" hidden="false" customHeight="false" outlineLevel="0" collapsed="false">
      <c r="A28" s="44" t="s">
        <v>174</v>
      </c>
      <c r="B28" s="44" t="s">
        <v>150</v>
      </c>
      <c r="C28" s="45" t="n">
        <v>6840</v>
      </c>
      <c r="D28" s="46" t="n">
        <v>0.0198</v>
      </c>
      <c r="E28" s="45" t="n">
        <v>6803.63</v>
      </c>
      <c r="F28" s="45" t="n">
        <v>6848.94</v>
      </c>
      <c r="G28" s="47" t="n">
        <v>0.0066375781</v>
      </c>
      <c r="H28" s="48" t="n">
        <v>6600</v>
      </c>
      <c r="I28" s="48" t="n">
        <v>4200</v>
      </c>
      <c r="J28" s="49" t="s">
        <v>151</v>
      </c>
      <c r="K28" s="46" t="n">
        <v>0.0884066082</v>
      </c>
      <c r="L28" s="46" t="n">
        <v>0.1068529201</v>
      </c>
      <c r="M28" s="46" t="n">
        <v>0.262109816</v>
      </c>
      <c r="N28" s="46" t="n">
        <v>0.0546628798</v>
      </c>
      <c r="O28" s="46" t="n">
        <v>0.2384424164</v>
      </c>
      <c r="P28" s="46" t="n">
        <f aca="false">IF(O28="","",O28*SQRT(25/252))</f>
        <v>0.0751023018813939</v>
      </c>
      <c r="Q28" s="46" t="n">
        <v>-0.185547204</v>
      </c>
      <c r="R28" s="50" t="n">
        <v>0.0608653948</v>
      </c>
      <c r="S28" s="46" t="n">
        <v>0.1912755695</v>
      </c>
      <c r="T28" s="46" t="n">
        <v>-0.1588644784</v>
      </c>
      <c r="U28" s="44" t="s">
        <v>152</v>
      </c>
    </row>
    <row r="29" customFormat="false" ht="15" hidden="false" customHeight="false" outlineLevel="0" collapsed="false">
      <c r="A29" s="44" t="s">
        <v>175</v>
      </c>
      <c r="B29" s="44" t="s">
        <v>154</v>
      </c>
      <c r="C29" s="45" t="n">
        <v>37.71</v>
      </c>
      <c r="D29" s="46" t="n">
        <v>0.0091</v>
      </c>
      <c r="E29" s="45" t="n">
        <v>37.71</v>
      </c>
      <c r="F29" s="45" t="n">
        <v>37.73</v>
      </c>
      <c r="G29" s="47" t="n">
        <v>0.0005302227</v>
      </c>
      <c r="H29" s="48" t="n">
        <v>2983</v>
      </c>
      <c r="I29" s="48" t="n">
        <v>1629</v>
      </c>
      <c r="J29" s="49" t="s">
        <v>151</v>
      </c>
      <c r="K29" s="46" t="n">
        <v>-0.0165803493</v>
      </c>
      <c r="L29" s="46" t="n">
        <v>0.004826287</v>
      </c>
      <c r="M29" s="46" t="n">
        <v>-0.0563837349</v>
      </c>
      <c r="N29" s="46" t="n">
        <v>0.0456662572</v>
      </c>
      <c r="O29" s="46" t="n">
        <v>0.2393235724</v>
      </c>
      <c r="P29" s="46" t="n">
        <f aca="false">IF(O29="","",O29*SQRT(25/252))</f>
        <v>0.075379839934043</v>
      </c>
      <c r="Q29" s="46" t="n">
        <v>-0.1757996826</v>
      </c>
      <c r="R29" s="50" t="n">
        <v>0.7283115762</v>
      </c>
      <c r="S29" s="46" t="n">
        <v>0.1523685924</v>
      </c>
      <c r="T29" s="46" t="n">
        <v>-0.1616301682</v>
      </c>
      <c r="U29" s="44" t="s">
        <v>152</v>
      </c>
    </row>
    <row r="30" customFormat="false" ht="15" hidden="false" customHeight="false" outlineLevel="0" collapsed="false">
      <c r="A30" s="44" t="s">
        <v>176</v>
      </c>
      <c r="B30" s="44" t="s">
        <v>154</v>
      </c>
      <c r="C30" s="45" t="n">
        <v>198.69</v>
      </c>
      <c r="D30" s="46" t="n">
        <v>0.0295</v>
      </c>
      <c r="E30" s="45" t="n">
        <v>198.69</v>
      </c>
      <c r="F30" s="45" t="n">
        <v>199.08</v>
      </c>
      <c r="G30" s="47" t="n">
        <v>0.0019609322</v>
      </c>
      <c r="H30" s="48" t="n">
        <v>587</v>
      </c>
      <c r="I30" s="48" t="n">
        <v>59</v>
      </c>
      <c r="J30" s="49" t="s">
        <v>151</v>
      </c>
      <c r="K30" s="46" t="n">
        <v>0.0768151357</v>
      </c>
      <c r="L30" s="46" t="n">
        <v>0.1081073046</v>
      </c>
      <c r="M30" s="46" t="n">
        <v>0.1246524656</v>
      </c>
      <c r="N30" s="46" t="n">
        <v>0.3705359458</v>
      </c>
      <c r="O30" s="46" t="n">
        <v>0.2400958901</v>
      </c>
      <c r="P30" s="46" t="n">
        <f aca="false">IF(O30="","",O30*SQRT(25/252))</f>
        <v>0.0756230971444399</v>
      </c>
      <c r="Q30" s="46" t="n">
        <v>-0.1587043306</v>
      </c>
      <c r="R30" s="50" t="n">
        <v>0.6093014241</v>
      </c>
      <c r="S30" s="46" t="n">
        <v>0.1904915275</v>
      </c>
      <c r="T30" s="46" t="n">
        <v>-0.14608877</v>
      </c>
      <c r="U30" s="44" t="s">
        <v>152</v>
      </c>
    </row>
    <row r="31" customFormat="false" ht="15" hidden="false" customHeight="false" outlineLevel="0" collapsed="false">
      <c r="A31" s="44" t="s">
        <v>177</v>
      </c>
      <c r="B31" s="44" t="s">
        <v>150</v>
      </c>
      <c r="C31" s="45" t="n">
        <v>10409.97</v>
      </c>
      <c r="D31" s="46" t="n">
        <v>0.0136</v>
      </c>
      <c r="E31" s="45" t="n">
        <v>10250.01</v>
      </c>
      <c r="F31" s="45" t="n">
        <v>10499.99</v>
      </c>
      <c r="G31" s="47" t="n">
        <v>0.0240944578</v>
      </c>
      <c r="H31" s="48" t="n">
        <v>2215</v>
      </c>
      <c r="I31" s="48" t="n">
        <v>2000</v>
      </c>
      <c r="J31" s="49" t="s">
        <v>151</v>
      </c>
      <c r="K31" s="46" t="n">
        <v>0.0787110151</v>
      </c>
      <c r="L31" s="46" t="n">
        <v>0.1205419512</v>
      </c>
      <c r="M31" s="46" t="n">
        <v>0.1802423192</v>
      </c>
      <c r="N31" s="46" t="n">
        <v>-0.0203815631</v>
      </c>
      <c r="O31" s="46" t="n">
        <v>0.2421465241</v>
      </c>
      <c r="P31" s="46" t="n">
        <f aca="false">IF(O31="","",O31*SQRT(25/252))</f>
        <v>0.0762689861437272</v>
      </c>
      <c r="Q31" s="46" t="n">
        <v>-0.2269647478</v>
      </c>
      <c r="R31" s="50" t="n">
        <v>-0.0189554787</v>
      </c>
      <c r="S31" s="46" t="n">
        <v>0.1986729156</v>
      </c>
      <c r="T31" s="46" t="n">
        <v>-0.1719877213</v>
      </c>
      <c r="U31" s="44" t="s">
        <v>152</v>
      </c>
    </row>
    <row r="32" customFormat="false" ht="15" hidden="false" customHeight="false" outlineLevel="0" collapsed="false">
      <c r="A32" s="44" t="s">
        <v>178</v>
      </c>
      <c r="B32" s="44" t="s">
        <v>154</v>
      </c>
      <c r="C32" s="45" t="n">
        <v>75.9</v>
      </c>
      <c r="D32" s="46" t="n">
        <v>0.0116</v>
      </c>
      <c r="E32" s="45" t="n">
        <v>75.84</v>
      </c>
      <c r="F32" s="45" t="n">
        <v>75.9</v>
      </c>
      <c r="G32" s="47" t="n">
        <v>0.0007908264</v>
      </c>
      <c r="H32" s="48" t="n">
        <v>863</v>
      </c>
      <c r="I32" s="48" t="n">
        <v>595</v>
      </c>
      <c r="J32" s="49" t="s">
        <v>151</v>
      </c>
      <c r="K32" s="46" t="n">
        <v>0.0215256079</v>
      </c>
      <c r="L32" s="46" t="n">
        <v>-0.0090081774</v>
      </c>
      <c r="M32" s="46" t="n">
        <v>-0.0683857644</v>
      </c>
      <c r="N32" s="46" t="n">
        <v>0.0433150472</v>
      </c>
      <c r="O32" s="46" t="n">
        <v>0.2453113403</v>
      </c>
      <c r="P32" s="46" t="n">
        <f aca="false">IF(O32="","",O32*SQRT(25/252))</f>
        <v>0.0772658095497306</v>
      </c>
      <c r="Q32" s="46" t="n">
        <v>-0.1511579478</v>
      </c>
      <c r="R32" s="50" t="n">
        <v>0.4417093305</v>
      </c>
      <c r="S32" s="46" t="n">
        <v>0.3253846074</v>
      </c>
      <c r="T32" s="46" t="n">
        <v>-0.1280526077</v>
      </c>
      <c r="U32" s="44" t="s">
        <v>152</v>
      </c>
    </row>
    <row r="33" customFormat="false" ht="15" hidden="false" customHeight="false" outlineLevel="0" collapsed="false">
      <c r="A33" s="44" t="s">
        <v>179</v>
      </c>
      <c r="B33" s="44" t="s">
        <v>154</v>
      </c>
      <c r="C33" s="45" t="n">
        <v>19.98</v>
      </c>
      <c r="D33" s="46" t="n">
        <v>-0.0065</v>
      </c>
      <c r="E33" s="45" t="n">
        <v>19.98</v>
      </c>
      <c r="F33" s="45" t="n">
        <v>19.99</v>
      </c>
      <c r="G33" s="47" t="n">
        <v>0.0005003753</v>
      </c>
      <c r="H33" s="48" t="n">
        <v>72506</v>
      </c>
      <c r="I33" s="48" t="n">
        <v>32</v>
      </c>
      <c r="J33" s="49" t="s">
        <v>151</v>
      </c>
      <c r="K33" s="46" t="n">
        <v>0.0287622698</v>
      </c>
      <c r="L33" s="46" t="n">
        <v>-0.1070747828</v>
      </c>
      <c r="M33" s="46" t="n">
        <v>-0.1403985284</v>
      </c>
      <c r="N33" s="46" t="n">
        <v>0.0733857698</v>
      </c>
      <c r="O33" s="46" t="n">
        <v>0.2466629043</v>
      </c>
      <c r="P33" s="46" t="n">
        <f aca="false">IF(O33="","",O33*SQRT(25/252))</f>
        <v>0.0776915121955625</v>
      </c>
      <c r="Q33" s="46" t="n">
        <v>-0.1970379365</v>
      </c>
      <c r="R33" s="50" t="n">
        <v>0.7499865328</v>
      </c>
      <c r="S33" s="46" t="n">
        <v>0.2434831089</v>
      </c>
      <c r="T33" s="46" t="n">
        <v>-0.1383677179</v>
      </c>
      <c r="U33" s="44" t="s">
        <v>152</v>
      </c>
    </row>
    <row r="34" customFormat="false" ht="15" hidden="false" customHeight="false" outlineLevel="0" collapsed="false">
      <c r="A34" s="44" t="s">
        <v>180</v>
      </c>
      <c r="B34" s="44" t="s">
        <v>154</v>
      </c>
      <c r="C34" s="45" t="n">
        <v>413.21</v>
      </c>
      <c r="D34" s="46" t="n">
        <v>-0.0086</v>
      </c>
      <c r="E34" s="45" t="n">
        <v>412.81</v>
      </c>
      <c r="F34" s="45" t="n">
        <v>413.21</v>
      </c>
      <c r="G34" s="47" t="n">
        <v>0.0009684996</v>
      </c>
      <c r="H34" s="48" t="n">
        <v>56</v>
      </c>
      <c r="I34" s="48" t="n">
        <v>17</v>
      </c>
      <c r="J34" s="49" t="s">
        <v>151</v>
      </c>
      <c r="K34" s="46" t="n">
        <v>-0.0422681599</v>
      </c>
      <c r="L34" s="46" t="n">
        <v>-0.168250571</v>
      </c>
      <c r="M34" s="46" t="n">
        <v>-0.2998246486</v>
      </c>
      <c r="N34" s="46" t="n">
        <v>-0.255428632</v>
      </c>
      <c r="O34" s="46" t="n">
        <v>0.2468403454</v>
      </c>
      <c r="P34" s="46" t="n">
        <f aca="false">IF(O34="","",O34*SQRT(25/252))</f>
        <v>0.0777474008887722</v>
      </c>
      <c r="Q34" s="46" t="n">
        <v>-0.3516911032</v>
      </c>
      <c r="R34" s="50" t="n">
        <v>0.8593914785</v>
      </c>
      <c r="S34" s="46" t="n">
        <v>0.3641145925</v>
      </c>
      <c r="T34" s="46" t="n">
        <v>-0.1754943751</v>
      </c>
      <c r="U34" s="44" t="s">
        <v>152</v>
      </c>
    </row>
    <row r="35" customFormat="false" ht="15" hidden="false" customHeight="false" outlineLevel="0" collapsed="false">
      <c r="A35" s="44" t="s">
        <v>181</v>
      </c>
      <c r="B35" s="44" t="s">
        <v>154</v>
      </c>
      <c r="C35" s="45" t="n">
        <v>274.06</v>
      </c>
      <c r="D35" s="46" t="n">
        <v>0.0147</v>
      </c>
      <c r="E35" s="45" t="n">
        <v>274.06</v>
      </c>
      <c r="F35" s="45" t="n">
        <v>274.13</v>
      </c>
      <c r="G35" s="47" t="n">
        <v>0.0002553859</v>
      </c>
      <c r="H35" s="48" t="n">
        <v>70</v>
      </c>
      <c r="I35" s="48" t="n">
        <v>80</v>
      </c>
      <c r="J35" s="49" t="s">
        <v>151</v>
      </c>
      <c r="K35" s="46" t="n">
        <v>0.0141835596</v>
      </c>
      <c r="L35" s="46" t="n">
        <v>-0.0256520503</v>
      </c>
      <c r="M35" s="46" t="n">
        <v>-0.0620860889</v>
      </c>
      <c r="N35" s="46" t="n">
        <v>0.1398294964</v>
      </c>
      <c r="O35" s="46" t="n">
        <v>0.2566381246</v>
      </c>
      <c r="P35" s="46" t="n">
        <f aca="false">IF(O35="","",O35*SQRT(25/252))</f>
        <v>0.0808334112654295</v>
      </c>
      <c r="Q35" s="46" t="n">
        <v>-0.1614553843</v>
      </c>
      <c r="R35" s="50" t="n">
        <v>1.0366440789</v>
      </c>
      <c r="S35" s="46" t="n">
        <v>0.1938510992</v>
      </c>
      <c r="T35" s="46" t="n">
        <v>-0.1340405956</v>
      </c>
      <c r="U35" s="44" t="s">
        <v>152</v>
      </c>
    </row>
    <row r="36" customFormat="false" ht="15" hidden="false" customHeight="false" outlineLevel="0" collapsed="false">
      <c r="A36" s="44" t="s">
        <v>182</v>
      </c>
      <c r="B36" s="44" t="s">
        <v>150</v>
      </c>
      <c r="C36" s="45" t="n">
        <v>446.5</v>
      </c>
      <c r="D36" s="46" t="n">
        <v>0.009</v>
      </c>
      <c r="E36" s="45" t="n">
        <v>434.61</v>
      </c>
      <c r="F36" s="45" t="n">
        <v>453.98</v>
      </c>
      <c r="G36" s="47" t="n">
        <v>0.0435971595</v>
      </c>
      <c r="H36" s="48" t="n">
        <v>34400</v>
      </c>
      <c r="I36" s="48" t="n">
        <v>34400</v>
      </c>
      <c r="J36" s="49" t="s">
        <v>151</v>
      </c>
      <c r="K36" s="46" t="n">
        <v>0.0381389131</v>
      </c>
      <c r="L36" s="46" t="n">
        <v>0.1913720459</v>
      </c>
      <c r="M36" s="46" t="n">
        <v>-0.0345231482</v>
      </c>
      <c r="N36" s="46" t="n">
        <v>-0.0362533239</v>
      </c>
      <c r="O36" s="46" t="n">
        <v>0.2570932661</v>
      </c>
      <c r="P36" s="46" t="n">
        <f aca="false">IF(O36="","",O36*SQRT(25/252))</f>
        <v>0.0809767673630896</v>
      </c>
      <c r="Q36" s="46" t="n">
        <v>-0.3116052231</v>
      </c>
      <c r="R36" s="50" t="n">
        <v>-0.0744535157</v>
      </c>
      <c r="S36" s="46" t="n">
        <v>0.282903092</v>
      </c>
      <c r="T36" s="46" t="n">
        <v>-0.1722651843</v>
      </c>
      <c r="U36" s="44" t="s">
        <v>152</v>
      </c>
    </row>
    <row r="37" customFormat="false" ht="15" hidden="false" customHeight="false" outlineLevel="0" collapsed="false">
      <c r="A37" s="44" t="s">
        <v>183</v>
      </c>
      <c r="B37" s="44" t="s">
        <v>150</v>
      </c>
      <c r="C37" s="45" t="n">
        <v>822.85</v>
      </c>
      <c r="D37" s="46" t="n">
        <v>0</v>
      </c>
      <c r="E37" s="45" t="n">
        <v>822.01</v>
      </c>
      <c r="F37" s="45" t="n">
        <v>851.39</v>
      </c>
      <c r="G37" s="47" t="n">
        <v>0.0351141389</v>
      </c>
      <c r="H37" s="48" t="n">
        <v>8600</v>
      </c>
      <c r="I37" s="48" t="n">
        <v>12900</v>
      </c>
      <c r="J37" s="49" t="s">
        <v>151</v>
      </c>
      <c r="K37" s="46" t="n">
        <v>-0.0206704253</v>
      </c>
      <c r="L37" s="46" t="n">
        <v>0.1150638759</v>
      </c>
      <c r="M37" s="46" t="n">
        <v>0.0201069957</v>
      </c>
      <c r="N37" s="46" t="n">
        <v>0.1591173676</v>
      </c>
      <c r="O37" s="46" t="n">
        <v>0.2588387269</v>
      </c>
      <c r="P37" s="46" t="n">
        <f aca="false">IF(O37="","",O37*SQRT(25/252))</f>
        <v>0.0815265358392815</v>
      </c>
      <c r="Q37" s="46" t="n">
        <v>-0.18634357</v>
      </c>
      <c r="R37" s="50" t="n">
        <v>-0.1111814276</v>
      </c>
      <c r="S37" s="46" t="n">
        <v>0.3312348358</v>
      </c>
      <c r="T37" s="46" t="n">
        <v>-0.1271939699</v>
      </c>
      <c r="U37" s="44" t="s">
        <v>152</v>
      </c>
    </row>
    <row r="38" customFormat="false" ht="15" hidden="false" customHeight="false" outlineLevel="0" collapsed="false">
      <c r="A38" s="44" t="s">
        <v>184</v>
      </c>
      <c r="B38" s="44" t="s">
        <v>150</v>
      </c>
      <c r="C38" s="45" t="n">
        <v>3827.18</v>
      </c>
      <c r="D38" s="46" t="n">
        <v>0.0361</v>
      </c>
      <c r="E38" s="45" t="n">
        <v>3746.52</v>
      </c>
      <c r="F38" s="45" t="n">
        <v>3849.99</v>
      </c>
      <c r="G38" s="47" t="n">
        <v>0.0272414569</v>
      </c>
      <c r="H38" s="48" t="n">
        <v>5145</v>
      </c>
      <c r="I38" s="48" t="n">
        <v>5145</v>
      </c>
      <c r="J38" s="49" t="s">
        <v>151</v>
      </c>
      <c r="K38" s="46" t="n">
        <v>0.046645917</v>
      </c>
      <c r="L38" s="46" t="n">
        <v>0.2338329869</v>
      </c>
      <c r="M38" s="46" t="n">
        <v>0.1598936069</v>
      </c>
      <c r="N38" s="46" t="n">
        <v>0.3846156529</v>
      </c>
      <c r="O38" s="46" t="n">
        <v>0.2593638499</v>
      </c>
      <c r="P38" s="46" t="n">
        <f aca="false">IF(O38="","",O38*SQRT(25/252))</f>
        <v>0.0816919340375815</v>
      </c>
      <c r="Q38" s="46" t="n">
        <v>-0.2354912318</v>
      </c>
      <c r="R38" s="50" t="n">
        <v>-0.338756478</v>
      </c>
      <c r="S38" s="46" t="n">
        <v>0.2091682779</v>
      </c>
      <c r="T38" s="46" t="n">
        <v>-0.226816796</v>
      </c>
      <c r="U38" s="44" t="s">
        <v>152</v>
      </c>
    </row>
    <row r="39" customFormat="false" ht="15" hidden="false" customHeight="false" outlineLevel="0" collapsed="false">
      <c r="A39" s="44" t="s">
        <v>185</v>
      </c>
      <c r="B39" s="44" t="s">
        <v>154</v>
      </c>
      <c r="C39" s="45" t="n">
        <v>47.41</v>
      </c>
      <c r="D39" s="46" t="n">
        <v>0.0109</v>
      </c>
      <c r="E39" s="45" t="n">
        <v>47.4</v>
      </c>
      <c r="F39" s="45" t="n">
        <v>47.41</v>
      </c>
      <c r="G39" s="47" t="n">
        <v>0.0002109482</v>
      </c>
      <c r="H39" s="48" t="n">
        <v>576</v>
      </c>
      <c r="I39" s="48" t="n">
        <v>133</v>
      </c>
      <c r="J39" s="49" t="s">
        <v>151</v>
      </c>
      <c r="K39" s="46" t="n">
        <v>0.0864988264</v>
      </c>
      <c r="L39" s="46" t="n">
        <v>0.0669662818</v>
      </c>
      <c r="M39" s="46" t="n">
        <v>-0.1273402352</v>
      </c>
      <c r="N39" s="46" t="n">
        <v>-0.1534383067</v>
      </c>
      <c r="O39" s="46" t="n">
        <v>0.260450374</v>
      </c>
      <c r="P39" s="46" t="n">
        <f aca="false">IF(O39="","",O39*SQRT(25/252))</f>
        <v>0.0820341569616385</v>
      </c>
      <c r="Q39" s="46" t="n">
        <v>-0.3374169837</v>
      </c>
      <c r="R39" s="50" t="n">
        <v>0.5458129714</v>
      </c>
      <c r="S39" s="46" t="n">
        <v>0.2629481392</v>
      </c>
      <c r="T39" s="46" t="n">
        <v>-0.1736778449</v>
      </c>
      <c r="U39" s="44" t="s">
        <v>152</v>
      </c>
    </row>
    <row r="40" customFormat="false" ht="15" hidden="false" customHeight="false" outlineLevel="0" collapsed="false">
      <c r="A40" s="44" t="s">
        <v>119</v>
      </c>
      <c r="B40" s="44" t="s">
        <v>154</v>
      </c>
      <c r="C40" s="45" t="n">
        <v>189.49</v>
      </c>
      <c r="D40" s="46" t="n">
        <v>-0.0016</v>
      </c>
      <c r="E40" s="45" t="n">
        <v>189.49</v>
      </c>
      <c r="F40" s="45" t="n">
        <v>189.55</v>
      </c>
      <c r="G40" s="47" t="n">
        <v>0.0003165893</v>
      </c>
      <c r="H40" s="48" t="n">
        <v>1286</v>
      </c>
      <c r="I40" s="48" t="n">
        <v>3312</v>
      </c>
      <c r="J40" s="49" t="s">
        <v>151</v>
      </c>
      <c r="K40" s="46" t="n">
        <v>-0.0499375065</v>
      </c>
      <c r="L40" s="46" t="n">
        <v>0.0180151236</v>
      </c>
      <c r="M40" s="46" t="n">
        <v>0.0080464226</v>
      </c>
      <c r="N40" s="46" t="n">
        <v>0.1871379492</v>
      </c>
      <c r="O40" s="46" t="n">
        <v>0.2615695016</v>
      </c>
      <c r="P40" s="46" t="n">
        <f aca="false">IF(O40="","",O40*SQRT(25/252))</f>
        <v>0.0823866490229418</v>
      </c>
      <c r="Q40" s="46" t="n">
        <v>-0.1180863525</v>
      </c>
      <c r="R40" s="50" t="n">
        <v>1.1077273058</v>
      </c>
      <c r="S40" s="46" t="n">
        <v>0.3581553027</v>
      </c>
      <c r="T40" s="46" t="n">
        <v>-0.2450629992</v>
      </c>
      <c r="U40" s="44" t="s">
        <v>152</v>
      </c>
    </row>
    <row r="41" customFormat="false" ht="15" hidden="false" customHeight="false" outlineLevel="0" collapsed="false">
      <c r="A41" s="44" t="s">
        <v>186</v>
      </c>
      <c r="B41" s="44" t="s">
        <v>150</v>
      </c>
      <c r="C41" s="45" t="n">
        <v>6123.24</v>
      </c>
      <c r="D41" s="46" t="n">
        <v>0.0108</v>
      </c>
      <c r="E41" s="45" t="n">
        <v>6117.78</v>
      </c>
      <c r="F41" s="45" t="n">
        <v>6174.98</v>
      </c>
      <c r="G41" s="47" t="n">
        <v>0.0093062909</v>
      </c>
      <c r="H41" s="48" t="n">
        <v>1600</v>
      </c>
      <c r="I41" s="48" t="n">
        <v>1600</v>
      </c>
      <c r="J41" s="49" t="s">
        <v>151</v>
      </c>
      <c r="K41" s="46" t="n">
        <v>0.1409648896</v>
      </c>
      <c r="L41" s="46" t="n">
        <v>0.1011021677</v>
      </c>
      <c r="M41" s="46" t="n">
        <v>0.3411188138</v>
      </c>
      <c r="N41" s="46" t="n">
        <v>0.2983606463</v>
      </c>
      <c r="O41" s="46" t="n">
        <v>0.2616398949</v>
      </c>
      <c r="P41" s="46" t="n">
        <f aca="false">IF(O41="","",O41*SQRT(25/252))</f>
        <v>0.0824088208283901</v>
      </c>
      <c r="Q41" s="46" t="n">
        <v>-0.1729689029</v>
      </c>
      <c r="R41" s="50" t="n">
        <v>0.1779612652</v>
      </c>
      <c r="S41" s="46" t="n">
        <v>0.3024521406</v>
      </c>
      <c r="T41" s="46" t="n">
        <v>-0.2702178186</v>
      </c>
      <c r="U41" s="44" t="s">
        <v>152</v>
      </c>
    </row>
    <row r="42" customFormat="false" ht="15" hidden="false" customHeight="false" outlineLevel="0" collapsed="false">
      <c r="A42" s="44" t="s">
        <v>187</v>
      </c>
      <c r="B42" s="44" t="s">
        <v>154</v>
      </c>
      <c r="C42" s="45" t="n">
        <v>35.24</v>
      </c>
      <c r="D42" s="46" t="n">
        <v>-0.0319</v>
      </c>
      <c r="E42" s="45" t="n">
        <v>35.22</v>
      </c>
      <c r="F42" s="45" t="n">
        <v>35.25</v>
      </c>
      <c r="G42" s="47" t="n">
        <v>0.0008514261</v>
      </c>
      <c r="H42" s="48" t="n">
        <v>164</v>
      </c>
      <c r="I42" s="48" t="n">
        <v>1900</v>
      </c>
      <c r="J42" s="49" t="s">
        <v>151</v>
      </c>
      <c r="K42" s="46" t="n">
        <v>-0.1068528613</v>
      </c>
      <c r="L42" s="46" t="n">
        <v>-0.0254777615</v>
      </c>
      <c r="M42" s="46" t="n">
        <v>0.0004200207</v>
      </c>
      <c r="N42" s="46" t="n">
        <v>0.0042084926</v>
      </c>
      <c r="O42" s="46" t="n">
        <v>0.2676802683</v>
      </c>
      <c r="P42" s="46" t="n">
        <f aca="false">IF(O42="","",O42*SQRT(25/252))</f>
        <v>0.0843113596191484</v>
      </c>
      <c r="Q42" s="46" t="n">
        <v>-0.1178247364</v>
      </c>
      <c r="R42" s="50" t="n">
        <v>0.5584908216</v>
      </c>
      <c r="S42" s="46" t="n">
        <v>0.251780226</v>
      </c>
      <c r="T42" s="46" t="n">
        <v>-0.1345376509</v>
      </c>
      <c r="U42" s="44" t="s">
        <v>152</v>
      </c>
    </row>
    <row r="43" customFormat="false" ht="15" hidden="false" customHeight="false" outlineLevel="0" collapsed="false">
      <c r="A43" s="44" t="s">
        <v>188</v>
      </c>
      <c r="B43" s="44" t="s">
        <v>150</v>
      </c>
      <c r="C43" s="45" t="n">
        <v>5284</v>
      </c>
      <c r="D43" s="46" t="n">
        <v>0.0304</v>
      </c>
      <c r="E43" s="45" t="n">
        <v>5178.61</v>
      </c>
      <c r="F43" s="45" t="n">
        <v>5384.08</v>
      </c>
      <c r="G43" s="47" t="n">
        <v>0.0389048623</v>
      </c>
      <c r="H43" s="48" t="n">
        <v>600</v>
      </c>
      <c r="I43" s="48" t="n">
        <v>500</v>
      </c>
      <c r="J43" s="49" t="s">
        <v>151</v>
      </c>
      <c r="K43" s="46" t="n">
        <v>-0.0068527807</v>
      </c>
      <c r="L43" s="46" t="n">
        <v>-0.1276843957</v>
      </c>
      <c r="M43" s="46" t="n">
        <v>-0.1068387461</v>
      </c>
      <c r="N43" s="46" t="n">
        <v>-0.244157065</v>
      </c>
      <c r="O43" s="46" t="n">
        <v>0.2679407525</v>
      </c>
      <c r="P43" s="46" t="n">
        <f aca="false">IF(O43="","",O43*SQRT(25/252))</f>
        <v>0.0843934044302986</v>
      </c>
      <c r="Q43" s="46" t="n">
        <v>-0.280909128</v>
      </c>
      <c r="R43" s="50" t="n">
        <v>0.391630828</v>
      </c>
      <c r="S43" s="46" t="n">
        <v>0.2143272305</v>
      </c>
      <c r="T43" s="46" t="n">
        <v>-0.1768646684</v>
      </c>
      <c r="U43" s="44" t="s">
        <v>152</v>
      </c>
    </row>
    <row r="44" customFormat="false" ht="15" hidden="false" customHeight="false" outlineLevel="0" collapsed="false">
      <c r="A44" s="44" t="s">
        <v>189</v>
      </c>
      <c r="B44" s="44" t="s">
        <v>150</v>
      </c>
      <c r="C44" s="45" t="n">
        <v>4828</v>
      </c>
      <c r="D44" s="46" t="n">
        <v>-0.0111</v>
      </c>
      <c r="E44" s="45" t="n">
        <v>4719.01</v>
      </c>
      <c r="F44" s="45" t="n">
        <v>4879.99</v>
      </c>
      <c r="G44" s="47" t="n">
        <v>0.0335409939</v>
      </c>
      <c r="H44" s="48" t="n">
        <v>400</v>
      </c>
      <c r="I44" s="48" t="n">
        <v>500</v>
      </c>
      <c r="J44" s="49" t="s">
        <v>151</v>
      </c>
      <c r="K44" s="46" t="n">
        <v>0.1271936639</v>
      </c>
      <c r="L44" s="46" t="n">
        <v>0.1070277377</v>
      </c>
      <c r="M44" s="46" t="n">
        <v>0.3105785033</v>
      </c>
      <c r="N44" s="46" t="n">
        <v>0.1548939361</v>
      </c>
      <c r="O44" s="46" t="n">
        <v>0.2686859295</v>
      </c>
      <c r="P44" s="46" t="n">
        <f aca="false">IF(O44="","",O44*SQRT(25/252))</f>
        <v>0.0846281131237182</v>
      </c>
      <c r="Q44" s="46" t="n">
        <v>-0.1953839716</v>
      </c>
      <c r="R44" s="50" t="n">
        <v>-0.033169822</v>
      </c>
      <c r="S44" s="46" t="n">
        <v>0.2500719332</v>
      </c>
      <c r="T44" s="46" t="n">
        <v>-0.195826726</v>
      </c>
      <c r="U44" s="44" t="s">
        <v>152</v>
      </c>
    </row>
    <row r="45" customFormat="false" ht="15" hidden="false" customHeight="false" outlineLevel="0" collapsed="false">
      <c r="A45" s="44" t="s">
        <v>190</v>
      </c>
      <c r="B45" s="44" t="s">
        <v>150</v>
      </c>
      <c r="C45" s="45" t="n">
        <v>1921</v>
      </c>
      <c r="D45" s="46" t="n">
        <v>0.0246</v>
      </c>
      <c r="E45" s="45" t="n">
        <v>1887.51</v>
      </c>
      <c r="F45" s="45" t="n">
        <v>1923.99</v>
      </c>
      <c r="G45" s="47" t="n">
        <v>0.0191420701</v>
      </c>
      <c r="H45" s="48" t="n">
        <v>4000</v>
      </c>
      <c r="I45" s="48" t="n">
        <v>5</v>
      </c>
      <c r="J45" s="49" t="s">
        <v>151</v>
      </c>
      <c r="K45" s="46" t="n">
        <v>0.0797857528</v>
      </c>
      <c r="L45" s="46" t="n">
        <v>0.1342965936</v>
      </c>
      <c r="M45" s="46" t="n">
        <v>0.1009881126</v>
      </c>
      <c r="N45" s="46" t="n">
        <v>-0.0648238835</v>
      </c>
      <c r="O45" s="46" t="n">
        <v>0.2738019455</v>
      </c>
      <c r="P45" s="46" t="n">
        <f aca="false">IF(O45="","",O45*SQRT(25/252))</f>
        <v>0.0862395066998405</v>
      </c>
      <c r="Q45" s="46" t="n">
        <v>-0.2330397636</v>
      </c>
      <c r="R45" s="50" t="n">
        <v>0.2876550863</v>
      </c>
      <c r="S45" s="46" t="n">
        <v>0.2949967939</v>
      </c>
      <c r="T45" s="46" t="n">
        <v>-0.2848436466</v>
      </c>
      <c r="U45" s="44" t="s">
        <v>152</v>
      </c>
    </row>
    <row r="46" customFormat="false" ht="15" hidden="false" customHeight="false" outlineLevel="0" collapsed="false">
      <c r="A46" s="44" t="s">
        <v>191</v>
      </c>
      <c r="B46" s="44" t="s">
        <v>150</v>
      </c>
      <c r="C46" s="45" t="n">
        <v>3000</v>
      </c>
      <c r="D46" s="46" t="n">
        <v>0.0204</v>
      </c>
      <c r="E46" s="45" t="n">
        <v>2973.61</v>
      </c>
      <c r="F46" s="45" t="n">
        <v>3099.99</v>
      </c>
      <c r="G46" s="47" t="n">
        <v>0.0416161749</v>
      </c>
      <c r="H46" s="48" t="n">
        <v>1000</v>
      </c>
      <c r="I46" s="48" t="n">
        <v>800</v>
      </c>
      <c r="J46" s="49" t="s">
        <v>151</v>
      </c>
      <c r="K46" s="46" t="n">
        <v>0.0860080261</v>
      </c>
      <c r="L46" s="46" t="n">
        <v>0.2462416645</v>
      </c>
      <c r="M46" s="46" t="n">
        <v>0.1298357012</v>
      </c>
      <c r="N46" s="46" t="n">
        <v>0.4811382409</v>
      </c>
      <c r="O46" s="46" t="n">
        <v>0.2745234108</v>
      </c>
      <c r="P46" s="46" t="n">
        <f aca="false">IF(O46="","",O46*SQRT(25/252))</f>
        <v>0.0864667469097647</v>
      </c>
      <c r="Q46" s="46" t="n">
        <v>-0.229229017</v>
      </c>
      <c r="R46" s="50" t="n">
        <v>-0.2575139924</v>
      </c>
      <c r="S46" s="46" t="n">
        <v>0.2325968966</v>
      </c>
      <c r="T46" s="46" t="n">
        <v>-0.1623432363</v>
      </c>
      <c r="U46" s="44" t="s">
        <v>152</v>
      </c>
    </row>
    <row r="47" customFormat="false" ht="15" hidden="false" customHeight="false" outlineLevel="0" collapsed="false">
      <c r="A47" s="44" t="s">
        <v>192</v>
      </c>
      <c r="B47" s="44" t="s">
        <v>150</v>
      </c>
      <c r="C47" s="45" t="n">
        <v>1452.98</v>
      </c>
      <c r="D47" s="46" t="n">
        <v>0.0097</v>
      </c>
      <c r="E47" s="45" t="n">
        <v>1426.01</v>
      </c>
      <c r="F47" s="45" t="n">
        <v>1479.99</v>
      </c>
      <c r="G47" s="47" t="n">
        <v>0.0371507226</v>
      </c>
      <c r="H47" s="48" t="n">
        <v>6900</v>
      </c>
      <c r="I47" s="48" t="n">
        <v>7700</v>
      </c>
      <c r="J47" s="49" t="s">
        <v>151</v>
      </c>
      <c r="K47" s="46" t="n">
        <v>-0.048331965</v>
      </c>
      <c r="L47" s="46" t="n">
        <v>-0.0505872467</v>
      </c>
      <c r="M47" s="46" t="n">
        <v>-0.0274141114</v>
      </c>
      <c r="N47" s="46" t="n">
        <v>-0.0090252801</v>
      </c>
      <c r="O47" s="46" t="n">
        <v>0.2775016769</v>
      </c>
      <c r="P47" s="46" t="n">
        <f aca="false">IF(O47="","",O47*SQRT(25/252))</f>
        <v>0.0874048125572378</v>
      </c>
      <c r="Q47" s="46" t="n">
        <v>-0.259628266</v>
      </c>
      <c r="R47" s="50" t="n">
        <v>0.2299937212</v>
      </c>
      <c r="S47" s="46" t="n">
        <v>0.3533258397</v>
      </c>
      <c r="T47" s="46" t="n">
        <v>-0.2413953487</v>
      </c>
      <c r="U47" s="44" t="s">
        <v>152</v>
      </c>
    </row>
    <row r="48" customFormat="false" ht="15" hidden="false" customHeight="false" outlineLevel="0" collapsed="false">
      <c r="A48" s="44" t="s">
        <v>193</v>
      </c>
      <c r="B48" s="44" t="s">
        <v>154</v>
      </c>
      <c r="C48" s="45" t="n">
        <v>57.81</v>
      </c>
      <c r="D48" s="46" t="n">
        <v>-0.0031</v>
      </c>
      <c r="E48" s="45" t="n">
        <v>57.8</v>
      </c>
      <c r="F48" s="45" t="n">
        <v>57.81</v>
      </c>
      <c r="G48" s="47" t="n">
        <v>0.0001729954</v>
      </c>
      <c r="H48" s="48" t="n">
        <v>939</v>
      </c>
      <c r="I48" s="48" t="n">
        <v>26</v>
      </c>
      <c r="J48" s="49" t="s">
        <v>151</v>
      </c>
      <c r="K48" s="46" t="n">
        <v>0.0006925366</v>
      </c>
      <c r="L48" s="46" t="n">
        <v>0.063518308</v>
      </c>
      <c r="M48" s="46" t="n">
        <v>0.0610012284</v>
      </c>
      <c r="N48" s="46" t="n">
        <v>0.3946443984</v>
      </c>
      <c r="O48" s="46" t="n">
        <v>0.2793618646</v>
      </c>
      <c r="P48" s="46" t="n">
        <f aca="false">IF(O48="","",O48*SQRT(25/252))</f>
        <v>0.0879907166103451</v>
      </c>
      <c r="Q48" s="46" t="n">
        <v>-0.1520111329</v>
      </c>
      <c r="R48" s="50" t="n">
        <v>0.8767899597</v>
      </c>
      <c r="S48" s="46" t="n">
        <v>0.2271726738</v>
      </c>
      <c r="T48" s="46" t="n">
        <v>-0.1808917393</v>
      </c>
      <c r="U48" s="44" t="s">
        <v>152</v>
      </c>
    </row>
    <row r="49" customFormat="false" ht="15" hidden="false" customHeight="false" outlineLevel="0" collapsed="false">
      <c r="A49" s="44" t="s">
        <v>194</v>
      </c>
      <c r="B49" s="44" t="s">
        <v>150</v>
      </c>
      <c r="C49" s="45" t="n">
        <v>5435</v>
      </c>
      <c r="D49" s="46" t="n">
        <v>-0.0059</v>
      </c>
      <c r="E49" s="45" t="n">
        <v>5435.01</v>
      </c>
      <c r="F49" s="45" t="n">
        <v>5534.98</v>
      </c>
      <c r="G49" s="47" t="n">
        <v>0.0182260877</v>
      </c>
      <c r="H49" s="48" t="n">
        <v>3300</v>
      </c>
      <c r="I49" s="48" t="n">
        <v>3300</v>
      </c>
      <c r="J49" s="49" t="s">
        <v>151</v>
      </c>
      <c r="K49" s="46" t="n">
        <v>-0.0021891953</v>
      </c>
      <c r="L49" s="46" t="n">
        <v>-0.1169190056</v>
      </c>
      <c r="M49" s="46" t="n">
        <v>-0.0179327967</v>
      </c>
      <c r="N49" s="46" t="n">
        <v>-0.0875331582</v>
      </c>
      <c r="O49" s="46" t="n">
        <v>0.2814962997</v>
      </c>
      <c r="P49" s="46" t="n">
        <f aca="false">IF(O49="","",O49*SQRT(25/252))</f>
        <v>0.0886630004751317</v>
      </c>
      <c r="Q49" s="46" t="n">
        <v>-0.2547284604</v>
      </c>
      <c r="R49" s="50" t="n">
        <v>0.2145905611</v>
      </c>
      <c r="S49" s="46" t="n">
        <v>0.2477020747</v>
      </c>
      <c r="T49" s="46" t="n">
        <v>-0.2409804191</v>
      </c>
      <c r="U49" s="44" t="s">
        <v>152</v>
      </c>
    </row>
    <row r="50" customFormat="false" ht="15" hidden="false" customHeight="false" outlineLevel="0" collapsed="false">
      <c r="A50" s="44" t="s">
        <v>195</v>
      </c>
      <c r="B50" s="44" t="s">
        <v>150</v>
      </c>
      <c r="C50" s="45" t="n">
        <v>2004</v>
      </c>
      <c r="D50" s="46" t="n">
        <v>0.0306</v>
      </c>
      <c r="E50" s="45" t="n">
        <v>1985.01</v>
      </c>
      <c r="F50" s="45" t="n">
        <v>2004</v>
      </c>
      <c r="G50" s="47" t="n">
        <v>0.0095211594</v>
      </c>
      <c r="H50" s="48" t="n">
        <v>19000</v>
      </c>
      <c r="I50" s="48" t="n">
        <v>2</v>
      </c>
      <c r="J50" s="49" t="s">
        <v>151</v>
      </c>
      <c r="K50" s="46" t="n">
        <v>0.1074328241</v>
      </c>
      <c r="L50" s="46" t="n">
        <v>-0.00552388</v>
      </c>
      <c r="M50" s="46" t="n">
        <v>-0.1165170108</v>
      </c>
      <c r="N50" s="46" t="n">
        <v>0.0556396241</v>
      </c>
      <c r="O50" s="46" t="n">
        <v>0.2815736384</v>
      </c>
      <c r="P50" s="46" t="n">
        <f aca="false">IF(O50="","",O50*SQRT(25/252))</f>
        <v>0.0886873598759556</v>
      </c>
      <c r="Q50" s="46" t="n">
        <v>-0.2480453576</v>
      </c>
      <c r="R50" s="50" t="n">
        <v>0.0930381153</v>
      </c>
      <c r="S50" s="46" t="n">
        <v>0.2474593132</v>
      </c>
      <c r="T50" s="46" t="n">
        <v>-0.1959037759</v>
      </c>
      <c r="U50" s="44" t="s">
        <v>152</v>
      </c>
    </row>
    <row r="51" customFormat="false" ht="15" hidden="false" customHeight="false" outlineLevel="0" collapsed="false">
      <c r="A51" s="44" t="s">
        <v>196</v>
      </c>
      <c r="B51" s="44" t="s">
        <v>154</v>
      </c>
      <c r="C51" s="45" t="n">
        <v>55.95</v>
      </c>
      <c r="D51" s="46" t="n">
        <v>0.0074</v>
      </c>
      <c r="E51" s="45" t="n">
        <v>55.92</v>
      </c>
      <c r="F51" s="45" t="n">
        <v>55.95</v>
      </c>
      <c r="G51" s="47" t="n">
        <v>0.0005363368</v>
      </c>
      <c r="H51" s="48" t="n">
        <v>200</v>
      </c>
      <c r="I51" s="48" t="n">
        <v>1322</v>
      </c>
      <c r="J51" s="49" t="s">
        <v>151</v>
      </c>
      <c r="K51" s="46" t="n">
        <v>0.0003571467</v>
      </c>
      <c r="L51" s="46" t="n">
        <v>-0.0008919559</v>
      </c>
      <c r="M51" s="46" t="n">
        <v>-0.0164809788</v>
      </c>
      <c r="N51" s="46" t="n">
        <v>-0.1254928329</v>
      </c>
      <c r="O51" s="46" t="n">
        <v>0.281606043</v>
      </c>
      <c r="P51" s="46" t="n">
        <f aca="false">IF(O51="","",O51*SQRT(25/252))</f>
        <v>0.0886975663655907</v>
      </c>
      <c r="Q51" s="46" t="n">
        <v>-0.2184310158</v>
      </c>
      <c r="R51" s="50" t="n">
        <v>0.7711894514</v>
      </c>
      <c r="S51" s="46" t="n">
        <v>0.2712469611</v>
      </c>
      <c r="T51" s="46" t="n">
        <v>-0.2022281867</v>
      </c>
      <c r="U51" s="44" t="s">
        <v>152</v>
      </c>
    </row>
    <row r="52" customFormat="false" ht="15" hidden="false" customHeight="false" outlineLevel="0" collapsed="false">
      <c r="A52" s="44" t="s">
        <v>197</v>
      </c>
      <c r="B52" s="44" t="s">
        <v>154</v>
      </c>
      <c r="C52" s="45" t="n">
        <v>175.26</v>
      </c>
      <c r="D52" s="46" t="n">
        <v>-0.0079</v>
      </c>
      <c r="E52" s="45" t="n">
        <v>175.02</v>
      </c>
      <c r="F52" s="45" t="n">
        <v>175.26</v>
      </c>
      <c r="G52" s="47" t="n">
        <v>0.0013703323</v>
      </c>
      <c r="H52" s="48" t="n">
        <v>397</v>
      </c>
      <c r="I52" s="48" t="n">
        <v>597</v>
      </c>
      <c r="J52" s="49" t="s">
        <v>151</v>
      </c>
      <c r="K52" s="46" t="n">
        <v>-0.0725097744</v>
      </c>
      <c r="L52" s="46" t="n">
        <v>-0.1371738049</v>
      </c>
      <c r="M52" s="46" t="n">
        <v>-0.0996678395</v>
      </c>
      <c r="N52" s="46" t="n">
        <v>0.0575807987</v>
      </c>
      <c r="O52" s="46" t="n">
        <v>0.2832857648</v>
      </c>
      <c r="P52" s="46" t="n">
        <f aca="false">IF(O52="","",O52*SQRT(25/252))</f>
        <v>0.0892266290030399</v>
      </c>
      <c r="Q52" s="46" t="n">
        <v>-0.1952352407</v>
      </c>
      <c r="R52" s="50" t="n">
        <v>0.9173919703</v>
      </c>
      <c r="S52" s="46" t="n">
        <v>0.2450505824</v>
      </c>
      <c r="T52" s="46" t="n">
        <v>-0.1713463617</v>
      </c>
      <c r="U52" s="44" t="s">
        <v>152</v>
      </c>
    </row>
    <row r="53" customFormat="false" ht="15" hidden="false" customHeight="false" outlineLevel="0" collapsed="false">
      <c r="A53" s="44" t="s">
        <v>198</v>
      </c>
      <c r="B53" s="44" t="s">
        <v>150</v>
      </c>
      <c r="C53" s="45" t="n">
        <v>1070</v>
      </c>
      <c r="D53" s="46" t="n">
        <v>0</v>
      </c>
      <c r="E53" s="45" t="n">
        <v>1044.91</v>
      </c>
      <c r="F53" s="45" t="n">
        <v>1096.49</v>
      </c>
      <c r="G53" s="47" t="n">
        <v>0.0481740917</v>
      </c>
      <c r="H53" s="48" t="n">
        <v>2200</v>
      </c>
      <c r="I53" s="48" t="n">
        <v>2200</v>
      </c>
      <c r="J53" s="49" t="s">
        <v>151</v>
      </c>
      <c r="K53" s="46" t="n">
        <v>-0.0175247954</v>
      </c>
      <c r="L53" s="46" t="n">
        <v>0.0596359483</v>
      </c>
      <c r="M53" s="46" t="n">
        <v>0.0430006528</v>
      </c>
      <c r="N53" s="46" t="n">
        <v>0.3507802881</v>
      </c>
      <c r="O53" s="46" t="n">
        <v>0.2875068602</v>
      </c>
      <c r="P53" s="46" t="n">
        <f aca="false">IF(O53="","",O53*SQRT(25/252))</f>
        <v>0.0905561490850255</v>
      </c>
      <c r="Q53" s="46" t="n">
        <v>-0.1452045947</v>
      </c>
      <c r="R53" s="50" t="n">
        <v>0.1803929659</v>
      </c>
      <c r="S53" s="46" t="n">
        <v>0.2922170898</v>
      </c>
      <c r="T53" s="46" t="n">
        <v>-0.2389285</v>
      </c>
      <c r="U53" s="44" t="s">
        <v>199</v>
      </c>
    </row>
    <row r="54" customFormat="false" ht="15" hidden="false" customHeight="false" outlineLevel="0" collapsed="false">
      <c r="A54" s="44" t="s">
        <v>200</v>
      </c>
      <c r="B54" s="44" t="s">
        <v>150</v>
      </c>
      <c r="C54" s="45" t="n">
        <v>1620</v>
      </c>
      <c r="D54" s="46" t="n">
        <v>-0.0518</v>
      </c>
      <c r="E54" s="45" t="n">
        <v>1602.21</v>
      </c>
      <c r="F54" s="45" t="n">
        <v>1660.49</v>
      </c>
      <c r="G54" s="47" t="n">
        <v>0.035725013</v>
      </c>
      <c r="H54" s="48" t="n">
        <v>1600</v>
      </c>
      <c r="I54" s="48" t="n">
        <v>2400</v>
      </c>
      <c r="J54" s="49" t="s">
        <v>151</v>
      </c>
      <c r="K54" s="46" t="n">
        <v>-0.0550449771</v>
      </c>
      <c r="L54" s="46" t="n">
        <v>-0.1352729162</v>
      </c>
      <c r="M54" s="46" t="n">
        <v>-0.0436215649</v>
      </c>
      <c r="N54" s="46" t="n">
        <v>0.0997340456</v>
      </c>
      <c r="O54" s="46" t="n">
        <v>0.2879860473</v>
      </c>
      <c r="P54" s="46" t="n">
        <f aca="false">IF(O54="","",O54*SQRT(25/252))</f>
        <v>0.0907070788347957</v>
      </c>
      <c r="Q54" s="46" t="n">
        <v>-0.1459131891</v>
      </c>
      <c r="R54" s="50" t="n">
        <v>0.2999946897</v>
      </c>
      <c r="S54" s="46" t="n">
        <v>0.4055061387</v>
      </c>
      <c r="T54" s="46" t="n">
        <v>-0.3092865529</v>
      </c>
      <c r="U54" s="44" t="s">
        <v>199</v>
      </c>
    </row>
    <row r="55" customFormat="false" ht="15" hidden="false" customHeight="false" outlineLevel="0" collapsed="false">
      <c r="A55" s="44" t="s">
        <v>124</v>
      </c>
      <c r="B55" s="44" t="s">
        <v>154</v>
      </c>
      <c r="C55" s="45" t="n">
        <v>202.15</v>
      </c>
      <c r="D55" s="46" t="n">
        <v>-0.016</v>
      </c>
      <c r="E55" s="45" t="n">
        <v>202.09</v>
      </c>
      <c r="F55" s="45" t="n">
        <v>202.15</v>
      </c>
      <c r="G55" s="47" t="n">
        <v>0.0002968534</v>
      </c>
      <c r="H55" s="48" t="n">
        <v>542</v>
      </c>
      <c r="I55" s="48" t="n">
        <v>205</v>
      </c>
      <c r="J55" s="49" t="s">
        <v>151</v>
      </c>
      <c r="K55" s="46" t="n">
        <v>-0.0372892751</v>
      </c>
      <c r="L55" s="46" t="n">
        <v>-0.1424511197</v>
      </c>
      <c r="M55" s="46" t="n">
        <v>-0.1731728872</v>
      </c>
      <c r="N55" s="46" t="n">
        <v>-0.0875425516</v>
      </c>
      <c r="O55" s="46" t="n">
        <v>0.2945609911</v>
      </c>
      <c r="P55" s="46" t="n">
        <f aca="false">IF(O55="","",O55*SQRT(25/252))</f>
        <v>0.092777991475156</v>
      </c>
      <c r="Q55" s="46" t="n">
        <v>-0.275445673</v>
      </c>
      <c r="R55" s="50" t="n">
        <v>0.9448995437</v>
      </c>
      <c r="S55" s="46" t="n">
        <v>0.3977578834</v>
      </c>
      <c r="T55" s="46" t="n">
        <v>-0.1763692169</v>
      </c>
      <c r="U55" s="44" t="s">
        <v>199</v>
      </c>
    </row>
    <row r="56" customFormat="false" ht="15" hidden="false" customHeight="false" outlineLevel="0" collapsed="false">
      <c r="A56" s="44" t="s">
        <v>201</v>
      </c>
      <c r="B56" s="44" t="s">
        <v>150</v>
      </c>
      <c r="C56" s="45" t="n">
        <v>5196.36</v>
      </c>
      <c r="D56" s="46" t="n">
        <v>0</v>
      </c>
      <c r="E56" s="45" t="n">
        <v>5116.81</v>
      </c>
      <c r="F56" s="45" t="n">
        <v>5366.39</v>
      </c>
      <c r="G56" s="47" t="n">
        <v>0.047615232</v>
      </c>
      <c r="H56" s="48" t="n">
        <v>600</v>
      </c>
      <c r="I56" s="48" t="n">
        <v>400</v>
      </c>
      <c r="J56" s="49" t="s">
        <v>151</v>
      </c>
      <c r="K56" s="46" t="n">
        <v>-0.0079656269</v>
      </c>
      <c r="L56" s="46" t="n">
        <v>-0.0602276553</v>
      </c>
      <c r="M56" s="46" t="n">
        <v>-0.0177035979</v>
      </c>
      <c r="N56" s="46" t="n">
        <v>0.4672964292</v>
      </c>
      <c r="O56" s="46" t="n">
        <v>0.2954435861</v>
      </c>
      <c r="P56" s="46" t="n">
        <f aca="false">IF(O56="","",O56*SQRT(25/252))</f>
        <v>0.0930559827702023</v>
      </c>
      <c r="Q56" s="46" t="n">
        <v>-0.1608446453</v>
      </c>
      <c r="R56" s="50" t="n">
        <v>0.5494482023</v>
      </c>
      <c r="S56" s="46" t="n">
        <v>0.3295092461</v>
      </c>
      <c r="T56" s="46" t="n">
        <v>-0.2170314005</v>
      </c>
      <c r="U56" s="44" t="s">
        <v>199</v>
      </c>
    </row>
    <row r="57" customFormat="false" ht="15" hidden="false" customHeight="false" outlineLevel="0" collapsed="false">
      <c r="A57" s="44" t="s">
        <v>202</v>
      </c>
      <c r="B57" s="44" t="s">
        <v>150</v>
      </c>
      <c r="C57" s="45" t="n">
        <v>2266</v>
      </c>
      <c r="D57" s="46" t="n">
        <v>0.0007</v>
      </c>
      <c r="E57" s="45" t="n">
        <v>2250.01</v>
      </c>
      <c r="F57" s="45" t="n">
        <v>2342.39</v>
      </c>
      <c r="G57" s="47" t="n">
        <v>0.0402316871</v>
      </c>
      <c r="H57" s="48" t="n">
        <v>3800</v>
      </c>
      <c r="I57" s="48" t="n">
        <v>2600</v>
      </c>
      <c r="J57" s="49" t="s">
        <v>151</v>
      </c>
      <c r="K57" s="46" t="n">
        <v>-0.027575462</v>
      </c>
      <c r="L57" s="46" t="n">
        <v>-0.0776638251</v>
      </c>
      <c r="M57" s="46" t="n">
        <v>0.0499238573</v>
      </c>
      <c r="N57" s="46" t="n">
        <v>0.2901911724</v>
      </c>
      <c r="O57" s="46" t="n">
        <v>0.3006408974</v>
      </c>
      <c r="P57" s="46" t="n">
        <f aca="false">IF(O57="","",O57*SQRT(25/252))</f>
        <v>0.0946929819590101</v>
      </c>
      <c r="Q57" s="46" t="n">
        <v>-0.1479016465</v>
      </c>
      <c r="R57" s="50" t="n">
        <v>0.4607649366</v>
      </c>
      <c r="S57" s="46" t="n">
        <v>0.2669981149</v>
      </c>
      <c r="T57" s="46" t="n">
        <v>-0.2915932479</v>
      </c>
      <c r="U57" s="44" t="s">
        <v>199</v>
      </c>
    </row>
    <row r="58" customFormat="false" ht="15" hidden="false" customHeight="false" outlineLevel="0" collapsed="false">
      <c r="A58" s="44" t="s">
        <v>203</v>
      </c>
      <c r="B58" s="44" t="s">
        <v>154</v>
      </c>
      <c r="C58" s="45" t="n">
        <v>153.36</v>
      </c>
      <c r="D58" s="46" t="n">
        <v>-0.0054</v>
      </c>
      <c r="E58" s="45" t="n">
        <v>153.36</v>
      </c>
      <c r="F58" s="45" t="n">
        <v>153.4</v>
      </c>
      <c r="G58" s="47" t="n">
        <v>0.0002607902</v>
      </c>
      <c r="H58" s="48" t="n">
        <v>9</v>
      </c>
      <c r="I58" s="48" t="n">
        <v>52</v>
      </c>
      <c r="J58" s="49" t="s">
        <v>151</v>
      </c>
      <c r="K58" s="46" t="n">
        <v>-0.0140510871</v>
      </c>
      <c r="L58" s="46" t="n">
        <v>-0.1128622729</v>
      </c>
      <c r="M58" s="46" t="n">
        <v>-0.0557761409</v>
      </c>
      <c r="N58" s="46" t="n">
        <v>-0.0373028849</v>
      </c>
      <c r="O58" s="46" t="n">
        <v>0.3010306263</v>
      </c>
      <c r="P58" s="46" t="n">
        <f aca="false">IF(O58="","",O58*SQRT(25/252))</f>
        <v>0.0948157350242643</v>
      </c>
      <c r="Q58" s="46" t="n">
        <v>-0.2045795</v>
      </c>
      <c r="R58" s="50" t="n">
        <v>0.5610671611</v>
      </c>
      <c r="S58" s="46" t="n">
        <v>0.3290642528</v>
      </c>
      <c r="T58" s="46" t="n">
        <v>-0.1725684223</v>
      </c>
      <c r="U58" s="44" t="s">
        <v>199</v>
      </c>
    </row>
    <row r="59" customFormat="false" ht="15" hidden="false" customHeight="false" outlineLevel="0" collapsed="false">
      <c r="A59" s="44" t="s">
        <v>204</v>
      </c>
      <c r="B59" s="44" t="s">
        <v>154</v>
      </c>
      <c r="C59" s="45" t="n">
        <v>139.06</v>
      </c>
      <c r="D59" s="46" t="n">
        <v>-0.0042</v>
      </c>
      <c r="E59" s="45" t="n">
        <v>139.06</v>
      </c>
      <c r="F59" s="45" t="n">
        <v>139.21</v>
      </c>
      <c r="G59" s="47" t="n">
        <v>0.0010780896</v>
      </c>
      <c r="H59" s="48" t="n">
        <v>52</v>
      </c>
      <c r="I59" s="48" t="n">
        <v>262</v>
      </c>
      <c r="J59" s="49" t="s">
        <v>151</v>
      </c>
      <c r="K59" s="46" t="n">
        <v>-0.005279343</v>
      </c>
      <c r="L59" s="46" t="n">
        <v>0.0554881623</v>
      </c>
      <c r="M59" s="46" t="n">
        <v>-0.0808227936</v>
      </c>
      <c r="N59" s="46" t="n">
        <v>-0.0932707207</v>
      </c>
      <c r="O59" s="46" t="n">
        <v>0.3015357246</v>
      </c>
      <c r="P59" s="46" t="n">
        <f aca="false">IF(O59="","",O59*SQRT(25/252))</f>
        <v>0.0949748260349121</v>
      </c>
      <c r="Q59" s="46" t="n">
        <v>-0.1985892515</v>
      </c>
      <c r="R59" s="50" t="n">
        <v>0.9779697484</v>
      </c>
      <c r="S59" s="46" t="n">
        <v>0.25634979</v>
      </c>
      <c r="T59" s="46" t="n">
        <v>-0.1911285102</v>
      </c>
      <c r="U59" s="44" t="s">
        <v>199</v>
      </c>
    </row>
    <row r="60" customFormat="false" ht="15" hidden="false" customHeight="false" outlineLevel="0" collapsed="false">
      <c r="A60" s="44" t="s">
        <v>205</v>
      </c>
      <c r="B60" s="44" t="s">
        <v>150</v>
      </c>
      <c r="C60" s="45" t="n">
        <v>2531</v>
      </c>
      <c r="D60" s="46" t="n">
        <v>-0.0117</v>
      </c>
      <c r="E60" s="45" t="n">
        <v>2480.51</v>
      </c>
      <c r="F60" s="45" t="n">
        <v>2603.49</v>
      </c>
      <c r="G60" s="47" t="n">
        <v>0.048379229</v>
      </c>
      <c r="H60" s="48" t="n">
        <v>800</v>
      </c>
      <c r="I60" s="48" t="n">
        <v>1000</v>
      </c>
      <c r="J60" s="49" t="s">
        <v>151</v>
      </c>
      <c r="K60" s="46" t="n">
        <v>0.011914094</v>
      </c>
      <c r="L60" s="46" t="n">
        <v>0.1651178001</v>
      </c>
      <c r="M60" s="46" t="n">
        <v>0.1879408029</v>
      </c>
      <c r="N60" s="46" t="n">
        <v>0.6079757204</v>
      </c>
      <c r="O60" s="46" t="n">
        <v>0.3020689721</v>
      </c>
      <c r="P60" s="46" t="n">
        <f aca="false">IF(O60="","",O60*SQRT(25/252))</f>
        <v>0.0951427832101796</v>
      </c>
      <c r="Q60" s="46" t="n">
        <v>-0.123748684</v>
      </c>
      <c r="R60" s="50" t="n">
        <v>0.2826757823</v>
      </c>
      <c r="S60" s="46" t="n">
        <v>0.2120649656</v>
      </c>
      <c r="T60" s="46" t="n">
        <v>-0.1828665766</v>
      </c>
      <c r="U60" s="44" t="s">
        <v>199</v>
      </c>
    </row>
    <row r="61" customFormat="false" ht="15" hidden="false" customHeight="false" outlineLevel="0" collapsed="false">
      <c r="A61" s="44" t="s">
        <v>206</v>
      </c>
      <c r="B61" s="44" t="s">
        <v>154</v>
      </c>
      <c r="C61" s="45" t="n">
        <v>52.47</v>
      </c>
      <c r="D61" s="46" t="n">
        <v>0.0017</v>
      </c>
      <c r="E61" s="45" t="n">
        <v>52.43</v>
      </c>
      <c r="F61" s="45" t="n">
        <v>52.47</v>
      </c>
      <c r="G61" s="47" t="n">
        <v>0.0007626311</v>
      </c>
      <c r="H61" s="48" t="n">
        <v>364</v>
      </c>
      <c r="I61" s="48" t="n">
        <v>59</v>
      </c>
      <c r="J61" s="49" t="s">
        <v>151</v>
      </c>
      <c r="K61" s="46" t="n">
        <v>0.0499101616</v>
      </c>
      <c r="L61" s="46" t="n">
        <v>-0.13786885</v>
      </c>
      <c r="M61" s="46" t="n">
        <v>-0.0614702906</v>
      </c>
      <c r="N61" s="46" t="n">
        <v>0.0444617888</v>
      </c>
      <c r="O61" s="46" t="n">
        <v>0.3051279971</v>
      </c>
      <c r="P61" s="46" t="n">
        <f aca="false">IF(O61="","",O61*SQRT(25/252))</f>
        <v>0.0961062855202188</v>
      </c>
      <c r="Q61" s="46" t="n">
        <v>-0.2254289749</v>
      </c>
      <c r="R61" s="50" t="n">
        <v>0.7705096831</v>
      </c>
      <c r="S61" s="46" t="n">
        <v>0.2970074</v>
      </c>
      <c r="T61" s="46" t="n">
        <v>-0.1764893648</v>
      </c>
      <c r="U61" s="44" t="s">
        <v>199</v>
      </c>
    </row>
    <row r="62" customFormat="false" ht="15" hidden="false" customHeight="false" outlineLevel="0" collapsed="false">
      <c r="A62" s="44" t="s">
        <v>207</v>
      </c>
      <c r="B62" s="44" t="s">
        <v>150</v>
      </c>
      <c r="C62" s="45" t="n">
        <v>11859.9</v>
      </c>
      <c r="D62" s="46" t="n">
        <v>0</v>
      </c>
      <c r="E62" s="45" t="n">
        <v>11328.81</v>
      </c>
      <c r="F62" s="45" t="n">
        <v>11899.99</v>
      </c>
      <c r="G62" s="47" t="n">
        <v>0.0491786059</v>
      </c>
      <c r="H62" s="48" t="n">
        <v>3626</v>
      </c>
      <c r="I62" s="48" t="n">
        <v>3726</v>
      </c>
      <c r="J62" s="49" t="s">
        <v>151</v>
      </c>
      <c r="K62" s="46" t="n">
        <v>0.1213524172</v>
      </c>
      <c r="L62" s="46" t="n">
        <v>0.2424935632</v>
      </c>
      <c r="M62" s="46" t="n">
        <v>0.3167123799</v>
      </c>
      <c r="N62" s="46" t="n">
        <v>0.1648063918</v>
      </c>
      <c r="O62" s="46" t="n">
        <v>0.3066498766</v>
      </c>
      <c r="P62" s="46" t="n">
        <f aca="false">IF(O62="","",O62*SQRT(25/252))</f>
        <v>0.0965856325062196</v>
      </c>
      <c r="Q62" s="46" t="n">
        <v>-0.3246027726</v>
      </c>
      <c r="R62" s="50" t="n">
        <v>0.1556072762</v>
      </c>
      <c r="S62" s="46" t="n">
        <v>0.2527655684</v>
      </c>
      <c r="T62" s="46" t="n">
        <v>-0.2254179336</v>
      </c>
      <c r="U62" s="44" t="s">
        <v>199</v>
      </c>
    </row>
    <row r="63" customFormat="false" ht="15" hidden="false" customHeight="false" outlineLevel="0" collapsed="false">
      <c r="A63" s="44" t="s">
        <v>208</v>
      </c>
      <c r="B63" s="44" t="s">
        <v>154</v>
      </c>
      <c r="C63" s="45" t="n">
        <v>12.74</v>
      </c>
      <c r="D63" s="46" t="n">
        <v>-0.007</v>
      </c>
      <c r="E63" s="45" t="n">
        <v>12.74</v>
      </c>
      <c r="F63" s="45" t="n">
        <v>12.75</v>
      </c>
      <c r="G63" s="47" t="n">
        <v>0.0007846214</v>
      </c>
      <c r="H63" s="48" t="n">
        <v>835</v>
      </c>
      <c r="I63" s="48" t="n">
        <v>753</v>
      </c>
      <c r="J63" s="49" t="s">
        <v>151</v>
      </c>
      <c r="K63" s="46" t="n">
        <v>0.0133198222</v>
      </c>
      <c r="L63" s="46" t="n">
        <v>-0.1460112954</v>
      </c>
      <c r="M63" s="46" t="n">
        <v>-0.2994905196</v>
      </c>
      <c r="N63" s="46" t="n">
        <v>-0.2828110137</v>
      </c>
      <c r="O63" s="46" t="n">
        <v>0.3067055874</v>
      </c>
      <c r="P63" s="46" t="n">
        <f aca="false">IF(O63="","",O63*SQRT(25/252))</f>
        <v>0.0966031797588554</v>
      </c>
      <c r="Q63" s="46" t="n">
        <v>-0.3530550459</v>
      </c>
      <c r="R63" s="50" t="n">
        <v>0.7199006952</v>
      </c>
      <c r="S63" s="46" t="n">
        <v>0.2731387285</v>
      </c>
      <c r="T63" s="46" t="n">
        <v>-0.2394112754</v>
      </c>
      <c r="U63" s="44" t="s">
        <v>199</v>
      </c>
    </row>
    <row r="64" customFormat="false" ht="15" hidden="false" customHeight="false" outlineLevel="0" collapsed="false">
      <c r="A64" s="44" t="s">
        <v>209</v>
      </c>
      <c r="B64" s="44" t="s">
        <v>154</v>
      </c>
      <c r="C64" s="45" t="n">
        <v>13.89</v>
      </c>
      <c r="D64" s="46" t="n">
        <v>0.0161</v>
      </c>
      <c r="E64" s="45" t="n">
        <v>13.89</v>
      </c>
      <c r="F64" s="45" t="n">
        <v>13.9</v>
      </c>
      <c r="G64" s="47" t="n">
        <v>0.0007196833</v>
      </c>
      <c r="H64" s="48" t="n">
        <v>300</v>
      </c>
      <c r="I64" s="48" t="n">
        <v>910</v>
      </c>
      <c r="J64" s="49" t="s">
        <v>151</v>
      </c>
      <c r="K64" s="46" t="n">
        <v>-0.0520904881</v>
      </c>
      <c r="L64" s="46" t="n">
        <v>-0.0462069018</v>
      </c>
      <c r="M64" s="46" t="n">
        <v>-0.1303124992</v>
      </c>
      <c r="N64" s="46" t="n">
        <v>-0.2547468002</v>
      </c>
      <c r="O64" s="46" t="n">
        <v>0.3123981603</v>
      </c>
      <c r="P64" s="46" t="n">
        <f aca="false">IF(O64="","",O64*SQRT(25/252))</f>
        <v>0.0983961716890347</v>
      </c>
      <c r="Q64" s="46" t="n">
        <v>-0.438845053</v>
      </c>
      <c r="R64" s="50" t="n">
        <v>0.373788174</v>
      </c>
      <c r="S64" s="46" t="n">
        <v>0.3582513699</v>
      </c>
      <c r="T64" s="46" t="n">
        <v>-0.2872496219</v>
      </c>
      <c r="U64" s="44" t="s">
        <v>199</v>
      </c>
    </row>
    <row r="65" customFormat="false" ht="15" hidden="false" customHeight="false" outlineLevel="0" collapsed="false">
      <c r="A65" s="44" t="s">
        <v>210</v>
      </c>
      <c r="B65" s="44" t="s">
        <v>154</v>
      </c>
      <c r="C65" s="45" t="n">
        <v>16.41</v>
      </c>
      <c r="D65" s="46" t="n">
        <v>-0.0061</v>
      </c>
      <c r="E65" s="45" t="n">
        <v>16.36</v>
      </c>
      <c r="F65" s="45" t="n">
        <v>16.41</v>
      </c>
      <c r="G65" s="47" t="n">
        <v>0.0030515716</v>
      </c>
      <c r="H65" s="48" t="n">
        <v>21551</v>
      </c>
      <c r="I65" s="48" t="n">
        <v>100</v>
      </c>
      <c r="J65" s="49" t="s">
        <v>151</v>
      </c>
      <c r="K65" s="46" t="n">
        <v>-0.0370805868</v>
      </c>
      <c r="L65" s="46" t="n">
        <v>-0.0543351831</v>
      </c>
      <c r="M65" s="46" t="n">
        <v>-0.0185447047</v>
      </c>
      <c r="N65" s="46" t="n">
        <v>-0.0127951552</v>
      </c>
      <c r="O65" s="46" t="n">
        <v>0.3149092104</v>
      </c>
      <c r="P65" s="46" t="n">
        <f aca="false">IF(O65="","",O65*SQRT(25/252))</f>
        <v>0.0991870781288232</v>
      </c>
      <c r="Q65" s="46" t="n">
        <v>-0.2544943272</v>
      </c>
      <c r="R65" s="50" t="n">
        <v>0.2924386126</v>
      </c>
      <c r="S65" s="46" t="n">
        <v>0.6945565571</v>
      </c>
      <c r="T65" s="46" t="n">
        <v>-0.268948685</v>
      </c>
      <c r="U65" s="44" t="s">
        <v>199</v>
      </c>
    </row>
    <row r="66" customFormat="false" ht="15" hidden="false" customHeight="false" outlineLevel="0" collapsed="false">
      <c r="A66" s="44" t="s">
        <v>211</v>
      </c>
      <c r="B66" s="44" t="s">
        <v>154</v>
      </c>
      <c r="C66" s="45" t="n">
        <v>354.39</v>
      </c>
      <c r="D66" s="46" t="n">
        <v>-0.0205</v>
      </c>
      <c r="E66" s="45" t="n">
        <v>354.39</v>
      </c>
      <c r="F66" s="45" t="n">
        <v>354.82</v>
      </c>
      <c r="G66" s="47" t="n">
        <v>0.0012126169</v>
      </c>
      <c r="H66" s="48" t="n">
        <v>479</v>
      </c>
      <c r="I66" s="48" t="n">
        <v>666</v>
      </c>
      <c r="J66" s="49" t="s">
        <v>151</v>
      </c>
      <c r="K66" s="46" t="n">
        <v>0.0198511986</v>
      </c>
      <c r="L66" s="46" t="n">
        <v>-0.1383704483</v>
      </c>
      <c r="M66" s="46" t="n">
        <v>-0.1652754759</v>
      </c>
      <c r="N66" s="46" t="n">
        <v>-0.1487422942</v>
      </c>
      <c r="O66" s="46" t="n">
        <v>0.3198103492</v>
      </c>
      <c r="P66" s="46" t="n">
        <f aca="false">IF(O66="","",O66*SQRT(25/252))</f>
        <v>0.100730791748562</v>
      </c>
      <c r="Q66" s="46" t="n">
        <v>-0.3296203871</v>
      </c>
      <c r="R66" s="50" t="n">
        <v>0.9508074777</v>
      </c>
      <c r="S66" s="46" t="n">
        <v>0.3994615328</v>
      </c>
      <c r="T66" s="46" t="n">
        <v>-0.191080903</v>
      </c>
      <c r="U66" s="44" t="s">
        <v>199</v>
      </c>
    </row>
    <row r="67" customFormat="false" ht="15" hidden="false" customHeight="false" outlineLevel="0" collapsed="false">
      <c r="A67" s="44" t="s">
        <v>212</v>
      </c>
      <c r="B67" s="44" t="s">
        <v>150</v>
      </c>
      <c r="C67" s="45" t="n">
        <v>1009.06</v>
      </c>
      <c r="D67" s="46" t="n">
        <v>-0.0046</v>
      </c>
      <c r="E67" s="45" t="n">
        <v>1000.41</v>
      </c>
      <c r="F67" s="45" t="n">
        <v>1049.19</v>
      </c>
      <c r="G67" s="47" t="n">
        <v>0.0475995316</v>
      </c>
      <c r="H67" s="48" t="n">
        <v>1000</v>
      </c>
      <c r="I67" s="48" t="n">
        <v>1515</v>
      </c>
      <c r="J67" s="49" t="s">
        <v>151</v>
      </c>
      <c r="K67" s="46" t="n">
        <v>0.0334819652</v>
      </c>
      <c r="L67" s="46" t="n">
        <v>0.3070839926</v>
      </c>
      <c r="M67" s="46" t="n">
        <v>0.4529145268</v>
      </c>
      <c r="N67" s="46" t="n">
        <v>0.5791200108</v>
      </c>
      <c r="O67" s="46" t="n">
        <v>0.3222531852</v>
      </c>
      <c r="P67" s="46" t="n">
        <f aca="false">IF(O67="","",O67*SQRT(25/252))</f>
        <v>0.101500212766386</v>
      </c>
      <c r="Q67" s="46" t="n">
        <v>-0.1825702768</v>
      </c>
      <c r="R67" s="50" t="n">
        <v>0.6842098254</v>
      </c>
      <c r="S67" s="46" t="n">
        <v>0.2665397281</v>
      </c>
      <c r="T67" s="46" t="n">
        <v>-0.183305716</v>
      </c>
      <c r="U67" s="44" t="s">
        <v>199</v>
      </c>
    </row>
    <row r="68" customFormat="false" ht="15" hidden="false" customHeight="false" outlineLevel="0" collapsed="false">
      <c r="A68" s="44" t="s">
        <v>213</v>
      </c>
      <c r="B68" s="44" t="s">
        <v>150</v>
      </c>
      <c r="C68" s="45" t="n">
        <v>2805</v>
      </c>
      <c r="D68" s="46" t="n">
        <v>0.0212</v>
      </c>
      <c r="E68" s="45" t="n">
        <v>2755.91</v>
      </c>
      <c r="F68" s="45" t="n">
        <v>2886.09</v>
      </c>
      <c r="G68" s="47" t="n">
        <v>0.0461467565</v>
      </c>
      <c r="H68" s="48" t="n">
        <v>1000</v>
      </c>
      <c r="I68" s="48" t="n">
        <v>1200</v>
      </c>
      <c r="J68" s="49" t="s">
        <v>151</v>
      </c>
      <c r="K68" s="46" t="n">
        <v>0.0453119426</v>
      </c>
      <c r="L68" s="46" t="n">
        <v>0.1837823737</v>
      </c>
      <c r="M68" s="46" t="n">
        <v>0.3088569997</v>
      </c>
      <c r="N68" s="46" t="n">
        <v>0.7697492816</v>
      </c>
      <c r="O68" s="46" t="n">
        <v>0.3244180138</v>
      </c>
      <c r="P68" s="46" t="n">
        <f aca="false">IF(O68="","",O68*SQRT(25/252))</f>
        <v>0.102182069683848</v>
      </c>
      <c r="Q68" s="46" t="n">
        <v>-0.1381219243</v>
      </c>
      <c r="R68" s="50" t="n">
        <v>0.1498762407</v>
      </c>
      <c r="S68" s="46" t="n">
        <v>0.2841301284</v>
      </c>
      <c r="T68" s="46" t="n">
        <v>-0.2493420957</v>
      </c>
      <c r="U68" s="44" t="s">
        <v>199</v>
      </c>
    </row>
    <row r="69" customFormat="false" ht="15" hidden="false" customHeight="false" outlineLevel="0" collapsed="false">
      <c r="A69" s="44" t="s">
        <v>214</v>
      </c>
      <c r="B69" s="44" t="s">
        <v>150</v>
      </c>
      <c r="C69" s="45" t="n">
        <v>1593</v>
      </c>
      <c r="D69" s="46" t="n">
        <v>-0.0013</v>
      </c>
      <c r="E69" s="45" t="n">
        <v>1562.11</v>
      </c>
      <c r="F69" s="45" t="n">
        <v>1638.29</v>
      </c>
      <c r="G69" s="47" t="n">
        <v>0.0476065492</v>
      </c>
      <c r="H69" s="48" t="n">
        <v>2400</v>
      </c>
      <c r="I69" s="48" t="n">
        <v>1600</v>
      </c>
      <c r="J69" s="49" t="s">
        <v>151</v>
      </c>
      <c r="K69" s="46" t="n">
        <v>-0.0222465104</v>
      </c>
      <c r="L69" s="46" t="n">
        <v>-0.1313171405</v>
      </c>
      <c r="M69" s="46" t="n">
        <v>0.1637196478</v>
      </c>
      <c r="N69" s="46" t="n">
        <v>0.1504986378</v>
      </c>
      <c r="O69" s="46" t="n">
        <v>0.3264295697</v>
      </c>
      <c r="P69" s="46" t="n">
        <f aca="false">IF(O69="","",O69*SQRT(25/252))</f>
        <v>0.102815650238574</v>
      </c>
      <c r="Q69" s="46" t="n">
        <v>-0.2246868712</v>
      </c>
      <c r="R69" s="50" t="n">
        <v>0.1688057016</v>
      </c>
      <c r="S69" s="46" t="n">
        <v>0.4842742439</v>
      </c>
      <c r="T69" s="46" t="n">
        <v>-0.286440645</v>
      </c>
      <c r="U69" s="44" t="s">
        <v>199</v>
      </c>
    </row>
    <row r="70" customFormat="false" ht="15" hidden="false" customHeight="false" outlineLevel="0" collapsed="false">
      <c r="A70" s="44" t="s">
        <v>47</v>
      </c>
      <c r="B70" s="44" t="s">
        <v>150</v>
      </c>
      <c r="C70" s="45" t="n">
        <v>6350</v>
      </c>
      <c r="D70" s="46" t="n">
        <v>0.0075</v>
      </c>
      <c r="E70" s="45" t="n">
        <v>6350</v>
      </c>
      <c r="F70" s="45" t="n">
        <v>6359.99</v>
      </c>
      <c r="G70" s="47" t="n">
        <v>0.0015719918</v>
      </c>
      <c r="H70" s="48" t="n">
        <v>7</v>
      </c>
      <c r="I70" s="48" t="n">
        <v>450</v>
      </c>
      <c r="J70" s="49" t="s">
        <v>151</v>
      </c>
      <c r="K70" s="46" t="n">
        <v>0.1225872531</v>
      </c>
      <c r="L70" s="46" t="n">
        <v>0.0026145169</v>
      </c>
      <c r="M70" s="46" t="n">
        <v>0.1310033257</v>
      </c>
      <c r="N70" s="46" t="n">
        <v>0.3963736493</v>
      </c>
      <c r="O70" s="46" t="n">
        <v>0.3281488174</v>
      </c>
      <c r="P70" s="46" t="n">
        <f aca="false">IF(O70="","",O70*SQRT(25/252))</f>
        <v>0.103357162364327</v>
      </c>
      <c r="Q70" s="46" t="n">
        <v>-0.2025714816</v>
      </c>
      <c r="R70" s="50" t="n">
        <v>0.4287217232</v>
      </c>
      <c r="S70" s="46" t="n">
        <v>0.3714268079</v>
      </c>
      <c r="T70" s="46" t="n">
        <v>-0.2154108308</v>
      </c>
      <c r="U70" s="44" t="s">
        <v>199</v>
      </c>
    </row>
    <row r="71" customFormat="false" ht="15" hidden="false" customHeight="false" outlineLevel="0" collapsed="false">
      <c r="A71" s="44" t="s">
        <v>122</v>
      </c>
      <c r="B71" s="44" t="s">
        <v>150</v>
      </c>
      <c r="C71" s="45" t="n">
        <v>9640</v>
      </c>
      <c r="D71" s="46" t="n">
        <v>0.0124</v>
      </c>
      <c r="E71" s="45" t="n">
        <v>9643.37</v>
      </c>
      <c r="F71" s="45" t="n">
        <v>9661.05</v>
      </c>
      <c r="G71" s="47" t="n">
        <v>0.0018317049</v>
      </c>
      <c r="H71" s="48" t="n">
        <v>200</v>
      </c>
      <c r="I71" s="48" t="n">
        <v>950</v>
      </c>
      <c r="J71" s="49" t="s">
        <v>151</v>
      </c>
      <c r="K71" s="46" t="n">
        <v>0.1480224327</v>
      </c>
      <c r="L71" s="46" t="n">
        <v>0.4158039697</v>
      </c>
      <c r="M71" s="46" t="n">
        <v>0.4723299461</v>
      </c>
      <c r="N71" s="46" t="n">
        <v>0.0014898183</v>
      </c>
      <c r="O71" s="46" t="n">
        <v>0.328904699</v>
      </c>
      <c r="P71" s="46" t="n">
        <f aca="false">IF(O71="","",O71*SQRT(25/252))</f>
        <v>0.103595242689828</v>
      </c>
      <c r="Q71" s="46" t="n">
        <v>-0.372984368</v>
      </c>
      <c r="R71" s="50" t="n">
        <v>0.0849317584</v>
      </c>
      <c r="S71" s="46" t="n">
        <v>0.3234826297</v>
      </c>
      <c r="T71" s="46" t="n">
        <v>-0.2215459735</v>
      </c>
      <c r="U71" s="44" t="s">
        <v>199</v>
      </c>
    </row>
    <row r="72" customFormat="false" ht="15" hidden="false" customHeight="false" outlineLevel="0" collapsed="false">
      <c r="A72" s="44" t="s">
        <v>48</v>
      </c>
      <c r="B72" s="44" t="s">
        <v>154</v>
      </c>
      <c r="C72" s="45" t="n">
        <v>17.35</v>
      </c>
      <c r="D72" s="46" t="n">
        <v>0</v>
      </c>
      <c r="E72" s="45" t="n">
        <v>17.34</v>
      </c>
      <c r="F72" s="45" t="n">
        <v>17.35</v>
      </c>
      <c r="G72" s="47" t="n">
        <v>0.000576535</v>
      </c>
      <c r="H72" s="48" t="n">
        <v>23993</v>
      </c>
      <c r="I72" s="48" t="n">
        <v>2456</v>
      </c>
      <c r="J72" s="49" t="s">
        <v>151</v>
      </c>
      <c r="K72" s="46" t="n">
        <v>-0.0678869753</v>
      </c>
      <c r="L72" s="46" t="n">
        <v>-0.2020223248</v>
      </c>
      <c r="M72" s="46" t="n">
        <v>-0.1539637696</v>
      </c>
      <c r="N72" s="46" t="n">
        <v>0.0627863971</v>
      </c>
      <c r="O72" s="46" t="n">
        <v>0.3318662688</v>
      </c>
      <c r="P72" s="46" t="n">
        <f aca="false">IF(O72="","",O72*SQRT(25/252))</f>
        <v>0.104528049497109</v>
      </c>
      <c r="Q72" s="46" t="n">
        <v>-0.2730191737</v>
      </c>
      <c r="R72" s="50" t="n">
        <v>1.3092958739</v>
      </c>
      <c r="S72" s="46" t="n">
        <v>0.3426102697</v>
      </c>
      <c r="T72" s="46" t="n">
        <v>-0.2058047458</v>
      </c>
      <c r="U72" s="44" t="s">
        <v>199</v>
      </c>
    </row>
    <row r="73" customFormat="false" ht="15" hidden="false" customHeight="false" outlineLevel="0" collapsed="false">
      <c r="A73" s="44" t="s">
        <v>215</v>
      </c>
      <c r="B73" s="44" t="s">
        <v>150</v>
      </c>
      <c r="C73" s="45" t="n">
        <v>1356.75</v>
      </c>
      <c r="D73" s="46" t="n">
        <v>-0.0097</v>
      </c>
      <c r="E73" s="45" t="n">
        <v>1356.75</v>
      </c>
      <c r="F73" s="45" t="n">
        <v>1393.19</v>
      </c>
      <c r="G73" s="47" t="n">
        <v>0.0265023964</v>
      </c>
      <c r="H73" s="48" t="n">
        <v>5</v>
      </c>
      <c r="I73" s="48" t="n">
        <v>1200</v>
      </c>
      <c r="J73" s="49" t="s">
        <v>151</v>
      </c>
      <c r="K73" s="46" t="n">
        <v>-0.1203669162</v>
      </c>
      <c r="L73" s="46" t="n">
        <v>-0.231103456</v>
      </c>
      <c r="M73" s="46" t="n">
        <v>-0.2628559975</v>
      </c>
      <c r="N73" s="46" t="n">
        <v>-0.3989519554</v>
      </c>
      <c r="O73" s="46" t="n">
        <v>0.3346667936</v>
      </c>
      <c r="P73" s="46" t="n">
        <f aca="false">IF(O73="","",O73*SQRT(25/252))</f>
        <v>0.10541013189726</v>
      </c>
      <c r="Q73" s="46" t="n">
        <v>-0.4451163871</v>
      </c>
      <c r="R73" s="50" t="n">
        <v>0.3647154895</v>
      </c>
      <c r="S73" s="46" t="n">
        <v>0.3819996681</v>
      </c>
      <c r="T73" s="46" t="n">
        <v>-0.242169548</v>
      </c>
      <c r="U73" s="44" t="s">
        <v>199</v>
      </c>
    </row>
    <row r="74" customFormat="false" ht="15" hidden="false" customHeight="false" outlineLevel="0" collapsed="false">
      <c r="A74" s="44" t="s">
        <v>216</v>
      </c>
      <c r="B74" s="44" t="s">
        <v>150</v>
      </c>
      <c r="C74" s="45" t="n">
        <v>3314.78</v>
      </c>
      <c r="D74" s="46" t="n">
        <v>0</v>
      </c>
      <c r="E74" s="45"/>
      <c r="F74" s="45"/>
      <c r="G74" s="47"/>
      <c r="H74" s="48" t="n">
        <v>0</v>
      </c>
      <c r="I74" s="48" t="n">
        <v>0</v>
      </c>
      <c r="J74" s="49" t="s">
        <v>217</v>
      </c>
      <c r="K74" s="46" t="n">
        <v>-0.0016192089</v>
      </c>
      <c r="L74" s="46" t="n">
        <v>0.0694559936</v>
      </c>
      <c r="M74" s="46" t="n">
        <v>0.0640540549</v>
      </c>
      <c r="N74" s="46" t="n">
        <v>0.2829484224</v>
      </c>
      <c r="O74" s="46" t="n">
        <v>0.3410396278</v>
      </c>
      <c r="P74" s="46" t="n">
        <f aca="false">IF(O74="","",O74*SQRT(25/252))</f>
        <v>0.107417385997242</v>
      </c>
      <c r="Q74" s="46" t="n">
        <v>-0.1887096229</v>
      </c>
      <c r="R74" s="50" t="n">
        <v>-0.3872484438</v>
      </c>
      <c r="S74" s="46" t="n">
        <v>0.2456011844</v>
      </c>
      <c r="T74" s="46" t="n">
        <v>-0.2384881365</v>
      </c>
      <c r="U74" s="44" t="s">
        <v>199</v>
      </c>
    </row>
    <row r="75" customFormat="false" ht="15" hidden="false" customHeight="false" outlineLevel="0" collapsed="false">
      <c r="A75" s="44" t="s">
        <v>218</v>
      </c>
      <c r="B75" s="44" t="s">
        <v>150</v>
      </c>
      <c r="C75" s="45" t="n">
        <v>5431.18</v>
      </c>
      <c r="D75" s="46" t="n">
        <v>-0.0035</v>
      </c>
      <c r="E75" s="45" t="n">
        <v>5379.01</v>
      </c>
      <c r="F75" s="45" t="n">
        <v>5637.29</v>
      </c>
      <c r="G75" s="47" t="n">
        <v>0.0468905168</v>
      </c>
      <c r="H75" s="48" t="n">
        <v>400</v>
      </c>
      <c r="I75" s="48" t="n">
        <v>300</v>
      </c>
      <c r="J75" s="49" t="s">
        <v>151</v>
      </c>
      <c r="K75" s="46" t="n">
        <v>-0.0055228145</v>
      </c>
      <c r="L75" s="46" t="n">
        <v>-0.1314965019</v>
      </c>
      <c r="M75" s="46" t="n">
        <v>0.0033227431</v>
      </c>
      <c r="N75" s="46" t="n">
        <v>-0.0071765881</v>
      </c>
      <c r="O75" s="46" t="n">
        <v>0.3423361057</v>
      </c>
      <c r="P75" s="46" t="n">
        <f aca="false">IF(O75="","",O75*SQRT(25/252))</f>
        <v>0.107825738152443</v>
      </c>
      <c r="Q75" s="46" t="n">
        <v>-0.2057641747</v>
      </c>
      <c r="R75" s="50" t="n">
        <v>0.7106191705</v>
      </c>
      <c r="S75" s="46" t="n">
        <v>0.327969037</v>
      </c>
      <c r="T75" s="46" t="n">
        <v>-0.2133134324</v>
      </c>
      <c r="U75" s="44" t="s">
        <v>199</v>
      </c>
    </row>
    <row r="76" customFormat="false" ht="15" hidden="false" customHeight="false" outlineLevel="0" collapsed="false">
      <c r="A76" s="44" t="s">
        <v>219</v>
      </c>
      <c r="B76" s="44" t="s">
        <v>154</v>
      </c>
      <c r="C76" s="45" t="n">
        <v>36.36</v>
      </c>
      <c r="D76" s="46" t="n">
        <v>-0.0101</v>
      </c>
      <c r="E76" s="45" t="n">
        <v>36.35</v>
      </c>
      <c r="F76" s="45" t="n">
        <v>36.36</v>
      </c>
      <c r="G76" s="47" t="n">
        <v>0.0002750653</v>
      </c>
      <c r="H76" s="48" t="n">
        <v>599</v>
      </c>
      <c r="I76" s="48" t="n">
        <v>1466</v>
      </c>
      <c r="J76" s="49" t="s">
        <v>151</v>
      </c>
      <c r="K76" s="46" t="n">
        <v>-0.0820499861</v>
      </c>
      <c r="L76" s="46" t="n">
        <v>-0.1035503112</v>
      </c>
      <c r="M76" s="46" t="n">
        <v>-0.2746604854</v>
      </c>
      <c r="N76" s="46" t="n">
        <v>-0.1713903183</v>
      </c>
      <c r="O76" s="46" t="n">
        <v>0.3477914926</v>
      </c>
      <c r="P76" s="46" t="n">
        <f aca="false">IF(O76="","",O76*SQRT(25/252))</f>
        <v>0.10954402351471</v>
      </c>
      <c r="Q76" s="46" t="n">
        <v>-0.3290511709</v>
      </c>
      <c r="R76" s="50" t="n">
        <v>0.8552179331</v>
      </c>
      <c r="S76" s="46" t="n">
        <v>0.3340864491</v>
      </c>
      <c r="T76" s="46" t="n">
        <v>-0.230769237</v>
      </c>
      <c r="U76" s="44" t="s">
        <v>199</v>
      </c>
    </row>
    <row r="77" customFormat="false" ht="15" hidden="false" customHeight="false" outlineLevel="0" collapsed="false">
      <c r="A77" s="44" t="s">
        <v>220</v>
      </c>
      <c r="B77" s="44" t="s">
        <v>150</v>
      </c>
      <c r="C77" s="45" t="n">
        <v>4705</v>
      </c>
      <c r="D77" s="46" t="n">
        <v>0.0053</v>
      </c>
      <c r="E77" s="45" t="n">
        <v>4691.84</v>
      </c>
      <c r="F77" s="45" t="n">
        <v>4710</v>
      </c>
      <c r="G77" s="47" t="n">
        <v>0.0038630736</v>
      </c>
      <c r="H77" s="48" t="n">
        <v>1400</v>
      </c>
      <c r="I77" s="48" t="n">
        <v>2</v>
      </c>
      <c r="J77" s="49" t="s">
        <v>151</v>
      </c>
      <c r="K77" s="46" t="n">
        <v>0.0906893491</v>
      </c>
      <c r="L77" s="46" t="n">
        <v>0.0818710266</v>
      </c>
      <c r="M77" s="46" t="n">
        <v>0.1419767988</v>
      </c>
      <c r="N77" s="46" t="n">
        <v>0.144627708</v>
      </c>
      <c r="O77" s="46" t="n">
        <v>0.3479375237</v>
      </c>
      <c r="P77" s="46" t="n">
        <f aca="false">IF(O77="","",O77*SQRT(25/252))</f>
        <v>0.109590018987838</v>
      </c>
      <c r="Q77" s="46" t="n">
        <v>-0.2741839344</v>
      </c>
      <c r="R77" s="50" t="n">
        <v>0.3249248234</v>
      </c>
      <c r="S77" s="46" t="n">
        <v>0.3291528084</v>
      </c>
      <c r="T77" s="46" t="n">
        <v>-0.2274853933</v>
      </c>
      <c r="U77" s="44" t="s">
        <v>199</v>
      </c>
    </row>
    <row r="78" customFormat="false" ht="15" hidden="false" customHeight="false" outlineLevel="0" collapsed="false">
      <c r="A78" s="44" t="s">
        <v>221</v>
      </c>
      <c r="B78" s="44" t="s">
        <v>150</v>
      </c>
      <c r="C78" s="45" t="n">
        <v>640.99</v>
      </c>
      <c r="D78" s="46" t="n">
        <v>-0.0078</v>
      </c>
      <c r="E78" s="45" t="n">
        <v>637.01</v>
      </c>
      <c r="F78" s="45" t="n">
        <v>662.19</v>
      </c>
      <c r="G78" s="47" t="n">
        <v>0.0387623153</v>
      </c>
      <c r="H78" s="48" t="n">
        <v>2400</v>
      </c>
      <c r="I78" s="48" t="n">
        <v>2400</v>
      </c>
      <c r="J78" s="49" t="s">
        <v>151</v>
      </c>
      <c r="K78" s="46" t="n">
        <v>-0.127293307</v>
      </c>
      <c r="L78" s="46" t="n">
        <v>-0.2141293902</v>
      </c>
      <c r="M78" s="46" t="n">
        <v>-0.3190164709</v>
      </c>
      <c r="N78" s="46" t="n">
        <v>-0.3122510399</v>
      </c>
      <c r="O78" s="46" t="n">
        <v>0.353293288</v>
      </c>
      <c r="P78" s="46" t="n">
        <f aca="false">IF(O78="","",O78*SQRT(25/252))</f>
        <v>0.111276926180514</v>
      </c>
      <c r="Q78" s="46" t="n">
        <v>-0.4879243677</v>
      </c>
      <c r="R78" s="50" t="n">
        <v>0.3604623689</v>
      </c>
      <c r="S78" s="46" t="n">
        <v>0.3855020686</v>
      </c>
      <c r="T78" s="46" t="n">
        <v>-0.3200970552</v>
      </c>
      <c r="U78" s="44" t="s">
        <v>199</v>
      </c>
    </row>
    <row r="79" customFormat="false" ht="15" hidden="false" customHeight="false" outlineLevel="0" collapsed="false">
      <c r="A79" s="44" t="s">
        <v>222</v>
      </c>
      <c r="B79" s="44" t="s">
        <v>150</v>
      </c>
      <c r="C79" s="45" t="n">
        <v>20650</v>
      </c>
      <c r="D79" s="46" t="n">
        <v>-0.0377</v>
      </c>
      <c r="E79" s="45" t="n">
        <v>20500.01</v>
      </c>
      <c r="F79" s="45" t="n">
        <v>21032.99</v>
      </c>
      <c r="G79" s="47" t="n">
        <v>0.0256653745</v>
      </c>
      <c r="H79" s="48" t="n">
        <v>1200</v>
      </c>
      <c r="I79" s="48" t="n">
        <v>1200</v>
      </c>
      <c r="J79" s="49" t="s">
        <v>151</v>
      </c>
      <c r="K79" s="46" t="n">
        <v>0.0789927882</v>
      </c>
      <c r="L79" s="46" t="n">
        <v>-0.014599218</v>
      </c>
      <c r="M79" s="46" t="n">
        <v>0.2347461946</v>
      </c>
      <c r="N79" s="46" t="n">
        <v>0.3342604002</v>
      </c>
      <c r="O79" s="46" t="n">
        <v>0.3544513814</v>
      </c>
      <c r="P79" s="46" t="n">
        <f aca="false">IF(O79="","",O79*SQRT(25/252))</f>
        <v>0.111641691315203</v>
      </c>
      <c r="Q79" s="46" t="n">
        <v>-0.2778877471</v>
      </c>
      <c r="R79" s="50" t="n">
        <v>0.0373219173</v>
      </c>
      <c r="S79" s="46" t="n">
        <v>0.3973296234</v>
      </c>
      <c r="T79" s="46" t="n">
        <v>-0.2187398992</v>
      </c>
      <c r="U79" s="44" t="s">
        <v>199</v>
      </c>
    </row>
    <row r="80" customFormat="false" ht="15" hidden="false" customHeight="false" outlineLevel="0" collapsed="false">
      <c r="A80" s="44" t="s">
        <v>223</v>
      </c>
      <c r="B80" s="44" t="s">
        <v>150</v>
      </c>
      <c r="C80" s="45" t="n">
        <v>1460</v>
      </c>
      <c r="D80" s="46" t="n">
        <v>0</v>
      </c>
      <c r="E80" s="45" t="n">
        <v>1435.01</v>
      </c>
      <c r="F80" s="45" t="n">
        <v>1504.99</v>
      </c>
      <c r="G80" s="47" t="n">
        <v>0.0476054422</v>
      </c>
      <c r="H80" s="48" t="n">
        <v>1000</v>
      </c>
      <c r="I80" s="48" t="n">
        <v>1000</v>
      </c>
      <c r="J80" s="49" t="s">
        <v>151</v>
      </c>
      <c r="K80" s="46" t="n">
        <v>0.0299174677</v>
      </c>
      <c r="L80" s="46" t="n">
        <v>0.0706095463</v>
      </c>
      <c r="M80" s="46" t="n">
        <v>0.0943194508</v>
      </c>
      <c r="N80" s="46" t="n">
        <v>0.4012472129</v>
      </c>
      <c r="O80" s="46" t="n">
        <v>0.3557469471</v>
      </c>
      <c r="P80" s="46" t="n">
        <f aca="false">IF(O80="","",O80*SQRT(25/252))</f>
        <v>0.112049756154411</v>
      </c>
      <c r="Q80" s="46" t="n">
        <v>-0.178375769</v>
      </c>
      <c r="R80" s="50" t="n">
        <v>0.4226149072</v>
      </c>
      <c r="S80" s="46" t="n">
        <v>0.3188549974</v>
      </c>
      <c r="T80" s="46" t="n">
        <v>-0.1649879916</v>
      </c>
      <c r="U80" s="44" t="s">
        <v>199</v>
      </c>
    </row>
    <row r="81" customFormat="false" ht="15" hidden="false" customHeight="false" outlineLevel="0" collapsed="false">
      <c r="A81" s="44" t="s">
        <v>224</v>
      </c>
      <c r="B81" s="44" t="s">
        <v>150</v>
      </c>
      <c r="C81" s="45" t="n">
        <v>3342.37</v>
      </c>
      <c r="D81" s="46" t="n">
        <v>-0.0128</v>
      </c>
      <c r="E81" s="45" t="n">
        <v>3323.01</v>
      </c>
      <c r="F81" s="45" t="n">
        <v>3422.72</v>
      </c>
      <c r="G81" s="47" t="n">
        <v>0.0295624047</v>
      </c>
      <c r="H81" s="48" t="n">
        <v>1200</v>
      </c>
      <c r="I81" s="48" t="n">
        <v>1050</v>
      </c>
      <c r="J81" s="49" t="s">
        <v>151</v>
      </c>
      <c r="K81" s="46" t="n">
        <v>-0.041417209</v>
      </c>
      <c r="L81" s="46" t="n">
        <v>-0.1417092252</v>
      </c>
      <c r="M81" s="46" t="n">
        <v>-0.1284888727</v>
      </c>
      <c r="N81" s="46" t="n">
        <v>-0.1774223565</v>
      </c>
      <c r="O81" s="46" t="n">
        <v>0.3558507584</v>
      </c>
      <c r="P81" s="46" t="n">
        <f aca="false">IF(O81="","",O81*SQRT(25/252))</f>
        <v>0.112082453640492</v>
      </c>
      <c r="Q81" s="46" t="n">
        <v>-0.2572533524</v>
      </c>
      <c r="R81" s="50" t="n">
        <v>0.531952129</v>
      </c>
      <c r="S81" s="46" t="n">
        <v>0.4177011395</v>
      </c>
      <c r="T81" s="46" t="n">
        <v>-0.2379195399</v>
      </c>
      <c r="U81" s="44" t="s">
        <v>199</v>
      </c>
    </row>
    <row r="82" customFormat="false" ht="15" hidden="false" customHeight="false" outlineLevel="0" collapsed="false">
      <c r="A82" s="44" t="s">
        <v>225</v>
      </c>
      <c r="B82" s="44" t="s">
        <v>154</v>
      </c>
      <c r="C82" s="45" t="n">
        <v>144.8</v>
      </c>
      <c r="D82" s="46" t="n">
        <v>0.0132</v>
      </c>
      <c r="E82" s="45" t="n">
        <v>144.01</v>
      </c>
      <c r="F82" s="45" t="n">
        <v>144.76</v>
      </c>
      <c r="G82" s="47" t="n">
        <v>0.0051944454</v>
      </c>
      <c r="H82" s="48" t="n">
        <v>130</v>
      </c>
      <c r="I82" s="48" t="n">
        <v>457</v>
      </c>
      <c r="J82" s="49" t="s">
        <v>151</v>
      </c>
      <c r="K82" s="46" t="n">
        <v>0.068254169</v>
      </c>
      <c r="L82" s="46" t="n">
        <v>0.1438752527</v>
      </c>
      <c r="M82" s="46" t="n">
        <v>-0.0227758451</v>
      </c>
      <c r="N82" s="46" t="n">
        <v>0.1156148806</v>
      </c>
      <c r="O82" s="46" t="n">
        <v>0.3566332696</v>
      </c>
      <c r="P82" s="46" t="n">
        <f aca="false">IF(O82="","",O82*SQRT(25/252))</f>
        <v>0.112328921501601</v>
      </c>
      <c r="Q82" s="46" t="n">
        <v>-0.1867359914</v>
      </c>
      <c r="R82" s="50" t="n">
        <v>1.0594383114</v>
      </c>
      <c r="S82" s="46" t="n">
        <v>0.4412966466</v>
      </c>
      <c r="T82" s="46" t="n">
        <v>-0.1853889444</v>
      </c>
      <c r="U82" s="44" t="s">
        <v>199</v>
      </c>
    </row>
    <row r="83" customFormat="false" ht="15" hidden="false" customHeight="false" outlineLevel="0" collapsed="false">
      <c r="A83" s="44" t="s">
        <v>226</v>
      </c>
      <c r="B83" s="44" t="s">
        <v>154</v>
      </c>
      <c r="C83" s="45" t="n">
        <v>14.64</v>
      </c>
      <c r="D83" s="46" t="n">
        <v>-0.0108</v>
      </c>
      <c r="E83" s="45" t="n">
        <v>14.63</v>
      </c>
      <c r="F83" s="45" t="n">
        <v>14.64</v>
      </c>
      <c r="G83" s="47" t="n">
        <v>0.0006832935</v>
      </c>
      <c r="H83" s="48" t="n">
        <v>14760</v>
      </c>
      <c r="I83" s="48" t="n">
        <v>800</v>
      </c>
      <c r="J83" s="49" t="s">
        <v>151</v>
      </c>
      <c r="K83" s="46" t="n">
        <v>0.0929368043</v>
      </c>
      <c r="L83" s="46" t="n">
        <v>0.1675932987</v>
      </c>
      <c r="M83" s="46" t="n">
        <v>0.4244186283</v>
      </c>
      <c r="N83" s="46" t="n">
        <v>0.3920453812</v>
      </c>
      <c r="O83" s="46" t="n">
        <v>0.3575400546</v>
      </c>
      <c r="P83" s="46" t="n">
        <f aca="false">IF(O83="","",O83*SQRT(25/252))</f>
        <v>0.112614531930483</v>
      </c>
      <c r="Q83" s="46" t="n">
        <v>-0.2124402208</v>
      </c>
      <c r="R83" s="50" t="n">
        <v>-0.1297940409</v>
      </c>
      <c r="S83" s="46" t="n">
        <v>0.3544910063</v>
      </c>
      <c r="T83" s="46" t="n">
        <v>-0.3126915754</v>
      </c>
      <c r="U83" s="44" t="s">
        <v>199</v>
      </c>
    </row>
    <row r="84" customFormat="false" ht="15" hidden="false" customHeight="false" outlineLevel="0" collapsed="false">
      <c r="A84" s="44" t="s">
        <v>227</v>
      </c>
      <c r="B84" s="44" t="s">
        <v>150</v>
      </c>
      <c r="C84" s="45" t="n">
        <v>6700</v>
      </c>
      <c r="D84" s="46" t="n">
        <v>-0.0118</v>
      </c>
      <c r="E84" s="45" t="n">
        <v>6600.21</v>
      </c>
      <c r="F84" s="45" t="n">
        <v>6799.99</v>
      </c>
      <c r="G84" s="47" t="n">
        <v>0.0298174654</v>
      </c>
      <c r="H84" s="48" t="n">
        <v>1600</v>
      </c>
      <c r="I84" s="48" t="n">
        <v>1400</v>
      </c>
      <c r="J84" s="49" t="s">
        <v>151</v>
      </c>
      <c r="K84" s="46" t="n">
        <v>0.0100834002</v>
      </c>
      <c r="L84" s="46" t="n">
        <v>-0.09849306</v>
      </c>
      <c r="M84" s="46" t="n">
        <v>0.260988336</v>
      </c>
      <c r="N84" s="46" t="n">
        <v>0.0272204044</v>
      </c>
      <c r="O84" s="46" t="n">
        <v>0.3580566736</v>
      </c>
      <c r="P84" s="46" t="n">
        <f aca="false">IF(O84="","",O84*SQRT(25/252))</f>
        <v>0.112777251620551</v>
      </c>
      <c r="Q84" s="46" t="n">
        <v>-0.3114456439</v>
      </c>
      <c r="R84" s="50" t="n">
        <v>0.1809162672</v>
      </c>
      <c r="S84" s="46" t="n">
        <v>0.429328842</v>
      </c>
      <c r="T84" s="46" t="n">
        <v>-0.5588313661</v>
      </c>
      <c r="U84" s="44" t="s">
        <v>199</v>
      </c>
    </row>
    <row r="85" customFormat="false" ht="15" hidden="false" customHeight="false" outlineLevel="0" collapsed="false">
      <c r="A85" s="44" t="s">
        <v>228</v>
      </c>
      <c r="B85" s="44" t="s">
        <v>150</v>
      </c>
      <c r="C85" s="45" t="n">
        <v>1249.97</v>
      </c>
      <c r="D85" s="46" t="n">
        <v>0.0154</v>
      </c>
      <c r="E85" s="45" t="n">
        <v>1247.03</v>
      </c>
      <c r="F85" s="45" t="n">
        <v>1257.49</v>
      </c>
      <c r="G85" s="47" t="n">
        <v>0.008352898</v>
      </c>
      <c r="H85" s="48" t="n">
        <v>5750</v>
      </c>
      <c r="I85" s="48" t="n">
        <v>4750</v>
      </c>
      <c r="J85" s="49" t="s">
        <v>151</v>
      </c>
      <c r="K85" s="46" t="n">
        <v>0.0288623882</v>
      </c>
      <c r="L85" s="46" t="n">
        <v>-0.0540487397</v>
      </c>
      <c r="M85" s="46" t="n">
        <v>-0.0129197739</v>
      </c>
      <c r="N85" s="46" t="n">
        <v>-0.3104558595</v>
      </c>
      <c r="O85" s="46" t="n">
        <v>0.3618185487</v>
      </c>
      <c r="P85" s="46" t="n">
        <f aca="false">IF(O85="","",O85*SQRT(25/252))</f>
        <v>0.113962130903632</v>
      </c>
      <c r="Q85" s="46" t="n">
        <v>-0.3758438125</v>
      </c>
      <c r="R85" s="50" t="n">
        <v>0.2231584226</v>
      </c>
      <c r="S85" s="46" t="n">
        <v>0.3477360453</v>
      </c>
      <c r="T85" s="46" t="n">
        <v>-0.2352131362</v>
      </c>
      <c r="U85" s="44" t="s">
        <v>199</v>
      </c>
    </row>
    <row r="86" customFormat="false" ht="15" hidden="false" customHeight="false" outlineLevel="0" collapsed="false">
      <c r="A86" s="44" t="s">
        <v>229</v>
      </c>
      <c r="B86" s="44" t="s">
        <v>150</v>
      </c>
      <c r="C86" s="45" t="n">
        <v>2109.2</v>
      </c>
      <c r="D86" s="46" t="n">
        <v>-0.0037</v>
      </c>
      <c r="E86" s="45" t="n">
        <v>2061.81</v>
      </c>
      <c r="F86" s="45" t="n">
        <v>2163.19</v>
      </c>
      <c r="G86" s="47" t="n">
        <v>0.0479905325</v>
      </c>
      <c r="H86" s="48" t="n">
        <v>16000</v>
      </c>
      <c r="I86" s="48" t="n">
        <v>15000</v>
      </c>
      <c r="J86" s="49" t="s">
        <v>151</v>
      </c>
      <c r="K86" s="46" t="n">
        <v>0.1322785012</v>
      </c>
      <c r="L86" s="46" t="n">
        <v>-0.0152035087</v>
      </c>
      <c r="M86" s="46" t="n">
        <v>0.449363257</v>
      </c>
      <c r="N86" s="46" t="n">
        <v>0.6802969723</v>
      </c>
      <c r="O86" s="46" t="n">
        <v>0.3621211769</v>
      </c>
      <c r="P86" s="46" t="n">
        <f aca="false">IF(O86="","",O86*SQRT(25/252))</f>
        <v>0.114057449827075</v>
      </c>
      <c r="Q86" s="46" t="n">
        <v>-0.1913172547</v>
      </c>
      <c r="R86" s="50" t="n">
        <v>0.362492387</v>
      </c>
      <c r="S86" s="46" t="n">
        <v>0.4497663668</v>
      </c>
      <c r="T86" s="46" t="n">
        <v>-0.1655889576</v>
      </c>
      <c r="U86" s="44" t="s">
        <v>199</v>
      </c>
    </row>
    <row r="87" customFormat="false" ht="15" hidden="false" customHeight="false" outlineLevel="0" collapsed="false">
      <c r="A87" s="44" t="s">
        <v>230</v>
      </c>
      <c r="B87" s="44" t="s">
        <v>150</v>
      </c>
      <c r="C87" s="45" t="n">
        <v>888</v>
      </c>
      <c r="D87" s="46" t="n">
        <v>0.0326</v>
      </c>
      <c r="E87" s="45" t="n">
        <v>865.21</v>
      </c>
      <c r="F87" s="45" t="n">
        <v>906.39</v>
      </c>
      <c r="G87" s="47" t="n">
        <v>0.0464890494</v>
      </c>
      <c r="H87" s="48" t="n">
        <v>1400</v>
      </c>
      <c r="I87" s="48" t="n">
        <v>2800</v>
      </c>
      <c r="J87" s="49" t="s">
        <v>151</v>
      </c>
      <c r="K87" s="46" t="n">
        <v>0.0675664503</v>
      </c>
      <c r="L87" s="46" t="n">
        <v>0.1938398019</v>
      </c>
      <c r="M87" s="46" t="n">
        <v>0.0660320115</v>
      </c>
      <c r="N87" s="46" t="n">
        <v>0.4040848854</v>
      </c>
      <c r="O87" s="46" t="n">
        <v>0.3628018738</v>
      </c>
      <c r="P87" s="46" t="n">
        <f aca="false">IF(O87="","",O87*SQRT(25/252))</f>
        <v>0.114271849197981</v>
      </c>
      <c r="Q87" s="46" t="n">
        <v>-0.2413952775</v>
      </c>
      <c r="R87" s="50" t="n">
        <v>-0.4220819744</v>
      </c>
      <c r="S87" s="46" t="n">
        <v>0.2583951552</v>
      </c>
      <c r="T87" s="46" t="n">
        <v>-0.2264321457</v>
      </c>
      <c r="U87" s="44" t="s">
        <v>199</v>
      </c>
    </row>
    <row r="88" customFormat="false" ht="15" hidden="false" customHeight="false" outlineLevel="0" collapsed="false">
      <c r="A88" s="44" t="s">
        <v>231</v>
      </c>
      <c r="B88" s="44" t="s">
        <v>150</v>
      </c>
      <c r="C88" s="45" t="n">
        <v>2945</v>
      </c>
      <c r="D88" s="46" t="n">
        <v>0.021</v>
      </c>
      <c r="E88" s="45" t="n">
        <v>2887.51</v>
      </c>
      <c r="F88" s="45" t="n">
        <v>2999.99</v>
      </c>
      <c r="G88" s="47" t="n">
        <v>0.0382097665</v>
      </c>
      <c r="H88" s="48" t="n">
        <v>7800</v>
      </c>
      <c r="I88" s="48" t="n">
        <v>7400</v>
      </c>
      <c r="J88" s="49" t="s">
        <v>151</v>
      </c>
      <c r="K88" s="46" t="n">
        <v>0.018234055</v>
      </c>
      <c r="L88" s="46" t="n">
        <v>0.1205377246</v>
      </c>
      <c r="M88" s="46" t="n">
        <v>0.2961488722</v>
      </c>
      <c r="N88" s="46" t="n">
        <v>0.3289495026</v>
      </c>
      <c r="O88" s="46" t="n">
        <v>0.3669792633</v>
      </c>
      <c r="P88" s="46" t="n">
        <f aca="false">IF(O88="","",O88*SQRT(25/252))</f>
        <v>0.115587603215416</v>
      </c>
      <c r="Q88" s="46" t="n">
        <v>-0.2052299998</v>
      </c>
      <c r="R88" s="50" t="n">
        <v>0.2406974437</v>
      </c>
      <c r="S88" s="46" t="n">
        <v>0.3073908661</v>
      </c>
      <c r="T88" s="46" t="n">
        <v>-0.2537027696</v>
      </c>
      <c r="U88" s="44" t="s">
        <v>199</v>
      </c>
    </row>
    <row r="89" customFormat="false" ht="15" hidden="false" customHeight="false" outlineLevel="0" collapsed="false">
      <c r="A89" s="44" t="s">
        <v>49</v>
      </c>
      <c r="B89" s="44" t="s">
        <v>154</v>
      </c>
      <c r="C89" s="45" t="n">
        <v>231.6</v>
      </c>
      <c r="D89" s="46" t="n">
        <v>0.0041</v>
      </c>
      <c r="E89" s="45" t="n">
        <v>231.58</v>
      </c>
      <c r="F89" s="45" t="n">
        <v>231.6</v>
      </c>
      <c r="G89" s="47" t="n">
        <v>8.63595E-005</v>
      </c>
      <c r="H89" s="48" t="n">
        <v>2926</v>
      </c>
      <c r="I89" s="48" t="n">
        <v>3477</v>
      </c>
      <c r="J89" s="49" t="s">
        <v>151</v>
      </c>
      <c r="K89" s="46" t="n">
        <v>0.0073619205</v>
      </c>
      <c r="L89" s="46" t="n">
        <v>0.1743149294</v>
      </c>
      <c r="M89" s="46" t="n">
        <v>0.1327430242</v>
      </c>
      <c r="N89" s="46" t="n">
        <v>0.7337300363</v>
      </c>
      <c r="O89" s="46" t="n">
        <v>0.3689908251</v>
      </c>
      <c r="P89" s="46" t="n">
        <f aca="false">IF(O89="","",O89*SQRT(25/252))</f>
        <v>0.116221185628468</v>
      </c>
      <c r="Q89" s="46" t="n">
        <v>-0.2106841748</v>
      </c>
      <c r="R89" s="50" t="n">
        <v>1.7015402173</v>
      </c>
      <c r="S89" s="46" t="n">
        <v>0.3109282085</v>
      </c>
      <c r="T89" s="46" t="n">
        <v>-0.1616125728</v>
      </c>
      <c r="U89" s="44" t="s">
        <v>199</v>
      </c>
    </row>
    <row r="90" customFormat="false" ht="15" hidden="false" customHeight="false" outlineLevel="0" collapsed="false">
      <c r="A90" s="44" t="s">
        <v>232</v>
      </c>
      <c r="B90" s="44" t="s">
        <v>150</v>
      </c>
      <c r="C90" s="45" t="n">
        <v>1090</v>
      </c>
      <c r="D90" s="46" t="n">
        <v>0.0453</v>
      </c>
      <c r="E90" s="45" t="n">
        <v>1065</v>
      </c>
      <c r="F90" s="45" t="n">
        <v>1086</v>
      </c>
      <c r="G90" s="47" t="n">
        <v>0.019525802</v>
      </c>
      <c r="H90" s="48" t="n">
        <v>3600</v>
      </c>
      <c r="I90" s="48" t="n">
        <v>8</v>
      </c>
      <c r="J90" s="49" t="s">
        <v>151</v>
      </c>
      <c r="K90" s="46" t="n">
        <v>0.0388783355</v>
      </c>
      <c r="L90" s="46" t="n">
        <v>0.160927318</v>
      </c>
      <c r="M90" s="46" t="n">
        <v>0.0594504523</v>
      </c>
      <c r="N90" s="46" t="n">
        <v>0.315255069</v>
      </c>
      <c r="O90" s="46" t="n">
        <v>0.3704691158</v>
      </c>
      <c r="P90" s="46" t="n">
        <f aca="false">IF(O90="","",O90*SQRT(25/252))</f>
        <v>0.116686803432951</v>
      </c>
      <c r="Q90" s="46" t="n">
        <v>-0.2989863274</v>
      </c>
      <c r="R90" s="50" t="n">
        <v>-0.4441516722</v>
      </c>
      <c r="S90" s="46" t="n">
        <v>0.3877788138</v>
      </c>
      <c r="T90" s="46" t="n">
        <v>-0.2390791517</v>
      </c>
      <c r="U90" s="44" t="s">
        <v>199</v>
      </c>
    </row>
    <row r="91" customFormat="false" ht="15" hidden="false" customHeight="false" outlineLevel="0" collapsed="false">
      <c r="A91" s="44" t="s">
        <v>233</v>
      </c>
      <c r="B91" s="44" t="s">
        <v>150</v>
      </c>
      <c r="C91" s="45" t="n">
        <v>1293</v>
      </c>
      <c r="D91" s="46" t="n">
        <v>0.0295</v>
      </c>
      <c r="E91" s="45" t="n">
        <v>1292</v>
      </c>
      <c r="F91" s="45" t="n">
        <v>1293</v>
      </c>
      <c r="G91" s="47" t="n">
        <v>0.0007736944</v>
      </c>
      <c r="H91" s="48" t="n">
        <v>2086</v>
      </c>
      <c r="I91" s="48" t="n">
        <v>6</v>
      </c>
      <c r="J91" s="49" t="s">
        <v>151</v>
      </c>
      <c r="K91" s="46" t="n">
        <v>-0.0060460295</v>
      </c>
      <c r="L91" s="46" t="n">
        <v>-0.0069156143</v>
      </c>
      <c r="M91" s="46" t="n">
        <v>-0.2822538414</v>
      </c>
      <c r="N91" s="46" t="n">
        <v>-0.4149219225</v>
      </c>
      <c r="O91" s="46" t="n">
        <v>0.3774606375</v>
      </c>
      <c r="P91" s="46" t="n">
        <f aca="false">IF(O91="","",O91*SQRT(25/252))</f>
        <v>0.118888925778679</v>
      </c>
      <c r="Q91" s="46" t="n">
        <v>-0.4808528601</v>
      </c>
      <c r="R91" s="50" t="n">
        <v>-0.0553666366</v>
      </c>
      <c r="S91" s="46" t="n">
        <v>0.3297969894</v>
      </c>
      <c r="T91" s="46" t="n">
        <v>-0.2027730247</v>
      </c>
      <c r="U91" s="44" t="s">
        <v>199</v>
      </c>
    </row>
    <row r="92" customFormat="false" ht="15" hidden="false" customHeight="false" outlineLevel="0" collapsed="false">
      <c r="A92" s="44" t="s">
        <v>234</v>
      </c>
      <c r="B92" s="44" t="s">
        <v>150</v>
      </c>
      <c r="C92" s="45" t="n">
        <v>623.11</v>
      </c>
      <c r="D92" s="46" t="n">
        <v>0.0169</v>
      </c>
      <c r="E92" s="45" t="n">
        <v>623</v>
      </c>
      <c r="F92" s="45" t="n">
        <v>623.11</v>
      </c>
      <c r="G92" s="47" t="n">
        <v>0.0001765494</v>
      </c>
      <c r="H92" s="48" t="n">
        <v>3</v>
      </c>
      <c r="I92" s="48" t="n">
        <v>23</v>
      </c>
      <c r="J92" s="49" t="s">
        <v>151</v>
      </c>
      <c r="K92" s="46" t="n">
        <v>-0.0242686686</v>
      </c>
      <c r="L92" s="46" t="n">
        <v>-0.1996727858</v>
      </c>
      <c r="M92" s="46" t="n">
        <v>-0.1814366087</v>
      </c>
      <c r="N92" s="46" t="n">
        <v>-0.4962404498</v>
      </c>
      <c r="O92" s="46" t="n">
        <v>0.3782951442</v>
      </c>
      <c r="P92" s="46" t="n">
        <f aca="false">IF(O92="","",O92*SQRT(25/252))</f>
        <v>0.119151770682919</v>
      </c>
      <c r="Q92" s="46" t="n">
        <v>-0.5100110519</v>
      </c>
      <c r="R92" s="50" t="n">
        <v>0.1842203004</v>
      </c>
      <c r="S92" s="46" t="n">
        <v>0.2892539881</v>
      </c>
      <c r="T92" s="46" t="n">
        <v>-0.3120141483</v>
      </c>
      <c r="U92" s="44" t="s">
        <v>199</v>
      </c>
    </row>
    <row r="93" customFormat="false" ht="15" hidden="false" customHeight="false" outlineLevel="0" collapsed="false">
      <c r="A93" s="44" t="s">
        <v>235</v>
      </c>
      <c r="B93" s="44" t="s">
        <v>150</v>
      </c>
      <c r="C93" s="45" t="n">
        <v>219.1</v>
      </c>
      <c r="D93" s="46" t="n">
        <v>0.008</v>
      </c>
      <c r="E93" s="45" t="n">
        <v>216.04</v>
      </c>
      <c r="F93" s="45" t="n">
        <v>220.29</v>
      </c>
      <c r="G93" s="47" t="n">
        <v>0.0194806683</v>
      </c>
      <c r="H93" s="48" t="n">
        <v>16500</v>
      </c>
      <c r="I93" s="48" t="n">
        <v>49500</v>
      </c>
      <c r="J93" s="49" t="s">
        <v>151</v>
      </c>
      <c r="K93" s="46" t="n">
        <v>-0.0479608001</v>
      </c>
      <c r="L93" s="46" t="n">
        <v>-0.1085833206</v>
      </c>
      <c r="M93" s="46" t="n">
        <v>0.037878924</v>
      </c>
      <c r="N93" s="46" t="n">
        <v>0.0367822555</v>
      </c>
      <c r="O93" s="46" t="n">
        <v>0.380093555</v>
      </c>
      <c r="P93" s="46" t="n">
        <f aca="false">IF(O93="","",O93*SQRT(25/252))</f>
        <v>0.119718216841482</v>
      </c>
      <c r="Q93" s="46" t="n">
        <v>-0.2749083153</v>
      </c>
      <c r="R93" s="50" t="n">
        <v>0.4665861054</v>
      </c>
      <c r="S93" s="46" t="n">
        <v>0.4124067436</v>
      </c>
      <c r="T93" s="46" t="n">
        <v>-0.2191977523</v>
      </c>
      <c r="U93" s="44" t="s">
        <v>199</v>
      </c>
    </row>
    <row r="94" customFormat="false" ht="15" hidden="false" customHeight="false" outlineLevel="0" collapsed="false">
      <c r="A94" s="44" t="s">
        <v>123</v>
      </c>
      <c r="B94" s="44" t="s">
        <v>150</v>
      </c>
      <c r="C94" s="45" t="n">
        <v>4279</v>
      </c>
      <c r="D94" s="46" t="n">
        <v>0.0027</v>
      </c>
      <c r="E94" s="45" t="n">
        <v>4271.01</v>
      </c>
      <c r="F94" s="45" t="n">
        <v>4289.99</v>
      </c>
      <c r="G94" s="47" t="n">
        <v>0.0044340614</v>
      </c>
      <c r="H94" s="48" t="n">
        <v>3600</v>
      </c>
      <c r="I94" s="48" t="n">
        <v>3200</v>
      </c>
      <c r="J94" s="49" t="s">
        <v>151</v>
      </c>
      <c r="K94" s="46" t="n">
        <v>0.1202481645</v>
      </c>
      <c r="L94" s="46" t="n">
        <v>0.1451840157</v>
      </c>
      <c r="M94" s="46" t="n">
        <v>0.322071993</v>
      </c>
      <c r="N94" s="46" t="n">
        <v>0.250276712</v>
      </c>
      <c r="O94" s="46" t="n">
        <v>0.3832974973</v>
      </c>
      <c r="P94" s="46" t="n">
        <f aca="false">IF(O94="","",O94*SQRT(25/252))</f>
        <v>0.120727363810625</v>
      </c>
      <c r="Q94" s="46" t="n">
        <v>-0.224200844</v>
      </c>
      <c r="R94" s="50" t="n">
        <v>0.4785276526</v>
      </c>
      <c r="S94" s="46" t="n">
        <v>0.6567966007</v>
      </c>
      <c r="T94" s="46" t="n">
        <v>-0.2643580084</v>
      </c>
      <c r="U94" s="44" t="s">
        <v>199</v>
      </c>
    </row>
    <row r="95" customFormat="false" ht="15" hidden="false" customHeight="false" outlineLevel="0" collapsed="false">
      <c r="A95" s="44" t="s">
        <v>236</v>
      </c>
      <c r="B95" s="44" t="s">
        <v>154</v>
      </c>
      <c r="C95" s="45" t="n">
        <v>21.66</v>
      </c>
      <c r="D95" s="46" t="n">
        <v>-0.0261</v>
      </c>
      <c r="E95" s="45" t="n">
        <v>21.65</v>
      </c>
      <c r="F95" s="45" t="n">
        <v>21.66</v>
      </c>
      <c r="G95" s="47" t="n">
        <v>0.0004617871</v>
      </c>
      <c r="H95" s="48" t="n">
        <v>2373</v>
      </c>
      <c r="I95" s="48" t="n">
        <v>606</v>
      </c>
      <c r="J95" s="49" t="s">
        <v>151</v>
      </c>
      <c r="K95" s="46" t="n">
        <v>0.0693215259</v>
      </c>
      <c r="L95" s="46" t="n">
        <v>-0.0346205354</v>
      </c>
      <c r="M95" s="46" t="n">
        <v>0.0211267971</v>
      </c>
      <c r="N95" s="46" t="n">
        <v>0.2608695652</v>
      </c>
      <c r="O95" s="46" t="n">
        <v>0.3867376989</v>
      </c>
      <c r="P95" s="46" t="n">
        <f aca="false">IF(O95="","",O95*SQRT(25/252))</f>
        <v>0.121810925464616</v>
      </c>
      <c r="Q95" s="46" t="n">
        <v>-0.2301748602</v>
      </c>
      <c r="R95" s="50" t="n">
        <v>0.8728663586</v>
      </c>
      <c r="S95" s="46" t="n">
        <v>0.3827874829</v>
      </c>
      <c r="T95" s="46" t="n">
        <v>-0.251695396</v>
      </c>
      <c r="U95" s="44" t="s">
        <v>199</v>
      </c>
    </row>
    <row r="96" customFormat="false" ht="15" hidden="false" customHeight="false" outlineLevel="0" collapsed="false">
      <c r="A96" s="44" t="s">
        <v>237</v>
      </c>
      <c r="B96" s="44" t="s">
        <v>154</v>
      </c>
      <c r="C96" s="45" t="n">
        <v>7.89</v>
      </c>
      <c r="D96" s="46" t="n">
        <v>-0.005</v>
      </c>
      <c r="E96" s="45" t="n">
        <v>7.88</v>
      </c>
      <c r="F96" s="45" t="n">
        <v>7.89</v>
      </c>
      <c r="G96" s="47" t="n">
        <v>0.0012682308</v>
      </c>
      <c r="H96" s="48" t="n">
        <v>13644</v>
      </c>
      <c r="I96" s="48" t="n">
        <v>3067</v>
      </c>
      <c r="J96" s="49" t="s">
        <v>151</v>
      </c>
      <c r="K96" s="46" t="n">
        <v>-0.0596658703</v>
      </c>
      <c r="L96" s="46" t="n">
        <v>-0.1909650616</v>
      </c>
      <c r="M96" s="46" t="n">
        <v>-0.2408477815</v>
      </c>
      <c r="N96" s="46" t="n">
        <v>-0.1590181205</v>
      </c>
      <c r="O96" s="46" t="n">
        <v>0.4002931038</v>
      </c>
      <c r="P96" s="46" t="n">
        <f aca="false">IF(O96="","",O96*SQRT(25/252))</f>
        <v>0.126080476689162</v>
      </c>
      <c r="Q96" s="46" t="n">
        <v>-0.3552742936</v>
      </c>
      <c r="R96" s="50" t="n">
        <v>0.5715900078</v>
      </c>
      <c r="S96" s="46" t="n">
        <v>0.4299999607</v>
      </c>
      <c r="T96" s="46" t="n">
        <v>-0.2513761325</v>
      </c>
      <c r="U96" s="44" t="s">
        <v>199</v>
      </c>
    </row>
    <row r="97" customFormat="false" ht="15" hidden="false" customHeight="false" outlineLevel="0" collapsed="false">
      <c r="A97" s="44" t="s">
        <v>238</v>
      </c>
      <c r="B97" s="44" t="s">
        <v>150</v>
      </c>
      <c r="C97" s="45" t="n">
        <v>465</v>
      </c>
      <c r="D97" s="46" t="n">
        <v>0.0571</v>
      </c>
      <c r="E97" s="45" t="n">
        <v>455.01</v>
      </c>
      <c r="F97" s="45" t="n">
        <v>471.99</v>
      </c>
      <c r="G97" s="47" t="n">
        <v>0.0366343042</v>
      </c>
      <c r="H97" s="48" t="n">
        <v>4800</v>
      </c>
      <c r="I97" s="48" t="n">
        <v>4800</v>
      </c>
      <c r="J97" s="49" t="s">
        <v>151</v>
      </c>
      <c r="K97" s="46" t="n">
        <v>0.3693166132</v>
      </c>
      <c r="L97" s="46" t="n">
        <v>0.2112472262</v>
      </c>
      <c r="M97" s="46" t="n">
        <v>0.1542638887</v>
      </c>
      <c r="N97" s="46" t="n">
        <v>0.0314208205</v>
      </c>
      <c r="O97" s="46" t="n">
        <v>0.4026451273</v>
      </c>
      <c r="P97" s="46" t="n">
        <f aca="false">IF(O97="","",O97*SQRT(25/252))</f>
        <v>0.126821294458065</v>
      </c>
      <c r="Q97" s="46" t="n">
        <v>-0.3455733127</v>
      </c>
      <c r="R97" s="50" t="n">
        <v>0.0401752321</v>
      </c>
      <c r="S97" s="46" t="n">
        <v>3.5550545849</v>
      </c>
      <c r="T97" s="46" t="n">
        <v>-0.423650478</v>
      </c>
      <c r="U97" s="44" t="s">
        <v>199</v>
      </c>
    </row>
    <row r="98" customFormat="false" ht="15" hidden="false" customHeight="false" outlineLevel="0" collapsed="false">
      <c r="A98" s="44" t="s">
        <v>239</v>
      </c>
      <c r="B98" s="44" t="s">
        <v>150</v>
      </c>
      <c r="C98" s="45" t="n">
        <v>1478.74</v>
      </c>
      <c r="D98" s="46" t="n">
        <v>-0.0076</v>
      </c>
      <c r="E98" s="45" t="n">
        <v>1451.81</v>
      </c>
      <c r="F98" s="45" t="n">
        <v>1523.19</v>
      </c>
      <c r="G98" s="47" t="n">
        <v>0.0479865546</v>
      </c>
      <c r="H98" s="48" t="n">
        <v>1600</v>
      </c>
      <c r="I98" s="48" t="n">
        <v>1600</v>
      </c>
      <c r="J98" s="49" t="s">
        <v>151</v>
      </c>
      <c r="K98" s="46" t="n">
        <v>0.1046157625</v>
      </c>
      <c r="L98" s="46" t="n">
        <v>-0.040260223</v>
      </c>
      <c r="M98" s="46" t="n">
        <v>0.2493792944</v>
      </c>
      <c r="N98" s="46" t="n">
        <v>0.4319795776</v>
      </c>
      <c r="O98" s="46" t="n">
        <v>0.4045981377</v>
      </c>
      <c r="P98" s="46" t="n">
        <f aca="false">IF(O98="","",O98*SQRT(25/252))</f>
        <v>0.127436434913579</v>
      </c>
      <c r="Q98" s="46" t="n">
        <v>-0.2183496643</v>
      </c>
      <c r="R98" s="50" t="n">
        <v>0.6389114635</v>
      </c>
      <c r="S98" s="46" t="n">
        <v>0.3867481087</v>
      </c>
      <c r="T98" s="46" t="n">
        <v>-0.3963181205</v>
      </c>
      <c r="U98" s="44" t="s">
        <v>199</v>
      </c>
    </row>
    <row r="99" customFormat="false" ht="15" hidden="false" customHeight="false" outlineLevel="0" collapsed="false">
      <c r="A99" s="44" t="s">
        <v>240</v>
      </c>
      <c r="B99" s="44" t="s">
        <v>150</v>
      </c>
      <c r="C99" s="45" t="n">
        <v>8479.99</v>
      </c>
      <c r="D99" s="46" t="n">
        <v>-0.0029</v>
      </c>
      <c r="E99" s="45" t="n">
        <v>8427.01</v>
      </c>
      <c r="F99" s="45" t="n">
        <v>8479.99</v>
      </c>
      <c r="G99" s="47" t="n">
        <v>0.0062672266</v>
      </c>
      <c r="H99" s="48" t="n">
        <v>4400</v>
      </c>
      <c r="I99" s="48" t="n">
        <v>4600</v>
      </c>
      <c r="J99" s="49" t="s">
        <v>151</v>
      </c>
      <c r="K99" s="46" t="n">
        <v>0.1367441989</v>
      </c>
      <c r="L99" s="46" t="n">
        <v>0.0991700865</v>
      </c>
      <c r="M99" s="46" t="n">
        <v>0.3154800964</v>
      </c>
      <c r="N99" s="46" t="n">
        <v>0.5643162682</v>
      </c>
      <c r="O99" s="46" t="n">
        <v>0.4107294225</v>
      </c>
      <c r="P99" s="46" t="n">
        <f aca="false">IF(O99="","",O99*SQRT(25/252))</f>
        <v>0.129367608103831</v>
      </c>
      <c r="Q99" s="46" t="n">
        <v>-0.2170463698</v>
      </c>
      <c r="R99" s="50" t="n">
        <v>0.8262030115</v>
      </c>
      <c r="S99" s="46" t="n">
        <v>0.3599491872</v>
      </c>
      <c r="T99" s="46" t="n">
        <v>-0.2152468499</v>
      </c>
      <c r="U99" s="44" t="s">
        <v>199</v>
      </c>
    </row>
    <row r="100" customFormat="false" ht="15" hidden="false" customHeight="false" outlineLevel="0" collapsed="false">
      <c r="A100" s="44" t="s">
        <v>241</v>
      </c>
      <c r="B100" s="44" t="s">
        <v>150</v>
      </c>
      <c r="C100" s="45" t="n">
        <v>14650</v>
      </c>
      <c r="D100" s="46" t="n">
        <v>0.0021</v>
      </c>
      <c r="E100" s="45" t="n">
        <v>14590.01</v>
      </c>
      <c r="F100" s="45" t="n">
        <v>14988.79</v>
      </c>
      <c r="G100" s="47" t="n">
        <v>0.0269639066</v>
      </c>
      <c r="H100" s="48" t="n">
        <v>500</v>
      </c>
      <c r="I100" s="48" t="n">
        <v>400</v>
      </c>
      <c r="J100" s="49" t="s">
        <v>151</v>
      </c>
      <c r="K100" s="46" t="n">
        <v>0.0532030051</v>
      </c>
      <c r="L100" s="46" t="n">
        <v>-0.1288309871</v>
      </c>
      <c r="M100" s="46" t="n">
        <v>0.0617401014</v>
      </c>
      <c r="N100" s="46" t="n">
        <v>0.6420478464</v>
      </c>
      <c r="O100" s="46" t="n">
        <v>0.4153055234</v>
      </c>
      <c r="P100" s="46" t="n">
        <f aca="false">IF(O100="","",O100*SQRT(25/252))</f>
        <v>0.130808944408085</v>
      </c>
      <c r="Q100" s="46" t="n">
        <v>-0.2875565691</v>
      </c>
      <c r="R100" s="50" t="n">
        <v>1.0068008329</v>
      </c>
      <c r="S100" s="46" t="n">
        <v>0.3112614667</v>
      </c>
      <c r="T100" s="46" t="n">
        <v>-0.2398079746</v>
      </c>
      <c r="U100" s="44" t="s">
        <v>199</v>
      </c>
    </row>
    <row r="101" customFormat="false" ht="15" hidden="false" customHeight="false" outlineLevel="0" collapsed="false">
      <c r="A101" s="44" t="s">
        <v>242</v>
      </c>
      <c r="B101" s="44" t="s">
        <v>150</v>
      </c>
      <c r="C101" s="45" t="n">
        <v>2749</v>
      </c>
      <c r="D101" s="46" t="n">
        <v>0</v>
      </c>
      <c r="E101" s="45" t="n">
        <v>2728.01</v>
      </c>
      <c r="F101" s="45" t="n">
        <v>2849.99</v>
      </c>
      <c r="G101" s="47" t="n">
        <v>0.0437361061</v>
      </c>
      <c r="H101" s="48" t="n">
        <v>1200</v>
      </c>
      <c r="I101" s="48" t="n">
        <v>1000</v>
      </c>
      <c r="J101" s="49" t="s">
        <v>151</v>
      </c>
      <c r="K101" s="46" t="n">
        <v>0.0659855909</v>
      </c>
      <c r="L101" s="46" t="n">
        <v>0.1169892607</v>
      </c>
      <c r="M101" s="46" t="n">
        <v>0.5791295399</v>
      </c>
      <c r="N101" s="46" t="n">
        <v>0.4759759125</v>
      </c>
      <c r="O101" s="46" t="n">
        <v>0.4161120982</v>
      </c>
      <c r="P101" s="46" t="n">
        <f aca="false">IF(O101="","",O101*SQRT(25/252))</f>
        <v>0.131062991590772</v>
      </c>
      <c r="Q101" s="46" t="n">
        <v>-0.3058514115</v>
      </c>
      <c r="R101" s="50" t="n">
        <v>0.6943561465</v>
      </c>
      <c r="S101" s="46" t="n">
        <v>0.7995658017</v>
      </c>
      <c r="T101" s="46" t="n">
        <v>-0.355043641</v>
      </c>
      <c r="U101" s="44" t="s">
        <v>243</v>
      </c>
    </row>
    <row r="102" customFormat="false" ht="15" hidden="false" customHeight="false" outlineLevel="0" collapsed="false">
      <c r="A102" s="44" t="s">
        <v>244</v>
      </c>
      <c r="B102" s="44" t="s">
        <v>150</v>
      </c>
      <c r="C102" s="45" t="n">
        <v>1917.74</v>
      </c>
      <c r="D102" s="46" t="n">
        <v>-0.0036</v>
      </c>
      <c r="E102" s="45" t="n">
        <v>1917.67</v>
      </c>
      <c r="F102" s="45" t="n">
        <v>1921.64</v>
      </c>
      <c r="G102" s="47" t="n">
        <v>0.0020680799</v>
      </c>
      <c r="H102" s="48" t="n">
        <v>3750</v>
      </c>
      <c r="I102" s="48" t="n">
        <v>3750</v>
      </c>
      <c r="J102" s="49" t="s">
        <v>151</v>
      </c>
      <c r="K102" s="46" t="n">
        <v>0.0251556761</v>
      </c>
      <c r="L102" s="46" t="n">
        <v>-0.0373579796</v>
      </c>
      <c r="M102" s="46" t="n">
        <v>-0.1408138944</v>
      </c>
      <c r="N102" s="46" t="n">
        <v>-0.4244221768</v>
      </c>
      <c r="O102" s="46" t="n">
        <v>0.4182167227</v>
      </c>
      <c r="P102" s="46" t="n">
        <f aca="false">IF(O102="","",O102*SQRT(25/252))</f>
        <v>0.131725885999126</v>
      </c>
      <c r="Q102" s="46" t="n">
        <v>-0.4969690869</v>
      </c>
      <c r="R102" s="50" t="n">
        <v>0.5802830672</v>
      </c>
      <c r="S102" s="46" t="n">
        <v>0.7258337209</v>
      </c>
      <c r="T102" s="46" t="n">
        <v>-0.2840815123</v>
      </c>
      <c r="U102" s="44" t="s">
        <v>243</v>
      </c>
    </row>
    <row r="103" customFormat="false" ht="15" hidden="false" customHeight="false" outlineLevel="0" collapsed="false">
      <c r="A103" s="44" t="s">
        <v>245</v>
      </c>
      <c r="B103" s="44" t="s">
        <v>150</v>
      </c>
      <c r="C103" s="45" t="n">
        <v>13100</v>
      </c>
      <c r="D103" s="46" t="n">
        <v>0.0108</v>
      </c>
      <c r="E103" s="45" t="n">
        <v>13044.02</v>
      </c>
      <c r="F103" s="45" t="n">
        <v>13130.69</v>
      </c>
      <c r="G103" s="47" t="n">
        <v>0.0066224229</v>
      </c>
      <c r="H103" s="48" t="n">
        <v>1400</v>
      </c>
      <c r="I103" s="48" t="n">
        <v>1200</v>
      </c>
      <c r="J103" s="49" t="s">
        <v>151</v>
      </c>
      <c r="K103" s="46" t="n">
        <v>0.1697084623</v>
      </c>
      <c r="L103" s="46" t="n">
        <v>0.1016419113</v>
      </c>
      <c r="M103" s="46" t="n">
        <v>0.1804704805</v>
      </c>
      <c r="N103" s="46" t="n">
        <v>-0.0086306837</v>
      </c>
      <c r="O103" s="46" t="n">
        <v>0.4188929566</v>
      </c>
      <c r="P103" s="46" t="n">
        <f aca="false">IF(O103="","",O103*SQRT(25/252))</f>
        <v>0.131938879657163</v>
      </c>
      <c r="Q103" s="46" t="n">
        <v>-0.3302080106</v>
      </c>
      <c r="R103" s="50" t="n">
        <v>0.426207619</v>
      </c>
      <c r="S103" s="46" t="n">
        <v>0.4654258788</v>
      </c>
      <c r="T103" s="46" t="n">
        <v>-0.2633865224</v>
      </c>
      <c r="U103" s="44" t="s">
        <v>243</v>
      </c>
    </row>
    <row r="104" customFormat="false" ht="15" hidden="false" customHeight="false" outlineLevel="0" collapsed="false">
      <c r="A104" s="44" t="s">
        <v>246</v>
      </c>
      <c r="B104" s="44" t="s">
        <v>150</v>
      </c>
      <c r="C104" s="45" t="n">
        <v>33431.99</v>
      </c>
      <c r="D104" s="46" t="n">
        <v>-0.0099</v>
      </c>
      <c r="E104" s="45" t="n">
        <v>33001.51</v>
      </c>
      <c r="F104" s="45" t="n">
        <v>33759.96</v>
      </c>
      <c r="G104" s="47" t="n">
        <v>0.0227211893</v>
      </c>
      <c r="H104" s="48" t="n">
        <v>485</v>
      </c>
      <c r="I104" s="48" t="n">
        <v>185</v>
      </c>
      <c r="J104" s="49" t="s">
        <v>151</v>
      </c>
      <c r="K104" s="46" t="n">
        <v>0.0497255758</v>
      </c>
      <c r="L104" s="46" t="n">
        <v>0.0252879679</v>
      </c>
      <c r="M104" s="46" t="n">
        <v>0.0646000706</v>
      </c>
      <c r="N104" s="46" t="n">
        <v>-0.1697302071</v>
      </c>
      <c r="O104" s="46" t="n">
        <v>0.4264830734</v>
      </c>
      <c r="P104" s="46" t="n">
        <f aca="false">IF(O104="","",O104*SQRT(25/252))</f>
        <v>0.134329541737489</v>
      </c>
      <c r="Q104" s="46" t="n">
        <v>-0.388613986</v>
      </c>
      <c r="R104" s="50" t="n">
        <v>0.5193917923</v>
      </c>
      <c r="S104" s="46" t="n">
        <v>0.3425938084</v>
      </c>
      <c r="T104" s="46" t="n">
        <v>-0.2283455213</v>
      </c>
      <c r="U104" s="44" t="s">
        <v>243</v>
      </c>
    </row>
    <row r="105" customFormat="false" ht="15" hidden="false" customHeight="false" outlineLevel="0" collapsed="false">
      <c r="A105" s="44" t="s">
        <v>247</v>
      </c>
      <c r="B105" s="44" t="s">
        <v>150</v>
      </c>
      <c r="C105" s="45" t="n">
        <v>281.78</v>
      </c>
      <c r="D105" s="46" t="n">
        <v>0.0064</v>
      </c>
      <c r="E105" s="45" t="n">
        <v>281.02</v>
      </c>
      <c r="F105" s="45" t="n">
        <v>282</v>
      </c>
      <c r="G105" s="47" t="n">
        <v>0.0034812262</v>
      </c>
      <c r="H105" s="48" t="n">
        <v>12800</v>
      </c>
      <c r="I105" s="48" t="n">
        <v>4</v>
      </c>
      <c r="J105" s="49" t="s">
        <v>151</v>
      </c>
      <c r="K105" s="46" t="n">
        <v>0.0973627333</v>
      </c>
      <c r="L105" s="46" t="n">
        <v>0.1533907331</v>
      </c>
      <c r="M105" s="46" t="n">
        <v>0.0729096307</v>
      </c>
      <c r="N105" s="46" t="n">
        <v>0.0032259431</v>
      </c>
      <c r="O105" s="46" t="n">
        <v>0.4284529402</v>
      </c>
      <c r="P105" s="46" t="n">
        <f aca="false">IF(O105="","",O105*SQRT(25/252))</f>
        <v>0.134949991459956</v>
      </c>
      <c r="Q105" s="46" t="n">
        <v>-0.3757646896</v>
      </c>
      <c r="R105" s="50" t="n">
        <v>0.7928503204</v>
      </c>
      <c r="S105" s="46" t="n">
        <v>0.3512996703</v>
      </c>
      <c r="T105" s="46" t="n">
        <v>-0.3487848535</v>
      </c>
      <c r="U105" s="44" t="s">
        <v>243</v>
      </c>
    </row>
    <row r="106" customFormat="false" ht="15" hidden="false" customHeight="false" outlineLevel="0" collapsed="false">
      <c r="A106" s="44" t="s">
        <v>248</v>
      </c>
      <c r="B106" s="44" t="s">
        <v>150</v>
      </c>
      <c r="C106" s="45" t="n">
        <v>750.04</v>
      </c>
      <c r="D106" s="46" t="n">
        <v>0</v>
      </c>
      <c r="E106" s="45"/>
      <c r="F106" s="45"/>
      <c r="G106" s="47"/>
      <c r="H106" s="48" t="n">
        <v>0</v>
      </c>
      <c r="I106" s="48" t="n">
        <v>0</v>
      </c>
      <c r="J106" s="49" t="s">
        <v>217</v>
      </c>
      <c r="K106" s="46" t="n">
        <v>0.1329800444</v>
      </c>
      <c r="L106" s="46" t="n">
        <v>-0.1234491735</v>
      </c>
      <c r="M106" s="46" t="n">
        <v>0.065930941</v>
      </c>
      <c r="N106" s="46" t="n">
        <v>0.2699202695</v>
      </c>
      <c r="O106" s="46" t="n">
        <v>0.4436882307</v>
      </c>
      <c r="P106" s="46" t="n">
        <f aca="false">IF(O106="","",O106*SQRT(25/252))</f>
        <v>0.139748656914102</v>
      </c>
      <c r="Q106" s="46" t="n">
        <v>-0.3197177254</v>
      </c>
      <c r="R106" s="50" t="n">
        <v>0.7126855305</v>
      </c>
      <c r="S106" s="46" t="n">
        <v>0.4289607972</v>
      </c>
      <c r="T106" s="46" t="n">
        <v>-0.2573729298</v>
      </c>
      <c r="U106" s="44" t="s">
        <v>243</v>
      </c>
    </row>
    <row r="107" customFormat="false" ht="15" hidden="false" customHeight="false" outlineLevel="0" collapsed="false">
      <c r="A107" s="44" t="s">
        <v>249</v>
      </c>
      <c r="B107" s="44" t="s">
        <v>150</v>
      </c>
      <c r="C107" s="45" t="n">
        <v>1710</v>
      </c>
      <c r="D107" s="46" t="n">
        <v>0.0106</v>
      </c>
      <c r="E107" s="45" t="n">
        <v>1672.81</v>
      </c>
      <c r="F107" s="45" t="n">
        <v>1745.77</v>
      </c>
      <c r="G107" s="47" t="n">
        <v>0.0426843894</v>
      </c>
      <c r="H107" s="48" t="n">
        <v>800</v>
      </c>
      <c r="I107" s="48" t="n">
        <v>800</v>
      </c>
      <c r="J107" s="49" t="s">
        <v>151</v>
      </c>
      <c r="K107" s="46" t="n">
        <v>0.0426516832</v>
      </c>
      <c r="L107" s="46" t="n">
        <v>0.0771956749</v>
      </c>
      <c r="M107" s="46" t="n">
        <v>0.1567041879</v>
      </c>
      <c r="N107" s="46" t="n">
        <v>0.1633429349</v>
      </c>
      <c r="O107" s="46" t="n">
        <v>0.4496507545</v>
      </c>
      <c r="P107" s="46" t="n">
        <f aca="false">IF(O107="","",O107*SQRT(25/252))</f>
        <v>0.141626675385662</v>
      </c>
      <c r="Q107" s="46" t="n">
        <v>-0.2477760361</v>
      </c>
      <c r="R107" s="50" t="n">
        <v>0.1930019321</v>
      </c>
      <c r="S107" s="46" t="n">
        <v>0.338990854</v>
      </c>
      <c r="T107" s="46" t="n">
        <v>-0.2330230766</v>
      </c>
      <c r="U107" s="44" t="s">
        <v>243</v>
      </c>
    </row>
    <row r="108" customFormat="false" ht="15" hidden="false" customHeight="false" outlineLevel="0" collapsed="false">
      <c r="A108" s="44" t="s">
        <v>250</v>
      </c>
      <c r="B108" s="44" t="s">
        <v>150</v>
      </c>
      <c r="C108" s="45" t="n">
        <v>990</v>
      </c>
      <c r="D108" s="46" t="n">
        <v>0</v>
      </c>
      <c r="E108" s="45" t="n">
        <v>971.72</v>
      </c>
      <c r="F108" s="45" t="n">
        <v>998.99</v>
      </c>
      <c r="G108" s="47" t="n">
        <v>0.0276753048</v>
      </c>
      <c r="H108" s="48" t="n">
        <v>5415</v>
      </c>
      <c r="I108" s="48" t="n">
        <v>8000</v>
      </c>
      <c r="J108" s="49" t="s">
        <v>151</v>
      </c>
      <c r="K108" s="46" t="n">
        <v>0.1105166758</v>
      </c>
      <c r="L108" s="46" t="n">
        <v>0.2089328302</v>
      </c>
      <c r="M108" s="46" t="n">
        <v>0.2283164145</v>
      </c>
      <c r="N108" s="46" t="n">
        <v>-0.2759618527</v>
      </c>
      <c r="O108" s="46" t="n">
        <v>0.4547705103</v>
      </c>
      <c r="P108" s="46" t="n">
        <f aca="false">IF(O108="","",O108*SQRT(25/252))</f>
        <v>0.143239246888064</v>
      </c>
      <c r="Q108" s="46" t="n">
        <v>-0.5189316848</v>
      </c>
      <c r="R108" s="50" t="n">
        <v>-0.0452002795</v>
      </c>
      <c r="S108" s="46" t="n">
        <v>0.4051551953</v>
      </c>
      <c r="T108" s="46" t="n">
        <v>-0.3614353696</v>
      </c>
      <c r="U108" s="44" t="s">
        <v>243</v>
      </c>
    </row>
    <row r="109" customFormat="false" ht="15" hidden="false" customHeight="false" outlineLevel="0" collapsed="false">
      <c r="A109" s="44" t="s">
        <v>50</v>
      </c>
      <c r="B109" s="44" t="s">
        <v>150</v>
      </c>
      <c r="C109" s="45" t="n">
        <v>6733.21</v>
      </c>
      <c r="D109" s="46" t="n">
        <v>-0.0078</v>
      </c>
      <c r="E109" s="45" t="n">
        <v>6766.88</v>
      </c>
      <c r="F109" s="45" t="n">
        <v>6789.99</v>
      </c>
      <c r="G109" s="47" t="n">
        <v>0.0034093415</v>
      </c>
      <c r="H109" s="48" t="n">
        <v>400</v>
      </c>
      <c r="I109" s="48" t="n">
        <v>200</v>
      </c>
      <c r="J109" s="49" t="s">
        <v>151</v>
      </c>
      <c r="K109" s="46" t="n">
        <v>0.0780774553</v>
      </c>
      <c r="L109" s="46" t="n">
        <v>-0.0623898601</v>
      </c>
      <c r="M109" s="46" t="n">
        <v>0.112006374</v>
      </c>
      <c r="N109" s="46" t="n">
        <v>-0.1557101645</v>
      </c>
      <c r="O109" s="46" t="n">
        <v>0.4666754921</v>
      </c>
      <c r="P109" s="46" t="n">
        <f aca="false">IF(O109="","",O109*SQRT(25/252))</f>
        <v>0.146988963698249</v>
      </c>
      <c r="Q109" s="46" t="n">
        <v>-0.4094749047</v>
      </c>
      <c r="R109" s="50" t="n">
        <v>1.0091088846</v>
      </c>
      <c r="S109" s="46" t="n">
        <v>0.6949704078</v>
      </c>
      <c r="T109" s="46" t="n">
        <v>-0.4619406725</v>
      </c>
      <c r="U109" s="44" t="s">
        <v>243</v>
      </c>
    </row>
    <row r="110" customFormat="false" ht="15" hidden="false" customHeight="false" outlineLevel="0" collapsed="false">
      <c r="A110" s="44" t="s">
        <v>251</v>
      </c>
      <c r="B110" s="44" t="s">
        <v>154</v>
      </c>
      <c r="C110" s="45" t="n">
        <v>11.49</v>
      </c>
      <c r="D110" s="46" t="n">
        <v>-0.0043</v>
      </c>
      <c r="E110" s="45" t="n">
        <v>11.48</v>
      </c>
      <c r="F110" s="45" t="n">
        <v>11.51</v>
      </c>
      <c r="G110" s="47" t="n">
        <v>0.0026098304</v>
      </c>
      <c r="H110" s="48" t="n">
        <v>419</v>
      </c>
      <c r="I110" s="48" t="n">
        <v>7505</v>
      </c>
      <c r="J110" s="49" t="s">
        <v>151</v>
      </c>
      <c r="K110" s="46" t="n">
        <v>-0.0069084563</v>
      </c>
      <c r="L110" s="46" t="n">
        <v>-0.2128678802</v>
      </c>
      <c r="M110" s="46" t="n">
        <v>-0.1417910203</v>
      </c>
      <c r="N110" s="46" t="n">
        <v>-0.0916271612</v>
      </c>
      <c r="O110" s="46" t="n">
        <v>0.4700222615</v>
      </c>
      <c r="P110" s="46" t="n">
        <f aca="false">IF(O110="","",O110*SQRT(25/252))</f>
        <v>0.148043096975377</v>
      </c>
      <c r="Q110" s="46" t="n">
        <v>-0.412499965</v>
      </c>
      <c r="R110" s="50" t="n">
        <v>1.2009044939</v>
      </c>
      <c r="S110" s="46" t="n">
        <v>0.4921367747</v>
      </c>
      <c r="T110" s="46" t="n">
        <v>-0.3690265492</v>
      </c>
      <c r="U110" s="44" t="s">
        <v>243</v>
      </c>
    </row>
    <row r="111" customFormat="false" ht="15" hidden="false" customHeight="false" outlineLevel="0" collapsed="false">
      <c r="A111" s="44" t="s">
        <v>252</v>
      </c>
      <c r="B111" s="44" t="s">
        <v>150</v>
      </c>
      <c r="C111" s="45" t="n">
        <v>1367.58</v>
      </c>
      <c r="D111" s="46" t="n">
        <v>0</v>
      </c>
      <c r="E111" s="45" t="n">
        <v>1318.91</v>
      </c>
      <c r="F111" s="45" t="n">
        <v>1374.99</v>
      </c>
      <c r="G111" s="47" t="n">
        <v>0.0416348046</v>
      </c>
      <c r="H111" s="48" t="n">
        <v>2000</v>
      </c>
      <c r="I111" s="48" t="n">
        <v>1500</v>
      </c>
      <c r="J111" s="49" t="s">
        <v>151</v>
      </c>
      <c r="K111" s="46" t="n">
        <v>-0.0056062731</v>
      </c>
      <c r="L111" s="46" t="n">
        <v>-0.0151891878</v>
      </c>
      <c r="M111" s="46" t="n">
        <v>0.2207121544</v>
      </c>
      <c r="N111" s="46" t="n">
        <v>-0.0786214468</v>
      </c>
      <c r="O111" s="46" t="n">
        <v>0.476492707</v>
      </c>
      <c r="P111" s="46" t="n">
        <f aca="false">IF(O111="","",O111*SQRT(25/252))</f>
        <v>0.150081095744996</v>
      </c>
      <c r="Q111" s="46" t="n">
        <v>-0.434120757</v>
      </c>
      <c r="R111" s="50" t="n">
        <v>0.4856637557</v>
      </c>
      <c r="S111" s="46" t="n">
        <v>0.6248703813</v>
      </c>
      <c r="T111" s="46" t="n">
        <v>-0.4107149939</v>
      </c>
      <c r="U111" s="44" t="s">
        <v>243</v>
      </c>
    </row>
    <row r="112" customFormat="false" ht="15" hidden="false" customHeight="false" outlineLevel="0" collapsed="false">
      <c r="A112" s="44" t="s">
        <v>253</v>
      </c>
      <c r="B112" s="44" t="s">
        <v>150</v>
      </c>
      <c r="C112" s="45" t="n">
        <v>1284.9</v>
      </c>
      <c r="D112" s="46" t="n">
        <v>-0.0054</v>
      </c>
      <c r="E112" s="45" t="n">
        <v>1275.01</v>
      </c>
      <c r="F112" s="45" t="n">
        <v>1299.99</v>
      </c>
      <c r="G112" s="47" t="n">
        <v>0.0194019417</v>
      </c>
      <c r="H112" s="48" t="n">
        <v>1200</v>
      </c>
      <c r="I112" s="48" t="n">
        <v>1200</v>
      </c>
      <c r="J112" s="49" t="s">
        <v>151</v>
      </c>
      <c r="K112" s="46" t="n">
        <v>-0.0158329791</v>
      </c>
      <c r="L112" s="46" t="n">
        <v>0.1786495475</v>
      </c>
      <c r="M112" s="46" t="n">
        <v>0.0993615903</v>
      </c>
      <c r="N112" s="46" t="n">
        <v>0.7184903174</v>
      </c>
      <c r="O112" s="46" t="n">
        <v>0.4782983004</v>
      </c>
      <c r="P112" s="46" t="n">
        <f aca="false">IF(O112="","",O112*SQRT(25/252))</f>
        <v>0.150649804209913</v>
      </c>
      <c r="Q112" s="46" t="n">
        <v>-0.2186751219</v>
      </c>
      <c r="R112" s="50" t="n">
        <v>1.5251834042</v>
      </c>
      <c r="S112" s="46" t="n">
        <v>0.3255084718</v>
      </c>
      <c r="T112" s="46" t="n">
        <v>-0.230523487</v>
      </c>
      <c r="U112" s="44" t="s">
        <v>243</v>
      </c>
    </row>
    <row r="113" customFormat="false" ht="15" hidden="false" customHeight="false" outlineLevel="0" collapsed="false">
      <c r="A113" s="44" t="s">
        <v>254</v>
      </c>
      <c r="B113" s="44" t="s">
        <v>150</v>
      </c>
      <c r="C113" s="45" t="n">
        <v>4075</v>
      </c>
      <c r="D113" s="46" t="n">
        <v>0.0037</v>
      </c>
      <c r="E113" s="45" t="n">
        <v>3940.61</v>
      </c>
      <c r="F113" s="45" t="n">
        <v>4053.64</v>
      </c>
      <c r="G113" s="47" t="n">
        <v>0.0282778247</v>
      </c>
      <c r="H113" s="48" t="n">
        <v>1050</v>
      </c>
      <c r="I113" s="48" t="n">
        <v>950</v>
      </c>
      <c r="J113" s="49" t="s">
        <v>151</v>
      </c>
      <c r="K113" s="46" t="n">
        <v>-0.0296989448</v>
      </c>
      <c r="L113" s="46" t="n">
        <v>0.3986049839</v>
      </c>
      <c r="M113" s="46" t="n">
        <v>0.3474670608</v>
      </c>
      <c r="N113" s="46" t="n">
        <v>-0.0826364825</v>
      </c>
      <c r="O113" s="46" t="n">
        <v>0.4783644239</v>
      </c>
      <c r="P113" s="46" t="n">
        <f aca="false">IF(O113="","",O113*SQRT(25/252))</f>
        <v>0.150670631154772</v>
      </c>
      <c r="Q113" s="46" t="n">
        <v>-0.4593361275</v>
      </c>
      <c r="R113" s="50" t="n">
        <v>-0.3379471834</v>
      </c>
      <c r="S113" s="46" t="n">
        <v>0.5638655028</v>
      </c>
      <c r="T113" s="46" t="n">
        <v>-0.3338334721</v>
      </c>
      <c r="U113" s="44" t="s">
        <v>243</v>
      </c>
    </row>
    <row r="114" customFormat="false" ht="15" hidden="false" customHeight="false" outlineLevel="0" collapsed="false">
      <c r="A114" s="44" t="s">
        <v>255</v>
      </c>
      <c r="B114" s="44" t="s">
        <v>150</v>
      </c>
      <c r="C114" s="45" t="n">
        <v>710</v>
      </c>
      <c r="D114" s="46" t="n">
        <v>0</v>
      </c>
      <c r="E114" s="45" t="n">
        <v>705.01</v>
      </c>
      <c r="F114" s="45" t="n">
        <v>733.59</v>
      </c>
      <c r="G114" s="47" t="n">
        <v>0.0397330738</v>
      </c>
      <c r="H114" s="48" t="n">
        <v>16400</v>
      </c>
      <c r="I114" s="48" t="n">
        <v>20500</v>
      </c>
      <c r="J114" s="49" t="s">
        <v>151</v>
      </c>
      <c r="K114" s="46" t="n">
        <v>-0.0633002911</v>
      </c>
      <c r="L114" s="46" t="n">
        <v>0.102122928</v>
      </c>
      <c r="M114" s="46" t="n">
        <v>-0.0381830195</v>
      </c>
      <c r="N114" s="46" t="n">
        <v>0.1836569014</v>
      </c>
      <c r="O114" s="46" t="n">
        <v>0.478904734</v>
      </c>
      <c r="P114" s="46" t="n">
        <f aca="false">IF(O114="","",O114*SQRT(25/252))</f>
        <v>0.150840812839945</v>
      </c>
      <c r="Q114" s="46" t="n">
        <v>-0.3260149675</v>
      </c>
      <c r="R114" s="50" t="n">
        <v>1.4349389681</v>
      </c>
      <c r="S114" s="46" t="n">
        <v>0.4457344233</v>
      </c>
      <c r="T114" s="46" t="n">
        <v>-0.1957920712</v>
      </c>
      <c r="U114" s="44" t="s">
        <v>243</v>
      </c>
    </row>
    <row r="115" customFormat="false" ht="15" hidden="false" customHeight="false" outlineLevel="0" collapsed="false">
      <c r="A115" s="44" t="s">
        <v>51</v>
      </c>
      <c r="B115" s="44" t="s">
        <v>150</v>
      </c>
      <c r="C115" s="45" t="n">
        <v>6779.99</v>
      </c>
      <c r="D115" s="46" t="n">
        <v>0.0003</v>
      </c>
      <c r="E115" s="45" t="n">
        <v>6768</v>
      </c>
      <c r="F115" s="45" t="n">
        <v>6780</v>
      </c>
      <c r="G115" s="47" t="n">
        <v>0.0017714792</v>
      </c>
      <c r="H115" s="48" t="n">
        <v>7</v>
      </c>
      <c r="I115" s="48" t="n">
        <v>100</v>
      </c>
      <c r="J115" s="49" t="s">
        <v>151</v>
      </c>
      <c r="K115" s="46" t="n">
        <v>0.088892603</v>
      </c>
      <c r="L115" s="46" t="n">
        <v>-0.0435427319</v>
      </c>
      <c r="M115" s="46" t="n">
        <v>0.0852775254</v>
      </c>
      <c r="N115" s="46" t="n">
        <v>0.0936892528</v>
      </c>
      <c r="O115" s="46" t="n">
        <v>0.4839242629</v>
      </c>
      <c r="P115" s="46" t="n">
        <f aca="false">IF(O115="","",O115*SQRT(25/252))</f>
        <v>0.152421815836148</v>
      </c>
      <c r="Q115" s="46" t="n">
        <v>-0.3038167097</v>
      </c>
      <c r="R115" s="50" t="n">
        <v>0.7155392573</v>
      </c>
      <c r="S115" s="46" t="n">
        <v>0.5092865816</v>
      </c>
      <c r="T115" s="46" t="n">
        <v>-0.2831354891</v>
      </c>
      <c r="U115" s="44" t="s">
        <v>243</v>
      </c>
    </row>
    <row r="116" customFormat="false" ht="15" hidden="false" customHeight="false" outlineLevel="0" collapsed="false">
      <c r="A116" s="44" t="s">
        <v>256</v>
      </c>
      <c r="B116" s="44" t="s">
        <v>150</v>
      </c>
      <c r="C116" s="45" t="n">
        <v>231.56</v>
      </c>
      <c r="D116" s="46" t="n">
        <v>-0.0012</v>
      </c>
      <c r="E116" s="45" t="n">
        <v>228.01</v>
      </c>
      <c r="F116" s="45" t="n">
        <v>237.59</v>
      </c>
      <c r="G116" s="47" t="n">
        <v>0.0411512027</v>
      </c>
      <c r="H116" s="48" t="n">
        <v>47900</v>
      </c>
      <c r="I116" s="48" t="n">
        <v>78900</v>
      </c>
      <c r="J116" s="49" t="s">
        <v>151</v>
      </c>
      <c r="K116" s="46" t="n">
        <v>0.0449935187</v>
      </c>
      <c r="L116" s="46" t="n">
        <v>-0.2308136485</v>
      </c>
      <c r="M116" s="46" t="n">
        <v>0.1527099481</v>
      </c>
      <c r="N116" s="46" t="n">
        <v>0.0694131833</v>
      </c>
      <c r="O116" s="46" t="n">
        <v>0.4873742571</v>
      </c>
      <c r="P116" s="46" t="n">
        <f aca="false">IF(O116="","",O116*SQRT(25/252))</f>
        <v>0.153508461869221</v>
      </c>
      <c r="Q116" s="46" t="n">
        <v>-0.37291849</v>
      </c>
      <c r="R116" s="50" t="n">
        <v>0.7778807523</v>
      </c>
      <c r="S116" s="46" t="n">
        <v>0.4862389608</v>
      </c>
      <c r="T116" s="46" t="n">
        <v>-0.3812389392</v>
      </c>
      <c r="U116" s="44" t="s">
        <v>243</v>
      </c>
    </row>
    <row r="117" customFormat="false" ht="15" hidden="false" customHeight="false" outlineLevel="0" collapsed="false">
      <c r="A117" s="44" t="s">
        <v>257</v>
      </c>
      <c r="B117" s="44" t="s">
        <v>150</v>
      </c>
      <c r="C117" s="45" t="n">
        <v>5104</v>
      </c>
      <c r="D117" s="46" t="n">
        <v>-0.0089</v>
      </c>
      <c r="E117" s="45" t="n">
        <v>4993.81</v>
      </c>
      <c r="F117" s="45" t="n">
        <v>5237.39</v>
      </c>
      <c r="G117" s="47" t="n">
        <v>0.047615138</v>
      </c>
      <c r="H117" s="48" t="n">
        <v>2400</v>
      </c>
      <c r="I117" s="48" t="n">
        <v>2800</v>
      </c>
      <c r="J117" s="49" t="s">
        <v>151</v>
      </c>
      <c r="K117" s="46" t="n">
        <v>0.1594162457</v>
      </c>
      <c r="L117" s="46" t="n">
        <v>0.0175525064</v>
      </c>
      <c r="M117" s="46" t="n">
        <v>0.063541196</v>
      </c>
      <c r="N117" s="46" t="n">
        <v>-0.1053055469</v>
      </c>
      <c r="O117" s="46" t="n">
        <v>0.4890089782</v>
      </c>
      <c r="P117" s="46" t="n">
        <f aca="false">IF(O117="","",O117*SQRT(25/252))</f>
        <v>0.154023350618453</v>
      </c>
      <c r="Q117" s="46" t="n">
        <v>-0.3356476281</v>
      </c>
      <c r="R117" s="50" t="n">
        <v>0.5460981353</v>
      </c>
      <c r="S117" s="46" t="n">
        <v>0.3650768345</v>
      </c>
      <c r="T117" s="46" t="n">
        <v>-0.293109432</v>
      </c>
      <c r="U117" s="44" t="s">
        <v>243</v>
      </c>
    </row>
    <row r="118" customFormat="false" ht="15" hidden="false" customHeight="false" outlineLevel="0" collapsed="false">
      <c r="A118" s="44" t="s">
        <v>258</v>
      </c>
      <c r="B118" s="44" t="s">
        <v>150</v>
      </c>
      <c r="C118" s="45" t="n">
        <v>1931.83</v>
      </c>
      <c r="D118" s="46" t="n">
        <v>-0.0246</v>
      </c>
      <c r="E118" s="45" t="n">
        <v>1930.01</v>
      </c>
      <c r="F118" s="45" t="n">
        <v>1990.79</v>
      </c>
      <c r="G118" s="47" t="n">
        <v>0.0310038768</v>
      </c>
      <c r="H118" s="48" t="n">
        <v>5500</v>
      </c>
      <c r="I118" s="48" t="n">
        <v>5500</v>
      </c>
      <c r="J118" s="49" t="s">
        <v>151</v>
      </c>
      <c r="K118" s="46" t="n">
        <v>0.0630463477</v>
      </c>
      <c r="L118" s="46" t="n">
        <v>-0.1286238635</v>
      </c>
      <c r="M118" s="46" t="n">
        <v>0.130041096</v>
      </c>
      <c r="N118" s="46" t="n">
        <v>0.0864684738</v>
      </c>
      <c r="O118" s="46" t="n">
        <v>0.4947244594</v>
      </c>
      <c r="P118" s="46" t="n">
        <f aca="false">IF(O118="","",O118*SQRT(25/252))</f>
        <v>0.155823557984913</v>
      </c>
      <c r="Q118" s="46" t="n">
        <v>-0.2713836109</v>
      </c>
      <c r="R118" s="50" t="n">
        <v>0.8607095587</v>
      </c>
      <c r="S118" s="46" t="n">
        <v>0.6116648004</v>
      </c>
      <c r="T118" s="46" t="n">
        <v>-0.4010347703</v>
      </c>
      <c r="U118" s="44" t="s">
        <v>243</v>
      </c>
    </row>
    <row r="119" customFormat="false" ht="15" hidden="false" customHeight="false" outlineLevel="0" collapsed="false">
      <c r="A119" s="44" t="s">
        <v>259</v>
      </c>
      <c r="B119" s="44" t="s">
        <v>154</v>
      </c>
      <c r="C119" s="45" t="n">
        <v>874.74</v>
      </c>
      <c r="D119" s="46" t="n">
        <v>0.0032</v>
      </c>
      <c r="E119" s="45" t="n">
        <v>873.97</v>
      </c>
      <c r="F119" s="45" t="n">
        <v>874.76</v>
      </c>
      <c r="G119" s="47" t="n">
        <v>0.0009035128</v>
      </c>
      <c r="H119" s="48" t="n">
        <v>27</v>
      </c>
      <c r="I119" s="48" t="n">
        <v>230</v>
      </c>
      <c r="J119" s="49" t="s">
        <v>151</v>
      </c>
      <c r="K119" s="46" t="n">
        <v>-0.0391867837</v>
      </c>
      <c r="L119" s="46" t="n">
        <v>0.1111902573</v>
      </c>
      <c r="M119" s="46" t="n">
        <v>-0.0793072753</v>
      </c>
      <c r="N119" s="46" t="n">
        <v>0.1251648453</v>
      </c>
      <c r="O119" s="46" t="n">
        <v>0.4965937285</v>
      </c>
      <c r="P119" s="46" t="n">
        <f aca="false">IF(O119="","",O119*SQRT(25/252))</f>
        <v>0.156412322410158</v>
      </c>
      <c r="Q119" s="46" t="n">
        <v>-0.3823405444</v>
      </c>
      <c r="R119" s="50" t="n">
        <v>1.8150596402</v>
      </c>
      <c r="S119" s="46" t="n">
        <v>0.5383153565</v>
      </c>
      <c r="T119" s="46" t="n">
        <v>-0.2698065869</v>
      </c>
      <c r="U119" s="44" t="s">
        <v>243</v>
      </c>
    </row>
    <row r="120" customFormat="false" ht="15" hidden="false" customHeight="false" outlineLevel="0" collapsed="false">
      <c r="A120" s="44" t="s">
        <v>260</v>
      </c>
      <c r="B120" s="44" t="s">
        <v>150</v>
      </c>
      <c r="C120" s="45" t="n">
        <v>471</v>
      </c>
      <c r="D120" s="46" t="n">
        <v>-0.0021</v>
      </c>
      <c r="E120" s="45" t="n">
        <v>463.61</v>
      </c>
      <c r="F120" s="45" t="n">
        <v>482.59</v>
      </c>
      <c r="G120" s="47" t="n">
        <v>0.0401183682</v>
      </c>
      <c r="H120" s="48" t="n">
        <v>22800</v>
      </c>
      <c r="I120" s="48" t="n">
        <v>30400</v>
      </c>
      <c r="J120" s="49" t="s">
        <v>151</v>
      </c>
      <c r="K120" s="46" t="n">
        <v>0.2178337438</v>
      </c>
      <c r="L120" s="46" t="n">
        <v>-0.0013454613</v>
      </c>
      <c r="M120" s="46" t="n">
        <v>-0.026934925</v>
      </c>
      <c r="N120" s="46" t="n">
        <v>-0.0978050305</v>
      </c>
      <c r="O120" s="46" t="n">
        <v>0.5046515987</v>
      </c>
      <c r="P120" s="46" t="n">
        <f aca="false">IF(O120="","",O120*SQRT(25/252))</f>
        <v>0.158950312963258</v>
      </c>
      <c r="Q120" s="46" t="n">
        <v>-0.3598202219</v>
      </c>
      <c r="R120" s="50" t="n">
        <v>1.018589485</v>
      </c>
      <c r="S120" s="46" t="n">
        <v>0.5199708057</v>
      </c>
      <c r="T120" s="46" t="n">
        <v>-0.3281968265</v>
      </c>
      <c r="U120" s="44" t="s">
        <v>243</v>
      </c>
    </row>
    <row r="121" customFormat="false" ht="15" hidden="false" customHeight="false" outlineLevel="0" collapsed="false">
      <c r="A121" s="44" t="s">
        <v>261</v>
      </c>
      <c r="B121" s="44" t="s">
        <v>150</v>
      </c>
      <c r="C121" s="45" t="n">
        <v>1315</v>
      </c>
      <c r="D121" s="46" t="n">
        <v>0.0232</v>
      </c>
      <c r="E121" s="45" t="n">
        <v>1250</v>
      </c>
      <c r="F121" s="45" t="n">
        <v>1420</v>
      </c>
      <c r="G121" s="47" t="n">
        <v>0.127340824</v>
      </c>
      <c r="H121" s="48" t="n">
        <v>10</v>
      </c>
      <c r="I121" s="48" t="n">
        <v>1</v>
      </c>
      <c r="J121" s="49" t="s">
        <v>151</v>
      </c>
      <c r="K121" s="46" t="n">
        <v>0.1083259588</v>
      </c>
      <c r="L121" s="46" t="n">
        <v>-0.0613862544</v>
      </c>
      <c r="M121" s="46" t="n">
        <v>0.4315788933</v>
      </c>
      <c r="N121" s="46" t="n">
        <v>0.0184536561</v>
      </c>
      <c r="O121" s="46" t="n">
        <v>0.516058752</v>
      </c>
      <c r="P121" s="46" t="n">
        <f aca="false">IF(O121="","",O121*SQRT(25/252))</f>
        <v>0.162543228534566</v>
      </c>
      <c r="Q121" s="46" t="n">
        <v>-0.4581772285</v>
      </c>
      <c r="R121" s="50" t="n">
        <v>0.1328282063</v>
      </c>
      <c r="S121" s="46" t="n">
        <v>0.4675079168</v>
      </c>
      <c r="T121" s="46" t="n">
        <v>-0.3149028158</v>
      </c>
      <c r="U121" s="44" t="s">
        <v>243</v>
      </c>
    </row>
    <row r="122" customFormat="false" ht="15" hidden="false" customHeight="false" outlineLevel="0" collapsed="false">
      <c r="A122" s="44" t="s">
        <v>262</v>
      </c>
      <c r="B122" s="44" t="s">
        <v>150</v>
      </c>
      <c r="C122" s="45" t="n">
        <v>3130</v>
      </c>
      <c r="D122" s="46" t="n">
        <v>-0.0157</v>
      </c>
      <c r="E122" s="45" t="n">
        <v>3100.01</v>
      </c>
      <c r="F122" s="45" t="n">
        <v>3165.23</v>
      </c>
      <c r="G122" s="47" t="n">
        <v>0.0208196334</v>
      </c>
      <c r="H122" s="48" t="n">
        <v>2200</v>
      </c>
      <c r="I122" s="48" t="n">
        <v>400</v>
      </c>
      <c r="J122" s="49" t="s">
        <v>151</v>
      </c>
      <c r="K122" s="46" t="n">
        <v>0.0471676667</v>
      </c>
      <c r="L122" s="46" t="n">
        <v>-0.0533353251</v>
      </c>
      <c r="M122" s="46" t="n">
        <v>0.4143107802</v>
      </c>
      <c r="N122" s="46" t="n">
        <v>0.0509189633</v>
      </c>
      <c r="O122" s="46" t="n">
        <v>0.5570051603</v>
      </c>
      <c r="P122" s="46" t="n">
        <f aca="false">IF(O122="","",O122*SQRT(25/252))</f>
        <v>0.175440134896841</v>
      </c>
      <c r="Q122" s="46" t="n">
        <v>-0.4085494647</v>
      </c>
      <c r="R122" s="50" t="n">
        <v>0.8686509503</v>
      </c>
      <c r="S122" s="46" t="n">
        <v>0.8704814703</v>
      </c>
      <c r="T122" s="46" t="n">
        <v>-0.290887829</v>
      </c>
      <c r="U122" s="44" t="s">
        <v>243</v>
      </c>
    </row>
    <row r="123" customFormat="false" ht="15" hidden="false" customHeight="false" outlineLevel="0" collapsed="false">
      <c r="A123" s="44" t="s">
        <v>263</v>
      </c>
      <c r="B123" s="44" t="s">
        <v>150</v>
      </c>
      <c r="C123" s="45" t="n">
        <v>274.99</v>
      </c>
      <c r="D123" s="46" t="n">
        <v>0.011</v>
      </c>
      <c r="E123" s="45" t="n">
        <v>270.61</v>
      </c>
      <c r="F123" s="45" t="n">
        <v>281.99</v>
      </c>
      <c r="G123" s="47" t="n">
        <v>0.0411871155</v>
      </c>
      <c r="H123" s="48" t="n">
        <v>22400</v>
      </c>
      <c r="I123" s="48" t="n">
        <v>33600</v>
      </c>
      <c r="J123" s="49" t="s">
        <v>151</v>
      </c>
      <c r="K123" s="46" t="n">
        <v>0.094851018</v>
      </c>
      <c r="L123" s="46" t="n">
        <v>-0.2006125669</v>
      </c>
      <c r="M123" s="46" t="n">
        <v>-0.2104973052</v>
      </c>
      <c r="N123" s="46" t="n">
        <v>-0.3726934582</v>
      </c>
      <c r="O123" s="46" t="n">
        <v>0.5573511052</v>
      </c>
      <c r="P123" s="46" t="n">
        <f aca="false">IF(O123="","",O123*SQRT(25/252))</f>
        <v>0.175549097298357</v>
      </c>
      <c r="Q123" s="46" t="n">
        <v>-0.4499786381</v>
      </c>
      <c r="R123" s="50" t="n">
        <v>0.7377000394</v>
      </c>
      <c r="S123" s="46" t="n">
        <v>0.5651270731</v>
      </c>
      <c r="T123" s="46" t="n">
        <v>-0.352221908</v>
      </c>
      <c r="U123" s="44" t="s">
        <v>243</v>
      </c>
    </row>
    <row r="124" customFormat="false" ht="15" hidden="false" customHeight="false" outlineLevel="0" collapsed="false">
      <c r="A124" s="44" t="s">
        <v>264</v>
      </c>
      <c r="B124" s="44" t="s">
        <v>150</v>
      </c>
      <c r="C124" s="45" t="n">
        <v>3240</v>
      </c>
      <c r="D124" s="46" t="n">
        <v>0.0144</v>
      </c>
      <c r="E124" s="45" t="n">
        <v>3225.01</v>
      </c>
      <c r="F124" s="45" t="n">
        <v>3315.19</v>
      </c>
      <c r="G124" s="47" t="n">
        <v>0.0275771383</v>
      </c>
      <c r="H124" s="48" t="n">
        <v>100</v>
      </c>
      <c r="I124" s="48" t="n">
        <v>400</v>
      </c>
      <c r="J124" s="49" t="s">
        <v>151</v>
      </c>
      <c r="K124" s="46" t="n">
        <v>-0.0691745055</v>
      </c>
      <c r="L124" s="46" t="n">
        <v>-0.1999433766</v>
      </c>
      <c r="M124" s="46" t="n">
        <v>-0.0710467966</v>
      </c>
      <c r="N124" s="46" t="n">
        <v>-0.2350216254</v>
      </c>
      <c r="O124" s="46" t="n">
        <v>0.5580582574</v>
      </c>
      <c r="P124" s="46" t="n">
        <f aca="false">IF(O124="","",O124*SQRT(25/252))</f>
        <v>0.175771829305532</v>
      </c>
      <c r="Q124" s="46" t="n">
        <v>-0.4514408693</v>
      </c>
      <c r="R124" s="50" t="n">
        <v>0.7079591974</v>
      </c>
      <c r="S124" s="46" t="n">
        <v>0.7000067377</v>
      </c>
      <c r="T124" s="46" t="n">
        <v>-0.3081115729</v>
      </c>
      <c r="U124" s="44" t="s">
        <v>243</v>
      </c>
    </row>
    <row r="125" customFormat="false" ht="15" hidden="false" customHeight="false" outlineLevel="0" collapsed="false">
      <c r="A125" s="44" t="s">
        <v>265</v>
      </c>
      <c r="B125" s="44" t="s">
        <v>150</v>
      </c>
      <c r="C125" s="45" t="n">
        <v>765</v>
      </c>
      <c r="D125" s="46" t="n">
        <v>0.0017</v>
      </c>
      <c r="E125" s="45" t="n">
        <v>758</v>
      </c>
      <c r="F125" s="45"/>
      <c r="G125" s="47"/>
      <c r="H125" s="48" t="n">
        <v>1</v>
      </c>
      <c r="I125" s="48" t="n">
        <v>0</v>
      </c>
      <c r="J125" s="49" t="s">
        <v>217</v>
      </c>
      <c r="K125" s="46" t="n">
        <v>-0.1149823948</v>
      </c>
      <c r="L125" s="46" t="n">
        <v>-0.1090329862</v>
      </c>
      <c r="M125" s="46" t="n">
        <v>-0.4039816206</v>
      </c>
      <c r="N125" s="46" t="n">
        <v>0.1744483966</v>
      </c>
      <c r="O125" s="46" t="n">
        <v>0.5586072719</v>
      </c>
      <c r="P125" s="46" t="n">
        <f aca="false">IF(O125="","",O125*SQRT(25/252))</f>
        <v>0.175944752619005</v>
      </c>
      <c r="Q125" s="46" t="n">
        <v>-0.4857715629</v>
      </c>
      <c r="R125" s="50" t="n">
        <v>1.0082441417</v>
      </c>
      <c r="S125" s="46" t="n">
        <v>0.4883745854</v>
      </c>
      <c r="T125" s="46" t="n">
        <v>-0.4113405014</v>
      </c>
      <c r="U125" s="44" t="s">
        <v>243</v>
      </c>
    </row>
    <row r="126" customFormat="false" ht="15" hidden="false" customHeight="false" outlineLevel="0" collapsed="false">
      <c r="A126" s="44" t="s">
        <v>266</v>
      </c>
      <c r="B126" s="44" t="s">
        <v>150</v>
      </c>
      <c r="C126" s="45" t="n">
        <v>370.5</v>
      </c>
      <c r="D126" s="46" t="n">
        <v>0</v>
      </c>
      <c r="E126" s="45" t="n">
        <v>359.61</v>
      </c>
      <c r="F126" s="45" t="n">
        <v>369.99</v>
      </c>
      <c r="G126" s="47" t="n">
        <v>0.0284539474</v>
      </c>
      <c r="H126" s="48" t="n">
        <v>8200</v>
      </c>
      <c r="I126" s="48" t="n">
        <v>16400</v>
      </c>
      <c r="J126" s="49" t="s">
        <v>151</v>
      </c>
      <c r="K126" s="46" t="n">
        <v>0.1786224309</v>
      </c>
      <c r="L126" s="46" t="n">
        <v>-0.07756463</v>
      </c>
      <c r="M126" s="46" t="n">
        <v>0.1640217642</v>
      </c>
      <c r="N126" s="46" t="n">
        <v>-0.367069795</v>
      </c>
      <c r="O126" s="46" t="n">
        <v>0.5587209731</v>
      </c>
      <c r="P126" s="46" t="n">
        <f aca="false">IF(O126="","",O126*SQRT(25/252))</f>
        <v>0.175980565130787</v>
      </c>
      <c r="Q126" s="46" t="n">
        <v>-0.5912161484</v>
      </c>
      <c r="R126" s="50" t="n">
        <v>-0.2505512195</v>
      </c>
      <c r="S126" s="46" t="n">
        <v>0.3686545754</v>
      </c>
      <c r="T126" s="46" t="n">
        <v>-0.4538487622</v>
      </c>
      <c r="U126" s="44" t="s">
        <v>243</v>
      </c>
    </row>
    <row r="127" customFormat="false" ht="15" hidden="false" customHeight="false" outlineLevel="0" collapsed="false">
      <c r="A127" s="44" t="s">
        <v>267</v>
      </c>
      <c r="B127" s="44" t="s">
        <v>150</v>
      </c>
      <c r="C127" s="45" t="n">
        <v>2560</v>
      </c>
      <c r="D127" s="46" t="n">
        <v>-0.0093</v>
      </c>
      <c r="E127" s="45" t="n">
        <v>2560.02</v>
      </c>
      <c r="F127" s="45" t="n">
        <v>2584.99</v>
      </c>
      <c r="G127" s="47" t="n">
        <v>0.0097064923</v>
      </c>
      <c r="H127" s="48" t="n">
        <v>3400</v>
      </c>
      <c r="I127" s="48" t="n">
        <v>1600</v>
      </c>
      <c r="J127" s="49" t="s">
        <v>151</v>
      </c>
      <c r="K127" s="46" t="n">
        <v>-0.0664752319</v>
      </c>
      <c r="L127" s="46" t="n">
        <v>0.0344092791</v>
      </c>
      <c r="M127" s="46" t="n">
        <v>0.0645118058</v>
      </c>
      <c r="N127" s="46" t="n">
        <v>-0.5049137646</v>
      </c>
      <c r="O127" s="46" t="n">
        <v>0.5685634507</v>
      </c>
      <c r="P127" s="46" t="n">
        <f aca="false">IF(O127="","",O127*SQRT(25/252))</f>
        <v>0.179080654180111</v>
      </c>
      <c r="Q127" s="46" t="n">
        <v>-0.6480068063</v>
      </c>
      <c r="R127" s="50" t="n">
        <v>0.4075442646</v>
      </c>
      <c r="S127" s="46" t="n">
        <v>0.4377550606</v>
      </c>
      <c r="T127" s="46" t="n">
        <v>-0.4358767354</v>
      </c>
      <c r="U127" s="44" t="s">
        <v>243</v>
      </c>
    </row>
    <row r="128" customFormat="false" ht="15" hidden="false" customHeight="false" outlineLevel="0" collapsed="false">
      <c r="A128" s="44" t="s">
        <v>268</v>
      </c>
      <c r="B128" s="44" t="s">
        <v>150</v>
      </c>
      <c r="C128" s="45" t="n">
        <v>278</v>
      </c>
      <c r="D128" s="46" t="n">
        <v>-0.0107</v>
      </c>
      <c r="E128" s="45" t="n">
        <v>278.03</v>
      </c>
      <c r="F128" s="45" t="n">
        <v>284.99</v>
      </c>
      <c r="G128" s="47" t="n">
        <v>0.0247238109</v>
      </c>
      <c r="H128" s="48" t="n">
        <v>13600</v>
      </c>
      <c r="I128" s="48" t="n">
        <v>27200</v>
      </c>
      <c r="J128" s="49" t="s">
        <v>151</v>
      </c>
      <c r="K128" s="46" t="n">
        <v>-0.0593742615</v>
      </c>
      <c r="L128" s="46" t="n">
        <v>-0.163100617</v>
      </c>
      <c r="M128" s="46" t="n">
        <v>-0.0289077319</v>
      </c>
      <c r="N128" s="46" t="n">
        <v>-0.4658200851</v>
      </c>
      <c r="O128" s="46" t="n">
        <v>0.57476779</v>
      </c>
      <c r="P128" s="46" t="n">
        <f aca="false">IF(O128="","",O128*SQRT(25/252))</f>
        <v>0.181034837375024</v>
      </c>
      <c r="Q128" s="46" t="n">
        <v>-0.5541157945</v>
      </c>
      <c r="R128" s="50" t="n">
        <v>0.8632867753</v>
      </c>
      <c r="S128" s="46" t="n">
        <v>0.7823662117</v>
      </c>
      <c r="T128" s="46" t="n">
        <v>-0.3556168375</v>
      </c>
      <c r="U128" s="44" t="s">
        <v>243</v>
      </c>
    </row>
    <row r="129" customFormat="false" ht="15" hidden="false" customHeight="false" outlineLevel="0" collapsed="false">
      <c r="A129" s="44" t="s">
        <v>269</v>
      </c>
      <c r="B129" s="44" t="s">
        <v>150</v>
      </c>
      <c r="C129" s="45" t="n">
        <v>3604.68</v>
      </c>
      <c r="D129" s="46" t="n">
        <v>0.0329</v>
      </c>
      <c r="E129" s="45" t="n">
        <v>3590.01</v>
      </c>
      <c r="F129" s="45" t="n">
        <v>3618.98</v>
      </c>
      <c r="G129" s="47" t="n">
        <v>0.0080371869</v>
      </c>
      <c r="H129" s="48" t="n">
        <v>2550</v>
      </c>
      <c r="I129" s="48" t="n">
        <v>1950</v>
      </c>
      <c r="J129" s="49" t="s">
        <v>151</v>
      </c>
      <c r="K129" s="46" t="n">
        <v>0.2429859427</v>
      </c>
      <c r="L129" s="46" t="n">
        <v>0.6024378828</v>
      </c>
      <c r="M129" s="46" t="n">
        <v>0.5651939804</v>
      </c>
      <c r="N129" s="46" t="n">
        <v>0.0666750607</v>
      </c>
      <c r="O129" s="46" t="n">
        <v>0.5965702998</v>
      </c>
      <c r="P129" s="46" t="n">
        <f aca="false">IF(O129="","",O129*SQRT(25/252))</f>
        <v>0.18790198248072</v>
      </c>
      <c r="Q129" s="46" t="n">
        <v>-0.5082841261</v>
      </c>
      <c r="R129" s="50" t="n">
        <v>0.3819840235</v>
      </c>
      <c r="S129" s="46" t="n">
        <v>0.839400049</v>
      </c>
      <c r="T129" s="46" t="n">
        <v>-0.3204828594</v>
      </c>
      <c r="U129" s="44" t="s">
        <v>243</v>
      </c>
    </row>
    <row r="130" customFormat="false" ht="15" hidden="false" customHeight="false" outlineLevel="0" collapsed="false">
      <c r="A130" s="44" t="s">
        <v>270</v>
      </c>
      <c r="B130" s="44" t="s">
        <v>150</v>
      </c>
      <c r="C130" s="45" t="n">
        <v>3030.5</v>
      </c>
      <c r="D130" s="46" t="n">
        <v>0.0135</v>
      </c>
      <c r="E130" s="45" t="n">
        <v>2963.61</v>
      </c>
      <c r="F130" s="45" t="n">
        <v>3049.99</v>
      </c>
      <c r="G130" s="47" t="n">
        <v>0.028728216</v>
      </c>
      <c r="H130" s="48" t="n">
        <v>800</v>
      </c>
      <c r="I130" s="48" t="n">
        <v>1200</v>
      </c>
      <c r="J130" s="49" t="s">
        <v>151</v>
      </c>
      <c r="K130" s="46" t="n">
        <v>0.3988604581</v>
      </c>
      <c r="L130" s="46" t="n">
        <v>0.3955164243</v>
      </c>
      <c r="M130" s="46" t="n">
        <v>0.5296885794</v>
      </c>
      <c r="N130" s="46" t="n">
        <v>0.0140867464</v>
      </c>
      <c r="O130" s="46" t="n">
        <v>0.5997438184</v>
      </c>
      <c r="P130" s="46" t="n">
        <f aca="false">IF(O130="","",O130*SQRT(25/252))</f>
        <v>0.188901546885081</v>
      </c>
      <c r="Q130" s="46" t="n">
        <v>-0.5016838745</v>
      </c>
      <c r="R130" s="50" t="n">
        <v>0.3635022466</v>
      </c>
      <c r="S130" s="46" t="n">
        <v>0.5352038776</v>
      </c>
      <c r="T130" s="46" t="n">
        <v>-0.3655005921</v>
      </c>
      <c r="U130" s="44" t="s">
        <v>243</v>
      </c>
    </row>
    <row r="131" customFormat="false" ht="15" hidden="false" customHeight="false" outlineLevel="0" collapsed="false">
      <c r="A131" s="44" t="s">
        <v>271</v>
      </c>
      <c r="B131" s="44" t="s">
        <v>150</v>
      </c>
      <c r="C131" s="45" t="n">
        <v>9200</v>
      </c>
      <c r="D131" s="46" t="n">
        <v>-0.0139</v>
      </c>
      <c r="E131" s="45" t="n">
        <v>9287.61</v>
      </c>
      <c r="F131" s="45" t="n">
        <v>9500</v>
      </c>
      <c r="G131" s="47" t="n">
        <v>0.0226095815</v>
      </c>
      <c r="H131" s="48" t="n">
        <v>4328</v>
      </c>
      <c r="I131" s="48" t="n">
        <v>1</v>
      </c>
      <c r="J131" s="49" t="s">
        <v>151</v>
      </c>
      <c r="K131" s="46" t="n">
        <v>0.183397418</v>
      </c>
      <c r="L131" s="46" t="n">
        <v>-0.1111569928</v>
      </c>
      <c r="M131" s="46" t="n">
        <v>0.3549560544</v>
      </c>
      <c r="N131" s="46" t="n">
        <v>1.4317711028</v>
      </c>
      <c r="O131" s="46" t="n">
        <v>0.600605687</v>
      </c>
      <c r="P131" s="46" t="n">
        <f aca="false">IF(O131="","",O131*SQRT(25/252))</f>
        <v>0.18917300997775</v>
      </c>
      <c r="Q131" s="46" t="n">
        <v>-0.4355808103</v>
      </c>
      <c r="R131" s="50" t="n">
        <v>1.304987096</v>
      </c>
      <c r="S131" s="46" t="n">
        <v>0.6898492445</v>
      </c>
      <c r="T131" s="46" t="n">
        <v>-0.2702562341</v>
      </c>
      <c r="U131" s="44" t="s">
        <v>243</v>
      </c>
    </row>
    <row r="132" customFormat="false" ht="15" hidden="false" customHeight="false" outlineLevel="0" collapsed="false">
      <c r="A132" s="44" t="s">
        <v>272</v>
      </c>
      <c r="B132" s="44" t="s">
        <v>150</v>
      </c>
      <c r="C132" s="45" t="n">
        <v>1353.92</v>
      </c>
      <c r="D132" s="46" t="n">
        <v>0</v>
      </c>
      <c r="E132" s="45" t="n">
        <v>1339.21</v>
      </c>
      <c r="F132" s="45" t="n">
        <v>1403.99</v>
      </c>
      <c r="G132" s="47" t="n">
        <v>0.047229513</v>
      </c>
      <c r="H132" s="48" t="n">
        <v>1200</v>
      </c>
      <c r="I132" s="48" t="n">
        <v>800</v>
      </c>
      <c r="J132" s="49" t="s">
        <v>151</v>
      </c>
      <c r="K132" s="46" t="n">
        <v>0.1749176638</v>
      </c>
      <c r="L132" s="46" t="n">
        <v>-0.0745423294</v>
      </c>
      <c r="M132" s="46" t="n">
        <v>0.5835116313</v>
      </c>
      <c r="N132" s="46" t="n">
        <v>-0.0367093291</v>
      </c>
      <c r="O132" s="46" t="n">
        <v>0.6025256204</v>
      </c>
      <c r="P132" s="46" t="n">
        <f aca="false">IF(O132="","",O132*SQRT(25/252))</f>
        <v>0.189777732157536</v>
      </c>
      <c r="Q132" s="46" t="n">
        <v>-0.4898779932</v>
      </c>
      <c r="R132" s="50" t="n">
        <v>0.5150026885</v>
      </c>
      <c r="S132" s="46" t="n">
        <v>1.1586306856</v>
      </c>
      <c r="T132" s="46" t="n">
        <v>-0.4570245746</v>
      </c>
      <c r="U132" s="44" t="s">
        <v>243</v>
      </c>
    </row>
    <row r="133" customFormat="false" ht="15" hidden="false" customHeight="false" outlineLevel="0" collapsed="false">
      <c r="A133" s="44" t="s">
        <v>273</v>
      </c>
      <c r="B133" s="44" t="s">
        <v>150</v>
      </c>
      <c r="C133" s="45" t="n">
        <v>4924</v>
      </c>
      <c r="D133" s="46" t="n">
        <v>0</v>
      </c>
      <c r="E133" s="45" t="n">
        <v>4951.81</v>
      </c>
      <c r="F133" s="45" t="n">
        <v>5187.59</v>
      </c>
      <c r="G133" s="47" t="n">
        <v>0.0465076829</v>
      </c>
      <c r="H133" s="48" t="n">
        <v>500</v>
      </c>
      <c r="I133" s="48" t="n">
        <v>400</v>
      </c>
      <c r="J133" s="49" t="s">
        <v>151</v>
      </c>
      <c r="K133" s="46" t="n">
        <v>0.3018029941</v>
      </c>
      <c r="L133" s="46" t="n">
        <v>0.3290433879</v>
      </c>
      <c r="M133" s="46" t="n">
        <v>1.2964032233</v>
      </c>
      <c r="N133" s="46" t="n">
        <v>1.5358308116</v>
      </c>
      <c r="O133" s="46" t="n">
        <v>0.617655263</v>
      </c>
      <c r="P133" s="46" t="n">
        <f aca="false">IF(O133="","",O133*SQRT(25/252))</f>
        <v>0.194543121650976</v>
      </c>
      <c r="Q133" s="46" t="n">
        <v>-0.2838609408</v>
      </c>
      <c r="R133" s="50" t="n">
        <v>0.0646602068</v>
      </c>
      <c r="S133" s="46" t="n">
        <v>0.6737379223</v>
      </c>
      <c r="T133" s="46" t="n">
        <v>-0.3655339335</v>
      </c>
      <c r="U133" s="44" t="s">
        <v>243</v>
      </c>
    </row>
    <row r="134" customFormat="false" ht="15" hidden="false" customHeight="false" outlineLevel="0" collapsed="false">
      <c r="A134" s="44" t="s">
        <v>274</v>
      </c>
      <c r="B134" s="44" t="s">
        <v>150</v>
      </c>
      <c r="C134" s="45" t="n">
        <v>195</v>
      </c>
      <c r="D134" s="46" t="n">
        <v>-0.0351</v>
      </c>
      <c r="E134" s="45" t="n">
        <v>196.01</v>
      </c>
      <c r="F134" s="45" t="n">
        <v>200.49</v>
      </c>
      <c r="G134" s="47" t="n">
        <v>0.0225977301</v>
      </c>
      <c r="H134" s="48" t="n">
        <v>3500</v>
      </c>
      <c r="I134" s="48" t="n">
        <v>4500</v>
      </c>
      <c r="J134" s="49" t="s">
        <v>151</v>
      </c>
      <c r="K134" s="46" t="n">
        <v>0.171072054</v>
      </c>
      <c r="L134" s="46" t="n">
        <v>0.1920422727</v>
      </c>
      <c r="M134" s="46" t="n">
        <v>0.30916576</v>
      </c>
      <c r="N134" s="46" t="n">
        <v>0.1536794324</v>
      </c>
      <c r="O134" s="46" t="n">
        <v>0.6567585631</v>
      </c>
      <c r="P134" s="46" t="n">
        <f aca="false">IF(O134="","",O134*SQRT(25/252))</f>
        <v>0.206859503496991</v>
      </c>
      <c r="Q134" s="46" t="n">
        <v>-0.3387121187</v>
      </c>
      <c r="R134" s="50" t="n">
        <v>0.9786110375</v>
      </c>
      <c r="S134" s="46" t="n">
        <v>4.0708046797</v>
      </c>
      <c r="T134" s="46" t="n">
        <v>-0.4105521417</v>
      </c>
      <c r="U134" s="44" t="s">
        <v>243</v>
      </c>
    </row>
    <row r="135" customFormat="false" ht="15" hidden="false" customHeight="false" outlineLevel="0" collapsed="false">
      <c r="A135" s="44" t="s">
        <v>275</v>
      </c>
      <c r="B135" s="44" t="s">
        <v>150</v>
      </c>
      <c r="C135" s="45" t="n">
        <v>425</v>
      </c>
      <c r="D135" s="46" t="n">
        <v>-0.0177</v>
      </c>
      <c r="E135" s="45" t="n">
        <v>420.01</v>
      </c>
      <c r="F135" s="45" t="n">
        <v>440.99</v>
      </c>
      <c r="G135" s="47" t="n">
        <v>0.0487340302</v>
      </c>
      <c r="H135" s="48" t="n">
        <v>8000</v>
      </c>
      <c r="I135" s="48" t="n">
        <v>3200</v>
      </c>
      <c r="J135" s="49" t="s">
        <v>151</v>
      </c>
      <c r="K135" s="46" t="n">
        <v>-0.0304810551</v>
      </c>
      <c r="L135" s="46" t="n">
        <v>-0.2607980989</v>
      </c>
      <c r="M135" s="46" t="n">
        <v>-0.1124109224</v>
      </c>
      <c r="N135" s="46" t="n">
        <v>-0.5532434223</v>
      </c>
      <c r="O135" s="46" t="n">
        <v>0.6635218882</v>
      </c>
      <c r="P135" s="46" t="n">
        <f aca="false">IF(O135="","",O135*SQRT(25/252))</f>
        <v>0.208989750669667</v>
      </c>
      <c r="Q135" s="46" t="n">
        <v>-0.5792157662</v>
      </c>
      <c r="R135" s="50" t="n">
        <v>0.5409223145</v>
      </c>
      <c r="S135" s="46" t="n">
        <v>1.1253757673</v>
      </c>
      <c r="T135" s="46" t="n">
        <v>-0.491431344</v>
      </c>
      <c r="U135" s="44" t="s">
        <v>243</v>
      </c>
    </row>
    <row r="136" customFormat="false" ht="15" hidden="false" customHeight="false" outlineLevel="0" collapsed="false">
      <c r="A136" s="44" t="s">
        <v>276</v>
      </c>
      <c r="B136" s="44" t="s">
        <v>154</v>
      </c>
      <c r="C136" s="45" t="n">
        <v>18.97</v>
      </c>
      <c r="D136" s="46" t="n">
        <v>0.0037</v>
      </c>
      <c r="E136" s="45" t="n">
        <v>18.71</v>
      </c>
      <c r="F136" s="45" t="n">
        <v>18.94</v>
      </c>
      <c r="G136" s="47" t="n">
        <v>0.0122177955</v>
      </c>
      <c r="H136" s="48" t="n">
        <v>150</v>
      </c>
      <c r="I136" s="48" t="n">
        <v>210</v>
      </c>
      <c r="J136" s="49" t="s">
        <v>151</v>
      </c>
      <c r="K136" s="46" t="n">
        <v>-0.1809774931</v>
      </c>
      <c r="L136" s="46" t="n">
        <v>0.3429602794</v>
      </c>
      <c r="M136" s="46" t="n">
        <v>0.9787235251</v>
      </c>
      <c r="N136" s="46" t="n">
        <v>1.2627736955</v>
      </c>
      <c r="O136" s="46" t="n">
        <v>0.670034987</v>
      </c>
      <c r="P136" s="46" t="n">
        <f aca="false">IF(O136="","",O136*SQRT(25/252))</f>
        <v>0.211041183966</v>
      </c>
      <c r="Q136" s="46" t="n">
        <v>-0.4161774394</v>
      </c>
      <c r="R136" s="50" t="n">
        <v>0.9076415999</v>
      </c>
      <c r="S136" s="46" t="n">
        <v>1.7426272091</v>
      </c>
      <c r="T136" s="46" t="n">
        <v>-0.3553008614</v>
      </c>
      <c r="U136" s="44" t="s">
        <v>243</v>
      </c>
    </row>
    <row r="137" customFormat="false" ht="15" hidden="false" customHeight="false" outlineLevel="0" collapsed="false">
      <c r="A137" s="44" t="s">
        <v>277</v>
      </c>
      <c r="B137" s="44" t="s">
        <v>150</v>
      </c>
      <c r="C137" s="45" t="n">
        <v>256.5</v>
      </c>
      <c r="D137" s="46" t="n">
        <v>-0.0037</v>
      </c>
      <c r="E137" s="45" t="n">
        <v>253.81</v>
      </c>
      <c r="F137" s="45" t="n">
        <v>257.66</v>
      </c>
      <c r="G137" s="47" t="n">
        <v>0.0150546464</v>
      </c>
      <c r="H137" s="48" t="n">
        <v>33400</v>
      </c>
      <c r="I137" s="48" t="n">
        <v>22600</v>
      </c>
      <c r="J137" s="49" t="s">
        <v>151</v>
      </c>
      <c r="K137" s="46" t="n">
        <v>-0.0631686778</v>
      </c>
      <c r="L137" s="46" t="n">
        <v>-0.1729551269</v>
      </c>
      <c r="M137" s="46" t="n">
        <v>-0.0464032984</v>
      </c>
      <c r="N137" s="46" t="n">
        <v>0.0427249034</v>
      </c>
      <c r="O137" s="46" t="n">
        <v>0.6945529282</v>
      </c>
      <c r="P137" s="46" t="n">
        <f aca="false">IF(O137="","",O137*SQRT(25/252))</f>
        <v>0.218763609570107</v>
      </c>
      <c r="Q137" s="46" t="n">
        <v>-0.4484074836</v>
      </c>
      <c r="R137" s="50" t="n">
        <v>1.1641552871</v>
      </c>
      <c r="S137" s="46" t="n">
        <v>0.5918856291</v>
      </c>
      <c r="T137" s="46" t="n">
        <v>-0.3710934049</v>
      </c>
      <c r="U137" s="44" t="s">
        <v>243</v>
      </c>
    </row>
    <row r="138" customFormat="false" ht="15" hidden="false" customHeight="false" outlineLevel="0" collapsed="false">
      <c r="A138" s="44" t="s">
        <v>278</v>
      </c>
      <c r="B138" s="44" t="s">
        <v>150</v>
      </c>
      <c r="C138" s="45" t="n">
        <v>11549.58</v>
      </c>
      <c r="D138" s="46" t="n">
        <v>-0.0056</v>
      </c>
      <c r="E138" s="45" t="n">
        <v>11463.87</v>
      </c>
      <c r="F138" s="45" t="n">
        <v>11603.2</v>
      </c>
      <c r="G138" s="47" t="n">
        <v>0.0120804246</v>
      </c>
      <c r="H138" s="48" t="n">
        <v>2350</v>
      </c>
      <c r="I138" s="48" t="n">
        <v>2146</v>
      </c>
      <c r="J138" s="49" t="s">
        <v>151</v>
      </c>
      <c r="K138" s="46" t="n">
        <v>0.2912894584</v>
      </c>
      <c r="L138" s="46" t="n">
        <v>0.1629190975</v>
      </c>
      <c r="M138" s="46" t="n">
        <v>1.7560630288</v>
      </c>
      <c r="N138" s="46" t="n">
        <v>1.9336613802</v>
      </c>
      <c r="O138" s="46" t="n">
        <v>0.6955355998</v>
      </c>
      <c r="P138" s="46" t="n">
        <f aca="false">IF(O138="","",O138*SQRT(25/252))</f>
        <v>0.219073122031303</v>
      </c>
      <c r="Q138" s="46" t="n">
        <v>-0.3215969728</v>
      </c>
      <c r="R138" s="50" t="n">
        <v>1.3650158672</v>
      </c>
      <c r="S138" s="46" t="n">
        <v>1.0287506551</v>
      </c>
      <c r="T138" s="46" t="n">
        <v>-0.2477796044</v>
      </c>
      <c r="U138" s="44" t="s">
        <v>243</v>
      </c>
    </row>
    <row r="139" customFormat="false" ht="15" hidden="false" customHeight="false" outlineLevel="0" collapsed="false">
      <c r="A139" s="44" t="s">
        <v>279</v>
      </c>
      <c r="B139" s="44" t="s">
        <v>150</v>
      </c>
      <c r="C139" s="45" t="n">
        <v>218.88</v>
      </c>
      <c r="D139" s="46" t="n">
        <v>0.0175</v>
      </c>
      <c r="E139" s="45" t="n">
        <v>213.21</v>
      </c>
      <c r="F139" s="45" t="n">
        <v>226.19</v>
      </c>
      <c r="G139" s="47" t="n">
        <v>0.0590805644</v>
      </c>
      <c r="H139" s="48" t="n">
        <v>23400</v>
      </c>
      <c r="I139" s="48" t="n">
        <v>11700</v>
      </c>
      <c r="J139" s="49" t="s">
        <v>151</v>
      </c>
      <c r="K139" s="46" t="n">
        <v>0.0583250966</v>
      </c>
      <c r="L139" s="46" t="n">
        <v>0.3124144327</v>
      </c>
      <c r="M139" s="46" t="n">
        <v>0.3436197042</v>
      </c>
      <c r="N139" s="46" t="n">
        <v>-0.0789303409</v>
      </c>
      <c r="O139" s="46" t="n">
        <v>0.706784543</v>
      </c>
      <c r="P139" s="46" t="n">
        <f aca="false">IF(O139="","",O139*SQRT(25/252))</f>
        <v>0.222616206105052</v>
      </c>
      <c r="Q139" s="46" t="n">
        <v>-0.5331778101</v>
      </c>
      <c r="R139" s="50" t="n">
        <v>1.0992505549</v>
      </c>
      <c r="S139" s="46" t="n">
        <v>0.5692983748</v>
      </c>
      <c r="T139" s="46" t="n">
        <v>-0.4026962455</v>
      </c>
      <c r="U139" s="44" t="s">
        <v>243</v>
      </c>
    </row>
    <row r="140" customFormat="false" ht="15" hidden="false" customHeight="false" outlineLevel="0" collapsed="false">
      <c r="A140" s="44" t="s">
        <v>280</v>
      </c>
      <c r="B140" s="44" t="s">
        <v>150</v>
      </c>
      <c r="C140" s="45" t="n">
        <v>1994.92</v>
      </c>
      <c r="D140" s="46" t="n">
        <v>-0.0215</v>
      </c>
      <c r="E140" s="45" t="n">
        <v>1980.01</v>
      </c>
      <c r="F140" s="45" t="n">
        <v>1999.99</v>
      </c>
      <c r="G140" s="47" t="n">
        <v>0.010040201</v>
      </c>
      <c r="H140" s="48" t="n">
        <v>5250</v>
      </c>
      <c r="I140" s="48" t="n">
        <v>4360</v>
      </c>
      <c r="J140" s="49" t="s">
        <v>151</v>
      </c>
      <c r="K140" s="46" t="n">
        <v>0.0957573585</v>
      </c>
      <c r="L140" s="46" t="n">
        <v>0.0218693469</v>
      </c>
      <c r="M140" s="46" t="n">
        <v>0.8281387975</v>
      </c>
      <c r="N140" s="46" t="n">
        <v>1.8880594485</v>
      </c>
      <c r="O140" s="46" t="n">
        <v>0.7672625446</v>
      </c>
      <c r="P140" s="46" t="n">
        <f aca="false">IF(O140="","",O140*SQRT(25/252))</f>
        <v>0.241664986107881</v>
      </c>
      <c r="Q140" s="46" t="n">
        <v>-0.4160429102</v>
      </c>
      <c r="R140" s="50" t="n">
        <v>1.415877439</v>
      </c>
      <c r="S140" s="46" t="n">
        <v>1.535432024</v>
      </c>
      <c r="T140" s="46" t="n">
        <v>-0.4035509576</v>
      </c>
      <c r="U140" s="44" t="s">
        <v>243</v>
      </c>
    </row>
    <row r="141" customFormat="false" ht="15" hidden="false" customHeight="false" outlineLevel="0" collapsed="false">
      <c r="A141" s="44" t="s">
        <v>281</v>
      </c>
      <c r="B141" s="44" t="s">
        <v>150</v>
      </c>
      <c r="C141" s="45" t="n">
        <v>166.29</v>
      </c>
      <c r="D141" s="46" t="n">
        <v>0</v>
      </c>
      <c r="E141" s="45" t="n">
        <v>164.51</v>
      </c>
      <c r="F141" s="45" t="n">
        <v>182.99</v>
      </c>
      <c r="G141" s="47" t="n">
        <v>0.1063597122</v>
      </c>
      <c r="H141" s="48" t="n">
        <v>2100</v>
      </c>
      <c r="I141" s="48" t="n">
        <v>20</v>
      </c>
      <c r="J141" s="49" t="s">
        <v>151</v>
      </c>
      <c r="K141" s="46" t="n">
        <v>-0.0802276743</v>
      </c>
      <c r="L141" s="46" t="n">
        <v>0.0346192331</v>
      </c>
      <c r="M141" s="46" t="n">
        <v>-0.2069949234</v>
      </c>
      <c r="N141" s="46" t="n">
        <v>-0.8043977565</v>
      </c>
      <c r="O141" s="46" t="n">
        <v>0.7868466057</v>
      </c>
      <c r="P141" s="46" t="n">
        <f aca="false">IF(O141="","",O141*SQRT(25/252))</f>
        <v>0.247833385552083</v>
      </c>
      <c r="Q141" s="46" t="n">
        <v>-0.8440957163</v>
      </c>
      <c r="R141" s="50" t="n">
        <v>-0.4513276181</v>
      </c>
      <c r="S141" s="46" t="n">
        <v>2.4310499903</v>
      </c>
      <c r="T141" s="46" t="n">
        <v>-0.5752332209</v>
      </c>
      <c r="U141" s="44" t="s">
        <v>243</v>
      </c>
    </row>
    <row r="142" customFormat="false" ht="15" hidden="false" customHeight="false" outlineLevel="0" collapsed="false">
      <c r="A142" s="44" t="s">
        <v>282</v>
      </c>
      <c r="B142" s="44" t="s">
        <v>150</v>
      </c>
      <c r="C142" s="45" t="n">
        <v>19488</v>
      </c>
      <c r="D142" s="46" t="n">
        <v>-0.003</v>
      </c>
      <c r="E142" s="45" t="n">
        <v>19350.01</v>
      </c>
      <c r="F142" s="45" t="n">
        <v>19524.99</v>
      </c>
      <c r="G142" s="47" t="n">
        <v>0.0090021865</v>
      </c>
      <c r="H142" s="48" t="n">
        <v>2150</v>
      </c>
      <c r="I142" s="48" t="n">
        <v>246</v>
      </c>
      <c r="J142" s="49" t="s">
        <v>151</v>
      </c>
      <c r="K142" s="46" t="n">
        <v>0.1093937865</v>
      </c>
      <c r="L142" s="46" t="n">
        <v>0.1225853169</v>
      </c>
      <c r="M142" s="46" t="n">
        <v>1.6222446893</v>
      </c>
      <c r="N142" s="46" t="n">
        <v>4.6677929203</v>
      </c>
      <c r="O142" s="46" t="n">
        <v>0.8057617672</v>
      </c>
      <c r="P142" s="46" t="n">
        <f aca="false">IF(O142="","",O142*SQRT(25/252))</f>
        <v>0.25379110142561</v>
      </c>
      <c r="Q142" s="46" t="n">
        <v>-0.3973105736</v>
      </c>
      <c r="R142" s="50" t="n">
        <v>1.4084669807</v>
      </c>
      <c r="S142" s="46" t="n">
        <v>1.1310702763</v>
      </c>
      <c r="T142" s="46" t="n">
        <v>-0.3425005853</v>
      </c>
      <c r="U142" s="44" t="s">
        <v>243</v>
      </c>
    </row>
    <row r="143" customFormat="false" ht="15" hidden="false" customHeight="false" outlineLevel="0" collapsed="false">
      <c r="A143" s="44" t="s">
        <v>283</v>
      </c>
      <c r="B143" s="44" t="s">
        <v>150</v>
      </c>
      <c r="C143" s="45" t="n">
        <v>68.85</v>
      </c>
      <c r="D143" s="46" t="n">
        <v>-0.015</v>
      </c>
      <c r="E143" s="45" t="n">
        <v>68</v>
      </c>
      <c r="F143" s="45" t="n">
        <v>68.85</v>
      </c>
      <c r="G143" s="47" t="n">
        <v>0.0124223602</v>
      </c>
      <c r="H143" s="48" t="n">
        <v>5</v>
      </c>
      <c r="I143" s="48" t="n">
        <v>2</v>
      </c>
      <c r="J143" s="49" t="s">
        <v>151</v>
      </c>
      <c r="K143" s="46" t="n">
        <v>-0.0630267879</v>
      </c>
      <c r="L143" s="46" t="n">
        <v>-0.3049509051</v>
      </c>
      <c r="M143" s="46" t="n">
        <v>-0.5578312212</v>
      </c>
      <c r="N143" s="46" t="n">
        <v>-0.8323779222</v>
      </c>
      <c r="O143" s="46" t="n">
        <v>0.8290112058</v>
      </c>
      <c r="P143" s="46" t="n">
        <f aca="false">IF(O143="","",O143*SQRT(25/252))</f>
        <v>0.261113986265784</v>
      </c>
      <c r="Q143" s="46" t="n">
        <v>-0.836627828</v>
      </c>
      <c r="R143" s="50" t="n">
        <v>1.1380270431</v>
      </c>
      <c r="S143" s="46" t="n">
        <v>0.5838077964</v>
      </c>
      <c r="T143" s="46" t="n">
        <v>-0.4643657031</v>
      </c>
      <c r="U143" s="44" t="s">
        <v>243</v>
      </c>
    </row>
    <row r="144" customFormat="false" ht="15" hidden="false" customHeight="false" outlineLevel="0" collapsed="false">
      <c r="A144" s="44" t="s">
        <v>284</v>
      </c>
      <c r="B144" s="44" t="s">
        <v>150</v>
      </c>
      <c r="C144" s="45" t="n">
        <v>179.25</v>
      </c>
      <c r="D144" s="46" t="n">
        <v>-0.0363</v>
      </c>
      <c r="E144" s="45" t="n">
        <v>178.69</v>
      </c>
      <c r="F144" s="45" t="n">
        <v>179.25</v>
      </c>
      <c r="G144" s="47" t="n">
        <v>0.003129016</v>
      </c>
      <c r="H144" s="48" t="n">
        <v>20</v>
      </c>
      <c r="I144" s="48" t="n">
        <v>10</v>
      </c>
      <c r="J144" s="49" t="s">
        <v>151</v>
      </c>
      <c r="K144" s="46" t="n">
        <v>-0.1223334853</v>
      </c>
      <c r="L144" s="46" t="n">
        <v>-0.199449632</v>
      </c>
      <c r="M144" s="46" t="n">
        <v>0.0486050677</v>
      </c>
      <c r="N144" s="46" t="n">
        <v>-0.5235942671</v>
      </c>
      <c r="O144" s="46" t="n">
        <v>0.8651639884</v>
      </c>
      <c r="P144" s="46" t="n">
        <f aca="false">IF(O144="","",O144*SQRT(25/252))</f>
        <v>0.272501042451806</v>
      </c>
      <c r="Q144" s="46" t="n">
        <v>-0.7241313252</v>
      </c>
      <c r="R144" s="50" t="n">
        <v>1.4163715839</v>
      </c>
      <c r="S144" s="46" t="n">
        <v>1.8783823566</v>
      </c>
      <c r="T144" s="46" t="n">
        <v>-0.5183168952</v>
      </c>
      <c r="U144" s="44" t="s">
        <v>243</v>
      </c>
    </row>
    <row r="145" customFormat="false" ht="15" hidden="false" customHeight="false" outlineLevel="0" collapsed="false">
      <c r="A145" s="44" t="s">
        <v>285</v>
      </c>
      <c r="B145" s="44" t="s">
        <v>150</v>
      </c>
      <c r="C145" s="45" t="n">
        <v>305.45</v>
      </c>
      <c r="D145" s="46" t="n">
        <v>-0.0845</v>
      </c>
      <c r="E145" s="45" t="n">
        <v>305.11</v>
      </c>
      <c r="F145" s="45" t="n">
        <v>312.5</v>
      </c>
      <c r="G145" s="47" t="n">
        <v>0.0239309597</v>
      </c>
      <c r="H145" s="48" t="n">
        <v>5</v>
      </c>
      <c r="I145" s="48" t="n">
        <v>50</v>
      </c>
      <c r="J145" s="49" t="s">
        <v>151</v>
      </c>
      <c r="K145" s="46" t="n">
        <v>-0.1922996949</v>
      </c>
      <c r="L145" s="46" t="n">
        <v>-0.1801939168</v>
      </c>
      <c r="M145" s="46" t="n">
        <v>0.0352109709</v>
      </c>
      <c r="N145" s="46" t="n">
        <v>-0.2343738423</v>
      </c>
      <c r="O145" s="46" t="n">
        <v>0.8785405159</v>
      </c>
      <c r="P145" s="46" t="n">
        <f aca="false">IF(O145="","",O145*SQRT(25/252))</f>
        <v>0.276714252591165</v>
      </c>
      <c r="Q145" s="46" t="n">
        <v>-0.5068065404</v>
      </c>
      <c r="R145" s="50" t="n">
        <v>2.0628855873</v>
      </c>
      <c r="S145" s="46" t="n">
        <v>0.9164925199</v>
      </c>
      <c r="T145" s="46" t="n">
        <v>-0.4072056384</v>
      </c>
      <c r="U145" s="44" t="s">
        <v>243</v>
      </c>
    </row>
    <row r="146" customFormat="false" ht="15" hidden="false" customHeight="false" outlineLevel="0" collapsed="false">
      <c r="A146" s="44" t="s">
        <v>286</v>
      </c>
      <c r="B146" s="44" t="s">
        <v>150</v>
      </c>
      <c r="C146" s="45" t="n">
        <v>52.85</v>
      </c>
      <c r="D146" s="46" t="n">
        <v>-0.0249</v>
      </c>
      <c r="E146" s="45" t="n">
        <v>52.97</v>
      </c>
      <c r="F146" s="45" t="n">
        <v>53.63</v>
      </c>
      <c r="G146" s="47" t="n">
        <v>0.0123827392</v>
      </c>
      <c r="H146" s="48" t="n">
        <v>840</v>
      </c>
      <c r="I146" s="48" t="n">
        <v>140</v>
      </c>
      <c r="J146" s="49" t="s">
        <v>151</v>
      </c>
      <c r="K146" s="46" t="n">
        <v>0.054643758</v>
      </c>
      <c r="L146" s="46" t="n">
        <v>0.1711642949</v>
      </c>
      <c r="M146" s="46" t="n">
        <v>0.0187642398</v>
      </c>
      <c r="N146" s="46" t="n">
        <v>-0.2748911386</v>
      </c>
      <c r="O146" s="46" t="n">
        <v>1.1124255486</v>
      </c>
      <c r="P146" s="46" t="n">
        <f aca="false">IF(O146="","",O146*SQRT(25/252))</f>
        <v>0.350381113532166</v>
      </c>
      <c r="Q146" s="46" t="n">
        <v>-0.6752592491</v>
      </c>
      <c r="R146" s="50" t="n">
        <v>0.437442496</v>
      </c>
      <c r="S146" s="46" t="n">
        <v>1.90264471</v>
      </c>
      <c r="T146" s="46" t="n">
        <v>-0.6526605966</v>
      </c>
      <c r="U146" s="44" t="s">
        <v>243</v>
      </c>
    </row>
    <row r="147" customFormat="false" ht="15" hidden="false" customHeight="false" outlineLevel="0" collapsed="false">
      <c r="A147" s="44" t="s">
        <v>287</v>
      </c>
      <c r="B147" s="44" t="s">
        <v>150</v>
      </c>
      <c r="C147" s="45" t="n">
        <v>3586.21</v>
      </c>
      <c r="D147" s="46" t="n">
        <v>0.0112</v>
      </c>
      <c r="E147" s="45" t="n">
        <v>3524.01</v>
      </c>
      <c r="F147" s="45" t="n">
        <v>3609.99</v>
      </c>
      <c r="G147" s="47" t="n">
        <v>0.0241042893</v>
      </c>
      <c r="H147" s="48" t="n">
        <v>2300</v>
      </c>
      <c r="I147" s="48" t="n">
        <v>2700</v>
      </c>
      <c r="J147" s="49" t="s">
        <v>151</v>
      </c>
      <c r="K147" s="46" t="n">
        <v>0.5480940779</v>
      </c>
      <c r="L147" s="46" t="n">
        <v>1.9649175322</v>
      </c>
      <c r="M147" s="46" t="n">
        <v>2.9680186385</v>
      </c>
      <c r="N147" s="46" t="n">
        <v>6.0808724892</v>
      </c>
      <c r="O147" s="46" t="n">
        <v>1.2813021824</v>
      </c>
      <c r="P147" s="46" t="n">
        <f aca="false">IF(O147="","",O147*SQRT(25/252))</f>
        <v>0.403572253446991</v>
      </c>
      <c r="Q147" s="46" t="n">
        <v>-0.3507831609</v>
      </c>
      <c r="R147" s="50" t="n">
        <v>1.0045206314</v>
      </c>
      <c r="S147" s="46" t="n">
        <v>1.9358840051</v>
      </c>
      <c r="T147" s="46" t="n">
        <v>-0.357308807</v>
      </c>
      <c r="U147" s="44" t="s">
        <v>243</v>
      </c>
    </row>
    <row r="148" customFormat="false" ht="15" hidden="false" customHeight="false" outlineLevel="0" collapsed="false">
      <c r="A148" s="44" t="s">
        <v>288</v>
      </c>
      <c r="B148" s="44" t="s">
        <v>150</v>
      </c>
      <c r="C148" s="45" t="n">
        <v>139.39</v>
      </c>
      <c r="D148" s="46" t="n">
        <v>0.0174</v>
      </c>
      <c r="E148" s="45" t="n">
        <v>138</v>
      </c>
      <c r="F148" s="45" t="n">
        <v>139.99</v>
      </c>
      <c r="G148" s="47" t="n">
        <v>0.0143170618</v>
      </c>
      <c r="H148" s="48" t="n">
        <v>2</v>
      </c>
      <c r="I148" s="48" t="n">
        <v>2000</v>
      </c>
      <c r="J148" s="49" t="s">
        <v>151</v>
      </c>
      <c r="K148" s="46" t="n">
        <v>-0.2571202209</v>
      </c>
      <c r="L148" s="46" t="n">
        <v>-0.6032898141</v>
      </c>
      <c r="M148" s="46" t="n">
        <v>-0.5639812583</v>
      </c>
      <c r="N148" s="46" t="n">
        <v>-0.8858269821</v>
      </c>
      <c r="O148" s="46" t="n">
        <v>1.8453511897</v>
      </c>
      <c r="P148" s="46" t="n">
        <f aca="false">IF(O148="","",O148*SQRT(25/252))</f>
        <v>0.581230991609926</v>
      </c>
      <c r="Q148" s="46" t="n">
        <v>-0.9314747382</v>
      </c>
      <c r="R148" s="50" t="n">
        <v>-0.0737266425</v>
      </c>
      <c r="S148" s="46" t="n">
        <v>0.6796257088</v>
      </c>
      <c r="T148" s="46" t="n">
        <v>-0.8013530047</v>
      </c>
      <c r="U148" s="44" t="s">
        <v>243</v>
      </c>
    </row>
    <row r="149" customFormat="false" ht="15" hidden="false" customHeight="false" outlineLevel="0" collapsed="false">
      <c r="A149" s="44" t="s">
        <v>289</v>
      </c>
      <c r="B149" s="44" t="s">
        <v>154</v>
      </c>
      <c r="C149" s="45" t="n">
        <v>3.12</v>
      </c>
      <c r="D149" s="46" t="n">
        <v>0</v>
      </c>
      <c r="E149" s="45"/>
      <c r="F149" s="45"/>
      <c r="G149" s="47"/>
      <c r="H149" s="48" t="n">
        <v>0</v>
      </c>
      <c r="I149" s="48" t="n">
        <v>0</v>
      </c>
      <c r="J149" s="49" t="s">
        <v>217</v>
      </c>
      <c r="K149" s="46"/>
      <c r="L149" s="46"/>
      <c r="M149" s="46"/>
      <c r="N149" s="46"/>
      <c r="O149" s="46"/>
      <c r="P149" s="46" t="str">
        <f aca="false">IF(O149="","",O149*SQRT(25/252))</f>
        <v/>
      </c>
      <c r="Q149" s="46"/>
      <c r="R149" s="50"/>
      <c r="S149" s="46"/>
      <c r="T149" s="46"/>
      <c r="U149" s="44" t="s">
        <v>290</v>
      </c>
    </row>
  </sheetData>
  <autoFilter ref="A4:U149"/>
  <conditionalFormatting sqref="D5:D149">
    <cfRule type="colorScale" priority="2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K5:K149">
    <cfRule type="colorScale" priority="3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L5:L149">
    <cfRule type="colorScale" priority="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M5:M149">
    <cfRule type="colorScale" priority="5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5:N149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Q5:Q149">
    <cfRule type="colorScale" priority="7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S5:S149">
    <cfRule type="colorScale" priority="8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T5:T149">
    <cfRule type="colorScale" priority="9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O5:O149">
    <cfRule type="colorScale" priority="10">
      <colorScale>
        <cfvo type="min" val="0"/>
        <cfvo type="max" val="0"/>
        <color rgb="FFFFFFFF"/>
        <color rgb="FFF4B183"/>
      </colorScale>
    </cfRule>
  </conditionalFormatting>
  <conditionalFormatting sqref="G5:G149">
    <cfRule type="cellIs" priority="11" operator="greaterThan" aboveAverage="0" equalAverage="0" bottom="0" percent="0" rank="0" text="" dxfId="1">
      <formula>0.03</formula>
    </cfRule>
    <cfRule type="cellIs" priority="12" operator="between" aboveAverage="0" equalAverage="0" bottom="0" percent="0" rank="0" text="" dxfId="2">
      <formula>0.01</formula>
      <formula>0.03</formula>
    </cfRule>
  </conditionalFormatting>
  <conditionalFormatting sqref="J5:J149">
    <cfRule type="expression" priority="13" aboveAverage="0" equalAverage="0" bottom="0" percent="0" rank="0" text="" dxfId="0">
      <formula>J5&lt;&gt;"Sí"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45" min="2" style="0" width="6"/>
  </cols>
  <sheetData>
    <row r="1" customFormat="false" ht="18.75" hidden="false" customHeight="true" outlineLevel="0" collapsed="false">
      <c r="A1" s="5" t="s">
        <v>291</v>
      </c>
    </row>
    <row r="2" customFormat="false" ht="15" hidden="false" customHeight="false" outlineLevel="0" collapsed="false">
      <c r="A2" s="6" t="s">
        <v>292</v>
      </c>
    </row>
    <row r="4" customFormat="false" ht="39.75" hidden="false" customHeight="true" outlineLevel="0" collapsed="false">
      <c r="B4" s="11" t="s">
        <v>149</v>
      </c>
      <c r="C4" s="11" t="s">
        <v>153</v>
      </c>
      <c r="D4" s="11" t="s">
        <v>155</v>
      </c>
      <c r="E4" s="11" t="s">
        <v>156</v>
      </c>
      <c r="F4" s="11" t="s">
        <v>157</v>
      </c>
      <c r="G4" s="11" t="s">
        <v>158</v>
      </c>
      <c r="H4" s="11" t="s">
        <v>159</v>
      </c>
      <c r="I4" s="11" t="s">
        <v>160</v>
      </c>
      <c r="J4" s="11" t="s">
        <v>161</v>
      </c>
      <c r="K4" s="11" t="s">
        <v>162</v>
      </c>
      <c r="L4" s="11" t="s">
        <v>163</v>
      </c>
      <c r="M4" s="11" t="s">
        <v>164</v>
      </c>
      <c r="N4" s="11" t="s">
        <v>165</v>
      </c>
      <c r="O4" s="11" t="s">
        <v>120</v>
      </c>
      <c r="P4" s="11" t="s">
        <v>166</v>
      </c>
      <c r="Q4" s="11" t="s">
        <v>167</v>
      </c>
      <c r="R4" s="11" t="s">
        <v>168</v>
      </c>
      <c r="S4" s="11" t="s">
        <v>169</v>
      </c>
      <c r="T4" s="11" t="s">
        <v>170</v>
      </c>
      <c r="U4" s="11" t="s">
        <v>171</v>
      </c>
      <c r="V4" s="11" t="s">
        <v>121</v>
      </c>
      <c r="W4" s="11" t="s">
        <v>172</v>
      </c>
      <c r="X4" s="11" t="s">
        <v>173</v>
      </c>
      <c r="Y4" s="11" t="s">
        <v>174</v>
      </c>
      <c r="Z4" s="11" t="s">
        <v>175</v>
      </c>
      <c r="AA4" s="11" t="s">
        <v>176</v>
      </c>
      <c r="AB4" s="11" t="s">
        <v>177</v>
      </c>
      <c r="AC4" s="11" t="s">
        <v>178</v>
      </c>
      <c r="AD4" s="11" t="s">
        <v>179</v>
      </c>
      <c r="AE4" s="11" t="s">
        <v>180</v>
      </c>
      <c r="AF4" s="11" t="s">
        <v>181</v>
      </c>
      <c r="AG4" s="11" t="s">
        <v>182</v>
      </c>
      <c r="AH4" s="11" t="s">
        <v>183</v>
      </c>
      <c r="AI4" s="11" t="s">
        <v>184</v>
      </c>
      <c r="AJ4" s="11" t="s">
        <v>185</v>
      </c>
      <c r="AK4" s="11" t="s">
        <v>119</v>
      </c>
      <c r="AL4" s="11" t="s">
        <v>186</v>
      </c>
      <c r="AM4" s="11" t="s">
        <v>187</v>
      </c>
      <c r="AN4" s="11" t="s">
        <v>188</v>
      </c>
      <c r="AO4" s="11" t="s">
        <v>189</v>
      </c>
      <c r="AP4" s="11" t="s">
        <v>190</v>
      </c>
      <c r="AQ4" s="11" t="s">
        <v>191</v>
      </c>
      <c r="AR4" s="11" t="s">
        <v>192</v>
      </c>
      <c r="AS4" s="11" t="s">
        <v>193</v>
      </c>
      <c r="AT4" s="11" t="s">
        <v>194</v>
      </c>
      <c r="AU4" s="11" t="s">
        <v>195</v>
      </c>
      <c r="AV4" s="11" t="s">
        <v>196</v>
      </c>
      <c r="AW4" s="11" t="s">
        <v>197</v>
      </c>
      <c r="AX4" s="11" t="s">
        <v>198</v>
      </c>
      <c r="AY4" s="11" t="s">
        <v>200</v>
      </c>
      <c r="AZ4" s="11" t="s">
        <v>124</v>
      </c>
      <c r="BA4" s="11" t="s">
        <v>201</v>
      </c>
      <c r="BB4" s="11" t="s">
        <v>202</v>
      </c>
      <c r="BC4" s="11" t="s">
        <v>203</v>
      </c>
      <c r="BD4" s="11" t="s">
        <v>204</v>
      </c>
      <c r="BE4" s="11" t="s">
        <v>205</v>
      </c>
      <c r="BF4" s="11" t="s">
        <v>206</v>
      </c>
      <c r="BG4" s="11" t="s">
        <v>207</v>
      </c>
      <c r="BH4" s="11" t="s">
        <v>208</v>
      </c>
      <c r="BI4" s="11" t="s">
        <v>209</v>
      </c>
      <c r="BJ4" s="11" t="s">
        <v>210</v>
      </c>
      <c r="BK4" s="11" t="s">
        <v>211</v>
      </c>
      <c r="BL4" s="11" t="s">
        <v>212</v>
      </c>
      <c r="BM4" s="11" t="s">
        <v>213</v>
      </c>
      <c r="BN4" s="11" t="s">
        <v>214</v>
      </c>
      <c r="BO4" s="11" t="s">
        <v>47</v>
      </c>
      <c r="BP4" s="11" t="s">
        <v>122</v>
      </c>
      <c r="BQ4" s="11" t="s">
        <v>48</v>
      </c>
      <c r="BR4" s="11" t="s">
        <v>215</v>
      </c>
      <c r="BS4" s="11" t="s">
        <v>216</v>
      </c>
      <c r="BT4" s="11" t="s">
        <v>218</v>
      </c>
      <c r="BU4" s="11" t="s">
        <v>219</v>
      </c>
      <c r="BV4" s="11" t="s">
        <v>220</v>
      </c>
      <c r="BW4" s="11" t="s">
        <v>221</v>
      </c>
      <c r="BX4" s="11" t="s">
        <v>222</v>
      </c>
      <c r="BY4" s="11" t="s">
        <v>223</v>
      </c>
      <c r="BZ4" s="11" t="s">
        <v>224</v>
      </c>
      <c r="CA4" s="11" t="s">
        <v>225</v>
      </c>
      <c r="CB4" s="11" t="s">
        <v>226</v>
      </c>
      <c r="CC4" s="11" t="s">
        <v>227</v>
      </c>
      <c r="CD4" s="11" t="s">
        <v>228</v>
      </c>
      <c r="CE4" s="11" t="s">
        <v>229</v>
      </c>
      <c r="CF4" s="11" t="s">
        <v>230</v>
      </c>
      <c r="CG4" s="11" t="s">
        <v>231</v>
      </c>
      <c r="CH4" s="11" t="s">
        <v>49</v>
      </c>
      <c r="CI4" s="11" t="s">
        <v>232</v>
      </c>
      <c r="CJ4" s="11" t="s">
        <v>233</v>
      </c>
      <c r="CK4" s="11" t="s">
        <v>234</v>
      </c>
      <c r="CL4" s="11" t="s">
        <v>235</v>
      </c>
      <c r="CM4" s="11" t="s">
        <v>123</v>
      </c>
      <c r="CN4" s="11" t="s">
        <v>236</v>
      </c>
      <c r="CO4" s="11" t="s">
        <v>237</v>
      </c>
      <c r="CP4" s="11" t="s">
        <v>238</v>
      </c>
      <c r="CQ4" s="11" t="s">
        <v>239</v>
      </c>
      <c r="CR4" s="11" t="s">
        <v>240</v>
      </c>
      <c r="CS4" s="11" t="s">
        <v>241</v>
      </c>
      <c r="CT4" s="11" t="s">
        <v>242</v>
      </c>
      <c r="CU4" s="11" t="s">
        <v>244</v>
      </c>
      <c r="CV4" s="11" t="s">
        <v>245</v>
      </c>
      <c r="CW4" s="11" t="s">
        <v>246</v>
      </c>
      <c r="CX4" s="11" t="s">
        <v>247</v>
      </c>
      <c r="CY4" s="11" t="s">
        <v>248</v>
      </c>
      <c r="CZ4" s="11" t="s">
        <v>249</v>
      </c>
      <c r="DA4" s="11" t="s">
        <v>250</v>
      </c>
      <c r="DB4" s="11" t="s">
        <v>50</v>
      </c>
      <c r="DC4" s="11" t="s">
        <v>251</v>
      </c>
      <c r="DD4" s="11" t="s">
        <v>252</v>
      </c>
      <c r="DE4" s="11" t="s">
        <v>253</v>
      </c>
      <c r="DF4" s="11" t="s">
        <v>254</v>
      </c>
      <c r="DG4" s="11" t="s">
        <v>255</v>
      </c>
      <c r="DH4" s="11" t="s">
        <v>51</v>
      </c>
      <c r="DI4" s="11" t="s">
        <v>256</v>
      </c>
      <c r="DJ4" s="11" t="s">
        <v>257</v>
      </c>
      <c r="DK4" s="11" t="s">
        <v>258</v>
      </c>
      <c r="DL4" s="11" t="s">
        <v>259</v>
      </c>
      <c r="DM4" s="11" t="s">
        <v>260</v>
      </c>
      <c r="DN4" s="11" t="s">
        <v>261</v>
      </c>
      <c r="DO4" s="11" t="s">
        <v>262</v>
      </c>
      <c r="DP4" s="11" t="s">
        <v>263</v>
      </c>
      <c r="DQ4" s="11" t="s">
        <v>264</v>
      </c>
      <c r="DR4" s="11" t="s">
        <v>265</v>
      </c>
      <c r="DS4" s="11" t="s">
        <v>266</v>
      </c>
      <c r="DT4" s="11" t="s">
        <v>267</v>
      </c>
      <c r="DU4" s="11" t="s">
        <v>268</v>
      </c>
      <c r="DV4" s="11" t="s">
        <v>269</v>
      </c>
      <c r="DW4" s="11" t="s">
        <v>270</v>
      </c>
      <c r="DX4" s="11" t="s">
        <v>271</v>
      </c>
      <c r="DY4" s="11" t="s">
        <v>272</v>
      </c>
      <c r="DZ4" s="11" t="s">
        <v>273</v>
      </c>
      <c r="EA4" s="11" t="s">
        <v>274</v>
      </c>
      <c r="EB4" s="11" t="s">
        <v>275</v>
      </c>
      <c r="EC4" s="11" t="s">
        <v>276</v>
      </c>
      <c r="ED4" s="11" t="s">
        <v>277</v>
      </c>
      <c r="EE4" s="11" t="s">
        <v>278</v>
      </c>
      <c r="EF4" s="11" t="s">
        <v>279</v>
      </c>
      <c r="EG4" s="11" t="s">
        <v>280</v>
      </c>
      <c r="EH4" s="11" t="s">
        <v>281</v>
      </c>
      <c r="EI4" s="11" t="s">
        <v>282</v>
      </c>
      <c r="EJ4" s="11" t="s">
        <v>283</v>
      </c>
      <c r="EK4" s="11" t="s">
        <v>284</v>
      </c>
      <c r="EL4" s="11" t="s">
        <v>285</v>
      </c>
      <c r="EM4" s="11" t="s">
        <v>286</v>
      </c>
      <c r="EN4" s="11" t="s">
        <v>287</v>
      </c>
      <c r="EO4" s="11" t="s">
        <v>288</v>
      </c>
    </row>
    <row r="5" customFormat="false" ht="15" hidden="false" customHeight="false" outlineLevel="0" collapsed="false">
      <c r="A5" s="51" t="s">
        <v>149</v>
      </c>
      <c r="B5" s="52" t="n">
        <v>1</v>
      </c>
      <c r="C5" s="52" t="n">
        <v>-0.04</v>
      </c>
      <c r="D5" s="52" t="n">
        <v>-0.11</v>
      </c>
      <c r="E5" s="52" t="n">
        <v>0.06</v>
      </c>
      <c r="F5" s="52" t="n">
        <v>0.43</v>
      </c>
      <c r="G5" s="52" t="n">
        <v>-0.11</v>
      </c>
      <c r="H5" s="52" t="n">
        <v>-0.02</v>
      </c>
      <c r="I5" s="52" t="n">
        <v>0.46</v>
      </c>
      <c r="J5" s="52" t="n">
        <v>0.32</v>
      </c>
      <c r="K5" s="52" t="n">
        <v>0.44</v>
      </c>
      <c r="L5" s="52" t="n">
        <v>0.07</v>
      </c>
      <c r="M5" s="52" t="n">
        <v>0.25</v>
      </c>
      <c r="N5" s="52" t="n">
        <v>0.33</v>
      </c>
      <c r="O5" s="52" t="n">
        <v>0.14</v>
      </c>
      <c r="P5" s="52" t="n">
        <v>0.38</v>
      </c>
      <c r="Q5" s="52" t="n">
        <v>0.03</v>
      </c>
      <c r="R5" s="52" t="n">
        <v>0.37</v>
      </c>
      <c r="S5" s="52" t="n">
        <v>0</v>
      </c>
      <c r="T5" s="52" t="n">
        <v>0.25</v>
      </c>
      <c r="U5" s="52" t="n">
        <v>0.07</v>
      </c>
      <c r="V5" s="52" t="n">
        <v>0.03</v>
      </c>
      <c r="W5" s="52" t="n">
        <v>0.02</v>
      </c>
      <c r="X5" s="52" t="n">
        <v>0.33</v>
      </c>
      <c r="Y5" s="52" t="n">
        <v>0.45</v>
      </c>
      <c r="Z5" s="52" t="n">
        <v>0.04</v>
      </c>
      <c r="AA5" s="52" t="n">
        <v>0.06</v>
      </c>
      <c r="AB5" s="52" t="n">
        <v>0.49</v>
      </c>
      <c r="AC5" s="52" t="n">
        <v>0.04</v>
      </c>
      <c r="AD5" s="52" t="n">
        <v>0.06</v>
      </c>
      <c r="AE5" s="52" t="n">
        <v>0</v>
      </c>
      <c r="AF5" s="52" t="n">
        <v>-0.14</v>
      </c>
      <c r="AG5" s="52" t="n">
        <v>0.26</v>
      </c>
      <c r="AH5" s="52" t="n">
        <v>0.31</v>
      </c>
      <c r="AI5" s="52" t="n">
        <v>0.17</v>
      </c>
      <c r="AJ5" s="52" t="n">
        <v>0.03</v>
      </c>
      <c r="AK5" s="52" t="n">
        <v>-0.03</v>
      </c>
      <c r="AL5" s="52" t="n">
        <v>0.28</v>
      </c>
      <c r="AM5" s="52" t="n">
        <v>0.04</v>
      </c>
      <c r="AN5" s="52" t="n">
        <v>0.36</v>
      </c>
      <c r="AO5" s="52" t="n">
        <v>0.26</v>
      </c>
      <c r="AP5" s="52" t="n">
        <v>0.23</v>
      </c>
      <c r="AQ5" s="52" t="n">
        <v>0.12</v>
      </c>
      <c r="AR5" s="52" t="n">
        <v>0.23</v>
      </c>
      <c r="AS5" s="52" t="n">
        <v>-0.13</v>
      </c>
      <c r="AT5" s="52" t="n">
        <v>0.29</v>
      </c>
      <c r="AU5" s="52" t="n">
        <v>0.3</v>
      </c>
      <c r="AV5" s="52" t="n">
        <v>0.07</v>
      </c>
      <c r="AW5" s="52" t="n">
        <v>-0.01</v>
      </c>
      <c r="AX5" s="52" t="n">
        <v>0.34</v>
      </c>
      <c r="AY5" s="52" t="n">
        <v>0.27</v>
      </c>
      <c r="AZ5" s="52" t="n">
        <v>0.03</v>
      </c>
      <c r="BA5" s="52" t="n">
        <v>0.19</v>
      </c>
      <c r="BB5" s="52" t="n">
        <v>0.16</v>
      </c>
      <c r="BC5" s="52" t="n">
        <v>0.1</v>
      </c>
      <c r="BD5" s="52" t="n">
        <v>0.01</v>
      </c>
      <c r="BE5" s="52" t="n">
        <v>0.3</v>
      </c>
      <c r="BF5" s="52" t="n">
        <v>0.04</v>
      </c>
      <c r="BG5" s="52" t="n">
        <v>0.21</v>
      </c>
      <c r="BH5" s="52" t="n">
        <v>0.04</v>
      </c>
      <c r="BI5" s="52" t="n">
        <v>0.1</v>
      </c>
      <c r="BJ5" s="52" t="n">
        <v>-0.03</v>
      </c>
      <c r="BK5" s="52" t="n">
        <v>0.02</v>
      </c>
      <c r="BL5" s="52" t="n">
        <v>0.08</v>
      </c>
      <c r="BM5" s="52" t="n">
        <v>0.17</v>
      </c>
      <c r="BN5" s="52" t="n">
        <v>0.28</v>
      </c>
      <c r="BO5" s="52" t="n">
        <v>0.14</v>
      </c>
      <c r="BP5" s="52" t="n">
        <v>0.12</v>
      </c>
      <c r="BQ5" s="52" t="n">
        <v>-0.05</v>
      </c>
      <c r="BR5" s="52" t="n">
        <v>0.22</v>
      </c>
      <c r="BS5" s="52" t="n">
        <v>0.02</v>
      </c>
      <c r="BT5" s="52" t="n">
        <v>0.18</v>
      </c>
      <c r="BU5" s="52" t="n">
        <v>-0.07</v>
      </c>
      <c r="BV5" s="52" t="n">
        <v>0.13</v>
      </c>
      <c r="BW5" s="52" t="n">
        <v>0.16</v>
      </c>
      <c r="BX5" s="52" t="n">
        <v>0.28</v>
      </c>
      <c r="BY5" s="52" t="n">
        <v>0.16</v>
      </c>
      <c r="BZ5" s="52" t="n">
        <v>0.21</v>
      </c>
      <c r="CA5" s="52" t="n">
        <v>0.04</v>
      </c>
      <c r="CB5" s="52" t="n">
        <v>0.05</v>
      </c>
      <c r="CC5" s="52" t="n">
        <v>0.22</v>
      </c>
      <c r="CD5" s="52" t="n">
        <v>0.18</v>
      </c>
      <c r="CE5" s="52" t="n">
        <v>0.07</v>
      </c>
      <c r="CF5" s="52" t="n">
        <v>0.08</v>
      </c>
      <c r="CG5" s="52" t="n">
        <v>0.24</v>
      </c>
      <c r="CH5" s="52" t="n">
        <v>-0.08</v>
      </c>
      <c r="CI5" s="52" t="n">
        <v>0.09</v>
      </c>
      <c r="CJ5" s="52" t="n">
        <v>0.26</v>
      </c>
      <c r="CK5" s="52" t="n">
        <v>0.32</v>
      </c>
      <c r="CL5" s="52" t="n">
        <v>0.11</v>
      </c>
      <c r="CM5" s="52" t="n">
        <v>-0.14</v>
      </c>
      <c r="CN5" s="52" t="n">
        <v>-0.04</v>
      </c>
      <c r="CO5" s="52" t="n">
        <v>0.01</v>
      </c>
      <c r="CP5" s="52" t="n">
        <v>0.17</v>
      </c>
      <c r="CQ5" s="52" t="n">
        <v>0.27</v>
      </c>
      <c r="CR5" s="52" t="n">
        <v>-0.06</v>
      </c>
      <c r="CS5" s="52" t="n">
        <v>0</v>
      </c>
      <c r="CT5" s="52" t="n">
        <v>0.1</v>
      </c>
      <c r="CU5" s="52" t="n">
        <v>0</v>
      </c>
      <c r="CV5" s="52" t="n">
        <v>0.07</v>
      </c>
      <c r="CW5" s="52" t="n">
        <v>0.11</v>
      </c>
      <c r="CX5" s="52" t="n">
        <v>0.07</v>
      </c>
      <c r="CY5" s="52" t="n">
        <v>0.22</v>
      </c>
      <c r="CZ5" s="52" t="n">
        <v>0.1</v>
      </c>
      <c r="DA5" s="52" t="n">
        <v>0.12</v>
      </c>
      <c r="DB5" s="52" t="n">
        <v>0</v>
      </c>
      <c r="DC5" s="52" t="n">
        <v>-0.02</v>
      </c>
      <c r="DD5" s="52" t="n">
        <v>0.14</v>
      </c>
      <c r="DE5" s="52" t="n">
        <v>-0.09</v>
      </c>
      <c r="DF5" s="52" t="n">
        <v>0.17</v>
      </c>
      <c r="DG5" s="52" t="n">
        <v>0.01</v>
      </c>
      <c r="DH5" s="52" t="n">
        <v>-0.05</v>
      </c>
      <c r="DI5" s="52" t="n">
        <v>0.27</v>
      </c>
      <c r="DJ5" s="52" t="n">
        <v>0.22</v>
      </c>
      <c r="DK5" s="52" t="n">
        <v>0.23</v>
      </c>
      <c r="DL5" s="52" t="n">
        <v>-0.12</v>
      </c>
      <c r="DM5" s="52" t="n">
        <v>0.27</v>
      </c>
      <c r="DN5" s="52" t="n">
        <v>0.19</v>
      </c>
      <c r="DO5" s="52" t="n">
        <v>0.06</v>
      </c>
      <c r="DP5" s="52" t="n">
        <v>0.25</v>
      </c>
      <c r="DQ5" s="52" t="n">
        <v>0.01</v>
      </c>
      <c r="DR5" s="52" t="n">
        <v>-0.06</v>
      </c>
      <c r="DS5" s="52" t="n">
        <v>0.11</v>
      </c>
      <c r="DT5" s="52" t="n">
        <v>-0.13</v>
      </c>
      <c r="DU5" s="52" t="n">
        <v>-0.01</v>
      </c>
      <c r="DV5" s="52" t="n">
        <v>-0.02</v>
      </c>
      <c r="DW5" s="52" t="n">
        <v>0.1</v>
      </c>
      <c r="DX5" s="52" t="n">
        <v>-0.15</v>
      </c>
      <c r="DY5" s="52" t="n">
        <v>0.15</v>
      </c>
      <c r="DZ5" s="52" t="n">
        <v>0.02</v>
      </c>
      <c r="EA5" s="52" t="n">
        <v>0</v>
      </c>
      <c r="EB5" s="52" t="n">
        <v>0.05</v>
      </c>
      <c r="EC5" s="52" t="n">
        <v>-0.12</v>
      </c>
      <c r="ED5" s="52" t="n">
        <v>0.05</v>
      </c>
      <c r="EE5" s="52" t="n">
        <v>-0.09</v>
      </c>
      <c r="EF5" s="52" t="n">
        <v>0.05</v>
      </c>
      <c r="EG5" s="52" t="n">
        <v>-0.06</v>
      </c>
      <c r="EH5" s="52" t="n">
        <v>0.07</v>
      </c>
      <c r="EI5" s="52" t="n">
        <v>-0.2</v>
      </c>
      <c r="EJ5" s="52" t="n">
        <v>0.06</v>
      </c>
      <c r="EK5" s="52" t="n">
        <v>-0.03</v>
      </c>
      <c r="EL5" s="52" t="n">
        <v>-0.11</v>
      </c>
      <c r="EM5" s="52" t="n">
        <v>-0.07</v>
      </c>
      <c r="EN5" s="52" t="n">
        <v>0.02</v>
      </c>
      <c r="EO5" s="52" t="n">
        <v>0</v>
      </c>
    </row>
    <row r="6" customFormat="false" ht="15" hidden="false" customHeight="false" outlineLevel="0" collapsed="false">
      <c r="A6" s="51" t="s">
        <v>153</v>
      </c>
      <c r="B6" s="52" t="n">
        <v>-0.04</v>
      </c>
      <c r="C6" s="52" t="n">
        <v>1</v>
      </c>
      <c r="D6" s="52" t="n">
        <v>0.08</v>
      </c>
      <c r="E6" s="52" t="n">
        <v>0.09</v>
      </c>
      <c r="F6" s="52" t="n">
        <v>0.01</v>
      </c>
      <c r="G6" s="52" t="n">
        <v>0.02</v>
      </c>
      <c r="H6" s="52" t="n">
        <v>0.14</v>
      </c>
      <c r="I6" s="52" t="n">
        <v>0.08</v>
      </c>
      <c r="J6" s="52" t="n">
        <v>0.04</v>
      </c>
      <c r="K6" s="52" t="n">
        <v>-0.08</v>
      </c>
      <c r="L6" s="52" t="n">
        <v>0.31</v>
      </c>
      <c r="M6" s="52" t="n">
        <v>0.07</v>
      </c>
      <c r="N6" s="52" t="n">
        <v>-0.01</v>
      </c>
      <c r="O6" s="52" t="n">
        <v>0.18</v>
      </c>
      <c r="P6" s="52" t="n">
        <v>0.07</v>
      </c>
      <c r="Q6" s="52" t="n">
        <v>0</v>
      </c>
      <c r="R6" s="52" t="n">
        <v>0.03</v>
      </c>
      <c r="S6" s="52" t="n">
        <v>0.06</v>
      </c>
      <c r="T6" s="52" t="n">
        <v>-0.01</v>
      </c>
      <c r="U6" s="52" t="n">
        <v>0.13</v>
      </c>
      <c r="V6" s="52" t="n">
        <v>0.16</v>
      </c>
      <c r="W6" s="52" t="n">
        <v>0.14</v>
      </c>
      <c r="X6" s="52" t="n">
        <v>0.03</v>
      </c>
      <c r="Y6" s="52" t="n">
        <v>0.1</v>
      </c>
      <c r="Z6" s="52" t="n">
        <v>0.21</v>
      </c>
      <c r="AA6" s="52" t="n">
        <v>0.09</v>
      </c>
      <c r="AB6" s="52" t="n">
        <v>0.03</v>
      </c>
      <c r="AC6" s="52" t="n">
        <v>0.04</v>
      </c>
      <c r="AD6" s="52" t="n">
        <v>0.2</v>
      </c>
      <c r="AE6" s="52" t="n">
        <v>0.2</v>
      </c>
      <c r="AF6" s="52" t="n">
        <v>0.24</v>
      </c>
      <c r="AG6" s="52" t="n">
        <v>-0.02</v>
      </c>
      <c r="AH6" s="52" t="n">
        <v>0</v>
      </c>
      <c r="AI6" s="52" t="n">
        <v>-0.02</v>
      </c>
      <c r="AJ6" s="52" t="n">
        <v>0.11</v>
      </c>
      <c r="AK6" s="52" t="n">
        <v>0.22</v>
      </c>
      <c r="AL6" s="52" t="n">
        <v>-0.01</v>
      </c>
      <c r="AM6" s="52" t="n">
        <v>0.08</v>
      </c>
      <c r="AN6" s="52" t="n">
        <v>0.01</v>
      </c>
      <c r="AO6" s="52" t="n">
        <v>0.03</v>
      </c>
      <c r="AP6" s="52" t="n">
        <v>-0.06</v>
      </c>
      <c r="AQ6" s="52" t="n">
        <v>0.01</v>
      </c>
      <c r="AR6" s="52" t="n">
        <v>0</v>
      </c>
      <c r="AS6" s="52" t="n">
        <v>0.12</v>
      </c>
      <c r="AT6" s="52" t="n">
        <v>0</v>
      </c>
      <c r="AU6" s="52" t="n">
        <v>0.05</v>
      </c>
      <c r="AV6" s="52" t="n">
        <v>0.28</v>
      </c>
      <c r="AW6" s="52" t="n">
        <v>0.19</v>
      </c>
      <c r="AX6" s="52" t="n">
        <v>-0.01</v>
      </c>
      <c r="AY6" s="52" t="n">
        <v>0.12</v>
      </c>
      <c r="AZ6" s="52" t="n">
        <v>0.08</v>
      </c>
      <c r="BA6" s="52" t="n">
        <v>0.06</v>
      </c>
      <c r="BB6" s="52" t="n">
        <v>-0.07</v>
      </c>
      <c r="BC6" s="52" t="n">
        <v>0.03</v>
      </c>
      <c r="BD6" s="52" t="n">
        <v>0.17</v>
      </c>
      <c r="BE6" s="52" t="n">
        <v>0.07</v>
      </c>
      <c r="BF6" s="52" t="n">
        <v>0</v>
      </c>
      <c r="BG6" s="52" t="n">
        <v>0.01</v>
      </c>
      <c r="BH6" s="52" t="n">
        <v>0.05</v>
      </c>
      <c r="BI6" s="52" t="n">
        <v>-0.01</v>
      </c>
      <c r="BJ6" s="52" t="n">
        <v>0.03</v>
      </c>
      <c r="BK6" s="52" t="n">
        <v>0.06</v>
      </c>
      <c r="BL6" s="52" t="n">
        <v>-0.01</v>
      </c>
      <c r="BM6" s="52" t="n">
        <v>0.03</v>
      </c>
      <c r="BN6" s="52" t="n">
        <v>0.03</v>
      </c>
      <c r="BO6" s="52" t="n">
        <v>-0.02</v>
      </c>
      <c r="BP6" s="52" t="n">
        <v>-0.07</v>
      </c>
      <c r="BQ6" s="52" t="n">
        <v>0.19</v>
      </c>
      <c r="BR6" s="52" t="n">
        <v>-0.07</v>
      </c>
      <c r="BS6" s="52" t="n">
        <v>-0.03</v>
      </c>
      <c r="BT6" s="52" t="n">
        <v>0.04</v>
      </c>
      <c r="BU6" s="52" t="n">
        <v>0.06</v>
      </c>
      <c r="BV6" s="52" t="n">
        <v>-0.02</v>
      </c>
      <c r="BW6" s="52" t="n">
        <v>-0.04</v>
      </c>
      <c r="BX6" s="52" t="n">
        <v>-0.07</v>
      </c>
      <c r="BY6" s="52" t="n">
        <v>-0.03</v>
      </c>
      <c r="BZ6" s="52" t="n">
        <v>0.12</v>
      </c>
      <c r="CA6" s="52" t="n">
        <v>0.16</v>
      </c>
      <c r="CB6" s="52" t="n">
        <v>0.1</v>
      </c>
      <c r="CC6" s="52" t="n">
        <v>-0.02</v>
      </c>
      <c r="CD6" s="52" t="n">
        <v>-0.04</v>
      </c>
      <c r="CE6" s="52" t="n">
        <v>-0.03</v>
      </c>
      <c r="CF6" s="52" t="n">
        <v>-0.04</v>
      </c>
      <c r="CG6" s="52" t="n">
        <v>-0.03</v>
      </c>
      <c r="CH6" s="52" t="n">
        <v>0.13</v>
      </c>
      <c r="CI6" s="52" t="n">
        <v>-0.06</v>
      </c>
      <c r="CJ6" s="52" t="n">
        <v>-0.01</v>
      </c>
      <c r="CK6" s="52" t="n">
        <v>-0.07</v>
      </c>
      <c r="CL6" s="52" t="n">
        <v>0</v>
      </c>
      <c r="CM6" s="52" t="n">
        <v>-0.07</v>
      </c>
      <c r="CN6" s="52" t="n">
        <v>0.19</v>
      </c>
      <c r="CO6" s="52" t="n">
        <v>0.07</v>
      </c>
      <c r="CP6" s="52" t="n">
        <v>0.02</v>
      </c>
      <c r="CQ6" s="52" t="n">
        <v>-0.03</v>
      </c>
      <c r="CR6" s="52" t="n">
        <v>-0.06</v>
      </c>
      <c r="CS6" s="52" t="n">
        <v>0.05</v>
      </c>
      <c r="CT6" s="52" t="n">
        <v>0.03</v>
      </c>
      <c r="CU6" s="52" t="n">
        <v>0</v>
      </c>
      <c r="CV6" s="52" t="n">
        <v>-0.06</v>
      </c>
      <c r="CW6" s="52" t="n">
        <v>0.02</v>
      </c>
      <c r="CX6" s="52" t="n">
        <v>0.01</v>
      </c>
      <c r="CY6" s="52" t="n">
        <v>-0.01</v>
      </c>
      <c r="CZ6" s="52" t="n">
        <v>-0.14</v>
      </c>
      <c r="DA6" s="52" t="n">
        <v>-0.01</v>
      </c>
      <c r="DB6" s="52" t="n">
        <v>0.05</v>
      </c>
      <c r="DC6" s="52" t="n">
        <v>0.04</v>
      </c>
      <c r="DD6" s="52" t="n">
        <v>-0.04</v>
      </c>
      <c r="DE6" s="52" t="n">
        <v>0.07</v>
      </c>
      <c r="DF6" s="52" t="n">
        <v>-0.09</v>
      </c>
      <c r="DG6" s="52" t="n">
        <v>0.06</v>
      </c>
      <c r="DH6" s="52" t="n">
        <v>0.06</v>
      </c>
      <c r="DI6" s="52" t="n">
        <v>-0.03</v>
      </c>
      <c r="DJ6" s="52" t="n">
        <v>-0.06</v>
      </c>
      <c r="DK6" s="52" t="n">
        <v>0</v>
      </c>
      <c r="DL6" s="52" t="n">
        <v>0.18</v>
      </c>
      <c r="DM6" s="52" t="n">
        <v>-0.01</v>
      </c>
      <c r="DN6" s="52" t="n">
        <v>0.09</v>
      </c>
      <c r="DO6" s="52" t="n">
        <v>0.15</v>
      </c>
      <c r="DP6" s="52" t="n">
        <v>-0.02</v>
      </c>
      <c r="DQ6" s="52" t="n">
        <v>0.02</v>
      </c>
      <c r="DR6" s="52" t="n">
        <v>0.06</v>
      </c>
      <c r="DS6" s="52" t="n">
        <v>-0.07</v>
      </c>
      <c r="DT6" s="52" t="n">
        <v>-0.03</v>
      </c>
      <c r="DU6" s="52" t="n">
        <v>-0.06</v>
      </c>
      <c r="DV6" s="52" t="n">
        <v>-0.06</v>
      </c>
      <c r="DW6" s="52" t="n">
        <v>-0.12</v>
      </c>
      <c r="DX6" s="52" t="n">
        <v>0.03</v>
      </c>
      <c r="DY6" s="52" t="n">
        <v>0.01</v>
      </c>
      <c r="DZ6" s="52" t="n">
        <v>-0.11</v>
      </c>
      <c r="EA6" s="52" t="n">
        <v>0.02</v>
      </c>
      <c r="EB6" s="52" t="n">
        <v>-0.08</v>
      </c>
      <c r="EC6" s="52" t="n">
        <v>0.04</v>
      </c>
      <c r="ED6" s="52" t="n">
        <v>0.13</v>
      </c>
      <c r="EE6" s="52" t="n">
        <v>0.03</v>
      </c>
      <c r="EF6" s="52" t="n">
        <v>0.11</v>
      </c>
      <c r="EG6" s="52" t="n">
        <v>0.07</v>
      </c>
      <c r="EH6" s="52" t="n">
        <v>0</v>
      </c>
      <c r="EI6" s="52" t="n">
        <v>0.02</v>
      </c>
      <c r="EJ6" s="52" t="n">
        <v>-0.02</v>
      </c>
      <c r="EK6" s="52" t="n">
        <v>0.04</v>
      </c>
      <c r="EL6" s="52" t="n">
        <v>0.02</v>
      </c>
      <c r="EM6" s="52" t="n">
        <v>-0.06</v>
      </c>
      <c r="EN6" s="52" t="n">
        <v>-0.01</v>
      </c>
      <c r="EO6" s="52" t="n">
        <v>0.04</v>
      </c>
    </row>
    <row r="7" customFormat="false" ht="15" hidden="false" customHeight="false" outlineLevel="0" collapsed="false">
      <c r="A7" s="51" t="s">
        <v>155</v>
      </c>
      <c r="B7" s="52" t="n">
        <v>-0.11</v>
      </c>
      <c r="C7" s="52" t="n">
        <v>0.08</v>
      </c>
      <c r="D7" s="52" t="n">
        <v>1</v>
      </c>
      <c r="E7" s="52" t="n">
        <v>0.13</v>
      </c>
      <c r="F7" s="52" t="n">
        <v>-0.09</v>
      </c>
      <c r="G7" s="52" t="n">
        <v>0.12</v>
      </c>
      <c r="H7" s="52" t="n">
        <v>0.15</v>
      </c>
      <c r="I7" s="52" t="n">
        <v>-0.02</v>
      </c>
      <c r="J7" s="52" t="n">
        <v>-0.03</v>
      </c>
      <c r="K7" s="52" t="n">
        <v>-0.05</v>
      </c>
      <c r="L7" s="52" t="n">
        <v>0.11</v>
      </c>
      <c r="M7" s="52" t="n">
        <v>-0.07</v>
      </c>
      <c r="N7" s="52" t="n">
        <v>0.18</v>
      </c>
      <c r="O7" s="52" t="n">
        <v>0.03</v>
      </c>
      <c r="P7" s="52" t="n">
        <v>0</v>
      </c>
      <c r="Q7" s="52" t="n">
        <v>0.02</v>
      </c>
      <c r="R7" s="52" t="n">
        <v>-0.16</v>
      </c>
      <c r="S7" s="52" t="n">
        <v>0.11</v>
      </c>
      <c r="T7" s="52" t="n">
        <v>0.06</v>
      </c>
      <c r="U7" s="52" t="n">
        <v>0.12</v>
      </c>
      <c r="V7" s="52" t="n">
        <v>0.04</v>
      </c>
      <c r="W7" s="52" t="n">
        <v>-0.04</v>
      </c>
      <c r="X7" s="52" t="n">
        <v>0.02</v>
      </c>
      <c r="Y7" s="52" t="n">
        <v>0</v>
      </c>
      <c r="Z7" s="52" t="n">
        <v>0.09</v>
      </c>
      <c r="AA7" s="52" t="n">
        <v>0.09</v>
      </c>
      <c r="AB7" s="52" t="n">
        <v>0.03</v>
      </c>
      <c r="AC7" s="52" t="n">
        <v>0.08</v>
      </c>
      <c r="AD7" s="52" t="n">
        <v>0.02</v>
      </c>
      <c r="AE7" s="52" t="n">
        <v>0.19</v>
      </c>
      <c r="AF7" s="52" t="n">
        <v>0.17</v>
      </c>
      <c r="AG7" s="52" t="n">
        <v>-0.02</v>
      </c>
      <c r="AH7" s="52" t="n">
        <v>-0.03</v>
      </c>
      <c r="AI7" s="52" t="n">
        <v>-0.11</v>
      </c>
      <c r="AJ7" s="52" t="n">
        <v>0.21</v>
      </c>
      <c r="AK7" s="52" t="n">
        <v>0.03</v>
      </c>
      <c r="AL7" s="52" t="n">
        <v>0.05</v>
      </c>
      <c r="AM7" s="52" t="n">
        <v>0.09</v>
      </c>
      <c r="AN7" s="52" t="n">
        <v>-0.05</v>
      </c>
      <c r="AO7" s="52" t="n">
        <v>0.02</v>
      </c>
      <c r="AP7" s="52" t="n">
        <v>0.03</v>
      </c>
      <c r="AQ7" s="52" t="n">
        <v>-0.1</v>
      </c>
      <c r="AR7" s="52" t="n">
        <v>0.07</v>
      </c>
      <c r="AS7" s="52" t="n">
        <v>0.12</v>
      </c>
      <c r="AT7" s="52" t="n">
        <v>0.01</v>
      </c>
      <c r="AU7" s="52" t="n">
        <v>-0.04</v>
      </c>
      <c r="AV7" s="52" t="n">
        <v>0.1</v>
      </c>
      <c r="AW7" s="52" t="n">
        <v>0.04</v>
      </c>
      <c r="AX7" s="52" t="n">
        <v>0.1</v>
      </c>
      <c r="AY7" s="52" t="n">
        <v>-0.03</v>
      </c>
      <c r="AZ7" s="52" t="n">
        <v>0.2</v>
      </c>
      <c r="BA7" s="52" t="n">
        <v>-0.03</v>
      </c>
      <c r="BB7" s="52" t="n">
        <v>0.05</v>
      </c>
      <c r="BC7" s="52" t="n">
        <v>0.06</v>
      </c>
      <c r="BD7" s="52" t="n">
        <v>0.16</v>
      </c>
      <c r="BE7" s="52" t="n">
        <v>-0.02</v>
      </c>
      <c r="BF7" s="52" t="n">
        <v>0.13</v>
      </c>
      <c r="BG7" s="52" t="n">
        <v>0.04</v>
      </c>
      <c r="BH7" s="52" t="n">
        <v>0.11</v>
      </c>
      <c r="BI7" s="52" t="n">
        <v>0.12</v>
      </c>
      <c r="BJ7" s="52" t="n">
        <v>0.07</v>
      </c>
      <c r="BK7" s="52" t="n">
        <v>0.22</v>
      </c>
      <c r="BL7" s="52" t="n">
        <v>-0.05</v>
      </c>
      <c r="BM7" s="52" t="n">
        <v>0.05</v>
      </c>
      <c r="BN7" s="52" t="n">
        <v>-0.12</v>
      </c>
      <c r="BO7" s="52" t="n">
        <v>0.08</v>
      </c>
      <c r="BP7" s="52" t="n">
        <v>0.08</v>
      </c>
      <c r="BQ7" s="52" t="n">
        <v>0.1</v>
      </c>
      <c r="BR7" s="52" t="n">
        <v>0.04</v>
      </c>
      <c r="BS7" s="52" t="n">
        <v>-0.06</v>
      </c>
      <c r="BT7" s="52" t="n">
        <v>0.05</v>
      </c>
      <c r="BU7" s="52" t="n">
        <v>0.1</v>
      </c>
      <c r="BV7" s="52" t="n">
        <v>0.04</v>
      </c>
      <c r="BW7" s="52" t="n">
        <v>0.03</v>
      </c>
      <c r="BX7" s="52" t="n">
        <v>0.09</v>
      </c>
      <c r="BY7" s="52" t="n">
        <v>-0.05</v>
      </c>
      <c r="BZ7" s="52" t="n">
        <v>-0.01</v>
      </c>
      <c r="CA7" s="52" t="n">
        <v>0.15</v>
      </c>
      <c r="CB7" s="52" t="n">
        <v>-0.06</v>
      </c>
      <c r="CC7" s="52" t="n">
        <v>-0.01</v>
      </c>
      <c r="CD7" s="52" t="n">
        <v>0.04</v>
      </c>
      <c r="CE7" s="52" t="n">
        <v>0.05</v>
      </c>
      <c r="CF7" s="52" t="n">
        <v>-0.04</v>
      </c>
      <c r="CG7" s="52" t="n">
        <v>0.11</v>
      </c>
      <c r="CH7" s="52" t="n">
        <v>0.04</v>
      </c>
      <c r="CI7" s="52" t="n">
        <v>-0.07</v>
      </c>
      <c r="CJ7" s="52" t="n">
        <v>0.05</v>
      </c>
      <c r="CK7" s="52" t="n">
        <v>0.01</v>
      </c>
      <c r="CL7" s="52" t="n">
        <v>0</v>
      </c>
      <c r="CM7" s="52" t="n">
        <v>0.06</v>
      </c>
      <c r="CN7" s="52" t="n">
        <v>0.2</v>
      </c>
      <c r="CO7" s="52" t="n">
        <v>0</v>
      </c>
      <c r="CP7" s="52" t="n">
        <v>0.05</v>
      </c>
      <c r="CQ7" s="52" t="n">
        <v>0.05</v>
      </c>
      <c r="CR7" s="52" t="n">
        <v>-0.01</v>
      </c>
      <c r="CS7" s="52" t="n">
        <v>0.03</v>
      </c>
      <c r="CT7" s="52" t="n">
        <v>0.07</v>
      </c>
      <c r="CU7" s="52" t="n">
        <v>0.08</v>
      </c>
      <c r="CV7" s="52" t="n">
        <v>0.02</v>
      </c>
      <c r="CW7" s="52" t="n">
        <v>-0.01</v>
      </c>
      <c r="CX7" s="52" t="n">
        <v>0</v>
      </c>
      <c r="CY7" s="52" t="n">
        <v>0.02</v>
      </c>
      <c r="CZ7" s="52" t="n">
        <v>0.12</v>
      </c>
      <c r="DA7" s="52" t="n">
        <v>0.17</v>
      </c>
      <c r="DB7" s="52" t="n">
        <v>0.09</v>
      </c>
      <c r="DC7" s="52" t="n">
        <v>0.18</v>
      </c>
      <c r="DD7" s="52" t="n">
        <v>0.19</v>
      </c>
      <c r="DE7" s="52" t="n">
        <v>0.05</v>
      </c>
      <c r="DF7" s="52" t="n">
        <v>0.08</v>
      </c>
      <c r="DG7" s="52" t="n">
        <v>0.08</v>
      </c>
      <c r="DH7" s="52" t="n">
        <v>0.05</v>
      </c>
      <c r="DI7" s="52" t="n">
        <v>0.03</v>
      </c>
      <c r="DJ7" s="52" t="n">
        <v>0</v>
      </c>
      <c r="DK7" s="52" t="n">
        <v>0.02</v>
      </c>
      <c r="DL7" s="52" t="n">
        <v>0.2</v>
      </c>
      <c r="DM7" s="52" t="n">
        <v>0.02</v>
      </c>
      <c r="DN7" s="52" t="n">
        <v>-0.06</v>
      </c>
      <c r="DO7" s="52" t="n">
        <v>0.07</v>
      </c>
      <c r="DP7" s="52" t="n">
        <v>0.02</v>
      </c>
      <c r="DQ7" s="52" t="n">
        <v>-0.01</v>
      </c>
      <c r="DR7" s="52" t="n">
        <v>-0.02</v>
      </c>
      <c r="DS7" s="52" t="n">
        <v>0.03</v>
      </c>
      <c r="DT7" s="52" t="n">
        <v>0.04</v>
      </c>
      <c r="DU7" s="52" t="n">
        <v>0.11</v>
      </c>
      <c r="DV7" s="52" t="n">
        <v>0.06</v>
      </c>
      <c r="DW7" s="52" t="n">
        <v>0.07</v>
      </c>
      <c r="DX7" s="52" t="n">
        <v>0.06</v>
      </c>
      <c r="DY7" s="52" t="n">
        <v>0.03</v>
      </c>
      <c r="DZ7" s="52" t="n">
        <v>0.14</v>
      </c>
      <c r="EA7" s="52" t="n">
        <v>0.05</v>
      </c>
      <c r="EB7" s="52" t="n">
        <v>0.05</v>
      </c>
      <c r="EC7" s="52" t="n">
        <v>0</v>
      </c>
      <c r="ED7" s="52" t="n">
        <v>0.1</v>
      </c>
      <c r="EE7" s="52" t="n">
        <v>0.04</v>
      </c>
      <c r="EF7" s="52" t="n">
        <v>0.09</v>
      </c>
      <c r="EG7" s="52" t="n">
        <v>-0.01</v>
      </c>
      <c r="EH7" s="52" t="n">
        <v>0.07</v>
      </c>
      <c r="EI7" s="52" t="n">
        <v>0.06</v>
      </c>
      <c r="EJ7" s="52" t="n">
        <v>0.06</v>
      </c>
      <c r="EK7" s="52" t="n">
        <v>0.04</v>
      </c>
      <c r="EL7" s="52" t="n">
        <v>0.09</v>
      </c>
      <c r="EM7" s="52" t="n">
        <v>0.02</v>
      </c>
      <c r="EN7" s="52" t="n">
        <v>0.01</v>
      </c>
      <c r="EO7" s="52" t="n">
        <v>-0.08</v>
      </c>
    </row>
    <row r="8" customFormat="false" ht="15" hidden="false" customHeight="false" outlineLevel="0" collapsed="false">
      <c r="A8" s="51" t="s">
        <v>156</v>
      </c>
      <c r="B8" s="52" t="n">
        <v>0.06</v>
      </c>
      <c r="C8" s="52" t="n">
        <v>0.09</v>
      </c>
      <c r="D8" s="52" t="n">
        <v>0.13</v>
      </c>
      <c r="E8" s="52" t="n">
        <v>1</v>
      </c>
      <c r="F8" s="52" t="n">
        <v>0.13</v>
      </c>
      <c r="G8" s="52" t="n">
        <v>0.05</v>
      </c>
      <c r="H8" s="52" t="n">
        <v>0.22</v>
      </c>
      <c r="I8" s="52" t="n">
        <v>0.16</v>
      </c>
      <c r="J8" s="52" t="n">
        <v>0.05</v>
      </c>
      <c r="K8" s="52" t="n">
        <v>0.08</v>
      </c>
      <c r="L8" s="52" t="n">
        <v>0.31</v>
      </c>
      <c r="M8" s="52" t="n">
        <v>0.19</v>
      </c>
      <c r="N8" s="52" t="n">
        <v>0.18</v>
      </c>
      <c r="O8" s="52" t="n">
        <v>0.36</v>
      </c>
      <c r="P8" s="52" t="n">
        <v>0.15</v>
      </c>
      <c r="Q8" s="52" t="n">
        <v>0.07</v>
      </c>
      <c r="R8" s="52" t="n">
        <v>0.09</v>
      </c>
      <c r="S8" s="52" t="n">
        <v>0.24</v>
      </c>
      <c r="T8" s="52" t="n">
        <v>0.13</v>
      </c>
      <c r="U8" s="52" t="n">
        <v>0.31</v>
      </c>
      <c r="V8" s="52" t="n">
        <v>0.31</v>
      </c>
      <c r="W8" s="52" t="n">
        <v>0.27</v>
      </c>
      <c r="X8" s="52" t="n">
        <v>0.14</v>
      </c>
      <c r="Y8" s="52" t="n">
        <v>0.04</v>
      </c>
      <c r="Z8" s="52" t="n">
        <v>0.18</v>
      </c>
      <c r="AA8" s="52" t="n">
        <v>0.21</v>
      </c>
      <c r="AB8" s="52" t="n">
        <v>0.05</v>
      </c>
      <c r="AC8" s="52" t="n">
        <v>0.31</v>
      </c>
      <c r="AD8" s="52" t="n">
        <v>0.24</v>
      </c>
      <c r="AE8" s="52" t="n">
        <v>0.19</v>
      </c>
      <c r="AF8" s="52" t="n">
        <v>0.34</v>
      </c>
      <c r="AG8" s="52" t="n">
        <v>0.08</v>
      </c>
      <c r="AH8" s="52" t="n">
        <v>0.08</v>
      </c>
      <c r="AI8" s="52" t="n">
        <v>0.06</v>
      </c>
      <c r="AJ8" s="52" t="n">
        <v>0.1</v>
      </c>
      <c r="AK8" s="52" t="n">
        <v>0.3</v>
      </c>
      <c r="AL8" s="52" t="n">
        <v>0.14</v>
      </c>
      <c r="AM8" s="52" t="n">
        <v>0.16</v>
      </c>
      <c r="AN8" s="52" t="n">
        <v>0.12</v>
      </c>
      <c r="AO8" s="52" t="n">
        <v>0.1</v>
      </c>
      <c r="AP8" s="52" t="n">
        <v>0.13</v>
      </c>
      <c r="AQ8" s="52" t="n">
        <v>0.1</v>
      </c>
      <c r="AR8" s="52" t="n">
        <v>0.08</v>
      </c>
      <c r="AS8" s="52" t="n">
        <v>0.19</v>
      </c>
      <c r="AT8" s="52" t="n">
        <v>0.12</v>
      </c>
      <c r="AU8" s="52" t="n">
        <v>0.08</v>
      </c>
      <c r="AV8" s="52" t="n">
        <v>0.45</v>
      </c>
      <c r="AW8" s="52" t="n">
        <v>0.16</v>
      </c>
      <c r="AX8" s="52" t="n">
        <v>0.13</v>
      </c>
      <c r="AY8" s="52" t="n">
        <v>0.1</v>
      </c>
      <c r="AZ8" s="52" t="n">
        <v>0.23</v>
      </c>
      <c r="BA8" s="52" t="n">
        <v>0.18</v>
      </c>
      <c r="BB8" s="52" t="n">
        <v>0.12</v>
      </c>
      <c r="BC8" s="52" t="n">
        <v>0.22</v>
      </c>
      <c r="BD8" s="52" t="n">
        <v>0.23</v>
      </c>
      <c r="BE8" s="52" t="n">
        <v>0.08</v>
      </c>
      <c r="BF8" s="52" t="n">
        <v>0.32</v>
      </c>
      <c r="BG8" s="52" t="n">
        <v>-0.01</v>
      </c>
      <c r="BH8" s="52" t="n">
        <v>0.22</v>
      </c>
      <c r="BI8" s="52" t="n">
        <v>0.2</v>
      </c>
      <c r="BJ8" s="52" t="n">
        <v>0.06</v>
      </c>
      <c r="BK8" s="52" t="n">
        <v>0.18</v>
      </c>
      <c r="BL8" s="52" t="n">
        <v>0.1</v>
      </c>
      <c r="BM8" s="52" t="n">
        <v>0.22</v>
      </c>
      <c r="BN8" s="52" t="n">
        <v>0.08</v>
      </c>
      <c r="BO8" s="52" t="n">
        <v>0.08</v>
      </c>
      <c r="BP8" s="52" t="n">
        <v>0.07</v>
      </c>
      <c r="BQ8" s="52" t="n">
        <v>0.15</v>
      </c>
      <c r="BR8" s="52" t="n">
        <v>0.07</v>
      </c>
      <c r="BS8" s="52" t="n">
        <v>0.03</v>
      </c>
      <c r="BT8" s="52" t="n">
        <v>0.05</v>
      </c>
      <c r="BU8" s="52" t="n">
        <v>0.17</v>
      </c>
      <c r="BV8" s="52" t="n">
        <v>-0.03</v>
      </c>
      <c r="BW8" s="52" t="n">
        <v>0.13</v>
      </c>
      <c r="BX8" s="52" t="n">
        <v>0.02</v>
      </c>
      <c r="BY8" s="52" t="n">
        <v>0.05</v>
      </c>
      <c r="BZ8" s="52" t="n">
        <v>0.13</v>
      </c>
      <c r="CA8" s="52" t="n">
        <v>0.26</v>
      </c>
      <c r="CB8" s="52" t="n">
        <v>0.02</v>
      </c>
      <c r="CC8" s="52" t="n">
        <v>0.06</v>
      </c>
      <c r="CD8" s="52" t="n">
        <v>0.05</v>
      </c>
      <c r="CE8" s="52" t="n">
        <v>0</v>
      </c>
      <c r="CF8" s="52" t="n">
        <v>0.03</v>
      </c>
      <c r="CG8" s="52" t="n">
        <v>0.03</v>
      </c>
      <c r="CH8" s="52" t="n">
        <v>0.18</v>
      </c>
      <c r="CI8" s="52" t="n">
        <v>-0.05</v>
      </c>
      <c r="CJ8" s="52" t="n">
        <v>0.06</v>
      </c>
      <c r="CK8" s="52" t="n">
        <v>0.12</v>
      </c>
      <c r="CL8" s="52" t="n">
        <v>0</v>
      </c>
      <c r="CM8" s="52" t="n">
        <v>-0.03</v>
      </c>
      <c r="CN8" s="52" t="n">
        <v>0.16</v>
      </c>
      <c r="CO8" s="52" t="n">
        <v>0.14</v>
      </c>
      <c r="CP8" s="52" t="n">
        <v>0.03</v>
      </c>
      <c r="CQ8" s="52" t="n">
        <v>0.18</v>
      </c>
      <c r="CR8" s="52" t="n">
        <v>0.08</v>
      </c>
      <c r="CS8" s="52" t="n">
        <v>0.07</v>
      </c>
      <c r="CT8" s="52" t="n">
        <v>0.15</v>
      </c>
      <c r="CU8" s="52" t="n">
        <v>0.01</v>
      </c>
      <c r="CV8" s="52" t="n">
        <v>-0.01</v>
      </c>
      <c r="CW8" s="52" t="n">
        <v>0.1</v>
      </c>
      <c r="CX8" s="52" t="n">
        <v>0.06</v>
      </c>
      <c r="CY8" s="52" t="n">
        <v>0.19</v>
      </c>
      <c r="CZ8" s="52" t="n">
        <v>0.05</v>
      </c>
      <c r="DA8" s="52" t="n">
        <v>-0.03</v>
      </c>
      <c r="DB8" s="52" t="n">
        <v>0.19</v>
      </c>
      <c r="DC8" s="52" t="n">
        <v>0.17</v>
      </c>
      <c r="DD8" s="52" t="n">
        <v>0.12</v>
      </c>
      <c r="DE8" s="52" t="n">
        <v>0.15</v>
      </c>
      <c r="DF8" s="52" t="n">
        <v>0.04</v>
      </c>
      <c r="DG8" s="52" t="n">
        <v>0.09</v>
      </c>
      <c r="DH8" s="52" t="n">
        <v>0.1</v>
      </c>
      <c r="DI8" s="52" t="n">
        <v>0.2</v>
      </c>
      <c r="DJ8" s="52" t="n">
        <v>0.08</v>
      </c>
      <c r="DK8" s="52" t="n">
        <v>0.14</v>
      </c>
      <c r="DL8" s="52" t="n">
        <v>0.11</v>
      </c>
      <c r="DM8" s="52" t="n">
        <v>0.13</v>
      </c>
      <c r="DN8" s="52" t="n">
        <v>-0.02</v>
      </c>
      <c r="DO8" s="52" t="n">
        <v>0.14</v>
      </c>
      <c r="DP8" s="52" t="n">
        <v>0.05</v>
      </c>
      <c r="DQ8" s="52" t="n">
        <v>0.08</v>
      </c>
      <c r="DR8" s="52" t="n">
        <v>0.12</v>
      </c>
      <c r="DS8" s="52" t="n">
        <v>-0.02</v>
      </c>
      <c r="DT8" s="52" t="n">
        <v>0.05</v>
      </c>
      <c r="DU8" s="52" t="n">
        <v>0.13</v>
      </c>
      <c r="DV8" s="52" t="n">
        <v>0.09</v>
      </c>
      <c r="DW8" s="52" t="n">
        <v>0.02</v>
      </c>
      <c r="DX8" s="52" t="n">
        <v>0.05</v>
      </c>
      <c r="DY8" s="52" t="n">
        <v>0.09</v>
      </c>
      <c r="DZ8" s="52" t="n">
        <v>0.03</v>
      </c>
      <c r="EA8" s="52" t="n">
        <v>0.05</v>
      </c>
      <c r="EB8" s="52" t="n">
        <v>0.12</v>
      </c>
      <c r="EC8" s="52" t="n">
        <v>0.09</v>
      </c>
      <c r="ED8" s="52" t="n">
        <v>0.19</v>
      </c>
      <c r="EE8" s="52" t="n">
        <v>0.07</v>
      </c>
      <c r="EF8" s="52" t="n">
        <v>0.01</v>
      </c>
      <c r="EG8" s="52" t="n">
        <v>0.05</v>
      </c>
      <c r="EH8" s="52" t="n">
        <v>-0.02</v>
      </c>
      <c r="EI8" s="52" t="n">
        <v>-0.02</v>
      </c>
      <c r="EJ8" s="52" t="n">
        <v>0.17</v>
      </c>
      <c r="EK8" s="52" t="n">
        <v>0.06</v>
      </c>
      <c r="EL8" s="52" t="n">
        <v>0.08</v>
      </c>
      <c r="EM8" s="52" t="n">
        <v>0.04</v>
      </c>
      <c r="EN8" s="52" t="n">
        <v>0.03</v>
      </c>
      <c r="EO8" s="52" t="n">
        <v>0.02</v>
      </c>
    </row>
    <row r="9" customFormat="false" ht="15" hidden="false" customHeight="false" outlineLevel="0" collapsed="false">
      <c r="A9" s="51" t="s">
        <v>157</v>
      </c>
      <c r="B9" s="52" t="n">
        <v>0.43</v>
      </c>
      <c r="C9" s="52" t="n">
        <v>0.01</v>
      </c>
      <c r="D9" s="52" t="n">
        <v>-0.09</v>
      </c>
      <c r="E9" s="52" t="n">
        <v>0.13</v>
      </c>
      <c r="F9" s="52" t="n">
        <v>1</v>
      </c>
      <c r="G9" s="52" t="n">
        <v>-0.03</v>
      </c>
      <c r="H9" s="52" t="n">
        <v>0.08</v>
      </c>
      <c r="I9" s="52" t="n">
        <v>0.57</v>
      </c>
      <c r="J9" s="52" t="n">
        <v>0.46</v>
      </c>
      <c r="K9" s="52" t="n">
        <v>0.58</v>
      </c>
      <c r="L9" s="52" t="n">
        <v>0.16</v>
      </c>
      <c r="M9" s="52" t="n">
        <v>0.29</v>
      </c>
      <c r="N9" s="52" t="n">
        <v>0.3</v>
      </c>
      <c r="O9" s="52" t="n">
        <v>0.07</v>
      </c>
      <c r="P9" s="52" t="n">
        <v>0.48</v>
      </c>
      <c r="Q9" s="52" t="n">
        <v>-0.11</v>
      </c>
      <c r="R9" s="52" t="n">
        <v>0.65</v>
      </c>
      <c r="S9" s="52" t="n">
        <v>0.1</v>
      </c>
      <c r="T9" s="52" t="n">
        <v>0.05</v>
      </c>
      <c r="U9" s="52" t="n">
        <v>0.06</v>
      </c>
      <c r="V9" s="52" t="n">
        <v>0.04</v>
      </c>
      <c r="W9" s="52" t="n">
        <v>0.13</v>
      </c>
      <c r="X9" s="52" t="n">
        <v>0.03</v>
      </c>
      <c r="Y9" s="52" t="n">
        <v>0.3</v>
      </c>
      <c r="Z9" s="52" t="n">
        <v>0.1</v>
      </c>
      <c r="AA9" s="52" t="n">
        <v>0.27</v>
      </c>
      <c r="AB9" s="52" t="n">
        <v>0.32</v>
      </c>
      <c r="AC9" s="52" t="n">
        <v>-0.03</v>
      </c>
      <c r="AD9" s="52" t="n">
        <v>0.13</v>
      </c>
      <c r="AE9" s="52" t="n">
        <v>-0.07</v>
      </c>
      <c r="AF9" s="52" t="n">
        <v>-0.1</v>
      </c>
      <c r="AG9" s="52" t="n">
        <v>0.39</v>
      </c>
      <c r="AH9" s="52" t="n">
        <v>0.41</v>
      </c>
      <c r="AI9" s="52" t="n">
        <v>0.23</v>
      </c>
      <c r="AJ9" s="52" t="n">
        <v>-0.03</v>
      </c>
      <c r="AK9" s="52" t="n">
        <v>-0.04</v>
      </c>
      <c r="AL9" s="52" t="n">
        <v>0.26</v>
      </c>
      <c r="AM9" s="52" t="n">
        <v>0</v>
      </c>
      <c r="AN9" s="52" t="n">
        <v>0.39</v>
      </c>
      <c r="AO9" s="52" t="n">
        <v>0.39</v>
      </c>
      <c r="AP9" s="52" t="n">
        <v>0.28</v>
      </c>
      <c r="AQ9" s="52" t="n">
        <v>0.25</v>
      </c>
      <c r="AR9" s="52" t="n">
        <v>0.05</v>
      </c>
      <c r="AS9" s="52" t="n">
        <v>0</v>
      </c>
      <c r="AT9" s="52" t="n">
        <v>0.08</v>
      </c>
      <c r="AU9" s="52" t="n">
        <v>0.4</v>
      </c>
      <c r="AV9" s="52" t="n">
        <v>0.08</v>
      </c>
      <c r="AW9" s="52" t="n">
        <v>-0.04</v>
      </c>
      <c r="AX9" s="52" t="n">
        <v>0.36</v>
      </c>
      <c r="AY9" s="52" t="n">
        <v>0.34</v>
      </c>
      <c r="AZ9" s="52" t="n">
        <v>-0.02</v>
      </c>
      <c r="BA9" s="52" t="n">
        <v>0.21</v>
      </c>
      <c r="BB9" s="52" t="n">
        <v>-0.08</v>
      </c>
      <c r="BC9" s="52" t="n">
        <v>0.07</v>
      </c>
      <c r="BD9" s="52" t="n">
        <v>0.01</v>
      </c>
      <c r="BE9" s="52" t="n">
        <v>0.41</v>
      </c>
      <c r="BF9" s="52" t="n">
        <v>0.03</v>
      </c>
      <c r="BG9" s="52" t="n">
        <v>0.1</v>
      </c>
      <c r="BH9" s="52" t="n">
        <v>-0.01</v>
      </c>
      <c r="BI9" s="52" t="n">
        <v>-0.08</v>
      </c>
      <c r="BJ9" s="52" t="n">
        <v>-0.09</v>
      </c>
      <c r="BK9" s="52" t="n">
        <v>-0.05</v>
      </c>
      <c r="BL9" s="52" t="n">
        <v>0.11</v>
      </c>
      <c r="BM9" s="52" t="n">
        <v>0.35</v>
      </c>
      <c r="BN9" s="52" t="n">
        <v>0.2</v>
      </c>
      <c r="BO9" s="52" t="n">
        <v>0.08</v>
      </c>
      <c r="BP9" s="52" t="n">
        <v>-0.01</v>
      </c>
      <c r="BQ9" s="52" t="n">
        <v>-0.04</v>
      </c>
      <c r="BR9" s="52" t="n">
        <v>0.14</v>
      </c>
      <c r="BS9" s="52" t="n">
        <v>0.14</v>
      </c>
      <c r="BT9" s="52" t="n">
        <v>0.08</v>
      </c>
      <c r="BU9" s="52" t="n">
        <v>-0.06</v>
      </c>
      <c r="BV9" s="52" t="n">
        <v>0.02</v>
      </c>
      <c r="BW9" s="52" t="n">
        <v>0.16</v>
      </c>
      <c r="BX9" s="52" t="n">
        <v>0.22</v>
      </c>
      <c r="BY9" s="52" t="n">
        <v>0.24</v>
      </c>
      <c r="BZ9" s="52" t="n">
        <v>0.08</v>
      </c>
      <c r="CA9" s="52" t="n">
        <v>0.03</v>
      </c>
      <c r="CB9" s="52" t="n">
        <v>0.07</v>
      </c>
      <c r="CC9" s="52" t="n">
        <v>0.07</v>
      </c>
      <c r="CD9" s="52" t="n">
        <v>0.16</v>
      </c>
      <c r="CE9" s="52" t="n">
        <v>-0.08</v>
      </c>
      <c r="CF9" s="52" t="n">
        <v>0.23</v>
      </c>
      <c r="CG9" s="52" t="n">
        <v>0.16</v>
      </c>
      <c r="CH9" s="52" t="n">
        <v>-0.07</v>
      </c>
      <c r="CI9" s="52" t="n">
        <v>0.18</v>
      </c>
      <c r="CJ9" s="52" t="n">
        <v>0.29</v>
      </c>
      <c r="CK9" s="52" t="n">
        <v>0.26</v>
      </c>
      <c r="CL9" s="52" t="n">
        <v>0.14</v>
      </c>
      <c r="CM9" s="52" t="n">
        <v>-0.18</v>
      </c>
      <c r="CN9" s="52" t="n">
        <v>-0.09</v>
      </c>
      <c r="CO9" s="52" t="n">
        <v>-0.02</v>
      </c>
      <c r="CP9" s="52" t="n">
        <v>0.11</v>
      </c>
      <c r="CQ9" s="52" t="n">
        <v>0.1</v>
      </c>
      <c r="CR9" s="52" t="n">
        <v>-0.13</v>
      </c>
      <c r="CS9" s="52" t="n">
        <v>-0.14</v>
      </c>
      <c r="CT9" s="52" t="n">
        <v>-0.02</v>
      </c>
      <c r="CU9" s="52" t="n">
        <v>0</v>
      </c>
      <c r="CV9" s="52" t="n">
        <v>-0.06</v>
      </c>
      <c r="CW9" s="52" t="n">
        <v>0.09</v>
      </c>
      <c r="CX9" s="52" t="n">
        <v>0.05</v>
      </c>
      <c r="CY9" s="52" t="n">
        <v>0.14</v>
      </c>
      <c r="CZ9" s="52" t="n">
        <v>0.02</v>
      </c>
      <c r="DA9" s="52" t="n">
        <v>0.06</v>
      </c>
      <c r="DB9" s="52" t="n">
        <v>-0.08</v>
      </c>
      <c r="DC9" s="52" t="n">
        <v>-0.09</v>
      </c>
      <c r="DD9" s="52" t="n">
        <v>0.03</v>
      </c>
      <c r="DE9" s="52" t="n">
        <v>-0.11</v>
      </c>
      <c r="DF9" s="52" t="n">
        <v>0.07</v>
      </c>
      <c r="DG9" s="52" t="n">
        <v>-0.07</v>
      </c>
      <c r="DH9" s="52" t="n">
        <v>-0.16</v>
      </c>
      <c r="DI9" s="52" t="n">
        <v>0.1</v>
      </c>
      <c r="DJ9" s="52" t="n">
        <v>0.14</v>
      </c>
      <c r="DK9" s="52" t="n">
        <v>0.07</v>
      </c>
      <c r="DL9" s="52" t="n">
        <v>-0.11</v>
      </c>
      <c r="DM9" s="52" t="n">
        <v>0.16</v>
      </c>
      <c r="DN9" s="52" t="n">
        <v>0.16</v>
      </c>
      <c r="DO9" s="52" t="n">
        <v>-0.12</v>
      </c>
      <c r="DP9" s="52" t="n">
        <v>0.13</v>
      </c>
      <c r="DQ9" s="52" t="n">
        <v>-0.11</v>
      </c>
      <c r="DR9" s="52" t="n">
        <v>-0.09</v>
      </c>
      <c r="DS9" s="52" t="n">
        <v>0.04</v>
      </c>
      <c r="DT9" s="52" t="n">
        <v>-0.26</v>
      </c>
      <c r="DU9" s="52" t="n">
        <v>-0.12</v>
      </c>
      <c r="DV9" s="52" t="n">
        <v>-0.09</v>
      </c>
      <c r="DW9" s="52" t="n">
        <v>-0.04</v>
      </c>
      <c r="DX9" s="52" t="n">
        <v>-0.19</v>
      </c>
      <c r="DY9" s="52" t="n">
        <v>0</v>
      </c>
      <c r="DZ9" s="52" t="n">
        <v>-0.06</v>
      </c>
      <c r="EA9" s="52" t="n">
        <v>0.01</v>
      </c>
      <c r="EB9" s="52" t="n">
        <v>-0.06</v>
      </c>
      <c r="EC9" s="52" t="n">
        <v>-0.13</v>
      </c>
      <c r="ED9" s="52" t="n">
        <v>-0.03</v>
      </c>
      <c r="EE9" s="52" t="n">
        <v>-0.18</v>
      </c>
      <c r="EF9" s="52" t="n">
        <v>-0.07</v>
      </c>
      <c r="EG9" s="52" t="n">
        <v>-0.09</v>
      </c>
      <c r="EH9" s="52" t="n">
        <v>0.06</v>
      </c>
      <c r="EI9" s="52" t="n">
        <v>-0.2</v>
      </c>
      <c r="EJ9" s="52" t="n">
        <v>0.02</v>
      </c>
      <c r="EK9" s="52" t="n">
        <v>-0.05</v>
      </c>
      <c r="EL9" s="52" t="n">
        <v>-0.16</v>
      </c>
      <c r="EM9" s="52" t="n">
        <v>-0.08</v>
      </c>
      <c r="EN9" s="52" t="n">
        <v>0.08</v>
      </c>
      <c r="EO9" s="52" t="n">
        <v>0.09</v>
      </c>
    </row>
    <row r="10" customFormat="false" ht="15" hidden="false" customHeight="false" outlineLevel="0" collapsed="false">
      <c r="A10" s="51" t="s">
        <v>158</v>
      </c>
      <c r="B10" s="52" t="n">
        <v>-0.11</v>
      </c>
      <c r="C10" s="52" t="n">
        <v>0.02</v>
      </c>
      <c r="D10" s="52" t="n">
        <v>0.12</v>
      </c>
      <c r="E10" s="52" t="n">
        <v>0.05</v>
      </c>
      <c r="F10" s="52" t="n">
        <v>-0.03</v>
      </c>
      <c r="G10" s="52" t="n">
        <v>1</v>
      </c>
      <c r="H10" s="52" t="n">
        <v>0.18</v>
      </c>
      <c r="I10" s="52" t="n">
        <v>0.01</v>
      </c>
      <c r="J10" s="52" t="n">
        <v>-0.01</v>
      </c>
      <c r="K10" s="52" t="n">
        <v>0.01</v>
      </c>
      <c r="L10" s="52" t="n">
        <v>-0.01</v>
      </c>
      <c r="M10" s="52" t="n">
        <v>0.05</v>
      </c>
      <c r="N10" s="52" t="n">
        <v>0.05</v>
      </c>
      <c r="O10" s="52" t="n">
        <v>0.12</v>
      </c>
      <c r="P10" s="52" t="n">
        <v>-0.11</v>
      </c>
      <c r="Q10" s="52" t="n">
        <v>0.05</v>
      </c>
      <c r="R10" s="52" t="n">
        <v>-0.03</v>
      </c>
      <c r="S10" s="52" t="n">
        <v>-0.05</v>
      </c>
      <c r="T10" s="52" t="n">
        <v>0.01</v>
      </c>
      <c r="U10" s="52" t="n">
        <v>0.08</v>
      </c>
      <c r="V10" s="52" t="n">
        <v>0.14</v>
      </c>
      <c r="W10" s="52" t="n">
        <v>0.04</v>
      </c>
      <c r="X10" s="52" t="n">
        <v>-0.03</v>
      </c>
      <c r="Y10" s="52" t="n">
        <v>-0.05</v>
      </c>
      <c r="Z10" s="52" t="n">
        <v>0.22</v>
      </c>
      <c r="AA10" s="52" t="n">
        <v>0.08</v>
      </c>
      <c r="AB10" s="52" t="n">
        <v>-0.01</v>
      </c>
      <c r="AC10" s="52" t="n">
        <v>0.16</v>
      </c>
      <c r="AD10" s="52" t="n">
        <v>0.04</v>
      </c>
      <c r="AE10" s="52" t="n">
        <v>0.22</v>
      </c>
      <c r="AF10" s="52" t="n">
        <v>0.19</v>
      </c>
      <c r="AG10" s="52" t="n">
        <v>-0.08</v>
      </c>
      <c r="AH10" s="52" t="n">
        <v>-0.09</v>
      </c>
      <c r="AI10" s="52" t="n">
        <v>-0.06</v>
      </c>
      <c r="AJ10" s="52" t="n">
        <v>0.09</v>
      </c>
      <c r="AK10" s="52" t="n">
        <v>0.14</v>
      </c>
      <c r="AL10" s="52" t="n">
        <v>-0.07</v>
      </c>
      <c r="AM10" s="52" t="n">
        <v>0.17</v>
      </c>
      <c r="AN10" s="52" t="n">
        <v>-0.03</v>
      </c>
      <c r="AO10" s="52" t="n">
        <v>0.02</v>
      </c>
      <c r="AP10" s="52" t="n">
        <v>0.05</v>
      </c>
      <c r="AQ10" s="52" t="n">
        <v>-0.02</v>
      </c>
      <c r="AR10" s="52" t="n">
        <v>0</v>
      </c>
      <c r="AS10" s="52" t="n">
        <v>0.16</v>
      </c>
      <c r="AT10" s="52" t="n">
        <v>-0.05</v>
      </c>
      <c r="AU10" s="52" t="n">
        <v>-0.02</v>
      </c>
      <c r="AV10" s="52" t="n">
        <v>0.05</v>
      </c>
      <c r="AW10" s="52" t="n">
        <v>0.11</v>
      </c>
      <c r="AX10" s="52" t="n">
        <v>0.05</v>
      </c>
      <c r="AY10" s="52" t="n">
        <v>0.03</v>
      </c>
      <c r="AZ10" s="52" t="n">
        <v>0.11</v>
      </c>
      <c r="BA10" s="52" t="n">
        <v>0.01</v>
      </c>
      <c r="BB10" s="52" t="n">
        <v>0.08</v>
      </c>
      <c r="BC10" s="52" t="n">
        <v>0.04</v>
      </c>
      <c r="BD10" s="52" t="n">
        <v>0.17</v>
      </c>
      <c r="BE10" s="52" t="n">
        <v>-0.02</v>
      </c>
      <c r="BF10" s="52" t="n">
        <v>0.22</v>
      </c>
      <c r="BG10" s="52" t="n">
        <v>-0.02</v>
      </c>
      <c r="BH10" s="52" t="n">
        <v>0.03</v>
      </c>
      <c r="BI10" s="52" t="n">
        <v>0.1</v>
      </c>
      <c r="BJ10" s="52" t="n">
        <v>0.06</v>
      </c>
      <c r="BK10" s="52" t="n">
        <v>0.17</v>
      </c>
      <c r="BL10" s="52" t="n">
        <v>0.08</v>
      </c>
      <c r="BM10" s="52" t="n">
        <v>-0.08</v>
      </c>
      <c r="BN10" s="52" t="n">
        <v>0.01</v>
      </c>
      <c r="BO10" s="52" t="n">
        <v>0.07</v>
      </c>
      <c r="BP10" s="52" t="n">
        <v>-0.03</v>
      </c>
      <c r="BQ10" s="52" t="n">
        <v>0.09</v>
      </c>
      <c r="BR10" s="52" t="n">
        <v>0</v>
      </c>
      <c r="BS10" s="52" t="n">
        <v>0</v>
      </c>
      <c r="BT10" s="52" t="n">
        <v>0.01</v>
      </c>
      <c r="BU10" s="52" t="n">
        <v>-0.01</v>
      </c>
      <c r="BV10" s="52" t="n">
        <v>0.02</v>
      </c>
      <c r="BW10" s="52" t="n">
        <v>0.09</v>
      </c>
      <c r="BX10" s="52" t="n">
        <v>0</v>
      </c>
      <c r="BY10" s="52" t="n">
        <v>0.03</v>
      </c>
      <c r="BZ10" s="52" t="n">
        <v>-0.09</v>
      </c>
      <c r="CA10" s="52" t="n">
        <v>0.13</v>
      </c>
      <c r="CB10" s="52" t="n">
        <v>-0.01</v>
      </c>
      <c r="CC10" s="52" t="n">
        <v>0.03</v>
      </c>
      <c r="CD10" s="52" t="n">
        <v>0.02</v>
      </c>
      <c r="CE10" s="52" t="n">
        <v>-0.02</v>
      </c>
      <c r="CF10" s="52" t="n">
        <v>0.02</v>
      </c>
      <c r="CG10" s="52" t="n">
        <v>0.05</v>
      </c>
      <c r="CH10" s="52" t="n">
        <v>0.17</v>
      </c>
      <c r="CI10" s="52" t="n">
        <v>-0.02</v>
      </c>
      <c r="CJ10" s="52" t="n">
        <v>0.07</v>
      </c>
      <c r="CK10" s="52" t="n">
        <v>-0.1</v>
      </c>
      <c r="CL10" s="52" t="n">
        <v>0.07</v>
      </c>
      <c r="CM10" s="52" t="n">
        <v>-0.02</v>
      </c>
      <c r="CN10" s="52" t="n">
        <v>0.13</v>
      </c>
      <c r="CO10" s="52" t="n">
        <v>-0.04</v>
      </c>
      <c r="CP10" s="52" t="n">
        <v>0.06</v>
      </c>
      <c r="CQ10" s="52" t="n">
        <v>-0.05</v>
      </c>
      <c r="CR10" s="52" t="n">
        <v>-0.01</v>
      </c>
      <c r="CS10" s="52" t="n">
        <v>0</v>
      </c>
      <c r="CT10" s="52" t="n">
        <v>0.15</v>
      </c>
      <c r="CU10" s="52" t="n">
        <v>-0.03</v>
      </c>
      <c r="CV10" s="52" t="n">
        <v>0.01</v>
      </c>
      <c r="CW10" s="52" t="n">
        <v>-0.02</v>
      </c>
      <c r="CX10" s="52" t="n">
        <v>0.08</v>
      </c>
      <c r="CY10" s="52" t="n">
        <v>0</v>
      </c>
      <c r="CZ10" s="52" t="n">
        <v>-0.11</v>
      </c>
      <c r="DA10" s="52" t="n">
        <v>-0.09</v>
      </c>
      <c r="DB10" s="52" t="n">
        <v>0.08</v>
      </c>
      <c r="DC10" s="52" t="n">
        <v>0.1</v>
      </c>
      <c r="DD10" s="52" t="n">
        <v>0.05</v>
      </c>
      <c r="DE10" s="52" t="n">
        <v>0.03</v>
      </c>
      <c r="DF10" s="52" t="n">
        <v>0.01</v>
      </c>
      <c r="DG10" s="52" t="n">
        <v>0.04</v>
      </c>
      <c r="DH10" s="52" t="n">
        <v>-0.03</v>
      </c>
      <c r="DI10" s="52" t="n">
        <v>0</v>
      </c>
      <c r="DJ10" s="52" t="n">
        <v>-0.04</v>
      </c>
      <c r="DK10" s="52" t="n">
        <v>-0.06</v>
      </c>
      <c r="DL10" s="52" t="n">
        <v>0.17</v>
      </c>
      <c r="DM10" s="52" t="n">
        <v>0.04</v>
      </c>
      <c r="DN10" s="52" t="n">
        <v>0.03</v>
      </c>
      <c r="DO10" s="52" t="n">
        <v>-0.04</v>
      </c>
      <c r="DP10" s="52" t="n">
        <v>0.01</v>
      </c>
      <c r="DQ10" s="52" t="n">
        <v>-0.18</v>
      </c>
      <c r="DR10" s="52" t="n">
        <v>0.07</v>
      </c>
      <c r="DS10" s="52" t="n">
        <v>-0.02</v>
      </c>
      <c r="DT10" s="52" t="n">
        <v>-0.04</v>
      </c>
      <c r="DU10" s="52" t="n">
        <v>0.04</v>
      </c>
      <c r="DV10" s="52" t="n">
        <v>0.04</v>
      </c>
      <c r="DW10" s="52" t="n">
        <v>-0.08</v>
      </c>
      <c r="DX10" s="52" t="n">
        <v>0.01</v>
      </c>
      <c r="DY10" s="52" t="n">
        <v>-0.04</v>
      </c>
      <c r="DZ10" s="52" t="n">
        <v>0.04</v>
      </c>
      <c r="EA10" s="52" t="n">
        <v>0.04</v>
      </c>
      <c r="EB10" s="52" t="n">
        <v>0.02</v>
      </c>
      <c r="EC10" s="52" t="n">
        <v>0.15</v>
      </c>
      <c r="ED10" s="52" t="n">
        <v>0.07</v>
      </c>
      <c r="EE10" s="52" t="n">
        <v>0.03</v>
      </c>
      <c r="EF10" s="52" t="n">
        <v>0.08</v>
      </c>
      <c r="EG10" s="52" t="n">
        <v>0.05</v>
      </c>
      <c r="EH10" s="52" t="n">
        <v>-0.07</v>
      </c>
      <c r="EI10" s="52" t="n">
        <v>0.01</v>
      </c>
      <c r="EJ10" s="52" t="n">
        <v>0.11</v>
      </c>
      <c r="EK10" s="52" t="n">
        <v>0.05</v>
      </c>
      <c r="EL10" s="52" t="n">
        <v>0.05</v>
      </c>
      <c r="EM10" s="52" t="n">
        <v>-0.04</v>
      </c>
      <c r="EN10" s="52" t="n">
        <v>0.03</v>
      </c>
      <c r="EO10" s="52" t="n">
        <v>0.08</v>
      </c>
    </row>
    <row r="11" customFormat="false" ht="15" hidden="false" customHeight="false" outlineLevel="0" collapsed="false">
      <c r="A11" s="51" t="s">
        <v>159</v>
      </c>
      <c r="B11" s="52" t="n">
        <v>-0.02</v>
      </c>
      <c r="C11" s="52" t="n">
        <v>0.14</v>
      </c>
      <c r="D11" s="52" t="n">
        <v>0.15</v>
      </c>
      <c r="E11" s="52" t="n">
        <v>0.22</v>
      </c>
      <c r="F11" s="52" t="n">
        <v>0.08</v>
      </c>
      <c r="G11" s="52" t="n">
        <v>0.18</v>
      </c>
      <c r="H11" s="52" t="n">
        <v>1</v>
      </c>
      <c r="I11" s="52" t="n">
        <v>0.09</v>
      </c>
      <c r="J11" s="52" t="n">
        <v>0</v>
      </c>
      <c r="K11" s="52" t="n">
        <v>0.1</v>
      </c>
      <c r="L11" s="52" t="n">
        <v>0.21</v>
      </c>
      <c r="M11" s="52" t="n">
        <v>0.17</v>
      </c>
      <c r="N11" s="52" t="n">
        <v>0.11</v>
      </c>
      <c r="O11" s="52" t="n">
        <v>0.21</v>
      </c>
      <c r="P11" s="52" t="n">
        <v>0.01</v>
      </c>
      <c r="Q11" s="52" t="n">
        <v>-0.02</v>
      </c>
      <c r="R11" s="52" t="n">
        <v>0.05</v>
      </c>
      <c r="S11" s="52" t="n">
        <v>0.25</v>
      </c>
      <c r="T11" s="52" t="n">
        <v>0.03</v>
      </c>
      <c r="U11" s="52" t="n">
        <v>0.3</v>
      </c>
      <c r="V11" s="52" t="n">
        <v>0.37</v>
      </c>
      <c r="W11" s="52" t="n">
        <v>0.15</v>
      </c>
      <c r="X11" s="52" t="n">
        <v>0.06</v>
      </c>
      <c r="Y11" s="52" t="n">
        <v>-0.09</v>
      </c>
      <c r="Z11" s="52" t="n">
        <v>0.28</v>
      </c>
      <c r="AA11" s="52" t="n">
        <v>0.21</v>
      </c>
      <c r="AB11" s="52" t="n">
        <v>-0.1</v>
      </c>
      <c r="AC11" s="52" t="n">
        <v>0.23</v>
      </c>
      <c r="AD11" s="52" t="n">
        <v>0.22</v>
      </c>
      <c r="AE11" s="52" t="n">
        <v>0.21</v>
      </c>
      <c r="AF11" s="52" t="n">
        <v>0.26</v>
      </c>
      <c r="AG11" s="52" t="n">
        <v>-0.03</v>
      </c>
      <c r="AH11" s="52" t="n">
        <v>0</v>
      </c>
      <c r="AI11" s="52" t="n">
        <v>-0.12</v>
      </c>
      <c r="AJ11" s="52" t="n">
        <v>0.27</v>
      </c>
      <c r="AK11" s="52" t="n">
        <v>0.26</v>
      </c>
      <c r="AL11" s="52" t="n">
        <v>0.01</v>
      </c>
      <c r="AM11" s="52" t="n">
        <v>0.17</v>
      </c>
      <c r="AN11" s="52" t="n">
        <v>0.14</v>
      </c>
      <c r="AO11" s="52" t="n">
        <v>0</v>
      </c>
      <c r="AP11" s="52" t="n">
        <v>0.02</v>
      </c>
      <c r="AQ11" s="52" t="n">
        <v>-0.09</v>
      </c>
      <c r="AR11" s="52" t="n">
        <v>-0.02</v>
      </c>
      <c r="AS11" s="52" t="n">
        <v>0.31</v>
      </c>
      <c r="AT11" s="52" t="n">
        <v>0</v>
      </c>
      <c r="AU11" s="52" t="n">
        <v>0.02</v>
      </c>
      <c r="AV11" s="52" t="n">
        <v>0.19</v>
      </c>
      <c r="AW11" s="52" t="n">
        <v>0.35</v>
      </c>
      <c r="AX11" s="52" t="n">
        <v>0.06</v>
      </c>
      <c r="AY11" s="52" t="n">
        <v>0</v>
      </c>
      <c r="AZ11" s="52" t="n">
        <v>0.28</v>
      </c>
      <c r="BA11" s="52" t="n">
        <v>0.08</v>
      </c>
      <c r="BB11" s="52" t="n">
        <v>0.03</v>
      </c>
      <c r="BC11" s="52" t="n">
        <v>0.16</v>
      </c>
      <c r="BD11" s="52" t="n">
        <v>0.24</v>
      </c>
      <c r="BE11" s="52" t="n">
        <v>0.09</v>
      </c>
      <c r="BF11" s="52" t="n">
        <v>0.24</v>
      </c>
      <c r="BG11" s="52" t="n">
        <v>0.03</v>
      </c>
      <c r="BH11" s="52" t="n">
        <v>0.3</v>
      </c>
      <c r="BI11" s="52" t="n">
        <v>0.14</v>
      </c>
      <c r="BJ11" s="52" t="n">
        <v>-0.08</v>
      </c>
      <c r="BK11" s="52" t="n">
        <v>0.19</v>
      </c>
      <c r="BL11" s="52" t="n">
        <v>0.13</v>
      </c>
      <c r="BM11" s="52" t="n">
        <v>0.05</v>
      </c>
      <c r="BN11" s="52" t="n">
        <v>-0.08</v>
      </c>
      <c r="BO11" s="52" t="n">
        <v>0.18</v>
      </c>
      <c r="BP11" s="52" t="n">
        <v>0.03</v>
      </c>
      <c r="BQ11" s="52" t="n">
        <v>0.27</v>
      </c>
      <c r="BR11" s="52" t="n">
        <v>0.12</v>
      </c>
      <c r="BS11" s="52" t="n">
        <v>-0.1</v>
      </c>
      <c r="BT11" s="52" t="n">
        <v>0.19</v>
      </c>
      <c r="BU11" s="52" t="n">
        <v>0.18</v>
      </c>
      <c r="BV11" s="52" t="n">
        <v>0.06</v>
      </c>
      <c r="BW11" s="52" t="n">
        <v>0.1</v>
      </c>
      <c r="BX11" s="52" t="n">
        <v>0.05</v>
      </c>
      <c r="BY11" s="52" t="n">
        <v>0.12</v>
      </c>
      <c r="BZ11" s="52" t="n">
        <v>0.13</v>
      </c>
      <c r="CA11" s="52" t="n">
        <v>0.28</v>
      </c>
      <c r="CB11" s="52" t="n">
        <v>-0.1</v>
      </c>
      <c r="CC11" s="52" t="n">
        <v>-0.06</v>
      </c>
      <c r="CD11" s="52" t="n">
        <v>0.05</v>
      </c>
      <c r="CE11" s="52" t="n">
        <v>0.02</v>
      </c>
      <c r="CF11" s="52" t="n">
        <v>-0.13</v>
      </c>
      <c r="CG11" s="52" t="n">
        <v>0.11</v>
      </c>
      <c r="CH11" s="52" t="n">
        <v>0.26</v>
      </c>
      <c r="CI11" s="52" t="n">
        <v>-0.13</v>
      </c>
      <c r="CJ11" s="52" t="n">
        <v>-0.01</v>
      </c>
      <c r="CK11" s="52" t="n">
        <v>0.01</v>
      </c>
      <c r="CL11" s="52" t="n">
        <v>0.22</v>
      </c>
      <c r="CM11" s="52" t="n">
        <v>0.03</v>
      </c>
      <c r="CN11" s="52" t="n">
        <v>0.22</v>
      </c>
      <c r="CO11" s="52" t="n">
        <v>0.13</v>
      </c>
      <c r="CP11" s="52" t="n">
        <v>0.05</v>
      </c>
      <c r="CQ11" s="52" t="n">
        <v>0.08</v>
      </c>
      <c r="CR11" s="52" t="n">
        <v>0.11</v>
      </c>
      <c r="CS11" s="52" t="n">
        <v>0.11</v>
      </c>
      <c r="CT11" s="52" t="n">
        <v>0.15</v>
      </c>
      <c r="CU11" s="52" t="n">
        <v>0.04</v>
      </c>
      <c r="CV11" s="52" t="n">
        <v>0.02</v>
      </c>
      <c r="CW11" s="52" t="n">
        <v>0.07</v>
      </c>
      <c r="CX11" s="52" t="n">
        <v>0.06</v>
      </c>
      <c r="CY11" s="52" t="n">
        <v>0.04</v>
      </c>
      <c r="CZ11" s="52" t="n">
        <v>0.11</v>
      </c>
      <c r="DA11" s="52" t="n">
        <v>0.05</v>
      </c>
      <c r="DB11" s="52" t="n">
        <v>0.12</v>
      </c>
      <c r="DC11" s="52" t="n">
        <v>0.16</v>
      </c>
      <c r="DD11" s="52" t="n">
        <v>0.06</v>
      </c>
      <c r="DE11" s="52" t="n">
        <v>0.1</v>
      </c>
      <c r="DF11" s="52" t="n">
        <v>0.03</v>
      </c>
      <c r="DG11" s="52" t="n">
        <v>0.11</v>
      </c>
      <c r="DH11" s="52" t="n">
        <v>0.1</v>
      </c>
      <c r="DI11" s="52" t="n">
        <v>0.11</v>
      </c>
      <c r="DJ11" s="52" t="n">
        <v>0.06</v>
      </c>
      <c r="DK11" s="52" t="n">
        <v>0.09</v>
      </c>
      <c r="DL11" s="52" t="n">
        <v>0.22</v>
      </c>
      <c r="DM11" s="52" t="n">
        <v>0.14</v>
      </c>
      <c r="DN11" s="52" t="n">
        <v>0.09</v>
      </c>
      <c r="DO11" s="52" t="n">
        <v>0.13</v>
      </c>
      <c r="DP11" s="52" t="n">
        <v>0.11</v>
      </c>
      <c r="DQ11" s="52" t="n">
        <v>0.13</v>
      </c>
      <c r="DR11" s="52" t="n">
        <v>0.03</v>
      </c>
      <c r="DS11" s="52" t="n">
        <v>0.01</v>
      </c>
      <c r="DT11" s="52" t="n">
        <v>0.02</v>
      </c>
      <c r="DU11" s="52" t="n">
        <v>0.05</v>
      </c>
      <c r="DV11" s="52" t="n">
        <v>0.02</v>
      </c>
      <c r="DW11" s="52" t="n">
        <v>0.03</v>
      </c>
      <c r="DX11" s="52" t="n">
        <v>0.1</v>
      </c>
      <c r="DY11" s="52" t="n">
        <v>-0.05</v>
      </c>
      <c r="DZ11" s="52" t="n">
        <v>0.04</v>
      </c>
      <c r="EA11" s="52" t="n">
        <v>0.1</v>
      </c>
      <c r="EB11" s="52" t="n">
        <v>-0.01</v>
      </c>
      <c r="EC11" s="52" t="n">
        <v>0.04</v>
      </c>
      <c r="ED11" s="52" t="n">
        <v>0.22</v>
      </c>
      <c r="EE11" s="52" t="n">
        <v>0.1</v>
      </c>
      <c r="EF11" s="52" t="n">
        <v>0</v>
      </c>
      <c r="EG11" s="52" t="n">
        <v>0.09</v>
      </c>
      <c r="EH11" s="52" t="n">
        <v>-0.04</v>
      </c>
      <c r="EI11" s="52" t="n">
        <v>0.03</v>
      </c>
      <c r="EJ11" s="52" t="n">
        <v>0.1</v>
      </c>
      <c r="EK11" s="52" t="n">
        <v>0.06</v>
      </c>
      <c r="EL11" s="52" t="n">
        <v>0.09</v>
      </c>
      <c r="EM11" s="52" t="n">
        <v>0.02</v>
      </c>
      <c r="EN11" s="52" t="n">
        <v>0.03</v>
      </c>
      <c r="EO11" s="52" t="n">
        <v>0.02</v>
      </c>
    </row>
    <row r="12" customFormat="false" ht="15" hidden="false" customHeight="false" outlineLevel="0" collapsed="false">
      <c r="A12" s="51" t="s">
        <v>160</v>
      </c>
      <c r="B12" s="52" t="n">
        <v>0.46</v>
      </c>
      <c r="C12" s="52" t="n">
        <v>0.08</v>
      </c>
      <c r="D12" s="52" t="n">
        <v>-0.02</v>
      </c>
      <c r="E12" s="52" t="n">
        <v>0.16</v>
      </c>
      <c r="F12" s="52" t="n">
        <v>0.57</v>
      </c>
      <c r="G12" s="52" t="n">
        <v>0.01</v>
      </c>
      <c r="H12" s="52" t="n">
        <v>0.09</v>
      </c>
      <c r="I12" s="52" t="n">
        <v>1</v>
      </c>
      <c r="J12" s="52" t="n">
        <v>0.42</v>
      </c>
      <c r="K12" s="52" t="n">
        <v>0.55</v>
      </c>
      <c r="L12" s="52" t="n">
        <v>0.14</v>
      </c>
      <c r="M12" s="52" t="n">
        <v>0.3</v>
      </c>
      <c r="N12" s="52" t="n">
        <v>0.37</v>
      </c>
      <c r="O12" s="52" t="n">
        <v>0.11</v>
      </c>
      <c r="P12" s="52" t="n">
        <v>0.48</v>
      </c>
      <c r="Q12" s="52" t="n">
        <v>-0.03</v>
      </c>
      <c r="R12" s="52" t="n">
        <v>0.54</v>
      </c>
      <c r="S12" s="52" t="n">
        <v>0.1</v>
      </c>
      <c r="T12" s="52" t="n">
        <v>0.15</v>
      </c>
      <c r="U12" s="52" t="n">
        <v>0.06</v>
      </c>
      <c r="V12" s="52" t="n">
        <v>0.11</v>
      </c>
      <c r="W12" s="52" t="n">
        <v>0.18</v>
      </c>
      <c r="X12" s="52" t="n">
        <v>0.16</v>
      </c>
      <c r="Y12" s="52" t="n">
        <v>0.4</v>
      </c>
      <c r="Z12" s="52" t="n">
        <v>0.11</v>
      </c>
      <c r="AA12" s="52" t="n">
        <v>0.21</v>
      </c>
      <c r="AB12" s="52" t="n">
        <v>0.41</v>
      </c>
      <c r="AC12" s="52" t="n">
        <v>0.03</v>
      </c>
      <c r="AD12" s="52" t="n">
        <v>0.07</v>
      </c>
      <c r="AE12" s="52" t="n">
        <v>0.05</v>
      </c>
      <c r="AF12" s="52" t="n">
        <v>-0.01</v>
      </c>
      <c r="AG12" s="52" t="n">
        <v>0.3</v>
      </c>
      <c r="AH12" s="52" t="n">
        <v>0.3</v>
      </c>
      <c r="AI12" s="52" t="n">
        <v>0.1</v>
      </c>
      <c r="AJ12" s="52" t="n">
        <v>0.04</v>
      </c>
      <c r="AK12" s="52" t="n">
        <v>0.05</v>
      </c>
      <c r="AL12" s="52" t="n">
        <v>0.29</v>
      </c>
      <c r="AM12" s="52" t="n">
        <v>0.04</v>
      </c>
      <c r="AN12" s="52" t="n">
        <v>0.48</v>
      </c>
      <c r="AO12" s="52" t="n">
        <v>0.36</v>
      </c>
      <c r="AP12" s="52" t="n">
        <v>0.29</v>
      </c>
      <c r="AQ12" s="52" t="n">
        <v>0.13</v>
      </c>
      <c r="AR12" s="52" t="n">
        <v>0.18</v>
      </c>
      <c r="AS12" s="52" t="n">
        <v>-0.01</v>
      </c>
      <c r="AT12" s="52" t="n">
        <v>0.23</v>
      </c>
      <c r="AU12" s="52" t="n">
        <v>0.41</v>
      </c>
      <c r="AV12" s="52" t="n">
        <v>0.13</v>
      </c>
      <c r="AW12" s="52" t="n">
        <v>0.03</v>
      </c>
      <c r="AX12" s="52" t="n">
        <v>0.41</v>
      </c>
      <c r="AY12" s="52" t="n">
        <v>0.37</v>
      </c>
      <c r="AZ12" s="52" t="n">
        <v>0.08</v>
      </c>
      <c r="BA12" s="52" t="n">
        <v>0.22</v>
      </c>
      <c r="BB12" s="52" t="n">
        <v>0.08</v>
      </c>
      <c r="BC12" s="52" t="n">
        <v>0.11</v>
      </c>
      <c r="BD12" s="52" t="n">
        <v>0.03</v>
      </c>
      <c r="BE12" s="52" t="n">
        <v>0.35</v>
      </c>
      <c r="BF12" s="52" t="n">
        <v>0.09</v>
      </c>
      <c r="BG12" s="52" t="n">
        <v>0.15</v>
      </c>
      <c r="BH12" s="52" t="n">
        <v>0.03</v>
      </c>
      <c r="BI12" s="52" t="n">
        <v>0.03</v>
      </c>
      <c r="BJ12" s="52" t="n">
        <v>0.01</v>
      </c>
      <c r="BK12" s="52" t="n">
        <v>0.01</v>
      </c>
      <c r="BL12" s="52" t="n">
        <v>0.12</v>
      </c>
      <c r="BM12" s="52" t="n">
        <v>0.33</v>
      </c>
      <c r="BN12" s="52" t="n">
        <v>0.13</v>
      </c>
      <c r="BO12" s="52" t="n">
        <v>0.2</v>
      </c>
      <c r="BP12" s="52" t="n">
        <v>0.11</v>
      </c>
      <c r="BQ12" s="52" t="n">
        <v>0.02</v>
      </c>
      <c r="BR12" s="52" t="n">
        <v>0.24</v>
      </c>
      <c r="BS12" s="52" t="n">
        <v>0.01</v>
      </c>
      <c r="BT12" s="52" t="n">
        <v>0.18</v>
      </c>
      <c r="BU12" s="52" t="n">
        <v>-0.06</v>
      </c>
      <c r="BV12" s="52" t="n">
        <v>0.14</v>
      </c>
      <c r="BW12" s="52" t="n">
        <v>0.19</v>
      </c>
      <c r="BX12" s="52" t="n">
        <v>0.33</v>
      </c>
      <c r="BY12" s="52" t="n">
        <v>0.23</v>
      </c>
      <c r="BZ12" s="52" t="n">
        <v>0.2</v>
      </c>
      <c r="CA12" s="52" t="n">
        <v>0.05</v>
      </c>
      <c r="CB12" s="52" t="n">
        <v>0.01</v>
      </c>
      <c r="CC12" s="52" t="n">
        <v>0.11</v>
      </c>
      <c r="CD12" s="52" t="n">
        <v>0.22</v>
      </c>
      <c r="CE12" s="52" t="n">
        <v>-0.01</v>
      </c>
      <c r="CF12" s="52" t="n">
        <v>0.06</v>
      </c>
      <c r="CG12" s="52" t="n">
        <v>0.29</v>
      </c>
      <c r="CH12" s="52" t="n">
        <v>0.02</v>
      </c>
      <c r="CI12" s="52" t="n">
        <v>0.11</v>
      </c>
      <c r="CJ12" s="52" t="n">
        <v>0.24</v>
      </c>
      <c r="CK12" s="52" t="n">
        <v>0.33</v>
      </c>
      <c r="CL12" s="52" t="n">
        <v>0.1</v>
      </c>
      <c r="CM12" s="52" t="n">
        <v>-0.15</v>
      </c>
      <c r="CN12" s="52" t="n">
        <v>-0.06</v>
      </c>
      <c r="CO12" s="52" t="n">
        <v>0.12</v>
      </c>
      <c r="CP12" s="52" t="n">
        <v>0.18</v>
      </c>
      <c r="CQ12" s="52" t="n">
        <v>0.22</v>
      </c>
      <c r="CR12" s="52" t="n">
        <v>-0.06</v>
      </c>
      <c r="CS12" s="52" t="n">
        <v>-0.03</v>
      </c>
      <c r="CT12" s="52" t="n">
        <v>0.06</v>
      </c>
      <c r="CU12" s="52" t="n">
        <v>0.07</v>
      </c>
      <c r="CV12" s="52" t="n">
        <v>0.06</v>
      </c>
      <c r="CW12" s="52" t="n">
        <v>0.24</v>
      </c>
      <c r="CX12" s="52" t="n">
        <v>0.16</v>
      </c>
      <c r="CY12" s="52" t="n">
        <v>0.24</v>
      </c>
      <c r="CZ12" s="52" t="n">
        <v>0.09</v>
      </c>
      <c r="DA12" s="52" t="n">
        <v>0.12</v>
      </c>
      <c r="DB12" s="52" t="n">
        <v>-0.03</v>
      </c>
      <c r="DC12" s="52" t="n">
        <v>0.03</v>
      </c>
      <c r="DD12" s="52" t="n">
        <v>0.17</v>
      </c>
      <c r="DE12" s="52" t="n">
        <v>-0.01</v>
      </c>
      <c r="DF12" s="52" t="n">
        <v>0.12</v>
      </c>
      <c r="DG12" s="52" t="n">
        <v>0.07</v>
      </c>
      <c r="DH12" s="52" t="n">
        <v>-0.07</v>
      </c>
      <c r="DI12" s="52" t="n">
        <v>0.23</v>
      </c>
      <c r="DJ12" s="52" t="n">
        <v>0.26</v>
      </c>
      <c r="DK12" s="52" t="n">
        <v>0.18</v>
      </c>
      <c r="DL12" s="52" t="n">
        <v>-0.04</v>
      </c>
      <c r="DM12" s="52" t="n">
        <v>0.28</v>
      </c>
      <c r="DN12" s="52" t="n">
        <v>0.25</v>
      </c>
      <c r="DO12" s="52" t="n">
        <v>0.03</v>
      </c>
      <c r="DP12" s="52" t="n">
        <v>0.24</v>
      </c>
      <c r="DQ12" s="52" t="n">
        <v>-0.04</v>
      </c>
      <c r="DR12" s="52" t="n">
        <v>-0.05</v>
      </c>
      <c r="DS12" s="52" t="n">
        <v>0.06</v>
      </c>
      <c r="DT12" s="52" t="n">
        <v>-0.12</v>
      </c>
      <c r="DU12" s="52" t="n">
        <v>0</v>
      </c>
      <c r="DV12" s="52" t="n">
        <v>0.07</v>
      </c>
      <c r="DW12" s="52" t="n">
        <v>0.17</v>
      </c>
      <c r="DX12" s="52" t="n">
        <v>-0.16</v>
      </c>
      <c r="DY12" s="52" t="n">
        <v>0.12</v>
      </c>
      <c r="DZ12" s="52" t="n">
        <v>0</v>
      </c>
      <c r="EA12" s="52" t="n">
        <v>0.1</v>
      </c>
      <c r="EB12" s="52" t="n">
        <v>0.09</v>
      </c>
      <c r="EC12" s="52" t="n">
        <v>-0.08</v>
      </c>
      <c r="ED12" s="52" t="n">
        <v>0.1</v>
      </c>
      <c r="EE12" s="52" t="n">
        <v>-0.14</v>
      </c>
      <c r="EF12" s="52" t="n">
        <v>-0.01</v>
      </c>
      <c r="EG12" s="52" t="n">
        <v>-0.16</v>
      </c>
      <c r="EH12" s="52" t="n">
        <v>0.14</v>
      </c>
      <c r="EI12" s="52" t="n">
        <v>-0.23</v>
      </c>
      <c r="EJ12" s="52" t="n">
        <v>0.03</v>
      </c>
      <c r="EK12" s="52" t="n">
        <v>-0.01</v>
      </c>
      <c r="EL12" s="52" t="n">
        <v>-0.09</v>
      </c>
      <c r="EM12" s="52" t="n">
        <v>0</v>
      </c>
      <c r="EN12" s="52" t="n">
        <v>0.09</v>
      </c>
      <c r="EO12" s="52" t="n">
        <v>0.03</v>
      </c>
    </row>
    <row r="13" customFormat="false" ht="15" hidden="false" customHeight="false" outlineLevel="0" collapsed="false">
      <c r="A13" s="51" t="s">
        <v>161</v>
      </c>
      <c r="B13" s="52" t="n">
        <v>0.32</v>
      </c>
      <c r="C13" s="52" t="n">
        <v>0.04</v>
      </c>
      <c r="D13" s="52" t="n">
        <v>-0.03</v>
      </c>
      <c r="E13" s="52" t="n">
        <v>0.05</v>
      </c>
      <c r="F13" s="52" t="n">
        <v>0.46</v>
      </c>
      <c r="G13" s="52" t="n">
        <v>-0.01</v>
      </c>
      <c r="H13" s="52" t="n">
        <v>0</v>
      </c>
      <c r="I13" s="52" t="n">
        <v>0.42</v>
      </c>
      <c r="J13" s="52" t="n">
        <v>1</v>
      </c>
      <c r="K13" s="52" t="n">
        <v>0.45</v>
      </c>
      <c r="L13" s="52" t="n">
        <v>0.09</v>
      </c>
      <c r="M13" s="52" t="n">
        <v>0.2</v>
      </c>
      <c r="N13" s="52" t="n">
        <v>0.42</v>
      </c>
      <c r="O13" s="52" t="n">
        <v>0.1</v>
      </c>
      <c r="P13" s="52" t="n">
        <v>0.41</v>
      </c>
      <c r="Q13" s="52" t="n">
        <v>0.01</v>
      </c>
      <c r="R13" s="52" t="n">
        <v>0.49</v>
      </c>
      <c r="S13" s="52" t="n">
        <v>0.14</v>
      </c>
      <c r="T13" s="52" t="n">
        <v>0.13</v>
      </c>
      <c r="U13" s="52" t="n">
        <v>0.09</v>
      </c>
      <c r="V13" s="52" t="n">
        <v>-0.03</v>
      </c>
      <c r="W13" s="52" t="n">
        <v>0.15</v>
      </c>
      <c r="X13" s="52" t="n">
        <v>0.16</v>
      </c>
      <c r="Y13" s="52" t="n">
        <v>0.26</v>
      </c>
      <c r="Z13" s="52" t="n">
        <v>0.06</v>
      </c>
      <c r="AA13" s="52" t="n">
        <v>0.17</v>
      </c>
      <c r="AB13" s="52" t="n">
        <v>0.22</v>
      </c>
      <c r="AC13" s="52" t="n">
        <v>-0.15</v>
      </c>
      <c r="AD13" s="52" t="n">
        <v>0.11</v>
      </c>
      <c r="AE13" s="52" t="n">
        <v>-0.09</v>
      </c>
      <c r="AF13" s="52" t="n">
        <v>-0.01</v>
      </c>
      <c r="AG13" s="52" t="n">
        <v>0.3</v>
      </c>
      <c r="AH13" s="52" t="n">
        <v>0.29</v>
      </c>
      <c r="AI13" s="52" t="n">
        <v>0.21</v>
      </c>
      <c r="AJ13" s="52" t="n">
        <v>0</v>
      </c>
      <c r="AK13" s="52" t="n">
        <v>0.08</v>
      </c>
      <c r="AL13" s="52" t="n">
        <v>0.2</v>
      </c>
      <c r="AM13" s="52" t="n">
        <v>0.09</v>
      </c>
      <c r="AN13" s="52" t="n">
        <v>0.29</v>
      </c>
      <c r="AO13" s="52" t="n">
        <v>0.56</v>
      </c>
      <c r="AP13" s="52" t="n">
        <v>0.12</v>
      </c>
      <c r="AQ13" s="52" t="n">
        <v>0.21</v>
      </c>
      <c r="AR13" s="52" t="n">
        <v>0.09</v>
      </c>
      <c r="AS13" s="52" t="n">
        <v>0.06</v>
      </c>
      <c r="AT13" s="52" t="n">
        <v>0.04</v>
      </c>
      <c r="AU13" s="52" t="n">
        <v>0.42</v>
      </c>
      <c r="AV13" s="52" t="n">
        <v>0.02</v>
      </c>
      <c r="AW13" s="52" t="n">
        <v>0.02</v>
      </c>
      <c r="AX13" s="52" t="n">
        <v>0.52</v>
      </c>
      <c r="AY13" s="52" t="n">
        <v>0.21</v>
      </c>
      <c r="AZ13" s="52" t="n">
        <v>-0.04</v>
      </c>
      <c r="BA13" s="52" t="n">
        <v>0.2</v>
      </c>
      <c r="BB13" s="52" t="n">
        <v>0.02</v>
      </c>
      <c r="BC13" s="52" t="n">
        <v>-0.01</v>
      </c>
      <c r="BD13" s="52" t="n">
        <v>0.04</v>
      </c>
      <c r="BE13" s="52" t="n">
        <v>0.56</v>
      </c>
      <c r="BF13" s="52" t="n">
        <v>0.04</v>
      </c>
      <c r="BG13" s="52" t="n">
        <v>0.2</v>
      </c>
      <c r="BH13" s="52" t="n">
        <v>-0.04</v>
      </c>
      <c r="BI13" s="52" t="n">
        <v>-0.01</v>
      </c>
      <c r="BJ13" s="52" t="n">
        <v>-0.03</v>
      </c>
      <c r="BK13" s="52" t="n">
        <v>-0.06</v>
      </c>
      <c r="BL13" s="52" t="n">
        <v>0.17</v>
      </c>
      <c r="BM13" s="52" t="n">
        <v>0.2</v>
      </c>
      <c r="BN13" s="52" t="n">
        <v>0.21</v>
      </c>
      <c r="BO13" s="52" t="n">
        <v>0.14</v>
      </c>
      <c r="BP13" s="52" t="n">
        <v>-0.14</v>
      </c>
      <c r="BQ13" s="52" t="n">
        <v>-0.03</v>
      </c>
      <c r="BR13" s="52" t="n">
        <v>0.09</v>
      </c>
      <c r="BS13" s="52" t="n">
        <v>0.11</v>
      </c>
      <c r="BT13" s="52" t="n">
        <v>0.2</v>
      </c>
      <c r="BU13" s="52" t="n">
        <v>0.03</v>
      </c>
      <c r="BV13" s="52" t="n">
        <v>-0.02</v>
      </c>
      <c r="BW13" s="52" t="n">
        <v>0.15</v>
      </c>
      <c r="BX13" s="52" t="n">
        <v>0.51</v>
      </c>
      <c r="BY13" s="52" t="n">
        <v>0.08</v>
      </c>
      <c r="BZ13" s="52" t="n">
        <v>0.11</v>
      </c>
      <c r="CA13" s="52" t="n">
        <v>0.01</v>
      </c>
      <c r="CB13" s="52" t="n">
        <v>0.12</v>
      </c>
      <c r="CC13" s="52" t="n">
        <v>0.11</v>
      </c>
      <c r="CD13" s="52" t="n">
        <v>0.09</v>
      </c>
      <c r="CE13" s="52" t="n">
        <v>0.01</v>
      </c>
      <c r="CF13" s="52" t="n">
        <v>0.16</v>
      </c>
      <c r="CG13" s="52" t="n">
        <v>0.09</v>
      </c>
      <c r="CH13" s="52" t="n">
        <v>0</v>
      </c>
      <c r="CI13" s="52" t="n">
        <v>0.15</v>
      </c>
      <c r="CJ13" s="52" t="n">
        <v>0.2</v>
      </c>
      <c r="CK13" s="52" t="n">
        <v>0.21</v>
      </c>
      <c r="CL13" s="52" t="n">
        <v>0.12</v>
      </c>
      <c r="CM13" s="52" t="n">
        <v>-0.13</v>
      </c>
      <c r="CN13" s="52" t="n">
        <v>0.04</v>
      </c>
      <c r="CO13" s="52" t="n">
        <v>-0.07</v>
      </c>
      <c r="CP13" s="52" t="n">
        <v>0.11</v>
      </c>
      <c r="CQ13" s="52" t="n">
        <v>0.1</v>
      </c>
      <c r="CR13" s="52" t="n">
        <v>-0.11</v>
      </c>
      <c r="CS13" s="52" t="n">
        <v>0.04</v>
      </c>
      <c r="CT13" s="52" t="n">
        <v>0</v>
      </c>
      <c r="CU13" s="52" t="n">
        <v>0.01</v>
      </c>
      <c r="CV13" s="52" t="n">
        <v>-0.08</v>
      </c>
      <c r="CW13" s="52" t="n">
        <v>0.07</v>
      </c>
      <c r="CX13" s="52" t="n">
        <v>0.06</v>
      </c>
      <c r="CY13" s="52" t="n">
        <v>0.08</v>
      </c>
      <c r="CZ13" s="52" t="n">
        <v>0.04</v>
      </c>
      <c r="DA13" s="52" t="n">
        <v>0.01</v>
      </c>
      <c r="DB13" s="52" t="n">
        <v>-0.09</v>
      </c>
      <c r="DC13" s="52" t="n">
        <v>-0.06</v>
      </c>
      <c r="DD13" s="52" t="n">
        <v>0.01</v>
      </c>
      <c r="DE13" s="52" t="n">
        <v>-0.03</v>
      </c>
      <c r="DF13" s="52" t="n">
        <v>0</v>
      </c>
      <c r="DG13" s="52" t="n">
        <v>0.1</v>
      </c>
      <c r="DH13" s="52" t="n">
        <v>-0.15</v>
      </c>
      <c r="DI13" s="52" t="n">
        <v>0.04</v>
      </c>
      <c r="DJ13" s="52" t="n">
        <v>0.14</v>
      </c>
      <c r="DK13" s="52" t="n">
        <v>0.07</v>
      </c>
      <c r="DL13" s="52" t="n">
        <v>-0.01</v>
      </c>
      <c r="DM13" s="52" t="n">
        <v>0.12</v>
      </c>
      <c r="DN13" s="52" t="n">
        <v>0.07</v>
      </c>
      <c r="DO13" s="52" t="n">
        <v>-0.07</v>
      </c>
      <c r="DP13" s="52" t="n">
        <v>0.15</v>
      </c>
      <c r="DQ13" s="52" t="n">
        <v>-0.03</v>
      </c>
      <c r="DR13" s="52" t="n">
        <v>0</v>
      </c>
      <c r="DS13" s="52" t="n">
        <v>0</v>
      </c>
      <c r="DT13" s="52" t="n">
        <v>-0.22</v>
      </c>
      <c r="DU13" s="52" t="n">
        <v>-0.11</v>
      </c>
      <c r="DV13" s="52" t="n">
        <v>-0.05</v>
      </c>
      <c r="DW13" s="52" t="n">
        <v>-0.01</v>
      </c>
      <c r="DX13" s="52" t="n">
        <v>-0.13</v>
      </c>
      <c r="DY13" s="52" t="n">
        <v>-0.13</v>
      </c>
      <c r="DZ13" s="52" t="n">
        <v>0</v>
      </c>
      <c r="EA13" s="52" t="n">
        <v>0.02</v>
      </c>
      <c r="EB13" s="52" t="n">
        <v>-0.07</v>
      </c>
      <c r="EC13" s="52" t="n">
        <v>0.03</v>
      </c>
      <c r="ED13" s="52" t="n">
        <v>-0.06</v>
      </c>
      <c r="EE13" s="52" t="n">
        <v>-0.15</v>
      </c>
      <c r="EF13" s="52" t="n">
        <v>0.05</v>
      </c>
      <c r="EG13" s="52" t="n">
        <v>-0.1</v>
      </c>
      <c r="EH13" s="52" t="n">
        <v>0.01</v>
      </c>
      <c r="EI13" s="52" t="n">
        <v>-0.18</v>
      </c>
      <c r="EJ13" s="52" t="n">
        <v>-0.04</v>
      </c>
      <c r="EK13" s="52" t="n">
        <v>-0.08</v>
      </c>
      <c r="EL13" s="52" t="n">
        <v>-0.07</v>
      </c>
      <c r="EM13" s="52" t="n">
        <v>-0.08</v>
      </c>
      <c r="EN13" s="52" t="n">
        <v>0.14</v>
      </c>
      <c r="EO13" s="52" t="n">
        <v>-0.03</v>
      </c>
    </row>
    <row r="14" customFormat="false" ht="15" hidden="false" customHeight="false" outlineLevel="0" collapsed="false">
      <c r="A14" s="51" t="s">
        <v>162</v>
      </c>
      <c r="B14" s="52" t="n">
        <v>0.44</v>
      </c>
      <c r="C14" s="52" t="n">
        <v>-0.08</v>
      </c>
      <c r="D14" s="52" t="n">
        <v>-0.05</v>
      </c>
      <c r="E14" s="52" t="n">
        <v>0.08</v>
      </c>
      <c r="F14" s="52" t="n">
        <v>0.58</v>
      </c>
      <c r="G14" s="52" t="n">
        <v>0.01</v>
      </c>
      <c r="H14" s="52" t="n">
        <v>0.1</v>
      </c>
      <c r="I14" s="52" t="n">
        <v>0.55</v>
      </c>
      <c r="J14" s="52" t="n">
        <v>0.45</v>
      </c>
      <c r="K14" s="52" t="n">
        <v>1</v>
      </c>
      <c r="L14" s="52" t="n">
        <v>0.09</v>
      </c>
      <c r="M14" s="52" t="n">
        <v>0.3</v>
      </c>
      <c r="N14" s="52" t="n">
        <v>0.35</v>
      </c>
      <c r="O14" s="52" t="n">
        <v>0.17</v>
      </c>
      <c r="P14" s="52" t="n">
        <v>0.41</v>
      </c>
      <c r="Q14" s="52" t="n">
        <v>-0.04</v>
      </c>
      <c r="R14" s="52" t="n">
        <v>0.59</v>
      </c>
      <c r="S14" s="52" t="n">
        <v>0.18</v>
      </c>
      <c r="T14" s="52" t="n">
        <v>0.13</v>
      </c>
      <c r="U14" s="52" t="n">
        <v>0.1</v>
      </c>
      <c r="V14" s="52" t="n">
        <v>0.15</v>
      </c>
      <c r="W14" s="52" t="n">
        <v>0.19</v>
      </c>
      <c r="X14" s="52" t="n">
        <v>0.13</v>
      </c>
      <c r="Y14" s="52" t="n">
        <v>0.3</v>
      </c>
      <c r="Z14" s="52" t="n">
        <v>0.14</v>
      </c>
      <c r="AA14" s="52" t="n">
        <v>0.21</v>
      </c>
      <c r="AB14" s="52" t="n">
        <v>0.31</v>
      </c>
      <c r="AC14" s="52" t="n">
        <v>0.04</v>
      </c>
      <c r="AD14" s="52" t="n">
        <v>0.14</v>
      </c>
      <c r="AE14" s="52" t="n">
        <v>0.04</v>
      </c>
      <c r="AF14" s="52" t="n">
        <v>-0.06</v>
      </c>
      <c r="AG14" s="52" t="n">
        <v>0.35</v>
      </c>
      <c r="AH14" s="52" t="n">
        <v>0.36</v>
      </c>
      <c r="AI14" s="52" t="n">
        <v>0.07</v>
      </c>
      <c r="AJ14" s="52" t="n">
        <v>0.04</v>
      </c>
      <c r="AK14" s="52" t="n">
        <v>0.02</v>
      </c>
      <c r="AL14" s="52" t="n">
        <v>0.28</v>
      </c>
      <c r="AM14" s="52" t="n">
        <v>0.02</v>
      </c>
      <c r="AN14" s="52" t="n">
        <v>0.51</v>
      </c>
      <c r="AO14" s="52" t="n">
        <v>0.33</v>
      </c>
      <c r="AP14" s="52" t="n">
        <v>0.31</v>
      </c>
      <c r="AQ14" s="52" t="n">
        <v>0.07</v>
      </c>
      <c r="AR14" s="52" t="n">
        <v>0.13</v>
      </c>
      <c r="AS14" s="52" t="n">
        <v>0</v>
      </c>
      <c r="AT14" s="52" t="n">
        <v>0.17</v>
      </c>
      <c r="AU14" s="52" t="n">
        <v>0.43</v>
      </c>
      <c r="AV14" s="52" t="n">
        <v>0.08</v>
      </c>
      <c r="AW14" s="52" t="n">
        <v>0.03</v>
      </c>
      <c r="AX14" s="52" t="n">
        <v>0.4</v>
      </c>
      <c r="AY14" s="52" t="n">
        <v>0.28</v>
      </c>
      <c r="AZ14" s="52" t="n">
        <v>0.05</v>
      </c>
      <c r="BA14" s="52" t="n">
        <v>0.3</v>
      </c>
      <c r="BB14" s="52" t="n">
        <v>0</v>
      </c>
      <c r="BC14" s="52" t="n">
        <v>0.02</v>
      </c>
      <c r="BD14" s="52" t="n">
        <v>0.1</v>
      </c>
      <c r="BE14" s="52" t="n">
        <v>0.41</v>
      </c>
      <c r="BF14" s="52" t="n">
        <v>0.1</v>
      </c>
      <c r="BG14" s="52" t="n">
        <v>0.14</v>
      </c>
      <c r="BH14" s="52" t="n">
        <v>0.03</v>
      </c>
      <c r="BI14" s="52" t="n">
        <v>0.04</v>
      </c>
      <c r="BJ14" s="52" t="n">
        <v>-0.05</v>
      </c>
      <c r="BK14" s="52" t="n">
        <v>0.03</v>
      </c>
      <c r="BL14" s="52" t="n">
        <v>0.2</v>
      </c>
      <c r="BM14" s="52" t="n">
        <v>0.33</v>
      </c>
      <c r="BN14" s="52" t="n">
        <v>0.23</v>
      </c>
      <c r="BO14" s="52" t="n">
        <v>0.21</v>
      </c>
      <c r="BP14" s="52" t="n">
        <v>-0.04</v>
      </c>
      <c r="BQ14" s="52" t="n">
        <v>0.1</v>
      </c>
      <c r="BR14" s="52" t="n">
        <v>0.14</v>
      </c>
      <c r="BS14" s="52" t="n">
        <v>-0.06</v>
      </c>
      <c r="BT14" s="52" t="n">
        <v>0.17</v>
      </c>
      <c r="BU14" s="52" t="n">
        <v>-0.04</v>
      </c>
      <c r="BV14" s="52" t="n">
        <v>0.14</v>
      </c>
      <c r="BW14" s="52" t="n">
        <v>0.1</v>
      </c>
      <c r="BX14" s="52" t="n">
        <v>0.25</v>
      </c>
      <c r="BY14" s="52" t="n">
        <v>0.21</v>
      </c>
      <c r="BZ14" s="52" t="n">
        <v>0.17</v>
      </c>
      <c r="CA14" s="52" t="n">
        <v>0.14</v>
      </c>
      <c r="CB14" s="52" t="n">
        <v>-0.02</v>
      </c>
      <c r="CC14" s="52" t="n">
        <v>0.15</v>
      </c>
      <c r="CD14" s="52" t="n">
        <v>0.12</v>
      </c>
      <c r="CE14" s="52" t="n">
        <v>-0.04</v>
      </c>
      <c r="CF14" s="52" t="n">
        <v>0.01</v>
      </c>
      <c r="CG14" s="52" t="n">
        <v>0.18</v>
      </c>
      <c r="CH14" s="52" t="n">
        <v>0.02</v>
      </c>
      <c r="CI14" s="52" t="n">
        <v>0</v>
      </c>
      <c r="CJ14" s="52" t="n">
        <v>0.17</v>
      </c>
      <c r="CK14" s="52" t="n">
        <v>0.34</v>
      </c>
      <c r="CL14" s="52" t="n">
        <v>0.16</v>
      </c>
      <c r="CM14" s="52" t="n">
        <v>-0.14</v>
      </c>
      <c r="CN14" s="52" t="n">
        <v>-0.03</v>
      </c>
      <c r="CO14" s="52" t="n">
        <v>0.06</v>
      </c>
      <c r="CP14" s="52" t="n">
        <v>0.17</v>
      </c>
      <c r="CQ14" s="52" t="n">
        <v>0.19</v>
      </c>
      <c r="CR14" s="52" t="n">
        <v>-0.04</v>
      </c>
      <c r="CS14" s="52" t="n">
        <v>0.05</v>
      </c>
      <c r="CT14" s="52" t="n">
        <v>0.08</v>
      </c>
      <c r="CU14" s="52" t="n">
        <v>0.05</v>
      </c>
      <c r="CV14" s="52" t="n">
        <v>0.08</v>
      </c>
      <c r="CW14" s="52" t="n">
        <v>0.13</v>
      </c>
      <c r="CX14" s="52" t="n">
        <v>0.11</v>
      </c>
      <c r="CY14" s="52" t="n">
        <v>0.29</v>
      </c>
      <c r="CZ14" s="52" t="n">
        <v>0.01</v>
      </c>
      <c r="DA14" s="52" t="n">
        <v>0.13</v>
      </c>
      <c r="DB14" s="52" t="n">
        <v>-0.02</v>
      </c>
      <c r="DC14" s="52" t="n">
        <v>0.13</v>
      </c>
      <c r="DD14" s="52" t="n">
        <v>0.11</v>
      </c>
      <c r="DE14" s="52" t="n">
        <v>-0.02</v>
      </c>
      <c r="DF14" s="52" t="n">
        <v>-0.03</v>
      </c>
      <c r="DG14" s="52" t="n">
        <v>0.04</v>
      </c>
      <c r="DH14" s="52" t="n">
        <v>-0.15</v>
      </c>
      <c r="DI14" s="52" t="n">
        <v>0.23</v>
      </c>
      <c r="DJ14" s="52" t="n">
        <v>0.27</v>
      </c>
      <c r="DK14" s="52" t="n">
        <v>0.2</v>
      </c>
      <c r="DL14" s="52" t="n">
        <v>0.02</v>
      </c>
      <c r="DM14" s="52" t="n">
        <v>0.33</v>
      </c>
      <c r="DN14" s="52" t="n">
        <v>0.19</v>
      </c>
      <c r="DO14" s="52" t="n">
        <v>0.01</v>
      </c>
      <c r="DP14" s="52" t="n">
        <v>0.29</v>
      </c>
      <c r="DQ14" s="52" t="n">
        <v>-0.01</v>
      </c>
      <c r="DR14" s="52" t="n">
        <v>-0.11</v>
      </c>
      <c r="DS14" s="52" t="n">
        <v>0.07</v>
      </c>
      <c r="DT14" s="52" t="n">
        <v>-0.23</v>
      </c>
      <c r="DU14" s="52" t="n">
        <v>-0.06</v>
      </c>
      <c r="DV14" s="52" t="n">
        <v>-0.04</v>
      </c>
      <c r="DW14" s="52" t="n">
        <v>0.01</v>
      </c>
      <c r="DX14" s="52" t="n">
        <v>-0.17</v>
      </c>
      <c r="DY14" s="52" t="n">
        <v>0.01</v>
      </c>
      <c r="DZ14" s="52" t="n">
        <v>-0.09</v>
      </c>
      <c r="EA14" s="52" t="n">
        <v>0.11</v>
      </c>
      <c r="EB14" s="52" t="n">
        <v>-0.01</v>
      </c>
      <c r="EC14" s="52" t="n">
        <v>-0.14</v>
      </c>
      <c r="ED14" s="52" t="n">
        <v>-0.07</v>
      </c>
      <c r="EE14" s="52" t="n">
        <v>-0.08</v>
      </c>
      <c r="EF14" s="52" t="n">
        <v>0.12</v>
      </c>
      <c r="EG14" s="52" t="n">
        <v>-0.08</v>
      </c>
      <c r="EH14" s="52" t="n">
        <v>0</v>
      </c>
      <c r="EI14" s="52" t="n">
        <v>-0.24</v>
      </c>
      <c r="EJ14" s="52" t="n">
        <v>0.01</v>
      </c>
      <c r="EK14" s="52" t="n">
        <v>-0.07</v>
      </c>
      <c r="EL14" s="52" t="n">
        <v>-0.1</v>
      </c>
      <c r="EM14" s="52" t="n">
        <v>-0.09</v>
      </c>
      <c r="EN14" s="52" t="n">
        <v>0.1</v>
      </c>
      <c r="EO14" s="52" t="n">
        <v>0.02</v>
      </c>
    </row>
    <row r="15" customFormat="false" ht="15" hidden="false" customHeight="false" outlineLevel="0" collapsed="false">
      <c r="A15" s="51" t="s">
        <v>163</v>
      </c>
      <c r="B15" s="52" t="n">
        <v>0.07</v>
      </c>
      <c r="C15" s="52" t="n">
        <v>0.31</v>
      </c>
      <c r="D15" s="52" t="n">
        <v>0.11</v>
      </c>
      <c r="E15" s="52" t="n">
        <v>0.31</v>
      </c>
      <c r="F15" s="52" t="n">
        <v>0.16</v>
      </c>
      <c r="G15" s="52" t="n">
        <v>-0.01</v>
      </c>
      <c r="H15" s="52" t="n">
        <v>0.21</v>
      </c>
      <c r="I15" s="52" t="n">
        <v>0.14</v>
      </c>
      <c r="J15" s="52" t="n">
        <v>0.09</v>
      </c>
      <c r="K15" s="52" t="n">
        <v>0.09</v>
      </c>
      <c r="L15" s="52" t="n">
        <v>1</v>
      </c>
      <c r="M15" s="52" t="n">
        <v>0.17</v>
      </c>
      <c r="N15" s="52" t="n">
        <v>0.14</v>
      </c>
      <c r="O15" s="52" t="n">
        <v>0.37</v>
      </c>
      <c r="P15" s="52" t="n">
        <v>0.15</v>
      </c>
      <c r="Q15" s="52" t="n">
        <v>0.09</v>
      </c>
      <c r="R15" s="52" t="n">
        <v>0.1</v>
      </c>
      <c r="S15" s="52" t="n">
        <v>0.35</v>
      </c>
      <c r="T15" s="52" t="n">
        <v>0.03</v>
      </c>
      <c r="U15" s="52" t="n">
        <v>0.32</v>
      </c>
      <c r="V15" s="52" t="n">
        <v>0.3</v>
      </c>
      <c r="W15" s="52" t="n">
        <v>0.19</v>
      </c>
      <c r="X15" s="52" t="n">
        <v>0.05</v>
      </c>
      <c r="Y15" s="52" t="n">
        <v>0.17</v>
      </c>
      <c r="Z15" s="52" t="n">
        <v>0.3</v>
      </c>
      <c r="AA15" s="52" t="n">
        <v>0.31</v>
      </c>
      <c r="AB15" s="52" t="n">
        <v>0.12</v>
      </c>
      <c r="AC15" s="52" t="n">
        <v>0.12</v>
      </c>
      <c r="AD15" s="52" t="n">
        <v>0.22</v>
      </c>
      <c r="AE15" s="52" t="n">
        <v>0.25</v>
      </c>
      <c r="AF15" s="52" t="n">
        <v>0.29</v>
      </c>
      <c r="AG15" s="52" t="n">
        <v>-0.02</v>
      </c>
      <c r="AH15" s="52" t="n">
        <v>0.01</v>
      </c>
      <c r="AI15" s="52" t="n">
        <v>-0.02</v>
      </c>
      <c r="AJ15" s="52" t="n">
        <v>0.23</v>
      </c>
      <c r="AK15" s="52" t="n">
        <v>0.27</v>
      </c>
      <c r="AL15" s="52" t="n">
        <v>0.11</v>
      </c>
      <c r="AM15" s="52" t="n">
        <v>0.16</v>
      </c>
      <c r="AN15" s="52" t="n">
        <v>0.14</v>
      </c>
      <c r="AO15" s="52" t="n">
        <v>0.05</v>
      </c>
      <c r="AP15" s="52" t="n">
        <v>0.09</v>
      </c>
      <c r="AQ15" s="52" t="n">
        <v>-0.01</v>
      </c>
      <c r="AR15" s="52" t="n">
        <v>-0.01</v>
      </c>
      <c r="AS15" s="52" t="n">
        <v>0.2</v>
      </c>
      <c r="AT15" s="52" t="n">
        <v>0.04</v>
      </c>
      <c r="AU15" s="52" t="n">
        <v>0.1</v>
      </c>
      <c r="AV15" s="52" t="n">
        <v>0.3</v>
      </c>
      <c r="AW15" s="52" t="n">
        <v>0.16</v>
      </c>
      <c r="AX15" s="52" t="n">
        <v>0.15</v>
      </c>
      <c r="AY15" s="52" t="n">
        <v>0.27</v>
      </c>
      <c r="AZ15" s="52" t="n">
        <v>0.26</v>
      </c>
      <c r="BA15" s="52" t="n">
        <v>0.25</v>
      </c>
      <c r="BB15" s="52" t="n">
        <v>0.05</v>
      </c>
      <c r="BC15" s="52" t="n">
        <v>0.12</v>
      </c>
      <c r="BD15" s="52" t="n">
        <v>0.22</v>
      </c>
      <c r="BE15" s="52" t="n">
        <v>0.11</v>
      </c>
      <c r="BF15" s="52" t="n">
        <v>0.17</v>
      </c>
      <c r="BG15" s="52" t="n">
        <v>0.01</v>
      </c>
      <c r="BH15" s="52" t="n">
        <v>0.26</v>
      </c>
      <c r="BI15" s="52" t="n">
        <v>0.18</v>
      </c>
      <c r="BJ15" s="52" t="n">
        <v>0.02</v>
      </c>
      <c r="BK15" s="52" t="n">
        <v>0.2</v>
      </c>
      <c r="BL15" s="52" t="n">
        <v>0.09</v>
      </c>
      <c r="BM15" s="52" t="n">
        <v>0.13</v>
      </c>
      <c r="BN15" s="52" t="n">
        <v>0.1</v>
      </c>
      <c r="BO15" s="52" t="n">
        <v>0.09</v>
      </c>
      <c r="BP15" s="52" t="n">
        <v>0.18</v>
      </c>
      <c r="BQ15" s="52" t="n">
        <v>0.23</v>
      </c>
      <c r="BR15" s="52" t="n">
        <v>0.1</v>
      </c>
      <c r="BS15" s="52" t="n">
        <v>-0.07</v>
      </c>
      <c r="BT15" s="52" t="n">
        <v>0.13</v>
      </c>
      <c r="BU15" s="52" t="n">
        <v>0.08</v>
      </c>
      <c r="BV15" s="52" t="n">
        <v>0.12</v>
      </c>
      <c r="BW15" s="52" t="n">
        <v>0.15</v>
      </c>
      <c r="BX15" s="52" t="n">
        <v>-0.04</v>
      </c>
      <c r="BY15" s="52" t="n">
        <v>0.05</v>
      </c>
      <c r="BZ15" s="52" t="n">
        <v>0.15</v>
      </c>
      <c r="CA15" s="52" t="n">
        <v>0.19</v>
      </c>
      <c r="CB15" s="52" t="n">
        <v>-0.08</v>
      </c>
      <c r="CC15" s="52" t="n">
        <v>0</v>
      </c>
      <c r="CD15" s="52" t="n">
        <v>0.15</v>
      </c>
      <c r="CE15" s="52" t="n">
        <v>0.06</v>
      </c>
      <c r="CF15" s="52" t="n">
        <v>0</v>
      </c>
      <c r="CG15" s="52" t="n">
        <v>0.1</v>
      </c>
      <c r="CH15" s="52" t="n">
        <v>0.17</v>
      </c>
      <c r="CI15" s="52" t="n">
        <v>-0.02</v>
      </c>
      <c r="CJ15" s="52" t="n">
        <v>-0.02</v>
      </c>
      <c r="CK15" s="52" t="n">
        <v>0.03</v>
      </c>
      <c r="CL15" s="52" t="n">
        <v>0.05</v>
      </c>
      <c r="CM15" s="52" t="n">
        <v>0.05</v>
      </c>
      <c r="CN15" s="52" t="n">
        <v>0.16</v>
      </c>
      <c r="CO15" s="52" t="n">
        <v>0.09</v>
      </c>
      <c r="CP15" s="52" t="n">
        <v>0.05</v>
      </c>
      <c r="CQ15" s="52" t="n">
        <v>0.13</v>
      </c>
      <c r="CR15" s="52" t="n">
        <v>0.13</v>
      </c>
      <c r="CS15" s="52" t="n">
        <v>0.08</v>
      </c>
      <c r="CT15" s="52" t="n">
        <v>0.1</v>
      </c>
      <c r="CU15" s="52" t="n">
        <v>0.11</v>
      </c>
      <c r="CV15" s="52" t="n">
        <v>0</v>
      </c>
      <c r="CW15" s="52" t="n">
        <v>0.15</v>
      </c>
      <c r="CX15" s="52" t="n">
        <v>0.07</v>
      </c>
      <c r="CY15" s="52" t="n">
        <v>0.09</v>
      </c>
      <c r="CZ15" s="52" t="n">
        <v>0.14</v>
      </c>
      <c r="DA15" s="52" t="n">
        <v>0.11</v>
      </c>
      <c r="DB15" s="52" t="n">
        <v>0.13</v>
      </c>
      <c r="DC15" s="52" t="n">
        <v>0.15</v>
      </c>
      <c r="DD15" s="52" t="n">
        <v>0.06</v>
      </c>
      <c r="DE15" s="52" t="n">
        <v>0.09</v>
      </c>
      <c r="DF15" s="52" t="n">
        <v>0.07</v>
      </c>
      <c r="DG15" s="52" t="n">
        <v>0.12</v>
      </c>
      <c r="DH15" s="52" t="n">
        <v>0.09</v>
      </c>
      <c r="DI15" s="52" t="n">
        <v>0.14</v>
      </c>
      <c r="DJ15" s="52" t="n">
        <v>0.08</v>
      </c>
      <c r="DK15" s="52" t="n">
        <v>0.15</v>
      </c>
      <c r="DL15" s="52" t="n">
        <v>0.16</v>
      </c>
      <c r="DM15" s="52" t="n">
        <v>0.15</v>
      </c>
      <c r="DN15" s="52" t="n">
        <v>0.21</v>
      </c>
      <c r="DO15" s="52" t="n">
        <v>0.15</v>
      </c>
      <c r="DP15" s="52" t="n">
        <v>0.1</v>
      </c>
      <c r="DQ15" s="52" t="n">
        <v>0.11</v>
      </c>
      <c r="DR15" s="52" t="n">
        <v>0.04</v>
      </c>
      <c r="DS15" s="52" t="n">
        <v>0.04</v>
      </c>
      <c r="DT15" s="52" t="n">
        <v>0.03</v>
      </c>
      <c r="DU15" s="52" t="n">
        <v>-0.02</v>
      </c>
      <c r="DV15" s="52" t="n">
        <v>0.07</v>
      </c>
      <c r="DW15" s="52" t="n">
        <v>-0.01</v>
      </c>
      <c r="DX15" s="52" t="n">
        <v>0.12</v>
      </c>
      <c r="DY15" s="52" t="n">
        <v>0.07</v>
      </c>
      <c r="DZ15" s="52" t="n">
        <v>0.11</v>
      </c>
      <c r="EA15" s="52" t="n">
        <v>0.12</v>
      </c>
      <c r="EB15" s="52" t="n">
        <v>0.03</v>
      </c>
      <c r="EC15" s="52" t="n">
        <v>0.03</v>
      </c>
      <c r="ED15" s="52" t="n">
        <v>0.07</v>
      </c>
      <c r="EE15" s="52" t="n">
        <v>0.11</v>
      </c>
      <c r="EF15" s="52" t="n">
        <v>0.07</v>
      </c>
      <c r="EG15" s="52" t="n">
        <v>0.2</v>
      </c>
      <c r="EH15" s="52" t="n">
        <v>0</v>
      </c>
      <c r="EI15" s="52" t="n">
        <v>0.08</v>
      </c>
      <c r="EJ15" s="52" t="n">
        <v>0.15</v>
      </c>
      <c r="EK15" s="52" t="n">
        <v>0.11</v>
      </c>
      <c r="EL15" s="52" t="n">
        <v>0.14</v>
      </c>
      <c r="EM15" s="52" t="n">
        <v>0.02</v>
      </c>
      <c r="EN15" s="52" t="n">
        <v>0</v>
      </c>
      <c r="EO15" s="52" t="n">
        <v>0.04</v>
      </c>
    </row>
    <row r="16" customFormat="false" ht="15" hidden="false" customHeight="false" outlineLevel="0" collapsed="false">
      <c r="A16" s="51" t="s">
        <v>164</v>
      </c>
      <c r="B16" s="52" t="n">
        <v>0.25</v>
      </c>
      <c r="C16" s="52" t="n">
        <v>0.07</v>
      </c>
      <c r="D16" s="52" t="n">
        <v>-0.07</v>
      </c>
      <c r="E16" s="52" t="n">
        <v>0.19</v>
      </c>
      <c r="F16" s="52" t="n">
        <v>0.29</v>
      </c>
      <c r="G16" s="52" t="n">
        <v>0.05</v>
      </c>
      <c r="H16" s="52" t="n">
        <v>0.17</v>
      </c>
      <c r="I16" s="52" t="n">
        <v>0.3</v>
      </c>
      <c r="J16" s="52" t="n">
        <v>0.2</v>
      </c>
      <c r="K16" s="52" t="n">
        <v>0.3</v>
      </c>
      <c r="L16" s="52" t="n">
        <v>0.17</v>
      </c>
      <c r="M16" s="52" t="n">
        <v>1</v>
      </c>
      <c r="N16" s="52" t="n">
        <v>0.29</v>
      </c>
      <c r="O16" s="52" t="n">
        <v>0.22</v>
      </c>
      <c r="P16" s="52" t="n">
        <v>0.2</v>
      </c>
      <c r="Q16" s="52" t="n">
        <v>0</v>
      </c>
      <c r="R16" s="52" t="n">
        <v>0.3</v>
      </c>
      <c r="S16" s="52" t="n">
        <v>0.12</v>
      </c>
      <c r="T16" s="52" t="n">
        <v>0.36</v>
      </c>
      <c r="U16" s="52" t="n">
        <v>0.29</v>
      </c>
      <c r="V16" s="52" t="n">
        <v>0.29</v>
      </c>
      <c r="W16" s="52" t="n">
        <v>0.16</v>
      </c>
      <c r="X16" s="52" t="n">
        <v>0.34</v>
      </c>
      <c r="Y16" s="52" t="n">
        <v>0.23</v>
      </c>
      <c r="Z16" s="52" t="n">
        <v>0.29</v>
      </c>
      <c r="AA16" s="52" t="n">
        <v>0.21</v>
      </c>
      <c r="AB16" s="52" t="n">
        <v>0.24</v>
      </c>
      <c r="AC16" s="52" t="n">
        <v>0.1</v>
      </c>
      <c r="AD16" s="52" t="n">
        <v>0.16</v>
      </c>
      <c r="AE16" s="52" t="n">
        <v>0.24</v>
      </c>
      <c r="AF16" s="52" t="n">
        <v>0.12</v>
      </c>
      <c r="AG16" s="52" t="n">
        <v>0.03</v>
      </c>
      <c r="AH16" s="52" t="n">
        <v>0.05</v>
      </c>
      <c r="AI16" s="52" t="n">
        <v>-0.07</v>
      </c>
      <c r="AJ16" s="52" t="n">
        <v>0.02</v>
      </c>
      <c r="AK16" s="52" t="n">
        <v>0.23</v>
      </c>
      <c r="AL16" s="52" t="n">
        <v>0.26</v>
      </c>
      <c r="AM16" s="52" t="n">
        <v>0.2</v>
      </c>
      <c r="AN16" s="52" t="n">
        <v>0.53</v>
      </c>
      <c r="AO16" s="52" t="n">
        <v>0.16</v>
      </c>
      <c r="AP16" s="52" t="n">
        <v>0.26</v>
      </c>
      <c r="AQ16" s="52" t="n">
        <v>-0.12</v>
      </c>
      <c r="AR16" s="52" t="n">
        <v>0.24</v>
      </c>
      <c r="AS16" s="52" t="n">
        <v>0.23</v>
      </c>
      <c r="AT16" s="52" t="n">
        <v>0.37</v>
      </c>
      <c r="AU16" s="52" t="n">
        <v>0.24</v>
      </c>
      <c r="AV16" s="52" t="n">
        <v>0.18</v>
      </c>
      <c r="AW16" s="52" t="n">
        <v>0.24</v>
      </c>
      <c r="AX16" s="52" t="n">
        <v>0.27</v>
      </c>
      <c r="AY16" s="52" t="n">
        <v>0.37</v>
      </c>
      <c r="AZ16" s="52" t="n">
        <v>0.27</v>
      </c>
      <c r="BA16" s="52" t="n">
        <v>0.37</v>
      </c>
      <c r="BB16" s="52" t="n">
        <v>0.33</v>
      </c>
      <c r="BC16" s="52" t="n">
        <v>0.14</v>
      </c>
      <c r="BD16" s="52" t="n">
        <v>0.17</v>
      </c>
      <c r="BE16" s="52" t="n">
        <v>0.29</v>
      </c>
      <c r="BF16" s="52" t="n">
        <v>0.27</v>
      </c>
      <c r="BG16" s="52" t="n">
        <v>0.33</v>
      </c>
      <c r="BH16" s="52" t="n">
        <v>0.16</v>
      </c>
      <c r="BI16" s="52" t="n">
        <v>0.13</v>
      </c>
      <c r="BJ16" s="52" t="n">
        <v>-0.11</v>
      </c>
      <c r="BK16" s="52" t="n">
        <v>0.18</v>
      </c>
      <c r="BL16" s="52" t="n">
        <v>0.37</v>
      </c>
      <c r="BM16" s="52" t="n">
        <v>0.32</v>
      </c>
      <c r="BN16" s="52" t="n">
        <v>0.03</v>
      </c>
      <c r="BO16" s="52" t="n">
        <v>0.32</v>
      </c>
      <c r="BP16" s="52" t="n">
        <v>0.16</v>
      </c>
      <c r="BQ16" s="52" t="n">
        <v>0.33</v>
      </c>
      <c r="BR16" s="52" t="n">
        <v>0.35</v>
      </c>
      <c r="BS16" s="52" t="n">
        <v>-0.09</v>
      </c>
      <c r="BT16" s="52" t="n">
        <v>0.35</v>
      </c>
      <c r="BU16" s="52" t="n">
        <v>0.13</v>
      </c>
      <c r="BV16" s="52" t="n">
        <v>0.33</v>
      </c>
      <c r="BW16" s="52" t="n">
        <v>0.27</v>
      </c>
      <c r="BX16" s="52" t="n">
        <v>0.14</v>
      </c>
      <c r="BY16" s="52" t="n">
        <v>0.4</v>
      </c>
      <c r="BZ16" s="52" t="n">
        <v>0.41</v>
      </c>
      <c r="CA16" s="52" t="n">
        <v>0.23</v>
      </c>
      <c r="CB16" s="52" t="n">
        <v>-0.04</v>
      </c>
      <c r="CC16" s="52" t="n">
        <v>0.07</v>
      </c>
      <c r="CD16" s="52" t="n">
        <v>0.28</v>
      </c>
      <c r="CE16" s="52" t="n">
        <v>0.1</v>
      </c>
      <c r="CF16" s="52" t="n">
        <v>-0.09</v>
      </c>
      <c r="CG16" s="52" t="n">
        <v>0.35</v>
      </c>
      <c r="CH16" s="52" t="n">
        <v>0.34</v>
      </c>
      <c r="CI16" s="52" t="n">
        <v>-0.12</v>
      </c>
      <c r="CJ16" s="52" t="n">
        <v>0.08</v>
      </c>
      <c r="CK16" s="52" t="n">
        <v>0.31</v>
      </c>
      <c r="CL16" s="52" t="n">
        <v>0.33</v>
      </c>
      <c r="CM16" s="52" t="n">
        <v>0.22</v>
      </c>
      <c r="CN16" s="52" t="n">
        <v>0.03</v>
      </c>
      <c r="CO16" s="52" t="n">
        <v>0.1</v>
      </c>
      <c r="CP16" s="52" t="n">
        <v>0.14</v>
      </c>
      <c r="CQ16" s="52" t="n">
        <v>0.43</v>
      </c>
      <c r="CR16" s="52" t="n">
        <v>0.31</v>
      </c>
      <c r="CS16" s="52" t="n">
        <v>0.28</v>
      </c>
      <c r="CT16" s="52" t="n">
        <v>0.26</v>
      </c>
      <c r="CU16" s="52" t="n">
        <v>0.15</v>
      </c>
      <c r="CV16" s="52" t="n">
        <v>0.27</v>
      </c>
      <c r="CW16" s="52" t="n">
        <v>0.3</v>
      </c>
      <c r="CX16" s="52" t="n">
        <v>0.35</v>
      </c>
      <c r="CY16" s="52" t="n">
        <v>0.42</v>
      </c>
      <c r="CZ16" s="52" t="n">
        <v>0.11</v>
      </c>
      <c r="DA16" s="52" t="n">
        <v>0.16</v>
      </c>
      <c r="DB16" s="52" t="n">
        <v>0.3</v>
      </c>
      <c r="DC16" s="52" t="n">
        <v>0.32</v>
      </c>
      <c r="DD16" s="52" t="n">
        <v>0.31</v>
      </c>
      <c r="DE16" s="52" t="n">
        <v>0.35</v>
      </c>
      <c r="DF16" s="52" t="n">
        <v>0.1</v>
      </c>
      <c r="DG16" s="52" t="n">
        <v>0.36</v>
      </c>
      <c r="DH16" s="52" t="n">
        <v>0.18</v>
      </c>
      <c r="DI16" s="52" t="n">
        <v>0.41</v>
      </c>
      <c r="DJ16" s="52" t="n">
        <v>0.37</v>
      </c>
      <c r="DK16" s="52" t="n">
        <v>0.44</v>
      </c>
      <c r="DL16" s="52" t="n">
        <v>0.19</v>
      </c>
      <c r="DM16" s="52" t="n">
        <v>0.45</v>
      </c>
      <c r="DN16" s="52" t="n">
        <v>0.32</v>
      </c>
      <c r="DO16" s="52" t="n">
        <v>0.26</v>
      </c>
      <c r="DP16" s="52" t="n">
        <v>0.39</v>
      </c>
      <c r="DQ16" s="52" t="n">
        <v>0.26</v>
      </c>
      <c r="DR16" s="52" t="n">
        <v>0.22</v>
      </c>
      <c r="DS16" s="52" t="n">
        <v>0.12</v>
      </c>
      <c r="DT16" s="52" t="n">
        <v>0.14</v>
      </c>
      <c r="DU16" s="52" t="n">
        <v>0.3</v>
      </c>
      <c r="DV16" s="52" t="n">
        <v>0.16</v>
      </c>
      <c r="DW16" s="52" t="n">
        <v>0.23</v>
      </c>
      <c r="DX16" s="52" t="n">
        <v>0.25</v>
      </c>
      <c r="DY16" s="52" t="n">
        <v>0.36</v>
      </c>
      <c r="DZ16" s="52" t="n">
        <v>0.1</v>
      </c>
      <c r="EA16" s="52" t="n">
        <v>0.21</v>
      </c>
      <c r="EB16" s="52" t="n">
        <v>0.36</v>
      </c>
      <c r="EC16" s="52" t="n">
        <v>0.05</v>
      </c>
      <c r="ED16" s="52" t="n">
        <v>0.29</v>
      </c>
      <c r="EE16" s="52" t="n">
        <v>0.22</v>
      </c>
      <c r="EF16" s="52" t="n">
        <v>0.25</v>
      </c>
      <c r="EG16" s="52" t="n">
        <v>0.23</v>
      </c>
      <c r="EH16" s="52" t="n">
        <v>0.14</v>
      </c>
      <c r="EI16" s="52" t="n">
        <v>0.18</v>
      </c>
      <c r="EJ16" s="52" t="n">
        <v>0.32</v>
      </c>
      <c r="EK16" s="52" t="n">
        <v>0.28</v>
      </c>
      <c r="EL16" s="52" t="n">
        <v>0.32</v>
      </c>
      <c r="EM16" s="52" t="n">
        <v>0.18</v>
      </c>
      <c r="EN16" s="52" t="n">
        <v>0.21</v>
      </c>
      <c r="EO16" s="52" t="n">
        <v>0.11</v>
      </c>
    </row>
    <row r="17" customFormat="false" ht="15" hidden="false" customHeight="false" outlineLevel="0" collapsed="false">
      <c r="A17" s="51" t="s">
        <v>165</v>
      </c>
      <c r="B17" s="52" t="n">
        <v>0.33</v>
      </c>
      <c r="C17" s="52" t="n">
        <v>-0.01</v>
      </c>
      <c r="D17" s="52" t="n">
        <v>0.18</v>
      </c>
      <c r="E17" s="52" t="n">
        <v>0.18</v>
      </c>
      <c r="F17" s="52" t="n">
        <v>0.3</v>
      </c>
      <c r="G17" s="52" t="n">
        <v>0.05</v>
      </c>
      <c r="H17" s="52" t="n">
        <v>0.11</v>
      </c>
      <c r="I17" s="52" t="n">
        <v>0.37</v>
      </c>
      <c r="J17" s="52" t="n">
        <v>0.42</v>
      </c>
      <c r="K17" s="52" t="n">
        <v>0.35</v>
      </c>
      <c r="L17" s="52" t="n">
        <v>0.14</v>
      </c>
      <c r="M17" s="52" t="n">
        <v>0.29</v>
      </c>
      <c r="N17" s="52" t="n">
        <v>1</v>
      </c>
      <c r="O17" s="52" t="n">
        <v>0.07</v>
      </c>
      <c r="P17" s="52" t="n">
        <v>0.23</v>
      </c>
      <c r="Q17" s="52" t="n">
        <v>-0.04</v>
      </c>
      <c r="R17" s="52" t="n">
        <v>0.32</v>
      </c>
      <c r="S17" s="52" t="n">
        <v>0.11</v>
      </c>
      <c r="T17" s="52" t="n">
        <v>0.23</v>
      </c>
      <c r="U17" s="52" t="n">
        <v>0.13</v>
      </c>
      <c r="V17" s="52" t="n">
        <v>0.02</v>
      </c>
      <c r="W17" s="52" t="n">
        <v>0.07</v>
      </c>
      <c r="X17" s="52" t="n">
        <v>0.23</v>
      </c>
      <c r="Y17" s="52" t="n">
        <v>0.26</v>
      </c>
      <c r="Z17" s="52" t="n">
        <v>0.12</v>
      </c>
      <c r="AA17" s="52" t="n">
        <v>0.18</v>
      </c>
      <c r="AB17" s="52" t="n">
        <v>0.27</v>
      </c>
      <c r="AC17" s="52" t="n">
        <v>0.03</v>
      </c>
      <c r="AD17" s="52" t="n">
        <v>0.02</v>
      </c>
      <c r="AE17" s="52" t="n">
        <v>0</v>
      </c>
      <c r="AF17" s="52" t="n">
        <v>-0.01</v>
      </c>
      <c r="AG17" s="52" t="n">
        <v>0.19</v>
      </c>
      <c r="AH17" s="52" t="n">
        <v>0.25</v>
      </c>
      <c r="AI17" s="52" t="n">
        <v>0.12</v>
      </c>
      <c r="AJ17" s="52" t="n">
        <v>0.15</v>
      </c>
      <c r="AK17" s="52" t="n">
        <v>0.04</v>
      </c>
      <c r="AL17" s="52" t="n">
        <v>0.31</v>
      </c>
      <c r="AM17" s="52" t="n">
        <v>0.11</v>
      </c>
      <c r="AN17" s="52" t="n">
        <v>0.35</v>
      </c>
      <c r="AO17" s="52" t="n">
        <v>0.42</v>
      </c>
      <c r="AP17" s="52" t="n">
        <v>0.39</v>
      </c>
      <c r="AQ17" s="52" t="n">
        <v>0.09</v>
      </c>
      <c r="AR17" s="52" t="n">
        <v>0.2</v>
      </c>
      <c r="AS17" s="52" t="n">
        <v>0.05</v>
      </c>
      <c r="AT17" s="52" t="n">
        <v>0.24</v>
      </c>
      <c r="AU17" s="52" t="n">
        <v>0.22</v>
      </c>
      <c r="AV17" s="52" t="n">
        <v>0.16</v>
      </c>
      <c r="AW17" s="52" t="n">
        <v>0.06</v>
      </c>
      <c r="AX17" s="52" t="n">
        <v>0.63</v>
      </c>
      <c r="AY17" s="52" t="n">
        <v>0.28</v>
      </c>
      <c r="AZ17" s="52" t="n">
        <v>0.12</v>
      </c>
      <c r="BA17" s="52" t="n">
        <v>0.29</v>
      </c>
      <c r="BB17" s="52" t="n">
        <v>0.19</v>
      </c>
      <c r="BC17" s="52" t="n">
        <v>0.06</v>
      </c>
      <c r="BD17" s="52" t="n">
        <v>0.08</v>
      </c>
      <c r="BE17" s="52" t="n">
        <v>0.51</v>
      </c>
      <c r="BF17" s="52" t="n">
        <v>0.17</v>
      </c>
      <c r="BG17" s="52" t="n">
        <v>0.35</v>
      </c>
      <c r="BH17" s="52" t="n">
        <v>0.15</v>
      </c>
      <c r="BI17" s="52" t="n">
        <v>0.06</v>
      </c>
      <c r="BJ17" s="52" t="n">
        <v>-0.02</v>
      </c>
      <c r="BK17" s="52" t="n">
        <v>0.02</v>
      </c>
      <c r="BL17" s="52" t="n">
        <v>0.2</v>
      </c>
      <c r="BM17" s="52" t="n">
        <v>0.24</v>
      </c>
      <c r="BN17" s="52" t="n">
        <v>0.07</v>
      </c>
      <c r="BO17" s="52" t="n">
        <v>0.18</v>
      </c>
      <c r="BP17" s="52" t="n">
        <v>0.07</v>
      </c>
      <c r="BQ17" s="52" t="n">
        <v>0.04</v>
      </c>
      <c r="BR17" s="52" t="n">
        <v>0.27</v>
      </c>
      <c r="BS17" s="52" t="n">
        <v>0.04</v>
      </c>
      <c r="BT17" s="52" t="n">
        <v>0.2</v>
      </c>
      <c r="BU17" s="52" t="n">
        <v>0.04</v>
      </c>
      <c r="BV17" s="52" t="n">
        <v>0.16</v>
      </c>
      <c r="BW17" s="52" t="n">
        <v>0.2</v>
      </c>
      <c r="BX17" s="52" t="n">
        <v>0.45</v>
      </c>
      <c r="BY17" s="52" t="n">
        <v>0.25</v>
      </c>
      <c r="BZ17" s="52" t="n">
        <v>0.22</v>
      </c>
      <c r="CA17" s="52" t="n">
        <v>0.05</v>
      </c>
      <c r="CB17" s="52" t="n">
        <v>0.08</v>
      </c>
      <c r="CC17" s="52" t="n">
        <v>0.06</v>
      </c>
      <c r="CD17" s="52" t="n">
        <v>0.24</v>
      </c>
      <c r="CE17" s="52" t="n">
        <v>0.05</v>
      </c>
      <c r="CF17" s="52" t="n">
        <v>0.08</v>
      </c>
      <c r="CG17" s="52" t="n">
        <v>0.3</v>
      </c>
      <c r="CH17" s="52" t="n">
        <v>0.1</v>
      </c>
      <c r="CI17" s="52" t="n">
        <v>0.08</v>
      </c>
      <c r="CJ17" s="52" t="n">
        <v>0.25</v>
      </c>
      <c r="CK17" s="52" t="n">
        <v>0.3</v>
      </c>
      <c r="CL17" s="52" t="n">
        <v>0.27</v>
      </c>
      <c r="CM17" s="52" t="n">
        <v>-0.01</v>
      </c>
      <c r="CN17" s="52" t="n">
        <v>0.14</v>
      </c>
      <c r="CO17" s="52" t="n">
        <v>0.06</v>
      </c>
      <c r="CP17" s="52" t="n">
        <v>0.19</v>
      </c>
      <c r="CQ17" s="52" t="n">
        <v>0.29</v>
      </c>
      <c r="CR17" s="52" t="n">
        <v>0.03</v>
      </c>
      <c r="CS17" s="52" t="n">
        <v>0.09</v>
      </c>
      <c r="CT17" s="52" t="n">
        <v>0.2</v>
      </c>
      <c r="CU17" s="52" t="n">
        <v>0.13</v>
      </c>
      <c r="CV17" s="52" t="n">
        <v>0.06</v>
      </c>
      <c r="CW17" s="52" t="n">
        <v>0.19</v>
      </c>
      <c r="CX17" s="52" t="n">
        <v>0.16</v>
      </c>
      <c r="CY17" s="52" t="n">
        <v>0.25</v>
      </c>
      <c r="CZ17" s="52" t="n">
        <v>0.2</v>
      </c>
      <c r="DA17" s="52" t="n">
        <v>0.36</v>
      </c>
      <c r="DB17" s="52" t="n">
        <v>0.13</v>
      </c>
      <c r="DC17" s="52" t="n">
        <v>0.11</v>
      </c>
      <c r="DD17" s="52" t="n">
        <v>0.25</v>
      </c>
      <c r="DE17" s="52" t="n">
        <v>0.1</v>
      </c>
      <c r="DF17" s="52" t="n">
        <v>0.19</v>
      </c>
      <c r="DG17" s="52" t="n">
        <v>0.2</v>
      </c>
      <c r="DH17" s="52" t="n">
        <v>-0.02</v>
      </c>
      <c r="DI17" s="52" t="n">
        <v>0.22</v>
      </c>
      <c r="DJ17" s="52" t="n">
        <v>0.29</v>
      </c>
      <c r="DK17" s="52" t="n">
        <v>0.23</v>
      </c>
      <c r="DL17" s="52" t="n">
        <v>0.04</v>
      </c>
      <c r="DM17" s="52" t="n">
        <v>0.35</v>
      </c>
      <c r="DN17" s="52" t="n">
        <v>0.18</v>
      </c>
      <c r="DO17" s="52" t="n">
        <v>0.2</v>
      </c>
      <c r="DP17" s="52" t="n">
        <v>0.3</v>
      </c>
      <c r="DQ17" s="52" t="n">
        <v>0.06</v>
      </c>
      <c r="DR17" s="52" t="n">
        <v>0.14</v>
      </c>
      <c r="DS17" s="52" t="n">
        <v>0.06</v>
      </c>
      <c r="DT17" s="52" t="n">
        <v>0</v>
      </c>
      <c r="DU17" s="52" t="n">
        <v>0.12</v>
      </c>
      <c r="DV17" s="52" t="n">
        <v>0.09</v>
      </c>
      <c r="DW17" s="52" t="n">
        <v>0.14</v>
      </c>
      <c r="DX17" s="52" t="n">
        <v>-0.01</v>
      </c>
      <c r="DY17" s="52" t="n">
        <v>0.11</v>
      </c>
      <c r="DZ17" s="52" t="n">
        <v>0.12</v>
      </c>
      <c r="EA17" s="52" t="n">
        <v>0.22</v>
      </c>
      <c r="EB17" s="52" t="n">
        <v>0.17</v>
      </c>
      <c r="EC17" s="52" t="n">
        <v>-0.06</v>
      </c>
      <c r="ED17" s="52" t="n">
        <v>0.23</v>
      </c>
      <c r="EE17" s="52" t="n">
        <v>-0.04</v>
      </c>
      <c r="EF17" s="52" t="n">
        <v>0.15</v>
      </c>
      <c r="EG17" s="52" t="n">
        <v>0.02</v>
      </c>
      <c r="EH17" s="52" t="n">
        <v>0.11</v>
      </c>
      <c r="EI17" s="52" t="n">
        <v>-0.04</v>
      </c>
      <c r="EJ17" s="52" t="n">
        <v>0.25</v>
      </c>
      <c r="EK17" s="52" t="n">
        <v>0.11</v>
      </c>
      <c r="EL17" s="52" t="n">
        <v>0.02</v>
      </c>
      <c r="EM17" s="52" t="n">
        <v>0.08</v>
      </c>
      <c r="EN17" s="52" t="n">
        <v>0.29</v>
      </c>
      <c r="EO17" s="52" t="n">
        <v>0.03</v>
      </c>
    </row>
    <row r="18" customFormat="false" ht="15" hidden="false" customHeight="false" outlineLevel="0" collapsed="false">
      <c r="A18" s="51" t="s">
        <v>120</v>
      </c>
      <c r="B18" s="52" t="n">
        <v>0.14</v>
      </c>
      <c r="C18" s="52" t="n">
        <v>0.18</v>
      </c>
      <c r="D18" s="52" t="n">
        <v>0.03</v>
      </c>
      <c r="E18" s="52" t="n">
        <v>0.36</v>
      </c>
      <c r="F18" s="52" t="n">
        <v>0.07</v>
      </c>
      <c r="G18" s="52" t="n">
        <v>0.12</v>
      </c>
      <c r="H18" s="52" t="n">
        <v>0.21</v>
      </c>
      <c r="I18" s="52" t="n">
        <v>0.11</v>
      </c>
      <c r="J18" s="52" t="n">
        <v>0.1</v>
      </c>
      <c r="K18" s="52" t="n">
        <v>0.17</v>
      </c>
      <c r="L18" s="52" t="n">
        <v>0.37</v>
      </c>
      <c r="M18" s="52" t="n">
        <v>0.22</v>
      </c>
      <c r="N18" s="52" t="n">
        <v>0.07</v>
      </c>
      <c r="O18" s="52" t="n">
        <v>1</v>
      </c>
      <c r="P18" s="52" t="n">
        <v>0.13</v>
      </c>
      <c r="Q18" s="52" t="n">
        <v>0.1</v>
      </c>
      <c r="R18" s="52" t="n">
        <v>0.12</v>
      </c>
      <c r="S18" s="52" t="n">
        <v>0.25</v>
      </c>
      <c r="T18" s="52" t="n">
        <v>0.06</v>
      </c>
      <c r="U18" s="52" t="n">
        <v>0.43</v>
      </c>
      <c r="V18" s="52" t="n">
        <v>0.42</v>
      </c>
      <c r="W18" s="52" t="n">
        <v>0.33</v>
      </c>
      <c r="X18" s="52" t="n">
        <v>0.19</v>
      </c>
      <c r="Y18" s="52" t="n">
        <v>0.05</v>
      </c>
      <c r="Z18" s="52" t="n">
        <v>0.38</v>
      </c>
      <c r="AA18" s="52" t="n">
        <v>0.37</v>
      </c>
      <c r="AB18" s="52" t="n">
        <v>0.03</v>
      </c>
      <c r="AC18" s="52" t="n">
        <v>0.32</v>
      </c>
      <c r="AD18" s="52" t="n">
        <v>0.29</v>
      </c>
      <c r="AE18" s="52" t="n">
        <v>0.32</v>
      </c>
      <c r="AF18" s="52" t="n">
        <v>0.44</v>
      </c>
      <c r="AG18" s="52" t="n">
        <v>0.05</v>
      </c>
      <c r="AH18" s="52" t="n">
        <v>0.07</v>
      </c>
      <c r="AI18" s="52" t="n">
        <v>-0.04</v>
      </c>
      <c r="AJ18" s="52" t="n">
        <v>0.26</v>
      </c>
      <c r="AK18" s="52" t="n">
        <v>0.46</v>
      </c>
      <c r="AL18" s="52" t="n">
        <v>0.11</v>
      </c>
      <c r="AM18" s="52" t="n">
        <v>0.27</v>
      </c>
      <c r="AN18" s="52" t="n">
        <v>0.13</v>
      </c>
      <c r="AO18" s="52" t="n">
        <v>-0.01</v>
      </c>
      <c r="AP18" s="52" t="n">
        <v>0.14</v>
      </c>
      <c r="AQ18" s="52" t="n">
        <v>-0.02</v>
      </c>
      <c r="AR18" s="52" t="n">
        <v>0.07</v>
      </c>
      <c r="AS18" s="52" t="n">
        <v>0.25</v>
      </c>
      <c r="AT18" s="52" t="n">
        <v>0.02</v>
      </c>
      <c r="AU18" s="52" t="n">
        <v>0.09</v>
      </c>
      <c r="AV18" s="52" t="n">
        <v>0.34</v>
      </c>
      <c r="AW18" s="52" t="n">
        <v>0.26</v>
      </c>
      <c r="AX18" s="52" t="n">
        <v>0.09</v>
      </c>
      <c r="AY18" s="52" t="n">
        <v>0.01</v>
      </c>
      <c r="AZ18" s="52" t="n">
        <v>0.27</v>
      </c>
      <c r="BA18" s="52" t="n">
        <v>0.22</v>
      </c>
      <c r="BB18" s="52" t="n">
        <v>0.08</v>
      </c>
      <c r="BC18" s="52" t="n">
        <v>0.28</v>
      </c>
      <c r="BD18" s="52" t="n">
        <v>0.34</v>
      </c>
      <c r="BE18" s="52" t="n">
        <v>0.11</v>
      </c>
      <c r="BF18" s="52" t="n">
        <v>0.26</v>
      </c>
      <c r="BG18" s="52" t="n">
        <v>-0.12</v>
      </c>
      <c r="BH18" s="52" t="n">
        <v>0.18</v>
      </c>
      <c r="BI18" s="52" t="n">
        <v>0.25</v>
      </c>
      <c r="BJ18" s="52" t="n">
        <v>0.01</v>
      </c>
      <c r="BK18" s="52" t="n">
        <v>0.24</v>
      </c>
      <c r="BL18" s="52" t="n">
        <v>0.16</v>
      </c>
      <c r="BM18" s="52" t="n">
        <v>0.05</v>
      </c>
      <c r="BN18" s="52" t="n">
        <v>0.12</v>
      </c>
      <c r="BO18" s="52" t="n">
        <v>0.07</v>
      </c>
      <c r="BP18" s="52" t="n">
        <v>0.01</v>
      </c>
      <c r="BQ18" s="52" t="n">
        <v>0.35</v>
      </c>
      <c r="BR18" s="52" t="n">
        <v>0.05</v>
      </c>
      <c r="BS18" s="52" t="n">
        <v>-0.07</v>
      </c>
      <c r="BT18" s="52" t="n">
        <v>0.19</v>
      </c>
      <c r="BU18" s="52" t="n">
        <v>0.18</v>
      </c>
      <c r="BV18" s="52" t="n">
        <v>0.11</v>
      </c>
      <c r="BW18" s="52" t="n">
        <v>0.03</v>
      </c>
      <c r="BX18" s="52" t="n">
        <v>-0.03</v>
      </c>
      <c r="BY18" s="52" t="n">
        <v>0.08</v>
      </c>
      <c r="BZ18" s="52" t="n">
        <v>0.18</v>
      </c>
      <c r="CA18" s="52" t="n">
        <v>0.34</v>
      </c>
      <c r="CB18" s="52" t="n">
        <v>0</v>
      </c>
      <c r="CC18" s="52" t="n">
        <v>0.04</v>
      </c>
      <c r="CD18" s="52" t="n">
        <v>0.03</v>
      </c>
      <c r="CE18" s="52" t="n">
        <v>-0.04</v>
      </c>
      <c r="CF18" s="52" t="n">
        <v>-0.02</v>
      </c>
      <c r="CG18" s="52" t="n">
        <v>0.02</v>
      </c>
      <c r="CH18" s="52" t="n">
        <v>0.36</v>
      </c>
      <c r="CI18" s="52" t="n">
        <v>-0.05</v>
      </c>
      <c r="CJ18" s="52" t="n">
        <v>-0.03</v>
      </c>
      <c r="CK18" s="52" t="n">
        <v>-0.05</v>
      </c>
      <c r="CL18" s="52" t="n">
        <v>0.04</v>
      </c>
      <c r="CM18" s="52" t="n">
        <v>-0.04</v>
      </c>
      <c r="CN18" s="52" t="n">
        <v>0.22</v>
      </c>
      <c r="CO18" s="52" t="n">
        <v>0.05</v>
      </c>
      <c r="CP18" s="52" t="n">
        <v>0.03</v>
      </c>
      <c r="CQ18" s="52" t="n">
        <v>0.11</v>
      </c>
      <c r="CR18" s="52" t="n">
        <v>0.05</v>
      </c>
      <c r="CS18" s="52" t="n">
        <v>0.12</v>
      </c>
      <c r="CT18" s="52" t="n">
        <v>0.15</v>
      </c>
      <c r="CU18" s="52" t="n">
        <v>0.01</v>
      </c>
      <c r="CV18" s="52" t="n">
        <v>0.03</v>
      </c>
      <c r="CW18" s="52" t="n">
        <v>0.07</v>
      </c>
      <c r="CX18" s="52" t="n">
        <v>0.06</v>
      </c>
      <c r="CY18" s="52" t="n">
        <v>0.13</v>
      </c>
      <c r="CZ18" s="52" t="n">
        <v>-0.01</v>
      </c>
      <c r="DA18" s="52" t="n">
        <v>-0.14</v>
      </c>
      <c r="DB18" s="52" t="n">
        <v>0.12</v>
      </c>
      <c r="DC18" s="52" t="n">
        <v>0.21</v>
      </c>
      <c r="DD18" s="52" t="n">
        <v>0.02</v>
      </c>
      <c r="DE18" s="52" t="n">
        <v>0.11</v>
      </c>
      <c r="DF18" s="52" t="n">
        <v>-0.05</v>
      </c>
      <c r="DG18" s="52" t="n">
        <v>0.21</v>
      </c>
      <c r="DH18" s="52" t="n">
        <v>0.02</v>
      </c>
      <c r="DI18" s="52" t="n">
        <v>0.19</v>
      </c>
      <c r="DJ18" s="52" t="n">
        <v>0.06</v>
      </c>
      <c r="DK18" s="52" t="n">
        <v>0.14</v>
      </c>
      <c r="DL18" s="52" t="n">
        <v>0.27</v>
      </c>
      <c r="DM18" s="52" t="n">
        <v>0.17</v>
      </c>
      <c r="DN18" s="52" t="n">
        <v>0.05</v>
      </c>
      <c r="DO18" s="52" t="n">
        <v>0.12</v>
      </c>
      <c r="DP18" s="52" t="n">
        <v>0.1</v>
      </c>
      <c r="DQ18" s="52" t="n">
        <v>0.08</v>
      </c>
      <c r="DR18" s="52" t="n">
        <v>0.09</v>
      </c>
      <c r="DS18" s="52" t="n">
        <v>-0.08</v>
      </c>
      <c r="DT18" s="52" t="n">
        <v>-0.01</v>
      </c>
      <c r="DU18" s="52" t="n">
        <v>0.08</v>
      </c>
      <c r="DV18" s="52" t="n">
        <v>0.02</v>
      </c>
      <c r="DW18" s="52" t="n">
        <v>-0.04</v>
      </c>
      <c r="DX18" s="52" t="n">
        <v>0.04</v>
      </c>
      <c r="DY18" s="52" t="n">
        <v>0.03</v>
      </c>
      <c r="DZ18" s="52" t="n">
        <v>-0.09</v>
      </c>
      <c r="EA18" s="52" t="n">
        <v>0.05</v>
      </c>
      <c r="EB18" s="52" t="n">
        <v>0.01</v>
      </c>
      <c r="EC18" s="52" t="n">
        <v>0.02</v>
      </c>
      <c r="ED18" s="52" t="n">
        <v>0.09</v>
      </c>
      <c r="EE18" s="52" t="n">
        <v>0.1</v>
      </c>
      <c r="EF18" s="52" t="n">
        <v>0.07</v>
      </c>
      <c r="EG18" s="52" t="n">
        <v>0.11</v>
      </c>
      <c r="EH18" s="52" t="n">
        <v>-0.12</v>
      </c>
      <c r="EI18" s="52" t="n">
        <v>0.01</v>
      </c>
      <c r="EJ18" s="52" t="n">
        <v>0.09</v>
      </c>
      <c r="EK18" s="52" t="n">
        <v>0.08</v>
      </c>
      <c r="EL18" s="52" t="n">
        <v>0.17</v>
      </c>
      <c r="EM18" s="52" t="n">
        <v>0.03</v>
      </c>
      <c r="EN18" s="52" t="n">
        <v>-0.01</v>
      </c>
      <c r="EO18" s="52" t="n">
        <v>0.02</v>
      </c>
    </row>
    <row r="19" customFormat="false" ht="15" hidden="false" customHeight="false" outlineLevel="0" collapsed="false">
      <c r="A19" s="51" t="s">
        <v>166</v>
      </c>
      <c r="B19" s="52" t="n">
        <v>0.38</v>
      </c>
      <c r="C19" s="52" t="n">
        <v>0.07</v>
      </c>
      <c r="D19" s="52" t="n">
        <v>0</v>
      </c>
      <c r="E19" s="52" t="n">
        <v>0.15</v>
      </c>
      <c r="F19" s="52" t="n">
        <v>0.48</v>
      </c>
      <c r="G19" s="52" t="n">
        <v>-0.11</v>
      </c>
      <c r="H19" s="52" t="n">
        <v>0.01</v>
      </c>
      <c r="I19" s="52" t="n">
        <v>0.48</v>
      </c>
      <c r="J19" s="52" t="n">
        <v>0.41</v>
      </c>
      <c r="K19" s="52" t="n">
        <v>0.41</v>
      </c>
      <c r="L19" s="52" t="n">
        <v>0.15</v>
      </c>
      <c r="M19" s="52" t="n">
        <v>0.2</v>
      </c>
      <c r="N19" s="52" t="n">
        <v>0.23</v>
      </c>
      <c r="O19" s="52" t="n">
        <v>0.13</v>
      </c>
      <c r="P19" s="52" t="n">
        <v>1</v>
      </c>
      <c r="Q19" s="52" t="n">
        <v>0.14</v>
      </c>
      <c r="R19" s="52" t="n">
        <v>0.48</v>
      </c>
      <c r="S19" s="52" t="n">
        <v>0.1</v>
      </c>
      <c r="T19" s="52" t="n">
        <v>0.1</v>
      </c>
      <c r="U19" s="52" t="n">
        <v>0.12</v>
      </c>
      <c r="V19" s="52" t="n">
        <v>0.02</v>
      </c>
      <c r="W19" s="52" t="n">
        <v>0.19</v>
      </c>
      <c r="X19" s="52" t="n">
        <v>0.09</v>
      </c>
      <c r="Y19" s="52" t="n">
        <v>0.38</v>
      </c>
      <c r="Z19" s="52" t="n">
        <v>0.07</v>
      </c>
      <c r="AA19" s="52" t="n">
        <v>0.19</v>
      </c>
      <c r="AB19" s="52" t="n">
        <v>0.34</v>
      </c>
      <c r="AC19" s="52" t="n">
        <v>0.01</v>
      </c>
      <c r="AD19" s="52" t="n">
        <v>0.11</v>
      </c>
      <c r="AE19" s="52" t="n">
        <v>0.03</v>
      </c>
      <c r="AF19" s="52" t="n">
        <v>0.01</v>
      </c>
      <c r="AG19" s="52" t="n">
        <v>0.31</v>
      </c>
      <c r="AH19" s="52" t="n">
        <v>0.29</v>
      </c>
      <c r="AI19" s="52" t="n">
        <v>0.26</v>
      </c>
      <c r="AJ19" s="52" t="n">
        <v>-0.03</v>
      </c>
      <c r="AK19" s="52" t="n">
        <v>0.02</v>
      </c>
      <c r="AL19" s="52" t="n">
        <v>0.24</v>
      </c>
      <c r="AM19" s="52" t="n">
        <v>0.07</v>
      </c>
      <c r="AN19" s="52" t="n">
        <v>0.35</v>
      </c>
      <c r="AO19" s="52" t="n">
        <v>0.33</v>
      </c>
      <c r="AP19" s="52" t="n">
        <v>0.17</v>
      </c>
      <c r="AQ19" s="52" t="n">
        <v>0.27</v>
      </c>
      <c r="AR19" s="52" t="n">
        <v>0.1</v>
      </c>
      <c r="AS19" s="52" t="n">
        <v>0.04</v>
      </c>
      <c r="AT19" s="52" t="n">
        <v>0.11</v>
      </c>
      <c r="AU19" s="52" t="n">
        <v>0.66</v>
      </c>
      <c r="AV19" s="52" t="n">
        <v>0.18</v>
      </c>
      <c r="AW19" s="52" t="n">
        <v>0.12</v>
      </c>
      <c r="AX19" s="52" t="n">
        <v>0.32</v>
      </c>
      <c r="AY19" s="52" t="n">
        <v>0.31</v>
      </c>
      <c r="AZ19" s="52" t="n">
        <v>0.07</v>
      </c>
      <c r="BA19" s="52" t="n">
        <v>0.16</v>
      </c>
      <c r="BB19" s="52" t="n">
        <v>0</v>
      </c>
      <c r="BC19" s="52" t="n">
        <v>0.05</v>
      </c>
      <c r="BD19" s="52" t="n">
        <v>0.04</v>
      </c>
      <c r="BE19" s="52" t="n">
        <v>0.29</v>
      </c>
      <c r="BF19" s="52" t="n">
        <v>0.08</v>
      </c>
      <c r="BG19" s="52" t="n">
        <v>0.07</v>
      </c>
      <c r="BH19" s="52" t="n">
        <v>-0.03</v>
      </c>
      <c r="BI19" s="52" t="n">
        <v>-0.02</v>
      </c>
      <c r="BJ19" s="52" t="n">
        <v>-0.06</v>
      </c>
      <c r="BK19" s="52" t="n">
        <v>0.07</v>
      </c>
      <c r="BL19" s="52" t="n">
        <v>-0.02</v>
      </c>
      <c r="BM19" s="52" t="n">
        <v>0.41</v>
      </c>
      <c r="BN19" s="52" t="n">
        <v>0.25</v>
      </c>
      <c r="BO19" s="52" t="n">
        <v>0.15</v>
      </c>
      <c r="BP19" s="52" t="n">
        <v>0.06</v>
      </c>
      <c r="BQ19" s="52" t="n">
        <v>-0.01</v>
      </c>
      <c r="BR19" s="52" t="n">
        <v>0.15</v>
      </c>
      <c r="BS19" s="52" t="n">
        <v>0.17</v>
      </c>
      <c r="BT19" s="52" t="n">
        <v>0.02</v>
      </c>
      <c r="BU19" s="52" t="n">
        <v>0.04</v>
      </c>
      <c r="BV19" s="52" t="n">
        <v>0.11</v>
      </c>
      <c r="BW19" s="52" t="n">
        <v>0.17</v>
      </c>
      <c r="BX19" s="52" t="n">
        <v>0.23</v>
      </c>
      <c r="BY19" s="52" t="n">
        <v>0.13</v>
      </c>
      <c r="BZ19" s="52" t="n">
        <v>0.18</v>
      </c>
      <c r="CA19" s="52" t="n">
        <v>0.11</v>
      </c>
      <c r="CB19" s="52" t="n">
        <v>0.07</v>
      </c>
      <c r="CC19" s="52" t="n">
        <v>0.21</v>
      </c>
      <c r="CD19" s="52" t="n">
        <v>0.19</v>
      </c>
      <c r="CE19" s="52" t="n">
        <v>0.09</v>
      </c>
      <c r="CF19" s="52" t="n">
        <v>0.21</v>
      </c>
      <c r="CG19" s="52" t="n">
        <v>0.16</v>
      </c>
      <c r="CH19" s="52" t="n">
        <v>-0.03</v>
      </c>
      <c r="CI19" s="52" t="n">
        <v>0.22</v>
      </c>
      <c r="CJ19" s="52" t="n">
        <v>0.23</v>
      </c>
      <c r="CK19" s="52" t="n">
        <v>0.25</v>
      </c>
      <c r="CL19" s="52" t="n">
        <v>0.05</v>
      </c>
      <c r="CM19" s="52" t="n">
        <v>-0.14</v>
      </c>
      <c r="CN19" s="52" t="n">
        <v>0.05</v>
      </c>
      <c r="CO19" s="52" t="n">
        <v>0.03</v>
      </c>
      <c r="CP19" s="52" t="n">
        <v>0.08</v>
      </c>
      <c r="CQ19" s="52" t="n">
        <v>0.09</v>
      </c>
      <c r="CR19" s="52" t="n">
        <v>-0.05</v>
      </c>
      <c r="CS19" s="52" t="n">
        <v>0.04</v>
      </c>
      <c r="CT19" s="52" t="n">
        <v>0.08</v>
      </c>
      <c r="CU19" s="52" t="n">
        <v>0.05</v>
      </c>
      <c r="CV19" s="52" t="n">
        <v>-0.04</v>
      </c>
      <c r="CW19" s="52" t="n">
        <v>0.16</v>
      </c>
      <c r="CX19" s="52" t="n">
        <v>0.06</v>
      </c>
      <c r="CY19" s="52" t="n">
        <v>0.06</v>
      </c>
      <c r="CZ19" s="52" t="n">
        <v>0.13</v>
      </c>
      <c r="DA19" s="52" t="n">
        <v>0.11</v>
      </c>
      <c r="DB19" s="52" t="n">
        <v>-0.07</v>
      </c>
      <c r="DC19" s="52" t="n">
        <v>-0.1</v>
      </c>
      <c r="DD19" s="52" t="n">
        <v>0.08</v>
      </c>
      <c r="DE19" s="52" t="n">
        <v>-0.09</v>
      </c>
      <c r="DF19" s="52" t="n">
        <v>0.09</v>
      </c>
      <c r="DG19" s="52" t="n">
        <v>-0.06</v>
      </c>
      <c r="DH19" s="52" t="n">
        <v>-0.12</v>
      </c>
      <c r="DI19" s="52" t="n">
        <v>0.05</v>
      </c>
      <c r="DJ19" s="52" t="n">
        <v>0.08</v>
      </c>
      <c r="DK19" s="52" t="n">
        <v>0.05</v>
      </c>
      <c r="DL19" s="52" t="n">
        <v>-0.04</v>
      </c>
      <c r="DM19" s="52" t="n">
        <v>0.1</v>
      </c>
      <c r="DN19" s="52" t="n">
        <v>0.16</v>
      </c>
      <c r="DO19" s="52" t="n">
        <v>-0.04</v>
      </c>
      <c r="DP19" s="52" t="n">
        <v>0.04</v>
      </c>
      <c r="DQ19" s="52" t="n">
        <v>-0.04</v>
      </c>
      <c r="DR19" s="52" t="n">
        <v>-0.04</v>
      </c>
      <c r="DS19" s="52" t="n">
        <v>0.06</v>
      </c>
      <c r="DT19" s="52" t="n">
        <v>-0.17</v>
      </c>
      <c r="DU19" s="52" t="n">
        <v>-0.09</v>
      </c>
      <c r="DV19" s="52" t="n">
        <v>0.04</v>
      </c>
      <c r="DW19" s="52" t="n">
        <v>0.03</v>
      </c>
      <c r="DX19" s="52" t="n">
        <v>-0.09</v>
      </c>
      <c r="DY19" s="52" t="n">
        <v>0.02</v>
      </c>
      <c r="DZ19" s="52" t="n">
        <v>0.01</v>
      </c>
      <c r="EA19" s="52" t="n">
        <v>-0.07</v>
      </c>
      <c r="EB19" s="52" t="n">
        <v>0</v>
      </c>
      <c r="EC19" s="52" t="n">
        <v>-0.14</v>
      </c>
      <c r="ED19" s="52" t="n">
        <v>-0.04</v>
      </c>
      <c r="EE19" s="52" t="n">
        <v>-0.1</v>
      </c>
      <c r="EF19" s="52" t="n">
        <v>-0.07</v>
      </c>
      <c r="EG19" s="52" t="n">
        <v>-0.06</v>
      </c>
      <c r="EH19" s="52" t="n">
        <v>0.08</v>
      </c>
      <c r="EI19" s="52" t="n">
        <v>-0.2</v>
      </c>
      <c r="EJ19" s="52" t="n">
        <v>0.01</v>
      </c>
      <c r="EK19" s="52" t="n">
        <v>-0.04</v>
      </c>
      <c r="EL19" s="52" t="n">
        <v>-0.09</v>
      </c>
      <c r="EM19" s="52" t="n">
        <v>-0.17</v>
      </c>
      <c r="EN19" s="52" t="n">
        <v>0.02</v>
      </c>
      <c r="EO19" s="52" t="n">
        <v>0.02</v>
      </c>
    </row>
    <row r="20" customFormat="false" ht="15" hidden="false" customHeight="false" outlineLevel="0" collapsed="false">
      <c r="A20" s="51" t="s">
        <v>167</v>
      </c>
      <c r="B20" s="52" t="n">
        <v>0.03</v>
      </c>
      <c r="C20" s="52" t="n">
        <v>0</v>
      </c>
      <c r="D20" s="52" t="n">
        <v>0.02</v>
      </c>
      <c r="E20" s="52" t="n">
        <v>0.07</v>
      </c>
      <c r="F20" s="52" t="n">
        <v>-0.11</v>
      </c>
      <c r="G20" s="52" t="n">
        <v>0.05</v>
      </c>
      <c r="H20" s="52" t="n">
        <v>-0.02</v>
      </c>
      <c r="I20" s="52" t="n">
        <v>-0.03</v>
      </c>
      <c r="J20" s="52" t="n">
        <v>0.01</v>
      </c>
      <c r="K20" s="52" t="n">
        <v>-0.04</v>
      </c>
      <c r="L20" s="52" t="n">
        <v>0.09</v>
      </c>
      <c r="M20" s="52" t="n">
        <v>0</v>
      </c>
      <c r="N20" s="52" t="n">
        <v>-0.04</v>
      </c>
      <c r="O20" s="52" t="n">
        <v>0.1</v>
      </c>
      <c r="P20" s="52" t="n">
        <v>0.14</v>
      </c>
      <c r="Q20" s="52" t="n">
        <v>1</v>
      </c>
      <c r="R20" s="52" t="n">
        <v>-0.04</v>
      </c>
      <c r="S20" s="52" t="n">
        <v>0.1</v>
      </c>
      <c r="T20" s="52" t="n">
        <v>0.07</v>
      </c>
      <c r="U20" s="52" t="n">
        <v>-0.05</v>
      </c>
      <c r="V20" s="52" t="n">
        <v>-0.02</v>
      </c>
      <c r="W20" s="52" t="n">
        <v>0.02</v>
      </c>
      <c r="X20" s="52" t="n">
        <v>0.03</v>
      </c>
      <c r="Y20" s="52" t="n">
        <v>0.05</v>
      </c>
      <c r="Z20" s="52" t="n">
        <v>0.12</v>
      </c>
      <c r="AA20" s="52" t="n">
        <v>0</v>
      </c>
      <c r="AB20" s="52" t="n">
        <v>0</v>
      </c>
      <c r="AC20" s="52" t="n">
        <v>0.01</v>
      </c>
      <c r="AD20" s="52" t="n">
        <v>0.03</v>
      </c>
      <c r="AE20" s="52" t="n">
        <v>0.07</v>
      </c>
      <c r="AF20" s="52" t="n">
        <v>0.05</v>
      </c>
      <c r="AG20" s="52" t="n">
        <v>0.01</v>
      </c>
      <c r="AH20" s="52" t="n">
        <v>0.01</v>
      </c>
      <c r="AI20" s="52" t="n">
        <v>0</v>
      </c>
      <c r="AJ20" s="52" t="n">
        <v>0.02</v>
      </c>
      <c r="AK20" s="52" t="n">
        <v>-0.02</v>
      </c>
      <c r="AL20" s="52" t="n">
        <v>0.1</v>
      </c>
      <c r="AM20" s="52" t="n">
        <v>0.06</v>
      </c>
      <c r="AN20" s="52" t="n">
        <v>0.08</v>
      </c>
      <c r="AO20" s="52" t="n">
        <v>0</v>
      </c>
      <c r="AP20" s="52" t="n">
        <v>0.09</v>
      </c>
      <c r="AQ20" s="52" t="n">
        <v>-0.05</v>
      </c>
      <c r="AR20" s="52" t="n">
        <v>0.03</v>
      </c>
      <c r="AS20" s="52" t="n">
        <v>0.02</v>
      </c>
      <c r="AT20" s="52" t="n">
        <v>-0.07</v>
      </c>
      <c r="AU20" s="52" t="n">
        <v>0.01</v>
      </c>
      <c r="AV20" s="52" t="n">
        <v>0.05</v>
      </c>
      <c r="AW20" s="52" t="n">
        <v>0.13</v>
      </c>
      <c r="AX20" s="52" t="n">
        <v>-0.01</v>
      </c>
      <c r="AY20" s="52" t="n">
        <v>-0.07</v>
      </c>
      <c r="AZ20" s="52" t="n">
        <v>0.1</v>
      </c>
      <c r="BA20" s="52" t="n">
        <v>0.03</v>
      </c>
      <c r="BB20" s="52" t="n">
        <v>0.05</v>
      </c>
      <c r="BC20" s="52" t="n">
        <v>-0.09</v>
      </c>
      <c r="BD20" s="52" t="n">
        <v>0.05</v>
      </c>
      <c r="BE20" s="52" t="n">
        <v>-0.08</v>
      </c>
      <c r="BF20" s="52" t="n">
        <v>0.07</v>
      </c>
      <c r="BG20" s="52" t="n">
        <v>0.03</v>
      </c>
      <c r="BH20" s="52" t="n">
        <v>-0.05</v>
      </c>
      <c r="BI20" s="52" t="n">
        <v>0.07</v>
      </c>
      <c r="BJ20" s="52" t="n">
        <v>-0.01</v>
      </c>
      <c r="BK20" s="52" t="n">
        <v>0.17</v>
      </c>
      <c r="BL20" s="52" t="n">
        <v>0.04</v>
      </c>
      <c r="BM20" s="52" t="n">
        <v>0.01</v>
      </c>
      <c r="BN20" s="52" t="n">
        <v>0.03</v>
      </c>
      <c r="BO20" s="52" t="n">
        <v>0.07</v>
      </c>
      <c r="BP20" s="52" t="n">
        <v>-0.02</v>
      </c>
      <c r="BQ20" s="52" t="n">
        <v>0.11</v>
      </c>
      <c r="BR20" s="52" t="n">
        <v>0.05</v>
      </c>
      <c r="BS20" s="52" t="n">
        <v>-0.05</v>
      </c>
      <c r="BT20" s="52" t="n">
        <v>0.02</v>
      </c>
      <c r="BU20" s="52" t="n">
        <v>-0.02</v>
      </c>
      <c r="BV20" s="52" t="n">
        <v>0.02</v>
      </c>
      <c r="BW20" s="52" t="n">
        <v>0.04</v>
      </c>
      <c r="BX20" s="52" t="n">
        <v>0.08</v>
      </c>
      <c r="BY20" s="52" t="n">
        <v>-0.07</v>
      </c>
      <c r="BZ20" s="52" t="n">
        <v>0.03</v>
      </c>
      <c r="CA20" s="52" t="n">
        <v>-0.06</v>
      </c>
      <c r="CB20" s="52" t="n">
        <v>-0.02</v>
      </c>
      <c r="CC20" s="52" t="n">
        <v>0.06</v>
      </c>
      <c r="CD20" s="52" t="n">
        <v>0.04</v>
      </c>
      <c r="CE20" s="52" t="n">
        <v>0.02</v>
      </c>
      <c r="CF20" s="52" t="n">
        <v>-0.06</v>
      </c>
      <c r="CG20" s="52" t="n">
        <v>0.01</v>
      </c>
      <c r="CH20" s="52" t="n">
        <v>0.11</v>
      </c>
      <c r="CI20" s="52" t="n">
        <v>-0.05</v>
      </c>
      <c r="CJ20" s="52" t="n">
        <v>0.03</v>
      </c>
      <c r="CK20" s="52" t="n">
        <v>0</v>
      </c>
      <c r="CL20" s="52" t="n">
        <v>-0.01</v>
      </c>
      <c r="CM20" s="52" t="n">
        <v>0.07</v>
      </c>
      <c r="CN20" s="52" t="n">
        <v>0.08</v>
      </c>
      <c r="CO20" s="52" t="n">
        <v>-0.05</v>
      </c>
      <c r="CP20" s="52" t="n">
        <v>0.11</v>
      </c>
      <c r="CQ20" s="52" t="n">
        <v>0.02</v>
      </c>
      <c r="CR20" s="52" t="n">
        <v>0.09</v>
      </c>
      <c r="CS20" s="52" t="n">
        <v>0.09</v>
      </c>
      <c r="CT20" s="52" t="n">
        <v>0.1</v>
      </c>
      <c r="CU20" s="52" t="n">
        <v>0.1</v>
      </c>
      <c r="CV20" s="52" t="n">
        <v>-0.1</v>
      </c>
      <c r="CW20" s="52" t="n">
        <v>0.19</v>
      </c>
      <c r="CX20" s="52" t="n">
        <v>0.11</v>
      </c>
      <c r="CY20" s="52" t="n">
        <v>0.01</v>
      </c>
      <c r="CZ20" s="52" t="n">
        <v>0</v>
      </c>
      <c r="DA20" s="52" t="n">
        <v>0</v>
      </c>
      <c r="DB20" s="52" t="n">
        <v>0.07</v>
      </c>
      <c r="DC20" s="52" t="n">
        <v>0.09</v>
      </c>
      <c r="DD20" s="52" t="n">
        <v>0.06</v>
      </c>
      <c r="DE20" s="52" t="n">
        <v>0.06</v>
      </c>
      <c r="DF20" s="52" t="n">
        <v>-0.06</v>
      </c>
      <c r="DG20" s="52" t="n">
        <v>0.07</v>
      </c>
      <c r="DH20" s="52" t="n">
        <v>0.12</v>
      </c>
      <c r="DI20" s="52" t="n">
        <v>0.07</v>
      </c>
      <c r="DJ20" s="52" t="n">
        <v>-0.01</v>
      </c>
      <c r="DK20" s="52" t="n">
        <v>0.04</v>
      </c>
      <c r="DL20" s="52" t="n">
        <v>0.04</v>
      </c>
      <c r="DM20" s="52" t="n">
        <v>-0.01</v>
      </c>
      <c r="DN20" s="52" t="n">
        <v>-0.11</v>
      </c>
      <c r="DO20" s="52" t="n">
        <v>0.09</v>
      </c>
      <c r="DP20" s="52" t="n">
        <v>-0.02</v>
      </c>
      <c r="DQ20" s="52" t="n">
        <v>0.04</v>
      </c>
      <c r="DR20" s="52" t="n">
        <v>0.15</v>
      </c>
      <c r="DS20" s="52" t="n">
        <v>0.01</v>
      </c>
      <c r="DT20" s="52" t="n">
        <v>-0.1</v>
      </c>
      <c r="DU20" s="52" t="n">
        <v>0</v>
      </c>
      <c r="DV20" s="52" t="n">
        <v>-0.02</v>
      </c>
      <c r="DW20" s="52" t="n">
        <v>-0.04</v>
      </c>
      <c r="DX20" s="52" t="n">
        <v>0.04</v>
      </c>
      <c r="DY20" s="52" t="n">
        <v>0.04</v>
      </c>
      <c r="DZ20" s="52" t="n">
        <v>0.05</v>
      </c>
      <c r="EA20" s="52" t="n">
        <v>0.05</v>
      </c>
      <c r="EB20" s="52" t="n">
        <v>0.04</v>
      </c>
      <c r="EC20" s="52" t="n">
        <v>0.05</v>
      </c>
      <c r="ED20" s="52" t="n">
        <v>-0.09</v>
      </c>
      <c r="EE20" s="52" t="n">
        <v>0.06</v>
      </c>
      <c r="EF20" s="52" t="n">
        <v>0.07</v>
      </c>
      <c r="EG20" s="52" t="n">
        <v>0.1</v>
      </c>
      <c r="EH20" s="52" t="n">
        <v>0.02</v>
      </c>
      <c r="EI20" s="52" t="n">
        <v>0.01</v>
      </c>
      <c r="EJ20" s="52" t="n">
        <v>-0.02</v>
      </c>
      <c r="EK20" s="52" t="n">
        <v>0.01</v>
      </c>
      <c r="EL20" s="52" t="n">
        <v>0.03</v>
      </c>
      <c r="EM20" s="52" t="n">
        <v>0</v>
      </c>
      <c r="EN20" s="52" t="n">
        <v>-0.07</v>
      </c>
      <c r="EO20" s="52" t="n">
        <v>0.02</v>
      </c>
    </row>
    <row r="21" customFormat="false" ht="15" hidden="false" customHeight="false" outlineLevel="0" collapsed="false">
      <c r="A21" s="51" t="s">
        <v>168</v>
      </c>
      <c r="B21" s="52" t="n">
        <v>0.37</v>
      </c>
      <c r="C21" s="52" t="n">
        <v>0.03</v>
      </c>
      <c r="D21" s="52" t="n">
        <v>-0.16</v>
      </c>
      <c r="E21" s="52" t="n">
        <v>0.09</v>
      </c>
      <c r="F21" s="52" t="n">
        <v>0.65</v>
      </c>
      <c r="G21" s="52" t="n">
        <v>-0.03</v>
      </c>
      <c r="H21" s="52" t="n">
        <v>0.05</v>
      </c>
      <c r="I21" s="52" t="n">
        <v>0.54</v>
      </c>
      <c r="J21" s="52" t="n">
        <v>0.49</v>
      </c>
      <c r="K21" s="52" t="n">
        <v>0.59</v>
      </c>
      <c r="L21" s="52" t="n">
        <v>0.1</v>
      </c>
      <c r="M21" s="52" t="n">
        <v>0.3</v>
      </c>
      <c r="N21" s="52" t="n">
        <v>0.32</v>
      </c>
      <c r="O21" s="52" t="n">
        <v>0.12</v>
      </c>
      <c r="P21" s="52" t="n">
        <v>0.48</v>
      </c>
      <c r="Q21" s="52" t="n">
        <v>-0.04</v>
      </c>
      <c r="R21" s="52" t="n">
        <v>1</v>
      </c>
      <c r="S21" s="52" t="n">
        <v>0.1</v>
      </c>
      <c r="T21" s="52" t="n">
        <v>0.13</v>
      </c>
      <c r="U21" s="52" t="n">
        <v>0.07</v>
      </c>
      <c r="V21" s="52" t="n">
        <v>0.09</v>
      </c>
      <c r="W21" s="52" t="n">
        <v>0.17</v>
      </c>
      <c r="X21" s="52" t="n">
        <v>0.12</v>
      </c>
      <c r="Y21" s="52" t="n">
        <v>0.22</v>
      </c>
      <c r="Z21" s="52" t="n">
        <v>0.14</v>
      </c>
      <c r="AA21" s="52" t="n">
        <v>0.23</v>
      </c>
      <c r="AB21" s="52" t="n">
        <v>0.21</v>
      </c>
      <c r="AC21" s="52" t="n">
        <v>0.04</v>
      </c>
      <c r="AD21" s="52" t="n">
        <v>0.07</v>
      </c>
      <c r="AE21" s="52" t="n">
        <v>0.02</v>
      </c>
      <c r="AF21" s="52" t="n">
        <v>-0.03</v>
      </c>
      <c r="AG21" s="52" t="n">
        <v>0.38</v>
      </c>
      <c r="AH21" s="52" t="n">
        <v>0.44</v>
      </c>
      <c r="AI21" s="52" t="n">
        <v>0.26</v>
      </c>
      <c r="AJ21" s="52" t="n">
        <v>-0.12</v>
      </c>
      <c r="AK21" s="52" t="n">
        <v>0.07</v>
      </c>
      <c r="AL21" s="52" t="n">
        <v>0.3</v>
      </c>
      <c r="AM21" s="52" t="n">
        <v>0.1</v>
      </c>
      <c r="AN21" s="52" t="n">
        <v>0.42</v>
      </c>
      <c r="AO21" s="52" t="n">
        <v>0.29</v>
      </c>
      <c r="AP21" s="52" t="n">
        <v>0.35</v>
      </c>
      <c r="AQ21" s="52" t="n">
        <v>0.24</v>
      </c>
      <c r="AR21" s="52" t="n">
        <v>0.15</v>
      </c>
      <c r="AS21" s="52" t="n">
        <v>0.02</v>
      </c>
      <c r="AT21" s="52" t="n">
        <v>0.11</v>
      </c>
      <c r="AU21" s="52" t="n">
        <v>0.44</v>
      </c>
      <c r="AV21" s="52" t="n">
        <v>0.15</v>
      </c>
      <c r="AW21" s="52" t="n">
        <v>0.04</v>
      </c>
      <c r="AX21" s="52" t="n">
        <v>0.38</v>
      </c>
      <c r="AY21" s="52" t="n">
        <v>0.31</v>
      </c>
      <c r="AZ21" s="52" t="n">
        <v>0.01</v>
      </c>
      <c r="BA21" s="52" t="n">
        <v>0.29</v>
      </c>
      <c r="BB21" s="52" t="n">
        <v>-0.01</v>
      </c>
      <c r="BC21" s="52" t="n">
        <v>0.05</v>
      </c>
      <c r="BD21" s="52" t="n">
        <v>0.05</v>
      </c>
      <c r="BE21" s="52" t="n">
        <v>0.37</v>
      </c>
      <c r="BF21" s="52" t="n">
        <v>0.07</v>
      </c>
      <c r="BG21" s="52" t="n">
        <v>0.14</v>
      </c>
      <c r="BH21" s="52" t="n">
        <v>0.07</v>
      </c>
      <c r="BI21" s="52" t="n">
        <v>0.06</v>
      </c>
      <c r="BJ21" s="52" t="n">
        <v>-0.1</v>
      </c>
      <c r="BK21" s="52" t="n">
        <v>0.03</v>
      </c>
      <c r="BL21" s="52" t="n">
        <v>0.13</v>
      </c>
      <c r="BM21" s="52" t="n">
        <v>0.42</v>
      </c>
      <c r="BN21" s="52" t="n">
        <v>0.17</v>
      </c>
      <c r="BO21" s="52" t="n">
        <v>0.12</v>
      </c>
      <c r="BP21" s="52" t="n">
        <v>0.01</v>
      </c>
      <c r="BQ21" s="52" t="n">
        <v>0.01</v>
      </c>
      <c r="BR21" s="52" t="n">
        <v>0.21</v>
      </c>
      <c r="BS21" s="52" t="n">
        <v>0.14</v>
      </c>
      <c r="BT21" s="52" t="n">
        <v>0.09</v>
      </c>
      <c r="BU21" s="52" t="n">
        <v>0.01</v>
      </c>
      <c r="BV21" s="52" t="n">
        <v>0.04</v>
      </c>
      <c r="BW21" s="52" t="n">
        <v>0.23</v>
      </c>
      <c r="BX21" s="52" t="n">
        <v>0.22</v>
      </c>
      <c r="BY21" s="52" t="n">
        <v>0.24</v>
      </c>
      <c r="BZ21" s="52" t="n">
        <v>0.15</v>
      </c>
      <c r="CA21" s="52" t="n">
        <v>0.02</v>
      </c>
      <c r="CB21" s="52" t="n">
        <v>0.07</v>
      </c>
      <c r="CC21" s="52" t="n">
        <v>0.04</v>
      </c>
      <c r="CD21" s="52" t="n">
        <v>0.15</v>
      </c>
      <c r="CE21" s="52" t="n">
        <v>0.01</v>
      </c>
      <c r="CF21" s="52" t="n">
        <v>0.19</v>
      </c>
      <c r="CG21" s="52" t="n">
        <v>0.14</v>
      </c>
      <c r="CH21" s="52" t="n">
        <v>0.03</v>
      </c>
      <c r="CI21" s="52" t="n">
        <v>0.18</v>
      </c>
      <c r="CJ21" s="52" t="n">
        <v>0.3</v>
      </c>
      <c r="CK21" s="52" t="n">
        <v>0.34</v>
      </c>
      <c r="CL21" s="52" t="n">
        <v>0.11</v>
      </c>
      <c r="CM21" s="52" t="n">
        <v>-0.18</v>
      </c>
      <c r="CN21" s="52" t="n">
        <v>-0.1</v>
      </c>
      <c r="CO21" s="52" t="n">
        <v>0.05</v>
      </c>
      <c r="CP21" s="52" t="n">
        <v>0.16</v>
      </c>
      <c r="CQ21" s="52" t="n">
        <v>0.12</v>
      </c>
      <c r="CR21" s="52" t="n">
        <v>-0.11</v>
      </c>
      <c r="CS21" s="52" t="n">
        <v>-0.04</v>
      </c>
      <c r="CT21" s="52" t="n">
        <v>0.01</v>
      </c>
      <c r="CU21" s="52" t="n">
        <v>0.05</v>
      </c>
      <c r="CV21" s="52" t="n">
        <v>0.02</v>
      </c>
      <c r="CW21" s="52" t="n">
        <v>0.13</v>
      </c>
      <c r="CX21" s="52" t="n">
        <v>0.05</v>
      </c>
      <c r="CY21" s="52" t="n">
        <v>0.13</v>
      </c>
      <c r="CZ21" s="52" t="n">
        <v>0.11</v>
      </c>
      <c r="DA21" s="52" t="n">
        <v>0.03</v>
      </c>
      <c r="DB21" s="52" t="n">
        <v>-0.04</v>
      </c>
      <c r="DC21" s="52" t="n">
        <v>-0.03</v>
      </c>
      <c r="DD21" s="52" t="n">
        <v>0.06</v>
      </c>
      <c r="DE21" s="52" t="n">
        <v>-0.06</v>
      </c>
      <c r="DF21" s="52" t="n">
        <v>0.06</v>
      </c>
      <c r="DG21" s="52" t="n">
        <v>0.02</v>
      </c>
      <c r="DH21" s="52" t="n">
        <v>-0.14</v>
      </c>
      <c r="DI21" s="52" t="n">
        <v>0.12</v>
      </c>
      <c r="DJ21" s="52" t="n">
        <v>0.15</v>
      </c>
      <c r="DK21" s="52" t="n">
        <v>0.1</v>
      </c>
      <c r="DL21" s="52" t="n">
        <v>-0.05</v>
      </c>
      <c r="DM21" s="52" t="n">
        <v>0.18</v>
      </c>
      <c r="DN21" s="52" t="n">
        <v>0.16</v>
      </c>
      <c r="DO21" s="52" t="n">
        <v>0.03</v>
      </c>
      <c r="DP21" s="52" t="n">
        <v>0.12</v>
      </c>
      <c r="DQ21" s="52" t="n">
        <v>0.03</v>
      </c>
      <c r="DR21" s="52" t="n">
        <v>-0.06</v>
      </c>
      <c r="DS21" s="52" t="n">
        <v>0.05</v>
      </c>
      <c r="DT21" s="52" t="n">
        <v>-0.14</v>
      </c>
      <c r="DU21" s="52" t="n">
        <v>-0.07</v>
      </c>
      <c r="DV21" s="52" t="n">
        <v>0.01</v>
      </c>
      <c r="DW21" s="52" t="n">
        <v>0.02</v>
      </c>
      <c r="DX21" s="52" t="n">
        <v>-0.23</v>
      </c>
      <c r="DY21" s="52" t="n">
        <v>0.01</v>
      </c>
      <c r="DZ21" s="52" t="n">
        <v>-0.05</v>
      </c>
      <c r="EA21" s="52" t="n">
        <v>0.01</v>
      </c>
      <c r="EB21" s="52" t="n">
        <v>-0.02</v>
      </c>
      <c r="EC21" s="52" t="n">
        <v>-0.12</v>
      </c>
      <c r="ED21" s="52" t="n">
        <v>-0.01</v>
      </c>
      <c r="EE21" s="52" t="n">
        <v>-0.14</v>
      </c>
      <c r="EF21" s="52" t="n">
        <v>0.07</v>
      </c>
      <c r="EG21" s="52" t="n">
        <v>-0.11</v>
      </c>
      <c r="EH21" s="52" t="n">
        <v>0.02</v>
      </c>
      <c r="EI21" s="52" t="n">
        <v>-0.27</v>
      </c>
      <c r="EJ21" s="52" t="n">
        <v>0.06</v>
      </c>
      <c r="EK21" s="52" t="n">
        <v>-0.02</v>
      </c>
      <c r="EL21" s="52" t="n">
        <v>-0.14</v>
      </c>
      <c r="EM21" s="52" t="n">
        <v>-0.07</v>
      </c>
      <c r="EN21" s="52" t="n">
        <v>0.1</v>
      </c>
      <c r="EO21" s="52" t="n">
        <v>0.03</v>
      </c>
    </row>
    <row r="22" customFormat="false" ht="15" hidden="false" customHeight="false" outlineLevel="0" collapsed="false">
      <c r="A22" s="51" t="s">
        <v>169</v>
      </c>
      <c r="B22" s="52" t="n">
        <v>0</v>
      </c>
      <c r="C22" s="52" t="n">
        <v>0.06</v>
      </c>
      <c r="D22" s="52" t="n">
        <v>0.11</v>
      </c>
      <c r="E22" s="52" t="n">
        <v>0.24</v>
      </c>
      <c r="F22" s="52" t="n">
        <v>0.1</v>
      </c>
      <c r="G22" s="52" t="n">
        <v>-0.05</v>
      </c>
      <c r="H22" s="52" t="n">
        <v>0.25</v>
      </c>
      <c r="I22" s="52" t="n">
        <v>0.1</v>
      </c>
      <c r="J22" s="52" t="n">
        <v>0.14</v>
      </c>
      <c r="K22" s="52" t="n">
        <v>0.18</v>
      </c>
      <c r="L22" s="52" t="n">
        <v>0.35</v>
      </c>
      <c r="M22" s="52" t="n">
        <v>0.12</v>
      </c>
      <c r="N22" s="52" t="n">
        <v>0.11</v>
      </c>
      <c r="O22" s="52" t="n">
        <v>0.25</v>
      </c>
      <c r="P22" s="52" t="n">
        <v>0.1</v>
      </c>
      <c r="Q22" s="52" t="n">
        <v>0.1</v>
      </c>
      <c r="R22" s="52" t="n">
        <v>0.1</v>
      </c>
      <c r="S22" s="52" t="n">
        <v>1</v>
      </c>
      <c r="T22" s="52" t="n">
        <v>-0.02</v>
      </c>
      <c r="U22" s="52" t="n">
        <v>0.35</v>
      </c>
      <c r="V22" s="52" t="n">
        <v>0.23</v>
      </c>
      <c r="W22" s="52" t="n">
        <v>0.22</v>
      </c>
      <c r="X22" s="52" t="n">
        <v>0.01</v>
      </c>
      <c r="Y22" s="52" t="n">
        <v>0.15</v>
      </c>
      <c r="Z22" s="52" t="n">
        <v>0.27</v>
      </c>
      <c r="AA22" s="52" t="n">
        <v>0.22</v>
      </c>
      <c r="AB22" s="52" t="n">
        <v>0.08</v>
      </c>
      <c r="AC22" s="52" t="n">
        <v>0.11</v>
      </c>
      <c r="AD22" s="52" t="n">
        <v>0.28</v>
      </c>
      <c r="AE22" s="52" t="n">
        <v>0.23</v>
      </c>
      <c r="AF22" s="52" t="n">
        <v>0.3</v>
      </c>
      <c r="AG22" s="52" t="n">
        <v>0.11</v>
      </c>
      <c r="AH22" s="52" t="n">
        <v>0.08</v>
      </c>
      <c r="AI22" s="52" t="n">
        <v>-0.1</v>
      </c>
      <c r="AJ22" s="52" t="n">
        <v>0.17</v>
      </c>
      <c r="AK22" s="52" t="n">
        <v>0.21</v>
      </c>
      <c r="AL22" s="52" t="n">
        <v>0.03</v>
      </c>
      <c r="AM22" s="52" t="n">
        <v>0.15</v>
      </c>
      <c r="AN22" s="52" t="n">
        <v>0.18</v>
      </c>
      <c r="AO22" s="52" t="n">
        <v>0.1</v>
      </c>
      <c r="AP22" s="52" t="n">
        <v>0.1</v>
      </c>
      <c r="AQ22" s="52" t="n">
        <v>-0.14</v>
      </c>
      <c r="AR22" s="52" t="n">
        <v>0.01</v>
      </c>
      <c r="AS22" s="52" t="n">
        <v>0.21</v>
      </c>
      <c r="AT22" s="52" t="n">
        <v>0.02</v>
      </c>
      <c r="AU22" s="52" t="n">
        <v>0.08</v>
      </c>
      <c r="AV22" s="52" t="n">
        <v>0.29</v>
      </c>
      <c r="AW22" s="52" t="n">
        <v>0.32</v>
      </c>
      <c r="AX22" s="52" t="n">
        <v>0.16</v>
      </c>
      <c r="AY22" s="52" t="n">
        <v>0.04</v>
      </c>
      <c r="AZ22" s="52" t="n">
        <v>0.28</v>
      </c>
      <c r="BA22" s="52" t="n">
        <v>0.12</v>
      </c>
      <c r="BB22" s="52" t="n">
        <v>-0.03</v>
      </c>
      <c r="BC22" s="52" t="n">
        <v>0.19</v>
      </c>
      <c r="BD22" s="52" t="n">
        <v>0.33</v>
      </c>
      <c r="BE22" s="52" t="n">
        <v>0.16</v>
      </c>
      <c r="BF22" s="52" t="n">
        <v>0.22</v>
      </c>
      <c r="BG22" s="52" t="n">
        <v>0.07</v>
      </c>
      <c r="BH22" s="52" t="n">
        <v>0.24</v>
      </c>
      <c r="BI22" s="52" t="n">
        <v>0.18</v>
      </c>
      <c r="BJ22" s="52" t="n">
        <v>0.1</v>
      </c>
      <c r="BK22" s="52" t="n">
        <v>0.22</v>
      </c>
      <c r="BL22" s="52" t="n">
        <v>0.07</v>
      </c>
      <c r="BM22" s="52" t="n">
        <v>0.11</v>
      </c>
      <c r="BN22" s="52" t="n">
        <v>0.11</v>
      </c>
      <c r="BO22" s="52" t="n">
        <v>0.13</v>
      </c>
      <c r="BP22" s="52" t="n">
        <v>0.1</v>
      </c>
      <c r="BQ22" s="52" t="n">
        <v>0.3</v>
      </c>
      <c r="BR22" s="52" t="n">
        <v>0.09</v>
      </c>
      <c r="BS22" s="52" t="n">
        <v>-0.13</v>
      </c>
      <c r="BT22" s="52" t="n">
        <v>0.17</v>
      </c>
      <c r="BU22" s="52" t="n">
        <v>0.2</v>
      </c>
      <c r="BV22" s="52" t="n">
        <v>0.07</v>
      </c>
      <c r="BW22" s="52" t="n">
        <v>0.1</v>
      </c>
      <c r="BX22" s="52" t="n">
        <v>0.17</v>
      </c>
      <c r="BY22" s="52" t="n">
        <v>-0.01</v>
      </c>
      <c r="BZ22" s="52" t="n">
        <v>0.11</v>
      </c>
      <c r="CA22" s="52" t="n">
        <v>0.23</v>
      </c>
      <c r="CB22" s="52" t="n">
        <v>-0.09</v>
      </c>
      <c r="CC22" s="52" t="n">
        <v>0.11</v>
      </c>
      <c r="CD22" s="52" t="n">
        <v>0.11</v>
      </c>
      <c r="CE22" s="52" t="n">
        <v>-0.03</v>
      </c>
      <c r="CF22" s="52" t="n">
        <v>-0.1</v>
      </c>
      <c r="CG22" s="52" t="n">
        <v>0.14</v>
      </c>
      <c r="CH22" s="52" t="n">
        <v>0.15</v>
      </c>
      <c r="CI22" s="52" t="n">
        <v>-0.16</v>
      </c>
      <c r="CJ22" s="52" t="n">
        <v>0.08</v>
      </c>
      <c r="CK22" s="52" t="n">
        <v>0.09</v>
      </c>
      <c r="CL22" s="52" t="n">
        <v>-0.04</v>
      </c>
      <c r="CM22" s="52" t="n">
        <v>-0.01</v>
      </c>
      <c r="CN22" s="52" t="n">
        <v>0.06</v>
      </c>
      <c r="CO22" s="52" t="n">
        <v>0.14</v>
      </c>
      <c r="CP22" s="52" t="n">
        <v>-0.01</v>
      </c>
      <c r="CQ22" s="52" t="n">
        <v>0.08</v>
      </c>
      <c r="CR22" s="52" t="n">
        <v>0.01</v>
      </c>
      <c r="CS22" s="52" t="n">
        <v>0.03</v>
      </c>
      <c r="CT22" s="52" t="n">
        <v>0.05</v>
      </c>
      <c r="CU22" s="52" t="n">
        <v>0.05</v>
      </c>
      <c r="CV22" s="52" t="n">
        <v>0.05</v>
      </c>
      <c r="CW22" s="52" t="n">
        <v>0.15</v>
      </c>
      <c r="CX22" s="52" t="n">
        <v>0.12</v>
      </c>
      <c r="CY22" s="52" t="n">
        <v>0.04</v>
      </c>
      <c r="CZ22" s="52" t="n">
        <v>0.11</v>
      </c>
      <c r="DA22" s="52" t="n">
        <v>0.1</v>
      </c>
      <c r="DB22" s="52" t="n">
        <v>0.03</v>
      </c>
      <c r="DC22" s="52" t="n">
        <v>0.09</v>
      </c>
      <c r="DD22" s="52" t="n">
        <v>0.13</v>
      </c>
      <c r="DE22" s="52" t="n">
        <v>-0.04</v>
      </c>
      <c r="DF22" s="52" t="n">
        <v>-0.04</v>
      </c>
      <c r="DG22" s="52" t="n">
        <v>0.14</v>
      </c>
      <c r="DH22" s="52" t="n">
        <v>-0.01</v>
      </c>
      <c r="DI22" s="52" t="n">
        <v>0.11</v>
      </c>
      <c r="DJ22" s="52" t="n">
        <v>0.06</v>
      </c>
      <c r="DK22" s="52" t="n">
        <v>0.11</v>
      </c>
      <c r="DL22" s="52" t="n">
        <v>0.17</v>
      </c>
      <c r="DM22" s="52" t="n">
        <v>0.09</v>
      </c>
      <c r="DN22" s="52" t="n">
        <v>-0.01</v>
      </c>
      <c r="DO22" s="52" t="n">
        <v>0.09</v>
      </c>
      <c r="DP22" s="52" t="n">
        <v>0.05</v>
      </c>
      <c r="DQ22" s="52" t="n">
        <v>0.09</v>
      </c>
      <c r="DR22" s="52" t="n">
        <v>-0.08</v>
      </c>
      <c r="DS22" s="52" t="n">
        <v>0.02</v>
      </c>
      <c r="DT22" s="52" t="n">
        <v>-0.02</v>
      </c>
      <c r="DU22" s="52" t="n">
        <v>0.06</v>
      </c>
      <c r="DV22" s="52" t="n">
        <v>0.01</v>
      </c>
      <c r="DW22" s="52" t="n">
        <v>0.06</v>
      </c>
      <c r="DX22" s="52" t="n">
        <v>-0.07</v>
      </c>
      <c r="DY22" s="52" t="n">
        <v>0.04</v>
      </c>
      <c r="DZ22" s="52" t="n">
        <v>0.06</v>
      </c>
      <c r="EA22" s="52" t="n">
        <v>0.06</v>
      </c>
      <c r="EB22" s="52" t="n">
        <v>0</v>
      </c>
      <c r="EC22" s="52" t="n">
        <v>0.09</v>
      </c>
      <c r="ED22" s="52" t="n">
        <v>0.05</v>
      </c>
      <c r="EE22" s="52" t="n">
        <v>0.04</v>
      </c>
      <c r="EF22" s="52" t="n">
        <v>0.01</v>
      </c>
      <c r="EG22" s="52" t="n">
        <v>0.1</v>
      </c>
      <c r="EH22" s="52" t="n">
        <v>-0.08</v>
      </c>
      <c r="EI22" s="52" t="n">
        <v>0</v>
      </c>
      <c r="EJ22" s="52" t="n">
        <v>0.07</v>
      </c>
      <c r="EK22" s="52" t="n">
        <v>-0.05</v>
      </c>
      <c r="EL22" s="52" t="n">
        <v>0.01</v>
      </c>
      <c r="EM22" s="52" t="n">
        <v>0.03</v>
      </c>
      <c r="EN22" s="52" t="n">
        <v>0.07</v>
      </c>
      <c r="EO22" s="52" t="n">
        <v>-0.06</v>
      </c>
    </row>
    <row r="23" customFormat="false" ht="15" hidden="false" customHeight="false" outlineLevel="0" collapsed="false">
      <c r="A23" s="51" t="s">
        <v>170</v>
      </c>
      <c r="B23" s="52" t="n">
        <v>0.25</v>
      </c>
      <c r="C23" s="52" t="n">
        <v>-0.01</v>
      </c>
      <c r="D23" s="52" t="n">
        <v>0.06</v>
      </c>
      <c r="E23" s="52" t="n">
        <v>0.13</v>
      </c>
      <c r="F23" s="52" t="n">
        <v>0.05</v>
      </c>
      <c r="G23" s="52" t="n">
        <v>0.01</v>
      </c>
      <c r="H23" s="52" t="n">
        <v>0.03</v>
      </c>
      <c r="I23" s="52" t="n">
        <v>0.15</v>
      </c>
      <c r="J23" s="52" t="n">
        <v>0.13</v>
      </c>
      <c r="K23" s="52" t="n">
        <v>0.13</v>
      </c>
      <c r="L23" s="52" t="n">
        <v>0.03</v>
      </c>
      <c r="M23" s="52" t="n">
        <v>0.36</v>
      </c>
      <c r="N23" s="52" t="n">
        <v>0.23</v>
      </c>
      <c r="O23" s="52" t="n">
        <v>0.06</v>
      </c>
      <c r="P23" s="52" t="n">
        <v>0.1</v>
      </c>
      <c r="Q23" s="52" t="n">
        <v>0.07</v>
      </c>
      <c r="R23" s="52" t="n">
        <v>0.13</v>
      </c>
      <c r="S23" s="52" t="n">
        <v>-0.02</v>
      </c>
      <c r="T23" s="52" t="n">
        <v>1</v>
      </c>
      <c r="U23" s="52" t="n">
        <v>0.15</v>
      </c>
      <c r="V23" s="52" t="n">
        <v>0.02</v>
      </c>
      <c r="W23" s="52" t="n">
        <v>0.09</v>
      </c>
      <c r="X23" s="52" t="n">
        <v>0.79</v>
      </c>
      <c r="Y23" s="52" t="n">
        <v>0.37</v>
      </c>
      <c r="Z23" s="52" t="n">
        <v>0.07</v>
      </c>
      <c r="AA23" s="52" t="n">
        <v>0.13</v>
      </c>
      <c r="AB23" s="52" t="n">
        <v>0.4</v>
      </c>
      <c r="AC23" s="52" t="n">
        <v>0.05</v>
      </c>
      <c r="AD23" s="52" t="n">
        <v>-0.05</v>
      </c>
      <c r="AE23" s="52" t="n">
        <v>0.17</v>
      </c>
      <c r="AF23" s="52" t="n">
        <v>0.08</v>
      </c>
      <c r="AG23" s="52" t="n">
        <v>0.07</v>
      </c>
      <c r="AH23" s="52" t="n">
        <v>0.08</v>
      </c>
      <c r="AI23" s="52" t="n">
        <v>0.04</v>
      </c>
      <c r="AJ23" s="52" t="n">
        <v>-0.05</v>
      </c>
      <c r="AK23" s="52" t="n">
        <v>0.15</v>
      </c>
      <c r="AL23" s="52" t="n">
        <v>0.31</v>
      </c>
      <c r="AM23" s="52" t="n">
        <v>0.2</v>
      </c>
      <c r="AN23" s="52" t="n">
        <v>0.29</v>
      </c>
      <c r="AO23" s="52" t="n">
        <v>0.14</v>
      </c>
      <c r="AP23" s="52" t="n">
        <v>0.26</v>
      </c>
      <c r="AQ23" s="52" t="n">
        <v>-0.01</v>
      </c>
      <c r="AR23" s="52" t="n">
        <v>0.81</v>
      </c>
      <c r="AS23" s="52" t="n">
        <v>0.1</v>
      </c>
      <c r="AT23" s="52" t="n">
        <v>0.62</v>
      </c>
      <c r="AU23" s="52" t="n">
        <v>0.08</v>
      </c>
      <c r="AV23" s="52" t="n">
        <v>0.14</v>
      </c>
      <c r="AW23" s="52" t="n">
        <v>0.08</v>
      </c>
      <c r="AX23" s="52" t="n">
        <v>0.24</v>
      </c>
      <c r="AY23" s="52" t="n">
        <v>0.26</v>
      </c>
      <c r="AZ23" s="52" t="n">
        <v>0.14</v>
      </c>
      <c r="BA23" s="52" t="n">
        <v>0.33</v>
      </c>
      <c r="BB23" s="52" t="n">
        <v>0.74</v>
      </c>
      <c r="BC23" s="52" t="n">
        <v>0.05</v>
      </c>
      <c r="BD23" s="52" t="n">
        <v>0.08</v>
      </c>
      <c r="BE23" s="52" t="n">
        <v>0.17</v>
      </c>
      <c r="BF23" s="52" t="n">
        <v>0.16</v>
      </c>
      <c r="BG23" s="52" t="n">
        <v>0.31</v>
      </c>
      <c r="BH23" s="52" t="n">
        <v>0.1</v>
      </c>
      <c r="BI23" s="52" t="n">
        <v>0.14</v>
      </c>
      <c r="BJ23" s="52" t="n">
        <v>0.04</v>
      </c>
      <c r="BK23" s="52" t="n">
        <v>0.19</v>
      </c>
      <c r="BL23" s="52" t="n">
        <v>0.31</v>
      </c>
      <c r="BM23" s="52" t="n">
        <v>0.22</v>
      </c>
      <c r="BN23" s="52" t="n">
        <v>0.14</v>
      </c>
      <c r="BO23" s="52" t="n">
        <v>0.24</v>
      </c>
      <c r="BP23" s="52" t="n">
        <v>0.15</v>
      </c>
      <c r="BQ23" s="52" t="n">
        <v>0.27</v>
      </c>
      <c r="BR23" s="52" t="n">
        <v>0.38</v>
      </c>
      <c r="BS23" s="52" t="n">
        <v>-0.01</v>
      </c>
      <c r="BT23" s="52" t="n">
        <v>0.46</v>
      </c>
      <c r="BU23" s="52" t="n">
        <v>0.17</v>
      </c>
      <c r="BV23" s="52" t="n">
        <v>0.25</v>
      </c>
      <c r="BW23" s="52" t="n">
        <v>0.22</v>
      </c>
      <c r="BX23" s="52" t="n">
        <v>0.14</v>
      </c>
      <c r="BY23" s="52" t="n">
        <v>0.29</v>
      </c>
      <c r="BZ23" s="52" t="n">
        <v>0.32</v>
      </c>
      <c r="CA23" s="52" t="n">
        <v>0.04</v>
      </c>
      <c r="CB23" s="52" t="n">
        <v>0.01</v>
      </c>
      <c r="CC23" s="52" t="n">
        <v>0.16</v>
      </c>
      <c r="CD23" s="52" t="n">
        <v>0.25</v>
      </c>
      <c r="CE23" s="52" t="n">
        <v>0.28</v>
      </c>
      <c r="CF23" s="52" t="n">
        <v>0.01</v>
      </c>
      <c r="CG23" s="52" t="n">
        <v>0.38</v>
      </c>
      <c r="CH23" s="52" t="n">
        <v>0.19</v>
      </c>
      <c r="CI23" s="52" t="n">
        <v>-0.03</v>
      </c>
      <c r="CJ23" s="52" t="n">
        <v>0.09</v>
      </c>
      <c r="CK23" s="52" t="n">
        <v>0.22</v>
      </c>
      <c r="CL23" s="52" t="n">
        <v>0.22</v>
      </c>
      <c r="CM23" s="52" t="n">
        <v>0.17</v>
      </c>
      <c r="CN23" s="52" t="n">
        <v>0.07</v>
      </c>
      <c r="CO23" s="52" t="n">
        <v>0.08</v>
      </c>
      <c r="CP23" s="52" t="n">
        <v>0.14</v>
      </c>
      <c r="CQ23" s="52" t="n">
        <v>0.47</v>
      </c>
      <c r="CR23" s="52" t="n">
        <v>0.19</v>
      </c>
      <c r="CS23" s="52" t="n">
        <v>0.33</v>
      </c>
      <c r="CT23" s="52" t="n">
        <v>0.25</v>
      </c>
      <c r="CU23" s="52" t="n">
        <v>0.13</v>
      </c>
      <c r="CV23" s="52" t="n">
        <v>0.22</v>
      </c>
      <c r="CW23" s="52" t="n">
        <v>0.25</v>
      </c>
      <c r="CX23" s="52" t="n">
        <v>0.36</v>
      </c>
      <c r="CY23" s="52" t="n">
        <v>0.43</v>
      </c>
      <c r="CZ23" s="52" t="n">
        <v>0.16</v>
      </c>
      <c r="DA23" s="52" t="n">
        <v>0.14</v>
      </c>
      <c r="DB23" s="52" t="n">
        <v>0.19</v>
      </c>
      <c r="DC23" s="52" t="n">
        <v>0.32</v>
      </c>
      <c r="DD23" s="52" t="n">
        <v>0.26</v>
      </c>
      <c r="DE23" s="52" t="n">
        <v>0.23</v>
      </c>
      <c r="DF23" s="52" t="n">
        <v>0.08</v>
      </c>
      <c r="DG23" s="52" t="n">
        <v>0.17</v>
      </c>
      <c r="DH23" s="52" t="n">
        <v>0.17</v>
      </c>
      <c r="DI23" s="52" t="n">
        <v>0.39</v>
      </c>
      <c r="DJ23" s="52" t="n">
        <v>0.4</v>
      </c>
      <c r="DK23" s="52" t="n">
        <v>0.44</v>
      </c>
      <c r="DL23" s="52" t="n">
        <v>0.02</v>
      </c>
      <c r="DM23" s="52" t="n">
        <v>0.45</v>
      </c>
      <c r="DN23" s="52" t="n">
        <v>0.22</v>
      </c>
      <c r="DO23" s="52" t="n">
        <v>0.24</v>
      </c>
      <c r="DP23" s="52" t="n">
        <v>0.37</v>
      </c>
      <c r="DQ23" s="52" t="n">
        <v>0.13</v>
      </c>
      <c r="DR23" s="52" t="n">
        <v>0.22</v>
      </c>
      <c r="DS23" s="52" t="n">
        <v>0.25</v>
      </c>
      <c r="DT23" s="52" t="n">
        <v>0.15</v>
      </c>
      <c r="DU23" s="52" t="n">
        <v>0.32</v>
      </c>
      <c r="DV23" s="52" t="n">
        <v>0.11</v>
      </c>
      <c r="DW23" s="52" t="n">
        <v>0.23</v>
      </c>
      <c r="DX23" s="52" t="n">
        <v>0.21</v>
      </c>
      <c r="DY23" s="52" t="n">
        <v>0.35</v>
      </c>
      <c r="DZ23" s="52" t="n">
        <v>0.11</v>
      </c>
      <c r="EA23" s="52" t="n">
        <v>0.13</v>
      </c>
      <c r="EB23" s="52" t="n">
        <v>0.38</v>
      </c>
      <c r="EC23" s="52" t="n">
        <v>0.05</v>
      </c>
      <c r="ED23" s="52" t="n">
        <v>0.19</v>
      </c>
      <c r="EE23" s="52" t="n">
        <v>0.16</v>
      </c>
      <c r="EF23" s="52" t="n">
        <v>0.28</v>
      </c>
      <c r="EG23" s="52" t="n">
        <v>0.14</v>
      </c>
      <c r="EH23" s="52" t="n">
        <v>0.13</v>
      </c>
      <c r="EI23" s="52" t="n">
        <v>0.07</v>
      </c>
      <c r="EJ23" s="52" t="n">
        <v>0.2</v>
      </c>
      <c r="EK23" s="52" t="n">
        <v>0.2</v>
      </c>
      <c r="EL23" s="52" t="n">
        <v>0.22</v>
      </c>
      <c r="EM23" s="52" t="n">
        <v>0.07</v>
      </c>
      <c r="EN23" s="52" t="n">
        <v>0.07</v>
      </c>
      <c r="EO23" s="52" t="n">
        <v>0.06</v>
      </c>
    </row>
    <row r="24" customFormat="false" ht="15" hidden="false" customHeight="false" outlineLevel="0" collapsed="false">
      <c r="A24" s="51" t="s">
        <v>171</v>
      </c>
      <c r="B24" s="52" t="n">
        <v>0.07</v>
      </c>
      <c r="C24" s="52" t="n">
        <v>0.13</v>
      </c>
      <c r="D24" s="52" t="n">
        <v>0.12</v>
      </c>
      <c r="E24" s="52" t="n">
        <v>0.31</v>
      </c>
      <c r="F24" s="52" t="n">
        <v>0.06</v>
      </c>
      <c r="G24" s="52" t="n">
        <v>0.08</v>
      </c>
      <c r="H24" s="52" t="n">
        <v>0.3</v>
      </c>
      <c r="I24" s="52" t="n">
        <v>0.06</v>
      </c>
      <c r="J24" s="52" t="n">
        <v>0.09</v>
      </c>
      <c r="K24" s="52" t="n">
        <v>0.1</v>
      </c>
      <c r="L24" s="52" t="n">
        <v>0.32</v>
      </c>
      <c r="M24" s="52" t="n">
        <v>0.29</v>
      </c>
      <c r="N24" s="52" t="n">
        <v>0.13</v>
      </c>
      <c r="O24" s="52" t="n">
        <v>0.43</v>
      </c>
      <c r="P24" s="52" t="n">
        <v>0.12</v>
      </c>
      <c r="Q24" s="52" t="n">
        <v>-0.05</v>
      </c>
      <c r="R24" s="52" t="n">
        <v>0.07</v>
      </c>
      <c r="S24" s="52" t="n">
        <v>0.35</v>
      </c>
      <c r="T24" s="52" t="n">
        <v>0.15</v>
      </c>
      <c r="U24" s="52" t="n">
        <v>1</v>
      </c>
      <c r="V24" s="52" t="n">
        <v>0.3</v>
      </c>
      <c r="W24" s="52" t="n">
        <v>0.28</v>
      </c>
      <c r="X24" s="52" t="n">
        <v>0.21</v>
      </c>
      <c r="Y24" s="52" t="n">
        <v>0.05</v>
      </c>
      <c r="Z24" s="52" t="n">
        <v>0.3</v>
      </c>
      <c r="AA24" s="52" t="n">
        <v>0.29</v>
      </c>
      <c r="AB24" s="52" t="n">
        <v>0.04</v>
      </c>
      <c r="AC24" s="52" t="n">
        <v>0.25</v>
      </c>
      <c r="AD24" s="52" t="n">
        <v>0.27</v>
      </c>
      <c r="AE24" s="52" t="n">
        <v>0.33</v>
      </c>
      <c r="AF24" s="52" t="n">
        <v>0.42</v>
      </c>
      <c r="AG24" s="52" t="n">
        <v>0.07</v>
      </c>
      <c r="AH24" s="52" t="n">
        <v>0.09</v>
      </c>
      <c r="AI24" s="52" t="n">
        <v>-0.09</v>
      </c>
      <c r="AJ24" s="52" t="n">
        <v>0.31</v>
      </c>
      <c r="AK24" s="52" t="n">
        <v>0.54</v>
      </c>
      <c r="AL24" s="52" t="n">
        <v>0.11</v>
      </c>
      <c r="AM24" s="52" t="n">
        <v>0.29</v>
      </c>
      <c r="AN24" s="52" t="n">
        <v>0.23</v>
      </c>
      <c r="AO24" s="52" t="n">
        <v>0.09</v>
      </c>
      <c r="AP24" s="52" t="n">
        <v>0.19</v>
      </c>
      <c r="AQ24" s="52" t="n">
        <v>-0.12</v>
      </c>
      <c r="AR24" s="52" t="n">
        <v>0.11</v>
      </c>
      <c r="AS24" s="52" t="n">
        <v>0.48</v>
      </c>
      <c r="AT24" s="52" t="n">
        <v>0.09</v>
      </c>
      <c r="AU24" s="52" t="n">
        <v>0.08</v>
      </c>
      <c r="AV24" s="52" t="n">
        <v>0.37</v>
      </c>
      <c r="AW24" s="52" t="n">
        <v>0.35</v>
      </c>
      <c r="AX24" s="52" t="n">
        <v>0.15</v>
      </c>
      <c r="AY24" s="52" t="n">
        <v>0.03</v>
      </c>
      <c r="AZ24" s="52" t="n">
        <v>0.29</v>
      </c>
      <c r="BA24" s="52" t="n">
        <v>0.22</v>
      </c>
      <c r="BB24" s="52" t="n">
        <v>0.18</v>
      </c>
      <c r="BC24" s="52" t="n">
        <v>0.18</v>
      </c>
      <c r="BD24" s="52" t="n">
        <v>0.5</v>
      </c>
      <c r="BE24" s="52" t="n">
        <v>0.22</v>
      </c>
      <c r="BF24" s="52" t="n">
        <v>0.32</v>
      </c>
      <c r="BG24" s="52" t="n">
        <v>0.06</v>
      </c>
      <c r="BH24" s="52" t="n">
        <v>0.35</v>
      </c>
      <c r="BI24" s="52" t="n">
        <v>0.14</v>
      </c>
      <c r="BJ24" s="52" t="n">
        <v>0.08</v>
      </c>
      <c r="BK24" s="52" t="n">
        <v>0.24</v>
      </c>
      <c r="BL24" s="52" t="n">
        <v>0.19</v>
      </c>
      <c r="BM24" s="52" t="n">
        <v>0.16</v>
      </c>
      <c r="BN24" s="52" t="n">
        <v>0.05</v>
      </c>
      <c r="BO24" s="52" t="n">
        <v>0.16</v>
      </c>
      <c r="BP24" s="52" t="n">
        <v>0.13</v>
      </c>
      <c r="BQ24" s="52" t="n">
        <v>0.34</v>
      </c>
      <c r="BR24" s="52" t="n">
        <v>0.13</v>
      </c>
      <c r="BS24" s="52" t="n">
        <v>-0.1</v>
      </c>
      <c r="BT24" s="52" t="n">
        <v>0.2</v>
      </c>
      <c r="BU24" s="52" t="n">
        <v>0.29</v>
      </c>
      <c r="BV24" s="52" t="n">
        <v>0.17</v>
      </c>
      <c r="BW24" s="52" t="n">
        <v>0.14</v>
      </c>
      <c r="BX24" s="52" t="n">
        <v>0.06</v>
      </c>
      <c r="BY24" s="52" t="n">
        <v>0.14</v>
      </c>
      <c r="BZ24" s="52" t="n">
        <v>0.2</v>
      </c>
      <c r="CA24" s="52" t="n">
        <v>0.45</v>
      </c>
      <c r="CB24" s="52" t="n">
        <v>0.02</v>
      </c>
      <c r="CC24" s="52" t="n">
        <v>0.07</v>
      </c>
      <c r="CD24" s="52" t="n">
        <v>0.1</v>
      </c>
      <c r="CE24" s="52" t="n">
        <v>0.1</v>
      </c>
      <c r="CF24" s="52" t="n">
        <v>-0.09</v>
      </c>
      <c r="CG24" s="52" t="n">
        <v>0.12</v>
      </c>
      <c r="CH24" s="52" t="n">
        <v>0.41</v>
      </c>
      <c r="CI24" s="52" t="n">
        <v>-0.08</v>
      </c>
      <c r="CJ24" s="52" t="n">
        <v>0.13</v>
      </c>
      <c r="CK24" s="52" t="n">
        <v>0.12</v>
      </c>
      <c r="CL24" s="52" t="n">
        <v>0.14</v>
      </c>
      <c r="CM24" s="52" t="n">
        <v>0.13</v>
      </c>
      <c r="CN24" s="52" t="n">
        <v>0.34</v>
      </c>
      <c r="CO24" s="52" t="n">
        <v>0.21</v>
      </c>
      <c r="CP24" s="52" t="n">
        <v>0.08</v>
      </c>
      <c r="CQ24" s="52" t="n">
        <v>0.17</v>
      </c>
      <c r="CR24" s="52" t="n">
        <v>0.18</v>
      </c>
      <c r="CS24" s="52" t="n">
        <v>0.19</v>
      </c>
      <c r="CT24" s="52" t="n">
        <v>0.28</v>
      </c>
      <c r="CU24" s="52" t="n">
        <v>0.12</v>
      </c>
      <c r="CV24" s="52" t="n">
        <v>0.14</v>
      </c>
      <c r="CW24" s="52" t="n">
        <v>0.2</v>
      </c>
      <c r="CX24" s="52" t="n">
        <v>0.21</v>
      </c>
      <c r="CY24" s="52" t="n">
        <v>0.1</v>
      </c>
      <c r="CZ24" s="52" t="n">
        <v>0.17</v>
      </c>
      <c r="DA24" s="52" t="n">
        <v>0.02</v>
      </c>
      <c r="DB24" s="52" t="n">
        <v>0.27</v>
      </c>
      <c r="DC24" s="52" t="n">
        <v>0.2</v>
      </c>
      <c r="DD24" s="52" t="n">
        <v>0.16</v>
      </c>
      <c r="DE24" s="52" t="n">
        <v>0.22</v>
      </c>
      <c r="DF24" s="52" t="n">
        <v>0.06</v>
      </c>
      <c r="DG24" s="52" t="n">
        <v>0.2</v>
      </c>
      <c r="DH24" s="52" t="n">
        <v>0.12</v>
      </c>
      <c r="DI24" s="52" t="n">
        <v>0.15</v>
      </c>
      <c r="DJ24" s="52" t="n">
        <v>0.07</v>
      </c>
      <c r="DK24" s="52" t="n">
        <v>0.15</v>
      </c>
      <c r="DL24" s="52" t="n">
        <v>0.31</v>
      </c>
      <c r="DM24" s="52" t="n">
        <v>0.16</v>
      </c>
      <c r="DN24" s="52" t="n">
        <v>0.06</v>
      </c>
      <c r="DO24" s="52" t="n">
        <v>0.1</v>
      </c>
      <c r="DP24" s="52" t="n">
        <v>0.13</v>
      </c>
      <c r="DQ24" s="52" t="n">
        <v>0.12</v>
      </c>
      <c r="DR24" s="52" t="n">
        <v>0.15</v>
      </c>
      <c r="DS24" s="52" t="n">
        <v>0.02</v>
      </c>
      <c r="DT24" s="52" t="n">
        <v>0.13</v>
      </c>
      <c r="DU24" s="52" t="n">
        <v>0.22</v>
      </c>
      <c r="DV24" s="52" t="n">
        <v>0.12</v>
      </c>
      <c r="DW24" s="52" t="n">
        <v>0.11</v>
      </c>
      <c r="DX24" s="52" t="n">
        <v>0.13</v>
      </c>
      <c r="DY24" s="52" t="n">
        <v>0.14</v>
      </c>
      <c r="DZ24" s="52" t="n">
        <v>0.07</v>
      </c>
      <c r="EA24" s="52" t="n">
        <v>0.1</v>
      </c>
      <c r="EB24" s="52" t="n">
        <v>0.19</v>
      </c>
      <c r="EC24" s="52" t="n">
        <v>0.12</v>
      </c>
      <c r="ED24" s="52" t="n">
        <v>0.21</v>
      </c>
      <c r="EE24" s="52" t="n">
        <v>0.13</v>
      </c>
      <c r="EF24" s="52" t="n">
        <v>0.08</v>
      </c>
      <c r="EG24" s="52" t="n">
        <v>0.09</v>
      </c>
      <c r="EH24" s="52" t="n">
        <v>-0.03</v>
      </c>
      <c r="EI24" s="52" t="n">
        <v>0.02</v>
      </c>
      <c r="EJ24" s="52" t="n">
        <v>0.2</v>
      </c>
      <c r="EK24" s="52" t="n">
        <v>0.14</v>
      </c>
      <c r="EL24" s="52" t="n">
        <v>0.21</v>
      </c>
      <c r="EM24" s="52" t="n">
        <v>0.09</v>
      </c>
      <c r="EN24" s="52" t="n">
        <v>0.19</v>
      </c>
      <c r="EO24" s="52" t="n">
        <v>0.08</v>
      </c>
    </row>
    <row r="25" customFormat="false" ht="15" hidden="false" customHeight="false" outlineLevel="0" collapsed="false">
      <c r="A25" s="51" t="s">
        <v>121</v>
      </c>
      <c r="B25" s="52" t="n">
        <v>0.03</v>
      </c>
      <c r="C25" s="52" t="n">
        <v>0.16</v>
      </c>
      <c r="D25" s="52" t="n">
        <v>0.04</v>
      </c>
      <c r="E25" s="52" t="n">
        <v>0.31</v>
      </c>
      <c r="F25" s="52" t="n">
        <v>0.04</v>
      </c>
      <c r="G25" s="52" t="n">
        <v>0.14</v>
      </c>
      <c r="H25" s="52" t="n">
        <v>0.37</v>
      </c>
      <c r="I25" s="52" t="n">
        <v>0.11</v>
      </c>
      <c r="J25" s="52" t="n">
        <v>-0.03</v>
      </c>
      <c r="K25" s="52" t="n">
        <v>0.15</v>
      </c>
      <c r="L25" s="52" t="n">
        <v>0.3</v>
      </c>
      <c r="M25" s="52" t="n">
        <v>0.29</v>
      </c>
      <c r="N25" s="52" t="n">
        <v>0.02</v>
      </c>
      <c r="O25" s="52" t="n">
        <v>0.42</v>
      </c>
      <c r="P25" s="52" t="n">
        <v>0.02</v>
      </c>
      <c r="Q25" s="52" t="n">
        <v>-0.02</v>
      </c>
      <c r="R25" s="52" t="n">
        <v>0.09</v>
      </c>
      <c r="S25" s="52" t="n">
        <v>0.23</v>
      </c>
      <c r="T25" s="52" t="n">
        <v>0.02</v>
      </c>
      <c r="U25" s="52" t="n">
        <v>0.3</v>
      </c>
      <c r="V25" s="52" t="n">
        <v>1</v>
      </c>
      <c r="W25" s="52" t="n">
        <v>0.19</v>
      </c>
      <c r="X25" s="52" t="n">
        <v>0.04</v>
      </c>
      <c r="Y25" s="52" t="n">
        <v>0.07</v>
      </c>
      <c r="Z25" s="52" t="n">
        <v>0.33</v>
      </c>
      <c r="AA25" s="52" t="n">
        <v>0.26</v>
      </c>
      <c r="AB25" s="52" t="n">
        <v>0.03</v>
      </c>
      <c r="AC25" s="52" t="n">
        <v>0.29</v>
      </c>
      <c r="AD25" s="52" t="n">
        <v>0.28</v>
      </c>
      <c r="AE25" s="52" t="n">
        <v>0.26</v>
      </c>
      <c r="AF25" s="52" t="n">
        <v>0.42</v>
      </c>
      <c r="AG25" s="52" t="n">
        <v>0</v>
      </c>
      <c r="AH25" s="52" t="n">
        <v>-0.09</v>
      </c>
      <c r="AI25" s="52" t="n">
        <v>-0.18</v>
      </c>
      <c r="AJ25" s="52" t="n">
        <v>0.19</v>
      </c>
      <c r="AK25" s="52" t="n">
        <v>0.38</v>
      </c>
      <c r="AL25" s="52" t="n">
        <v>0.04</v>
      </c>
      <c r="AM25" s="52" t="n">
        <v>0.16</v>
      </c>
      <c r="AN25" s="52" t="n">
        <v>0.17</v>
      </c>
      <c r="AO25" s="52" t="n">
        <v>-0.03</v>
      </c>
      <c r="AP25" s="52" t="n">
        <v>0.13</v>
      </c>
      <c r="AQ25" s="52" t="n">
        <v>-0.08</v>
      </c>
      <c r="AR25" s="52" t="n">
        <v>-0.05</v>
      </c>
      <c r="AS25" s="52" t="n">
        <v>0.3</v>
      </c>
      <c r="AT25" s="52" t="n">
        <v>0.04</v>
      </c>
      <c r="AU25" s="52" t="n">
        <v>0.02</v>
      </c>
      <c r="AV25" s="52" t="n">
        <v>0.25</v>
      </c>
      <c r="AW25" s="52" t="n">
        <v>0.35</v>
      </c>
      <c r="AX25" s="52" t="n">
        <v>0.03</v>
      </c>
      <c r="AY25" s="52" t="n">
        <v>0.08</v>
      </c>
      <c r="AZ25" s="52" t="n">
        <v>0.27</v>
      </c>
      <c r="BA25" s="52" t="n">
        <v>0.09</v>
      </c>
      <c r="BB25" s="52" t="n">
        <v>0.04</v>
      </c>
      <c r="BC25" s="52" t="n">
        <v>0.13</v>
      </c>
      <c r="BD25" s="52" t="n">
        <v>0.23</v>
      </c>
      <c r="BE25" s="52" t="n">
        <v>0.03</v>
      </c>
      <c r="BF25" s="52" t="n">
        <v>0.28</v>
      </c>
      <c r="BG25" s="52" t="n">
        <v>-0.03</v>
      </c>
      <c r="BH25" s="52" t="n">
        <v>0.24</v>
      </c>
      <c r="BI25" s="52" t="n">
        <v>0.23</v>
      </c>
      <c r="BJ25" s="52" t="n">
        <v>0</v>
      </c>
      <c r="BK25" s="52" t="n">
        <v>0.18</v>
      </c>
      <c r="BL25" s="52" t="n">
        <v>0.15</v>
      </c>
      <c r="BM25" s="52" t="n">
        <v>0.12</v>
      </c>
      <c r="BN25" s="52" t="n">
        <v>0.01</v>
      </c>
      <c r="BO25" s="52" t="n">
        <v>-0.04</v>
      </c>
      <c r="BP25" s="52" t="n">
        <v>0.03</v>
      </c>
      <c r="BQ25" s="52" t="n">
        <v>0.28</v>
      </c>
      <c r="BR25" s="52" t="n">
        <v>0.09</v>
      </c>
      <c r="BS25" s="52" t="n">
        <v>-0.09</v>
      </c>
      <c r="BT25" s="52" t="n">
        <v>0.06</v>
      </c>
      <c r="BU25" s="52" t="n">
        <v>0.11</v>
      </c>
      <c r="BV25" s="52" t="n">
        <v>0.05</v>
      </c>
      <c r="BW25" s="52" t="n">
        <v>0.04</v>
      </c>
      <c r="BX25" s="52" t="n">
        <v>-0.09</v>
      </c>
      <c r="BY25" s="52" t="n">
        <v>0.15</v>
      </c>
      <c r="BZ25" s="52" t="n">
        <v>0.08</v>
      </c>
      <c r="CA25" s="52" t="n">
        <v>0.44</v>
      </c>
      <c r="CB25" s="52" t="n">
        <v>-0.12</v>
      </c>
      <c r="CC25" s="52" t="n">
        <v>-0.03</v>
      </c>
      <c r="CD25" s="52" t="n">
        <v>0</v>
      </c>
      <c r="CE25" s="52" t="n">
        <v>0.05</v>
      </c>
      <c r="CF25" s="52" t="n">
        <v>-0.1</v>
      </c>
      <c r="CG25" s="52" t="n">
        <v>0</v>
      </c>
      <c r="CH25" s="52" t="n">
        <v>0.39</v>
      </c>
      <c r="CI25" s="52" t="n">
        <v>-0.14</v>
      </c>
      <c r="CJ25" s="52" t="n">
        <v>-0.05</v>
      </c>
      <c r="CK25" s="52" t="n">
        <v>0.1</v>
      </c>
      <c r="CL25" s="52" t="n">
        <v>0.1</v>
      </c>
      <c r="CM25" s="52" t="n">
        <v>-0.02</v>
      </c>
      <c r="CN25" s="52" t="n">
        <v>0.19</v>
      </c>
      <c r="CO25" s="52" t="n">
        <v>0.18</v>
      </c>
      <c r="CP25" s="52" t="n">
        <v>-0.11</v>
      </c>
      <c r="CQ25" s="52" t="n">
        <v>0.09</v>
      </c>
      <c r="CR25" s="52" t="n">
        <v>0.07</v>
      </c>
      <c r="CS25" s="52" t="n">
        <v>0.02</v>
      </c>
      <c r="CT25" s="52" t="n">
        <v>0.19</v>
      </c>
      <c r="CU25" s="52" t="n">
        <v>0.07</v>
      </c>
      <c r="CV25" s="52" t="n">
        <v>0.13</v>
      </c>
      <c r="CW25" s="52" t="n">
        <v>0.07</v>
      </c>
      <c r="CX25" s="52" t="n">
        <v>0.02</v>
      </c>
      <c r="CY25" s="52" t="n">
        <v>0.12</v>
      </c>
      <c r="CZ25" s="52" t="n">
        <v>-0.03</v>
      </c>
      <c r="DA25" s="52" t="n">
        <v>0</v>
      </c>
      <c r="DB25" s="52" t="n">
        <v>0.13</v>
      </c>
      <c r="DC25" s="52" t="n">
        <v>0.22</v>
      </c>
      <c r="DD25" s="52" t="n">
        <v>0.16</v>
      </c>
      <c r="DE25" s="52" t="n">
        <v>0.15</v>
      </c>
      <c r="DF25" s="52" t="n">
        <v>-0.05</v>
      </c>
      <c r="DG25" s="52" t="n">
        <v>0.24</v>
      </c>
      <c r="DH25" s="52" t="n">
        <v>0</v>
      </c>
      <c r="DI25" s="52" t="n">
        <v>0.1</v>
      </c>
      <c r="DJ25" s="52" t="n">
        <v>0.1</v>
      </c>
      <c r="DK25" s="52" t="n">
        <v>0.11</v>
      </c>
      <c r="DL25" s="52" t="n">
        <v>0.33</v>
      </c>
      <c r="DM25" s="52" t="n">
        <v>0.2</v>
      </c>
      <c r="DN25" s="52" t="n">
        <v>0.16</v>
      </c>
      <c r="DO25" s="52" t="n">
        <v>0.08</v>
      </c>
      <c r="DP25" s="52" t="n">
        <v>0.09</v>
      </c>
      <c r="DQ25" s="52" t="n">
        <v>0.06</v>
      </c>
      <c r="DR25" s="52" t="n">
        <v>0.05</v>
      </c>
      <c r="DS25" s="52" t="n">
        <v>-0.07</v>
      </c>
      <c r="DT25" s="52" t="n">
        <v>0.02</v>
      </c>
      <c r="DU25" s="52" t="n">
        <v>0.05</v>
      </c>
      <c r="DV25" s="52" t="n">
        <v>0</v>
      </c>
      <c r="DW25" s="52" t="n">
        <v>-0.03</v>
      </c>
      <c r="DX25" s="52" t="n">
        <v>0.03</v>
      </c>
      <c r="DY25" s="52" t="n">
        <v>0.1</v>
      </c>
      <c r="DZ25" s="52" t="n">
        <v>-0.1</v>
      </c>
      <c r="EA25" s="52" t="n">
        <v>0.06</v>
      </c>
      <c r="EB25" s="52" t="n">
        <v>0.05</v>
      </c>
      <c r="EC25" s="52" t="n">
        <v>0.16</v>
      </c>
      <c r="ED25" s="52" t="n">
        <v>0.16</v>
      </c>
      <c r="EE25" s="52" t="n">
        <v>0.04</v>
      </c>
      <c r="EF25" s="52" t="n">
        <v>0.07</v>
      </c>
      <c r="EG25" s="52" t="n">
        <v>0</v>
      </c>
      <c r="EH25" s="52" t="n">
        <v>-0.08</v>
      </c>
      <c r="EI25" s="52" t="n">
        <v>-0.02</v>
      </c>
      <c r="EJ25" s="52" t="n">
        <v>0.06</v>
      </c>
      <c r="EK25" s="52" t="n">
        <v>0.04</v>
      </c>
      <c r="EL25" s="52" t="n">
        <v>0.11</v>
      </c>
      <c r="EM25" s="52" t="n">
        <v>-0.1</v>
      </c>
      <c r="EN25" s="52" t="n">
        <v>-0.01</v>
      </c>
      <c r="EO25" s="52" t="n">
        <v>0</v>
      </c>
    </row>
    <row r="26" customFormat="false" ht="15" hidden="false" customHeight="false" outlineLevel="0" collapsed="false">
      <c r="A26" s="51" t="s">
        <v>172</v>
      </c>
      <c r="B26" s="52" t="n">
        <v>0.02</v>
      </c>
      <c r="C26" s="52" t="n">
        <v>0.14</v>
      </c>
      <c r="D26" s="52" t="n">
        <v>-0.04</v>
      </c>
      <c r="E26" s="52" t="n">
        <v>0.27</v>
      </c>
      <c r="F26" s="52" t="n">
        <v>0.13</v>
      </c>
      <c r="G26" s="52" t="n">
        <v>0.04</v>
      </c>
      <c r="H26" s="52" t="n">
        <v>0.15</v>
      </c>
      <c r="I26" s="52" t="n">
        <v>0.18</v>
      </c>
      <c r="J26" s="52" t="n">
        <v>0.15</v>
      </c>
      <c r="K26" s="52" t="n">
        <v>0.19</v>
      </c>
      <c r="L26" s="52" t="n">
        <v>0.19</v>
      </c>
      <c r="M26" s="52" t="n">
        <v>0.16</v>
      </c>
      <c r="N26" s="52" t="n">
        <v>0.07</v>
      </c>
      <c r="O26" s="52" t="n">
        <v>0.33</v>
      </c>
      <c r="P26" s="52" t="n">
        <v>0.19</v>
      </c>
      <c r="Q26" s="52" t="n">
        <v>0.02</v>
      </c>
      <c r="R26" s="52" t="n">
        <v>0.17</v>
      </c>
      <c r="S26" s="52" t="n">
        <v>0.22</v>
      </c>
      <c r="T26" s="52" t="n">
        <v>0.09</v>
      </c>
      <c r="U26" s="52" t="n">
        <v>0.28</v>
      </c>
      <c r="V26" s="52" t="n">
        <v>0.19</v>
      </c>
      <c r="W26" s="52" t="n">
        <v>1</v>
      </c>
      <c r="X26" s="52" t="n">
        <v>0.12</v>
      </c>
      <c r="Y26" s="52" t="n">
        <v>0.03</v>
      </c>
      <c r="Z26" s="52" t="n">
        <v>0.22</v>
      </c>
      <c r="AA26" s="52" t="n">
        <v>0.46</v>
      </c>
      <c r="AB26" s="52" t="n">
        <v>0.03</v>
      </c>
      <c r="AC26" s="52" t="n">
        <v>0.14</v>
      </c>
      <c r="AD26" s="52" t="n">
        <v>0.36</v>
      </c>
      <c r="AE26" s="52" t="n">
        <v>0.15</v>
      </c>
      <c r="AF26" s="52" t="n">
        <v>0.33</v>
      </c>
      <c r="AG26" s="52" t="n">
        <v>0.08</v>
      </c>
      <c r="AH26" s="52" t="n">
        <v>0.1</v>
      </c>
      <c r="AI26" s="52" t="n">
        <v>0.03</v>
      </c>
      <c r="AJ26" s="52" t="n">
        <v>0.13</v>
      </c>
      <c r="AK26" s="52" t="n">
        <v>0.32</v>
      </c>
      <c r="AL26" s="52" t="n">
        <v>0.02</v>
      </c>
      <c r="AM26" s="52" t="n">
        <v>0.12</v>
      </c>
      <c r="AN26" s="52" t="n">
        <v>0.07</v>
      </c>
      <c r="AO26" s="52" t="n">
        <v>0.1</v>
      </c>
      <c r="AP26" s="52" t="n">
        <v>0.1</v>
      </c>
      <c r="AQ26" s="52" t="n">
        <v>0.05</v>
      </c>
      <c r="AR26" s="52" t="n">
        <v>0.1</v>
      </c>
      <c r="AS26" s="52" t="n">
        <v>0.22</v>
      </c>
      <c r="AT26" s="52" t="n">
        <v>0.11</v>
      </c>
      <c r="AU26" s="52" t="n">
        <v>0.14</v>
      </c>
      <c r="AV26" s="52" t="n">
        <v>0.38</v>
      </c>
      <c r="AW26" s="52" t="n">
        <v>0.24</v>
      </c>
      <c r="AX26" s="52" t="n">
        <v>0.14</v>
      </c>
      <c r="AY26" s="52" t="n">
        <v>0.15</v>
      </c>
      <c r="AZ26" s="52" t="n">
        <v>0.13</v>
      </c>
      <c r="BA26" s="52" t="n">
        <v>0.06</v>
      </c>
      <c r="BB26" s="52" t="n">
        <v>0.09</v>
      </c>
      <c r="BC26" s="52" t="n">
        <v>0.11</v>
      </c>
      <c r="BD26" s="52" t="n">
        <v>0.26</v>
      </c>
      <c r="BE26" s="52" t="n">
        <v>0.1</v>
      </c>
      <c r="BF26" s="52" t="n">
        <v>0.22</v>
      </c>
      <c r="BG26" s="52" t="n">
        <v>-0.1</v>
      </c>
      <c r="BH26" s="52" t="n">
        <v>0.17</v>
      </c>
      <c r="BI26" s="52" t="n">
        <v>0.06</v>
      </c>
      <c r="BJ26" s="52" t="n">
        <v>0.01</v>
      </c>
      <c r="BK26" s="52" t="n">
        <v>0.16</v>
      </c>
      <c r="BL26" s="52" t="n">
        <v>0.05</v>
      </c>
      <c r="BM26" s="52" t="n">
        <v>0.08</v>
      </c>
      <c r="BN26" s="52" t="n">
        <v>0.17</v>
      </c>
      <c r="BO26" s="52" t="n">
        <v>0.13</v>
      </c>
      <c r="BP26" s="52" t="n">
        <v>0.05</v>
      </c>
      <c r="BQ26" s="52" t="n">
        <v>0.31</v>
      </c>
      <c r="BR26" s="52" t="n">
        <v>0.08</v>
      </c>
      <c r="BS26" s="52" t="n">
        <v>-0.04</v>
      </c>
      <c r="BT26" s="52" t="n">
        <v>0.06</v>
      </c>
      <c r="BU26" s="52" t="n">
        <v>0.14</v>
      </c>
      <c r="BV26" s="52" t="n">
        <v>0.02</v>
      </c>
      <c r="BW26" s="52" t="n">
        <v>0.12</v>
      </c>
      <c r="BX26" s="52" t="n">
        <v>0.03</v>
      </c>
      <c r="BY26" s="52" t="n">
        <v>0.02</v>
      </c>
      <c r="BZ26" s="52" t="n">
        <v>0.11</v>
      </c>
      <c r="CA26" s="52" t="n">
        <v>0.18</v>
      </c>
      <c r="CB26" s="52" t="n">
        <v>0.02</v>
      </c>
      <c r="CC26" s="52" t="n">
        <v>0.15</v>
      </c>
      <c r="CD26" s="52" t="n">
        <v>0.02</v>
      </c>
      <c r="CE26" s="52" t="n">
        <v>0.06</v>
      </c>
      <c r="CF26" s="52" t="n">
        <v>-0.01</v>
      </c>
      <c r="CG26" s="52" t="n">
        <v>-0.03</v>
      </c>
      <c r="CH26" s="52" t="n">
        <v>0.25</v>
      </c>
      <c r="CI26" s="52" t="n">
        <v>-0.03</v>
      </c>
      <c r="CJ26" s="52" t="n">
        <v>0.02</v>
      </c>
      <c r="CK26" s="52" t="n">
        <v>0.02</v>
      </c>
      <c r="CL26" s="52" t="n">
        <v>-0.07</v>
      </c>
      <c r="CM26" s="52" t="n">
        <v>-0.12</v>
      </c>
      <c r="CN26" s="52" t="n">
        <v>0.14</v>
      </c>
      <c r="CO26" s="52" t="n">
        <v>0.13</v>
      </c>
      <c r="CP26" s="52" t="n">
        <v>0.12</v>
      </c>
      <c r="CQ26" s="52" t="n">
        <v>0.07</v>
      </c>
      <c r="CR26" s="52" t="n">
        <v>0.02</v>
      </c>
      <c r="CS26" s="52" t="n">
        <v>0.16</v>
      </c>
      <c r="CT26" s="52" t="n">
        <v>0.14</v>
      </c>
      <c r="CU26" s="52" t="n">
        <v>0.01</v>
      </c>
      <c r="CV26" s="52" t="n">
        <v>-0.04</v>
      </c>
      <c r="CW26" s="52" t="n">
        <v>0.08</v>
      </c>
      <c r="CX26" s="52" t="n">
        <v>0.19</v>
      </c>
      <c r="CY26" s="52" t="n">
        <v>0.05</v>
      </c>
      <c r="CZ26" s="52" t="n">
        <v>-0.04</v>
      </c>
      <c r="DA26" s="52" t="n">
        <v>-0.12</v>
      </c>
      <c r="DB26" s="52" t="n">
        <v>0.16</v>
      </c>
      <c r="DC26" s="52" t="n">
        <v>0.14</v>
      </c>
      <c r="DD26" s="52" t="n">
        <v>-0.04</v>
      </c>
      <c r="DE26" s="52" t="n">
        <v>0.13</v>
      </c>
      <c r="DF26" s="52" t="n">
        <v>-0.13</v>
      </c>
      <c r="DG26" s="52" t="n">
        <v>0.13</v>
      </c>
      <c r="DH26" s="52" t="n">
        <v>-0.02</v>
      </c>
      <c r="DI26" s="52" t="n">
        <v>0.11</v>
      </c>
      <c r="DJ26" s="52" t="n">
        <v>-0.03</v>
      </c>
      <c r="DK26" s="52" t="n">
        <v>0.08</v>
      </c>
      <c r="DL26" s="52" t="n">
        <v>0.08</v>
      </c>
      <c r="DM26" s="52" t="n">
        <v>0.08</v>
      </c>
      <c r="DN26" s="52" t="n">
        <v>0.04</v>
      </c>
      <c r="DO26" s="52" t="n">
        <v>0.09</v>
      </c>
      <c r="DP26" s="52" t="n">
        <v>-0.03</v>
      </c>
      <c r="DQ26" s="52" t="n">
        <v>0.03</v>
      </c>
      <c r="DR26" s="52" t="n">
        <v>0.09</v>
      </c>
      <c r="DS26" s="52" t="n">
        <v>0.02</v>
      </c>
      <c r="DT26" s="52" t="n">
        <v>-0.06</v>
      </c>
      <c r="DU26" s="52" t="n">
        <v>0.14</v>
      </c>
      <c r="DV26" s="52" t="n">
        <v>0.08</v>
      </c>
      <c r="DW26" s="52" t="n">
        <v>0.03</v>
      </c>
      <c r="DX26" s="52" t="n">
        <v>0.1</v>
      </c>
      <c r="DY26" s="52" t="n">
        <v>0.06</v>
      </c>
      <c r="DZ26" s="52" t="n">
        <v>0.02</v>
      </c>
      <c r="EA26" s="52" t="n">
        <v>0.06</v>
      </c>
      <c r="EB26" s="52" t="n">
        <v>0.04</v>
      </c>
      <c r="EC26" s="52" t="n">
        <v>-0.02</v>
      </c>
      <c r="ED26" s="52" t="n">
        <v>0.14</v>
      </c>
      <c r="EE26" s="52" t="n">
        <v>0.06</v>
      </c>
      <c r="EF26" s="52" t="n">
        <v>0.05</v>
      </c>
      <c r="EG26" s="52" t="n">
        <v>0.09</v>
      </c>
      <c r="EH26" s="52" t="n">
        <v>-0.03</v>
      </c>
      <c r="EI26" s="52" t="n">
        <v>0.02</v>
      </c>
      <c r="EJ26" s="52" t="n">
        <v>0</v>
      </c>
      <c r="EK26" s="52" t="n">
        <v>0.12</v>
      </c>
      <c r="EL26" s="52" t="n">
        <v>0.12</v>
      </c>
      <c r="EM26" s="52" t="n">
        <v>0.01</v>
      </c>
      <c r="EN26" s="52" t="n">
        <v>0.11</v>
      </c>
      <c r="EO26" s="52" t="n">
        <v>-0.01</v>
      </c>
    </row>
    <row r="27" customFormat="false" ht="15" hidden="false" customHeight="false" outlineLevel="0" collapsed="false">
      <c r="A27" s="51" t="s">
        <v>173</v>
      </c>
      <c r="B27" s="52" t="n">
        <v>0.33</v>
      </c>
      <c r="C27" s="52" t="n">
        <v>0.03</v>
      </c>
      <c r="D27" s="52" t="n">
        <v>0.02</v>
      </c>
      <c r="E27" s="52" t="n">
        <v>0.14</v>
      </c>
      <c r="F27" s="52" t="n">
        <v>0.03</v>
      </c>
      <c r="G27" s="52" t="n">
        <v>-0.03</v>
      </c>
      <c r="H27" s="52" t="n">
        <v>0.06</v>
      </c>
      <c r="I27" s="52" t="n">
        <v>0.16</v>
      </c>
      <c r="J27" s="52" t="n">
        <v>0.16</v>
      </c>
      <c r="K27" s="52" t="n">
        <v>0.13</v>
      </c>
      <c r="L27" s="52" t="n">
        <v>0.05</v>
      </c>
      <c r="M27" s="52" t="n">
        <v>0.34</v>
      </c>
      <c r="N27" s="52" t="n">
        <v>0.23</v>
      </c>
      <c r="O27" s="52" t="n">
        <v>0.19</v>
      </c>
      <c r="P27" s="52" t="n">
        <v>0.09</v>
      </c>
      <c r="Q27" s="52" t="n">
        <v>0.03</v>
      </c>
      <c r="R27" s="52" t="n">
        <v>0.12</v>
      </c>
      <c r="S27" s="52" t="n">
        <v>0.01</v>
      </c>
      <c r="T27" s="52" t="n">
        <v>0.79</v>
      </c>
      <c r="U27" s="52" t="n">
        <v>0.21</v>
      </c>
      <c r="V27" s="52" t="n">
        <v>0.04</v>
      </c>
      <c r="W27" s="52" t="n">
        <v>0.12</v>
      </c>
      <c r="X27" s="52" t="n">
        <v>1</v>
      </c>
      <c r="Y27" s="52" t="n">
        <v>0.4</v>
      </c>
      <c r="Z27" s="52" t="n">
        <v>0.1</v>
      </c>
      <c r="AA27" s="52" t="n">
        <v>0.15</v>
      </c>
      <c r="AB27" s="52" t="n">
        <v>0.4</v>
      </c>
      <c r="AC27" s="52" t="n">
        <v>0.1</v>
      </c>
      <c r="AD27" s="52" t="n">
        <v>0.03</v>
      </c>
      <c r="AE27" s="52" t="n">
        <v>0.14</v>
      </c>
      <c r="AF27" s="52" t="n">
        <v>0.15</v>
      </c>
      <c r="AG27" s="52" t="n">
        <v>0.12</v>
      </c>
      <c r="AH27" s="52" t="n">
        <v>0.16</v>
      </c>
      <c r="AI27" s="52" t="n">
        <v>0.07</v>
      </c>
      <c r="AJ27" s="52" t="n">
        <v>0.04</v>
      </c>
      <c r="AK27" s="52" t="n">
        <v>0.2</v>
      </c>
      <c r="AL27" s="52" t="n">
        <v>0.25</v>
      </c>
      <c r="AM27" s="52" t="n">
        <v>0.26</v>
      </c>
      <c r="AN27" s="52" t="n">
        <v>0.3</v>
      </c>
      <c r="AO27" s="52" t="n">
        <v>0.13</v>
      </c>
      <c r="AP27" s="52" t="n">
        <v>0.3</v>
      </c>
      <c r="AQ27" s="52" t="n">
        <v>-0.01</v>
      </c>
      <c r="AR27" s="52" t="n">
        <v>0.75</v>
      </c>
      <c r="AS27" s="52" t="n">
        <v>0.12</v>
      </c>
      <c r="AT27" s="52" t="n">
        <v>0.57</v>
      </c>
      <c r="AU27" s="52" t="n">
        <v>0.08</v>
      </c>
      <c r="AV27" s="52" t="n">
        <v>0.15</v>
      </c>
      <c r="AW27" s="52" t="n">
        <v>0.1</v>
      </c>
      <c r="AX27" s="52" t="n">
        <v>0.29</v>
      </c>
      <c r="AY27" s="52" t="n">
        <v>0.27</v>
      </c>
      <c r="AZ27" s="52" t="n">
        <v>0.15</v>
      </c>
      <c r="BA27" s="52" t="n">
        <v>0.38</v>
      </c>
      <c r="BB27" s="52" t="n">
        <v>0.7</v>
      </c>
      <c r="BC27" s="52" t="n">
        <v>0.14</v>
      </c>
      <c r="BD27" s="52" t="n">
        <v>0.16</v>
      </c>
      <c r="BE27" s="52" t="n">
        <v>0.22</v>
      </c>
      <c r="BF27" s="52" t="n">
        <v>0.12</v>
      </c>
      <c r="BG27" s="52" t="n">
        <v>0.27</v>
      </c>
      <c r="BH27" s="52" t="n">
        <v>0.14</v>
      </c>
      <c r="BI27" s="52" t="n">
        <v>0.12</v>
      </c>
      <c r="BJ27" s="52" t="n">
        <v>0.01</v>
      </c>
      <c r="BK27" s="52" t="n">
        <v>0.14</v>
      </c>
      <c r="BL27" s="52" t="n">
        <v>0.33</v>
      </c>
      <c r="BM27" s="52" t="n">
        <v>0.19</v>
      </c>
      <c r="BN27" s="52" t="n">
        <v>0.2</v>
      </c>
      <c r="BO27" s="52" t="n">
        <v>0.26</v>
      </c>
      <c r="BP27" s="52" t="n">
        <v>0.12</v>
      </c>
      <c r="BQ27" s="52" t="n">
        <v>0.31</v>
      </c>
      <c r="BR27" s="52" t="n">
        <v>0.31</v>
      </c>
      <c r="BS27" s="52" t="n">
        <v>-0.02</v>
      </c>
      <c r="BT27" s="52" t="n">
        <v>0.47</v>
      </c>
      <c r="BU27" s="52" t="n">
        <v>0.18</v>
      </c>
      <c r="BV27" s="52" t="n">
        <v>0.23</v>
      </c>
      <c r="BW27" s="52" t="n">
        <v>0.17</v>
      </c>
      <c r="BX27" s="52" t="n">
        <v>0.17</v>
      </c>
      <c r="BY27" s="52" t="n">
        <v>0.31</v>
      </c>
      <c r="BZ27" s="52" t="n">
        <v>0.32</v>
      </c>
      <c r="CA27" s="52" t="n">
        <v>0.05</v>
      </c>
      <c r="CB27" s="52" t="n">
        <v>0.01</v>
      </c>
      <c r="CC27" s="52" t="n">
        <v>0.2</v>
      </c>
      <c r="CD27" s="52" t="n">
        <v>0.2</v>
      </c>
      <c r="CE27" s="52" t="n">
        <v>0.27</v>
      </c>
      <c r="CF27" s="52" t="n">
        <v>-0.02</v>
      </c>
      <c r="CG27" s="52" t="n">
        <v>0.31</v>
      </c>
      <c r="CH27" s="52" t="n">
        <v>0.24</v>
      </c>
      <c r="CI27" s="52" t="n">
        <v>0</v>
      </c>
      <c r="CJ27" s="52" t="n">
        <v>0.1</v>
      </c>
      <c r="CK27" s="52" t="n">
        <v>0.19</v>
      </c>
      <c r="CL27" s="52" t="n">
        <v>0.2</v>
      </c>
      <c r="CM27" s="52" t="n">
        <v>0.19</v>
      </c>
      <c r="CN27" s="52" t="n">
        <v>0.1</v>
      </c>
      <c r="CO27" s="52" t="n">
        <v>0.1</v>
      </c>
      <c r="CP27" s="52" t="n">
        <v>0.13</v>
      </c>
      <c r="CQ27" s="52" t="n">
        <v>0.5</v>
      </c>
      <c r="CR27" s="52" t="n">
        <v>0.21</v>
      </c>
      <c r="CS27" s="52" t="n">
        <v>0.43</v>
      </c>
      <c r="CT27" s="52" t="n">
        <v>0.27</v>
      </c>
      <c r="CU27" s="52" t="n">
        <v>0.13</v>
      </c>
      <c r="CV27" s="52" t="n">
        <v>0.2</v>
      </c>
      <c r="CW27" s="52" t="n">
        <v>0.23</v>
      </c>
      <c r="CX27" s="52" t="n">
        <v>0.37</v>
      </c>
      <c r="CY27" s="52" t="n">
        <v>0.44</v>
      </c>
      <c r="CZ27" s="52" t="n">
        <v>0.14</v>
      </c>
      <c r="DA27" s="52" t="n">
        <v>0.14</v>
      </c>
      <c r="DB27" s="52" t="n">
        <v>0.18</v>
      </c>
      <c r="DC27" s="52" t="n">
        <v>0.26</v>
      </c>
      <c r="DD27" s="52" t="n">
        <v>0.33</v>
      </c>
      <c r="DE27" s="52" t="n">
        <v>0.28</v>
      </c>
      <c r="DF27" s="52" t="n">
        <v>0.09</v>
      </c>
      <c r="DG27" s="52" t="n">
        <v>0.23</v>
      </c>
      <c r="DH27" s="52" t="n">
        <v>0.19</v>
      </c>
      <c r="DI27" s="52" t="n">
        <v>0.4</v>
      </c>
      <c r="DJ27" s="52" t="n">
        <v>0.39</v>
      </c>
      <c r="DK27" s="52" t="n">
        <v>0.47</v>
      </c>
      <c r="DL27" s="52" t="n">
        <v>0.07</v>
      </c>
      <c r="DM27" s="52" t="n">
        <v>0.46</v>
      </c>
      <c r="DN27" s="52" t="n">
        <v>0.24</v>
      </c>
      <c r="DO27" s="52" t="n">
        <v>0.26</v>
      </c>
      <c r="DP27" s="52" t="n">
        <v>0.37</v>
      </c>
      <c r="DQ27" s="52" t="n">
        <v>0.19</v>
      </c>
      <c r="DR27" s="52" t="n">
        <v>0.25</v>
      </c>
      <c r="DS27" s="52" t="n">
        <v>0.13</v>
      </c>
      <c r="DT27" s="52" t="n">
        <v>0.15</v>
      </c>
      <c r="DU27" s="52" t="n">
        <v>0.37</v>
      </c>
      <c r="DV27" s="52" t="n">
        <v>0.18</v>
      </c>
      <c r="DW27" s="52" t="n">
        <v>0.21</v>
      </c>
      <c r="DX27" s="52" t="n">
        <v>0.27</v>
      </c>
      <c r="DY27" s="52" t="n">
        <v>0.31</v>
      </c>
      <c r="DZ27" s="52" t="n">
        <v>0.1</v>
      </c>
      <c r="EA27" s="52" t="n">
        <v>0.09</v>
      </c>
      <c r="EB27" s="52" t="n">
        <v>0.31</v>
      </c>
      <c r="EC27" s="52" t="n">
        <v>0.07</v>
      </c>
      <c r="ED27" s="52" t="n">
        <v>0.2</v>
      </c>
      <c r="EE27" s="52" t="n">
        <v>0.2</v>
      </c>
      <c r="EF27" s="52" t="n">
        <v>0.29</v>
      </c>
      <c r="EG27" s="52" t="n">
        <v>0.14</v>
      </c>
      <c r="EH27" s="52" t="n">
        <v>0.05</v>
      </c>
      <c r="EI27" s="52" t="n">
        <v>0.09</v>
      </c>
      <c r="EJ27" s="52" t="n">
        <v>0.19</v>
      </c>
      <c r="EK27" s="52" t="n">
        <v>0.3</v>
      </c>
      <c r="EL27" s="52" t="n">
        <v>0.27</v>
      </c>
      <c r="EM27" s="52" t="n">
        <v>0.11</v>
      </c>
      <c r="EN27" s="52" t="n">
        <v>0.08</v>
      </c>
      <c r="EO27" s="52" t="n">
        <v>0.08</v>
      </c>
    </row>
    <row r="28" customFormat="false" ht="15" hidden="false" customHeight="false" outlineLevel="0" collapsed="false">
      <c r="A28" s="51" t="s">
        <v>174</v>
      </c>
      <c r="B28" s="52" t="n">
        <v>0.45</v>
      </c>
      <c r="C28" s="52" t="n">
        <v>0.1</v>
      </c>
      <c r="D28" s="52" t="n">
        <v>0</v>
      </c>
      <c r="E28" s="52" t="n">
        <v>0.04</v>
      </c>
      <c r="F28" s="52" t="n">
        <v>0.3</v>
      </c>
      <c r="G28" s="52" t="n">
        <v>-0.05</v>
      </c>
      <c r="H28" s="52" t="n">
        <v>-0.09</v>
      </c>
      <c r="I28" s="52" t="n">
        <v>0.4</v>
      </c>
      <c r="J28" s="52" t="n">
        <v>0.26</v>
      </c>
      <c r="K28" s="52" t="n">
        <v>0.3</v>
      </c>
      <c r="L28" s="52" t="n">
        <v>0.17</v>
      </c>
      <c r="M28" s="52" t="n">
        <v>0.23</v>
      </c>
      <c r="N28" s="52" t="n">
        <v>0.26</v>
      </c>
      <c r="O28" s="52" t="n">
        <v>0.05</v>
      </c>
      <c r="P28" s="52" t="n">
        <v>0.38</v>
      </c>
      <c r="Q28" s="52" t="n">
        <v>0.05</v>
      </c>
      <c r="R28" s="52" t="n">
        <v>0.22</v>
      </c>
      <c r="S28" s="52" t="n">
        <v>0.15</v>
      </c>
      <c r="T28" s="52" t="n">
        <v>0.37</v>
      </c>
      <c r="U28" s="52" t="n">
        <v>0.05</v>
      </c>
      <c r="V28" s="52" t="n">
        <v>0.07</v>
      </c>
      <c r="W28" s="52" t="n">
        <v>0.03</v>
      </c>
      <c r="X28" s="52" t="n">
        <v>0.4</v>
      </c>
      <c r="Y28" s="52" t="n">
        <v>1</v>
      </c>
      <c r="Z28" s="52" t="n">
        <v>0</v>
      </c>
      <c r="AA28" s="52" t="n">
        <v>0.12</v>
      </c>
      <c r="AB28" s="52" t="n">
        <v>0.88</v>
      </c>
      <c r="AC28" s="52" t="n">
        <v>0.05</v>
      </c>
      <c r="AD28" s="52" t="n">
        <v>0.02</v>
      </c>
      <c r="AE28" s="52" t="n">
        <v>0.14</v>
      </c>
      <c r="AF28" s="52" t="n">
        <v>-0.02</v>
      </c>
      <c r="AG28" s="52" t="n">
        <v>0.19</v>
      </c>
      <c r="AH28" s="52" t="n">
        <v>0.13</v>
      </c>
      <c r="AI28" s="52" t="n">
        <v>0.09</v>
      </c>
      <c r="AJ28" s="52" t="n">
        <v>-0.06</v>
      </c>
      <c r="AK28" s="52" t="n">
        <v>-0.02</v>
      </c>
      <c r="AL28" s="52" t="n">
        <v>0.3</v>
      </c>
      <c r="AM28" s="52" t="n">
        <v>0.11</v>
      </c>
      <c r="AN28" s="52" t="n">
        <v>0.32</v>
      </c>
      <c r="AO28" s="52" t="n">
        <v>0.33</v>
      </c>
      <c r="AP28" s="52" t="n">
        <v>0.29</v>
      </c>
      <c r="AQ28" s="52" t="n">
        <v>0.08</v>
      </c>
      <c r="AR28" s="52" t="n">
        <v>0.34</v>
      </c>
      <c r="AS28" s="52" t="n">
        <v>0.04</v>
      </c>
      <c r="AT28" s="52" t="n">
        <v>0.52</v>
      </c>
      <c r="AU28" s="52" t="n">
        <v>0.19</v>
      </c>
      <c r="AV28" s="52" t="n">
        <v>0.11</v>
      </c>
      <c r="AW28" s="52" t="n">
        <v>0.05</v>
      </c>
      <c r="AX28" s="52" t="n">
        <v>0.28</v>
      </c>
      <c r="AY28" s="52" t="n">
        <v>0.45</v>
      </c>
      <c r="AZ28" s="52" t="n">
        <v>0.16</v>
      </c>
      <c r="BA28" s="52" t="n">
        <v>0.17</v>
      </c>
      <c r="BB28" s="52" t="n">
        <v>0.29</v>
      </c>
      <c r="BC28" s="52" t="n">
        <v>0.05</v>
      </c>
      <c r="BD28" s="52" t="n">
        <v>0.08</v>
      </c>
      <c r="BE28" s="52" t="n">
        <v>0.26</v>
      </c>
      <c r="BF28" s="52" t="n">
        <v>-0.03</v>
      </c>
      <c r="BG28" s="52" t="n">
        <v>0.32</v>
      </c>
      <c r="BH28" s="52" t="n">
        <v>0.03</v>
      </c>
      <c r="BI28" s="52" t="n">
        <v>0.04</v>
      </c>
      <c r="BJ28" s="52" t="n">
        <v>0.03</v>
      </c>
      <c r="BK28" s="52" t="n">
        <v>0.1</v>
      </c>
      <c r="BL28" s="52" t="n">
        <v>0.02</v>
      </c>
      <c r="BM28" s="52" t="n">
        <v>0.2</v>
      </c>
      <c r="BN28" s="52" t="n">
        <v>0.21</v>
      </c>
      <c r="BO28" s="52" t="n">
        <v>0.2</v>
      </c>
      <c r="BP28" s="52" t="n">
        <v>0.25</v>
      </c>
      <c r="BQ28" s="52" t="n">
        <v>0.04</v>
      </c>
      <c r="BR28" s="52" t="n">
        <v>0.18</v>
      </c>
      <c r="BS28" s="52" t="n">
        <v>-0.02</v>
      </c>
      <c r="BT28" s="52" t="n">
        <v>0.16</v>
      </c>
      <c r="BU28" s="52" t="n">
        <v>-0.02</v>
      </c>
      <c r="BV28" s="52" t="n">
        <v>0.24</v>
      </c>
      <c r="BW28" s="52" t="n">
        <v>0.2</v>
      </c>
      <c r="BX28" s="52" t="n">
        <v>0.11</v>
      </c>
      <c r="BY28" s="52" t="n">
        <v>0.17</v>
      </c>
      <c r="BZ28" s="52" t="n">
        <v>0.11</v>
      </c>
      <c r="CA28" s="52" t="n">
        <v>0.01</v>
      </c>
      <c r="CB28" s="52" t="n">
        <v>0.1</v>
      </c>
      <c r="CC28" s="52" t="n">
        <v>0.25</v>
      </c>
      <c r="CD28" s="52" t="n">
        <v>0.31</v>
      </c>
      <c r="CE28" s="52" t="n">
        <v>0.12</v>
      </c>
      <c r="CF28" s="52" t="n">
        <v>0.03</v>
      </c>
      <c r="CG28" s="52" t="n">
        <v>0.34</v>
      </c>
      <c r="CH28" s="52" t="n">
        <v>0.06</v>
      </c>
      <c r="CI28" s="52" t="n">
        <v>0.04</v>
      </c>
      <c r="CJ28" s="52" t="n">
        <v>0.32</v>
      </c>
      <c r="CK28" s="52" t="n">
        <v>0.32</v>
      </c>
      <c r="CL28" s="52" t="n">
        <v>0.07</v>
      </c>
      <c r="CM28" s="52" t="n">
        <v>-0.04</v>
      </c>
      <c r="CN28" s="52" t="n">
        <v>0</v>
      </c>
      <c r="CO28" s="52" t="n">
        <v>0.04</v>
      </c>
      <c r="CP28" s="52" t="n">
        <v>0.13</v>
      </c>
      <c r="CQ28" s="52" t="n">
        <v>0.28</v>
      </c>
      <c r="CR28" s="52" t="n">
        <v>0</v>
      </c>
      <c r="CS28" s="52" t="n">
        <v>0</v>
      </c>
      <c r="CT28" s="52" t="n">
        <v>0.25</v>
      </c>
      <c r="CU28" s="52" t="n">
        <v>0.01</v>
      </c>
      <c r="CV28" s="52" t="n">
        <v>0.23</v>
      </c>
      <c r="CW28" s="52" t="n">
        <v>0.34</v>
      </c>
      <c r="CX28" s="52" t="n">
        <v>0.3</v>
      </c>
      <c r="CY28" s="52" t="n">
        <v>0.28</v>
      </c>
      <c r="CZ28" s="52" t="n">
        <v>0.25</v>
      </c>
      <c r="DA28" s="52" t="n">
        <v>0.33</v>
      </c>
      <c r="DB28" s="52" t="n">
        <v>0.03</v>
      </c>
      <c r="DC28" s="52" t="n">
        <v>0.05</v>
      </c>
      <c r="DD28" s="52" t="n">
        <v>0.4</v>
      </c>
      <c r="DE28" s="52" t="n">
        <v>0</v>
      </c>
      <c r="DF28" s="52" t="n">
        <v>0.3</v>
      </c>
      <c r="DG28" s="52" t="n">
        <v>0.05</v>
      </c>
      <c r="DH28" s="52" t="n">
        <v>-0.02</v>
      </c>
      <c r="DI28" s="52" t="n">
        <v>0.24</v>
      </c>
      <c r="DJ28" s="52" t="n">
        <v>0.33</v>
      </c>
      <c r="DK28" s="52" t="n">
        <v>0.23</v>
      </c>
      <c r="DL28" s="52" t="n">
        <v>-0.07</v>
      </c>
      <c r="DM28" s="52" t="n">
        <v>0.35</v>
      </c>
      <c r="DN28" s="52" t="n">
        <v>0.3</v>
      </c>
      <c r="DO28" s="52" t="n">
        <v>0.06</v>
      </c>
      <c r="DP28" s="52" t="n">
        <v>0.34</v>
      </c>
      <c r="DQ28" s="52" t="n">
        <v>-0.1</v>
      </c>
      <c r="DR28" s="52" t="n">
        <v>-0.02</v>
      </c>
      <c r="DS28" s="52" t="n">
        <v>0.25</v>
      </c>
      <c r="DT28" s="52" t="n">
        <v>-0.08</v>
      </c>
      <c r="DU28" s="52" t="n">
        <v>0.09</v>
      </c>
      <c r="DV28" s="52" t="n">
        <v>0.19</v>
      </c>
      <c r="DW28" s="52" t="n">
        <v>0.33</v>
      </c>
      <c r="DX28" s="52" t="n">
        <v>-0.08</v>
      </c>
      <c r="DY28" s="52" t="n">
        <v>0.36</v>
      </c>
      <c r="DZ28" s="52" t="n">
        <v>0.09</v>
      </c>
      <c r="EA28" s="52" t="n">
        <v>0.06</v>
      </c>
      <c r="EB28" s="52" t="n">
        <v>0.23</v>
      </c>
      <c r="EC28" s="52" t="n">
        <v>0.03</v>
      </c>
      <c r="ED28" s="52" t="n">
        <v>0.06</v>
      </c>
      <c r="EE28" s="52" t="n">
        <v>-0.06</v>
      </c>
      <c r="EF28" s="52" t="n">
        <v>0.11</v>
      </c>
      <c r="EG28" s="52" t="n">
        <v>-0.03</v>
      </c>
      <c r="EH28" s="52" t="n">
        <v>0.21</v>
      </c>
      <c r="EI28" s="52" t="n">
        <v>-0.12</v>
      </c>
      <c r="EJ28" s="52" t="n">
        <v>0.07</v>
      </c>
      <c r="EK28" s="52" t="n">
        <v>0.01</v>
      </c>
      <c r="EL28" s="52" t="n">
        <v>-0.05</v>
      </c>
      <c r="EM28" s="52" t="n">
        <v>-0.02</v>
      </c>
      <c r="EN28" s="52" t="n">
        <v>0.09</v>
      </c>
      <c r="EO28" s="52" t="n">
        <v>0.04</v>
      </c>
    </row>
    <row r="29" customFormat="false" ht="15" hidden="false" customHeight="false" outlineLevel="0" collapsed="false">
      <c r="A29" s="51" t="s">
        <v>175</v>
      </c>
      <c r="B29" s="52" t="n">
        <v>0.04</v>
      </c>
      <c r="C29" s="52" t="n">
        <v>0.21</v>
      </c>
      <c r="D29" s="52" t="n">
        <v>0.09</v>
      </c>
      <c r="E29" s="52" t="n">
        <v>0.18</v>
      </c>
      <c r="F29" s="52" t="n">
        <v>0.1</v>
      </c>
      <c r="G29" s="52" t="n">
        <v>0.22</v>
      </c>
      <c r="H29" s="52" t="n">
        <v>0.28</v>
      </c>
      <c r="I29" s="52" t="n">
        <v>0.11</v>
      </c>
      <c r="J29" s="52" t="n">
        <v>0.06</v>
      </c>
      <c r="K29" s="52" t="n">
        <v>0.14</v>
      </c>
      <c r="L29" s="52" t="n">
        <v>0.3</v>
      </c>
      <c r="M29" s="52" t="n">
        <v>0.29</v>
      </c>
      <c r="N29" s="52" t="n">
        <v>0.12</v>
      </c>
      <c r="O29" s="52" t="n">
        <v>0.38</v>
      </c>
      <c r="P29" s="52" t="n">
        <v>0.07</v>
      </c>
      <c r="Q29" s="52" t="n">
        <v>0.12</v>
      </c>
      <c r="R29" s="52" t="n">
        <v>0.14</v>
      </c>
      <c r="S29" s="52" t="n">
        <v>0.27</v>
      </c>
      <c r="T29" s="52" t="n">
        <v>0.07</v>
      </c>
      <c r="U29" s="52" t="n">
        <v>0.3</v>
      </c>
      <c r="V29" s="52" t="n">
        <v>0.33</v>
      </c>
      <c r="W29" s="52" t="n">
        <v>0.22</v>
      </c>
      <c r="X29" s="52" t="n">
        <v>0.1</v>
      </c>
      <c r="Y29" s="52" t="n">
        <v>0</v>
      </c>
      <c r="Z29" s="52" t="n">
        <v>1</v>
      </c>
      <c r="AA29" s="52" t="n">
        <v>0.19</v>
      </c>
      <c r="AB29" s="52" t="n">
        <v>0.01</v>
      </c>
      <c r="AC29" s="52" t="n">
        <v>0.21</v>
      </c>
      <c r="AD29" s="52" t="n">
        <v>0.27</v>
      </c>
      <c r="AE29" s="52" t="n">
        <v>0.31</v>
      </c>
      <c r="AF29" s="52" t="n">
        <v>0.29</v>
      </c>
      <c r="AG29" s="52" t="n">
        <v>0.01</v>
      </c>
      <c r="AH29" s="52" t="n">
        <v>-0.03</v>
      </c>
      <c r="AI29" s="52" t="n">
        <v>-0.06</v>
      </c>
      <c r="AJ29" s="52" t="n">
        <v>0.18</v>
      </c>
      <c r="AK29" s="52" t="n">
        <v>0.4</v>
      </c>
      <c r="AL29" s="52" t="n">
        <v>0.04</v>
      </c>
      <c r="AM29" s="52" t="n">
        <v>0.31</v>
      </c>
      <c r="AN29" s="52" t="n">
        <v>0.17</v>
      </c>
      <c r="AO29" s="52" t="n">
        <v>0.01</v>
      </c>
      <c r="AP29" s="52" t="n">
        <v>0.06</v>
      </c>
      <c r="AQ29" s="52" t="n">
        <v>-0.02</v>
      </c>
      <c r="AR29" s="52" t="n">
        <v>0.02</v>
      </c>
      <c r="AS29" s="52" t="n">
        <v>0.31</v>
      </c>
      <c r="AT29" s="52" t="n">
        <v>0.06</v>
      </c>
      <c r="AU29" s="52" t="n">
        <v>0.11</v>
      </c>
      <c r="AV29" s="52" t="n">
        <v>0.26</v>
      </c>
      <c r="AW29" s="52" t="n">
        <v>0.37</v>
      </c>
      <c r="AX29" s="52" t="n">
        <v>0.1</v>
      </c>
      <c r="AY29" s="52" t="n">
        <v>0.02</v>
      </c>
      <c r="AZ29" s="52" t="n">
        <v>0.24</v>
      </c>
      <c r="BA29" s="52" t="n">
        <v>0.19</v>
      </c>
      <c r="BB29" s="52" t="n">
        <v>0.07</v>
      </c>
      <c r="BC29" s="52" t="n">
        <v>0.19</v>
      </c>
      <c r="BD29" s="52" t="n">
        <v>0.33</v>
      </c>
      <c r="BE29" s="52" t="n">
        <v>0.09</v>
      </c>
      <c r="BF29" s="52" t="n">
        <v>0.45</v>
      </c>
      <c r="BG29" s="52" t="n">
        <v>0.05</v>
      </c>
      <c r="BH29" s="52" t="n">
        <v>0.33</v>
      </c>
      <c r="BI29" s="52" t="n">
        <v>0.13</v>
      </c>
      <c r="BJ29" s="52" t="n">
        <v>-0.09</v>
      </c>
      <c r="BK29" s="52" t="n">
        <v>0.29</v>
      </c>
      <c r="BL29" s="52" t="n">
        <v>0.18</v>
      </c>
      <c r="BM29" s="52" t="n">
        <v>0.03</v>
      </c>
      <c r="BN29" s="52" t="n">
        <v>0</v>
      </c>
      <c r="BO29" s="52" t="n">
        <v>0.05</v>
      </c>
      <c r="BP29" s="52" t="n">
        <v>0.02</v>
      </c>
      <c r="BQ29" s="52" t="n">
        <v>0.37</v>
      </c>
      <c r="BR29" s="52" t="n">
        <v>0.03</v>
      </c>
      <c r="BS29" s="52" t="n">
        <v>-0.11</v>
      </c>
      <c r="BT29" s="52" t="n">
        <v>0.12</v>
      </c>
      <c r="BU29" s="52" t="n">
        <v>0.28</v>
      </c>
      <c r="BV29" s="52" t="n">
        <v>0.01</v>
      </c>
      <c r="BW29" s="52" t="n">
        <v>0.08</v>
      </c>
      <c r="BX29" s="52" t="n">
        <v>-0.01</v>
      </c>
      <c r="BY29" s="52" t="n">
        <v>0.14</v>
      </c>
      <c r="BZ29" s="52" t="n">
        <v>0.11</v>
      </c>
      <c r="CA29" s="52" t="n">
        <v>0.22</v>
      </c>
      <c r="CB29" s="52" t="n">
        <v>-0.09</v>
      </c>
      <c r="CC29" s="52" t="n">
        <v>0.01</v>
      </c>
      <c r="CD29" s="52" t="n">
        <v>0.11</v>
      </c>
      <c r="CE29" s="52" t="n">
        <v>-0.02</v>
      </c>
      <c r="CF29" s="52" t="n">
        <v>-0.06</v>
      </c>
      <c r="CG29" s="52" t="n">
        <v>0.08</v>
      </c>
      <c r="CH29" s="52" t="n">
        <v>0.34</v>
      </c>
      <c r="CI29" s="52" t="n">
        <v>-0.1</v>
      </c>
      <c r="CJ29" s="52" t="n">
        <v>0.02</v>
      </c>
      <c r="CK29" s="52" t="n">
        <v>0.05</v>
      </c>
      <c r="CL29" s="52" t="n">
        <v>0.11</v>
      </c>
      <c r="CM29" s="52" t="n">
        <v>0.07</v>
      </c>
      <c r="CN29" s="52" t="n">
        <v>0.27</v>
      </c>
      <c r="CO29" s="52" t="n">
        <v>0.11</v>
      </c>
      <c r="CP29" s="52" t="n">
        <v>0.08</v>
      </c>
      <c r="CQ29" s="52" t="n">
        <v>0.11</v>
      </c>
      <c r="CR29" s="52" t="n">
        <v>0.11</v>
      </c>
      <c r="CS29" s="52" t="n">
        <v>0.13</v>
      </c>
      <c r="CT29" s="52" t="n">
        <v>0.15</v>
      </c>
      <c r="CU29" s="52" t="n">
        <v>0.15</v>
      </c>
      <c r="CV29" s="52" t="n">
        <v>0.1</v>
      </c>
      <c r="CW29" s="52" t="n">
        <v>0.11</v>
      </c>
      <c r="CX29" s="52" t="n">
        <v>0.13</v>
      </c>
      <c r="CY29" s="52" t="n">
        <v>0.12</v>
      </c>
      <c r="CZ29" s="52" t="n">
        <v>0.04</v>
      </c>
      <c r="DA29" s="52" t="n">
        <v>0</v>
      </c>
      <c r="DB29" s="52" t="n">
        <v>0.14</v>
      </c>
      <c r="DC29" s="52" t="n">
        <v>0.23</v>
      </c>
      <c r="DD29" s="52" t="n">
        <v>0.07</v>
      </c>
      <c r="DE29" s="52" t="n">
        <v>0.2</v>
      </c>
      <c r="DF29" s="52" t="n">
        <v>0</v>
      </c>
      <c r="DG29" s="52" t="n">
        <v>0.23</v>
      </c>
      <c r="DH29" s="52" t="n">
        <v>0.1</v>
      </c>
      <c r="DI29" s="52" t="n">
        <v>0.09</v>
      </c>
      <c r="DJ29" s="52" t="n">
        <v>0.11</v>
      </c>
      <c r="DK29" s="52" t="n">
        <v>0.09</v>
      </c>
      <c r="DL29" s="52" t="n">
        <v>0.33</v>
      </c>
      <c r="DM29" s="52" t="n">
        <v>0.2</v>
      </c>
      <c r="DN29" s="52" t="n">
        <v>0.08</v>
      </c>
      <c r="DO29" s="52" t="n">
        <v>-0.03</v>
      </c>
      <c r="DP29" s="52" t="n">
        <v>0.15</v>
      </c>
      <c r="DQ29" s="52" t="n">
        <v>0.05</v>
      </c>
      <c r="DR29" s="52" t="n">
        <v>0.15</v>
      </c>
      <c r="DS29" s="52" t="n">
        <v>0</v>
      </c>
      <c r="DT29" s="52" t="n">
        <v>0.08</v>
      </c>
      <c r="DU29" s="52" t="n">
        <v>0.14</v>
      </c>
      <c r="DV29" s="52" t="n">
        <v>0.05</v>
      </c>
      <c r="DW29" s="52" t="n">
        <v>0.04</v>
      </c>
      <c r="DX29" s="52" t="n">
        <v>0.06</v>
      </c>
      <c r="DY29" s="52" t="n">
        <v>0.1</v>
      </c>
      <c r="DZ29" s="52" t="n">
        <v>0.04</v>
      </c>
      <c r="EA29" s="52" t="n">
        <v>0.16</v>
      </c>
      <c r="EB29" s="52" t="n">
        <v>0.14</v>
      </c>
      <c r="EC29" s="52" t="n">
        <v>0.09</v>
      </c>
      <c r="ED29" s="52" t="n">
        <v>0.16</v>
      </c>
      <c r="EE29" s="52" t="n">
        <v>0.07</v>
      </c>
      <c r="EF29" s="52" t="n">
        <v>0.16</v>
      </c>
      <c r="EG29" s="52" t="n">
        <v>0.05</v>
      </c>
      <c r="EH29" s="52" t="n">
        <v>0.02</v>
      </c>
      <c r="EI29" s="52" t="n">
        <v>0.1</v>
      </c>
      <c r="EJ29" s="52" t="n">
        <v>0.17</v>
      </c>
      <c r="EK29" s="52" t="n">
        <v>0.13</v>
      </c>
      <c r="EL29" s="52" t="n">
        <v>0.12</v>
      </c>
      <c r="EM29" s="52" t="n">
        <v>0.08</v>
      </c>
      <c r="EN29" s="52" t="n">
        <v>0.1</v>
      </c>
      <c r="EO29" s="52" t="n">
        <v>0.06</v>
      </c>
    </row>
    <row r="30" customFormat="false" ht="15" hidden="false" customHeight="false" outlineLevel="0" collapsed="false">
      <c r="A30" s="51" t="s">
        <v>176</v>
      </c>
      <c r="B30" s="52" t="n">
        <v>0.06</v>
      </c>
      <c r="C30" s="52" t="n">
        <v>0.09</v>
      </c>
      <c r="D30" s="52" t="n">
        <v>0.09</v>
      </c>
      <c r="E30" s="52" t="n">
        <v>0.21</v>
      </c>
      <c r="F30" s="52" t="n">
        <v>0.27</v>
      </c>
      <c r="G30" s="52" t="n">
        <v>0.08</v>
      </c>
      <c r="H30" s="52" t="n">
        <v>0.21</v>
      </c>
      <c r="I30" s="52" t="n">
        <v>0.21</v>
      </c>
      <c r="J30" s="52" t="n">
        <v>0.17</v>
      </c>
      <c r="K30" s="52" t="n">
        <v>0.21</v>
      </c>
      <c r="L30" s="52" t="n">
        <v>0.31</v>
      </c>
      <c r="M30" s="52" t="n">
        <v>0.21</v>
      </c>
      <c r="N30" s="52" t="n">
        <v>0.18</v>
      </c>
      <c r="O30" s="52" t="n">
        <v>0.37</v>
      </c>
      <c r="P30" s="52" t="n">
        <v>0.19</v>
      </c>
      <c r="Q30" s="52" t="n">
        <v>0</v>
      </c>
      <c r="R30" s="52" t="n">
        <v>0.23</v>
      </c>
      <c r="S30" s="52" t="n">
        <v>0.22</v>
      </c>
      <c r="T30" s="52" t="n">
        <v>0.13</v>
      </c>
      <c r="U30" s="52" t="n">
        <v>0.29</v>
      </c>
      <c r="V30" s="52" t="n">
        <v>0.26</v>
      </c>
      <c r="W30" s="52" t="n">
        <v>0.46</v>
      </c>
      <c r="X30" s="52" t="n">
        <v>0.15</v>
      </c>
      <c r="Y30" s="52" t="n">
        <v>0.12</v>
      </c>
      <c r="Z30" s="52" t="n">
        <v>0.19</v>
      </c>
      <c r="AA30" s="52" t="n">
        <v>1</v>
      </c>
      <c r="AB30" s="52" t="n">
        <v>0.13</v>
      </c>
      <c r="AC30" s="52" t="n">
        <v>0.14</v>
      </c>
      <c r="AD30" s="52" t="n">
        <v>0.2</v>
      </c>
      <c r="AE30" s="52" t="n">
        <v>0.29</v>
      </c>
      <c r="AF30" s="52" t="n">
        <v>0.31</v>
      </c>
      <c r="AG30" s="52" t="n">
        <v>0.08</v>
      </c>
      <c r="AH30" s="52" t="n">
        <v>0.15</v>
      </c>
      <c r="AI30" s="52" t="n">
        <v>-0.11</v>
      </c>
      <c r="AJ30" s="52" t="n">
        <v>0.21</v>
      </c>
      <c r="AK30" s="52" t="n">
        <v>0.22</v>
      </c>
      <c r="AL30" s="52" t="n">
        <v>0.16</v>
      </c>
      <c r="AM30" s="52" t="n">
        <v>0.24</v>
      </c>
      <c r="AN30" s="52" t="n">
        <v>0.23</v>
      </c>
      <c r="AO30" s="52" t="n">
        <v>0.18</v>
      </c>
      <c r="AP30" s="52" t="n">
        <v>0.22</v>
      </c>
      <c r="AQ30" s="52" t="n">
        <v>-0.09</v>
      </c>
      <c r="AR30" s="52" t="n">
        <v>0.16</v>
      </c>
      <c r="AS30" s="52" t="n">
        <v>0.24</v>
      </c>
      <c r="AT30" s="52" t="n">
        <v>0.12</v>
      </c>
      <c r="AU30" s="52" t="n">
        <v>0.16</v>
      </c>
      <c r="AV30" s="52" t="n">
        <v>0.18</v>
      </c>
      <c r="AW30" s="52" t="n">
        <v>0.06</v>
      </c>
      <c r="AX30" s="52" t="n">
        <v>0.24</v>
      </c>
      <c r="AY30" s="52" t="n">
        <v>0.13</v>
      </c>
      <c r="AZ30" s="52" t="n">
        <v>0.3</v>
      </c>
      <c r="BA30" s="52" t="n">
        <v>0.22</v>
      </c>
      <c r="BB30" s="52" t="n">
        <v>0.13</v>
      </c>
      <c r="BC30" s="52" t="n">
        <v>0.16</v>
      </c>
      <c r="BD30" s="52" t="n">
        <v>0.25</v>
      </c>
      <c r="BE30" s="52" t="n">
        <v>0.16</v>
      </c>
      <c r="BF30" s="52" t="n">
        <v>0.21</v>
      </c>
      <c r="BG30" s="52" t="n">
        <v>-0.02</v>
      </c>
      <c r="BH30" s="52" t="n">
        <v>0.07</v>
      </c>
      <c r="BI30" s="52" t="n">
        <v>0.02</v>
      </c>
      <c r="BJ30" s="52" t="n">
        <v>-0.01</v>
      </c>
      <c r="BK30" s="52" t="n">
        <v>0.24</v>
      </c>
      <c r="BL30" s="52" t="n">
        <v>0.12</v>
      </c>
      <c r="BM30" s="52" t="n">
        <v>0.18</v>
      </c>
      <c r="BN30" s="52" t="n">
        <v>0.01</v>
      </c>
      <c r="BO30" s="52" t="n">
        <v>0.06</v>
      </c>
      <c r="BP30" s="52" t="n">
        <v>0.09</v>
      </c>
      <c r="BQ30" s="52" t="n">
        <v>0.26</v>
      </c>
      <c r="BR30" s="52" t="n">
        <v>0.19</v>
      </c>
      <c r="BS30" s="52" t="n">
        <v>-0.14</v>
      </c>
      <c r="BT30" s="52" t="n">
        <v>0.15</v>
      </c>
      <c r="BU30" s="52" t="n">
        <v>0.12</v>
      </c>
      <c r="BV30" s="52" t="n">
        <v>0.03</v>
      </c>
      <c r="BW30" s="52" t="n">
        <v>0.16</v>
      </c>
      <c r="BX30" s="52" t="n">
        <v>0.02</v>
      </c>
      <c r="BY30" s="52" t="n">
        <v>0.21</v>
      </c>
      <c r="BZ30" s="52" t="n">
        <v>0.18</v>
      </c>
      <c r="CA30" s="52" t="n">
        <v>0.22</v>
      </c>
      <c r="CB30" s="52" t="n">
        <v>-0.08</v>
      </c>
      <c r="CC30" s="52" t="n">
        <v>0</v>
      </c>
      <c r="CD30" s="52" t="n">
        <v>0.08</v>
      </c>
      <c r="CE30" s="52" t="n">
        <v>0.08</v>
      </c>
      <c r="CF30" s="52" t="n">
        <v>-0.07</v>
      </c>
      <c r="CG30" s="52" t="n">
        <v>0.07</v>
      </c>
      <c r="CH30" s="52" t="n">
        <v>0.19</v>
      </c>
      <c r="CI30" s="52" t="n">
        <v>-0.15</v>
      </c>
      <c r="CJ30" s="52" t="n">
        <v>0.02</v>
      </c>
      <c r="CK30" s="52" t="n">
        <v>-0.01</v>
      </c>
      <c r="CL30" s="52" t="n">
        <v>0.21</v>
      </c>
      <c r="CM30" s="52" t="n">
        <v>-0.07</v>
      </c>
      <c r="CN30" s="52" t="n">
        <v>0.14</v>
      </c>
      <c r="CO30" s="52" t="n">
        <v>0.03</v>
      </c>
      <c r="CP30" s="52" t="n">
        <v>0.04</v>
      </c>
      <c r="CQ30" s="52" t="n">
        <v>0.16</v>
      </c>
      <c r="CR30" s="52" t="n">
        <v>0.11</v>
      </c>
      <c r="CS30" s="52" t="n">
        <v>0.1</v>
      </c>
      <c r="CT30" s="52" t="n">
        <v>0.13</v>
      </c>
      <c r="CU30" s="52" t="n">
        <v>0.05</v>
      </c>
      <c r="CV30" s="52" t="n">
        <v>-0.03</v>
      </c>
      <c r="CW30" s="52" t="n">
        <v>0.23</v>
      </c>
      <c r="CX30" s="52" t="n">
        <v>0.19</v>
      </c>
      <c r="CY30" s="52" t="n">
        <v>0.12</v>
      </c>
      <c r="CZ30" s="52" t="n">
        <v>0.09</v>
      </c>
      <c r="DA30" s="52" t="n">
        <v>-0.05</v>
      </c>
      <c r="DB30" s="52" t="n">
        <v>0.06</v>
      </c>
      <c r="DC30" s="52" t="n">
        <v>0.28</v>
      </c>
      <c r="DD30" s="52" t="n">
        <v>0.05</v>
      </c>
      <c r="DE30" s="52" t="n">
        <v>0.09</v>
      </c>
      <c r="DF30" s="52" t="n">
        <v>0.02</v>
      </c>
      <c r="DG30" s="52" t="n">
        <v>0.07</v>
      </c>
      <c r="DH30" s="52" t="n">
        <v>0.02</v>
      </c>
      <c r="DI30" s="52" t="n">
        <v>0.19</v>
      </c>
      <c r="DJ30" s="52" t="n">
        <v>0.1</v>
      </c>
      <c r="DK30" s="52" t="n">
        <v>0.17</v>
      </c>
      <c r="DL30" s="52" t="n">
        <v>0.13</v>
      </c>
      <c r="DM30" s="52" t="n">
        <v>0.25</v>
      </c>
      <c r="DN30" s="52" t="n">
        <v>0.09</v>
      </c>
      <c r="DO30" s="52" t="n">
        <v>0.12</v>
      </c>
      <c r="DP30" s="52" t="n">
        <v>0.11</v>
      </c>
      <c r="DQ30" s="52" t="n">
        <v>0.07</v>
      </c>
      <c r="DR30" s="52" t="n">
        <v>0.06</v>
      </c>
      <c r="DS30" s="52" t="n">
        <v>0.05</v>
      </c>
      <c r="DT30" s="52" t="n">
        <v>0</v>
      </c>
      <c r="DU30" s="52" t="n">
        <v>0.04</v>
      </c>
      <c r="DV30" s="52" t="n">
        <v>-0.01</v>
      </c>
      <c r="DW30" s="52" t="n">
        <v>-0.02</v>
      </c>
      <c r="DX30" s="52" t="n">
        <v>0.07</v>
      </c>
      <c r="DY30" s="52" t="n">
        <v>0.02</v>
      </c>
      <c r="DZ30" s="52" t="n">
        <v>0.03</v>
      </c>
      <c r="EA30" s="52" t="n">
        <v>0.07</v>
      </c>
      <c r="EB30" s="52" t="n">
        <v>-0.01</v>
      </c>
      <c r="EC30" s="52" t="n">
        <v>0.02</v>
      </c>
      <c r="ED30" s="52" t="n">
        <v>0.12</v>
      </c>
      <c r="EE30" s="52" t="n">
        <v>0.08</v>
      </c>
      <c r="EF30" s="52" t="n">
        <v>0</v>
      </c>
      <c r="EG30" s="52" t="n">
        <v>0.12</v>
      </c>
      <c r="EH30" s="52" t="n">
        <v>0.02</v>
      </c>
      <c r="EI30" s="52" t="n">
        <v>0.06</v>
      </c>
      <c r="EJ30" s="52" t="n">
        <v>0.1</v>
      </c>
      <c r="EK30" s="52" t="n">
        <v>0.05</v>
      </c>
      <c r="EL30" s="52" t="n">
        <v>0.11</v>
      </c>
      <c r="EM30" s="52" t="n">
        <v>-0.01</v>
      </c>
      <c r="EN30" s="52" t="n">
        <v>0.16</v>
      </c>
      <c r="EO30" s="52" t="n">
        <v>-0.02</v>
      </c>
    </row>
    <row r="31" customFormat="false" ht="15" hidden="false" customHeight="false" outlineLevel="0" collapsed="false">
      <c r="A31" s="51" t="s">
        <v>177</v>
      </c>
      <c r="B31" s="52" t="n">
        <v>0.49</v>
      </c>
      <c r="C31" s="52" t="n">
        <v>0.03</v>
      </c>
      <c r="D31" s="52" t="n">
        <v>0.03</v>
      </c>
      <c r="E31" s="52" t="n">
        <v>0.05</v>
      </c>
      <c r="F31" s="52" t="n">
        <v>0.32</v>
      </c>
      <c r="G31" s="52" t="n">
        <v>-0.01</v>
      </c>
      <c r="H31" s="52" t="n">
        <v>-0.1</v>
      </c>
      <c r="I31" s="52" t="n">
        <v>0.41</v>
      </c>
      <c r="J31" s="52" t="n">
        <v>0.22</v>
      </c>
      <c r="K31" s="52" t="n">
        <v>0.31</v>
      </c>
      <c r="L31" s="52" t="n">
        <v>0.12</v>
      </c>
      <c r="M31" s="52" t="n">
        <v>0.24</v>
      </c>
      <c r="N31" s="52" t="n">
        <v>0.27</v>
      </c>
      <c r="O31" s="52" t="n">
        <v>0.03</v>
      </c>
      <c r="P31" s="52" t="n">
        <v>0.34</v>
      </c>
      <c r="Q31" s="52" t="n">
        <v>0</v>
      </c>
      <c r="R31" s="52" t="n">
        <v>0.21</v>
      </c>
      <c r="S31" s="52" t="n">
        <v>0.08</v>
      </c>
      <c r="T31" s="52" t="n">
        <v>0.4</v>
      </c>
      <c r="U31" s="52" t="n">
        <v>0.04</v>
      </c>
      <c r="V31" s="52" t="n">
        <v>0.03</v>
      </c>
      <c r="W31" s="52" t="n">
        <v>0.03</v>
      </c>
      <c r="X31" s="52" t="n">
        <v>0.4</v>
      </c>
      <c r="Y31" s="52" t="n">
        <v>0.88</v>
      </c>
      <c r="Z31" s="52" t="n">
        <v>0.01</v>
      </c>
      <c r="AA31" s="52" t="n">
        <v>0.13</v>
      </c>
      <c r="AB31" s="52" t="n">
        <v>1</v>
      </c>
      <c r="AC31" s="52" t="n">
        <v>0.02</v>
      </c>
      <c r="AD31" s="52" t="n">
        <v>-0.03</v>
      </c>
      <c r="AE31" s="52" t="n">
        <v>0.1</v>
      </c>
      <c r="AF31" s="52" t="n">
        <v>-0.06</v>
      </c>
      <c r="AG31" s="52" t="n">
        <v>0.19</v>
      </c>
      <c r="AH31" s="52" t="n">
        <v>0.14</v>
      </c>
      <c r="AI31" s="52" t="n">
        <v>0.09</v>
      </c>
      <c r="AJ31" s="52" t="n">
        <v>-0.08</v>
      </c>
      <c r="AK31" s="52" t="n">
        <v>-0.01</v>
      </c>
      <c r="AL31" s="52" t="n">
        <v>0.28</v>
      </c>
      <c r="AM31" s="52" t="n">
        <v>0.1</v>
      </c>
      <c r="AN31" s="52" t="n">
        <v>0.33</v>
      </c>
      <c r="AO31" s="52" t="n">
        <v>0.29</v>
      </c>
      <c r="AP31" s="52" t="n">
        <v>0.32</v>
      </c>
      <c r="AQ31" s="52" t="n">
        <v>0.08</v>
      </c>
      <c r="AR31" s="52" t="n">
        <v>0.36</v>
      </c>
      <c r="AS31" s="52" t="n">
        <v>-0.04</v>
      </c>
      <c r="AT31" s="52" t="n">
        <v>0.52</v>
      </c>
      <c r="AU31" s="52" t="n">
        <v>0.17</v>
      </c>
      <c r="AV31" s="52" t="n">
        <v>0.03</v>
      </c>
      <c r="AW31" s="52" t="n">
        <v>-0.01</v>
      </c>
      <c r="AX31" s="52" t="n">
        <v>0.28</v>
      </c>
      <c r="AY31" s="52" t="n">
        <v>0.39</v>
      </c>
      <c r="AZ31" s="52" t="n">
        <v>0.09</v>
      </c>
      <c r="BA31" s="52" t="n">
        <v>0.16</v>
      </c>
      <c r="BB31" s="52" t="n">
        <v>0.3</v>
      </c>
      <c r="BC31" s="52" t="n">
        <v>-0.01</v>
      </c>
      <c r="BD31" s="52" t="n">
        <v>0.05</v>
      </c>
      <c r="BE31" s="52" t="n">
        <v>0.26</v>
      </c>
      <c r="BF31" s="52" t="n">
        <v>-0.03</v>
      </c>
      <c r="BG31" s="52" t="n">
        <v>0.33</v>
      </c>
      <c r="BH31" s="52" t="n">
        <v>0</v>
      </c>
      <c r="BI31" s="52" t="n">
        <v>0.08</v>
      </c>
      <c r="BJ31" s="52" t="n">
        <v>0.02</v>
      </c>
      <c r="BK31" s="52" t="n">
        <v>0.07</v>
      </c>
      <c r="BL31" s="52" t="n">
        <v>0.01</v>
      </c>
      <c r="BM31" s="52" t="n">
        <v>0.23</v>
      </c>
      <c r="BN31" s="52" t="n">
        <v>0.2</v>
      </c>
      <c r="BO31" s="52" t="n">
        <v>0.18</v>
      </c>
      <c r="BP31" s="52" t="n">
        <v>0.31</v>
      </c>
      <c r="BQ31" s="52" t="n">
        <v>-0.01</v>
      </c>
      <c r="BR31" s="52" t="n">
        <v>0.24</v>
      </c>
      <c r="BS31" s="52" t="n">
        <v>0</v>
      </c>
      <c r="BT31" s="52" t="n">
        <v>0.17</v>
      </c>
      <c r="BU31" s="52" t="n">
        <v>-0.02</v>
      </c>
      <c r="BV31" s="52" t="n">
        <v>0.27</v>
      </c>
      <c r="BW31" s="52" t="n">
        <v>0.2</v>
      </c>
      <c r="BX31" s="52" t="n">
        <v>0.08</v>
      </c>
      <c r="BY31" s="52" t="n">
        <v>0.21</v>
      </c>
      <c r="BZ31" s="52" t="n">
        <v>0.15</v>
      </c>
      <c r="CA31" s="52" t="n">
        <v>-0.07</v>
      </c>
      <c r="CB31" s="52" t="n">
        <v>0.04</v>
      </c>
      <c r="CC31" s="52" t="n">
        <v>0.27</v>
      </c>
      <c r="CD31" s="52" t="n">
        <v>0.33</v>
      </c>
      <c r="CE31" s="52" t="n">
        <v>0.08</v>
      </c>
      <c r="CF31" s="52" t="n">
        <v>0.02</v>
      </c>
      <c r="CG31" s="52" t="n">
        <v>0.36</v>
      </c>
      <c r="CH31" s="52" t="n">
        <v>0.01</v>
      </c>
      <c r="CI31" s="52" t="n">
        <v>0.03</v>
      </c>
      <c r="CJ31" s="52" t="n">
        <v>0.3</v>
      </c>
      <c r="CK31" s="52" t="n">
        <v>0.37</v>
      </c>
      <c r="CL31" s="52" t="n">
        <v>0.08</v>
      </c>
      <c r="CM31" s="52" t="n">
        <v>-0.04</v>
      </c>
      <c r="CN31" s="52" t="n">
        <v>0.01</v>
      </c>
      <c r="CO31" s="52" t="n">
        <v>0.07</v>
      </c>
      <c r="CP31" s="52" t="n">
        <v>0.12</v>
      </c>
      <c r="CQ31" s="52" t="n">
        <v>0.3</v>
      </c>
      <c r="CR31" s="52" t="n">
        <v>-0.02</v>
      </c>
      <c r="CS31" s="52" t="n">
        <v>-0.07</v>
      </c>
      <c r="CT31" s="52" t="n">
        <v>0.24</v>
      </c>
      <c r="CU31" s="52" t="n">
        <v>0</v>
      </c>
      <c r="CV31" s="52" t="n">
        <v>0.24</v>
      </c>
      <c r="CW31" s="52" t="n">
        <v>0.33</v>
      </c>
      <c r="CX31" s="52" t="n">
        <v>0.31</v>
      </c>
      <c r="CY31" s="52" t="n">
        <v>0.33</v>
      </c>
      <c r="CZ31" s="52" t="n">
        <v>0.23</v>
      </c>
      <c r="DA31" s="52" t="n">
        <v>0.31</v>
      </c>
      <c r="DB31" s="52" t="n">
        <v>0.02</v>
      </c>
      <c r="DC31" s="52" t="n">
        <v>0.06</v>
      </c>
      <c r="DD31" s="52" t="n">
        <v>0.38</v>
      </c>
      <c r="DE31" s="52" t="n">
        <v>-0.02</v>
      </c>
      <c r="DF31" s="52" t="n">
        <v>0.31</v>
      </c>
      <c r="DG31" s="52" t="n">
        <v>-0.01</v>
      </c>
      <c r="DH31" s="52" t="n">
        <v>-0.08</v>
      </c>
      <c r="DI31" s="52" t="n">
        <v>0.27</v>
      </c>
      <c r="DJ31" s="52" t="n">
        <v>0.36</v>
      </c>
      <c r="DK31" s="52" t="n">
        <v>0.24</v>
      </c>
      <c r="DL31" s="52" t="n">
        <v>-0.13</v>
      </c>
      <c r="DM31" s="52" t="n">
        <v>0.35</v>
      </c>
      <c r="DN31" s="52" t="n">
        <v>0.31</v>
      </c>
      <c r="DO31" s="52" t="n">
        <v>-0.02</v>
      </c>
      <c r="DP31" s="52" t="n">
        <v>0.29</v>
      </c>
      <c r="DQ31" s="52" t="n">
        <v>-0.13</v>
      </c>
      <c r="DR31" s="52" t="n">
        <v>-0.02</v>
      </c>
      <c r="DS31" s="52" t="n">
        <v>0.3</v>
      </c>
      <c r="DT31" s="52" t="n">
        <v>-0.04</v>
      </c>
      <c r="DU31" s="52" t="n">
        <v>0.14</v>
      </c>
      <c r="DV31" s="52" t="n">
        <v>0.18</v>
      </c>
      <c r="DW31" s="52" t="n">
        <v>0.35</v>
      </c>
      <c r="DX31" s="52" t="n">
        <v>-0.11</v>
      </c>
      <c r="DY31" s="52" t="n">
        <v>0.37</v>
      </c>
      <c r="DZ31" s="52" t="n">
        <v>0.09</v>
      </c>
      <c r="EA31" s="52" t="n">
        <v>0.03</v>
      </c>
      <c r="EB31" s="52" t="n">
        <v>0.24</v>
      </c>
      <c r="EC31" s="52" t="n">
        <v>0.02</v>
      </c>
      <c r="ED31" s="52" t="n">
        <v>0.09</v>
      </c>
      <c r="EE31" s="52" t="n">
        <v>-0.11</v>
      </c>
      <c r="EF31" s="52" t="n">
        <v>0.09</v>
      </c>
      <c r="EG31" s="52" t="n">
        <v>-0.06</v>
      </c>
      <c r="EH31" s="52" t="n">
        <v>0.21</v>
      </c>
      <c r="EI31" s="52" t="n">
        <v>-0.14</v>
      </c>
      <c r="EJ31" s="52" t="n">
        <v>0.09</v>
      </c>
      <c r="EK31" s="52" t="n">
        <v>-0.01</v>
      </c>
      <c r="EL31" s="52" t="n">
        <v>-0.06</v>
      </c>
      <c r="EM31" s="52" t="n">
        <v>0.05</v>
      </c>
      <c r="EN31" s="52" t="n">
        <v>0.08</v>
      </c>
      <c r="EO31" s="52" t="n">
        <v>0.04</v>
      </c>
    </row>
    <row r="32" customFormat="false" ht="15" hidden="false" customHeight="false" outlineLevel="0" collapsed="false">
      <c r="A32" s="51" t="s">
        <v>178</v>
      </c>
      <c r="B32" s="52" t="n">
        <v>0.04</v>
      </c>
      <c r="C32" s="52" t="n">
        <v>0.04</v>
      </c>
      <c r="D32" s="52" t="n">
        <v>0.08</v>
      </c>
      <c r="E32" s="52" t="n">
        <v>0.31</v>
      </c>
      <c r="F32" s="52" t="n">
        <v>-0.03</v>
      </c>
      <c r="G32" s="52" t="n">
        <v>0.16</v>
      </c>
      <c r="H32" s="52" t="n">
        <v>0.23</v>
      </c>
      <c r="I32" s="52" t="n">
        <v>0.03</v>
      </c>
      <c r="J32" s="52" t="n">
        <v>-0.15</v>
      </c>
      <c r="K32" s="52" t="n">
        <v>0.04</v>
      </c>
      <c r="L32" s="52" t="n">
        <v>0.12</v>
      </c>
      <c r="M32" s="52" t="n">
        <v>0.1</v>
      </c>
      <c r="N32" s="52" t="n">
        <v>0.03</v>
      </c>
      <c r="O32" s="52" t="n">
        <v>0.32</v>
      </c>
      <c r="P32" s="52" t="n">
        <v>0.01</v>
      </c>
      <c r="Q32" s="52" t="n">
        <v>0.01</v>
      </c>
      <c r="R32" s="52" t="n">
        <v>0.04</v>
      </c>
      <c r="S32" s="52" t="n">
        <v>0.11</v>
      </c>
      <c r="T32" s="52" t="n">
        <v>0.05</v>
      </c>
      <c r="U32" s="52" t="n">
        <v>0.25</v>
      </c>
      <c r="V32" s="52" t="n">
        <v>0.29</v>
      </c>
      <c r="W32" s="52" t="n">
        <v>0.14</v>
      </c>
      <c r="X32" s="52" t="n">
        <v>0.1</v>
      </c>
      <c r="Y32" s="52" t="n">
        <v>0.05</v>
      </c>
      <c r="Z32" s="52" t="n">
        <v>0.21</v>
      </c>
      <c r="AA32" s="52" t="n">
        <v>0.14</v>
      </c>
      <c r="AB32" s="52" t="n">
        <v>0.02</v>
      </c>
      <c r="AC32" s="52" t="n">
        <v>1</v>
      </c>
      <c r="AD32" s="52" t="n">
        <v>0.2</v>
      </c>
      <c r="AE32" s="52" t="n">
        <v>0.19</v>
      </c>
      <c r="AF32" s="52" t="n">
        <v>0.16</v>
      </c>
      <c r="AG32" s="52" t="n">
        <v>-0.04</v>
      </c>
      <c r="AH32" s="52" t="n">
        <v>-0.06</v>
      </c>
      <c r="AI32" s="52" t="n">
        <v>0.07</v>
      </c>
      <c r="AJ32" s="52" t="n">
        <v>0.11</v>
      </c>
      <c r="AK32" s="52" t="n">
        <v>0.21</v>
      </c>
      <c r="AL32" s="52" t="n">
        <v>-0.07</v>
      </c>
      <c r="AM32" s="52" t="n">
        <v>0.16</v>
      </c>
      <c r="AN32" s="52" t="n">
        <v>0.01</v>
      </c>
      <c r="AO32" s="52" t="n">
        <v>-0.14</v>
      </c>
      <c r="AP32" s="52" t="n">
        <v>0.02</v>
      </c>
      <c r="AQ32" s="52" t="n">
        <v>0.07</v>
      </c>
      <c r="AR32" s="52" t="n">
        <v>-0.02</v>
      </c>
      <c r="AS32" s="52" t="n">
        <v>0.08</v>
      </c>
      <c r="AT32" s="52" t="n">
        <v>0.02</v>
      </c>
      <c r="AU32" s="52" t="n">
        <v>-0.04</v>
      </c>
      <c r="AV32" s="52" t="n">
        <v>0.26</v>
      </c>
      <c r="AW32" s="52" t="n">
        <v>0.21</v>
      </c>
      <c r="AX32" s="52" t="n">
        <v>-0.07</v>
      </c>
      <c r="AY32" s="52" t="n">
        <v>-0.02</v>
      </c>
      <c r="AZ32" s="52" t="n">
        <v>0.13</v>
      </c>
      <c r="BA32" s="52" t="n">
        <v>0.06</v>
      </c>
      <c r="BB32" s="52" t="n">
        <v>0.06</v>
      </c>
      <c r="BC32" s="52" t="n">
        <v>0.22</v>
      </c>
      <c r="BD32" s="52" t="n">
        <v>0.14</v>
      </c>
      <c r="BE32" s="52" t="n">
        <v>0</v>
      </c>
      <c r="BF32" s="52" t="n">
        <v>0.18</v>
      </c>
      <c r="BG32" s="52" t="n">
        <v>0.01</v>
      </c>
      <c r="BH32" s="52" t="n">
        <v>0.26</v>
      </c>
      <c r="BI32" s="52" t="n">
        <v>0.19</v>
      </c>
      <c r="BJ32" s="52" t="n">
        <v>0.04</v>
      </c>
      <c r="BK32" s="52" t="n">
        <v>0.14</v>
      </c>
      <c r="BL32" s="52" t="n">
        <v>-0.01</v>
      </c>
      <c r="BM32" s="52" t="n">
        <v>-0.03</v>
      </c>
      <c r="BN32" s="52" t="n">
        <v>-0.02</v>
      </c>
      <c r="BO32" s="52" t="n">
        <v>0.04</v>
      </c>
      <c r="BP32" s="52" t="n">
        <v>0.07</v>
      </c>
      <c r="BQ32" s="52" t="n">
        <v>0.12</v>
      </c>
      <c r="BR32" s="52" t="n">
        <v>-0.07</v>
      </c>
      <c r="BS32" s="52" t="n">
        <v>0.01</v>
      </c>
      <c r="BT32" s="52" t="n">
        <v>0.11</v>
      </c>
      <c r="BU32" s="52" t="n">
        <v>0.08</v>
      </c>
      <c r="BV32" s="52" t="n">
        <v>0.01</v>
      </c>
      <c r="BW32" s="52" t="n">
        <v>0.01</v>
      </c>
      <c r="BX32" s="52" t="n">
        <v>-0.1</v>
      </c>
      <c r="BY32" s="52" t="n">
        <v>0.1</v>
      </c>
      <c r="BZ32" s="52" t="n">
        <v>0.03</v>
      </c>
      <c r="CA32" s="52" t="n">
        <v>0.29</v>
      </c>
      <c r="CB32" s="52" t="n">
        <v>-0.04</v>
      </c>
      <c r="CC32" s="52" t="n">
        <v>-0.08</v>
      </c>
      <c r="CD32" s="52" t="n">
        <v>-0.05</v>
      </c>
      <c r="CE32" s="52" t="n">
        <v>0.07</v>
      </c>
      <c r="CF32" s="52" t="n">
        <v>-0.05</v>
      </c>
      <c r="CG32" s="52" t="n">
        <v>-0.09</v>
      </c>
      <c r="CH32" s="52" t="n">
        <v>0.22</v>
      </c>
      <c r="CI32" s="52" t="n">
        <v>0</v>
      </c>
      <c r="CJ32" s="52" t="n">
        <v>0.07</v>
      </c>
      <c r="CK32" s="52" t="n">
        <v>-0.04</v>
      </c>
      <c r="CL32" s="52" t="n">
        <v>0.04</v>
      </c>
      <c r="CM32" s="52" t="n">
        <v>-0.02</v>
      </c>
      <c r="CN32" s="52" t="n">
        <v>0.2</v>
      </c>
      <c r="CO32" s="52" t="n">
        <v>-0.05</v>
      </c>
      <c r="CP32" s="52" t="n">
        <v>-0.03</v>
      </c>
      <c r="CQ32" s="52" t="n">
        <v>0.05</v>
      </c>
      <c r="CR32" s="52" t="n">
        <v>0.06</v>
      </c>
      <c r="CS32" s="52" t="n">
        <v>0.1</v>
      </c>
      <c r="CT32" s="52" t="n">
        <v>0.14</v>
      </c>
      <c r="CU32" s="52" t="n">
        <v>0.03</v>
      </c>
      <c r="CV32" s="52" t="n">
        <v>0.11</v>
      </c>
      <c r="CW32" s="52" t="n">
        <v>0.1</v>
      </c>
      <c r="CX32" s="52" t="n">
        <v>0.05</v>
      </c>
      <c r="CY32" s="52" t="n">
        <v>0.08</v>
      </c>
      <c r="CZ32" s="52" t="n">
        <v>-0.05</v>
      </c>
      <c r="DA32" s="52" t="n">
        <v>-0.1</v>
      </c>
      <c r="DB32" s="52" t="n">
        <v>0.15</v>
      </c>
      <c r="DC32" s="52" t="n">
        <v>0.12</v>
      </c>
      <c r="DD32" s="52" t="n">
        <v>0.07</v>
      </c>
      <c r="DE32" s="52" t="n">
        <v>0.07</v>
      </c>
      <c r="DF32" s="52" t="n">
        <v>-0.03</v>
      </c>
      <c r="DG32" s="52" t="n">
        <v>0.12</v>
      </c>
      <c r="DH32" s="52" t="n">
        <v>0.11</v>
      </c>
      <c r="DI32" s="52" t="n">
        <v>0.12</v>
      </c>
      <c r="DJ32" s="52" t="n">
        <v>-0.01</v>
      </c>
      <c r="DK32" s="52" t="n">
        <v>0.04</v>
      </c>
      <c r="DL32" s="52" t="n">
        <v>0.22</v>
      </c>
      <c r="DM32" s="52" t="n">
        <v>0.11</v>
      </c>
      <c r="DN32" s="52" t="n">
        <v>-0.01</v>
      </c>
      <c r="DO32" s="52" t="n">
        <v>0.14</v>
      </c>
      <c r="DP32" s="52" t="n">
        <v>0.05</v>
      </c>
      <c r="DQ32" s="52" t="n">
        <v>0.08</v>
      </c>
      <c r="DR32" s="52" t="n">
        <v>0.06</v>
      </c>
      <c r="DS32" s="52" t="n">
        <v>-0.07</v>
      </c>
      <c r="DT32" s="52" t="n">
        <v>0.12</v>
      </c>
      <c r="DU32" s="52" t="n">
        <v>0.11</v>
      </c>
      <c r="DV32" s="52" t="n">
        <v>0.05</v>
      </c>
      <c r="DW32" s="52" t="n">
        <v>-0.04</v>
      </c>
      <c r="DX32" s="52" t="n">
        <v>0.04</v>
      </c>
      <c r="DY32" s="52" t="n">
        <v>0</v>
      </c>
      <c r="DZ32" s="52" t="n">
        <v>-0.08</v>
      </c>
      <c r="EA32" s="52" t="n">
        <v>-0.06</v>
      </c>
      <c r="EB32" s="52" t="n">
        <v>0.04</v>
      </c>
      <c r="EC32" s="52" t="n">
        <v>0.15</v>
      </c>
      <c r="ED32" s="52" t="n">
        <v>0.06</v>
      </c>
      <c r="EE32" s="52" t="n">
        <v>0.11</v>
      </c>
      <c r="EF32" s="52" t="n">
        <v>-0.03</v>
      </c>
      <c r="EG32" s="52" t="n">
        <v>0.02</v>
      </c>
      <c r="EH32" s="52" t="n">
        <v>-0.1</v>
      </c>
      <c r="EI32" s="52" t="n">
        <v>0.02</v>
      </c>
      <c r="EJ32" s="52" t="n">
        <v>0.1</v>
      </c>
      <c r="EK32" s="52" t="n">
        <v>0.14</v>
      </c>
      <c r="EL32" s="52" t="n">
        <v>0.12</v>
      </c>
      <c r="EM32" s="52" t="n">
        <v>-0.01</v>
      </c>
      <c r="EN32" s="52" t="n">
        <v>0.03</v>
      </c>
      <c r="EO32" s="52" t="n">
        <v>0.02</v>
      </c>
    </row>
    <row r="33" customFormat="false" ht="15" hidden="false" customHeight="false" outlineLevel="0" collapsed="false">
      <c r="A33" s="51" t="s">
        <v>179</v>
      </c>
      <c r="B33" s="52" t="n">
        <v>0.06</v>
      </c>
      <c r="C33" s="52" t="n">
        <v>0.2</v>
      </c>
      <c r="D33" s="52" t="n">
        <v>0.02</v>
      </c>
      <c r="E33" s="52" t="n">
        <v>0.24</v>
      </c>
      <c r="F33" s="52" t="n">
        <v>0.13</v>
      </c>
      <c r="G33" s="52" t="n">
        <v>0.04</v>
      </c>
      <c r="H33" s="52" t="n">
        <v>0.22</v>
      </c>
      <c r="I33" s="52" t="n">
        <v>0.07</v>
      </c>
      <c r="J33" s="52" t="n">
        <v>0.11</v>
      </c>
      <c r="K33" s="52" t="n">
        <v>0.14</v>
      </c>
      <c r="L33" s="52" t="n">
        <v>0.22</v>
      </c>
      <c r="M33" s="52" t="n">
        <v>0.16</v>
      </c>
      <c r="N33" s="52" t="n">
        <v>0.02</v>
      </c>
      <c r="O33" s="52" t="n">
        <v>0.29</v>
      </c>
      <c r="P33" s="52" t="n">
        <v>0.11</v>
      </c>
      <c r="Q33" s="52" t="n">
        <v>0.03</v>
      </c>
      <c r="R33" s="52" t="n">
        <v>0.07</v>
      </c>
      <c r="S33" s="52" t="n">
        <v>0.28</v>
      </c>
      <c r="T33" s="52" t="n">
        <v>-0.05</v>
      </c>
      <c r="U33" s="52" t="n">
        <v>0.27</v>
      </c>
      <c r="V33" s="52" t="n">
        <v>0.28</v>
      </c>
      <c r="W33" s="52" t="n">
        <v>0.36</v>
      </c>
      <c r="X33" s="52" t="n">
        <v>0.03</v>
      </c>
      <c r="Y33" s="52" t="n">
        <v>0.02</v>
      </c>
      <c r="Z33" s="52" t="n">
        <v>0.27</v>
      </c>
      <c r="AA33" s="52" t="n">
        <v>0.2</v>
      </c>
      <c r="AB33" s="52" t="n">
        <v>-0.03</v>
      </c>
      <c r="AC33" s="52" t="n">
        <v>0.2</v>
      </c>
      <c r="AD33" s="52" t="n">
        <v>1</v>
      </c>
      <c r="AE33" s="52" t="n">
        <v>0.29</v>
      </c>
      <c r="AF33" s="52" t="n">
        <v>0.31</v>
      </c>
      <c r="AG33" s="52" t="n">
        <v>0.13</v>
      </c>
      <c r="AH33" s="52" t="n">
        <v>0.07</v>
      </c>
      <c r="AI33" s="52" t="n">
        <v>0.03</v>
      </c>
      <c r="AJ33" s="52" t="n">
        <v>0.16</v>
      </c>
      <c r="AK33" s="52" t="n">
        <v>0.29</v>
      </c>
      <c r="AL33" s="52" t="n">
        <v>0.05</v>
      </c>
      <c r="AM33" s="52" t="n">
        <v>0.13</v>
      </c>
      <c r="AN33" s="52" t="n">
        <v>0.06</v>
      </c>
      <c r="AO33" s="52" t="n">
        <v>0.01</v>
      </c>
      <c r="AP33" s="52" t="n">
        <v>-0.04</v>
      </c>
      <c r="AQ33" s="52" t="n">
        <v>0.05</v>
      </c>
      <c r="AR33" s="52" t="n">
        <v>-0.03</v>
      </c>
      <c r="AS33" s="52" t="n">
        <v>0.16</v>
      </c>
      <c r="AT33" s="52" t="n">
        <v>-0.06</v>
      </c>
      <c r="AU33" s="52" t="n">
        <v>0.05</v>
      </c>
      <c r="AV33" s="52" t="n">
        <v>0.27</v>
      </c>
      <c r="AW33" s="52" t="n">
        <v>0.32</v>
      </c>
      <c r="AX33" s="52" t="n">
        <v>0.04</v>
      </c>
      <c r="AY33" s="52" t="n">
        <v>0.08</v>
      </c>
      <c r="AZ33" s="52" t="n">
        <v>0.17</v>
      </c>
      <c r="BA33" s="52" t="n">
        <v>0.19</v>
      </c>
      <c r="BB33" s="52" t="n">
        <v>0</v>
      </c>
      <c r="BC33" s="52" t="n">
        <v>0.24</v>
      </c>
      <c r="BD33" s="52" t="n">
        <v>0.28</v>
      </c>
      <c r="BE33" s="52" t="n">
        <v>0.12</v>
      </c>
      <c r="BF33" s="52" t="n">
        <v>0.2</v>
      </c>
      <c r="BG33" s="52" t="n">
        <v>-0.01</v>
      </c>
      <c r="BH33" s="52" t="n">
        <v>0.2</v>
      </c>
      <c r="BI33" s="52" t="n">
        <v>0.02</v>
      </c>
      <c r="BJ33" s="52" t="n">
        <v>0.04</v>
      </c>
      <c r="BK33" s="52" t="n">
        <v>0.21</v>
      </c>
      <c r="BL33" s="52" t="n">
        <v>0.17</v>
      </c>
      <c r="BM33" s="52" t="n">
        <v>0.02</v>
      </c>
      <c r="BN33" s="52" t="n">
        <v>0.1</v>
      </c>
      <c r="BO33" s="52" t="n">
        <v>0.07</v>
      </c>
      <c r="BP33" s="52" t="n">
        <v>-0.07</v>
      </c>
      <c r="BQ33" s="52" t="n">
        <v>0.33</v>
      </c>
      <c r="BR33" s="52" t="n">
        <v>0.04</v>
      </c>
      <c r="BS33" s="52" t="n">
        <v>0.07</v>
      </c>
      <c r="BT33" s="52" t="n">
        <v>0.17</v>
      </c>
      <c r="BU33" s="52" t="n">
        <v>0.2</v>
      </c>
      <c r="BV33" s="52" t="n">
        <v>0.11</v>
      </c>
      <c r="BW33" s="52" t="n">
        <v>0.06</v>
      </c>
      <c r="BX33" s="52" t="n">
        <v>0.03</v>
      </c>
      <c r="BY33" s="52" t="n">
        <v>0.08</v>
      </c>
      <c r="BZ33" s="52" t="n">
        <v>0.1</v>
      </c>
      <c r="CA33" s="52" t="n">
        <v>0.33</v>
      </c>
      <c r="CB33" s="52" t="n">
        <v>-0.07</v>
      </c>
      <c r="CC33" s="52" t="n">
        <v>0.01</v>
      </c>
      <c r="CD33" s="52" t="n">
        <v>-0.04</v>
      </c>
      <c r="CE33" s="52" t="n">
        <v>0.07</v>
      </c>
      <c r="CF33" s="52" t="n">
        <v>0.09</v>
      </c>
      <c r="CG33" s="52" t="n">
        <v>-0.07</v>
      </c>
      <c r="CH33" s="52" t="n">
        <v>0.25</v>
      </c>
      <c r="CI33" s="52" t="n">
        <v>0</v>
      </c>
      <c r="CJ33" s="52" t="n">
        <v>0.05</v>
      </c>
      <c r="CK33" s="52" t="n">
        <v>0.04</v>
      </c>
      <c r="CL33" s="52" t="n">
        <v>0.09</v>
      </c>
      <c r="CM33" s="52" t="n">
        <v>0</v>
      </c>
      <c r="CN33" s="52" t="n">
        <v>0.18</v>
      </c>
      <c r="CO33" s="52" t="n">
        <v>0.13</v>
      </c>
      <c r="CP33" s="52" t="n">
        <v>-0.05</v>
      </c>
      <c r="CQ33" s="52" t="n">
        <v>0.06</v>
      </c>
      <c r="CR33" s="52" t="n">
        <v>0.17</v>
      </c>
      <c r="CS33" s="52" t="n">
        <v>0.2</v>
      </c>
      <c r="CT33" s="52" t="n">
        <v>0.1</v>
      </c>
      <c r="CU33" s="52" t="n">
        <v>0.06</v>
      </c>
      <c r="CV33" s="52" t="n">
        <v>0.04</v>
      </c>
      <c r="CW33" s="52" t="n">
        <v>0.12</v>
      </c>
      <c r="CX33" s="52" t="n">
        <v>0.14</v>
      </c>
      <c r="CY33" s="52" t="n">
        <v>0.09</v>
      </c>
      <c r="CZ33" s="52" t="n">
        <v>-0.05</v>
      </c>
      <c r="DA33" s="52" t="n">
        <v>-0.02</v>
      </c>
      <c r="DB33" s="52" t="n">
        <v>0.12</v>
      </c>
      <c r="DC33" s="52" t="n">
        <v>0.05</v>
      </c>
      <c r="DD33" s="52" t="n">
        <v>0.03</v>
      </c>
      <c r="DE33" s="52" t="n">
        <v>0.17</v>
      </c>
      <c r="DF33" s="52" t="n">
        <v>-0.2</v>
      </c>
      <c r="DG33" s="52" t="n">
        <v>0.11</v>
      </c>
      <c r="DH33" s="52" t="n">
        <v>0.12</v>
      </c>
      <c r="DI33" s="52" t="n">
        <v>0.06</v>
      </c>
      <c r="DJ33" s="52" t="n">
        <v>0.05</v>
      </c>
      <c r="DK33" s="52" t="n">
        <v>0.09</v>
      </c>
      <c r="DL33" s="52" t="n">
        <v>0.12</v>
      </c>
      <c r="DM33" s="52" t="n">
        <v>0.12</v>
      </c>
      <c r="DN33" s="52" t="n">
        <v>-0.11</v>
      </c>
      <c r="DO33" s="52" t="n">
        <v>0.11</v>
      </c>
      <c r="DP33" s="52" t="n">
        <v>0.05</v>
      </c>
      <c r="DQ33" s="52" t="n">
        <v>0.13</v>
      </c>
      <c r="DR33" s="52" t="n">
        <v>0.07</v>
      </c>
      <c r="DS33" s="52" t="n">
        <v>-0.07</v>
      </c>
      <c r="DT33" s="52" t="n">
        <v>-0.11</v>
      </c>
      <c r="DU33" s="52" t="n">
        <v>0.08</v>
      </c>
      <c r="DV33" s="52" t="n">
        <v>-0.05</v>
      </c>
      <c r="DW33" s="52" t="n">
        <v>-0.11</v>
      </c>
      <c r="DX33" s="52" t="n">
        <v>0.16</v>
      </c>
      <c r="DY33" s="52" t="n">
        <v>0.04</v>
      </c>
      <c r="DZ33" s="52" t="n">
        <v>-0.04</v>
      </c>
      <c r="EA33" s="52" t="n">
        <v>0.1</v>
      </c>
      <c r="EB33" s="52" t="n">
        <v>0</v>
      </c>
      <c r="EC33" s="52" t="n">
        <v>0.04</v>
      </c>
      <c r="ED33" s="52" t="n">
        <v>0.06</v>
      </c>
      <c r="EE33" s="52" t="n">
        <v>0.18</v>
      </c>
      <c r="EF33" s="52" t="n">
        <v>0.08</v>
      </c>
      <c r="EG33" s="52" t="n">
        <v>0.19</v>
      </c>
      <c r="EH33" s="52" t="n">
        <v>-0.08</v>
      </c>
      <c r="EI33" s="52" t="n">
        <v>0.11</v>
      </c>
      <c r="EJ33" s="52" t="n">
        <v>0.13</v>
      </c>
      <c r="EK33" s="52" t="n">
        <v>0.11</v>
      </c>
      <c r="EL33" s="52" t="n">
        <v>0.16</v>
      </c>
      <c r="EM33" s="52" t="n">
        <v>0.06</v>
      </c>
      <c r="EN33" s="52" t="n">
        <v>0.04</v>
      </c>
      <c r="EO33" s="52" t="n">
        <v>-0.03</v>
      </c>
    </row>
    <row r="34" customFormat="false" ht="15" hidden="false" customHeight="false" outlineLevel="0" collapsed="false">
      <c r="A34" s="51" t="s">
        <v>180</v>
      </c>
      <c r="B34" s="52" t="n">
        <v>0</v>
      </c>
      <c r="C34" s="52" t="n">
        <v>0.2</v>
      </c>
      <c r="D34" s="52" t="n">
        <v>0.19</v>
      </c>
      <c r="E34" s="52" t="n">
        <v>0.19</v>
      </c>
      <c r="F34" s="52" t="n">
        <v>-0.07</v>
      </c>
      <c r="G34" s="52" t="n">
        <v>0.22</v>
      </c>
      <c r="H34" s="52" t="n">
        <v>0.21</v>
      </c>
      <c r="I34" s="52" t="n">
        <v>0.05</v>
      </c>
      <c r="J34" s="52" t="n">
        <v>-0.09</v>
      </c>
      <c r="K34" s="52" t="n">
        <v>0.04</v>
      </c>
      <c r="L34" s="52" t="n">
        <v>0.25</v>
      </c>
      <c r="M34" s="52" t="n">
        <v>0.24</v>
      </c>
      <c r="N34" s="52" t="n">
        <v>0</v>
      </c>
      <c r="O34" s="52" t="n">
        <v>0.32</v>
      </c>
      <c r="P34" s="52" t="n">
        <v>0.03</v>
      </c>
      <c r="Q34" s="52" t="n">
        <v>0.07</v>
      </c>
      <c r="R34" s="52" t="n">
        <v>0.02</v>
      </c>
      <c r="S34" s="52" t="n">
        <v>0.23</v>
      </c>
      <c r="T34" s="52" t="n">
        <v>0.17</v>
      </c>
      <c r="U34" s="52" t="n">
        <v>0.33</v>
      </c>
      <c r="V34" s="52" t="n">
        <v>0.26</v>
      </c>
      <c r="W34" s="52" t="n">
        <v>0.15</v>
      </c>
      <c r="X34" s="52" t="n">
        <v>0.14</v>
      </c>
      <c r="Y34" s="52" t="n">
        <v>0.14</v>
      </c>
      <c r="Z34" s="52" t="n">
        <v>0.31</v>
      </c>
      <c r="AA34" s="52" t="n">
        <v>0.29</v>
      </c>
      <c r="AB34" s="52" t="n">
        <v>0.1</v>
      </c>
      <c r="AC34" s="52" t="n">
        <v>0.19</v>
      </c>
      <c r="AD34" s="52" t="n">
        <v>0.29</v>
      </c>
      <c r="AE34" s="52" t="n">
        <v>1</v>
      </c>
      <c r="AF34" s="52" t="n">
        <v>0.44</v>
      </c>
      <c r="AG34" s="52" t="n">
        <v>-0.08</v>
      </c>
      <c r="AH34" s="52" t="n">
        <v>-0.05</v>
      </c>
      <c r="AI34" s="52" t="n">
        <v>-0.28</v>
      </c>
      <c r="AJ34" s="52" t="n">
        <v>0.24</v>
      </c>
      <c r="AK34" s="52" t="n">
        <v>0.38</v>
      </c>
      <c r="AL34" s="52" t="n">
        <v>0.11</v>
      </c>
      <c r="AM34" s="52" t="n">
        <v>0.24</v>
      </c>
      <c r="AN34" s="52" t="n">
        <v>0.22</v>
      </c>
      <c r="AO34" s="52" t="n">
        <v>-0.03</v>
      </c>
      <c r="AP34" s="52" t="n">
        <v>0.08</v>
      </c>
      <c r="AQ34" s="52" t="n">
        <v>-0.24</v>
      </c>
      <c r="AR34" s="52" t="n">
        <v>0.16</v>
      </c>
      <c r="AS34" s="52" t="n">
        <v>0.36</v>
      </c>
      <c r="AT34" s="52" t="n">
        <v>0.22</v>
      </c>
      <c r="AU34" s="52" t="n">
        <v>-0.04</v>
      </c>
      <c r="AV34" s="52" t="n">
        <v>0.32</v>
      </c>
      <c r="AW34" s="52" t="n">
        <v>0.3</v>
      </c>
      <c r="AX34" s="52" t="n">
        <v>0.06</v>
      </c>
      <c r="AY34" s="52" t="n">
        <v>0.08</v>
      </c>
      <c r="AZ34" s="52" t="n">
        <v>0.65</v>
      </c>
      <c r="BA34" s="52" t="n">
        <v>0.22</v>
      </c>
      <c r="BB34" s="52" t="n">
        <v>0.26</v>
      </c>
      <c r="BC34" s="52" t="n">
        <v>0.21</v>
      </c>
      <c r="BD34" s="52" t="n">
        <v>0.42</v>
      </c>
      <c r="BE34" s="52" t="n">
        <v>0.05</v>
      </c>
      <c r="BF34" s="52" t="n">
        <v>0.32</v>
      </c>
      <c r="BG34" s="52" t="n">
        <v>0.12</v>
      </c>
      <c r="BH34" s="52" t="n">
        <v>0.25</v>
      </c>
      <c r="BI34" s="52" t="n">
        <v>0.14</v>
      </c>
      <c r="BJ34" s="52" t="n">
        <v>0.08</v>
      </c>
      <c r="BK34" s="52" t="n">
        <v>0.66</v>
      </c>
      <c r="BL34" s="52" t="n">
        <v>0.15</v>
      </c>
      <c r="BM34" s="52" t="n">
        <v>0.03</v>
      </c>
      <c r="BN34" s="52" t="n">
        <v>-0.05</v>
      </c>
      <c r="BO34" s="52" t="n">
        <v>0.14</v>
      </c>
      <c r="BP34" s="52" t="n">
        <v>0.04</v>
      </c>
      <c r="BQ34" s="52" t="n">
        <v>0.34</v>
      </c>
      <c r="BR34" s="52" t="n">
        <v>0.16</v>
      </c>
      <c r="BS34" s="52" t="n">
        <v>-0.23</v>
      </c>
      <c r="BT34" s="52" t="n">
        <v>0.29</v>
      </c>
      <c r="BU34" s="52" t="n">
        <v>0.27</v>
      </c>
      <c r="BV34" s="52" t="n">
        <v>0.11</v>
      </c>
      <c r="BW34" s="52" t="n">
        <v>0.15</v>
      </c>
      <c r="BX34" s="52" t="n">
        <v>-0.03</v>
      </c>
      <c r="BY34" s="52" t="n">
        <v>0.18</v>
      </c>
      <c r="BZ34" s="52" t="n">
        <v>0.16</v>
      </c>
      <c r="CA34" s="52" t="n">
        <v>0.29</v>
      </c>
      <c r="CB34" s="52" t="n">
        <v>-0.07</v>
      </c>
      <c r="CC34" s="52" t="n">
        <v>-0.04</v>
      </c>
      <c r="CD34" s="52" t="n">
        <v>0.11</v>
      </c>
      <c r="CE34" s="52" t="n">
        <v>0.14</v>
      </c>
      <c r="CF34" s="52" t="n">
        <v>-0.22</v>
      </c>
      <c r="CG34" s="52" t="n">
        <v>0.12</v>
      </c>
      <c r="CH34" s="52" t="n">
        <v>0.37</v>
      </c>
      <c r="CI34" s="52" t="n">
        <v>-0.25</v>
      </c>
      <c r="CJ34" s="52" t="n">
        <v>-0.01</v>
      </c>
      <c r="CK34" s="52" t="n">
        <v>0.05</v>
      </c>
      <c r="CL34" s="52" t="n">
        <v>0.11</v>
      </c>
      <c r="CM34" s="52" t="n">
        <v>0.11</v>
      </c>
      <c r="CN34" s="52" t="n">
        <v>0.16</v>
      </c>
      <c r="CO34" s="52" t="n">
        <v>0.12</v>
      </c>
      <c r="CP34" s="52" t="n">
        <v>-0.02</v>
      </c>
      <c r="CQ34" s="52" t="n">
        <v>0.23</v>
      </c>
      <c r="CR34" s="52" t="n">
        <v>0.22</v>
      </c>
      <c r="CS34" s="52" t="n">
        <v>0.25</v>
      </c>
      <c r="CT34" s="52" t="n">
        <v>0.11</v>
      </c>
      <c r="CU34" s="52" t="n">
        <v>0.13</v>
      </c>
      <c r="CV34" s="52" t="n">
        <v>0.13</v>
      </c>
      <c r="CW34" s="52" t="n">
        <v>0.15</v>
      </c>
      <c r="CX34" s="52" t="n">
        <v>0.21</v>
      </c>
      <c r="CY34" s="52" t="n">
        <v>0.27</v>
      </c>
      <c r="CZ34" s="52" t="n">
        <v>0.03</v>
      </c>
      <c r="DA34" s="52" t="n">
        <v>0.01</v>
      </c>
      <c r="DB34" s="52" t="n">
        <v>0.13</v>
      </c>
      <c r="DC34" s="52" t="n">
        <v>0.42</v>
      </c>
      <c r="DD34" s="52" t="n">
        <v>0.18</v>
      </c>
      <c r="DE34" s="52" t="n">
        <v>0.3</v>
      </c>
      <c r="DF34" s="52" t="n">
        <v>-0.13</v>
      </c>
      <c r="DG34" s="52" t="n">
        <v>0.22</v>
      </c>
      <c r="DH34" s="52" t="n">
        <v>0.17</v>
      </c>
      <c r="DI34" s="52" t="n">
        <v>0.24</v>
      </c>
      <c r="DJ34" s="52" t="n">
        <v>0.18</v>
      </c>
      <c r="DK34" s="52" t="n">
        <v>0.27</v>
      </c>
      <c r="DL34" s="52" t="n">
        <v>0.3</v>
      </c>
      <c r="DM34" s="52" t="n">
        <v>0.31</v>
      </c>
      <c r="DN34" s="52" t="n">
        <v>-0.07</v>
      </c>
      <c r="DO34" s="52" t="n">
        <v>0.14</v>
      </c>
      <c r="DP34" s="52" t="n">
        <v>0.22</v>
      </c>
      <c r="DQ34" s="52" t="n">
        <v>0.11</v>
      </c>
      <c r="DR34" s="52" t="n">
        <v>0.04</v>
      </c>
      <c r="DS34" s="52" t="n">
        <v>-0.03</v>
      </c>
      <c r="DT34" s="52" t="n">
        <v>0.04</v>
      </c>
      <c r="DU34" s="52" t="n">
        <v>0.16</v>
      </c>
      <c r="DV34" s="52" t="n">
        <v>0</v>
      </c>
      <c r="DW34" s="52" t="n">
        <v>0.06</v>
      </c>
      <c r="DX34" s="52" t="n">
        <v>0.23</v>
      </c>
      <c r="DY34" s="52" t="n">
        <v>0.16</v>
      </c>
      <c r="DZ34" s="52" t="n">
        <v>-0.03</v>
      </c>
      <c r="EA34" s="52" t="n">
        <v>0.15</v>
      </c>
      <c r="EB34" s="52" t="n">
        <v>0.14</v>
      </c>
      <c r="EC34" s="52" t="n">
        <v>0.13</v>
      </c>
      <c r="ED34" s="52" t="n">
        <v>0.24</v>
      </c>
      <c r="EE34" s="52" t="n">
        <v>0.18</v>
      </c>
      <c r="EF34" s="52" t="n">
        <v>0.1</v>
      </c>
      <c r="EG34" s="52" t="n">
        <v>0.13</v>
      </c>
      <c r="EH34" s="52" t="n">
        <v>-0.07</v>
      </c>
      <c r="EI34" s="52" t="n">
        <v>0.18</v>
      </c>
      <c r="EJ34" s="52" t="n">
        <v>0.23</v>
      </c>
      <c r="EK34" s="52" t="n">
        <v>0.1</v>
      </c>
      <c r="EL34" s="52" t="n">
        <v>0.19</v>
      </c>
      <c r="EM34" s="52" t="n">
        <v>-0.06</v>
      </c>
      <c r="EN34" s="52" t="n">
        <v>0.07</v>
      </c>
      <c r="EO34" s="52" t="n">
        <v>0.05</v>
      </c>
    </row>
    <row r="35" customFormat="false" ht="15" hidden="false" customHeight="false" outlineLevel="0" collapsed="false">
      <c r="A35" s="51" t="s">
        <v>181</v>
      </c>
      <c r="B35" s="52" t="n">
        <v>-0.14</v>
      </c>
      <c r="C35" s="52" t="n">
        <v>0.24</v>
      </c>
      <c r="D35" s="52" t="n">
        <v>0.17</v>
      </c>
      <c r="E35" s="52" t="n">
        <v>0.34</v>
      </c>
      <c r="F35" s="52" t="n">
        <v>-0.1</v>
      </c>
      <c r="G35" s="52" t="n">
        <v>0.19</v>
      </c>
      <c r="H35" s="52" t="n">
        <v>0.26</v>
      </c>
      <c r="I35" s="52" t="n">
        <v>-0.01</v>
      </c>
      <c r="J35" s="52" t="n">
        <v>-0.01</v>
      </c>
      <c r="K35" s="52" t="n">
        <v>-0.06</v>
      </c>
      <c r="L35" s="52" t="n">
        <v>0.29</v>
      </c>
      <c r="M35" s="52" t="n">
        <v>0.12</v>
      </c>
      <c r="N35" s="52" t="n">
        <v>-0.01</v>
      </c>
      <c r="O35" s="52" t="n">
        <v>0.44</v>
      </c>
      <c r="P35" s="52" t="n">
        <v>0.01</v>
      </c>
      <c r="Q35" s="52" t="n">
        <v>0.05</v>
      </c>
      <c r="R35" s="52" t="n">
        <v>-0.03</v>
      </c>
      <c r="S35" s="52" t="n">
        <v>0.3</v>
      </c>
      <c r="T35" s="52" t="n">
        <v>0.08</v>
      </c>
      <c r="U35" s="52" t="n">
        <v>0.42</v>
      </c>
      <c r="V35" s="52" t="n">
        <v>0.42</v>
      </c>
      <c r="W35" s="52" t="n">
        <v>0.33</v>
      </c>
      <c r="X35" s="52" t="n">
        <v>0.15</v>
      </c>
      <c r="Y35" s="52" t="n">
        <v>-0.02</v>
      </c>
      <c r="Z35" s="52" t="n">
        <v>0.29</v>
      </c>
      <c r="AA35" s="52" t="n">
        <v>0.31</v>
      </c>
      <c r="AB35" s="52" t="n">
        <v>-0.06</v>
      </c>
      <c r="AC35" s="52" t="n">
        <v>0.16</v>
      </c>
      <c r="AD35" s="52" t="n">
        <v>0.31</v>
      </c>
      <c r="AE35" s="52" t="n">
        <v>0.44</v>
      </c>
      <c r="AF35" s="52" t="n">
        <v>1</v>
      </c>
      <c r="AG35" s="52" t="n">
        <v>-0.06</v>
      </c>
      <c r="AH35" s="52" t="n">
        <v>-0.05</v>
      </c>
      <c r="AI35" s="52" t="n">
        <v>-0.16</v>
      </c>
      <c r="AJ35" s="52" t="n">
        <v>0.24</v>
      </c>
      <c r="AK35" s="52" t="n">
        <v>0.48</v>
      </c>
      <c r="AL35" s="52" t="n">
        <v>0.02</v>
      </c>
      <c r="AM35" s="52" t="n">
        <v>0.28</v>
      </c>
      <c r="AN35" s="52" t="n">
        <v>0</v>
      </c>
      <c r="AO35" s="52" t="n">
        <v>-0.05</v>
      </c>
      <c r="AP35" s="52" t="n">
        <v>0.04</v>
      </c>
      <c r="AQ35" s="52" t="n">
        <v>-0.08</v>
      </c>
      <c r="AR35" s="52" t="n">
        <v>0.09</v>
      </c>
      <c r="AS35" s="52" t="n">
        <v>0.41</v>
      </c>
      <c r="AT35" s="52" t="n">
        <v>0.01</v>
      </c>
      <c r="AU35" s="52" t="n">
        <v>0</v>
      </c>
      <c r="AV35" s="52" t="n">
        <v>0.32</v>
      </c>
      <c r="AW35" s="52" t="n">
        <v>0.33</v>
      </c>
      <c r="AX35" s="52" t="n">
        <v>0</v>
      </c>
      <c r="AY35" s="52" t="n">
        <v>0.04</v>
      </c>
      <c r="AZ35" s="52" t="n">
        <v>0.41</v>
      </c>
      <c r="BA35" s="52" t="n">
        <v>0.07</v>
      </c>
      <c r="BB35" s="52" t="n">
        <v>0.16</v>
      </c>
      <c r="BC35" s="52" t="n">
        <v>0.23</v>
      </c>
      <c r="BD35" s="52" t="n">
        <v>0.35</v>
      </c>
      <c r="BE35" s="52" t="n">
        <v>0.05</v>
      </c>
      <c r="BF35" s="52" t="n">
        <v>0.29</v>
      </c>
      <c r="BG35" s="52" t="n">
        <v>0</v>
      </c>
      <c r="BH35" s="52" t="n">
        <v>0.24</v>
      </c>
      <c r="BI35" s="52" t="n">
        <v>0.21</v>
      </c>
      <c r="BJ35" s="52" t="n">
        <v>0.14</v>
      </c>
      <c r="BK35" s="52" t="n">
        <v>0.41</v>
      </c>
      <c r="BL35" s="52" t="n">
        <v>0.13</v>
      </c>
      <c r="BM35" s="52" t="n">
        <v>0.01</v>
      </c>
      <c r="BN35" s="52" t="n">
        <v>0.01</v>
      </c>
      <c r="BO35" s="52" t="n">
        <v>0.07</v>
      </c>
      <c r="BP35" s="52" t="n">
        <v>0.04</v>
      </c>
      <c r="BQ35" s="52" t="n">
        <v>0.42</v>
      </c>
      <c r="BR35" s="52" t="n">
        <v>0.12</v>
      </c>
      <c r="BS35" s="52" t="n">
        <v>-0.11</v>
      </c>
      <c r="BT35" s="52" t="n">
        <v>0.19</v>
      </c>
      <c r="BU35" s="52" t="n">
        <v>0.26</v>
      </c>
      <c r="BV35" s="52" t="n">
        <v>0.02</v>
      </c>
      <c r="BW35" s="52" t="n">
        <v>0.17</v>
      </c>
      <c r="BX35" s="52" t="n">
        <v>-0.04</v>
      </c>
      <c r="BY35" s="52" t="n">
        <v>0.02</v>
      </c>
      <c r="BZ35" s="52" t="n">
        <v>0.11</v>
      </c>
      <c r="CA35" s="52" t="n">
        <v>0.4</v>
      </c>
      <c r="CB35" s="52" t="n">
        <v>-0.04</v>
      </c>
      <c r="CC35" s="52" t="n">
        <v>0.02</v>
      </c>
      <c r="CD35" s="52" t="n">
        <v>-0.05</v>
      </c>
      <c r="CE35" s="52" t="n">
        <v>0.08</v>
      </c>
      <c r="CF35" s="52" t="n">
        <v>-0.08</v>
      </c>
      <c r="CG35" s="52" t="n">
        <v>-0.04</v>
      </c>
      <c r="CH35" s="52" t="n">
        <v>0.51</v>
      </c>
      <c r="CI35" s="52" t="n">
        <v>-0.11</v>
      </c>
      <c r="CJ35" s="52" t="n">
        <v>-0.1</v>
      </c>
      <c r="CK35" s="52" t="n">
        <v>-0.06</v>
      </c>
      <c r="CL35" s="52" t="n">
        <v>0.01</v>
      </c>
      <c r="CM35" s="52" t="n">
        <v>0.13</v>
      </c>
      <c r="CN35" s="52" t="n">
        <v>0.36</v>
      </c>
      <c r="CO35" s="52" t="n">
        <v>0.22</v>
      </c>
      <c r="CP35" s="52" t="n">
        <v>0.01</v>
      </c>
      <c r="CQ35" s="52" t="n">
        <v>0.12</v>
      </c>
      <c r="CR35" s="52" t="n">
        <v>0.14</v>
      </c>
      <c r="CS35" s="52" t="n">
        <v>0.25</v>
      </c>
      <c r="CT35" s="52" t="n">
        <v>0.16</v>
      </c>
      <c r="CU35" s="52" t="n">
        <v>0.08</v>
      </c>
      <c r="CV35" s="52" t="n">
        <v>0.18</v>
      </c>
      <c r="CW35" s="52" t="n">
        <v>0.13</v>
      </c>
      <c r="CX35" s="52" t="n">
        <v>0.17</v>
      </c>
      <c r="CY35" s="52" t="n">
        <v>0.07</v>
      </c>
      <c r="CZ35" s="52" t="n">
        <v>0.09</v>
      </c>
      <c r="DA35" s="52" t="n">
        <v>-0.13</v>
      </c>
      <c r="DB35" s="52" t="n">
        <v>0.26</v>
      </c>
      <c r="DC35" s="52" t="n">
        <v>0.28</v>
      </c>
      <c r="DD35" s="52" t="n">
        <v>0.07</v>
      </c>
      <c r="DE35" s="52" t="n">
        <v>0.32</v>
      </c>
      <c r="DF35" s="52" t="n">
        <v>-0.06</v>
      </c>
      <c r="DG35" s="52" t="n">
        <v>0.26</v>
      </c>
      <c r="DH35" s="52" t="n">
        <v>0.13</v>
      </c>
      <c r="DI35" s="52" t="n">
        <v>0.11</v>
      </c>
      <c r="DJ35" s="52" t="n">
        <v>-0.01</v>
      </c>
      <c r="DK35" s="52" t="n">
        <v>0.13</v>
      </c>
      <c r="DL35" s="52" t="n">
        <v>0.36</v>
      </c>
      <c r="DM35" s="52" t="n">
        <v>0.09</v>
      </c>
      <c r="DN35" s="52" t="n">
        <v>-0.01</v>
      </c>
      <c r="DO35" s="52" t="n">
        <v>0.17</v>
      </c>
      <c r="DP35" s="52" t="n">
        <v>0.01</v>
      </c>
      <c r="DQ35" s="52" t="n">
        <v>0.09</v>
      </c>
      <c r="DR35" s="52" t="n">
        <v>0.2</v>
      </c>
      <c r="DS35" s="52" t="n">
        <v>-0.05</v>
      </c>
      <c r="DT35" s="52" t="n">
        <v>0.06</v>
      </c>
      <c r="DU35" s="52" t="n">
        <v>0.16</v>
      </c>
      <c r="DV35" s="52" t="n">
        <v>0.15</v>
      </c>
      <c r="DW35" s="52" t="n">
        <v>-0.02</v>
      </c>
      <c r="DX35" s="52" t="n">
        <v>0.22</v>
      </c>
      <c r="DY35" s="52" t="n">
        <v>0.08</v>
      </c>
      <c r="DZ35" s="52" t="n">
        <v>0</v>
      </c>
      <c r="EA35" s="52" t="n">
        <v>0.12</v>
      </c>
      <c r="EB35" s="52" t="n">
        <v>0.08</v>
      </c>
      <c r="EC35" s="52" t="n">
        <v>0.13</v>
      </c>
      <c r="ED35" s="52" t="n">
        <v>0.18</v>
      </c>
      <c r="EE35" s="52" t="n">
        <v>0.16</v>
      </c>
      <c r="EF35" s="52" t="n">
        <v>0.16</v>
      </c>
      <c r="EG35" s="52" t="n">
        <v>0.21</v>
      </c>
      <c r="EH35" s="52" t="n">
        <v>-0.13</v>
      </c>
      <c r="EI35" s="52" t="n">
        <v>0.12</v>
      </c>
      <c r="EJ35" s="52" t="n">
        <v>0.15</v>
      </c>
      <c r="EK35" s="52" t="n">
        <v>0.1</v>
      </c>
      <c r="EL35" s="52" t="n">
        <v>0.17</v>
      </c>
      <c r="EM35" s="52" t="n">
        <v>0.01</v>
      </c>
      <c r="EN35" s="52" t="n">
        <v>0.04</v>
      </c>
      <c r="EO35" s="52" t="n">
        <v>-0.06</v>
      </c>
    </row>
    <row r="36" customFormat="false" ht="15" hidden="false" customHeight="false" outlineLevel="0" collapsed="false">
      <c r="A36" s="51" t="s">
        <v>182</v>
      </c>
      <c r="B36" s="52" t="n">
        <v>0.26</v>
      </c>
      <c r="C36" s="52" t="n">
        <v>-0.02</v>
      </c>
      <c r="D36" s="52" t="n">
        <v>-0.02</v>
      </c>
      <c r="E36" s="52" t="n">
        <v>0.08</v>
      </c>
      <c r="F36" s="52" t="n">
        <v>0.39</v>
      </c>
      <c r="G36" s="52" t="n">
        <v>-0.08</v>
      </c>
      <c r="H36" s="52" t="n">
        <v>-0.03</v>
      </c>
      <c r="I36" s="52" t="n">
        <v>0.3</v>
      </c>
      <c r="J36" s="52" t="n">
        <v>0.3</v>
      </c>
      <c r="K36" s="52" t="n">
        <v>0.35</v>
      </c>
      <c r="L36" s="52" t="n">
        <v>-0.02</v>
      </c>
      <c r="M36" s="52" t="n">
        <v>0.03</v>
      </c>
      <c r="N36" s="52" t="n">
        <v>0.19</v>
      </c>
      <c r="O36" s="52" t="n">
        <v>0.05</v>
      </c>
      <c r="P36" s="52" t="n">
        <v>0.31</v>
      </c>
      <c r="Q36" s="52" t="n">
        <v>0.01</v>
      </c>
      <c r="R36" s="52" t="n">
        <v>0.38</v>
      </c>
      <c r="S36" s="52" t="n">
        <v>0.11</v>
      </c>
      <c r="T36" s="52" t="n">
        <v>0.07</v>
      </c>
      <c r="U36" s="52" t="n">
        <v>0.07</v>
      </c>
      <c r="V36" s="52" t="n">
        <v>0</v>
      </c>
      <c r="W36" s="52" t="n">
        <v>0.08</v>
      </c>
      <c r="X36" s="52" t="n">
        <v>0.12</v>
      </c>
      <c r="Y36" s="52" t="n">
        <v>0.19</v>
      </c>
      <c r="Z36" s="52" t="n">
        <v>0.01</v>
      </c>
      <c r="AA36" s="52" t="n">
        <v>0.08</v>
      </c>
      <c r="AB36" s="52" t="n">
        <v>0.19</v>
      </c>
      <c r="AC36" s="52" t="n">
        <v>-0.04</v>
      </c>
      <c r="AD36" s="52" t="n">
        <v>0.13</v>
      </c>
      <c r="AE36" s="52" t="n">
        <v>-0.08</v>
      </c>
      <c r="AF36" s="52" t="n">
        <v>-0.06</v>
      </c>
      <c r="AG36" s="52" t="n">
        <v>1</v>
      </c>
      <c r="AH36" s="52" t="n">
        <v>0.78</v>
      </c>
      <c r="AI36" s="52" t="n">
        <v>0.35</v>
      </c>
      <c r="AJ36" s="52" t="n">
        <v>-0.02</v>
      </c>
      <c r="AK36" s="52" t="n">
        <v>-0.02</v>
      </c>
      <c r="AL36" s="52" t="n">
        <v>0.14</v>
      </c>
      <c r="AM36" s="52" t="n">
        <v>0.06</v>
      </c>
      <c r="AN36" s="52" t="n">
        <v>0.17</v>
      </c>
      <c r="AO36" s="52" t="n">
        <v>0.23</v>
      </c>
      <c r="AP36" s="52" t="n">
        <v>0.17</v>
      </c>
      <c r="AQ36" s="52" t="n">
        <v>0.28</v>
      </c>
      <c r="AR36" s="52" t="n">
        <v>0.1</v>
      </c>
      <c r="AS36" s="52" t="n">
        <v>-0.09</v>
      </c>
      <c r="AT36" s="52" t="n">
        <v>-0.02</v>
      </c>
      <c r="AU36" s="52" t="n">
        <v>0.25</v>
      </c>
      <c r="AV36" s="52" t="n">
        <v>0.05</v>
      </c>
      <c r="AW36" s="52" t="n">
        <v>-0.03</v>
      </c>
      <c r="AX36" s="52" t="n">
        <v>0.21</v>
      </c>
      <c r="AY36" s="52" t="n">
        <v>0.11</v>
      </c>
      <c r="AZ36" s="52" t="n">
        <v>-0.03</v>
      </c>
      <c r="BA36" s="52" t="n">
        <v>0.19</v>
      </c>
      <c r="BB36" s="52" t="n">
        <v>-0.04</v>
      </c>
      <c r="BC36" s="52" t="n">
        <v>0</v>
      </c>
      <c r="BD36" s="52" t="n">
        <v>0.04</v>
      </c>
      <c r="BE36" s="52" t="n">
        <v>0.28</v>
      </c>
      <c r="BF36" s="52" t="n">
        <v>-0.03</v>
      </c>
      <c r="BG36" s="52" t="n">
        <v>-0.01</v>
      </c>
      <c r="BH36" s="52" t="n">
        <v>-0.03</v>
      </c>
      <c r="BI36" s="52" t="n">
        <v>-0.06</v>
      </c>
      <c r="BJ36" s="52" t="n">
        <v>-0.02</v>
      </c>
      <c r="BK36" s="52" t="n">
        <v>-0.03</v>
      </c>
      <c r="BL36" s="52" t="n">
        <v>0.05</v>
      </c>
      <c r="BM36" s="52" t="n">
        <v>0.3</v>
      </c>
      <c r="BN36" s="52" t="n">
        <v>0.23</v>
      </c>
      <c r="BO36" s="52" t="n">
        <v>-0.03</v>
      </c>
      <c r="BP36" s="52" t="n">
        <v>-0.05</v>
      </c>
      <c r="BQ36" s="52" t="n">
        <v>-0.05</v>
      </c>
      <c r="BR36" s="52" t="n">
        <v>0.03</v>
      </c>
      <c r="BS36" s="52" t="n">
        <v>0.22</v>
      </c>
      <c r="BT36" s="52" t="n">
        <v>-0.06</v>
      </c>
      <c r="BU36" s="52" t="n">
        <v>-0.04</v>
      </c>
      <c r="BV36" s="52" t="n">
        <v>0.01</v>
      </c>
      <c r="BW36" s="52" t="n">
        <v>-0.06</v>
      </c>
      <c r="BX36" s="52" t="n">
        <v>0.11</v>
      </c>
      <c r="BY36" s="52" t="n">
        <v>0.09</v>
      </c>
      <c r="BZ36" s="52" t="n">
        <v>0.04</v>
      </c>
      <c r="CA36" s="52" t="n">
        <v>-0.04</v>
      </c>
      <c r="CB36" s="52" t="n">
        <v>0.04</v>
      </c>
      <c r="CC36" s="52" t="n">
        <v>0.12</v>
      </c>
      <c r="CD36" s="52" t="n">
        <v>0</v>
      </c>
      <c r="CE36" s="52" t="n">
        <v>-0.02</v>
      </c>
      <c r="CF36" s="52" t="n">
        <v>0.25</v>
      </c>
      <c r="CG36" s="52" t="n">
        <v>0.04</v>
      </c>
      <c r="CH36" s="52" t="n">
        <v>-0.13</v>
      </c>
      <c r="CI36" s="52" t="n">
        <v>0.26</v>
      </c>
      <c r="CJ36" s="52" t="n">
        <v>0.22</v>
      </c>
      <c r="CK36" s="52" t="n">
        <v>0.14</v>
      </c>
      <c r="CL36" s="52" t="n">
        <v>0.07</v>
      </c>
      <c r="CM36" s="52" t="n">
        <v>-0.19</v>
      </c>
      <c r="CN36" s="52" t="n">
        <v>-0.01</v>
      </c>
      <c r="CO36" s="52" t="n">
        <v>0</v>
      </c>
      <c r="CP36" s="52" t="n">
        <v>-0.07</v>
      </c>
      <c r="CQ36" s="52" t="n">
        <v>0.04</v>
      </c>
      <c r="CR36" s="52" t="n">
        <v>-0.22</v>
      </c>
      <c r="CS36" s="52" t="n">
        <v>-0.07</v>
      </c>
      <c r="CT36" s="52" t="n">
        <v>-0.01</v>
      </c>
      <c r="CU36" s="52" t="n">
        <v>-0.01</v>
      </c>
      <c r="CV36" s="52" t="n">
        <v>0.01</v>
      </c>
      <c r="CW36" s="52" t="n">
        <v>0.01</v>
      </c>
      <c r="CX36" s="52" t="n">
        <v>0.04</v>
      </c>
      <c r="CY36" s="52" t="n">
        <v>0.09</v>
      </c>
      <c r="CZ36" s="52" t="n">
        <v>0.06</v>
      </c>
      <c r="DA36" s="52" t="n">
        <v>0.09</v>
      </c>
      <c r="DB36" s="52" t="n">
        <v>-0.08</v>
      </c>
      <c r="DC36" s="52" t="n">
        <v>-0.12</v>
      </c>
      <c r="DD36" s="52" t="n">
        <v>0</v>
      </c>
      <c r="DE36" s="52" t="n">
        <v>-0.15</v>
      </c>
      <c r="DF36" s="52" t="n">
        <v>0.07</v>
      </c>
      <c r="DG36" s="52" t="n">
        <v>-0.12</v>
      </c>
      <c r="DH36" s="52" t="n">
        <v>-0.14</v>
      </c>
      <c r="DI36" s="52" t="n">
        <v>0.03</v>
      </c>
      <c r="DJ36" s="52" t="n">
        <v>0.03</v>
      </c>
      <c r="DK36" s="52" t="n">
        <v>0</v>
      </c>
      <c r="DL36" s="52" t="n">
        <v>-0.16</v>
      </c>
      <c r="DM36" s="52" t="n">
        <v>0.02</v>
      </c>
      <c r="DN36" s="52" t="n">
        <v>0.05</v>
      </c>
      <c r="DO36" s="52" t="n">
        <v>-0.01</v>
      </c>
      <c r="DP36" s="52" t="n">
        <v>0.02</v>
      </c>
      <c r="DQ36" s="52" t="n">
        <v>0.01</v>
      </c>
      <c r="DR36" s="52" t="n">
        <v>-0.09</v>
      </c>
      <c r="DS36" s="52" t="n">
        <v>0</v>
      </c>
      <c r="DT36" s="52" t="n">
        <v>-0.18</v>
      </c>
      <c r="DU36" s="52" t="n">
        <v>-0.04</v>
      </c>
      <c r="DV36" s="52" t="n">
        <v>-0.02</v>
      </c>
      <c r="DW36" s="52" t="n">
        <v>-0.04</v>
      </c>
      <c r="DX36" s="52" t="n">
        <v>-0.26</v>
      </c>
      <c r="DY36" s="52" t="n">
        <v>-0.06</v>
      </c>
      <c r="DZ36" s="52" t="n">
        <v>-0.08</v>
      </c>
      <c r="EA36" s="52" t="n">
        <v>-0.17</v>
      </c>
      <c r="EB36" s="52" t="n">
        <v>-0.09</v>
      </c>
      <c r="EC36" s="52" t="n">
        <v>-0.15</v>
      </c>
      <c r="ED36" s="52" t="n">
        <v>-0.07</v>
      </c>
      <c r="EE36" s="52" t="n">
        <v>-0.15</v>
      </c>
      <c r="EF36" s="52" t="n">
        <v>0.01</v>
      </c>
      <c r="EG36" s="52" t="n">
        <v>-0.21</v>
      </c>
      <c r="EH36" s="52" t="n">
        <v>0.04</v>
      </c>
      <c r="EI36" s="52" t="n">
        <v>-0.23</v>
      </c>
      <c r="EJ36" s="52" t="n">
        <v>-0.03</v>
      </c>
      <c r="EK36" s="52" t="n">
        <v>-0.04</v>
      </c>
      <c r="EL36" s="52" t="n">
        <v>-0.18</v>
      </c>
      <c r="EM36" s="52" t="n">
        <v>-0.07</v>
      </c>
      <c r="EN36" s="52" t="n">
        <v>-0.05</v>
      </c>
      <c r="EO36" s="52" t="n">
        <v>-0.1</v>
      </c>
    </row>
    <row r="37" customFormat="false" ht="15" hidden="false" customHeight="false" outlineLevel="0" collapsed="false">
      <c r="A37" s="51" t="s">
        <v>183</v>
      </c>
      <c r="B37" s="52" t="n">
        <v>0.31</v>
      </c>
      <c r="C37" s="52" t="n">
        <v>0</v>
      </c>
      <c r="D37" s="52" t="n">
        <v>-0.03</v>
      </c>
      <c r="E37" s="52" t="n">
        <v>0.08</v>
      </c>
      <c r="F37" s="52" t="n">
        <v>0.41</v>
      </c>
      <c r="G37" s="52" t="n">
        <v>-0.09</v>
      </c>
      <c r="H37" s="52" t="n">
        <v>0</v>
      </c>
      <c r="I37" s="52" t="n">
        <v>0.3</v>
      </c>
      <c r="J37" s="52" t="n">
        <v>0.29</v>
      </c>
      <c r="K37" s="52" t="n">
        <v>0.36</v>
      </c>
      <c r="L37" s="52" t="n">
        <v>0.01</v>
      </c>
      <c r="M37" s="52" t="n">
        <v>0.05</v>
      </c>
      <c r="N37" s="52" t="n">
        <v>0.25</v>
      </c>
      <c r="O37" s="52" t="n">
        <v>0.07</v>
      </c>
      <c r="P37" s="52" t="n">
        <v>0.29</v>
      </c>
      <c r="Q37" s="52" t="n">
        <v>0.01</v>
      </c>
      <c r="R37" s="52" t="n">
        <v>0.44</v>
      </c>
      <c r="S37" s="52" t="n">
        <v>0.08</v>
      </c>
      <c r="T37" s="52" t="n">
        <v>0.08</v>
      </c>
      <c r="U37" s="52" t="n">
        <v>0.09</v>
      </c>
      <c r="V37" s="52" t="n">
        <v>-0.09</v>
      </c>
      <c r="W37" s="52" t="n">
        <v>0.1</v>
      </c>
      <c r="X37" s="52" t="n">
        <v>0.16</v>
      </c>
      <c r="Y37" s="52" t="n">
        <v>0.13</v>
      </c>
      <c r="Z37" s="52" t="n">
        <v>-0.03</v>
      </c>
      <c r="AA37" s="52" t="n">
        <v>0.15</v>
      </c>
      <c r="AB37" s="52" t="n">
        <v>0.14</v>
      </c>
      <c r="AC37" s="52" t="n">
        <v>-0.06</v>
      </c>
      <c r="AD37" s="52" t="n">
        <v>0.07</v>
      </c>
      <c r="AE37" s="52" t="n">
        <v>-0.05</v>
      </c>
      <c r="AF37" s="52" t="n">
        <v>-0.05</v>
      </c>
      <c r="AG37" s="52" t="n">
        <v>0.78</v>
      </c>
      <c r="AH37" s="52" t="n">
        <v>1</v>
      </c>
      <c r="AI37" s="52" t="n">
        <v>0.36</v>
      </c>
      <c r="AJ37" s="52" t="n">
        <v>0.01</v>
      </c>
      <c r="AK37" s="52" t="n">
        <v>-0.1</v>
      </c>
      <c r="AL37" s="52" t="n">
        <v>0.12</v>
      </c>
      <c r="AM37" s="52" t="n">
        <v>-0.01</v>
      </c>
      <c r="AN37" s="52" t="n">
        <v>0.22</v>
      </c>
      <c r="AO37" s="52" t="n">
        <v>0.25</v>
      </c>
      <c r="AP37" s="52" t="n">
        <v>0.21</v>
      </c>
      <c r="AQ37" s="52" t="n">
        <v>0.24</v>
      </c>
      <c r="AR37" s="52" t="n">
        <v>0.11</v>
      </c>
      <c r="AS37" s="52" t="n">
        <v>-0.07</v>
      </c>
      <c r="AT37" s="52" t="n">
        <v>0.01</v>
      </c>
      <c r="AU37" s="52" t="n">
        <v>0.26</v>
      </c>
      <c r="AV37" s="52" t="n">
        <v>0.07</v>
      </c>
      <c r="AW37" s="52" t="n">
        <v>-0.07</v>
      </c>
      <c r="AX37" s="52" t="n">
        <v>0.25</v>
      </c>
      <c r="AY37" s="52" t="n">
        <v>0.12</v>
      </c>
      <c r="AZ37" s="52" t="n">
        <v>-0.05</v>
      </c>
      <c r="BA37" s="52" t="n">
        <v>0.24</v>
      </c>
      <c r="BB37" s="52" t="n">
        <v>-0.05</v>
      </c>
      <c r="BC37" s="52" t="n">
        <v>-0.02</v>
      </c>
      <c r="BD37" s="52" t="n">
        <v>0.04</v>
      </c>
      <c r="BE37" s="52" t="n">
        <v>0.26</v>
      </c>
      <c r="BF37" s="52" t="n">
        <v>-0.02</v>
      </c>
      <c r="BG37" s="52" t="n">
        <v>0</v>
      </c>
      <c r="BH37" s="52" t="n">
        <v>0.01</v>
      </c>
      <c r="BI37" s="52" t="n">
        <v>-0.04</v>
      </c>
      <c r="BJ37" s="52" t="n">
        <v>-0.1</v>
      </c>
      <c r="BK37" s="52" t="n">
        <v>-0.04</v>
      </c>
      <c r="BL37" s="52" t="n">
        <v>0.04</v>
      </c>
      <c r="BM37" s="52" t="n">
        <v>0.33</v>
      </c>
      <c r="BN37" s="52" t="n">
        <v>0.2</v>
      </c>
      <c r="BO37" s="52" t="n">
        <v>0.03</v>
      </c>
      <c r="BP37" s="52" t="n">
        <v>-0.01</v>
      </c>
      <c r="BQ37" s="52" t="n">
        <v>-0.03</v>
      </c>
      <c r="BR37" s="52" t="n">
        <v>0.06</v>
      </c>
      <c r="BS37" s="52" t="n">
        <v>0.21</v>
      </c>
      <c r="BT37" s="52" t="n">
        <v>0</v>
      </c>
      <c r="BU37" s="52" t="n">
        <v>-0.09</v>
      </c>
      <c r="BV37" s="52" t="n">
        <v>0.03</v>
      </c>
      <c r="BW37" s="52" t="n">
        <v>0.06</v>
      </c>
      <c r="BX37" s="52" t="n">
        <v>0.15</v>
      </c>
      <c r="BY37" s="52" t="n">
        <v>0.03</v>
      </c>
      <c r="BZ37" s="52" t="n">
        <v>0.08</v>
      </c>
      <c r="CA37" s="52" t="n">
        <v>-0.03</v>
      </c>
      <c r="CB37" s="52" t="n">
        <v>0.05</v>
      </c>
      <c r="CC37" s="52" t="n">
        <v>0.07</v>
      </c>
      <c r="CD37" s="52" t="n">
        <v>0.05</v>
      </c>
      <c r="CE37" s="52" t="n">
        <v>-0.03</v>
      </c>
      <c r="CF37" s="52" t="n">
        <v>0.22</v>
      </c>
      <c r="CG37" s="52" t="n">
        <v>0.05</v>
      </c>
      <c r="CH37" s="52" t="n">
        <v>-0.13</v>
      </c>
      <c r="CI37" s="52" t="n">
        <v>0.24</v>
      </c>
      <c r="CJ37" s="52" t="n">
        <v>0.23</v>
      </c>
      <c r="CK37" s="52" t="n">
        <v>0.18</v>
      </c>
      <c r="CL37" s="52" t="n">
        <v>0.08</v>
      </c>
      <c r="CM37" s="52" t="n">
        <v>-0.19</v>
      </c>
      <c r="CN37" s="52" t="n">
        <v>0.03</v>
      </c>
      <c r="CO37" s="52" t="n">
        <v>-0.01</v>
      </c>
      <c r="CP37" s="52" t="n">
        <v>0.05</v>
      </c>
      <c r="CQ37" s="52" t="n">
        <v>0.05</v>
      </c>
      <c r="CR37" s="52" t="n">
        <v>-0.24</v>
      </c>
      <c r="CS37" s="52" t="n">
        <v>-0.01</v>
      </c>
      <c r="CT37" s="52" t="n">
        <v>-0.01</v>
      </c>
      <c r="CU37" s="52" t="n">
        <v>-0.03</v>
      </c>
      <c r="CV37" s="52" t="n">
        <v>-0.04</v>
      </c>
      <c r="CW37" s="52" t="n">
        <v>0.01</v>
      </c>
      <c r="CX37" s="52" t="n">
        <v>0</v>
      </c>
      <c r="CY37" s="52" t="n">
        <v>0.05</v>
      </c>
      <c r="CZ37" s="52" t="n">
        <v>0.08</v>
      </c>
      <c r="DA37" s="52" t="n">
        <v>0.05</v>
      </c>
      <c r="DB37" s="52" t="n">
        <v>-0.02</v>
      </c>
      <c r="DC37" s="52" t="n">
        <v>-0.1</v>
      </c>
      <c r="DD37" s="52" t="n">
        <v>0.01</v>
      </c>
      <c r="DE37" s="52" t="n">
        <v>-0.14</v>
      </c>
      <c r="DF37" s="52" t="n">
        <v>0.11</v>
      </c>
      <c r="DG37" s="52" t="n">
        <v>-0.16</v>
      </c>
      <c r="DH37" s="52" t="n">
        <v>-0.14</v>
      </c>
      <c r="DI37" s="52" t="n">
        <v>0.05</v>
      </c>
      <c r="DJ37" s="52" t="n">
        <v>0</v>
      </c>
      <c r="DK37" s="52" t="n">
        <v>0.02</v>
      </c>
      <c r="DL37" s="52" t="n">
        <v>-0.22</v>
      </c>
      <c r="DM37" s="52" t="n">
        <v>0.02</v>
      </c>
      <c r="DN37" s="52" t="n">
        <v>0.02</v>
      </c>
      <c r="DO37" s="52" t="n">
        <v>0.02</v>
      </c>
      <c r="DP37" s="52" t="n">
        <v>0.02</v>
      </c>
      <c r="DQ37" s="52" t="n">
        <v>0.03</v>
      </c>
      <c r="DR37" s="52" t="n">
        <v>-0.06</v>
      </c>
      <c r="DS37" s="52" t="n">
        <v>0</v>
      </c>
      <c r="DT37" s="52" t="n">
        <v>-0.14</v>
      </c>
      <c r="DU37" s="52" t="n">
        <v>-0.06</v>
      </c>
      <c r="DV37" s="52" t="n">
        <v>-0.02</v>
      </c>
      <c r="DW37" s="52" t="n">
        <v>-0.11</v>
      </c>
      <c r="DX37" s="52" t="n">
        <v>-0.25</v>
      </c>
      <c r="DY37" s="52" t="n">
        <v>-0.05</v>
      </c>
      <c r="DZ37" s="52" t="n">
        <v>-0.05</v>
      </c>
      <c r="EA37" s="52" t="n">
        <v>-0.12</v>
      </c>
      <c r="EB37" s="52" t="n">
        <v>-0.1</v>
      </c>
      <c r="EC37" s="52" t="n">
        <v>-0.24</v>
      </c>
      <c r="ED37" s="52" t="n">
        <v>-0.05</v>
      </c>
      <c r="EE37" s="52" t="n">
        <v>-0.18</v>
      </c>
      <c r="EF37" s="52" t="n">
        <v>0.02</v>
      </c>
      <c r="EG37" s="52" t="n">
        <v>-0.18</v>
      </c>
      <c r="EH37" s="52" t="n">
        <v>0</v>
      </c>
      <c r="EI37" s="52" t="n">
        <v>-0.21</v>
      </c>
      <c r="EJ37" s="52" t="n">
        <v>-0.02</v>
      </c>
      <c r="EK37" s="52" t="n">
        <v>-0.03</v>
      </c>
      <c r="EL37" s="52" t="n">
        <v>-0.19</v>
      </c>
      <c r="EM37" s="52" t="n">
        <v>-0.03</v>
      </c>
      <c r="EN37" s="52" t="n">
        <v>-0.02</v>
      </c>
      <c r="EO37" s="52" t="n">
        <v>-0.04</v>
      </c>
    </row>
    <row r="38" customFormat="false" ht="15" hidden="false" customHeight="false" outlineLevel="0" collapsed="false">
      <c r="A38" s="51" t="s">
        <v>184</v>
      </c>
      <c r="B38" s="52" t="n">
        <v>0.17</v>
      </c>
      <c r="C38" s="52" t="n">
        <v>-0.02</v>
      </c>
      <c r="D38" s="52" t="n">
        <v>-0.11</v>
      </c>
      <c r="E38" s="52" t="n">
        <v>0.06</v>
      </c>
      <c r="F38" s="52" t="n">
        <v>0.23</v>
      </c>
      <c r="G38" s="52" t="n">
        <v>-0.06</v>
      </c>
      <c r="H38" s="52" t="n">
        <v>-0.12</v>
      </c>
      <c r="I38" s="52" t="n">
        <v>0.1</v>
      </c>
      <c r="J38" s="52" t="n">
        <v>0.21</v>
      </c>
      <c r="K38" s="52" t="n">
        <v>0.07</v>
      </c>
      <c r="L38" s="52" t="n">
        <v>-0.02</v>
      </c>
      <c r="M38" s="52" t="n">
        <v>-0.07</v>
      </c>
      <c r="N38" s="52" t="n">
        <v>0.12</v>
      </c>
      <c r="O38" s="52" t="n">
        <v>-0.04</v>
      </c>
      <c r="P38" s="52" t="n">
        <v>0.26</v>
      </c>
      <c r="Q38" s="52" t="n">
        <v>0</v>
      </c>
      <c r="R38" s="52" t="n">
        <v>0.26</v>
      </c>
      <c r="S38" s="52" t="n">
        <v>-0.1</v>
      </c>
      <c r="T38" s="52" t="n">
        <v>0.04</v>
      </c>
      <c r="U38" s="52" t="n">
        <v>-0.09</v>
      </c>
      <c r="V38" s="52" t="n">
        <v>-0.18</v>
      </c>
      <c r="W38" s="52" t="n">
        <v>0.03</v>
      </c>
      <c r="X38" s="52" t="n">
        <v>0.07</v>
      </c>
      <c r="Y38" s="52" t="n">
        <v>0.09</v>
      </c>
      <c r="Z38" s="52" t="n">
        <v>-0.06</v>
      </c>
      <c r="AA38" s="52" t="n">
        <v>-0.11</v>
      </c>
      <c r="AB38" s="52" t="n">
        <v>0.09</v>
      </c>
      <c r="AC38" s="52" t="n">
        <v>0.07</v>
      </c>
      <c r="AD38" s="52" t="n">
        <v>0.03</v>
      </c>
      <c r="AE38" s="52" t="n">
        <v>-0.28</v>
      </c>
      <c r="AF38" s="52" t="n">
        <v>-0.16</v>
      </c>
      <c r="AG38" s="52" t="n">
        <v>0.35</v>
      </c>
      <c r="AH38" s="52" t="n">
        <v>0.36</v>
      </c>
      <c r="AI38" s="52" t="n">
        <v>1</v>
      </c>
      <c r="AJ38" s="52" t="n">
        <v>-0.06</v>
      </c>
      <c r="AK38" s="52" t="n">
        <v>-0.17</v>
      </c>
      <c r="AL38" s="52" t="n">
        <v>0</v>
      </c>
      <c r="AM38" s="52" t="n">
        <v>-0.13</v>
      </c>
      <c r="AN38" s="52" t="n">
        <v>-0.12</v>
      </c>
      <c r="AO38" s="52" t="n">
        <v>0.11</v>
      </c>
      <c r="AP38" s="52" t="n">
        <v>-0.05</v>
      </c>
      <c r="AQ38" s="52" t="n">
        <v>0.86</v>
      </c>
      <c r="AR38" s="52" t="n">
        <v>0.1</v>
      </c>
      <c r="AS38" s="52" t="n">
        <v>-0.22</v>
      </c>
      <c r="AT38" s="52" t="n">
        <v>-0.03</v>
      </c>
      <c r="AU38" s="52" t="n">
        <v>0.16</v>
      </c>
      <c r="AV38" s="52" t="n">
        <v>0.03</v>
      </c>
      <c r="AW38" s="52" t="n">
        <v>-0.11</v>
      </c>
      <c r="AX38" s="52" t="n">
        <v>0.11</v>
      </c>
      <c r="AY38" s="52" t="n">
        <v>0.06</v>
      </c>
      <c r="AZ38" s="52" t="n">
        <v>-0.25</v>
      </c>
      <c r="BA38" s="52" t="n">
        <v>0.01</v>
      </c>
      <c r="BB38" s="52" t="n">
        <v>-0.09</v>
      </c>
      <c r="BC38" s="52" t="n">
        <v>-0.03</v>
      </c>
      <c r="BD38" s="52" t="n">
        <v>-0.19</v>
      </c>
      <c r="BE38" s="52" t="n">
        <v>0.15</v>
      </c>
      <c r="BF38" s="52" t="n">
        <v>-0.07</v>
      </c>
      <c r="BG38" s="52" t="n">
        <v>0.04</v>
      </c>
      <c r="BH38" s="52" t="n">
        <v>-0.14</v>
      </c>
      <c r="BI38" s="52" t="n">
        <v>0</v>
      </c>
      <c r="BJ38" s="52" t="n">
        <v>-0.03</v>
      </c>
      <c r="BK38" s="52" t="n">
        <v>-0.19</v>
      </c>
      <c r="BL38" s="52" t="n">
        <v>-0.05</v>
      </c>
      <c r="BM38" s="52" t="n">
        <v>0.1</v>
      </c>
      <c r="BN38" s="52" t="n">
        <v>0.13</v>
      </c>
      <c r="BO38" s="52" t="n">
        <v>-0.13</v>
      </c>
      <c r="BP38" s="52" t="n">
        <v>0</v>
      </c>
      <c r="BQ38" s="52" t="n">
        <v>-0.14</v>
      </c>
      <c r="BR38" s="52" t="n">
        <v>-0.05</v>
      </c>
      <c r="BS38" s="52" t="n">
        <v>0.72</v>
      </c>
      <c r="BT38" s="52" t="n">
        <v>-0.22</v>
      </c>
      <c r="BU38" s="52" t="n">
        <v>-0.11</v>
      </c>
      <c r="BV38" s="52" t="n">
        <v>-0.05</v>
      </c>
      <c r="BW38" s="52" t="n">
        <v>0.03</v>
      </c>
      <c r="BX38" s="52" t="n">
        <v>-0.02</v>
      </c>
      <c r="BY38" s="52" t="n">
        <v>-0.09</v>
      </c>
      <c r="BZ38" s="52" t="n">
        <v>-0.18</v>
      </c>
      <c r="CA38" s="52" t="n">
        <v>-0.11</v>
      </c>
      <c r="CB38" s="52" t="n">
        <v>0.17</v>
      </c>
      <c r="CC38" s="52" t="n">
        <v>0.03</v>
      </c>
      <c r="CD38" s="52" t="n">
        <v>-0.08</v>
      </c>
      <c r="CE38" s="52" t="n">
        <v>0.11</v>
      </c>
      <c r="CF38" s="52" t="n">
        <v>0.75</v>
      </c>
      <c r="CG38" s="52" t="n">
        <v>-0.1</v>
      </c>
      <c r="CH38" s="52" t="n">
        <v>-0.21</v>
      </c>
      <c r="CI38" s="52" t="n">
        <v>0.77</v>
      </c>
      <c r="CJ38" s="52" t="n">
        <v>0.11</v>
      </c>
      <c r="CK38" s="52" t="n">
        <v>0.12</v>
      </c>
      <c r="CL38" s="52" t="n">
        <v>-0.12</v>
      </c>
      <c r="CM38" s="52" t="n">
        <v>-0.13</v>
      </c>
      <c r="CN38" s="52" t="n">
        <v>0</v>
      </c>
      <c r="CO38" s="52" t="n">
        <v>-0.11</v>
      </c>
      <c r="CP38" s="52" t="n">
        <v>0.1</v>
      </c>
      <c r="CQ38" s="52" t="n">
        <v>-0.22</v>
      </c>
      <c r="CR38" s="52" t="n">
        <v>-0.2</v>
      </c>
      <c r="CS38" s="52" t="n">
        <v>-0.04</v>
      </c>
      <c r="CT38" s="52" t="n">
        <v>-0.05</v>
      </c>
      <c r="CU38" s="52" t="n">
        <v>0</v>
      </c>
      <c r="CV38" s="52" t="n">
        <v>-0.16</v>
      </c>
      <c r="CW38" s="52" t="n">
        <v>-0.06</v>
      </c>
      <c r="CX38" s="52" t="n">
        <v>-0.1</v>
      </c>
      <c r="CY38" s="52" t="n">
        <v>-0.27</v>
      </c>
      <c r="CZ38" s="52" t="n">
        <v>0.1</v>
      </c>
      <c r="DA38" s="52" t="n">
        <v>0.01</v>
      </c>
      <c r="DB38" s="52" t="n">
        <v>-0.08</v>
      </c>
      <c r="DC38" s="52" t="n">
        <v>-0.36</v>
      </c>
      <c r="DD38" s="52" t="n">
        <v>-0.11</v>
      </c>
      <c r="DE38" s="52" t="n">
        <v>-0.14</v>
      </c>
      <c r="DF38" s="52" t="n">
        <v>0.13</v>
      </c>
      <c r="DG38" s="52" t="n">
        <v>-0.15</v>
      </c>
      <c r="DH38" s="52" t="n">
        <v>-0.08</v>
      </c>
      <c r="DI38" s="52" t="n">
        <v>-0.31</v>
      </c>
      <c r="DJ38" s="52" t="n">
        <v>-0.21</v>
      </c>
      <c r="DK38" s="52" t="n">
        <v>-0.31</v>
      </c>
      <c r="DL38" s="52" t="n">
        <v>-0.25</v>
      </c>
      <c r="DM38" s="52" t="n">
        <v>-0.26</v>
      </c>
      <c r="DN38" s="52" t="n">
        <v>-0.03</v>
      </c>
      <c r="DO38" s="52" t="n">
        <v>-0.02</v>
      </c>
      <c r="DP38" s="52" t="n">
        <v>-0.26</v>
      </c>
      <c r="DQ38" s="52" t="n">
        <v>-0.03</v>
      </c>
      <c r="DR38" s="52" t="n">
        <v>0.08</v>
      </c>
      <c r="DS38" s="52" t="n">
        <v>-0.03</v>
      </c>
      <c r="DT38" s="52" t="n">
        <v>-0.03</v>
      </c>
      <c r="DU38" s="52" t="n">
        <v>-0.11</v>
      </c>
      <c r="DV38" s="52" t="n">
        <v>0.02</v>
      </c>
      <c r="DW38" s="52" t="n">
        <v>-0.16</v>
      </c>
      <c r="DX38" s="52" t="n">
        <v>-0.15</v>
      </c>
      <c r="DY38" s="52" t="n">
        <v>-0.15</v>
      </c>
      <c r="DZ38" s="52" t="n">
        <v>0.03</v>
      </c>
      <c r="EA38" s="52" t="n">
        <v>-0.16</v>
      </c>
      <c r="EB38" s="52" t="n">
        <v>-0.11</v>
      </c>
      <c r="EC38" s="52" t="n">
        <v>-0.12</v>
      </c>
      <c r="ED38" s="52" t="n">
        <v>-0.07</v>
      </c>
      <c r="EE38" s="52" t="n">
        <v>-0.16</v>
      </c>
      <c r="EF38" s="52" t="n">
        <v>0.01</v>
      </c>
      <c r="EG38" s="52" t="n">
        <v>-0.15</v>
      </c>
      <c r="EH38" s="52" t="n">
        <v>-0.06</v>
      </c>
      <c r="EI38" s="52" t="n">
        <v>-0.2</v>
      </c>
      <c r="EJ38" s="52" t="n">
        <v>-0.03</v>
      </c>
      <c r="EK38" s="52" t="n">
        <v>0.05</v>
      </c>
      <c r="EL38" s="52" t="n">
        <v>-0.17</v>
      </c>
      <c r="EM38" s="52" t="n">
        <v>-0.07</v>
      </c>
      <c r="EN38" s="52" t="n">
        <v>-0.06</v>
      </c>
      <c r="EO38" s="52" t="n">
        <v>-0.02</v>
      </c>
    </row>
    <row r="39" customFormat="false" ht="15" hidden="false" customHeight="false" outlineLevel="0" collapsed="false">
      <c r="A39" s="51" t="s">
        <v>185</v>
      </c>
      <c r="B39" s="52" t="n">
        <v>0.03</v>
      </c>
      <c r="C39" s="52" t="n">
        <v>0.11</v>
      </c>
      <c r="D39" s="52" t="n">
        <v>0.21</v>
      </c>
      <c r="E39" s="52" t="n">
        <v>0.1</v>
      </c>
      <c r="F39" s="52" t="n">
        <v>-0.03</v>
      </c>
      <c r="G39" s="52" t="n">
        <v>0.09</v>
      </c>
      <c r="H39" s="52" t="n">
        <v>0.27</v>
      </c>
      <c r="I39" s="52" t="n">
        <v>0.04</v>
      </c>
      <c r="J39" s="52" t="n">
        <v>0</v>
      </c>
      <c r="K39" s="52" t="n">
        <v>0.04</v>
      </c>
      <c r="L39" s="52" t="n">
        <v>0.23</v>
      </c>
      <c r="M39" s="52" t="n">
        <v>0.02</v>
      </c>
      <c r="N39" s="52" t="n">
        <v>0.15</v>
      </c>
      <c r="O39" s="52" t="n">
        <v>0.26</v>
      </c>
      <c r="P39" s="52" t="n">
        <v>-0.03</v>
      </c>
      <c r="Q39" s="52" t="n">
        <v>0.02</v>
      </c>
      <c r="R39" s="52" t="n">
        <v>-0.12</v>
      </c>
      <c r="S39" s="52" t="n">
        <v>0.17</v>
      </c>
      <c r="T39" s="52" t="n">
        <v>-0.05</v>
      </c>
      <c r="U39" s="52" t="n">
        <v>0.31</v>
      </c>
      <c r="V39" s="52" t="n">
        <v>0.19</v>
      </c>
      <c r="W39" s="52" t="n">
        <v>0.13</v>
      </c>
      <c r="X39" s="52" t="n">
        <v>0.04</v>
      </c>
      <c r="Y39" s="52" t="n">
        <v>-0.06</v>
      </c>
      <c r="Z39" s="52" t="n">
        <v>0.18</v>
      </c>
      <c r="AA39" s="52" t="n">
        <v>0.21</v>
      </c>
      <c r="AB39" s="52" t="n">
        <v>-0.08</v>
      </c>
      <c r="AC39" s="52" t="n">
        <v>0.11</v>
      </c>
      <c r="AD39" s="52" t="n">
        <v>0.16</v>
      </c>
      <c r="AE39" s="52" t="n">
        <v>0.24</v>
      </c>
      <c r="AF39" s="52" t="n">
        <v>0.24</v>
      </c>
      <c r="AG39" s="52" t="n">
        <v>-0.02</v>
      </c>
      <c r="AH39" s="52" t="n">
        <v>0.01</v>
      </c>
      <c r="AI39" s="52" t="n">
        <v>-0.06</v>
      </c>
      <c r="AJ39" s="52" t="n">
        <v>1</v>
      </c>
      <c r="AK39" s="52" t="n">
        <v>0.16</v>
      </c>
      <c r="AL39" s="52" t="n">
        <v>0.08</v>
      </c>
      <c r="AM39" s="52" t="n">
        <v>0.15</v>
      </c>
      <c r="AN39" s="52" t="n">
        <v>-0.01</v>
      </c>
      <c r="AO39" s="52" t="n">
        <v>-0.04</v>
      </c>
      <c r="AP39" s="52" t="n">
        <v>0.08</v>
      </c>
      <c r="AQ39" s="52" t="n">
        <v>-0.05</v>
      </c>
      <c r="AR39" s="52" t="n">
        <v>0.02</v>
      </c>
      <c r="AS39" s="52" t="n">
        <v>0.28</v>
      </c>
      <c r="AT39" s="52" t="n">
        <v>-0.04</v>
      </c>
      <c r="AU39" s="52" t="n">
        <v>-0.07</v>
      </c>
      <c r="AV39" s="52" t="n">
        <v>0.22</v>
      </c>
      <c r="AW39" s="52" t="n">
        <v>0.09</v>
      </c>
      <c r="AX39" s="52" t="n">
        <v>0.08</v>
      </c>
      <c r="AY39" s="52" t="n">
        <v>-0.04</v>
      </c>
      <c r="AZ39" s="52" t="n">
        <v>0.21</v>
      </c>
      <c r="BA39" s="52" t="n">
        <v>0.1</v>
      </c>
      <c r="BB39" s="52" t="n">
        <v>0.08</v>
      </c>
      <c r="BC39" s="52" t="n">
        <v>0.14</v>
      </c>
      <c r="BD39" s="52" t="n">
        <v>0.3</v>
      </c>
      <c r="BE39" s="52" t="n">
        <v>0.06</v>
      </c>
      <c r="BF39" s="52" t="n">
        <v>0.23</v>
      </c>
      <c r="BG39" s="52" t="n">
        <v>0.02</v>
      </c>
      <c r="BH39" s="52" t="n">
        <v>0.16</v>
      </c>
      <c r="BI39" s="52" t="n">
        <v>0.03</v>
      </c>
      <c r="BJ39" s="52" t="n">
        <v>0.16</v>
      </c>
      <c r="BK39" s="52" t="n">
        <v>0.2</v>
      </c>
      <c r="BL39" s="52" t="n">
        <v>0.13</v>
      </c>
      <c r="BM39" s="52" t="n">
        <v>-0.09</v>
      </c>
      <c r="BN39" s="52" t="n">
        <v>0.01</v>
      </c>
      <c r="BO39" s="52" t="n">
        <v>0.01</v>
      </c>
      <c r="BP39" s="52" t="n">
        <v>0.07</v>
      </c>
      <c r="BQ39" s="52" t="n">
        <v>0.17</v>
      </c>
      <c r="BR39" s="52" t="n">
        <v>0.12</v>
      </c>
      <c r="BS39" s="52" t="n">
        <v>-0.07</v>
      </c>
      <c r="BT39" s="52" t="n">
        <v>0.06</v>
      </c>
      <c r="BU39" s="52" t="n">
        <v>0.16</v>
      </c>
      <c r="BV39" s="52" t="n">
        <v>0.02</v>
      </c>
      <c r="BW39" s="52" t="n">
        <v>0.05</v>
      </c>
      <c r="BX39" s="52" t="n">
        <v>0.03</v>
      </c>
      <c r="BY39" s="52" t="n">
        <v>-0.02</v>
      </c>
      <c r="BZ39" s="52" t="n">
        <v>0.11</v>
      </c>
      <c r="CA39" s="52" t="n">
        <v>0.23</v>
      </c>
      <c r="CB39" s="52" t="n">
        <v>-0.01</v>
      </c>
      <c r="CC39" s="52" t="n">
        <v>-0.03</v>
      </c>
      <c r="CD39" s="52" t="n">
        <v>-0.07</v>
      </c>
      <c r="CE39" s="52" t="n">
        <v>0.08</v>
      </c>
      <c r="CF39" s="52" t="n">
        <v>-0.03</v>
      </c>
      <c r="CG39" s="52" t="n">
        <v>0.06</v>
      </c>
      <c r="CH39" s="52" t="n">
        <v>0.2</v>
      </c>
      <c r="CI39" s="52" t="n">
        <v>0</v>
      </c>
      <c r="CJ39" s="52" t="n">
        <v>-0.06</v>
      </c>
      <c r="CK39" s="52" t="n">
        <v>0.04</v>
      </c>
      <c r="CL39" s="52" t="n">
        <v>0.04</v>
      </c>
      <c r="CM39" s="52" t="n">
        <v>0.02</v>
      </c>
      <c r="CN39" s="52" t="n">
        <v>0.24</v>
      </c>
      <c r="CO39" s="52" t="n">
        <v>0.05</v>
      </c>
      <c r="CP39" s="52" t="n">
        <v>0.03</v>
      </c>
      <c r="CQ39" s="52" t="n">
        <v>0.11</v>
      </c>
      <c r="CR39" s="52" t="n">
        <v>0.07</v>
      </c>
      <c r="CS39" s="52" t="n">
        <v>0.08</v>
      </c>
      <c r="CT39" s="52" t="n">
        <v>0.12</v>
      </c>
      <c r="CU39" s="52" t="n">
        <v>0.07</v>
      </c>
      <c r="CV39" s="52" t="n">
        <v>-0.08</v>
      </c>
      <c r="CW39" s="52" t="n">
        <v>0.05</v>
      </c>
      <c r="CX39" s="52" t="n">
        <v>0</v>
      </c>
      <c r="CY39" s="52" t="n">
        <v>0.05</v>
      </c>
      <c r="CZ39" s="52" t="n">
        <v>0.04</v>
      </c>
      <c r="DA39" s="52" t="n">
        <v>0.01</v>
      </c>
      <c r="DB39" s="52" t="n">
        <v>0.1</v>
      </c>
      <c r="DC39" s="52" t="n">
        <v>0.28</v>
      </c>
      <c r="DD39" s="52" t="n">
        <v>0.04</v>
      </c>
      <c r="DE39" s="52" t="n">
        <v>0.12</v>
      </c>
      <c r="DF39" s="52" t="n">
        <v>0.01</v>
      </c>
      <c r="DG39" s="52" t="n">
        <v>0.21</v>
      </c>
      <c r="DH39" s="52" t="n">
        <v>0.06</v>
      </c>
      <c r="DI39" s="52" t="n">
        <v>0.04</v>
      </c>
      <c r="DJ39" s="52" t="n">
        <v>0.02</v>
      </c>
      <c r="DK39" s="52" t="n">
        <v>0.07</v>
      </c>
      <c r="DL39" s="52" t="n">
        <v>0.29</v>
      </c>
      <c r="DM39" s="52" t="n">
        <v>0.12</v>
      </c>
      <c r="DN39" s="52" t="n">
        <v>0.02</v>
      </c>
      <c r="DO39" s="52" t="n">
        <v>0.13</v>
      </c>
      <c r="DP39" s="52" t="n">
        <v>0.08</v>
      </c>
      <c r="DQ39" s="52" t="n">
        <v>0.15</v>
      </c>
      <c r="DR39" s="52" t="n">
        <v>0.08</v>
      </c>
      <c r="DS39" s="52" t="n">
        <v>-0.13</v>
      </c>
      <c r="DT39" s="52" t="n">
        <v>0.05</v>
      </c>
      <c r="DU39" s="52" t="n">
        <v>0.08</v>
      </c>
      <c r="DV39" s="52" t="n">
        <v>-0.05</v>
      </c>
      <c r="DW39" s="52" t="n">
        <v>0.02</v>
      </c>
      <c r="DX39" s="52" t="n">
        <v>0.13</v>
      </c>
      <c r="DY39" s="52" t="n">
        <v>-0.02</v>
      </c>
      <c r="DZ39" s="52" t="n">
        <v>0.04</v>
      </c>
      <c r="EA39" s="52" t="n">
        <v>0.18</v>
      </c>
      <c r="EB39" s="52" t="n">
        <v>-0.01</v>
      </c>
      <c r="EC39" s="52" t="n">
        <v>0.03</v>
      </c>
      <c r="ED39" s="52" t="n">
        <v>0.17</v>
      </c>
      <c r="EE39" s="52" t="n">
        <v>0.08</v>
      </c>
      <c r="EF39" s="52" t="n">
        <v>0.1</v>
      </c>
      <c r="EG39" s="52" t="n">
        <v>0.04</v>
      </c>
      <c r="EH39" s="52" t="n">
        <v>-0.04</v>
      </c>
      <c r="EI39" s="52" t="n">
        <v>0.07</v>
      </c>
      <c r="EJ39" s="52" t="n">
        <v>0.07</v>
      </c>
      <c r="EK39" s="52" t="n">
        <v>0.12</v>
      </c>
      <c r="EL39" s="52" t="n">
        <v>0.17</v>
      </c>
      <c r="EM39" s="52" t="n">
        <v>0.02</v>
      </c>
      <c r="EN39" s="52" t="n">
        <v>0.11</v>
      </c>
      <c r="EO39" s="52" t="n">
        <v>0.02</v>
      </c>
    </row>
    <row r="40" customFormat="false" ht="15" hidden="false" customHeight="false" outlineLevel="0" collapsed="false">
      <c r="A40" s="51" t="s">
        <v>119</v>
      </c>
      <c r="B40" s="52" t="n">
        <v>-0.03</v>
      </c>
      <c r="C40" s="52" t="n">
        <v>0.22</v>
      </c>
      <c r="D40" s="52" t="n">
        <v>0.03</v>
      </c>
      <c r="E40" s="52" t="n">
        <v>0.3</v>
      </c>
      <c r="F40" s="52" t="n">
        <v>-0.04</v>
      </c>
      <c r="G40" s="52" t="n">
        <v>0.14</v>
      </c>
      <c r="H40" s="52" t="n">
        <v>0.26</v>
      </c>
      <c r="I40" s="52" t="n">
        <v>0.05</v>
      </c>
      <c r="J40" s="52" t="n">
        <v>0.08</v>
      </c>
      <c r="K40" s="52" t="n">
        <v>0.02</v>
      </c>
      <c r="L40" s="52" t="n">
        <v>0.27</v>
      </c>
      <c r="M40" s="52" t="n">
        <v>0.23</v>
      </c>
      <c r="N40" s="52" t="n">
        <v>0.04</v>
      </c>
      <c r="O40" s="52" t="n">
        <v>0.46</v>
      </c>
      <c r="P40" s="52" t="n">
        <v>0.02</v>
      </c>
      <c r="Q40" s="52" t="n">
        <v>-0.02</v>
      </c>
      <c r="R40" s="52" t="n">
        <v>0.07</v>
      </c>
      <c r="S40" s="52" t="n">
        <v>0.21</v>
      </c>
      <c r="T40" s="52" t="n">
        <v>0.15</v>
      </c>
      <c r="U40" s="52" t="n">
        <v>0.54</v>
      </c>
      <c r="V40" s="52" t="n">
        <v>0.38</v>
      </c>
      <c r="W40" s="52" t="n">
        <v>0.32</v>
      </c>
      <c r="X40" s="52" t="n">
        <v>0.2</v>
      </c>
      <c r="Y40" s="52" t="n">
        <v>-0.02</v>
      </c>
      <c r="Z40" s="52" t="n">
        <v>0.4</v>
      </c>
      <c r="AA40" s="52" t="n">
        <v>0.22</v>
      </c>
      <c r="AB40" s="52" t="n">
        <v>-0.01</v>
      </c>
      <c r="AC40" s="52" t="n">
        <v>0.21</v>
      </c>
      <c r="AD40" s="52" t="n">
        <v>0.29</v>
      </c>
      <c r="AE40" s="52" t="n">
        <v>0.38</v>
      </c>
      <c r="AF40" s="52" t="n">
        <v>0.48</v>
      </c>
      <c r="AG40" s="52" t="n">
        <v>-0.02</v>
      </c>
      <c r="AH40" s="52" t="n">
        <v>-0.1</v>
      </c>
      <c r="AI40" s="52" t="n">
        <v>-0.17</v>
      </c>
      <c r="AJ40" s="52" t="n">
        <v>0.16</v>
      </c>
      <c r="AK40" s="52" t="n">
        <v>1</v>
      </c>
      <c r="AL40" s="52" t="n">
        <v>0.04</v>
      </c>
      <c r="AM40" s="52" t="n">
        <v>0.35</v>
      </c>
      <c r="AN40" s="52" t="n">
        <v>0.17</v>
      </c>
      <c r="AO40" s="52" t="n">
        <v>-0.07</v>
      </c>
      <c r="AP40" s="52" t="n">
        <v>0.13</v>
      </c>
      <c r="AQ40" s="52" t="n">
        <v>-0.08</v>
      </c>
      <c r="AR40" s="52" t="n">
        <v>0.08</v>
      </c>
      <c r="AS40" s="52" t="n">
        <v>0.49</v>
      </c>
      <c r="AT40" s="52" t="n">
        <v>0.08</v>
      </c>
      <c r="AU40" s="52" t="n">
        <v>0.06</v>
      </c>
      <c r="AV40" s="52" t="n">
        <v>0.32</v>
      </c>
      <c r="AW40" s="52" t="n">
        <v>0.38</v>
      </c>
      <c r="AX40" s="52" t="n">
        <v>0</v>
      </c>
      <c r="AY40" s="52" t="n">
        <v>0.08</v>
      </c>
      <c r="AZ40" s="52" t="n">
        <v>0.34</v>
      </c>
      <c r="BA40" s="52" t="n">
        <v>0.23</v>
      </c>
      <c r="BB40" s="52" t="n">
        <v>0.2</v>
      </c>
      <c r="BC40" s="52" t="n">
        <v>0.18</v>
      </c>
      <c r="BD40" s="52" t="n">
        <v>0.55</v>
      </c>
      <c r="BE40" s="52" t="n">
        <v>0.08</v>
      </c>
      <c r="BF40" s="52" t="n">
        <v>0.25</v>
      </c>
      <c r="BG40" s="52" t="n">
        <v>0.01</v>
      </c>
      <c r="BH40" s="52" t="n">
        <v>0.3</v>
      </c>
      <c r="BI40" s="52" t="n">
        <v>0.04</v>
      </c>
      <c r="BJ40" s="52" t="n">
        <v>0.08</v>
      </c>
      <c r="BK40" s="52" t="n">
        <v>0.29</v>
      </c>
      <c r="BL40" s="52" t="n">
        <v>0.21</v>
      </c>
      <c r="BM40" s="52" t="n">
        <v>0.04</v>
      </c>
      <c r="BN40" s="52" t="n">
        <v>0.06</v>
      </c>
      <c r="BO40" s="52" t="n">
        <v>0.11</v>
      </c>
      <c r="BP40" s="52" t="n">
        <v>-0.06</v>
      </c>
      <c r="BQ40" s="52" t="n">
        <v>0.39</v>
      </c>
      <c r="BR40" s="52" t="n">
        <v>0.1</v>
      </c>
      <c r="BS40" s="52" t="n">
        <v>-0.15</v>
      </c>
      <c r="BT40" s="52" t="n">
        <v>0.27</v>
      </c>
      <c r="BU40" s="52" t="n">
        <v>0.37</v>
      </c>
      <c r="BV40" s="52" t="n">
        <v>0.05</v>
      </c>
      <c r="BW40" s="52" t="n">
        <v>0.09</v>
      </c>
      <c r="BX40" s="52" t="n">
        <v>-0.03</v>
      </c>
      <c r="BY40" s="52" t="n">
        <v>0.19</v>
      </c>
      <c r="BZ40" s="52" t="n">
        <v>0.17</v>
      </c>
      <c r="CA40" s="52" t="n">
        <v>0.34</v>
      </c>
      <c r="CB40" s="52" t="n">
        <v>0.03</v>
      </c>
      <c r="CC40" s="52" t="n">
        <v>0.05</v>
      </c>
      <c r="CD40" s="52" t="n">
        <v>-0.02</v>
      </c>
      <c r="CE40" s="52" t="n">
        <v>0.05</v>
      </c>
      <c r="CF40" s="52" t="n">
        <v>-0.19</v>
      </c>
      <c r="CG40" s="52" t="n">
        <v>-0.01</v>
      </c>
      <c r="CH40" s="52" t="n">
        <v>0.5</v>
      </c>
      <c r="CI40" s="52" t="n">
        <v>-0.18</v>
      </c>
      <c r="CJ40" s="52" t="n">
        <v>-0.03</v>
      </c>
      <c r="CK40" s="52" t="n">
        <v>0.07</v>
      </c>
      <c r="CL40" s="52" t="n">
        <v>0.09</v>
      </c>
      <c r="CM40" s="52" t="n">
        <v>0.13</v>
      </c>
      <c r="CN40" s="52" t="n">
        <v>0.3</v>
      </c>
      <c r="CO40" s="52" t="n">
        <v>0.15</v>
      </c>
      <c r="CP40" s="52" t="n">
        <v>-0.04</v>
      </c>
      <c r="CQ40" s="52" t="n">
        <v>0.18</v>
      </c>
      <c r="CR40" s="52" t="n">
        <v>0.2</v>
      </c>
      <c r="CS40" s="52" t="n">
        <v>0.24</v>
      </c>
      <c r="CT40" s="52" t="n">
        <v>0.2</v>
      </c>
      <c r="CU40" s="52" t="n">
        <v>0.1</v>
      </c>
      <c r="CV40" s="52" t="n">
        <v>0.12</v>
      </c>
      <c r="CW40" s="52" t="n">
        <v>0.07</v>
      </c>
      <c r="CX40" s="52" t="n">
        <v>0.2</v>
      </c>
      <c r="CY40" s="52" t="n">
        <v>0.23</v>
      </c>
      <c r="CZ40" s="52" t="n">
        <v>0.01</v>
      </c>
      <c r="DA40" s="52" t="n">
        <v>-0.1</v>
      </c>
      <c r="DB40" s="52" t="n">
        <v>0.18</v>
      </c>
      <c r="DC40" s="52" t="n">
        <v>0.34</v>
      </c>
      <c r="DD40" s="52" t="n">
        <v>0.03</v>
      </c>
      <c r="DE40" s="52" t="n">
        <v>0.33</v>
      </c>
      <c r="DF40" s="52" t="n">
        <v>-0.16</v>
      </c>
      <c r="DG40" s="52" t="n">
        <v>0.23</v>
      </c>
      <c r="DH40" s="52" t="n">
        <v>0.08</v>
      </c>
      <c r="DI40" s="52" t="n">
        <v>0.18</v>
      </c>
      <c r="DJ40" s="52" t="n">
        <v>0.19</v>
      </c>
      <c r="DK40" s="52" t="n">
        <v>0.19</v>
      </c>
      <c r="DL40" s="52" t="n">
        <v>0.34</v>
      </c>
      <c r="DM40" s="52" t="n">
        <v>0.27</v>
      </c>
      <c r="DN40" s="52" t="n">
        <v>0.03</v>
      </c>
      <c r="DO40" s="52" t="n">
        <v>0.13</v>
      </c>
      <c r="DP40" s="52" t="n">
        <v>0.16</v>
      </c>
      <c r="DQ40" s="52" t="n">
        <v>0.14</v>
      </c>
      <c r="DR40" s="52" t="n">
        <v>0.13</v>
      </c>
      <c r="DS40" s="52" t="n">
        <v>-0.04</v>
      </c>
      <c r="DT40" s="52" t="n">
        <v>0.03</v>
      </c>
      <c r="DU40" s="52" t="n">
        <v>0.15</v>
      </c>
      <c r="DV40" s="52" t="n">
        <v>-0.01</v>
      </c>
      <c r="DW40" s="52" t="n">
        <v>0.07</v>
      </c>
      <c r="DX40" s="52" t="n">
        <v>0.21</v>
      </c>
      <c r="DY40" s="52" t="n">
        <v>0.04</v>
      </c>
      <c r="DZ40" s="52" t="n">
        <v>-0.08</v>
      </c>
      <c r="EA40" s="52" t="n">
        <v>0.1</v>
      </c>
      <c r="EB40" s="52" t="n">
        <v>0.11</v>
      </c>
      <c r="EC40" s="52" t="n">
        <v>0.22</v>
      </c>
      <c r="ED40" s="52" t="n">
        <v>0.14</v>
      </c>
      <c r="EE40" s="52" t="n">
        <v>0.2</v>
      </c>
      <c r="EF40" s="52" t="n">
        <v>0.14</v>
      </c>
      <c r="EG40" s="52" t="n">
        <v>0.2</v>
      </c>
      <c r="EH40" s="52" t="n">
        <v>-0.04</v>
      </c>
      <c r="EI40" s="52" t="n">
        <v>0.16</v>
      </c>
      <c r="EJ40" s="52" t="n">
        <v>0.14</v>
      </c>
      <c r="EK40" s="52" t="n">
        <v>0.14</v>
      </c>
      <c r="EL40" s="52" t="n">
        <v>0.26</v>
      </c>
      <c r="EM40" s="52" t="n">
        <v>0.01</v>
      </c>
      <c r="EN40" s="52" t="n">
        <v>0.03</v>
      </c>
      <c r="EO40" s="52" t="n">
        <v>0.07</v>
      </c>
    </row>
    <row r="41" customFormat="false" ht="15" hidden="false" customHeight="false" outlineLevel="0" collapsed="false">
      <c r="A41" s="51" t="s">
        <v>186</v>
      </c>
      <c r="B41" s="52" t="n">
        <v>0.28</v>
      </c>
      <c r="C41" s="52" t="n">
        <v>-0.01</v>
      </c>
      <c r="D41" s="52" t="n">
        <v>0.05</v>
      </c>
      <c r="E41" s="52" t="n">
        <v>0.14</v>
      </c>
      <c r="F41" s="52" t="n">
        <v>0.26</v>
      </c>
      <c r="G41" s="52" t="n">
        <v>-0.07</v>
      </c>
      <c r="H41" s="52" t="n">
        <v>0.01</v>
      </c>
      <c r="I41" s="52" t="n">
        <v>0.29</v>
      </c>
      <c r="J41" s="52" t="n">
        <v>0.2</v>
      </c>
      <c r="K41" s="52" t="n">
        <v>0.28</v>
      </c>
      <c r="L41" s="52" t="n">
        <v>0.11</v>
      </c>
      <c r="M41" s="52" t="n">
        <v>0.26</v>
      </c>
      <c r="N41" s="52" t="n">
        <v>0.31</v>
      </c>
      <c r="O41" s="52" t="n">
        <v>0.11</v>
      </c>
      <c r="P41" s="52" t="n">
        <v>0.24</v>
      </c>
      <c r="Q41" s="52" t="n">
        <v>0.1</v>
      </c>
      <c r="R41" s="52" t="n">
        <v>0.3</v>
      </c>
      <c r="S41" s="52" t="n">
        <v>0.03</v>
      </c>
      <c r="T41" s="52" t="n">
        <v>0.31</v>
      </c>
      <c r="U41" s="52" t="n">
        <v>0.11</v>
      </c>
      <c r="V41" s="52" t="n">
        <v>0.04</v>
      </c>
      <c r="W41" s="52" t="n">
        <v>0.02</v>
      </c>
      <c r="X41" s="52" t="n">
        <v>0.25</v>
      </c>
      <c r="Y41" s="52" t="n">
        <v>0.3</v>
      </c>
      <c r="Z41" s="52" t="n">
        <v>0.04</v>
      </c>
      <c r="AA41" s="52" t="n">
        <v>0.16</v>
      </c>
      <c r="AB41" s="52" t="n">
        <v>0.28</v>
      </c>
      <c r="AC41" s="52" t="n">
        <v>-0.07</v>
      </c>
      <c r="AD41" s="52" t="n">
        <v>0.05</v>
      </c>
      <c r="AE41" s="52" t="n">
        <v>0.11</v>
      </c>
      <c r="AF41" s="52" t="n">
        <v>0.02</v>
      </c>
      <c r="AG41" s="52" t="n">
        <v>0.14</v>
      </c>
      <c r="AH41" s="52" t="n">
        <v>0.12</v>
      </c>
      <c r="AI41" s="52" t="n">
        <v>0</v>
      </c>
      <c r="AJ41" s="52" t="n">
        <v>0.08</v>
      </c>
      <c r="AK41" s="52" t="n">
        <v>0.04</v>
      </c>
      <c r="AL41" s="52" t="n">
        <v>1</v>
      </c>
      <c r="AM41" s="52" t="n">
        <v>0.1</v>
      </c>
      <c r="AN41" s="52" t="n">
        <v>0.28</v>
      </c>
      <c r="AO41" s="52" t="n">
        <v>0.21</v>
      </c>
      <c r="AP41" s="52" t="n">
        <v>0.29</v>
      </c>
      <c r="AQ41" s="52" t="n">
        <v>0.01</v>
      </c>
      <c r="AR41" s="52" t="n">
        <v>0.29</v>
      </c>
      <c r="AS41" s="52" t="n">
        <v>0.12</v>
      </c>
      <c r="AT41" s="52" t="n">
        <v>0.3</v>
      </c>
      <c r="AU41" s="52" t="n">
        <v>0.18</v>
      </c>
      <c r="AV41" s="52" t="n">
        <v>0.12</v>
      </c>
      <c r="AW41" s="52" t="n">
        <v>0.03</v>
      </c>
      <c r="AX41" s="52" t="n">
        <v>0.24</v>
      </c>
      <c r="AY41" s="52" t="n">
        <v>0.23</v>
      </c>
      <c r="AZ41" s="52" t="n">
        <v>0.13</v>
      </c>
      <c r="BA41" s="52" t="n">
        <v>0.19</v>
      </c>
      <c r="BB41" s="52" t="n">
        <v>0.28</v>
      </c>
      <c r="BC41" s="52" t="n">
        <v>0.09</v>
      </c>
      <c r="BD41" s="52" t="n">
        <v>0</v>
      </c>
      <c r="BE41" s="52" t="n">
        <v>0.26</v>
      </c>
      <c r="BF41" s="52" t="n">
        <v>0.14</v>
      </c>
      <c r="BG41" s="52" t="n">
        <v>0.14</v>
      </c>
      <c r="BH41" s="52" t="n">
        <v>0.06</v>
      </c>
      <c r="BI41" s="52" t="n">
        <v>0.02</v>
      </c>
      <c r="BJ41" s="52" t="n">
        <v>-0.09</v>
      </c>
      <c r="BK41" s="52" t="n">
        <v>0.05</v>
      </c>
      <c r="BL41" s="52" t="n">
        <v>0.19</v>
      </c>
      <c r="BM41" s="52" t="n">
        <v>0.24</v>
      </c>
      <c r="BN41" s="52" t="n">
        <v>0.04</v>
      </c>
      <c r="BO41" s="52" t="n">
        <v>0.23</v>
      </c>
      <c r="BP41" s="52" t="n">
        <v>0.18</v>
      </c>
      <c r="BQ41" s="52" t="n">
        <v>0.09</v>
      </c>
      <c r="BR41" s="52" t="n">
        <v>0.3</v>
      </c>
      <c r="BS41" s="52" t="n">
        <v>-0.01</v>
      </c>
      <c r="BT41" s="52" t="n">
        <v>0.23</v>
      </c>
      <c r="BU41" s="52" t="n">
        <v>0.08</v>
      </c>
      <c r="BV41" s="52" t="n">
        <v>0.16</v>
      </c>
      <c r="BW41" s="52" t="n">
        <v>0.23</v>
      </c>
      <c r="BX41" s="52" t="n">
        <v>0.23</v>
      </c>
      <c r="BY41" s="52" t="n">
        <v>0.27</v>
      </c>
      <c r="BZ41" s="52" t="n">
        <v>0.26</v>
      </c>
      <c r="CA41" s="52" t="n">
        <v>0.08</v>
      </c>
      <c r="CB41" s="52" t="n">
        <v>-0.05</v>
      </c>
      <c r="CC41" s="52" t="n">
        <v>-0.03</v>
      </c>
      <c r="CD41" s="52" t="n">
        <v>0.19</v>
      </c>
      <c r="CE41" s="52" t="n">
        <v>0.21</v>
      </c>
      <c r="CF41" s="52" t="n">
        <v>0.01</v>
      </c>
      <c r="CG41" s="52" t="n">
        <v>0.33</v>
      </c>
      <c r="CH41" s="52" t="n">
        <v>0.12</v>
      </c>
      <c r="CI41" s="52" t="n">
        <v>-0.05</v>
      </c>
      <c r="CJ41" s="52" t="n">
        <v>0.22</v>
      </c>
      <c r="CK41" s="52" t="n">
        <v>0.27</v>
      </c>
      <c r="CL41" s="52" t="n">
        <v>0.25</v>
      </c>
      <c r="CM41" s="52" t="n">
        <v>0.13</v>
      </c>
      <c r="CN41" s="52" t="n">
        <v>-0.03</v>
      </c>
      <c r="CO41" s="52" t="n">
        <v>0.05</v>
      </c>
      <c r="CP41" s="52" t="n">
        <v>0.31</v>
      </c>
      <c r="CQ41" s="52" t="n">
        <v>0.32</v>
      </c>
      <c r="CR41" s="52" t="n">
        <v>0.17</v>
      </c>
      <c r="CS41" s="52" t="n">
        <v>0.12</v>
      </c>
      <c r="CT41" s="52" t="n">
        <v>0.21</v>
      </c>
      <c r="CU41" s="52" t="n">
        <v>0.21</v>
      </c>
      <c r="CV41" s="52" t="n">
        <v>0.16</v>
      </c>
      <c r="CW41" s="52" t="n">
        <v>0.22</v>
      </c>
      <c r="CX41" s="52" t="n">
        <v>0.18</v>
      </c>
      <c r="CY41" s="52" t="n">
        <v>0.28</v>
      </c>
      <c r="CZ41" s="52" t="n">
        <v>0.22</v>
      </c>
      <c r="DA41" s="52" t="n">
        <v>0.27</v>
      </c>
      <c r="DB41" s="52" t="n">
        <v>0.21</v>
      </c>
      <c r="DC41" s="52" t="n">
        <v>0.09</v>
      </c>
      <c r="DD41" s="52" t="n">
        <v>0.26</v>
      </c>
      <c r="DE41" s="52" t="n">
        <v>0.15</v>
      </c>
      <c r="DF41" s="52" t="n">
        <v>0.18</v>
      </c>
      <c r="DG41" s="52" t="n">
        <v>0.16</v>
      </c>
      <c r="DH41" s="52" t="n">
        <v>0.2</v>
      </c>
      <c r="DI41" s="52" t="n">
        <v>0.29</v>
      </c>
      <c r="DJ41" s="52" t="n">
        <v>0.27</v>
      </c>
      <c r="DK41" s="52" t="n">
        <v>0.3</v>
      </c>
      <c r="DL41" s="52" t="n">
        <v>-0.01</v>
      </c>
      <c r="DM41" s="52" t="n">
        <v>0.31</v>
      </c>
      <c r="DN41" s="52" t="n">
        <v>0.23</v>
      </c>
      <c r="DO41" s="52" t="n">
        <v>0.26</v>
      </c>
      <c r="DP41" s="52" t="n">
        <v>0.28</v>
      </c>
      <c r="DQ41" s="52" t="n">
        <v>0.18</v>
      </c>
      <c r="DR41" s="52" t="n">
        <v>0.06</v>
      </c>
      <c r="DS41" s="52" t="n">
        <v>0.24</v>
      </c>
      <c r="DT41" s="52" t="n">
        <v>0.04</v>
      </c>
      <c r="DU41" s="52" t="n">
        <v>0.2</v>
      </c>
      <c r="DV41" s="52" t="n">
        <v>0.21</v>
      </c>
      <c r="DW41" s="52" t="n">
        <v>0.25</v>
      </c>
      <c r="DX41" s="52" t="n">
        <v>-0.03</v>
      </c>
      <c r="DY41" s="52" t="n">
        <v>0.28</v>
      </c>
      <c r="DZ41" s="52" t="n">
        <v>0.14</v>
      </c>
      <c r="EA41" s="52" t="n">
        <v>0.21</v>
      </c>
      <c r="EB41" s="52" t="n">
        <v>0.26</v>
      </c>
      <c r="EC41" s="52" t="n">
        <v>0</v>
      </c>
      <c r="ED41" s="52" t="n">
        <v>0.2</v>
      </c>
      <c r="EE41" s="52" t="n">
        <v>0.11</v>
      </c>
      <c r="EF41" s="52" t="n">
        <v>0.27</v>
      </c>
      <c r="EG41" s="52" t="n">
        <v>0.09</v>
      </c>
      <c r="EH41" s="52" t="n">
        <v>0.21</v>
      </c>
      <c r="EI41" s="52" t="n">
        <v>0</v>
      </c>
      <c r="EJ41" s="52" t="n">
        <v>0.19</v>
      </c>
      <c r="EK41" s="52" t="n">
        <v>0.08</v>
      </c>
      <c r="EL41" s="52" t="n">
        <v>0.1</v>
      </c>
      <c r="EM41" s="52" t="n">
        <v>0.08</v>
      </c>
      <c r="EN41" s="52" t="n">
        <v>0.18</v>
      </c>
      <c r="EO41" s="52" t="n">
        <v>0.12</v>
      </c>
    </row>
    <row r="42" customFormat="false" ht="15" hidden="false" customHeight="false" outlineLevel="0" collapsed="false">
      <c r="A42" s="51" t="s">
        <v>187</v>
      </c>
      <c r="B42" s="52" t="n">
        <v>0.04</v>
      </c>
      <c r="C42" s="52" t="n">
        <v>0.08</v>
      </c>
      <c r="D42" s="52" t="n">
        <v>0.09</v>
      </c>
      <c r="E42" s="52" t="n">
        <v>0.16</v>
      </c>
      <c r="F42" s="52" t="n">
        <v>0</v>
      </c>
      <c r="G42" s="52" t="n">
        <v>0.17</v>
      </c>
      <c r="H42" s="52" t="n">
        <v>0.17</v>
      </c>
      <c r="I42" s="52" t="n">
        <v>0.04</v>
      </c>
      <c r="J42" s="52" t="n">
        <v>0.09</v>
      </c>
      <c r="K42" s="52" t="n">
        <v>0.02</v>
      </c>
      <c r="L42" s="52" t="n">
        <v>0.16</v>
      </c>
      <c r="M42" s="52" t="n">
        <v>0.2</v>
      </c>
      <c r="N42" s="52" t="n">
        <v>0.11</v>
      </c>
      <c r="O42" s="52" t="n">
        <v>0.27</v>
      </c>
      <c r="P42" s="52" t="n">
        <v>0.07</v>
      </c>
      <c r="Q42" s="52" t="n">
        <v>0.06</v>
      </c>
      <c r="R42" s="52" t="n">
        <v>0.1</v>
      </c>
      <c r="S42" s="52" t="n">
        <v>0.15</v>
      </c>
      <c r="T42" s="52" t="n">
        <v>0.2</v>
      </c>
      <c r="U42" s="52" t="n">
        <v>0.29</v>
      </c>
      <c r="V42" s="52" t="n">
        <v>0.16</v>
      </c>
      <c r="W42" s="52" t="n">
        <v>0.12</v>
      </c>
      <c r="X42" s="52" t="n">
        <v>0.26</v>
      </c>
      <c r="Y42" s="52" t="n">
        <v>0.11</v>
      </c>
      <c r="Z42" s="52" t="n">
        <v>0.31</v>
      </c>
      <c r="AA42" s="52" t="n">
        <v>0.24</v>
      </c>
      <c r="AB42" s="52" t="n">
        <v>0.1</v>
      </c>
      <c r="AC42" s="52" t="n">
        <v>0.16</v>
      </c>
      <c r="AD42" s="52" t="n">
        <v>0.13</v>
      </c>
      <c r="AE42" s="52" t="n">
        <v>0.24</v>
      </c>
      <c r="AF42" s="52" t="n">
        <v>0.28</v>
      </c>
      <c r="AG42" s="52" t="n">
        <v>0.06</v>
      </c>
      <c r="AH42" s="52" t="n">
        <v>-0.01</v>
      </c>
      <c r="AI42" s="52" t="n">
        <v>-0.13</v>
      </c>
      <c r="AJ42" s="52" t="n">
        <v>0.15</v>
      </c>
      <c r="AK42" s="52" t="n">
        <v>0.35</v>
      </c>
      <c r="AL42" s="52" t="n">
        <v>0.1</v>
      </c>
      <c r="AM42" s="52" t="n">
        <v>1</v>
      </c>
      <c r="AN42" s="52" t="n">
        <v>0.1</v>
      </c>
      <c r="AO42" s="52" t="n">
        <v>0.11</v>
      </c>
      <c r="AP42" s="52" t="n">
        <v>0.12</v>
      </c>
      <c r="AQ42" s="52" t="n">
        <v>-0.15</v>
      </c>
      <c r="AR42" s="52" t="n">
        <v>0.15</v>
      </c>
      <c r="AS42" s="52" t="n">
        <v>0.2</v>
      </c>
      <c r="AT42" s="52" t="n">
        <v>0.1</v>
      </c>
      <c r="AU42" s="52" t="n">
        <v>0.06</v>
      </c>
      <c r="AV42" s="52" t="n">
        <v>0.13</v>
      </c>
      <c r="AW42" s="52" t="n">
        <v>0.18</v>
      </c>
      <c r="AX42" s="52" t="n">
        <v>0.17</v>
      </c>
      <c r="AY42" s="52" t="n">
        <v>0.07</v>
      </c>
      <c r="AZ42" s="52" t="n">
        <v>0.2</v>
      </c>
      <c r="BA42" s="52" t="n">
        <v>0.19</v>
      </c>
      <c r="BB42" s="52" t="n">
        <v>0.21</v>
      </c>
      <c r="BC42" s="52" t="n">
        <v>0.22</v>
      </c>
      <c r="BD42" s="52" t="n">
        <v>0.32</v>
      </c>
      <c r="BE42" s="52" t="n">
        <v>0.11</v>
      </c>
      <c r="BF42" s="52" t="n">
        <v>0.23</v>
      </c>
      <c r="BG42" s="52" t="n">
        <v>0.09</v>
      </c>
      <c r="BH42" s="52" t="n">
        <v>0.17</v>
      </c>
      <c r="BI42" s="52" t="n">
        <v>0.11</v>
      </c>
      <c r="BJ42" s="52" t="n">
        <v>0.04</v>
      </c>
      <c r="BK42" s="52" t="n">
        <v>0.28</v>
      </c>
      <c r="BL42" s="52" t="n">
        <v>0.1</v>
      </c>
      <c r="BM42" s="52" t="n">
        <v>0.07</v>
      </c>
      <c r="BN42" s="52" t="n">
        <v>0.14</v>
      </c>
      <c r="BO42" s="52" t="n">
        <v>0.16</v>
      </c>
      <c r="BP42" s="52" t="n">
        <v>0.06</v>
      </c>
      <c r="BQ42" s="52" t="n">
        <v>0.28</v>
      </c>
      <c r="BR42" s="52" t="n">
        <v>0.17</v>
      </c>
      <c r="BS42" s="52" t="n">
        <v>-0.12</v>
      </c>
      <c r="BT42" s="52" t="n">
        <v>0.27</v>
      </c>
      <c r="BU42" s="52" t="n">
        <v>0.29</v>
      </c>
      <c r="BV42" s="52" t="n">
        <v>0.09</v>
      </c>
      <c r="BW42" s="52" t="n">
        <v>0.17</v>
      </c>
      <c r="BX42" s="52" t="n">
        <v>0.05</v>
      </c>
      <c r="BY42" s="52" t="n">
        <v>0.18</v>
      </c>
      <c r="BZ42" s="52" t="n">
        <v>0.25</v>
      </c>
      <c r="CA42" s="52" t="n">
        <v>0.26</v>
      </c>
      <c r="CB42" s="52" t="n">
        <v>-0.04</v>
      </c>
      <c r="CC42" s="52" t="n">
        <v>0.09</v>
      </c>
      <c r="CD42" s="52" t="n">
        <v>0.2</v>
      </c>
      <c r="CE42" s="52" t="n">
        <v>0.13</v>
      </c>
      <c r="CF42" s="52" t="n">
        <v>-0.11</v>
      </c>
      <c r="CG42" s="52" t="n">
        <v>0.11</v>
      </c>
      <c r="CH42" s="52" t="n">
        <v>0.2</v>
      </c>
      <c r="CI42" s="52" t="n">
        <v>-0.13</v>
      </c>
      <c r="CJ42" s="52" t="n">
        <v>0.08</v>
      </c>
      <c r="CK42" s="52" t="n">
        <v>-0.04</v>
      </c>
      <c r="CL42" s="52" t="n">
        <v>0.16</v>
      </c>
      <c r="CM42" s="52" t="n">
        <v>0.08</v>
      </c>
      <c r="CN42" s="52" t="n">
        <v>0.13</v>
      </c>
      <c r="CO42" s="52" t="n">
        <v>0.06</v>
      </c>
      <c r="CP42" s="52" t="n">
        <v>0.04</v>
      </c>
      <c r="CQ42" s="52" t="n">
        <v>0.19</v>
      </c>
      <c r="CR42" s="52" t="n">
        <v>0.15</v>
      </c>
      <c r="CS42" s="52" t="n">
        <v>0.16</v>
      </c>
      <c r="CT42" s="52" t="n">
        <v>0.21</v>
      </c>
      <c r="CU42" s="52" t="n">
        <v>0.17</v>
      </c>
      <c r="CV42" s="52" t="n">
        <v>0.09</v>
      </c>
      <c r="CW42" s="52" t="n">
        <v>0.13</v>
      </c>
      <c r="CX42" s="52" t="n">
        <v>0.15</v>
      </c>
      <c r="CY42" s="52" t="n">
        <v>0.13</v>
      </c>
      <c r="CZ42" s="52" t="n">
        <v>0.16</v>
      </c>
      <c r="DA42" s="52" t="n">
        <v>0.1</v>
      </c>
      <c r="DB42" s="52" t="n">
        <v>0.16</v>
      </c>
      <c r="DC42" s="52" t="n">
        <v>0.33</v>
      </c>
      <c r="DD42" s="52" t="n">
        <v>0.27</v>
      </c>
      <c r="DE42" s="52" t="n">
        <v>0.14</v>
      </c>
      <c r="DF42" s="52" t="n">
        <v>0.06</v>
      </c>
      <c r="DG42" s="52" t="n">
        <v>0.12</v>
      </c>
      <c r="DH42" s="52" t="n">
        <v>0.14</v>
      </c>
      <c r="DI42" s="52" t="n">
        <v>0.17</v>
      </c>
      <c r="DJ42" s="52" t="n">
        <v>0.12</v>
      </c>
      <c r="DK42" s="52" t="n">
        <v>0.18</v>
      </c>
      <c r="DL42" s="52" t="n">
        <v>0.13</v>
      </c>
      <c r="DM42" s="52" t="n">
        <v>0.24</v>
      </c>
      <c r="DN42" s="52" t="n">
        <v>0.1</v>
      </c>
      <c r="DO42" s="52" t="n">
        <v>0.16</v>
      </c>
      <c r="DP42" s="52" t="n">
        <v>0.18</v>
      </c>
      <c r="DQ42" s="52" t="n">
        <v>0.25</v>
      </c>
      <c r="DR42" s="52" t="n">
        <v>0.19</v>
      </c>
      <c r="DS42" s="52" t="n">
        <v>0.12</v>
      </c>
      <c r="DT42" s="52" t="n">
        <v>0.1</v>
      </c>
      <c r="DU42" s="52" t="n">
        <v>0.21</v>
      </c>
      <c r="DV42" s="52" t="n">
        <v>0.13</v>
      </c>
      <c r="DW42" s="52" t="n">
        <v>0.15</v>
      </c>
      <c r="DX42" s="52" t="n">
        <v>0.08</v>
      </c>
      <c r="DY42" s="52" t="n">
        <v>0.14</v>
      </c>
      <c r="DZ42" s="52" t="n">
        <v>0.18</v>
      </c>
      <c r="EA42" s="52" t="n">
        <v>0.04</v>
      </c>
      <c r="EB42" s="52" t="n">
        <v>0.2</v>
      </c>
      <c r="EC42" s="52" t="n">
        <v>0.04</v>
      </c>
      <c r="ED42" s="52" t="n">
        <v>0.2</v>
      </c>
      <c r="EE42" s="52" t="n">
        <v>0.19</v>
      </c>
      <c r="EF42" s="52" t="n">
        <v>0.14</v>
      </c>
      <c r="EG42" s="52" t="n">
        <v>0.11</v>
      </c>
      <c r="EH42" s="52" t="n">
        <v>0.05</v>
      </c>
      <c r="EI42" s="52" t="n">
        <v>0.02</v>
      </c>
      <c r="EJ42" s="52" t="n">
        <v>0.22</v>
      </c>
      <c r="EK42" s="52" t="n">
        <v>0.17</v>
      </c>
      <c r="EL42" s="52" t="n">
        <v>0.22</v>
      </c>
      <c r="EM42" s="52" t="n">
        <v>0.11</v>
      </c>
      <c r="EN42" s="52" t="n">
        <v>0.12</v>
      </c>
      <c r="EO42" s="52" t="n">
        <v>0.05</v>
      </c>
    </row>
    <row r="43" customFormat="false" ht="15" hidden="false" customHeight="false" outlineLevel="0" collapsed="false">
      <c r="A43" s="51" t="s">
        <v>188</v>
      </c>
      <c r="B43" s="52" t="n">
        <v>0.36</v>
      </c>
      <c r="C43" s="52" t="n">
        <v>0.01</v>
      </c>
      <c r="D43" s="52" t="n">
        <v>-0.05</v>
      </c>
      <c r="E43" s="52" t="n">
        <v>0.12</v>
      </c>
      <c r="F43" s="52" t="n">
        <v>0.39</v>
      </c>
      <c r="G43" s="52" t="n">
        <v>-0.03</v>
      </c>
      <c r="H43" s="52" t="n">
        <v>0.14</v>
      </c>
      <c r="I43" s="52" t="n">
        <v>0.48</v>
      </c>
      <c r="J43" s="52" t="n">
        <v>0.29</v>
      </c>
      <c r="K43" s="52" t="n">
        <v>0.51</v>
      </c>
      <c r="L43" s="52" t="n">
        <v>0.14</v>
      </c>
      <c r="M43" s="52" t="n">
        <v>0.53</v>
      </c>
      <c r="N43" s="52" t="n">
        <v>0.35</v>
      </c>
      <c r="O43" s="52" t="n">
        <v>0.13</v>
      </c>
      <c r="P43" s="52" t="n">
        <v>0.35</v>
      </c>
      <c r="Q43" s="52" t="n">
        <v>0.08</v>
      </c>
      <c r="R43" s="52" t="n">
        <v>0.42</v>
      </c>
      <c r="S43" s="52" t="n">
        <v>0.18</v>
      </c>
      <c r="T43" s="52" t="n">
        <v>0.29</v>
      </c>
      <c r="U43" s="52" t="n">
        <v>0.23</v>
      </c>
      <c r="V43" s="52" t="n">
        <v>0.17</v>
      </c>
      <c r="W43" s="52" t="n">
        <v>0.07</v>
      </c>
      <c r="X43" s="52" t="n">
        <v>0.3</v>
      </c>
      <c r="Y43" s="52" t="n">
        <v>0.32</v>
      </c>
      <c r="Z43" s="52" t="n">
        <v>0.17</v>
      </c>
      <c r="AA43" s="52" t="n">
        <v>0.23</v>
      </c>
      <c r="AB43" s="52" t="n">
        <v>0.33</v>
      </c>
      <c r="AC43" s="52" t="n">
        <v>0.01</v>
      </c>
      <c r="AD43" s="52" t="n">
        <v>0.06</v>
      </c>
      <c r="AE43" s="52" t="n">
        <v>0.22</v>
      </c>
      <c r="AF43" s="52" t="n">
        <v>0</v>
      </c>
      <c r="AG43" s="52" t="n">
        <v>0.17</v>
      </c>
      <c r="AH43" s="52" t="n">
        <v>0.22</v>
      </c>
      <c r="AI43" s="52" t="n">
        <v>-0.12</v>
      </c>
      <c r="AJ43" s="52" t="n">
        <v>-0.01</v>
      </c>
      <c r="AK43" s="52" t="n">
        <v>0.17</v>
      </c>
      <c r="AL43" s="52" t="n">
        <v>0.28</v>
      </c>
      <c r="AM43" s="52" t="n">
        <v>0.1</v>
      </c>
      <c r="AN43" s="52" t="n">
        <v>1</v>
      </c>
      <c r="AO43" s="52" t="n">
        <v>0.25</v>
      </c>
      <c r="AP43" s="52" t="n">
        <v>0.41</v>
      </c>
      <c r="AQ43" s="52" t="n">
        <v>-0.14</v>
      </c>
      <c r="AR43" s="52" t="n">
        <v>0.26</v>
      </c>
      <c r="AS43" s="52" t="n">
        <v>0.22</v>
      </c>
      <c r="AT43" s="52" t="n">
        <v>0.34</v>
      </c>
      <c r="AU43" s="52" t="n">
        <v>0.38</v>
      </c>
      <c r="AV43" s="52" t="n">
        <v>0.17</v>
      </c>
      <c r="AW43" s="52" t="n">
        <v>0.23</v>
      </c>
      <c r="AX43" s="52" t="n">
        <v>0.34</v>
      </c>
      <c r="AY43" s="52" t="n">
        <v>0.38</v>
      </c>
      <c r="AZ43" s="52" t="n">
        <v>0.26</v>
      </c>
      <c r="BA43" s="52" t="n">
        <v>0.43</v>
      </c>
      <c r="BB43" s="52" t="n">
        <v>0.25</v>
      </c>
      <c r="BC43" s="52" t="n">
        <v>0.1</v>
      </c>
      <c r="BD43" s="52" t="n">
        <v>0.18</v>
      </c>
      <c r="BE43" s="52" t="n">
        <v>0.33</v>
      </c>
      <c r="BF43" s="52" t="n">
        <v>0.19</v>
      </c>
      <c r="BG43" s="52" t="n">
        <v>0.33</v>
      </c>
      <c r="BH43" s="52" t="n">
        <v>0.2</v>
      </c>
      <c r="BI43" s="52" t="n">
        <v>0.1</v>
      </c>
      <c r="BJ43" s="52" t="n">
        <v>-0.06</v>
      </c>
      <c r="BK43" s="52" t="n">
        <v>0.13</v>
      </c>
      <c r="BL43" s="52" t="n">
        <v>0.3</v>
      </c>
      <c r="BM43" s="52" t="n">
        <v>0.43</v>
      </c>
      <c r="BN43" s="52" t="n">
        <v>0.13</v>
      </c>
      <c r="BO43" s="52" t="n">
        <v>0.27</v>
      </c>
      <c r="BP43" s="52" t="n">
        <v>0.09</v>
      </c>
      <c r="BQ43" s="52" t="n">
        <v>0.26</v>
      </c>
      <c r="BR43" s="52" t="n">
        <v>0.35</v>
      </c>
      <c r="BS43" s="52" t="n">
        <v>-0.19</v>
      </c>
      <c r="BT43" s="52" t="n">
        <v>0.42</v>
      </c>
      <c r="BU43" s="52" t="n">
        <v>0.14</v>
      </c>
      <c r="BV43" s="52" t="n">
        <v>0.31</v>
      </c>
      <c r="BW43" s="52" t="n">
        <v>0.22</v>
      </c>
      <c r="BX43" s="52" t="n">
        <v>0.26</v>
      </c>
      <c r="BY43" s="52" t="n">
        <v>0.4</v>
      </c>
      <c r="BZ43" s="52" t="n">
        <v>0.38</v>
      </c>
      <c r="CA43" s="52" t="n">
        <v>0.14</v>
      </c>
      <c r="CB43" s="52" t="n">
        <v>0.01</v>
      </c>
      <c r="CC43" s="52" t="n">
        <v>0.14</v>
      </c>
      <c r="CD43" s="52" t="n">
        <v>0.29</v>
      </c>
      <c r="CE43" s="52" t="n">
        <v>0.09</v>
      </c>
      <c r="CF43" s="52" t="n">
        <v>-0.17</v>
      </c>
      <c r="CG43" s="52" t="n">
        <v>0.42</v>
      </c>
      <c r="CH43" s="52" t="n">
        <v>0.19</v>
      </c>
      <c r="CI43" s="52" t="n">
        <v>-0.18</v>
      </c>
      <c r="CJ43" s="52" t="n">
        <v>0.12</v>
      </c>
      <c r="CK43" s="52" t="n">
        <v>0.45</v>
      </c>
      <c r="CL43" s="52" t="n">
        <v>0.31</v>
      </c>
      <c r="CM43" s="52" t="n">
        <v>0.06</v>
      </c>
      <c r="CN43" s="52" t="n">
        <v>0.03</v>
      </c>
      <c r="CO43" s="52" t="n">
        <v>0.14</v>
      </c>
      <c r="CP43" s="52" t="n">
        <v>0.16</v>
      </c>
      <c r="CQ43" s="52" t="n">
        <v>0.43</v>
      </c>
      <c r="CR43" s="52" t="n">
        <v>0.19</v>
      </c>
      <c r="CS43" s="52" t="n">
        <v>0.24</v>
      </c>
      <c r="CT43" s="52" t="n">
        <v>0.24</v>
      </c>
      <c r="CU43" s="52" t="n">
        <v>0.09</v>
      </c>
      <c r="CV43" s="52" t="n">
        <v>0.17</v>
      </c>
      <c r="CW43" s="52" t="n">
        <v>0.34</v>
      </c>
      <c r="CX43" s="52" t="n">
        <v>0.27</v>
      </c>
      <c r="CY43" s="52" t="n">
        <v>0.45</v>
      </c>
      <c r="CZ43" s="52" t="n">
        <v>0.14</v>
      </c>
      <c r="DA43" s="52" t="n">
        <v>0.21</v>
      </c>
      <c r="DB43" s="52" t="n">
        <v>0.18</v>
      </c>
      <c r="DC43" s="52" t="n">
        <v>0.3</v>
      </c>
      <c r="DD43" s="52" t="n">
        <v>0.34</v>
      </c>
      <c r="DE43" s="52" t="n">
        <v>0.22</v>
      </c>
      <c r="DF43" s="52" t="n">
        <v>0.06</v>
      </c>
      <c r="DG43" s="52" t="n">
        <v>0.19</v>
      </c>
      <c r="DH43" s="52" t="n">
        <v>0.06</v>
      </c>
      <c r="DI43" s="52" t="n">
        <v>0.46</v>
      </c>
      <c r="DJ43" s="52" t="n">
        <v>0.43</v>
      </c>
      <c r="DK43" s="52" t="n">
        <v>0.47</v>
      </c>
      <c r="DL43" s="52" t="n">
        <v>0.08</v>
      </c>
      <c r="DM43" s="52" t="n">
        <v>0.5</v>
      </c>
      <c r="DN43" s="52" t="n">
        <v>0.3</v>
      </c>
      <c r="DO43" s="52" t="n">
        <v>0.14</v>
      </c>
      <c r="DP43" s="52" t="n">
        <v>0.44</v>
      </c>
      <c r="DQ43" s="52" t="n">
        <v>0.2</v>
      </c>
      <c r="DR43" s="52" t="n">
        <v>0.04</v>
      </c>
      <c r="DS43" s="52" t="n">
        <v>0.15</v>
      </c>
      <c r="DT43" s="52" t="n">
        <v>-0.01</v>
      </c>
      <c r="DU43" s="52" t="n">
        <v>0.21</v>
      </c>
      <c r="DV43" s="52" t="n">
        <v>0.08</v>
      </c>
      <c r="DW43" s="52" t="n">
        <v>0.22</v>
      </c>
      <c r="DX43" s="52" t="n">
        <v>0.13</v>
      </c>
      <c r="DY43" s="52" t="n">
        <v>0.35</v>
      </c>
      <c r="DZ43" s="52" t="n">
        <v>0.03</v>
      </c>
      <c r="EA43" s="52" t="n">
        <v>0.17</v>
      </c>
      <c r="EB43" s="52" t="n">
        <v>0.31</v>
      </c>
      <c r="EC43" s="52" t="n">
        <v>-0.05</v>
      </c>
      <c r="ED43" s="52" t="n">
        <v>0.15</v>
      </c>
      <c r="EE43" s="52" t="n">
        <v>0.08</v>
      </c>
      <c r="EF43" s="52" t="n">
        <v>0.13</v>
      </c>
      <c r="EG43" s="52" t="n">
        <v>0.08</v>
      </c>
      <c r="EH43" s="52" t="n">
        <v>0.09</v>
      </c>
      <c r="EI43" s="52" t="n">
        <v>0.01</v>
      </c>
      <c r="EJ43" s="52" t="n">
        <v>0.16</v>
      </c>
      <c r="EK43" s="52" t="n">
        <v>0.09</v>
      </c>
      <c r="EL43" s="52" t="n">
        <v>0.13</v>
      </c>
      <c r="EM43" s="52" t="n">
        <v>0.04</v>
      </c>
      <c r="EN43" s="52" t="n">
        <v>0.19</v>
      </c>
      <c r="EO43" s="52" t="n">
        <v>0.14</v>
      </c>
    </row>
    <row r="44" customFormat="false" ht="15" hidden="false" customHeight="false" outlineLevel="0" collapsed="false">
      <c r="A44" s="51" t="s">
        <v>189</v>
      </c>
      <c r="B44" s="52" t="n">
        <v>0.26</v>
      </c>
      <c r="C44" s="52" t="n">
        <v>0.03</v>
      </c>
      <c r="D44" s="52" t="n">
        <v>0.02</v>
      </c>
      <c r="E44" s="52" t="n">
        <v>0.1</v>
      </c>
      <c r="F44" s="52" t="n">
        <v>0.39</v>
      </c>
      <c r="G44" s="52" t="n">
        <v>0.02</v>
      </c>
      <c r="H44" s="52" t="n">
        <v>0</v>
      </c>
      <c r="I44" s="52" t="n">
        <v>0.36</v>
      </c>
      <c r="J44" s="52" t="n">
        <v>0.56</v>
      </c>
      <c r="K44" s="52" t="n">
        <v>0.33</v>
      </c>
      <c r="L44" s="52" t="n">
        <v>0.05</v>
      </c>
      <c r="M44" s="52" t="n">
        <v>0.16</v>
      </c>
      <c r="N44" s="52" t="n">
        <v>0.42</v>
      </c>
      <c r="O44" s="52" t="n">
        <v>-0.01</v>
      </c>
      <c r="P44" s="52" t="n">
        <v>0.33</v>
      </c>
      <c r="Q44" s="52" t="n">
        <v>0</v>
      </c>
      <c r="R44" s="52" t="n">
        <v>0.29</v>
      </c>
      <c r="S44" s="52" t="n">
        <v>0.1</v>
      </c>
      <c r="T44" s="52" t="n">
        <v>0.14</v>
      </c>
      <c r="U44" s="52" t="n">
        <v>0.09</v>
      </c>
      <c r="V44" s="52" t="n">
        <v>-0.03</v>
      </c>
      <c r="W44" s="52" t="n">
        <v>0.1</v>
      </c>
      <c r="X44" s="52" t="n">
        <v>0.13</v>
      </c>
      <c r="Y44" s="52" t="n">
        <v>0.33</v>
      </c>
      <c r="Z44" s="52" t="n">
        <v>0.01</v>
      </c>
      <c r="AA44" s="52" t="n">
        <v>0.18</v>
      </c>
      <c r="AB44" s="52" t="n">
        <v>0.29</v>
      </c>
      <c r="AC44" s="52" t="n">
        <v>-0.14</v>
      </c>
      <c r="AD44" s="52" t="n">
        <v>0.01</v>
      </c>
      <c r="AE44" s="52" t="n">
        <v>-0.03</v>
      </c>
      <c r="AF44" s="52" t="n">
        <v>-0.05</v>
      </c>
      <c r="AG44" s="52" t="n">
        <v>0.23</v>
      </c>
      <c r="AH44" s="52" t="n">
        <v>0.25</v>
      </c>
      <c r="AI44" s="52" t="n">
        <v>0.11</v>
      </c>
      <c r="AJ44" s="52" t="n">
        <v>-0.04</v>
      </c>
      <c r="AK44" s="52" t="n">
        <v>-0.07</v>
      </c>
      <c r="AL44" s="52" t="n">
        <v>0.21</v>
      </c>
      <c r="AM44" s="52" t="n">
        <v>0.11</v>
      </c>
      <c r="AN44" s="52" t="n">
        <v>0.25</v>
      </c>
      <c r="AO44" s="52" t="n">
        <v>1</v>
      </c>
      <c r="AP44" s="52" t="n">
        <v>0.13</v>
      </c>
      <c r="AQ44" s="52" t="n">
        <v>0.12</v>
      </c>
      <c r="AR44" s="52" t="n">
        <v>0.14</v>
      </c>
      <c r="AS44" s="52" t="n">
        <v>-0.04</v>
      </c>
      <c r="AT44" s="52" t="n">
        <v>0.12</v>
      </c>
      <c r="AU44" s="52" t="n">
        <v>0.31</v>
      </c>
      <c r="AV44" s="52" t="n">
        <v>0.09</v>
      </c>
      <c r="AW44" s="52" t="n">
        <v>-0.06</v>
      </c>
      <c r="AX44" s="52" t="n">
        <v>0.54</v>
      </c>
      <c r="AY44" s="52" t="n">
        <v>0.2</v>
      </c>
      <c r="AZ44" s="52" t="n">
        <v>0</v>
      </c>
      <c r="BA44" s="52" t="n">
        <v>0.19</v>
      </c>
      <c r="BB44" s="52" t="n">
        <v>0.05</v>
      </c>
      <c r="BC44" s="52" t="n">
        <v>0</v>
      </c>
      <c r="BD44" s="52" t="n">
        <v>0.02</v>
      </c>
      <c r="BE44" s="52" t="n">
        <v>0.47</v>
      </c>
      <c r="BF44" s="52" t="n">
        <v>0.07</v>
      </c>
      <c r="BG44" s="52" t="n">
        <v>0.29</v>
      </c>
      <c r="BH44" s="52" t="n">
        <v>-0.02</v>
      </c>
      <c r="BI44" s="52" t="n">
        <v>-0.05</v>
      </c>
      <c r="BJ44" s="52" t="n">
        <v>-0.07</v>
      </c>
      <c r="BK44" s="52" t="n">
        <v>-0.02</v>
      </c>
      <c r="BL44" s="52" t="n">
        <v>0.15</v>
      </c>
      <c r="BM44" s="52" t="n">
        <v>0.21</v>
      </c>
      <c r="BN44" s="52" t="n">
        <v>0.21</v>
      </c>
      <c r="BO44" s="52" t="n">
        <v>0.06</v>
      </c>
      <c r="BP44" s="52" t="n">
        <v>-0.05</v>
      </c>
      <c r="BQ44" s="52" t="n">
        <v>-0.07</v>
      </c>
      <c r="BR44" s="52" t="n">
        <v>-0.01</v>
      </c>
      <c r="BS44" s="52" t="n">
        <v>0.06</v>
      </c>
      <c r="BT44" s="52" t="n">
        <v>0.12</v>
      </c>
      <c r="BU44" s="52" t="n">
        <v>-0.11</v>
      </c>
      <c r="BV44" s="52" t="n">
        <v>-0.09</v>
      </c>
      <c r="BW44" s="52" t="n">
        <v>0.07</v>
      </c>
      <c r="BX44" s="52" t="n">
        <v>0.42</v>
      </c>
      <c r="BY44" s="52" t="n">
        <v>0.14</v>
      </c>
      <c r="BZ44" s="52" t="n">
        <v>0.04</v>
      </c>
      <c r="CA44" s="52" t="n">
        <v>-0.04</v>
      </c>
      <c r="CB44" s="52" t="n">
        <v>-0.02</v>
      </c>
      <c r="CC44" s="52" t="n">
        <v>0.18</v>
      </c>
      <c r="CD44" s="52" t="n">
        <v>0.17</v>
      </c>
      <c r="CE44" s="52" t="n">
        <v>0.09</v>
      </c>
      <c r="CF44" s="52" t="n">
        <v>0.07</v>
      </c>
      <c r="CG44" s="52" t="n">
        <v>0.11</v>
      </c>
      <c r="CH44" s="52" t="n">
        <v>0</v>
      </c>
      <c r="CI44" s="52" t="n">
        <v>0.1</v>
      </c>
      <c r="CJ44" s="52" t="n">
        <v>0.18</v>
      </c>
      <c r="CK44" s="52" t="n">
        <v>0.12</v>
      </c>
      <c r="CL44" s="52" t="n">
        <v>0.15</v>
      </c>
      <c r="CM44" s="52" t="n">
        <v>-0.1</v>
      </c>
      <c r="CN44" s="52" t="n">
        <v>-0.02</v>
      </c>
      <c r="CO44" s="52" t="n">
        <v>-0.1</v>
      </c>
      <c r="CP44" s="52" t="n">
        <v>0.12</v>
      </c>
      <c r="CQ44" s="52" t="n">
        <v>0.12</v>
      </c>
      <c r="CR44" s="52" t="n">
        <v>-0.07</v>
      </c>
      <c r="CS44" s="52" t="n">
        <v>0.04</v>
      </c>
      <c r="CT44" s="52" t="n">
        <v>0.01</v>
      </c>
      <c r="CU44" s="52" t="n">
        <v>-0.07</v>
      </c>
      <c r="CV44" s="52" t="n">
        <v>-0.04</v>
      </c>
      <c r="CW44" s="52" t="n">
        <v>0.13</v>
      </c>
      <c r="CX44" s="52" t="n">
        <v>0.12</v>
      </c>
      <c r="CY44" s="52" t="n">
        <v>0.12</v>
      </c>
      <c r="CZ44" s="52" t="n">
        <v>0.03</v>
      </c>
      <c r="DA44" s="52" t="n">
        <v>0.18</v>
      </c>
      <c r="DB44" s="52" t="n">
        <v>-0.04</v>
      </c>
      <c r="DC44" s="52" t="n">
        <v>0</v>
      </c>
      <c r="DD44" s="52" t="n">
        <v>0.1</v>
      </c>
      <c r="DE44" s="52" t="n">
        <v>0</v>
      </c>
      <c r="DF44" s="52" t="n">
        <v>0.06</v>
      </c>
      <c r="DG44" s="52" t="n">
        <v>0.04</v>
      </c>
      <c r="DH44" s="52" t="n">
        <v>-0.13</v>
      </c>
      <c r="DI44" s="52" t="n">
        <v>0.06</v>
      </c>
      <c r="DJ44" s="52" t="n">
        <v>0.15</v>
      </c>
      <c r="DK44" s="52" t="n">
        <v>0.08</v>
      </c>
      <c r="DL44" s="52" t="n">
        <v>-0.08</v>
      </c>
      <c r="DM44" s="52" t="n">
        <v>0.15</v>
      </c>
      <c r="DN44" s="52" t="n">
        <v>0.11</v>
      </c>
      <c r="DO44" s="52" t="n">
        <v>-0.01</v>
      </c>
      <c r="DP44" s="52" t="n">
        <v>0.13</v>
      </c>
      <c r="DQ44" s="52" t="n">
        <v>-0.14</v>
      </c>
      <c r="DR44" s="52" t="n">
        <v>0.04</v>
      </c>
      <c r="DS44" s="52" t="n">
        <v>-0.01</v>
      </c>
      <c r="DT44" s="52" t="n">
        <v>-0.16</v>
      </c>
      <c r="DU44" s="52" t="n">
        <v>-0.09</v>
      </c>
      <c r="DV44" s="52" t="n">
        <v>-0.02</v>
      </c>
      <c r="DW44" s="52" t="n">
        <v>0.03</v>
      </c>
      <c r="DX44" s="52" t="n">
        <v>-0.06</v>
      </c>
      <c r="DY44" s="52" t="n">
        <v>-0.02</v>
      </c>
      <c r="DZ44" s="52" t="n">
        <v>-0.01</v>
      </c>
      <c r="EA44" s="52" t="n">
        <v>0.11</v>
      </c>
      <c r="EB44" s="52" t="n">
        <v>0</v>
      </c>
      <c r="EC44" s="52" t="n">
        <v>-0.04</v>
      </c>
      <c r="ED44" s="52" t="n">
        <v>0.08</v>
      </c>
      <c r="EE44" s="52" t="n">
        <v>-0.05</v>
      </c>
      <c r="EF44" s="52" t="n">
        <v>0.01</v>
      </c>
      <c r="EG44" s="52" t="n">
        <v>-0.08</v>
      </c>
      <c r="EH44" s="52" t="n">
        <v>0.07</v>
      </c>
      <c r="EI44" s="52" t="n">
        <v>-0.1</v>
      </c>
      <c r="EJ44" s="52" t="n">
        <v>0.1</v>
      </c>
      <c r="EK44" s="52" t="n">
        <v>0</v>
      </c>
      <c r="EL44" s="52" t="n">
        <v>-0.05</v>
      </c>
      <c r="EM44" s="52" t="n">
        <v>-0.04</v>
      </c>
      <c r="EN44" s="52" t="n">
        <v>0.22</v>
      </c>
      <c r="EO44" s="52" t="n">
        <v>0.03</v>
      </c>
    </row>
    <row r="45" customFormat="false" ht="15" hidden="false" customHeight="false" outlineLevel="0" collapsed="false">
      <c r="A45" s="51" t="s">
        <v>190</v>
      </c>
      <c r="B45" s="52" t="n">
        <v>0.23</v>
      </c>
      <c r="C45" s="52" t="n">
        <v>-0.06</v>
      </c>
      <c r="D45" s="52" t="n">
        <v>0.03</v>
      </c>
      <c r="E45" s="52" t="n">
        <v>0.13</v>
      </c>
      <c r="F45" s="52" t="n">
        <v>0.28</v>
      </c>
      <c r="G45" s="52" t="n">
        <v>0.05</v>
      </c>
      <c r="H45" s="52" t="n">
        <v>0.02</v>
      </c>
      <c r="I45" s="52" t="n">
        <v>0.29</v>
      </c>
      <c r="J45" s="52" t="n">
        <v>0.12</v>
      </c>
      <c r="K45" s="52" t="n">
        <v>0.31</v>
      </c>
      <c r="L45" s="52" t="n">
        <v>0.09</v>
      </c>
      <c r="M45" s="52" t="n">
        <v>0.26</v>
      </c>
      <c r="N45" s="52" t="n">
        <v>0.39</v>
      </c>
      <c r="O45" s="52" t="n">
        <v>0.14</v>
      </c>
      <c r="P45" s="52" t="n">
        <v>0.17</v>
      </c>
      <c r="Q45" s="52" t="n">
        <v>0.09</v>
      </c>
      <c r="R45" s="52" t="n">
        <v>0.35</v>
      </c>
      <c r="S45" s="52" t="n">
        <v>0.1</v>
      </c>
      <c r="T45" s="52" t="n">
        <v>0.26</v>
      </c>
      <c r="U45" s="52" t="n">
        <v>0.19</v>
      </c>
      <c r="V45" s="52" t="n">
        <v>0.13</v>
      </c>
      <c r="W45" s="52" t="n">
        <v>0.1</v>
      </c>
      <c r="X45" s="52" t="n">
        <v>0.3</v>
      </c>
      <c r="Y45" s="52" t="n">
        <v>0.29</v>
      </c>
      <c r="Z45" s="52" t="n">
        <v>0.06</v>
      </c>
      <c r="AA45" s="52" t="n">
        <v>0.22</v>
      </c>
      <c r="AB45" s="52" t="n">
        <v>0.32</v>
      </c>
      <c r="AC45" s="52" t="n">
        <v>0.02</v>
      </c>
      <c r="AD45" s="52" t="n">
        <v>-0.04</v>
      </c>
      <c r="AE45" s="52" t="n">
        <v>0.08</v>
      </c>
      <c r="AF45" s="52" t="n">
        <v>0.04</v>
      </c>
      <c r="AG45" s="52" t="n">
        <v>0.17</v>
      </c>
      <c r="AH45" s="52" t="n">
        <v>0.21</v>
      </c>
      <c r="AI45" s="52" t="n">
        <v>-0.05</v>
      </c>
      <c r="AJ45" s="52" t="n">
        <v>0.08</v>
      </c>
      <c r="AK45" s="52" t="n">
        <v>0.13</v>
      </c>
      <c r="AL45" s="52" t="n">
        <v>0.29</v>
      </c>
      <c r="AM45" s="52" t="n">
        <v>0.12</v>
      </c>
      <c r="AN45" s="52" t="n">
        <v>0.41</v>
      </c>
      <c r="AO45" s="52" t="n">
        <v>0.13</v>
      </c>
      <c r="AP45" s="52" t="n">
        <v>1</v>
      </c>
      <c r="AQ45" s="52" t="n">
        <v>-0.07</v>
      </c>
      <c r="AR45" s="52" t="n">
        <v>0.2</v>
      </c>
      <c r="AS45" s="52" t="n">
        <v>0.12</v>
      </c>
      <c r="AT45" s="52" t="n">
        <v>0.36</v>
      </c>
      <c r="AU45" s="52" t="n">
        <v>0.13</v>
      </c>
      <c r="AV45" s="52" t="n">
        <v>0.17</v>
      </c>
      <c r="AW45" s="52" t="n">
        <v>0.13</v>
      </c>
      <c r="AX45" s="52" t="n">
        <v>0.27</v>
      </c>
      <c r="AY45" s="52" t="n">
        <v>0.27</v>
      </c>
      <c r="AZ45" s="52" t="n">
        <v>0.09</v>
      </c>
      <c r="BA45" s="52" t="n">
        <v>0.28</v>
      </c>
      <c r="BB45" s="52" t="n">
        <v>0.26</v>
      </c>
      <c r="BC45" s="52" t="n">
        <v>0.14</v>
      </c>
      <c r="BD45" s="52" t="n">
        <v>0.13</v>
      </c>
      <c r="BE45" s="52" t="n">
        <v>0.21</v>
      </c>
      <c r="BF45" s="52" t="n">
        <v>0.12</v>
      </c>
      <c r="BG45" s="52" t="n">
        <v>0.3</v>
      </c>
      <c r="BH45" s="52" t="n">
        <v>0.12</v>
      </c>
      <c r="BI45" s="52" t="n">
        <v>0.11</v>
      </c>
      <c r="BJ45" s="52" t="n">
        <v>-0.01</v>
      </c>
      <c r="BK45" s="52" t="n">
        <v>0.06</v>
      </c>
      <c r="BL45" s="52" t="n">
        <v>0.17</v>
      </c>
      <c r="BM45" s="52" t="n">
        <v>0.28</v>
      </c>
      <c r="BN45" s="52" t="n">
        <v>0.14</v>
      </c>
      <c r="BO45" s="52" t="n">
        <v>0.27</v>
      </c>
      <c r="BP45" s="52" t="n">
        <v>0.16</v>
      </c>
      <c r="BQ45" s="52" t="n">
        <v>0.16</v>
      </c>
      <c r="BR45" s="52" t="n">
        <v>0.41</v>
      </c>
      <c r="BS45" s="52" t="n">
        <v>-0.07</v>
      </c>
      <c r="BT45" s="52" t="n">
        <v>0.24</v>
      </c>
      <c r="BU45" s="52" t="n">
        <v>0.1</v>
      </c>
      <c r="BV45" s="52" t="n">
        <v>0.23</v>
      </c>
      <c r="BW45" s="52" t="n">
        <v>0.22</v>
      </c>
      <c r="BX45" s="52" t="n">
        <v>0.2</v>
      </c>
      <c r="BY45" s="52" t="n">
        <v>0.32</v>
      </c>
      <c r="BZ45" s="52" t="n">
        <v>0.21</v>
      </c>
      <c r="CA45" s="52" t="n">
        <v>0.06</v>
      </c>
      <c r="CB45" s="52" t="n">
        <v>0</v>
      </c>
      <c r="CC45" s="52" t="n">
        <v>0.15</v>
      </c>
      <c r="CD45" s="52" t="n">
        <v>0.33</v>
      </c>
      <c r="CE45" s="52" t="n">
        <v>0.01</v>
      </c>
      <c r="CF45" s="52" t="n">
        <v>-0.1</v>
      </c>
      <c r="CG45" s="52" t="n">
        <v>0.37</v>
      </c>
      <c r="CH45" s="52" t="n">
        <v>0.18</v>
      </c>
      <c r="CI45" s="52" t="n">
        <v>-0.07</v>
      </c>
      <c r="CJ45" s="52" t="n">
        <v>0.34</v>
      </c>
      <c r="CK45" s="52" t="n">
        <v>0.4</v>
      </c>
      <c r="CL45" s="52" t="n">
        <v>0.22</v>
      </c>
      <c r="CM45" s="52" t="n">
        <v>0.14</v>
      </c>
      <c r="CN45" s="52" t="n">
        <v>0.05</v>
      </c>
      <c r="CO45" s="52" t="n">
        <v>0.17</v>
      </c>
      <c r="CP45" s="52" t="n">
        <v>0.15</v>
      </c>
      <c r="CQ45" s="52" t="n">
        <v>0.33</v>
      </c>
      <c r="CR45" s="52" t="n">
        <v>0.1</v>
      </c>
      <c r="CS45" s="52" t="n">
        <v>0.06</v>
      </c>
      <c r="CT45" s="52" t="n">
        <v>0.37</v>
      </c>
      <c r="CU45" s="52" t="n">
        <v>0.13</v>
      </c>
      <c r="CV45" s="52" t="n">
        <v>0.17</v>
      </c>
      <c r="CW45" s="52" t="n">
        <v>0.34</v>
      </c>
      <c r="CX45" s="52" t="n">
        <v>0.26</v>
      </c>
      <c r="CY45" s="52" t="n">
        <v>0.32</v>
      </c>
      <c r="CZ45" s="52" t="n">
        <v>0.15</v>
      </c>
      <c r="DA45" s="52" t="n">
        <v>0.3</v>
      </c>
      <c r="DB45" s="52" t="n">
        <v>0.19</v>
      </c>
      <c r="DC45" s="52" t="n">
        <v>0.18</v>
      </c>
      <c r="DD45" s="52" t="n">
        <v>0.37</v>
      </c>
      <c r="DE45" s="52" t="n">
        <v>0.14</v>
      </c>
      <c r="DF45" s="52" t="n">
        <v>0.18</v>
      </c>
      <c r="DG45" s="52" t="n">
        <v>0.19</v>
      </c>
      <c r="DH45" s="52" t="n">
        <v>0.04</v>
      </c>
      <c r="DI45" s="52" t="n">
        <v>0.34</v>
      </c>
      <c r="DJ45" s="52" t="n">
        <v>0.38</v>
      </c>
      <c r="DK45" s="52" t="n">
        <v>0.33</v>
      </c>
      <c r="DL45" s="52" t="n">
        <v>0.09</v>
      </c>
      <c r="DM45" s="52" t="n">
        <v>0.4</v>
      </c>
      <c r="DN45" s="52" t="n">
        <v>0.36</v>
      </c>
      <c r="DO45" s="52" t="n">
        <v>0.16</v>
      </c>
      <c r="DP45" s="52" t="n">
        <v>0.33</v>
      </c>
      <c r="DQ45" s="52" t="n">
        <v>0.06</v>
      </c>
      <c r="DR45" s="52" t="n">
        <v>0.07</v>
      </c>
      <c r="DS45" s="52" t="n">
        <v>0.15</v>
      </c>
      <c r="DT45" s="52" t="n">
        <v>0.08</v>
      </c>
      <c r="DU45" s="52" t="n">
        <v>0.3</v>
      </c>
      <c r="DV45" s="52" t="n">
        <v>0.14</v>
      </c>
      <c r="DW45" s="52" t="n">
        <v>0.3</v>
      </c>
      <c r="DX45" s="52" t="n">
        <v>-0.03</v>
      </c>
      <c r="DY45" s="52" t="n">
        <v>0.35</v>
      </c>
      <c r="DZ45" s="52" t="n">
        <v>0.09</v>
      </c>
      <c r="EA45" s="52" t="n">
        <v>0.25</v>
      </c>
      <c r="EB45" s="52" t="n">
        <v>0.3</v>
      </c>
      <c r="EC45" s="52" t="n">
        <v>-0.01</v>
      </c>
      <c r="ED45" s="52" t="n">
        <v>0.24</v>
      </c>
      <c r="EE45" s="52" t="n">
        <v>0.08</v>
      </c>
      <c r="EF45" s="52" t="n">
        <v>0.13</v>
      </c>
      <c r="EG45" s="52" t="n">
        <v>0.03</v>
      </c>
      <c r="EH45" s="52" t="n">
        <v>0.19</v>
      </c>
      <c r="EI45" s="52" t="n">
        <v>-0.09</v>
      </c>
      <c r="EJ45" s="52" t="n">
        <v>0.23</v>
      </c>
      <c r="EK45" s="52" t="n">
        <v>0.15</v>
      </c>
      <c r="EL45" s="52" t="n">
        <v>0.1</v>
      </c>
      <c r="EM45" s="52" t="n">
        <v>0.16</v>
      </c>
      <c r="EN45" s="52" t="n">
        <v>0.24</v>
      </c>
      <c r="EO45" s="52" t="n">
        <v>0.19</v>
      </c>
    </row>
    <row r="46" customFormat="false" ht="15" hidden="false" customHeight="false" outlineLevel="0" collapsed="false">
      <c r="A46" s="51" t="s">
        <v>191</v>
      </c>
      <c r="B46" s="52" t="n">
        <v>0.12</v>
      </c>
      <c r="C46" s="52" t="n">
        <v>0.01</v>
      </c>
      <c r="D46" s="52" t="n">
        <v>-0.1</v>
      </c>
      <c r="E46" s="52" t="n">
        <v>0.1</v>
      </c>
      <c r="F46" s="52" t="n">
        <v>0.25</v>
      </c>
      <c r="G46" s="52" t="n">
        <v>-0.02</v>
      </c>
      <c r="H46" s="52" t="n">
        <v>-0.09</v>
      </c>
      <c r="I46" s="52" t="n">
        <v>0.13</v>
      </c>
      <c r="J46" s="52" t="n">
        <v>0.21</v>
      </c>
      <c r="K46" s="52" t="n">
        <v>0.07</v>
      </c>
      <c r="L46" s="52" t="n">
        <v>-0.01</v>
      </c>
      <c r="M46" s="52" t="n">
        <v>-0.12</v>
      </c>
      <c r="N46" s="52" t="n">
        <v>0.09</v>
      </c>
      <c r="O46" s="52" t="n">
        <v>-0.02</v>
      </c>
      <c r="P46" s="52" t="n">
        <v>0.27</v>
      </c>
      <c r="Q46" s="52" t="n">
        <v>-0.05</v>
      </c>
      <c r="R46" s="52" t="n">
        <v>0.24</v>
      </c>
      <c r="S46" s="52" t="n">
        <v>-0.14</v>
      </c>
      <c r="T46" s="52" t="n">
        <v>-0.01</v>
      </c>
      <c r="U46" s="52" t="n">
        <v>-0.12</v>
      </c>
      <c r="V46" s="52" t="n">
        <v>-0.08</v>
      </c>
      <c r="W46" s="52" t="n">
        <v>0.05</v>
      </c>
      <c r="X46" s="52" t="n">
        <v>-0.01</v>
      </c>
      <c r="Y46" s="52" t="n">
        <v>0.08</v>
      </c>
      <c r="Z46" s="52" t="n">
        <v>-0.02</v>
      </c>
      <c r="AA46" s="52" t="n">
        <v>-0.09</v>
      </c>
      <c r="AB46" s="52" t="n">
        <v>0.08</v>
      </c>
      <c r="AC46" s="52" t="n">
        <v>0.07</v>
      </c>
      <c r="AD46" s="52" t="n">
        <v>0.05</v>
      </c>
      <c r="AE46" s="52" t="n">
        <v>-0.24</v>
      </c>
      <c r="AF46" s="52" t="n">
        <v>-0.08</v>
      </c>
      <c r="AG46" s="52" t="n">
        <v>0.28</v>
      </c>
      <c r="AH46" s="52" t="n">
        <v>0.24</v>
      </c>
      <c r="AI46" s="52" t="n">
        <v>0.86</v>
      </c>
      <c r="AJ46" s="52" t="n">
        <v>-0.05</v>
      </c>
      <c r="AK46" s="52" t="n">
        <v>-0.08</v>
      </c>
      <c r="AL46" s="52" t="n">
        <v>0.01</v>
      </c>
      <c r="AM46" s="52" t="n">
        <v>-0.15</v>
      </c>
      <c r="AN46" s="52" t="n">
        <v>-0.14</v>
      </c>
      <c r="AO46" s="52" t="n">
        <v>0.12</v>
      </c>
      <c r="AP46" s="52" t="n">
        <v>-0.07</v>
      </c>
      <c r="AQ46" s="52" t="n">
        <v>1</v>
      </c>
      <c r="AR46" s="52" t="n">
        <v>0.02</v>
      </c>
      <c r="AS46" s="52" t="n">
        <v>-0.12</v>
      </c>
      <c r="AT46" s="52" t="n">
        <v>-0.07</v>
      </c>
      <c r="AU46" s="52" t="n">
        <v>0.17</v>
      </c>
      <c r="AV46" s="52" t="n">
        <v>0.04</v>
      </c>
      <c r="AW46" s="52" t="n">
        <v>-0.06</v>
      </c>
      <c r="AX46" s="52" t="n">
        <v>0.05</v>
      </c>
      <c r="AY46" s="52" t="n">
        <v>0.05</v>
      </c>
      <c r="AZ46" s="52" t="n">
        <v>-0.19</v>
      </c>
      <c r="BA46" s="52" t="n">
        <v>-0.02</v>
      </c>
      <c r="BB46" s="52" t="n">
        <v>-0.13</v>
      </c>
      <c r="BC46" s="52" t="n">
        <v>-0.04</v>
      </c>
      <c r="BD46" s="52" t="n">
        <v>-0.13</v>
      </c>
      <c r="BE46" s="52" t="n">
        <v>0.12</v>
      </c>
      <c r="BF46" s="52" t="n">
        <v>0.01</v>
      </c>
      <c r="BG46" s="52" t="n">
        <v>-0.01</v>
      </c>
      <c r="BH46" s="52" t="n">
        <v>-0.15</v>
      </c>
      <c r="BI46" s="52" t="n">
        <v>-0.04</v>
      </c>
      <c r="BJ46" s="52" t="n">
        <v>-0.02</v>
      </c>
      <c r="BK46" s="52" t="n">
        <v>-0.14</v>
      </c>
      <c r="BL46" s="52" t="n">
        <v>-0.05</v>
      </c>
      <c r="BM46" s="52" t="n">
        <v>0.05</v>
      </c>
      <c r="BN46" s="52" t="n">
        <v>0.11</v>
      </c>
      <c r="BO46" s="52" t="n">
        <v>-0.17</v>
      </c>
      <c r="BP46" s="52" t="n">
        <v>-0.07</v>
      </c>
      <c r="BQ46" s="52" t="n">
        <v>-0.15</v>
      </c>
      <c r="BR46" s="52" t="n">
        <v>-0.05</v>
      </c>
      <c r="BS46" s="52" t="n">
        <v>0.74</v>
      </c>
      <c r="BT46" s="52" t="n">
        <v>-0.24</v>
      </c>
      <c r="BU46" s="52" t="n">
        <v>-0.06</v>
      </c>
      <c r="BV46" s="52" t="n">
        <v>-0.17</v>
      </c>
      <c r="BW46" s="52" t="n">
        <v>0</v>
      </c>
      <c r="BX46" s="52" t="n">
        <v>-0.01</v>
      </c>
      <c r="BY46" s="52" t="n">
        <v>-0.13</v>
      </c>
      <c r="BZ46" s="52" t="n">
        <v>-0.2</v>
      </c>
      <c r="CA46" s="52" t="n">
        <v>-0.12</v>
      </c>
      <c r="CB46" s="52" t="n">
        <v>0.16</v>
      </c>
      <c r="CC46" s="52" t="n">
        <v>0.01</v>
      </c>
      <c r="CD46" s="52" t="n">
        <v>-0.08</v>
      </c>
      <c r="CE46" s="52" t="n">
        <v>0.11</v>
      </c>
      <c r="CF46" s="52" t="n">
        <v>0.78</v>
      </c>
      <c r="CG46" s="52" t="n">
        <v>-0.15</v>
      </c>
      <c r="CH46" s="52" t="n">
        <v>-0.13</v>
      </c>
      <c r="CI46" s="52" t="n">
        <v>0.78</v>
      </c>
      <c r="CJ46" s="52" t="n">
        <v>0.07</v>
      </c>
      <c r="CK46" s="52" t="n">
        <v>0.09</v>
      </c>
      <c r="CL46" s="52" t="n">
        <v>-0.18</v>
      </c>
      <c r="CM46" s="52" t="n">
        <v>-0.14</v>
      </c>
      <c r="CN46" s="52" t="n">
        <v>0.05</v>
      </c>
      <c r="CO46" s="52" t="n">
        <v>-0.09</v>
      </c>
      <c r="CP46" s="52" t="n">
        <v>0.07</v>
      </c>
      <c r="CQ46" s="52" t="n">
        <v>-0.26</v>
      </c>
      <c r="CR46" s="52" t="n">
        <v>-0.18</v>
      </c>
      <c r="CS46" s="52" t="n">
        <v>-0.03</v>
      </c>
      <c r="CT46" s="52" t="n">
        <v>-0.09</v>
      </c>
      <c r="CU46" s="52" t="n">
        <v>-0.02</v>
      </c>
      <c r="CV46" s="52" t="n">
        <v>-0.18</v>
      </c>
      <c r="CW46" s="52" t="n">
        <v>-0.1</v>
      </c>
      <c r="CX46" s="52" t="n">
        <v>-0.13</v>
      </c>
      <c r="CY46" s="52" t="n">
        <v>-0.27</v>
      </c>
      <c r="CZ46" s="52" t="n">
        <v>0.02</v>
      </c>
      <c r="DA46" s="52" t="n">
        <v>-0.06</v>
      </c>
      <c r="DB46" s="52" t="n">
        <v>-0.12</v>
      </c>
      <c r="DC46" s="52" t="n">
        <v>-0.36</v>
      </c>
      <c r="DD46" s="52" t="n">
        <v>-0.16</v>
      </c>
      <c r="DE46" s="52" t="n">
        <v>-0.1</v>
      </c>
      <c r="DF46" s="52" t="n">
        <v>0.03</v>
      </c>
      <c r="DG46" s="52" t="n">
        <v>-0.1</v>
      </c>
      <c r="DH46" s="52" t="n">
        <v>-0.11</v>
      </c>
      <c r="DI46" s="52" t="n">
        <v>-0.35</v>
      </c>
      <c r="DJ46" s="52" t="n">
        <v>-0.21</v>
      </c>
      <c r="DK46" s="52" t="n">
        <v>-0.35</v>
      </c>
      <c r="DL46" s="52" t="n">
        <v>-0.22</v>
      </c>
      <c r="DM46" s="52" t="n">
        <v>-0.28</v>
      </c>
      <c r="DN46" s="52" t="n">
        <v>-0.06</v>
      </c>
      <c r="DO46" s="52" t="n">
        <v>-0.06</v>
      </c>
      <c r="DP46" s="52" t="n">
        <v>-0.29</v>
      </c>
      <c r="DQ46" s="52" t="n">
        <v>-0.07</v>
      </c>
      <c r="DR46" s="52" t="n">
        <v>0.06</v>
      </c>
      <c r="DS46" s="52" t="n">
        <v>-0.04</v>
      </c>
      <c r="DT46" s="52" t="n">
        <v>-0.1</v>
      </c>
      <c r="DU46" s="52" t="n">
        <v>-0.15</v>
      </c>
      <c r="DV46" s="52" t="n">
        <v>-0.02</v>
      </c>
      <c r="DW46" s="52" t="n">
        <v>-0.19</v>
      </c>
      <c r="DX46" s="52" t="n">
        <v>-0.13</v>
      </c>
      <c r="DY46" s="52" t="n">
        <v>-0.17</v>
      </c>
      <c r="DZ46" s="52" t="n">
        <v>-0.04</v>
      </c>
      <c r="EA46" s="52" t="n">
        <v>-0.18</v>
      </c>
      <c r="EB46" s="52" t="n">
        <v>-0.13</v>
      </c>
      <c r="EC46" s="52" t="n">
        <v>0</v>
      </c>
      <c r="ED46" s="52" t="n">
        <v>-0.1</v>
      </c>
      <c r="EE46" s="52" t="n">
        <v>-0.16</v>
      </c>
      <c r="EF46" s="52" t="n">
        <v>0.01</v>
      </c>
      <c r="EG46" s="52" t="n">
        <v>-0.14</v>
      </c>
      <c r="EH46" s="52" t="n">
        <v>-0.07</v>
      </c>
      <c r="EI46" s="52" t="n">
        <v>-0.15</v>
      </c>
      <c r="EJ46" s="52" t="n">
        <v>-0.06</v>
      </c>
      <c r="EK46" s="52" t="n">
        <v>0.02</v>
      </c>
      <c r="EL46" s="52" t="n">
        <v>-0.14</v>
      </c>
      <c r="EM46" s="52" t="n">
        <v>-0.05</v>
      </c>
      <c r="EN46" s="52" t="n">
        <v>-0.08</v>
      </c>
      <c r="EO46" s="52" t="n">
        <v>-0.01</v>
      </c>
    </row>
    <row r="47" customFormat="false" ht="15" hidden="false" customHeight="false" outlineLevel="0" collapsed="false">
      <c r="A47" s="51" t="s">
        <v>192</v>
      </c>
      <c r="B47" s="52" t="n">
        <v>0.23</v>
      </c>
      <c r="C47" s="52" t="n">
        <v>0</v>
      </c>
      <c r="D47" s="52" t="n">
        <v>0.07</v>
      </c>
      <c r="E47" s="52" t="n">
        <v>0.08</v>
      </c>
      <c r="F47" s="52" t="n">
        <v>0.05</v>
      </c>
      <c r="G47" s="52" t="n">
        <v>0</v>
      </c>
      <c r="H47" s="52" t="n">
        <v>-0.02</v>
      </c>
      <c r="I47" s="52" t="n">
        <v>0.18</v>
      </c>
      <c r="J47" s="52" t="n">
        <v>0.09</v>
      </c>
      <c r="K47" s="52" t="n">
        <v>0.13</v>
      </c>
      <c r="L47" s="52" t="n">
        <v>-0.01</v>
      </c>
      <c r="M47" s="52" t="n">
        <v>0.24</v>
      </c>
      <c r="N47" s="52" t="n">
        <v>0.2</v>
      </c>
      <c r="O47" s="52" t="n">
        <v>0.07</v>
      </c>
      <c r="P47" s="52" t="n">
        <v>0.1</v>
      </c>
      <c r="Q47" s="52" t="n">
        <v>0.03</v>
      </c>
      <c r="R47" s="52" t="n">
        <v>0.15</v>
      </c>
      <c r="S47" s="52" t="n">
        <v>0.01</v>
      </c>
      <c r="T47" s="52" t="n">
        <v>0.81</v>
      </c>
      <c r="U47" s="52" t="n">
        <v>0.11</v>
      </c>
      <c r="V47" s="52" t="n">
        <v>-0.05</v>
      </c>
      <c r="W47" s="52" t="n">
        <v>0.1</v>
      </c>
      <c r="X47" s="52" t="n">
        <v>0.75</v>
      </c>
      <c r="Y47" s="52" t="n">
        <v>0.34</v>
      </c>
      <c r="Z47" s="52" t="n">
        <v>0.02</v>
      </c>
      <c r="AA47" s="52" t="n">
        <v>0.16</v>
      </c>
      <c r="AB47" s="52" t="n">
        <v>0.36</v>
      </c>
      <c r="AC47" s="52" t="n">
        <v>-0.02</v>
      </c>
      <c r="AD47" s="52" t="n">
        <v>-0.03</v>
      </c>
      <c r="AE47" s="52" t="n">
        <v>0.16</v>
      </c>
      <c r="AF47" s="52" t="n">
        <v>0.09</v>
      </c>
      <c r="AG47" s="52" t="n">
        <v>0.1</v>
      </c>
      <c r="AH47" s="52" t="n">
        <v>0.11</v>
      </c>
      <c r="AI47" s="52" t="n">
        <v>0.1</v>
      </c>
      <c r="AJ47" s="52" t="n">
        <v>0.02</v>
      </c>
      <c r="AK47" s="52" t="n">
        <v>0.08</v>
      </c>
      <c r="AL47" s="52" t="n">
        <v>0.29</v>
      </c>
      <c r="AM47" s="52" t="n">
        <v>0.15</v>
      </c>
      <c r="AN47" s="52" t="n">
        <v>0.26</v>
      </c>
      <c r="AO47" s="52" t="n">
        <v>0.14</v>
      </c>
      <c r="AP47" s="52" t="n">
        <v>0.2</v>
      </c>
      <c r="AQ47" s="52" t="n">
        <v>0.02</v>
      </c>
      <c r="AR47" s="52" t="n">
        <v>1</v>
      </c>
      <c r="AS47" s="52" t="n">
        <v>0.08</v>
      </c>
      <c r="AT47" s="52" t="n">
        <v>0.55</v>
      </c>
      <c r="AU47" s="52" t="n">
        <v>0.08</v>
      </c>
      <c r="AV47" s="52" t="n">
        <v>0.11</v>
      </c>
      <c r="AW47" s="52" t="n">
        <v>0.01</v>
      </c>
      <c r="AX47" s="52" t="n">
        <v>0.27</v>
      </c>
      <c r="AY47" s="52" t="n">
        <v>0.19</v>
      </c>
      <c r="AZ47" s="52" t="n">
        <v>0.11</v>
      </c>
      <c r="BA47" s="52" t="n">
        <v>0.32</v>
      </c>
      <c r="BB47" s="52" t="n">
        <v>0.7</v>
      </c>
      <c r="BC47" s="52" t="n">
        <v>0.06</v>
      </c>
      <c r="BD47" s="52" t="n">
        <v>0.17</v>
      </c>
      <c r="BE47" s="52" t="n">
        <v>0.16</v>
      </c>
      <c r="BF47" s="52" t="n">
        <v>0.12</v>
      </c>
      <c r="BG47" s="52" t="n">
        <v>0.25</v>
      </c>
      <c r="BH47" s="52" t="n">
        <v>0.09</v>
      </c>
      <c r="BI47" s="52" t="n">
        <v>0.1</v>
      </c>
      <c r="BJ47" s="52" t="n">
        <v>0.09</v>
      </c>
      <c r="BK47" s="52" t="n">
        <v>0.2</v>
      </c>
      <c r="BL47" s="52" t="n">
        <v>0.31</v>
      </c>
      <c r="BM47" s="52" t="n">
        <v>0.22</v>
      </c>
      <c r="BN47" s="52" t="n">
        <v>0.17</v>
      </c>
      <c r="BO47" s="52" t="n">
        <v>0.21</v>
      </c>
      <c r="BP47" s="52" t="n">
        <v>0.16</v>
      </c>
      <c r="BQ47" s="52" t="n">
        <v>0.25</v>
      </c>
      <c r="BR47" s="52" t="n">
        <v>0.31</v>
      </c>
      <c r="BS47" s="52" t="n">
        <v>0.03</v>
      </c>
      <c r="BT47" s="52" t="n">
        <v>0.38</v>
      </c>
      <c r="BU47" s="52" t="n">
        <v>0.22</v>
      </c>
      <c r="BV47" s="52" t="n">
        <v>0.25</v>
      </c>
      <c r="BW47" s="52" t="n">
        <v>0.16</v>
      </c>
      <c r="BX47" s="52" t="n">
        <v>0.11</v>
      </c>
      <c r="BY47" s="52" t="n">
        <v>0.28</v>
      </c>
      <c r="BZ47" s="52" t="n">
        <v>0.31</v>
      </c>
      <c r="CA47" s="52" t="n">
        <v>-0.04</v>
      </c>
      <c r="CB47" s="52" t="n">
        <v>0.08</v>
      </c>
      <c r="CC47" s="52" t="n">
        <v>0.16</v>
      </c>
      <c r="CD47" s="52" t="n">
        <v>0.2</v>
      </c>
      <c r="CE47" s="52" t="n">
        <v>0.28</v>
      </c>
      <c r="CF47" s="52" t="n">
        <v>0.05</v>
      </c>
      <c r="CG47" s="52" t="n">
        <v>0.32</v>
      </c>
      <c r="CH47" s="52" t="n">
        <v>0.14</v>
      </c>
      <c r="CI47" s="52" t="n">
        <v>0.04</v>
      </c>
      <c r="CJ47" s="52" t="n">
        <v>0.07</v>
      </c>
      <c r="CK47" s="52" t="n">
        <v>0.18</v>
      </c>
      <c r="CL47" s="52" t="n">
        <v>0.19</v>
      </c>
      <c r="CM47" s="52" t="n">
        <v>0.15</v>
      </c>
      <c r="CN47" s="52" t="n">
        <v>0.04</v>
      </c>
      <c r="CO47" s="52" t="n">
        <v>0.03</v>
      </c>
      <c r="CP47" s="52" t="n">
        <v>0.11</v>
      </c>
      <c r="CQ47" s="52" t="n">
        <v>0.43</v>
      </c>
      <c r="CR47" s="52" t="n">
        <v>0.17</v>
      </c>
      <c r="CS47" s="52" t="n">
        <v>0.33</v>
      </c>
      <c r="CT47" s="52" t="n">
        <v>0.21</v>
      </c>
      <c r="CU47" s="52" t="n">
        <v>0.15</v>
      </c>
      <c r="CV47" s="52" t="n">
        <v>0.27</v>
      </c>
      <c r="CW47" s="52" t="n">
        <v>0.27</v>
      </c>
      <c r="CX47" s="52" t="n">
        <v>0.36</v>
      </c>
      <c r="CY47" s="52" t="n">
        <v>0.4</v>
      </c>
      <c r="CZ47" s="52" t="n">
        <v>0.19</v>
      </c>
      <c r="DA47" s="52" t="n">
        <v>0.16</v>
      </c>
      <c r="DB47" s="52" t="n">
        <v>0.13</v>
      </c>
      <c r="DC47" s="52" t="n">
        <v>0.24</v>
      </c>
      <c r="DD47" s="52" t="n">
        <v>0.22</v>
      </c>
      <c r="DE47" s="52" t="n">
        <v>0.2</v>
      </c>
      <c r="DF47" s="52" t="n">
        <v>0.15</v>
      </c>
      <c r="DG47" s="52" t="n">
        <v>0.16</v>
      </c>
      <c r="DH47" s="52" t="n">
        <v>0.12</v>
      </c>
      <c r="DI47" s="52" t="n">
        <v>0.35</v>
      </c>
      <c r="DJ47" s="52" t="n">
        <v>0.35</v>
      </c>
      <c r="DK47" s="52" t="n">
        <v>0.43</v>
      </c>
      <c r="DL47" s="52" t="n">
        <v>-0.01</v>
      </c>
      <c r="DM47" s="52" t="n">
        <v>0.38</v>
      </c>
      <c r="DN47" s="52" t="n">
        <v>0.2</v>
      </c>
      <c r="DO47" s="52" t="n">
        <v>0.2</v>
      </c>
      <c r="DP47" s="52" t="n">
        <v>0.3</v>
      </c>
      <c r="DQ47" s="52" t="n">
        <v>0.14</v>
      </c>
      <c r="DR47" s="52" t="n">
        <v>0.22</v>
      </c>
      <c r="DS47" s="52" t="n">
        <v>0.16</v>
      </c>
      <c r="DT47" s="52" t="n">
        <v>0.15</v>
      </c>
      <c r="DU47" s="52" t="n">
        <v>0.32</v>
      </c>
      <c r="DV47" s="52" t="n">
        <v>0.14</v>
      </c>
      <c r="DW47" s="52" t="n">
        <v>0.24</v>
      </c>
      <c r="DX47" s="52" t="n">
        <v>0.19</v>
      </c>
      <c r="DY47" s="52" t="n">
        <v>0.3</v>
      </c>
      <c r="DZ47" s="52" t="n">
        <v>0.11</v>
      </c>
      <c r="EA47" s="52" t="n">
        <v>0.13</v>
      </c>
      <c r="EB47" s="52" t="n">
        <v>0.33</v>
      </c>
      <c r="EC47" s="52" t="n">
        <v>0</v>
      </c>
      <c r="ED47" s="52" t="n">
        <v>0.15</v>
      </c>
      <c r="EE47" s="52" t="n">
        <v>0.14</v>
      </c>
      <c r="EF47" s="52" t="n">
        <v>0.28</v>
      </c>
      <c r="EG47" s="52" t="n">
        <v>0.09</v>
      </c>
      <c r="EH47" s="52" t="n">
        <v>0.15</v>
      </c>
      <c r="EI47" s="52" t="n">
        <v>0.03</v>
      </c>
      <c r="EJ47" s="52" t="n">
        <v>0.23</v>
      </c>
      <c r="EK47" s="52" t="n">
        <v>0.2</v>
      </c>
      <c r="EL47" s="52" t="n">
        <v>0.16</v>
      </c>
      <c r="EM47" s="52" t="n">
        <v>0.08</v>
      </c>
      <c r="EN47" s="52" t="n">
        <v>0.04</v>
      </c>
      <c r="EO47" s="52" t="n">
        <v>0.06</v>
      </c>
    </row>
    <row r="48" customFormat="false" ht="15" hidden="false" customHeight="false" outlineLevel="0" collapsed="false">
      <c r="A48" s="51" t="s">
        <v>193</v>
      </c>
      <c r="B48" s="52" t="n">
        <v>-0.13</v>
      </c>
      <c r="C48" s="52" t="n">
        <v>0.12</v>
      </c>
      <c r="D48" s="52" t="n">
        <v>0.12</v>
      </c>
      <c r="E48" s="52" t="n">
        <v>0.19</v>
      </c>
      <c r="F48" s="52" t="n">
        <v>0</v>
      </c>
      <c r="G48" s="52" t="n">
        <v>0.16</v>
      </c>
      <c r="H48" s="52" t="n">
        <v>0.31</v>
      </c>
      <c r="I48" s="52" t="n">
        <v>-0.01</v>
      </c>
      <c r="J48" s="52" t="n">
        <v>0.06</v>
      </c>
      <c r="K48" s="52" t="n">
        <v>0</v>
      </c>
      <c r="L48" s="52" t="n">
        <v>0.2</v>
      </c>
      <c r="M48" s="52" t="n">
        <v>0.23</v>
      </c>
      <c r="N48" s="52" t="n">
        <v>0.05</v>
      </c>
      <c r="O48" s="52" t="n">
        <v>0.25</v>
      </c>
      <c r="P48" s="52" t="n">
        <v>0.04</v>
      </c>
      <c r="Q48" s="52" t="n">
        <v>0.02</v>
      </c>
      <c r="R48" s="52" t="n">
        <v>0.02</v>
      </c>
      <c r="S48" s="52" t="n">
        <v>0.21</v>
      </c>
      <c r="T48" s="52" t="n">
        <v>0.1</v>
      </c>
      <c r="U48" s="52" t="n">
        <v>0.48</v>
      </c>
      <c r="V48" s="52" t="n">
        <v>0.3</v>
      </c>
      <c r="W48" s="52" t="n">
        <v>0.22</v>
      </c>
      <c r="X48" s="52" t="n">
        <v>0.12</v>
      </c>
      <c r="Y48" s="52" t="n">
        <v>0.04</v>
      </c>
      <c r="Z48" s="52" t="n">
        <v>0.31</v>
      </c>
      <c r="AA48" s="52" t="n">
        <v>0.24</v>
      </c>
      <c r="AB48" s="52" t="n">
        <v>-0.04</v>
      </c>
      <c r="AC48" s="52" t="n">
        <v>0.08</v>
      </c>
      <c r="AD48" s="52" t="n">
        <v>0.16</v>
      </c>
      <c r="AE48" s="52" t="n">
        <v>0.36</v>
      </c>
      <c r="AF48" s="52" t="n">
        <v>0.41</v>
      </c>
      <c r="AG48" s="52" t="n">
        <v>-0.09</v>
      </c>
      <c r="AH48" s="52" t="n">
        <v>-0.07</v>
      </c>
      <c r="AI48" s="52" t="n">
        <v>-0.22</v>
      </c>
      <c r="AJ48" s="52" t="n">
        <v>0.28</v>
      </c>
      <c r="AK48" s="52" t="n">
        <v>0.49</v>
      </c>
      <c r="AL48" s="52" t="n">
        <v>0.12</v>
      </c>
      <c r="AM48" s="52" t="n">
        <v>0.2</v>
      </c>
      <c r="AN48" s="52" t="n">
        <v>0.22</v>
      </c>
      <c r="AO48" s="52" t="n">
        <v>-0.04</v>
      </c>
      <c r="AP48" s="52" t="n">
        <v>0.12</v>
      </c>
      <c r="AQ48" s="52" t="n">
        <v>-0.12</v>
      </c>
      <c r="AR48" s="52" t="n">
        <v>0.08</v>
      </c>
      <c r="AS48" s="52" t="n">
        <v>1</v>
      </c>
      <c r="AT48" s="52" t="n">
        <v>0.1</v>
      </c>
      <c r="AU48" s="52" t="n">
        <v>0</v>
      </c>
      <c r="AV48" s="52" t="n">
        <v>0.22</v>
      </c>
      <c r="AW48" s="52" t="n">
        <v>0.29</v>
      </c>
      <c r="AX48" s="52" t="n">
        <v>0.04</v>
      </c>
      <c r="AY48" s="52" t="n">
        <v>0.01</v>
      </c>
      <c r="AZ48" s="52" t="n">
        <v>0.27</v>
      </c>
      <c r="BA48" s="52" t="n">
        <v>0.15</v>
      </c>
      <c r="BB48" s="52" t="n">
        <v>0.15</v>
      </c>
      <c r="BC48" s="52" t="n">
        <v>0.15</v>
      </c>
      <c r="BD48" s="52" t="n">
        <v>0.52</v>
      </c>
      <c r="BE48" s="52" t="n">
        <v>0.05</v>
      </c>
      <c r="BF48" s="52" t="n">
        <v>0.31</v>
      </c>
      <c r="BG48" s="52" t="n">
        <v>0.1</v>
      </c>
      <c r="BH48" s="52" t="n">
        <v>0.33</v>
      </c>
      <c r="BI48" s="52" t="n">
        <v>0.04</v>
      </c>
      <c r="BJ48" s="52" t="n">
        <v>0.08</v>
      </c>
      <c r="BK48" s="52" t="n">
        <v>0.18</v>
      </c>
      <c r="BL48" s="52" t="n">
        <v>0.25</v>
      </c>
      <c r="BM48" s="52" t="n">
        <v>0.04</v>
      </c>
      <c r="BN48" s="52" t="n">
        <v>-0.03</v>
      </c>
      <c r="BO48" s="52" t="n">
        <v>0.19</v>
      </c>
      <c r="BP48" s="52" t="n">
        <v>0.05</v>
      </c>
      <c r="BQ48" s="52" t="n">
        <v>0.29</v>
      </c>
      <c r="BR48" s="52" t="n">
        <v>0.13</v>
      </c>
      <c r="BS48" s="52" t="n">
        <v>-0.15</v>
      </c>
      <c r="BT48" s="52" t="n">
        <v>0.15</v>
      </c>
      <c r="BU48" s="52" t="n">
        <v>0.27</v>
      </c>
      <c r="BV48" s="52" t="n">
        <v>0.07</v>
      </c>
      <c r="BW48" s="52" t="n">
        <v>0.29</v>
      </c>
      <c r="BX48" s="52" t="n">
        <v>-0.01</v>
      </c>
      <c r="BY48" s="52" t="n">
        <v>0.17</v>
      </c>
      <c r="BZ48" s="52" t="n">
        <v>0.15</v>
      </c>
      <c r="CA48" s="52" t="n">
        <v>0.35</v>
      </c>
      <c r="CB48" s="52" t="n">
        <v>0.11</v>
      </c>
      <c r="CC48" s="52" t="n">
        <v>0.01</v>
      </c>
      <c r="CD48" s="52" t="n">
        <v>0.1</v>
      </c>
      <c r="CE48" s="52" t="n">
        <v>0.07</v>
      </c>
      <c r="CF48" s="52" t="n">
        <v>-0.16</v>
      </c>
      <c r="CG48" s="52" t="n">
        <v>0.06</v>
      </c>
      <c r="CH48" s="52" t="n">
        <v>0.42</v>
      </c>
      <c r="CI48" s="52" t="n">
        <v>-0.21</v>
      </c>
      <c r="CJ48" s="52" t="n">
        <v>0.06</v>
      </c>
      <c r="CK48" s="52" t="n">
        <v>0.04</v>
      </c>
      <c r="CL48" s="52" t="n">
        <v>0.12</v>
      </c>
      <c r="CM48" s="52" t="n">
        <v>0.15</v>
      </c>
      <c r="CN48" s="52" t="n">
        <v>0.24</v>
      </c>
      <c r="CO48" s="52" t="n">
        <v>0.21</v>
      </c>
      <c r="CP48" s="52" t="n">
        <v>0.11</v>
      </c>
      <c r="CQ48" s="52" t="n">
        <v>0.14</v>
      </c>
      <c r="CR48" s="52" t="n">
        <v>0.2</v>
      </c>
      <c r="CS48" s="52" t="n">
        <v>0.14</v>
      </c>
      <c r="CT48" s="52" t="n">
        <v>0.26</v>
      </c>
      <c r="CU48" s="52" t="n">
        <v>0.18</v>
      </c>
      <c r="CV48" s="52" t="n">
        <v>0.07</v>
      </c>
      <c r="CW48" s="52" t="n">
        <v>0.17</v>
      </c>
      <c r="CX48" s="52" t="n">
        <v>0.18</v>
      </c>
      <c r="CY48" s="52" t="n">
        <v>0.1</v>
      </c>
      <c r="CZ48" s="52" t="n">
        <v>0.07</v>
      </c>
      <c r="DA48" s="52" t="n">
        <v>0.06</v>
      </c>
      <c r="DB48" s="52" t="n">
        <v>0.2</v>
      </c>
      <c r="DC48" s="52" t="n">
        <v>0.27</v>
      </c>
      <c r="DD48" s="52" t="n">
        <v>0.15</v>
      </c>
      <c r="DE48" s="52" t="n">
        <v>0.26</v>
      </c>
      <c r="DF48" s="52" t="n">
        <v>0</v>
      </c>
      <c r="DG48" s="52" t="n">
        <v>0.22</v>
      </c>
      <c r="DH48" s="52" t="n">
        <v>0.06</v>
      </c>
      <c r="DI48" s="52" t="n">
        <v>0.07</v>
      </c>
      <c r="DJ48" s="52" t="n">
        <v>0.1</v>
      </c>
      <c r="DK48" s="52" t="n">
        <v>0.14</v>
      </c>
      <c r="DL48" s="52" t="n">
        <v>0.31</v>
      </c>
      <c r="DM48" s="52" t="n">
        <v>0.14</v>
      </c>
      <c r="DN48" s="52" t="n">
        <v>0.09</v>
      </c>
      <c r="DO48" s="52" t="n">
        <v>0.09</v>
      </c>
      <c r="DP48" s="52" t="n">
        <v>0.15</v>
      </c>
      <c r="DQ48" s="52" t="n">
        <v>0.08</v>
      </c>
      <c r="DR48" s="52" t="n">
        <v>0.1</v>
      </c>
      <c r="DS48" s="52" t="n">
        <v>0.01</v>
      </c>
      <c r="DT48" s="52" t="n">
        <v>0.04</v>
      </c>
      <c r="DU48" s="52" t="n">
        <v>0.14</v>
      </c>
      <c r="DV48" s="52" t="n">
        <v>0.04</v>
      </c>
      <c r="DW48" s="52" t="n">
        <v>0.06</v>
      </c>
      <c r="DX48" s="52" t="n">
        <v>0.11</v>
      </c>
      <c r="DY48" s="52" t="n">
        <v>0.08</v>
      </c>
      <c r="DZ48" s="52" t="n">
        <v>0.03</v>
      </c>
      <c r="EA48" s="52" t="n">
        <v>0.1</v>
      </c>
      <c r="EB48" s="52" t="n">
        <v>0.1</v>
      </c>
      <c r="EC48" s="52" t="n">
        <v>0.15</v>
      </c>
      <c r="ED48" s="52" t="n">
        <v>0.13</v>
      </c>
      <c r="EE48" s="52" t="n">
        <v>0.11</v>
      </c>
      <c r="EF48" s="52" t="n">
        <v>0.09</v>
      </c>
      <c r="EG48" s="52" t="n">
        <v>0.12</v>
      </c>
      <c r="EH48" s="52" t="n">
        <v>-0.03</v>
      </c>
      <c r="EI48" s="52" t="n">
        <v>0.11</v>
      </c>
      <c r="EJ48" s="52" t="n">
        <v>0.15</v>
      </c>
      <c r="EK48" s="52" t="n">
        <v>0.09</v>
      </c>
      <c r="EL48" s="52" t="n">
        <v>0.16</v>
      </c>
      <c r="EM48" s="52" t="n">
        <v>-0.03</v>
      </c>
      <c r="EN48" s="52" t="n">
        <v>0.07</v>
      </c>
      <c r="EO48" s="52" t="n">
        <v>0.12</v>
      </c>
    </row>
    <row r="49" customFormat="false" ht="15" hidden="false" customHeight="false" outlineLevel="0" collapsed="false">
      <c r="A49" s="51" t="s">
        <v>194</v>
      </c>
      <c r="B49" s="52" t="n">
        <v>0.29</v>
      </c>
      <c r="C49" s="52" t="n">
        <v>0</v>
      </c>
      <c r="D49" s="52" t="n">
        <v>0.01</v>
      </c>
      <c r="E49" s="52" t="n">
        <v>0.12</v>
      </c>
      <c r="F49" s="52" t="n">
        <v>0.08</v>
      </c>
      <c r="G49" s="52" t="n">
        <v>-0.05</v>
      </c>
      <c r="H49" s="52" t="n">
        <v>0</v>
      </c>
      <c r="I49" s="52" t="n">
        <v>0.23</v>
      </c>
      <c r="J49" s="52" t="n">
        <v>0.04</v>
      </c>
      <c r="K49" s="52" t="n">
        <v>0.17</v>
      </c>
      <c r="L49" s="52" t="n">
        <v>0.04</v>
      </c>
      <c r="M49" s="52" t="n">
        <v>0.37</v>
      </c>
      <c r="N49" s="52" t="n">
        <v>0.24</v>
      </c>
      <c r="O49" s="52" t="n">
        <v>0.02</v>
      </c>
      <c r="P49" s="52" t="n">
        <v>0.11</v>
      </c>
      <c r="Q49" s="52" t="n">
        <v>-0.07</v>
      </c>
      <c r="R49" s="52" t="n">
        <v>0.11</v>
      </c>
      <c r="S49" s="52" t="n">
        <v>0.02</v>
      </c>
      <c r="T49" s="52" t="n">
        <v>0.62</v>
      </c>
      <c r="U49" s="52" t="n">
        <v>0.09</v>
      </c>
      <c r="V49" s="52" t="n">
        <v>0.04</v>
      </c>
      <c r="W49" s="52" t="n">
        <v>0.11</v>
      </c>
      <c r="X49" s="52" t="n">
        <v>0.57</v>
      </c>
      <c r="Y49" s="52" t="n">
        <v>0.52</v>
      </c>
      <c r="Z49" s="52" t="n">
        <v>0.06</v>
      </c>
      <c r="AA49" s="52" t="n">
        <v>0.12</v>
      </c>
      <c r="AB49" s="52" t="n">
        <v>0.52</v>
      </c>
      <c r="AC49" s="52" t="n">
        <v>0.02</v>
      </c>
      <c r="AD49" s="52" t="n">
        <v>-0.06</v>
      </c>
      <c r="AE49" s="52" t="n">
        <v>0.22</v>
      </c>
      <c r="AF49" s="52" t="n">
        <v>0.01</v>
      </c>
      <c r="AG49" s="52" t="n">
        <v>-0.02</v>
      </c>
      <c r="AH49" s="52" t="n">
        <v>0.01</v>
      </c>
      <c r="AI49" s="52" t="n">
        <v>-0.03</v>
      </c>
      <c r="AJ49" s="52" t="n">
        <v>-0.04</v>
      </c>
      <c r="AK49" s="52" t="n">
        <v>0.08</v>
      </c>
      <c r="AL49" s="52" t="n">
        <v>0.3</v>
      </c>
      <c r="AM49" s="52" t="n">
        <v>0.1</v>
      </c>
      <c r="AN49" s="52" t="n">
        <v>0.34</v>
      </c>
      <c r="AO49" s="52" t="n">
        <v>0.12</v>
      </c>
      <c r="AP49" s="52" t="n">
        <v>0.36</v>
      </c>
      <c r="AQ49" s="52" t="n">
        <v>-0.07</v>
      </c>
      <c r="AR49" s="52" t="n">
        <v>0.55</v>
      </c>
      <c r="AS49" s="52" t="n">
        <v>0.1</v>
      </c>
      <c r="AT49" s="52" t="n">
        <v>1</v>
      </c>
      <c r="AU49" s="52" t="n">
        <v>0.04</v>
      </c>
      <c r="AV49" s="52" t="n">
        <v>0.16</v>
      </c>
      <c r="AW49" s="52" t="n">
        <v>0.09</v>
      </c>
      <c r="AX49" s="52" t="n">
        <v>0.25</v>
      </c>
      <c r="AY49" s="52" t="n">
        <v>0.36</v>
      </c>
      <c r="AZ49" s="52" t="n">
        <v>0.2</v>
      </c>
      <c r="BA49" s="52" t="n">
        <v>0.31</v>
      </c>
      <c r="BB49" s="52" t="n">
        <v>0.6</v>
      </c>
      <c r="BC49" s="52" t="n">
        <v>0.06</v>
      </c>
      <c r="BD49" s="52" t="n">
        <v>0.07</v>
      </c>
      <c r="BE49" s="52" t="n">
        <v>0.14</v>
      </c>
      <c r="BF49" s="52" t="n">
        <v>0.09</v>
      </c>
      <c r="BG49" s="52" t="n">
        <v>0.4</v>
      </c>
      <c r="BH49" s="52" t="n">
        <v>0.13</v>
      </c>
      <c r="BI49" s="52" t="n">
        <v>0.13</v>
      </c>
      <c r="BJ49" s="52" t="n">
        <v>-0.05</v>
      </c>
      <c r="BK49" s="52" t="n">
        <v>0.17</v>
      </c>
      <c r="BL49" s="52" t="n">
        <v>0.25</v>
      </c>
      <c r="BM49" s="52" t="n">
        <v>0.26</v>
      </c>
      <c r="BN49" s="52" t="n">
        <v>0.14</v>
      </c>
      <c r="BO49" s="52" t="n">
        <v>0.34</v>
      </c>
      <c r="BP49" s="52" t="n">
        <v>0.27</v>
      </c>
      <c r="BQ49" s="52" t="n">
        <v>0.21</v>
      </c>
      <c r="BR49" s="52" t="n">
        <v>0.36</v>
      </c>
      <c r="BS49" s="52" t="n">
        <v>-0.09</v>
      </c>
      <c r="BT49" s="52" t="n">
        <v>0.3</v>
      </c>
      <c r="BU49" s="52" t="n">
        <v>0.08</v>
      </c>
      <c r="BV49" s="52" t="n">
        <v>0.31</v>
      </c>
      <c r="BW49" s="52" t="n">
        <v>0.29</v>
      </c>
      <c r="BX49" s="52" t="n">
        <v>0.09</v>
      </c>
      <c r="BY49" s="52" t="n">
        <v>0.4</v>
      </c>
      <c r="BZ49" s="52" t="n">
        <v>0.32</v>
      </c>
      <c r="CA49" s="52" t="n">
        <v>-0.02</v>
      </c>
      <c r="CB49" s="52" t="n">
        <v>0.02</v>
      </c>
      <c r="CC49" s="52" t="n">
        <v>0.24</v>
      </c>
      <c r="CD49" s="52" t="n">
        <v>0.32</v>
      </c>
      <c r="CE49" s="52" t="n">
        <v>0.22</v>
      </c>
      <c r="CF49" s="52" t="n">
        <v>-0.07</v>
      </c>
      <c r="CG49" s="52" t="n">
        <v>0.43</v>
      </c>
      <c r="CH49" s="52" t="n">
        <v>0.14</v>
      </c>
      <c r="CI49" s="52" t="n">
        <v>-0.06</v>
      </c>
      <c r="CJ49" s="52" t="n">
        <v>0.11</v>
      </c>
      <c r="CK49" s="52" t="n">
        <v>0.37</v>
      </c>
      <c r="CL49" s="52" t="n">
        <v>0.29</v>
      </c>
      <c r="CM49" s="52" t="n">
        <v>0.19</v>
      </c>
      <c r="CN49" s="52" t="n">
        <v>0.02</v>
      </c>
      <c r="CO49" s="52" t="n">
        <v>0.23</v>
      </c>
      <c r="CP49" s="52" t="n">
        <v>0.12</v>
      </c>
      <c r="CQ49" s="52" t="n">
        <v>0.51</v>
      </c>
      <c r="CR49" s="52" t="n">
        <v>0.21</v>
      </c>
      <c r="CS49" s="52" t="n">
        <v>0.23</v>
      </c>
      <c r="CT49" s="52" t="n">
        <v>0.3</v>
      </c>
      <c r="CU49" s="52" t="n">
        <v>0.12</v>
      </c>
      <c r="CV49" s="52" t="n">
        <v>0.27</v>
      </c>
      <c r="CW49" s="52" t="n">
        <v>0.31</v>
      </c>
      <c r="CX49" s="52" t="n">
        <v>0.4</v>
      </c>
      <c r="CY49" s="52" t="n">
        <v>0.45</v>
      </c>
      <c r="CZ49" s="52" t="n">
        <v>0.19</v>
      </c>
      <c r="DA49" s="52" t="n">
        <v>0.29</v>
      </c>
      <c r="DB49" s="52" t="n">
        <v>0.3</v>
      </c>
      <c r="DC49" s="52" t="n">
        <v>0.28</v>
      </c>
      <c r="DD49" s="52" t="n">
        <v>0.38</v>
      </c>
      <c r="DE49" s="52" t="n">
        <v>0.22</v>
      </c>
      <c r="DF49" s="52" t="n">
        <v>0.22</v>
      </c>
      <c r="DG49" s="52" t="n">
        <v>0.1</v>
      </c>
      <c r="DH49" s="52" t="n">
        <v>0.15</v>
      </c>
      <c r="DI49" s="52" t="n">
        <v>0.45</v>
      </c>
      <c r="DJ49" s="52" t="n">
        <v>0.44</v>
      </c>
      <c r="DK49" s="52" t="n">
        <v>0.5</v>
      </c>
      <c r="DL49" s="52" t="n">
        <v>-0.05</v>
      </c>
      <c r="DM49" s="52" t="n">
        <v>0.46</v>
      </c>
      <c r="DN49" s="52" t="n">
        <v>0.31</v>
      </c>
      <c r="DO49" s="52" t="n">
        <v>0.25</v>
      </c>
      <c r="DP49" s="52" t="n">
        <v>0.41</v>
      </c>
      <c r="DQ49" s="52" t="n">
        <v>0.15</v>
      </c>
      <c r="DR49" s="52" t="n">
        <v>0.13</v>
      </c>
      <c r="DS49" s="52" t="n">
        <v>0.28</v>
      </c>
      <c r="DT49" s="52" t="n">
        <v>0.19</v>
      </c>
      <c r="DU49" s="52" t="n">
        <v>0.45</v>
      </c>
      <c r="DV49" s="52" t="n">
        <v>0.23</v>
      </c>
      <c r="DW49" s="52" t="n">
        <v>0.41</v>
      </c>
      <c r="DX49" s="52" t="n">
        <v>0.17</v>
      </c>
      <c r="DY49" s="52" t="n">
        <v>0.56</v>
      </c>
      <c r="DZ49" s="52" t="n">
        <v>0.14</v>
      </c>
      <c r="EA49" s="52" t="n">
        <v>0.23</v>
      </c>
      <c r="EB49" s="52" t="n">
        <v>0.51</v>
      </c>
      <c r="EC49" s="52" t="n">
        <v>0.03</v>
      </c>
      <c r="ED49" s="52" t="n">
        <v>0.25</v>
      </c>
      <c r="EE49" s="52" t="n">
        <v>0.14</v>
      </c>
      <c r="EF49" s="52" t="n">
        <v>0.14</v>
      </c>
      <c r="EG49" s="52" t="n">
        <v>0.11</v>
      </c>
      <c r="EH49" s="52" t="n">
        <v>0.26</v>
      </c>
      <c r="EI49" s="52" t="n">
        <v>0.07</v>
      </c>
      <c r="EJ49" s="52" t="n">
        <v>0.3</v>
      </c>
      <c r="EK49" s="52" t="n">
        <v>0.21</v>
      </c>
      <c r="EL49" s="52" t="n">
        <v>0.2</v>
      </c>
      <c r="EM49" s="52" t="n">
        <v>0.11</v>
      </c>
      <c r="EN49" s="52" t="n">
        <v>0.18</v>
      </c>
      <c r="EO49" s="52" t="n">
        <v>0.16</v>
      </c>
    </row>
    <row r="50" customFormat="false" ht="15" hidden="false" customHeight="false" outlineLevel="0" collapsed="false">
      <c r="A50" s="51" t="s">
        <v>195</v>
      </c>
      <c r="B50" s="52" t="n">
        <v>0.3</v>
      </c>
      <c r="C50" s="52" t="n">
        <v>0.05</v>
      </c>
      <c r="D50" s="52" t="n">
        <v>-0.04</v>
      </c>
      <c r="E50" s="52" t="n">
        <v>0.08</v>
      </c>
      <c r="F50" s="52" t="n">
        <v>0.4</v>
      </c>
      <c r="G50" s="52" t="n">
        <v>-0.02</v>
      </c>
      <c r="H50" s="52" t="n">
        <v>0.02</v>
      </c>
      <c r="I50" s="52" t="n">
        <v>0.41</v>
      </c>
      <c r="J50" s="52" t="n">
        <v>0.42</v>
      </c>
      <c r="K50" s="52" t="n">
        <v>0.43</v>
      </c>
      <c r="L50" s="52" t="n">
        <v>0.1</v>
      </c>
      <c r="M50" s="52" t="n">
        <v>0.24</v>
      </c>
      <c r="N50" s="52" t="n">
        <v>0.22</v>
      </c>
      <c r="O50" s="52" t="n">
        <v>0.09</v>
      </c>
      <c r="P50" s="52" t="n">
        <v>0.66</v>
      </c>
      <c r="Q50" s="52" t="n">
        <v>0.01</v>
      </c>
      <c r="R50" s="52" t="n">
        <v>0.44</v>
      </c>
      <c r="S50" s="52" t="n">
        <v>0.08</v>
      </c>
      <c r="T50" s="52" t="n">
        <v>0.08</v>
      </c>
      <c r="U50" s="52" t="n">
        <v>0.08</v>
      </c>
      <c r="V50" s="52" t="n">
        <v>0.02</v>
      </c>
      <c r="W50" s="52" t="n">
        <v>0.14</v>
      </c>
      <c r="X50" s="52" t="n">
        <v>0.08</v>
      </c>
      <c r="Y50" s="52" t="n">
        <v>0.19</v>
      </c>
      <c r="Z50" s="52" t="n">
        <v>0.11</v>
      </c>
      <c r="AA50" s="52" t="n">
        <v>0.16</v>
      </c>
      <c r="AB50" s="52" t="n">
        <v>0.17</v>
      </c>
      <c r="AC50" s="52" t="n">
        <v>-0.04</v>
      </c>
      <c r="AD50" s="52" t="n">
        <v>0.05</v>
      </c>
      <c r="AE50" s="52" t="n">
        <v>-0.04</v>
      </c>
      <c r="AF50" s="52" t="n">
        <v>0</v>
      </c>
      <c r="AG50" s="52" t="n">
        <v>0.25</v>
      </c>
      <c r="AH50" s="52" t="n">
        <v>0.26</v>
      </c>
      <c r="AI50" s="52" t="n">
        <v>0.16</v>
      </c>
      <c r="AJ50" s="52" t="n">
        <v>-0.07</v>
      </c>
      <c r="AK50" s="52" t="n">
        <v>0.06</v>
      </c>
      <c r="AL50" s="52" t="n">
        <v>0.18</v>
      </c>
      <c r="AM50" s="52" t="n">
        <v>0.06</v>
      </c>
      <c r="AN50" s="52" t="n">
        <v>0.38</v>
      </c>
      <c r="AO50" s="52" t="n">
        <v>0.31</v>
      </c>
      <c r="AP50" s="52" t="n">
        <v>0.13</v>
      </c>
      <c r="AQ50" s="52" t="n">
        <v>0.17</v>
      </c>
      <c r="AR50" s="52" t="n">
        <v>0.08</v>
      </c>
      <c r="AS50" s="52" t="n">
        <v>0</v>
      </c>
      <c r="AT50" s="52" t="n">
        <v>0.04</v>
      </c>
      <c r="AU50" s="52" t="n">
        <v>1</v>
      </c>
      <c r="AV50" s="52" t="n">
        <v>0.14</v>
      </c>
      <c r="AW50" s="52" t="n">
        <v>0.14</v>
      </c>
      <c r="AX50" s="52" t="n">
        <v>0.34</v>
      </c>
      <c r="AY50" s="52" t="n">
        <v>0.24</v>
      </c>
      <c r="AZ50" s="52" t="n">
        <v>0.02</v>
      </c>
      <c r="BA50" s="52" t="n">
        <v>0.2</v>
      </c>
      <c r="BB50" s="52" t="n">
        <v>0</v>
      </c>
      <c r="BC50" s="52" t="n">
        <v>0.03</v>
      </c>
      <c r="BD50" s="52" t="n">
        <v>-0.06</v>
      </c>
      <c r="BE50" s="52" t="n">
        <v>0.27</v>
      </c>
      <c r="BF50" s="52" t="n">
        <v>0.02</v>
      </c>
      <c r="BG50" s="52" t="n">
        <v>0.02</v>
      </c>
      <c r="BH50" s="52" t="n">
        <v>-0.02</v>
      </c>
      <c r="BI50" s="52" t="n">
        <v>-0.04</v>
      </c>
      <c r="BJ50" s="52" t="n">
        <v>-0.07</v>
      </c>
      <c r="BK50" s="52" t="n">
        <v>-0.01</v>
      </c>
      <c r="BL50" s="52" t="n">
        <v>0.07</v>
      </c>
      <c r="BM50" s="52" t="n">
        <v>0.35</v>
      </c>
      <c r="BN50" s="52" t="n">
        <v>0.2</v>
      </c>
      <c r="BO50" s="52" t="n">
        <v>0.12</v>
      </c>
      <c r="BP50" s="52" t="n">
        <v>-0.04</v>
      </c>
      <c r="BQ50" s="52" t="n">
        <v>0.03</v>
      </c>
      <c r="BR50" s="52" t="n">
        <v>0.13</v>
      </c>
      <c r="BS50" s="52" t="n">
        <v>0.11</v>
      </c>
      <c r="BT50" s="52" t="n">
        <v>0.11</v>
      </c>
      <c r="BU50" s="52" t="n">
        <v>-0.01</v>
      </c>
      <c r="BV50" s="52" t="n">
        <v>0.01</v>
      </c>
      <c r="BW50" s="52" t="n">
        <v>0.14</v>
      </c>
      <c r="BX50" s="52" t="n">
        <v>0.27</v>
      </c>
      <c r="BY50" s="52" t="n">
        <v>0.13</v>
      </c>
      <c r="BZ50" s="52" t="n">
        <v>0.18</v>
      </c>
      <c r="CA50" s="52" t="n">
        <v>0.09</v>
      </c>
      <c r="CB50" s="52" t="n">
        <v>0.01</v>
      </c>
      <c r="CC50" s="52" t="n">
        <v>0.13</v>
      </c>
      <c r="CD50" s="52" t="n">
        <v>0.05</v>
      </c>
      <c r="CE50" s="52" t="n">
        <v>0.03</v>
      </c>
      <c r="CF50" s="52" t="n">
        <v>0.13</v>
      </c>
      <c r="CG50" s="52" t="n">
        <v>0.08</v>
      </c>
      <c r="CH50" s="52" t="n">
        <v>0</v>
      </c>
      <c r="CI50" s="52" t="n">
        <v>0.1</v>
      </c>
      <c r="CJ50" s="52" t="n">
        <v>0.09</v>
      </c>
      <c r="CK50" s="52" t="n">
        <v>0.19</v>
      </c>
      <c r="CL50" s="52" t="n">
        <v>0.09</v>
      </c>
      <c r="CM50" s="52" t="n">
        <v>-0.07</v>
      </c>
      <c r="CN50" s="52" t="n">
        <v>0.01</v>
      </c>
      <c r="CO50" s="52" t="n">
        <v>-0.05</v>
      </c>
      <c r="CP50" s="52" t="n">
        <v>0.13</v>
      </c>
      <c r="CQ50" s="52" t="n">
        <v>0.1</v>
      </c>
      <c r="CR50" s="52" t="n">
        <v>-0.03</v>
      </c>
      <c r="CS50" s="52" t="n">
        <v>0.14</v>
      </c>
      <c r="CT50" s="52" t="n">
        <v>0.01</v>
      </c>
      <c r="CU50" s="52" t="n">
        <v>0.03</v>
      </c>
      <c r="CV50" s="52" t="n">
        <v>-0.02</v>
      </c>
      <c r="CW50" s="52" t="n">
        <v>-0.03</v>
      </c>
      <c r="CX50" s="52" t="n">
        <v>0.03</v>
      </c>
      <c r="CY50" s="52" t="n">
        <v>0.08</v>
      </c>
      <c r="CZ50" s="52" t="n">
        <v>0.07</v>
      </c>
      <c r="DA50" s="52" t="n">
        <v>-0.01</v>
      </c>
      <c r="DB50" s="52" t="n">
        <v>-0.02</v>
      </c>
      <c r="DC50" s="52" t="n">
        <v>-0.01</v>
      </c>
      <c r="DD50" s="52" t="n">
        <v>0.04</v>
      </c>
      <c r="DE50" s="52" t="n">
        <v>-0.05</v>
      </c>
      <c r="DF50" s="52" t="n">
        <v>-0.01</v>
      </c>
      <c r="DG50" s="52" t="n">
        <v>-0.04</v>
      </c>
      <c r="DH50" s="52" t="n">
        <v>-0.07</v>
      </c>
      <c r="DI50" s="52" t="n">
        <v>0.06</v>
      </c>
      <c r="DJ50" s="52" t="n">
        <v>0.12</v>
      </c>
      <c r="DK50" s="52" t="n">
        <v>0.08</v>
      </c>
      <c r="DL50" s="52" t="n">
        <v>-0.03</v>
      </c>
      <c r="DM50" s="52" t="n">
        <v>0.15</v>
      </c>
      <c r="DN50" s="52" t="n">
        <v>0.13</v>
      </c>
      <c r="DO50" s="52" t="n">
        <v>-0.05</v>
      </c>
      <c r="DP50" s="52" t="n">
        <v>0.11</v>
      </c>
      <c r="DQ50" s="52" t="n">
        <v>-0.01</v>
      </c>
      <c r="DR50" s="52" t="n">
        <v>-0.02</v>
      </c>
      <c r="DS50" s="52" t="n">
        <v>-0.02</v>
      </c>
      <c r="DT50" s="52" t="n">
        <v>-0.12</v>
      </c>
      <c r="DU50" s="52" t="n">
        <v>-0.11</v>
      </c>
      <c r="DV50" s="52" t="n">
        <v>0</v>
      </c>
      <c r="DW50" s="52" t="n">
        <v>-0.02</v>
      </c>
      <c r="DX50" s="52" t="n">
        <v>-0.06</v>
      </c>
      <c r="DY50" s="52" t="n">
        <v>-0.08</v>
      </c>
      <c r="DZ50" s="52" t="n">
        <v>0</v>
      </c>
      <c r="EA50" s="52" t="n">
        <v>0.01</v>
      </c>
      <c r="EB50" s="52" t="n">
        <v>-0.01</v>
      </c>
      <c r="EC50" s="52" t="n">
        <v>-0.1</v>
      </c>
      <c r="ED50" s="52" t="n">
        <v>0.01</v>
      </c>
      <c r="EE50" s="52" t="n">
        <v>-0.06</v>
      </c>
      <c r="EF50" s="52" t="n">
        <v>-0.01</v>
      </c>
      <c r="EG50" s="52" t="n">
        <v>-0.02</v>
      </c>
      <c r="EH50" s="52" t="n">
        <v>0</v>
      </c>
      <c r="EI50" s="52" t="n">
        <v>-0.16</v>
      </c>
      <c r="EJ50" s="52" t="n">
        <v>-0.01</v>
      </c>
      <c r="EK50" s="52" t="n">
        <v>-0.02</v>
      </c>
      <c r="EL50" s="52" t="n">
        <v>-0.02</v>
      </c>
      <c r="EM50" s="52" t="n">
        <v>-0.05</v>
      </c>
      <c r="EN50" s="52" t="n">
        <v>0.07</v>
      </c>
      <c r="EO50" s="52" t="n">
        <v>0</v>
      </c>
    </row>
    <row r="51" customFormat="false" ht="15" hidden="false" customHeight="false" outlineLevel="0" collapsed="false">
      <c r="A51" s="51" t="s">
        <v>196</v>
      </c>
      <c r="B51" s="52" t="n">
        <v>0.07</v>
      </c>
      <c r="C51" s="52" t="n">
        <v>0.28</v>
      </c>
      <c r="D51" s="52" t="n">
        <v>0.1</v>
      </c>
      <c r="E51" s="52" t="n">
        <v>0.45</v>
      </c>
      <c r="F51" s="52" t="n">
        <v>0.08</v>
      </c>
      <c r="G51" s="52" t="n">
        <v>0.05</v>
      </c>
      <c r="H51" s="52" t="n">
        <v>0.19</v>
      </c>
      <c r="I51" s="52" t="n">
        <v>0.13</v>
      </c>
      <c r="J51" s="52" t="n">
        <v>0.02</v>
      </c>
      <c r="K51" s="52" t="n">
        <v>0.08</v>
      </c>
      <c r="L51" s="52" t="n">
        <v>0.3</v>
      </c>
      <c r="M51" s="52" t="n">
        <v>0.18</v>
      </c>
      <c r="N51" s="52" t="n">
        <v>0.16</v>
      </c>
      <c r="O51" s="52" t="n">
        <v>0.34</v>
      </c>
      <c r="P51" s="52" t="n">
        <v>0.18</v>
      </c>
      <c r="Q51" s="52" t="n">
        <v>0.05</v>
      </c>
      <c r="R51" s="52" t="n">
        <v>0.15</v>
      </c>
      <c r="S51" s="52" t="n">
        <v>0.29</v>
      </c>
      <c r="T51" s="52" t="n">
        <v>0.14</v>
      </c>
      <c r="U51" s="52" t="n">
        <v>0.37</v>
      </c>
      <c r="V51" s="52" t="n">
        <v>0.25</v>
      </c>
      <c r="W51" s="52" t="n">
        <v>0.38</v>
      </c>
      <c r="X51" s="52" t="n">
        <v>0.15</v>
      </c>
      <c r="Y51" s="52" t="n">
        <v>0.11</v>
      </c>
      <c r="Z51" s="52" t="n">
        <v>0.26</v>
      </c>
      <c r="AA51" s="52" t="n">
        <v>0.18</v>
      </c>
      <c r="AB51" s="52" t="n">
        <v>0.03</v>
      </c>
      <c r="AC51" s="52" t="n">
        <v>0.26</v>
      </c>
      <c r="AD51" s="52" t="n">
        <v>0.27</v>
      </c>
      <c r="AE51" s="52" t="n">
        <v>0.32</v>
      </c>
      <c r="AF51" s="52" t="n">
        <v>0.32</v>
      </c>
      <c r="AG51" s="52" t="n">
        <v>0.05</v>
      </c>
      <c r="AH51" s="52" t="n">
        <v>0.07</v>
      </c>
      <c r="AI51" s="52" t="n">
        <v>0.03</v>
      </c>
      <c r="AJ51" s="52" t="n">
        <v>0.22</v>
      </c>
      <c r="AK51" s="52" t="n">
        <v>0.32</v>
      </c>
      <c r="AL51" s="52" t="n">
        <v>0.12</v>
      </c>
      <c r="AM51" s="52" t="n">
        <v>0.13</v>
      </c>
      <c r="AN51" s="52" t="n">
        <v>0.17</v>
      </c>
      <c r="AO51" s="52" t="n">
        <v>0.09</v>
      </c>
      <c r="AP51" s="52" t="n">
        <v>0.17</v>
      </c>
      <c r="AQ51" s="52" t="n">
        <v>0.04</v>
      </c>
      <c r="AR51" s="52" t="n">
        <v>0.11</v>
      </c>
      <c r="AS51" s="52" t="n">
        <v>0.22</v>
      </c>
      <c r="AT51" s="52" t="n">
        <v>0.16</v>
      </c>
      <c r="AU51" s="52" t="n">
        <v>0.14</v>
      </c>
      <c r="AV51" s="52" t="n">
        <v>1</v>
      </c>
      <c r="AW51" s="52" t="n">
        <v>0.36</v>
      </c>
      <c r="AX51" s="52" t="n">
        <v>0.16</v>
      </c>
      <c r="AY51" s="52" t="n">
        <v>0.13</v>
      </c>
      <c r="AZ51" s="52" t="n">
        <v>0.19</v>
      </c>
      <c r="BA51" s="52" t="n">
        <v>0.19</v>
      </c>
      <c r="BB51" s="52" t="n">
        <v>0.15</v>
      </c>
      <c r="BC51" s="52" t="n">
        <v>0.23</v>
      </c>
      <c r="BD51" s="52" t="n">
        <v>0.25</v>
      </c>
      <c r="BE51" s="52" t="n">
        <v>0.08</v>
      </c>
      <c r="BF51" s="52" t="n">
        <v>0.27</v>
      </c>
      <c r="BG51" s="52" t="n">
        <v>0.11</v>
      </c>
      <c r="BH51" s="52" t="n">
        <v>0.32</v>
      </c>
      <c r="BI51" s="52" t="n">
        <v>0.22</v>
      </c>
      <c r="BJ51" s="52" t="n">
        <v>0.12</v>
      </c>
      <c r="BK51" s="52" t="n">
        <v>0.21</v>
      </c>
      <c r="BL51" s="52" t="n">
        <v>0.11</v>
      </c>
      <c r="BM51" s="52" t="n">
        <v>0.12</v>
      </c>
      <c r="BN51" s="52" t="n">
        <v>0.04</v>
      </c>
      <c r="BO51" s="52" t="n">
        <v>0.16</v>
      </c>
      <c r="BP51" s="52" t="n">
        <v>0.11</v>
      </c>
      <c r="BQ51" s="52" t="n">
        <v>0.26</v>
      </c>
      <c r="BR51" s="52" t="n">
        <v>0.16</v>
      </c>
      <c r="BS51" s="52" t="n">
        <v>-0.03</v>
      </c>
      <c r="BT51" s="52" t="n">
        <v>0.09</v>
      </c>
      <c r="BU51" s="52" t="n">
        <v>0.09</v>
      </c>
      <c r="BV51" s="52" t="n">
        <v>0.08</v>
      </c>
      <c r="BW51" s="52" t="n">
        <v>0.16</v>
      </c>
      <c r="BX51" s="52" t="n">
        <v>0.11</v>
      </c>
      <c r="BY51" s="52" t="n">
        <v>0.08</v>
      </c>
      <c r="BZ51" s="52" t="n">
        <v>0.11</v>
      </c>
      <c r="CA51" s="52" t="n">
        <v>0.34</v>
      </c>
      <c r="CB51" s="52" t="n">
        <v>0</v>
      </c>
      <c r="CC51" s="52" t="n">
        <v>0.07</v>
      </c>
      <c r="CD51" s="52" t="n">
        <v>-0.02</v>
      </c>
      <c r="CE51" s="52" t="n">
        <v>0.04</v>
      </c>
      <c r="CF51" s="52" t="n">
        <v>-0.05</v>
      </c>
      <c r="CG51" s="52" t="n">
        <v>0.07</v>
      </c>
      <c r="CH51" s="52" t="n">
        <v>0.3</v>
      </c>
      <c r="CI51" s="52" t="n">
        <v>-0.03</v>
      </c>
      <c r="CJ51" s="52" t="n">
        <v>0.06</v>
      </c>
      <c r="CK51" s="52" t="n">
        <v>0.12</v>
      </c>
      <c r="CL51" s="52" t="n">
        <v>0.06</v>
      </c>
      <c r="CM51" s="52" t="n">
        <v>0.05</v>
      </c>
      <c r="CN51" s="52" t="n">
        <v>0.2</v>
      </c>
      <c r="CO51" s="52" t="n">
        <v>0.16</v>
      </c>
      <c r="CP51" s="52" t="n">
        <v>0.1</v>
      </c>
      <c r="CQ51" s="52" t="n">
        <v>0.11</v>
      </c>
      <c r="CR51" s="52" t="n">
        <v>0.14</v>
      </c>
      <c r="CS51" s="52" t="n">
        <v>0.16</v>
      </c>
      <c r="CT51" s="52" t="n">
        <v>0.12</v>
      </c>
      <c r="CU51" s="52" t="n">
        <v>0.15</v>
      </c>
      <c r="CV51" s="52" t="n">
        <v>0.03</v>
      </c>
      <c r="CW51" s="52" t="n">
        <v>0.15</v>
      </c>
      <c r="CX51" s="52" t="n">
        <v>0.09</v>
      </c>
      <c r="CY51" s="52" t="n">
        <v>0.13</v>
      </c>
      <c r="CZ51" s="52" t="n">
        <v>0.02</v>
      </c>
      <c r="DA51" s="52" t="n">
        <v>0.03</v>
      </c>
      <c r="DB51" s="52" t="n">
        <v>0.23</v>
      </c>
      <c r="DC51" s="52" t="n">
        <v>0.21</v>
      </c>
      <c r="DD51" s="52" t="n">
        <v>0.08</v>
      </c>
      <c r="DE51" s="52" t="n">
        <v>0.18</v>
      </c>
      <c r="DF51" s="52" t="n">
        <v>0.02</v>
      </c>
      <c r="DG51" s="52" t="n">
        <v>0.12</v>
      </c>
      <c r="DH51" s="52" t="n">
        <v>0.18</v>
      </c>
      <c r="DI51" s="52" t="n">
        <v>0.14</v>
      </c>
      <c r="DJ51" s="52" t="n">
        <v>0.02</v>
      </c>
      <c r="DK51" s="52" t="n">
        <v>0.12</v>
      </c>
      <c r="DL51" s="52" t="n">
        <v>0.18</v>
      </c>
      <c r="DM51" s="52" t="n">
        <v>0.09</v>
      </c>
      <c r="DN51" s="52" t="n">
        <v>0.02</v>
      </c>
      <c r="DO51" s="52" t="n">
        <v>0.15</v>
      </c>
      <c r="DP51" s="52" t="n">
        <v>0.03</v>
      </c>
      <c r="DQ51" s="52" t="n">
        <v>-0.02</v>
      </c>
      <c r="DR51" s="52" t="n">
        <v>0.1</v>
      </c>
      <c r="DS51" s="52" t="n">
        <v>-0.07</v>
      </c>
      <c r="DT51" s="52" t="n">
        <v>0.08</v>
      </c>
      <c r="DU51" s="52" t="n">
        <v>0.16</v>
      </c>
      <c r="DV51" s="52" t="n">
        <v>0.15</v>
      </c>
      <c r="DW51" s="52" t="n">
        <v>0.12</v>
      </c>
      <c r="DX51" s="52" t="n">
        <v>0.09</v>
      </c>
      <c r="DY51" s="52" t="n">
        <v>0.13</v>
      </c>
      <c r="DZ51" s="52" t="n">
        <v>0.02</v>
      </c>
      <c r="EA51" s="52" t="n">
        <v>0.09</v>
      </c>
      <c r="EB51" s="52" t="n">
        <v>0.15</v>
      </c>
      <c r="EC51" s="52" t="n">
        <v>0.04</v>
      </c>
      <c r="ED51" s="52" t="n">
        <v>0.2</v>
      </c>
      <c r="EE51" s="52" t="n">
        <v>0.09</v>
      </c>
      <c r="EF51" s="52" t="n">
        <v>0.11</v>
      </c>
      <c r="EG51" s="52" t="n">
        <v>0.1</v>
      </c>
      <c r="EH51" s="52" t="n">
        <v>0.04</v>
      </c>
      <c r="EI51" s="52" t="n">
        <v>0</v>
      </c>
      <c r="EJ51" s="52" t="n">
        <v>0.17</v>
      </c>
      <c r="EK51" s="52" t="n">
        <v>0.16</v>
      </c>
      <c r="EL51" s="52" t="n">
        <v>0.17</v>
      </c>
      <c r="EM51" s="52" t="n">
        <v>0.04</v>
      </c>
      <c r="EN51" s="52" t="n">
        <v>0.02</v>
      </c>
      <c r="EO51" s="52" t="n">
        <v>0.09</v>
      </c>
    </row>
    <row r="52" customFormat="false" ht="15" hidden="false" customHeight="false" outlineLevel="0" collapsed="false">
      <c r="A52" s="51" t="s">
        <v>197</v>
      </c>
      <c r="B52" s="52" t="n">
        <v>-0.01</v>
      </c>
      <c r="C52" s="52" t="n">
        <v>0.19</v>
      </c>
      <c r="D52" s="52" t="n">
        <v>0.04</v>
      </c>
      <c r="E52" s="52" t="n">
        <v>0.16</v>
      </c>
      <c r="F52" s="52" t="n">
        <v>-0.04</v>
      </c>
      <c r="G52" s="52" t="n">
        <v>0.11</v>
      </c>
      <c r="H52" s="52" t="n">
        <v>0.35</v>
      </c>
      <c r="I52" s="52" t="n">
        <v>0.03</v>
      </c>
      <c r="J52" s="52" t="n">
        <v>0.02</v>
      </c>
      <c r="K52" s="52" t="n">
        <v>0.03</v>
      </c>
      <c r="L52" s="52" t="n">
        <v>0.16</v>
      </c>
      <c r="M52" s="52" t="n">
        <v>0.24</v>
      </c>
      <c r="N52" s="52" t="n">
        <v>0.06</v>
      </c>
      <c r="O52" s="52" t="n">
        <v>0.26</v>
      </c>
      <c r="P52" s="52" t="n">
        <v>0.12</v>
      </c>
      <c r="Q52" s="52" t="n">
        <v>0.13</v>
      </c>
      <c r="R52" s="52" t="n">
        <v>0.04</v>
      </c>
      <c r="S52" s="52" t="n">
        <v>0.32</v>
      </c>
      <c r="T52" s="52" t="n">
        <v>0.08</v>
      </c>
      <c r="U52" s="52" t="n">
        <v>0.35</v>
      </c>
      <c r="V52" s="52" t="n">
        <v>0.35</v>
      </c>
      <c r="W52" s="52" t="n">
        <v>0.24</v>
      </c>
      <c r="X52" s="52" t="n">
        <v>0.1</v>
      </c>
      <c r="Y52" s="52" t="n">
        <v>0.05</v>
      </c>
      <c r="Z52" s="52" t="n">
        <v>0.37</v>
      </c>
      <c r="AA52" s="52" t="n">
        <v>0.06</v>
      </c>
      <c r="AB52" s="52" t="n">
        <v>-0.01</v>
      </c>
      <c r="AC52" s="52" t="n">
        <v>0.21</v>
      </c>
      <c r="AD52" s="52" t="n">
        <v>0.32</v>
      </c>
      <c r="AE52" s="52" t="n">
        <v>0.3</v>
      </c>
      <c r="AF52" s="52" t="n">
        <v>0.33</v>
      </c>
      <c r="AG52" s="52" t="n">
        <v>-0.03</v>
      </c>
      <c r="AH52" s="52" t="n">
        <v>-0.07</v>
      </c>
      <c r="AI52" s="52" t="n">
        <v>-0.11</v>
      </c>
      <c r="AJ52" s="52" t="n">
        <v>0.09</v>
      </c>
      <c r="AK52" s="52" t="n">
        <v>0.38</v>
      </c>
      <c r="AL52" s="52" t="n">
        <v>0.03</v>
      </c>
      <c r="AM52" s="52" t="n">
        <v>0.18</v>
      </c>
      <c r="AN52" s="52" t="n">
        <v>0.23</v>
      </c>
      <c r="AO52" s="52" t="n">
        <v>-0.06</v>
      </c>
      <c r="AP52" s="52" t="n">
        <v>0.13</v>
      </c>
      <c r="AQ52" s="52" t="n">
        <v>-0.06</v>
      </c>
      <c r="AR52" s="52" t="n">
        <v>0.01</v>
      </c>
      <c r="AS52" s="52" t="n">
        <v>0.29</v>
      </c>
      <c r="AT52" s="52" t="n">
        <v>0.09</v>
      </c>
      <c r="AU52" s="52" t="n">
        <v>0.14</v>
      </c>
      <c r="AV52" s="52" t="n">
        <v>0.36</v>
      </c>
      <c r="AW52" s="52" t="n">
        <v>1</v>
      </c>
      <c r="AX52" s="52" t="n">
        <v>0.09</v>
      </c>
      <c r="AY52" s="52" t="n">
        <v>0.15</v>
      </c>
      <c r="AZ52" s="52" t="n">
        <v>0.3</v>
      </c>
      <c r="BA52" s="52" t="n">
        <v>0.23</v>
      </c>
      <c r="BB52" s="52" t="n">
        <v>0.11</v>
      </c>
      <c r="BC52" s="52" t="n">
        <v>0.22</v>
      </c>
      <c r="BD52" s="52" t="n">
        <v>0.35</v>
      </c>
      <c r="BE52" s="52" t="n">
        <v>0.1</v>
      </c>
      <c r="BF52" s="52" t="n">
        <v>0.35</v>
      </c>
      <c r="BG52" s="52" t="n">
        <v>0.12</v>
      </c>
      <c r="BH52" s="52" t="n">
        <v>0.36</v>
      </c>
      <c r="BI52" s="52" t="n">
        <v>0.12</v>
      </c>
      <c r="BJ52" s="52" t="n">
        <v>0.08</v>
      </c>
      <c r="BK52" s="52" t="n">
        <v>0.19</v>
      </c>
      <c r="BL52" s="52" t="n">
        <v>0.25</v>
      </c>
      <c r="BM52" s="52" t="n">
        <v>0.02</v>
      </c>
      <c r="BN52" s="52" t="n">
        <v>0.05</v>
      </c>
      <c r="BO52" s="52" t="n">
        <v>0.09</v>
      </c>
      <c r="BP52" s="52" t="n">
        <v>-0.02</v>
      </c>
      <c r="BQ52" s="52" t="n">
        <v>0.47</v>
      </c>
      <c r="BR52" s="52" t="n">
        <v>0.13</v>
      </c>
      <c r="BS52" s="52" t="n">
        <v>-0.07</v>
      </c>
      <c r="BT52" s="52" t="n">
        <v>0.22</v>
      </c>
      <c r="BU52" s="52" t="n">
        <v>0.29</v>
      </c>
      <c r="BV52" s="52" t="n">
        <v>0.07</v>
      </c>
      <c r="BW52" s="52" t="n">
        <v>0.19</v>
      </c>
      <c r="BX52" s="52" t="n">
        <v>0.07</v>
      </c>
      <c r="BY52" s="52" t="n">
        <v>0.14</v>
      </c>
      <c r="BZ52" s="52" t="n">
        <v>0.18</v>
      </c>
      <c r="CA52" s="52" t="n">
        <v>0.29</v>
      </c>
      <c r="CB52" s="52" t="n">
        <v>-0.02</v>
      </c>
      <c r="CC52" s="52" t="n">
        <v>0.11</v>
      </c>
      <c r="CD52" s="52" t="n">
        <v>0.09</v>
      </c>
      <c r="CE52" s="52" t="n">
        <v>0.14</v>
      </c>
      <c r="CF52" s="52" t="n">
        <v>-0.08</v>
      </c>
      <c r="CG52" s="52" t="n">
        <v>0.12</v>
      </c>
      <c r="CH52" s="52" t="n">
        <v>0.42</v>
      </c>
      <c r="CI52" s="52" t="n">
        <v>-0.07</v>
      </c>
      <c r="CJ52" s="52" t="n">
        <v>-0.04</v>
      </c>
      <c r="CK52" s="52" t="n">
        <v>0.18</v>
      </c>
      <c r="CL52" s="52" t="n">
        <v>0.12</v>
      </c>
      <c r="CM52" s="52" t="n">
        <v>0.13</v>
      </c>
      <c r="CN52" s="52" t="n">
        <v>0.29</v>
      </c>
      <c r="CO52" s="52" t="n">
        <v>0.2</v>
      </c>
      <c r="CP52" s="52" t="n">
        <v>0.02</v>
      </c>
      <c r="CQ52" s="52" t="n">
        <v>0.1</v>
      </c>
      <c r="CR52" s="52" t="n">
        <v>0.15</v>
      </c>
      <c r="CS52" s="52" t="n">
        <v>0.24</v>
      </c>
      <c r="CT52" s="52" t="n">
        <v>0.15</v>
      </c>
      <c r="CU52" s="52" t="n">
        <v>0.08</v>
      </c>
      <c r="CV52" s="52" t="n">
        <v>0.02</v>
      </c>
      <c r="CW52" s="52" t="n">
        <v>0.11</v>
      </c>
      <c r="CX52" s="52" t="n">
        <v>0.13</v>
      </c>
      <c r="CY52" s="52" t="n">
        <v>0.1</v>
      </c>
      <c r="CZ52" s="52" t="n">
        <v>0.12</v>
      </c>
      <c r="DA52" s="52" t="n">
        <v>0.03</v>
      </c>
      <c r="DB52" s="52" t="n">
        <v>0.25</v>
      </c>
      <c r="DC52" s="52" t="n">
        <v>0.2</v>
      </c>
      <c r="DD52" s="52" t="n">
        <v>0.17</v>
      </c>
      <c r="DE52" s="52" t="n">
        <v>0.3</v>
      </c>
      <c r="DF52" s="52" t="n">
        <v>-0.04</v>
      </c>
      <c r="DG52" s="52" t="n">
        <v>0.25</v>
      </c>
      <c r="DH52" s="52" t="n">
        <v>0.12</v>
      </c>
      <c r="DI52" s="52" t="n">
        <v>0.12</v>
      </c>
      <c r="DJ52" s="52" t="n">
        <v>0.05</v>
      </c>
      <c r="DK52" s="52" t="n">
        <v>0.17</v>
      </c>
      <c r="DL52" s="52" t="n">
        <v>0.34</v>
      </c>
      <c r="DM52" s="52" t="n">
        <v>0.12</v>
      </c>
      <c r="DN52" s="52" t="n">
        <v>0.06</v>
      </c>
      <c r="DO52" s="52" t="n">
        <v>0.18</v>
      </c>
      <c r="DP52" s="52" t="n">
        <v>0.1</v>
      </c>
      <c r="DQ52" s="52" t="n">
        <v>0.14</v>
      </c>
      <c r="DR52" s="52" t="n">
        <v>0.18</v>
      </c>
      <c r="DS52" s="52" t="n">
        <v>-0.06</v>
      </c>
      <c r="DT52" s="52" t="n">
        <v>0.06</v>
      </c>
      <c r="DU52" s="52" t="n">
        <v>0.11</v>
      </c>
      <c r="DV52" s="52" t="n">
        <v>0.03</v>
      </c>
      <c r="DW52" s="52" t="n">
        <v>0.04</v>
      </c>
      <c r="DX52" s="52" t="n">
        <v>0.2</v>
      </c>
      <c r="DY52" s="52" t="n">
        <v>0.13</v>
      </c>
      <c r="DZ52" s="52" t="n">
        <v>0.03</v>
      </c>
      <c r="EA52" s="52" t="n">
        <v>0.08</v>
      </c>
      <c r="EB52" s="52" t="n">
        <v>0.1</v>
      </c>
      <c r="EC52" s="52" t="n">
        <v>0.17</v>
      </c>
      <c r="ED52" s="52" t="n">
        <v>0.21</v>
      </c>
      <c r="EE52" s="52" t="n">
        <v>0.16</v>
      </c>
      <c r="EF52" s="52" t="n">
        <v>0.17</v>
      </c>
      <c r="EG52" s="52" t="n">
        <v>0.22</v>
      </c>
      <c r="EH52" s="52" t="n">
        <v>-0.04</v>
      </c>
      <c r="EI52" s="52" t="n">
        <v>0.14</v>
      </c>
      <c r="EJ52" s="52" t="n">
        <v>0.14</v>
      </c>
      <c r="EK52" s="52" t="n">
        <v>0.13</v>
      </c>
      <c r="EL52" s="52" t="n">
        <v>0.16</v>
      </c>
      <c r="EM52" s="52" t="n">
        <v>0.05</v>
      </c>
      <c r="EN52" s="52" t="n">
        <v>0.08</v>
      </c>
      <c r="EO52" s="52" t="n">
        <v>0.03</v>
      </c>
    </row>
    <row r="53" customFormat="false" ht="15" hidden="false" customHeight="false" outlineLevel="0" collapsed="false">
      <c r="A53" s="51" t="s">
        <v>198</v>
      </c>
      <c r="B53" s="52" t="n">
        <v>0.34</v>
      </c>
      <c r="C53" s="52" t="n">
        <v>-0.01</v>
      </c>
      <c r="D53" s="52" t="n">
        <v>0.1</v>
      </c>
      <c r="E53" s="52" t="n">
        <v>0.13</v>
      </c>
      <c r="F53" s="52" t="n">
        <v>0.36</v>
      </c>
      <c r="G53" s="52" t="n">
        <v>0.05</v>
      </c>
      <c r="H53" s="52" t="n">
        <v>0.06</v>
      </c>
      <c r="I53" s="52" t="n">
        <v>0.41</v>
      </c>
      <c r="J53" s="52" t="n">
        <v>0.52</v>
      </c>
      <c r="K53" s="52" t="n">
        <v>0.4</v>
      </c>
      <c r="L53" s="52" t="n">
        <v>0.15</v>
      </c>
      <c r="M53" s="52" t="n">
        <v>0.27</v>
      </c>
      <c r="N53" s="52" t="n">
        <v>0.63</v>
      </c>
      <c r="O53" s="52" t="n">
        <v>0.09</v>
      </c>
      <c r="P53" s="52" t="n">
        <v>0.32</v>
      </c>
      <c r="Q53" s="52" t="n">
        <v>-0.01</v>
      </c>
      <c r="R53" s="52" t="n">
        <v>0.38</v>
      </c>
      <c r="S53" s="52" t="n">
        <v>0.16</v>
      </c>
      <c r="T53" s="52" t="n">
        <v>0.24</v>
      </c>
      <c r="U53" s="52" t="n">
        <v>0.15</v>
      </c>
      <c r="V53" s="52" t="n">
        <v>0.03</v>
      </c>
      <c r="W53" s="52" t="n">
        <v>0.14</v>
      </c>
      <c r="X53" s="52" t="n">
        <v>0.29</v>
      </c>
      <c r="Y53" s="52" t="n">
        <v>0.28</v>
      </c>
      <c r="Z53" s="52" t="n">
        <v>0.1</v>
      </c>
      <c r="AA53" s="52" t="n">
        <v>0.24</v>
      </c>
      <c r="AB53" s="52" t="n">
        <v>0.28</v>
      </c>
      <c r="AC53" s="52" t="n">
        <v>-0.07</v>
      </c>
      <c r="AD53" s="52" t="n">
        <v>0.04</v>
      </c>
      <c r="AE53" s="52" t="n">
        <v>0.06</v>
      </c>
      <c r="AF53" s="52" t="n">
        <v>0</v>
      </c>
      <c r="AG53" s="52" t="n">
        <v>0.21</v>
      </c>
      <c r="AH53" s="52" t="n">
        <v>0.25</v>
      </c>
      <c r="AI53" s="52" t="n">
        <v>0.11</v>
      </c>
      <c r="AJ53" s="52" t="n">
        <v>0.08</v>
      </c>
      <c r="AK53" s="52" t="n">
        <v>0</v>
      </c>
      <c r="AL53" s="52" t="n">
        <v>0.24</v>
      </c>
      <c r="AM53" s="52" t="n">
        <v>0.17</v>
      </c>
      <c r="AN53" s="52" t="n">
        <v>0.34</v>
      </c>
      <c r="AO53" s="52" t="n">
        <v>0.54</v>
      </c>
      <c r="AP53" s="52" t="n">
        <v>0.27</v>
      </c>
      <c r="AQ53" s="52" t="n">
        <v>0.05</v>
      </c>
      <c r="AR53" s="52" t="n">
        <v>0.27</v>
      </c>
      <c r="AS53" s="52" t="n">
        <v>0.04</v>
      </c>
      <c r="AT53" s="52" t="n">
        <v>0.25</v>
      </c>
      <c r="AU53" s="52" t="n">
        <v>0.34</v>
      </c>
      <c r="AV53" s="52" t="n">
        <v>0.16</v>
      </c>
      <c r="AW53" s="52" t="n">
        <v>0.09</v>
      </c>
      <c r="AX53" s="52" t="n">
        <v>1</v>
      </c>
      <c r="AY53" s="52" t="n">
        <v>0.24</v>
      </c>
      <c r="AZ53" s="52" t="n">
        <v>0.04</v>
      </c>
      <c r="BA53" s="52" t="n">
        <v>0.36</v>
      </c>
      <c r="BB53" s="52" t="n">
        <v>0.23</v>
      </c>
      <c r="BC53" s="52" t="n">
        <v>0.1</v>
      </c>
      <c r="BD53" s="52" t="n">
        <v>0.1</v>
      </c>
      <c r="BE53" s="52" t="n">
        <v>0.52</v>
      </c>
      <c r="BF53" s="52" t="n">
        <v>0.12</v>
      </c>
      <c r="BG53" s="52" t="n">
        <v>0.23</v>
      </c>
      <c r="BH53" s="52" t="n">
        <v>0.11</v>
      </c>
      <c r="BI53" s="52" t="n">
        <v>0.06</v>
      </c>
      <c r="BJ53" s="52" t="n">
        <v>0.08</v>
      </c>
      <c r="BK53" s="52" t="n">
        <v>0.05</v>
      </c>
      <c r="BL53" s="52" t="n">
        <v>0.12</v>
      </c>
      <c r="BM53" s="52" t="n">
        <v>0.28</v>
      </c>
      <c r="BN53" s="52" t="n">
        <v>0.14</v>
      </c>
      <c r="BO53" s="52" t="n">
        <v>0.25</v>
      </c>
      <c r="BP53" s="52" t="n">
        <v>0.08</v>
      </c>
      <c r="BQ53" s="52" t="n">
        <v>0.06</v>
      </c>
      <c r="BR53" s="52" t="n">
        <v>0.21</v>
      </c>
      <c r="BS53" s="52" t="n">
        <v>0.02</v>
      </c>
      <c r="BT53" s="52" t="n">
        <v>0.24</v>
      </c>
      <c r="BU53" s="52" t="n">
        <v>0.01</v>
      </c>
      <c r="BV53" s="52" t="n">
        <v>0.14</v>
      </c>
      <c r="BW53" s="52" t="n">
        <v>0.19</v>
      </c>
      <c r="BX53" s="52" t="n">
        <v>0.44</v>
      </c>
      <c r="BY53" s="52" t="n">
        <v>0.21</v>
      </c>
      <c r="BZ53" s="52" t="n">
        <v>0.14</v>
      </c>
      <c r="CA53" s="52" t="n">
        <v>0.04</v>
      </c>
      <c r="CB53" s="52" t="n">
        <v>0</v>
      </c>
      <c r="CC53" s="52" t="n">
        <v>0.11</v>
      </c>
      <c r="CD53" s="52" t="n">
        <v>0.2</v>
      </c>
      <c r="CE53" s="52" t="n">
        <v>0.11</v>
      </c>
      <c r="CF53" s="52" t="n">
        <v>0.07</v>
      </c>
      <c r="CG53" s="52" t="n">
        <v>0.21</v>
      </c>
      <c r="CH53" s="52" t="n">
        <v>0.06</v>
      </c>
      <c r="CI53" s="52" t="n">
        <v>0.08</v>
      </c>
      <c r="CJ53" s="52" t="n">
        <v>0.22</v>
      </c>
      <c r="CK53" s="52" t="n">
        <v>0.18</v>
      </c>
      <c r="CL53" s="52" t="n">
        <v>0.19</v>
      </c>
      <c r="CM53" s="52" t="n">
        <v>-0.07</v>
      </c>
      <c r="CN53" s="52" t="n">
        <v>0.04</v>
      </c>
      <c r="CO53" s="52" t="n">
        <v>-0.04</v>
      </c>
      <c r="CP53" s="52" t="n">
        <v>0.1</v>
      </c>
      <c r="CQ53" s="52" t="n">
        <v>0.29</v>
      </c>
      <c r="CR53" s="52" t="n">
        <v>0.01</v>
      </c>
      <c r="CS53" s="52" t="n">
        <v>0.14</v>
      </c>
      <c r="CT53" s="52" t="n">
        <v>0.09</v>
      </c>
      <c r="CU53" s="52" t="n">
        <v>0.02</v>
      </c>
      <c r="CV53" s="52" t="n">
        <v>-0.11</v>
      </c>
      <c r="CW53" s="52" t="n">
        <v>0.08</v>
      </c>
      <c r="CX53" s="52" t="n">
        <v>0.1</v>
      </c>
      <c r="CY53" s="52" t="n">
        <v>0.24</v>
      </c>
      <c r="CZ53" s="52" t="n">
        <v>0.11</v>
      </c>
      <c r="DA53" s="52" t="n">
        <v>0.2</v>
      </c>
      <c r="DB53" s="52" t="n">
        <v>0.09</v>
      </c>
      <c r="DC53" s="52" t="n">
        <v>0.11</v>
      </c>
      <c r="DD53" s="52" t="n">
        <v>0.16</v>
      </c>
      <c r="DE53" s="52" t="n">
        <v>0.05</v>
      </c>
      <c r="DF53" s="52" t="n">
        <v>0.12</v>
      </c>
      <c r="DG53" s="52" t="n">
        <v>0.13</v>
      </c>
      <c r="DH53" s="52" t="n">
        <v>-0.07</v>
      </c>
      <c r="DI53" s="52" t="n">
        <v>0.25</v>
      </c>
      <c r="DJ53" s="52" t="n">
        <v>0.26</v>
      </c>
      <c r="DK53" s="52" t="n">
        <v>0.24</v>
      </c>
      <c r="DL53" s="52" t="n">
        <v>0.03</v>
      </c>
      <c r="DM53" s="52" t="n">
        <v>0.28</v>
      </c>
      <c r="DN53" s="52" t="n">
        <v>0.17</v>
      </c>
      <c r="DO53" s="52" t="n">
        <v>0.08</v>
      </c>
      <c r="DP53" s="52" t="n">
        <v>0.25</v>
      </c>
      <c r="DQ53" s="52" t="n">
        <v>-0.01</v>
      </c>
      <c r="DR53" s="52" t="n">
        <v>0.08</v>
      </c>
      <c r="DS53" s="52" t="n">
        <v>0.02</v>
      </c>
      <c r="DT53" s="52" t="n">
        <v>-0.09</v>
      </c>
      <c r="DU53" s="52" t="n">
        <v>0.07</v>
      </c>
      <c r="DV53" s="52" t="n">
        <v>0.07</v>
      </c>
      <c r="DW53" s="52" t="n">
        <v>0.01</v>
      </c>
      <c r="DX53" s="52" t="n">
        <v>0.02</v>
      </c>
      <c r="DY53" s="52" t="n">
        <v>0.05</v>
      </c>
      <c r="DZ53" s="52" t="n">
        <v>0.04</v>
      </c>
      <c r="EA53" s="52" t="n">
        <v>0.11</v>
      </c>
      <c r="EB53" s="52" t="n">
        <v>0.1</v>
      </c>
      <c r="EC53" s="52" t="n">
        <v>-0.13</v>
      </c>
      <c r="ED53" s="52" t="n">
        <v>0.18</v>
      </c>
      <c r="EE53" s="52" t="n">
        <v>-0.03</v>
      </c>
      <c r="EF53" s="52" t="n">
        <v>-0.03</v>
      </c>
      <c r="EG53" s="52" t="n">
        <v>-0.03</v>
      </c>
      <c r="EH53" s="52" t="n">
        <v>0.03</v>
      </c>
      <c r="EI53" s="52" t="n">
        <v>-0.11</v>
      </c>
      <c r="EJ53" s="52" t="n">
        <v>0.23</v>
      </c>
      <c r="EK53" s="52" t="n">
        <v>0.11</v>
      </c>
      <c r="EL53" s="52" t="n">
        <v>0</v>
      </c>
      <c r="EM53" s="52" t="n">
        <v>0.03</v>
      </c>
      <c r="EN53" s="52" t="n">
        <v>0.23</v>
      </c>
      <c r="EO53" s="52" t="n">
        <v>0.07</v>
      </c>
    </row>
    <row r="54" customFormat="false" ht="15" hidden="false" customHeight="false" outlineLevel="0" collapsed="false">
      <c r="A54" s="51" t="s">
        <v>200</v>
      </c>
      <c r="B54" s="52" t="n">
        <v>0.27</v>
      </c>
      <c r="C54" s="52" t="n">
        <v>0.12</v>
      </c>
      <c r="D54" s="52" t="n">
        <v>-0.03</v>
      </c>
      <c r="E54" s="52" t="n">
        <v>0.1</v>
      </c>
      <c r="F54" s="52" t="n">
        <v>0.34</v>
      </c>
      <c r="G54" s="52" t="n">
        <v>0.03</v>
      </c>
      <c r="H54" s="52" t="n">
        <v>0</v>
      </c>
      <c r="I54" s="52" t="n">
        <v>0.37</v>
      </c>
      <c r="J54" s="52" t="n">
        <v>0.21</v>
      </c>
      <c r="K54" s="52" t="n">
        <v>0.28</v>
      </c>
      <c r="L54" s="52" t="n">
        <v>0.27</v>
      </c>
      <c r="M54" s="52" t="n">
        <v>0.37</v>
      </c>
      <c r="N54" s="52" t="n">
        <v>0.28</v>
      </c>
      <c r="O54" s="52" t="n">
        <v>0.01</v>
      </c>
      <c r="P54" s="52" t="n">
        <v>0.31</v>
      </c>
      <c r="Q54" s="52" t="n">
        <v>-0.07</v>
      </c>
      <c r="R54" s="52" t="n">
        <v>0.31</v>
      </c>
      <c r="S54" s="52" t="n">
        <v>0.04</v>
      </c>
      <c r="T54" s="52" t="n">
        <v>0.26</v>
      </c>
      <c r="U54" s="52" t="n">
        <v>0.03</v>
      </c>
      <c r="V54" s="52" t="n">
        <v>0.08</v>
      </c>
      <c r="W54" s="52" t="n">
        <v>0.15</v>
      </c>
      <c r="X54" s="52" t="n">
        <v>0.27</v>
      </c>
      <c r="Y54" s="52" t="n">
        <v>0.45</v>
      </c>
      <c r="Z54" s="52" t="n">
        <v>0.02</v>
      </c>
      <c r="AA54" s="52" t="n">
        <v>0.13</v>
      </c>
      <c r="AB54" s="52" t="n">
        <v>0.39</v>
      </c>
      <c r="AC54" s="52" t="n">
        <v>-0.02</v>
      </c>
      <c r="AD54" s="52" t="n">
        <v>0.08</v>
      </c>
      <c r="AE54" s="52" t="n">
        <v>0.08</v>
      </c>
      <c r="AF54" s="52" t="n">
        <v>0.04</v>
      </c>
      <c r="AG54" s="52" t="n">
        <v>0.11</v>
      </c>
      <c r="AH54" s="52" t="n">
        <v>0.12</v>
      </c>
      <c r="AI54" s="52" t="n">
        <v>0.06</v>
      </c>
      <c r="AJ54" s="52" t="n">
        <v>-0.04</v>
      </c>
      <c r="AK54" s="52" t="n">
        <v>0.08</v>
      </c>
      <c r="AL54" s="52" t="n">
        <v>0.23</v>
      </c>
      <c r="AM54" s="52" t="n">
        <v>0.07</v>
      </c>
      <c r="AN54" s="52" t="n">
        <v>0.38</v>
      </c>
      <c r="AO54" s="52" t="n">
        <v>0.2</v>
      </c>
      <c r="AP54" s="52" t="n">
        <v>0.27</v>
      </c>
      <c r="AQ54" s="52" t="n">
        <v>0.05</v>
      </c>
      <c r="AR54" s="52" t="n">
        <v>0.19</v>
      </c>
      <c r="AS54" s="52" t="n">
        <v>0.01</v>
      </c>
      <c r="AT54" s="52" t="n">
        <v>0.36</v>
      </c>
      <c r="AU54" s="52" t="n">
        <v>0.24</v>
      </c>
      <c r="AV54" s="52" t="n">
        <v>0.13</v>
      </c>
      <c r="AW54" s="52" t="n">
        <v>0.15</v>
      </c>
      <c r="AX54" s="52" t="n">
        <v>0.24</v>
      </c>
      <c r="AY54" s="52" t="n">
        <v>1</v>
      </c>
      <c r="AZ54" s="52" t="n">
        <v>0.18</v>
      </c>
      <c r="BA54" s="52" t="n">
        <v>0.29</v>
      </c>
      <c r="BB54" s="52" t="n">
        <v>0.25</v>
      </c>
      <c r="BC54" s="52" t="n">
        <v>0.04</v>
      </c>
      <c r="BD54" s="52" t="n">
        <v>0.02</v>
      </c>
      <c r="BE54" s="52" t="n">
        <v>0.27</v>
      </c>
      <c r="BF54" s="52" t="n">
        <v>0.03</v>
      </c>
      <c r="BG54" s="52" t="n">
        <v>0.23</v>
      </c>
      <c r="BH54" s="52" t="n">
        <v>0.07</v>
      </c>
      <c r="BI54" s="52" t="n">
        <v>0.01</v>
      </c>
      <c r="BJ54" s="52" t="n">
        <v>-0.07</v>
      </c>
      <c r="BK54" s="52" t="n">
        <v>0.08</v>
      </c>
      <c r="BL54" s="52" t="n">
        <v>0.16</v>
      </c>
      <c r="BM54" s="52" t="n">
        <v>0.41</v>
      </c>
      <c r="BN54" s="52" t="n">
        <v>0.21</v>
      </c>
      <c r="BO54" s="52" t="n">
        <v>0.14</v>
      </c>
      <c r="BP54" s="52" t="n">
        <v>0.14</v>
      </c>
      <c r="BQ54" s="52" t="n">
        <v>0.2</v>
      </c>
      <c r="BR54" s="52" t="n">
        <v>0.36</v>
      </c>
      <c r="BS54" s="52" t="n">
        <v>0</v>
      </c>
      <c r="BT54" s="52" t="n">
        <v>0.21</v>
      </c>
      <c r="BU54" s="52" t="n">
        <v>0.06</v>
      </c>
      <c r="BV54" s="52" t="n">
        <v>0.2</v>
      </c>
      <c r="BW54" s="52" t="n">
        <v>0.27</v>
      </c>
      <c r="BX54" s="52" t="n">
        <v>0.17</v>
      </c>
      <c r="BY54" s="52" t="n">
        <v>0.26</v>
      </c>
      <c r="BZ54" s="52" t="n">
        <v>0.21</v>
      </c>
      <c r="CA54" s="52" t="n">
        <v>0.01</v>
      </c>
      <c r="CB54" s="52" t="n">
        <v>-0.02</v>
      </c>
      <c r="CC54" s="52" t="n">
        <v>0.27</v>
      </c>
      <c r="CD54" s="52" t="n">
        <v>0.22</v>
      </c>
      <c r="CE54" s="52" t="n">
        <v>0.18</v>
      </c>
      <c r="CF54" s="52" t="n">
        <v>0.04</v>
      </c>
      <c r="CG54" s="52" t="n">
        <v>0.31</v>
      </c>
      <c r="CH54" s="52" t="n">
        <v>0.15</v>
      </c>
      <c r="CI54" s="52" t="n">
        <v>0.06</v>
      </c>
      <c r="CJ54" s="52" t="n">
        <v>0.12</v>
      </c>
      <c r="CK54" s="52" t="n">
        <v>0.3</v>
      </c>
      <c r="CL54" s="52" t="n">
        <v>0.2</v>
      </c>
      <c r="CM54" s="52" t="n">
        <v>0.04</v>
      </c>
      <c r="CN54" s="52" t="n">
        <v>0.06</v>
      </c>
      <c r="CO54" s="52" t="n">
        <v>0.14</v>
      </c>
      <c r="CP54" s="52" t="n">
        <v>0.13</v>
      </c>
      <c r="CQ54" s="52" t="n">
        <v>0.37</v>
      </c>
      <c r="CR54" s="52" t="n">
        <v>0.15</v>
      </c>
      <c r="CS54" s="52" t="n">
        <v>0.19</v>
      </c>
      <c r="CT54" s="52" t="n">
        <v>0.19</v>
      </c>
      <c r="CU54" s="52" t="n">
        <v>0.03</v>
      </c>
      <c r="CV54" s="52" t="n">
        <v>0.13</v>
      </c>
      <c r="CW54" s="52" t="n">
        <v>0.19</v>
      </c>
      <c r="CX54" s="52" t="n">
        <v>0.2</v>
      </c>
      <c r="CY54" s="52" t="n">
        <v>0.3</v>
      </c>
      <c r="CZ54" s="52" t="n">
        <v>0.15</v>
      </c>
      <c r="DA54" s="52" t="n">
        <v>0.17</v>
      </c>
      <c r="DB54" s="52" t="n">
        <v>0.1</v>
      </c>
      <c r="DC54" s="52" t="n">
        <v>0.12</v>
      </c>
      <c r="DD54" s="52" t="n">
        <v>0.29</v>
      </c>
      <c r="DE54" s="52" t="n">
        <v>0.15</v>
      </c>
      <c r="DF54" s="52" t="n">
        <v>0.08</v>
      </c>
      <c r="DG54" s="52" t="n">
        <v>0.1</v>
      </c>
      <c r="DH54" s="52" t="n">
        <v>0.14</v>
      </c>
      <c r="DI54" s="52" t="n">
        <v>0.33</v>
      </c>
      <c r="DJ54" s="52" t="n">
        <v>0.33</v>
      </c>
      <c r="DK54" s="52" t="n">
        <v>0.37</v>
      </c>
      <c r="DL54" s="52" t="n">
        <v>-0.01</v>
      </c>
      <c r="DM54" s="52" t="n">
        <v>0.37</v>
      </c>
      <c r="DN54" s="52" t="n">
        <v>0.34</v>
      </c>
      <c r="DO54" s="52" t="n">
        <v>0.12</v>
      </c>
      <c r="DP54" s="52" t="n">
        <v>0.33</v>
      </c>
      <c r="DQ54" s="52" t="n">
        <v>0.04</v>
      </c>
      <c r="DR54" s="52" t="n">
        <v>0.09</v>
      </c>
      <c r="DS54" s="52" t="n">
        <v>0.08</v>
      </c>
      <c r="DT54" s="52" t="n">
        <v>-0.03</v>
      </c>
      <c r="DU54" s="52" t="n">
        <v>0.11</v>
      </c>
      <c r="DV54" s="52" t="n">
        <v>0.13</v>
      </c>
      <c r="DW54" s="52" t="n">
        <v>0.2</v>
      </c>
      <c r="DX54" s="52" t="n">
        <v>0.15</v>
      </c>
      <c r="DY54" s="52" t="n">
        <v>0.31</v>
      </c>
      <c r="DZ54" s="52" t="n">
        <v>0.04</v>
      </c>
      <c r="EA54" s="52" t="n">
        <v>0.2</v>
      </c>
      <c r="EB54" s="52" t="n">
        <v>0.2</v>
      </c>
      <c r="EC54" s="52" t="n">
        <v>-0.03</v>
      </c>
      <c r="ED54" s="52" t="n">
        <v>0.14</v>
      </c>
      <c r="EE54" s="52" t="n">
        <v>0.09</v>
      </c>
      <c r="EF54" s="52" t="n">
        <v>0.18</v>
      </c>
      <c r="EG54" s="52" t="n">
        <v>0.18</v>
      </c>
      <c r="EH54" s="52" t="n">
        <v>0.14</v>
      </c>
      <c r="EI54" s="52" t="n">
        <v>0.08</v>
      </c>
      <c r="EJ54" s="52" t="n">
        <v>0.14</v>
      </c>
      <c r="EK54" s="52" t="n">
        <v>0.14</v>
      </c>
      <c r="EL54" s="52" t="n">
        <v>0.13</v>
      </c>
      <c r="EM54" s="52" t="n">
        <v>0.08</v>
      </c>
      <c r="EN54" s="52" t="n">
        <v>0.09</v>
      </c>
      <c r="EO54" s="52" t="n">
        <v>0.04</v>
      </c>
    </row>
    <row r="55" customFormat="false" ht="15" hidden="false" customHeight="false" outlineLevel="0" collapsed="false">
      <c r="A55" s="51" t="s">
        <v>124</v>
      </c>
      <c r="B55" s="52" t="n">
        <v>0.03</v>
      </c>
      <c r="C55" s="52" t="n">
        <v>0.08</v>
      </c>
      <c r="D55" s="52" t="n">
        <v>0.2</v>
      </c>
      <c r="E55" s="52" t="n">
        <v>0.23</v>
      </c>
      <c r="F55" s="52" t="n">
        <v>-0.02</v>
      </c>
      <c r="G55" s="52" t="n">
        <v>0.11</v>
      </c>
      <c r="H55" s="52" t="n">
        <v>0.28</v>
      </c>
      <c r="I55" s="52" t="n">
        <v>0.08</v>
      </c>
      <c r="J55" s="52" t="n">
        <v>-0.04</v>
      </c>
      <c r="K55" s="52" t="n">
        <v>0.05</v>
      </c>
      <c r="L55" s="52" t="n">
        <v>0.26</v>
      </c>
      <c r="M55" s="52" t="n">
        <v>0.27</v>
      </c>
      <c r="N55" s="52" t="n">
        <v>0.12</v>
      </c>
      <c r="O55" s="52" t="n">
        <v>0.27</v>
      </c>
      <c r="P55" s="52" t="n">
        <v>0.07</v>
      </c>
      <c r="Q55" s="52" t="n">
        <v>0.1</v>
      </c>
      <c r="R55" s="52" t="n">
        <v>0.01</v>
      </c>
      <c r="S55" s="52" t="n">
        <v>0.28</v>
      </c>
      <c r="T55" s="52" t="n">
        <v>0.14</v>
      </c>
      <c r="U55" s="52" t="n">
        <v>0.29</v>
      </c>
      <c r="V55" s="52" t="n">
        <v>0.27</v>
      </c>
      <c r="W55" s="52" t="n">
        <v>0.13</v>
      </c>
      <c r="X55" s="52" t="n">
        <v>0.15</v>
      </c>
      <c r="Y55" s="52" t="n">
        <v>0.16</v>
      </c>
      <c r="Z55" s="52" t="n">
        <v>0.24</v>
      </c>
      <c r="AA55" s="52" t="n">
        <v>0.3</v>
      </c>
      <c r="AB55" s="52" t="n">
        <v>0.09</v>
      </c>
      <c r="AC55" s="52" t="n">
        <v>0.13</v>
      </c>
      <c r="AD55" s="52" t="n">
        <v>0.17</v>
      </c>
      <c r="AE55" s="52" t="n">
        <v>0.65</v>
      </c>
      <c r="AF55" s="52" t="n">
        <v>0.41</v>
      </c>
      <c r="AG55" s="52" t="n">
        <v>-0.03</v>
      </c>
      <c r="AH55" s="52" t="n">
        <v>-0.05</v>
      </c>
      <c r="AI55" s="52" t="n">
        <v>-0.25</v>
      </c>
      <c r="AJ55" s="52" t="n">
        <v>0.21</v>
      </c>
      <c r="AK55" s="52" t="n">
        <v>0.34</v>
      </c>
      <c r="AL55" s="52" t="n">
        <v>0.13</v>
      </c>
      <c r="AM55" s="52" t="n">
        <v>0.2</v>
      </c>
      <c r="AN55" s="52" t="n">
        <v>0.26</v>
      </c>
      <c r="AO55" s="52" t="n">
        <v>0</v>
      </c>
      <c r="AP55" s="52" t="n">
        <v>0.09</v>
      </c>
      <c r="AQ55" s="52" t="n">
        <v>-0.19</v>
      </c>
      <c r="AR55" s="52" t="n">
        <v>0.11</v>
      </c>
      <c r="AS55" s="52" t="n">
        <v>0.27</v>
      </c>
      <c r="AT55" s="52" t="n">
        <v>0.2</v>
      </c>
      <c r="AU55" s="52" t="n">
        <v>0.02</v>
      </c>
      <c r="AV55" s="52" t="n">
        <v>0.19</v>
      </c>
      <c r="AW55" s="52" t="n">
        <v>0.3</v>
      </c>
      <c r="AX55" s="52" t="n">
        <v>0.04</v>
      </c>
      <c r="AY55" s="52" t="n">
        <v>0.18</v>
      </c>
      <c r="AZ55" s="52" t="n">
        <v>1</v>
      </c>
      <c r="BA55" s="52" t="n">
        <v>0.21</v>
      </c>
      <c r="BB55" s="52" t="n">
        <v>0.23</v>
      </c>
      <c r="BC55" s="52" t="n">
        <v>0.17</v>
      </c>
      <c r="BD55" s="52" t="n">
        <v>0.38</v>
      </c>
      <c r="BE55" s="52" t="n">
        <v>0.12</v>
      </c>
      <c r="BF55" s="52" t="n">
        <v>0.26</v>
      </c>
      <c r="BG55" s="52" t="n">
        <v>0.12</v>
      </c>
      <c r="BH55" s="52" t="n">
        <v>0.2</v>
      </c>
      <c r="BI55" s="52" t="n">
        <v>0.18</v>
      </c>
      <c r="BJ55" s="52" t="n">
        <v>0.1</v>
      </c>
      <c r="BK55" s="52" t="n">
        <v>0.68</v>
      </c>
      <c r="BL55" s="52" t="n">
        <v>0.17</v>
      </c>
      <c r="BM55" s="52" t="n">
        <v>0.1</v>
      </c>
      <c r="BN55" s="52" t="n">
        <v>-0.04</v>
      </c>
      <c r="BO55" s="52" t="n">
        <v>0.09</v>
      </c>
      <c r="BP55" s="52" t="n">
        <v>0.04</v>
      </c>
      <c r="BQ55" s="52" t="n">
        <v>0.33</v>
      </c>
      <c r="BR55" s="52" t="n">
        <v>0.18</v>
      </c>
      <c r="BS55" s="52" t="n">
        <v>-0.21</v>
      </c>
      <c r="BT55" s="52" t="n">
        <v>0.23</v>
      </c>
      <c r="BU55" s="52" t="n">
        <v>0.24</v>
      </c>
      <c r="BV55" s="52" t="n">
        <v>0.1</v>
      </c>
      <c r="BW55" s="52" t="n">
        <v>0.09</v>
      </c>
      <c r="BX55" s="52" t="n">
        <v>0</v>
      </c>
      <c r="BY55" s="52" t="n">
        <v>0.16</v>
      </c>
      <c r="BZ55" s="52" t="n">
        <v>0.17</v>
      </c>
      <c r="CA55" s="52" t="n">
        <v>0.34</v>
      </c>
      <c r="CB55" s="52" t="n">
        <v>-0.02</v>
      </c>
      <c r="CC55" s="52" t="n">
        <v>-0.03</v>
      </c>
      <c r="CD55" s="52" t="n">
        <v>0.08</v>
      </c>
      <c r="CE55" s="52" t="n">
        <v>0.16</v>
      </c>
      <c r="CF55" s="52" t="n">
        <v>-0.18</v>
      </c>
      <c r="CG55" s="52" t="n">
        <v>0.17</v>
      </c>
      <c r="CH55" s="52" t="n">
        <v>0.36</v>
      </c>
      <c r="CI55" s="52" t="n">
        <v>-0.22</v>
      </c>
      <c r="CJ55" s="52" t="n">
        <v>-0.07</v>
      </c>
      <c r="CK55" s="52" t="n">
        <v>0.1</v>
      </c>
      <c r="CL55" s="52" t="n">
        <v>0.14</v>
      </c>
      <c r="CM55" s="52" t="n">
        <v>0.16</v>
      </c>
      <c r="CN55" s="52" t="n">
        <v>0.15</v>
      </c>
      <c r="CO55" s="52" t="n">
        <v>0.16</v>
      </c>
      <c r="CP55" s="52" t="n">
        <v>0.05</v>
      </c>
      <c r="CQ55" s="52" t="n">
        <v>0.31</v>
      </c>
      <c r="CR55" s="52" t="n">
        <v>0.27</v>
      </c>
      <c r="CS55" s="52" t="n">
        <v>0.28</v>
      </c>
      <c r="CT55" s="52" t="n">
        <v>0.1</v>
      </c>
      <c r="CU55" s="52" t="n">
        <v>0.08</v>
      </c>
      <c r="CV55" s="52" t="n">
        <v>0.18</v>
      </c>
      <c r="CW55" s="52" t="n">
        <v>0.13</v>
      </c>
      <c r="CX55" s="52" t="n">
        <v>0.19</v>
      </c>
      <c r="CY55" s="52" t="n">
        <v>0.31</v>
      </c>
      <c r="CZ55" s="52" t="n">
        <v>0.12</v>
      </c>
      <c r="DA55" s="52" t="n">
        <v>0.09</v>
      </c>
      <c r="DB55" s="52" t="n">
        <v>0.18</v>
      </c>
      <c r="DC55" s="52" t="n">
        <v>0.41</v>
      </c>
      <c r="DD55" s="52" t="n">
        <v>0.23</v>
      </c>
      <c r="DE55" s="52" t="n">
        <v>0.31</v>
      </c>
      <c r="DF55" s="52" t="n">
        <v>-0.08</v>
      </c>
      <c r="DG55" s="52" t="n">
        <v>0.25</v>
      </c>
      <c r="DH55" s="52" t="n">
        <v>0.25</v>
      </c>
      <c r="DI55" s="52" t="n">
        <v>0.28</v>
      </c>
      <c r="DJ55" s="52" t="n">
        <v>0.18</v>
      </c>
      <c r="DK55" s="52" t="n">
        <v>0.34</v>
      </c>
      <c r="DL55" s="52" t="n">
        <v>0.23</v>
      </c>
      <c r="DM55" s="52" t="n">
        <v>0.28</v>
      </c>
      <c r="DN55" s="52" t="n">
        <v>0.08</v>
      </c>
      <c r="DO55" s="52" t="n">
        <v>0.23</v>
      </c>
      <c r="DP55" s="52" t="n">
        <v>0.21</v>
      </c>
      <c r="DQ55" s="52" t="n">
        <v>0.18</v>
      </c>
      <c r="DR55" s="52" t="n">
        <v>0.06</v>
      </c>
      <c r="DS55" s="52" t="n">
        <v>-0.1</v>
      </c>
      <c r="DT55" s="52" t="n">
        <v>0</v>
      </c>
      <c r="DU55" s="52" t="n">
        <v>0.16</v>
      </c>
      <c r="DV55" s="52" t="n">
        <v>0.05</v>
      </c>
      <c r="DW55" s="52" t="n">
        <v>0.12</v>
      </c>
      <c r="DX55" s="52" t="n">
        <v>0.34</v>
      </c>
      <c r="DY55" s="52" t="n">
        <v>0.17</v>
      </c>
      <c r="DZ55" s="52" t="n">
        <v>0.01</v>
      </c>
      <c r="EA55" s="52" t="n">
        <v>0.2</v>
      </c>
      <c r="EB55" s="52" t="n">
        <v>0.14</v>
      </c>
      <c r="EC55" s="52" t="n">
        <v>0.1</v>
      </c>
      <c r="ED55" s="52" t="n">
        <v>0.3</v>
      </c>
      <c r="EE55" s="52" t="n">
        <v>0.24</v>
      </c>
      <c r="EF55" s="52" t="n">
        <v>0.14</v>
      </c>
      <c r="EG55" s="52" t="n">
        <v>0.24</v>
      </c>
      <c r="EH55" s="52" t="n">
        <v>-0.01</v>
      </c>
      <c r="EI55" s="52" t="n">
        <v>0.28</v>
      </c>
      <c r="EJ55" s="52" t="n">
        <v>0.21</v>
      </c>
      <c r="EK55" s="52" t="n">
        <v>0.14</v>
      </c>
      <c r="EL55" s="52" t="n">
        <v>0.24</v>
      </c>
      <c r="EM55" s="52" t="n">
        <v>-0.04</v>
      </c>
      <c r="EN55" s="52" t="n">
        <v>0.11</v>
      </c>
      <c r="EO55" s="52" t="n">
        <v>-0.04</v>
      </c>
    </row>
    <row r="56" customFormat="false" ht="15" hidden="false" customHeight="false" outlineLevel="0" collapsed="false">
      <c r="A56" s="51" t="s">
        <v>201</v>
      </c>
      <c r="B56" s="52" t="n">
        <v>0.19</v>
      </c>
      <c r="C56" s="52" t="n">
        <v>0.06</v>
      </c>
      <c r="D56" s="52" t="n">
        <v>-0.03</v>
      </c>
      <c r="E56" s="52" t="n">
        <v>0.18</v>
      </c>
      <c r="F56" s="52" t="n">
        <v>0.21</v>
      </c>
      <c r="G56" s="52" t="n">
        <v>0.01</v>
      </c>
      <c r="H56" s="52" t="n">
        <v>0.08</v>
      </c>
      <c r="I56" s="52" t="n">
        <v>0.22</v>
      </c>
      <c r="J56" s="52" t="n">
        <v>0.2</v>
      </c>
      <c r="K56" s="52" t="n">
        <v>0.3</v>
      </c>
      <c r="L56" s="52" t="n">
        <v>0.25</v>
      </c>
      <c r="M56" s="52" t="n">
        <v>0.37</v>
      </c>
      <c r="N56" s="52" t="n">
        <v>0.29</v>
      </c>
      <c r="O56" s="52" t="n">
        <v>0.22</v>
      </c>
      <c r="P56" s="52" t="n">
        <v>0.16</v>
      </c>
      <c r="Q56" s="52" t="n">
        <v>0.03</v>
      </c>
      <c r="R56" s="52" t="n">
        <v>0.29</v>
      </c>
      <c r="S56" s="52" t="n">
        <v>0.12</v>
      </c>
      <c r="T56" s="52" t="n">
        <v>0.33</v>
      </c>
      <c r="U56" s="52" t="n">
        <v>0.22</v>
      </c>
      <c r="V56" s="52" t="n">
        <v>0.09</v>
      </c>
      <c r="W56" s="52" t="n">
        <v>0.06</v>
      </c>
      <c r="X56" s="52" t="n">
        <v>0.38</v>
      </c>
      <c r="Y56" s="52" t="n">
        <v>0.17</v>
      </c>
      <c r="Z56" s="52" t="n">
        <v>0.19</v>
      </c>
      <c r="AA56" s="52" t="n">
        <v>0.22</v>
      </c>
      <c r="AB56" s="52" t="n">
        <v>0.16</v>
      </c>
      <c r="AC56" s="52" t="n">
        <v>0.06</v>
      </c>
      <c r="AD56" s="52" t="n">
        <v>0.19</v>
      </c>
      <c r="AE56" s="52" t="n">
        <v>0.22</v>
      </c>
      <c r="AF56" s="52" t="n">
        <v>0.07</v>
      </c>
      <c r="AG56" s="52" t="n">
        <v>0.19</v>
      </c>
      <c r="AH56" s="52" t="n">
        <v>0.24</v>
      </c>
      <c r="AI56" s="52" t="n">
        <v>0.01</v>
      </c>
      <c r="AJ56" s="52" t="n">
        <v>0.1</v>
      </c>
      <c r="AK56" s="52" t="n">
        <v>0.23</v>
      </c>
      <c r="AL56" s="52" t="n">
        <v>0.19</v>
      </c>
      <c r="AM56" s="52" t="n">
        <v>0.19</v>
      </c>
      <c r="AN56" s="52" t="n">
        <v>0.43</v>
      </c>
      <c r="AO56" s="52" t="n">
        <v>0.19</v>
      </c>
      <c r="AP56" s="52" t="n">
        <v>0.28</v>
      </c>
      <c r="AQ56" s="52" t="n">
        <v>-0.02</v>
      </c>
      <c r="AR56" s="52" t="n">
        <v>0.32</v>
      </c>
      <c r="AS56" s="52" t="n">
        <v>0.15</v>
      </c>
      <c r="AT56" s="52" t="n">
        <v>0.31</v>
      </c>
      <c r="AU56" s="52" t="n">
        <v>0.2</v>
      </c>
      <c r="AV56" s="52" t="n">
        <v>0.19</v>
      </c>
      <c r="AW56" s="52" t="n">
        <v>0.23</v>
      </c>
      <c r="AX56" s="52" t="n">
        <v>0.36</v>
      </c>
      <c r="AY56" s="52" t="n">
        <v>0.29</v>
      </c>
      <c r="AZ56" s="52" t="n">
        <v>0.21</v>
      </c>
      <c r="BA56" s="52" t="n">
        <v>1</v>
      </c>
      <c r="BB56" s="52" t="n">
        <v>0.35</v>
      </c>
      <c r="BC56" s="52" t="n">
        <v>0.15</v>
      </c>
      <c r="BD56" s="52" t="n">
        <v>0.29</v>
      </c>
      <c r="BE56" s="52" t="n">
        <v>0.28</v>
      </c>
      <c r="BF56" s="52" t="n">
        <v>0.15</v>
      </c>
      <c r="BG56" s="52" t="n">
        <v>0.22</v>
      </c>
      <c r="BH56" s="52" t="n">
        <v>0.09</v>
      </c>
      <c r="BI56" s="52" t="n">
        <v>0.09</v>
      </c>
      <c r="BJ56" s="52" t="n">
        <v>0.03</v>
      </c>
      <c r="BK56" s="52" t="n">
        <v>0.15</v>
      </c>
      <c r="BL56" s="52" t="n">
        <v>0.35</v>
      </c>
      <c r="BM56" s="52" t="n">
        <v>0.28</v>
      </c>
      <c r="BN56" s="52" t="n">
        <v>0.27</v>
      </c>
      <c r="BO56" s="52" t="n">
        <v>0.25</v>
      </c>
      <c r="BP56" s="52" t="n">
        <v>0</v>
      </c>
      <c r="BQ56" s="52" t="n">
        <v>0.34</v>
      </c>
      <c r="BR56" s="52" t="n">
        <v>0.29</v>
      </c>
      <c r="BS56" s="52" t="n">
        <v>-0.03</v>
      </c>
      <c r="BT56" s="52" t="n">
        <v>0.33</v>
      </c>
      <c r="BU56" s="52" t="n">
        <v>0.17</v>
      </c>
      <c r="BV56" s="52" t="n">
        <v>0.18</v>
      </c>
      <c r="BW56" s="52" t="n">
        <v>0.24</v>
      </c>
      <c r="BX56" s="52" t="n">
        <v>0.18</v>
      </c>
      <c r="BY56" s="52" t="n">
        <v>0.42</v>
      </c>
      <c r="BZ56" s="52" t="n">
        <v>0.23</v>
      </c>
      <c r="CA56" s="52" t="n">
        <v>0.05</v>
      </c>
      <c r="CB56" s="52" t="n">
        <v>0.01</v>
      </c>
      <c r="CC56" s="52" t="n">
        <v>0.1</v>
      </c>
      <c r="CD56" s="52" t="n">
        <v>0.21</v>
      </c>
      <c r="CE56" s="52" t="n">
        <v>0.17</v>
      </c>
      <c r="CF56" s="52" t="n">
        <v>-0.02</v>
      </c>
      <c r="CG56" s="52" t="n">
        <v>0.26</v>
      </c>
      <c r="CH56" s="52" t="n">
        <v>0.28</v>
      </c>
      <c r="CI56" s="52" t="n">
        <v>-0.02</v>
      </c>
      <c r="CJ56" s="52" t="n">
        <v>0.05</v>
      </c>
      <c r="CK56" s="52" t="n">
        <v>0.3</v>
      </c>
      <c r="CL56" s="52" t="n">
        <v>0.35</v>
      </c>
      <c r="CM56" s="52" t="n">
        <v>0.12</v>
      </c>
      <c r="CN56" s="52" t="n">
        <v>0.03</v>
      </c>
      <c r="CO56" s="52" t="n">
        <v>0.11</v>
      </c>
      <c r="CP56" s="52" t="n">
        <v>0.1</v>
      </c>
      <c r="CQ56" s="52" t="n">
        <v>0.41</v>
      </c>
      <c r="CR56" s="52" t="n">
        <v>0.23</v>
      </c>
      <c r="CS56" s="52" t="n">
        <v>0.41</v>
      </c>
      <c r="CT56" s="52" t="n">
        <v>0.17</v>
      </c>
      <c r="CU56" s="52" t="n">
        <v>0.03</v>
      </c>
      <c r="CV56" s="52" t="n">
        <v>0.05</v>
      </c>
      <c r="CW56" s="52" t="n">
        <v>0.15</v>
      </c>
      <c r="CX56" s="52" t="n">
        <v>0.22</v>
      </c>
      <c r="CY56" s="52" t="n">
        <v>0.39</v>
      </c>
      <c r="CZ56" s="52" t="n">
        <v>0.05</v>
      </c>
      <c r="DA56" s="52" t="n">
        <v>0.06</v>
      </c>
      <c r="DB56" s="52" t="n">
        <v>0.16</v>
      </c>
      <c r="DC56" s="52" t="n">
        <v>0.23</v>
      </c>
      <c r="DD56" s="52" t="n">
        <v>0.19</v>
      </c>
      <c r="DE56" s="52" t="n">
        <v>0.23</v>
      </c>
      <c r="DF56" s="52" t="n">
        <v>0.02</v>
      </c>
      <c r="DG56" s="52" t="n">
        <v>0.18</v>
      </c>
      <c r="DH56" s="52" t="n">
        <v>0.13</v>
      </c>
      <c r="DI56" s="52" t="n">
        <v>0.34</v>
      </c>
      <c r="DJ56" s="52" t="n">
        <v>0.32</v>
      </c>
      <c r="DK56" s="52" t="n">
        <v>0.43</v>
      </c>
      <c r="DL56" s="52" t="n">
        <v>0.11</v>
      </c>
      <c r="DM56" s="52" t="n">
        <v>0.43</v>
      </c>
      <c r="DN56" s="52" t="n">
        <v>0.23</v>
      </c>
      <c r="DO56" s="52" t="n">
        <v>0.27</v>
      </c>
      <c r="DP56" s="52" t="n">
        <v>0.37</v>
      </c>
      <c r="DQ56" s="52" t="n">
        <v>0.26</v>
      </c>
      <c r="DR56" s="52" t="n">
        <v>0.13</v>
      </c>
      <c r="DS56" s="52" t="n">
        <v>0.01</v>
      </c>
      <c r="DT56" s="52" t="n">
        <v>0.04</v>
      </c>
      <c r="DU56" s="52" t="n">
        <v>0.17</v>
      </c>
      <c r="DV56" s="52" t="n">
        <v>0.06</v>
      </c>
      <c r="DW56" s="52" t="n">
        <v>0.1</v>
      </c>
      <c r="DX56" s="52" t="n">
        <v>0.27</v>
      </c>
      <c r="DY56" s="52" t="n">
        <v>0.21</v>
      </c>
      <c r="DZ56" s="52" t="n">
        <v>0</v>
      </c>
      <c r="EA56" s="52" t="n">
        <v>0.17</v>
      </c>
      <c r="EB56" s="52" t="n">
        <v>0.23</v>
      </c>
      <c r="EC56" s="52" t="n">
        <v>0</v>
      </c>
      <c r="ED56" s="52" t="n">
        <v>0.18</v>
      </c>
      <c r="EE56" s="52" t="n">
        <v>0.17</v>
      </c>
      <c r="EF56" s="52" t="n">
        <v>0.18</v>
      </c>
      <c r="EG56" s="52" t="n">
        <v>0.18</v>
      </c>
      <c r="EH56" s="52" t="n">
        <v>0.01</v>
      </c>
      <c r="EI56" s="52" t="n">
        <v>0.19</v>
      </c>
      <c r="EJ56" s="52" t="n">
        <v>0.16</v>
      </c>
      <c r="EK56" s="52" t="n">
        <v>0.17</v>
      </c>
      <c r="EL56" s="52" t="n">
        <v>0.16</v>
      </c>
      <c r="EM56" s="52" t="n">
        <v>0.18</v>
      </c>
      <c r="EN56" s="52" t="n">
        <v>0.06</v>
      </c>
      <c r="EO56" s="52" t="n">
        <v>0.11</v>
      </c>
    </row>
    <row r="57" customFormat="false" ht="15" hidden="false" customHeight="false" outlineLevel="0" collapsed="false">
      <c r="A57" s="51" t="s">
        <v>202</v>
      </c>
      <c r="B57" s="52" t="n">
        <v>0.16</v>
      </c>
      <c r="C57" s="52" t="n">
        <v>-0.07</v>
      </c>
      <c r="D57" s="52" t="n">
        <v>0.05</v>
      </c>
      <c r="E57" s="52" t="n">
        <v>0.12</v>
      </c>
      <c r="F57" s="52" t="n">
        <v>-0.08</v>
      </c>
      <c r="G57" s="52" t="n">
        <v>0.08</v>
      </c>
      <c r="H57" s="52" t="n">
        <v>0.03</v>
      </c>
      <c r="I57" s="52" t="n">
        <v>0.08</v>
      </c>
      <c r="J57" s="52" t="n">
        <v>0.02</v>
      </c>
      <c r="K57" s="52" t="n">
        <v>0</v>
      </c>
      <c r="L57" s="52" t="n">
        <v>0.05</v>
      </c>
      <c r="M57" s="52" t="n">
        <v>0.33</v>
      </c>
      <c r="N57" s="52" t="n">
        <v>0.19</v>
      </c>
      <c r="O57" s="52" t="n">
        <v>0.08</v>
      </c>
      <c r="P57" s="52" t="n">
        <v>0</v>
      </c>
      <c r="Q57" s="52" t="n">
        <v>0.05</v>
      </c>
      <c r="R57" s="52" t="n">
        <v>-0.01</v>
      </c>
      <c r="S57" s="52" t="n">
        <v>-0.03</v>
      </c>
      <c r="T57" s="52" t="n">
        <v>0.74</v>
      </c>
      <c r="U57" s="52" t="n">
        <v>0.18</v>
      </c>
      <c r="V57" s="52" t="n">
        <v>0.04</v>
      </c>
      <c r="W57" s="52" t="n">
        <v>0.09</v>
      </c>
      <c r="X57" s="52" t="n">
        <v>0.7</v>
      </c>
      <c r="Y57" s="52" t="n">
        <v>0.29</v>
      </c>
      <c r="Z57" s="52" t="n">
        <v>0.07</v>
      </c>
      <c r="AA57" s="52" t="n">
        <v>0.13</v>
      </c>
      <c r="AB57" s="52" t="n">
        <v>0.3</v>
      </c>
      <c r="AC57" s="52" t="n">
        <v>0.06</v>
      </c>
      <c r="AD57" s="52" t="n">
        <v>0</v>
      </c>
      <c r="AE57" s="52" t="n">
        <v>0.26</v>
      </c>
      <c r="AF57" s="52" t="n">
        <v>0.16</v>
      </c>
      <c r="AG57" s="52" t="n">
        <v>-0.04</v>
      </c>
      <c r="AH57" s="52" t="n">
        <v>-0.05</v>
      </c>
      <c r="AI57" s="52" t="n">
        <v>-0.09</v>
      </c>
      <c r="AJ57" s="52" t="n">
        <v>0.08</v>
      </c>
      <c r="AK57" s="52" t="n">
        <v>0.2</v>
      </c>
      <c r="AL57" s="52" t="n">
        <v>0.28</v>
      </c>
      <c r="AM57" s="52" t="n">
        <v>0.21</v>
      </c>
      <c r="AN57" s="52" t="n">
        <v>0.25</v>
      </c>
      <c r="AO57" s="52" t="n">
        <v>0.05</v>
      </c>
      <c r="AP57" s="52" t="n">
        <v>0.26</v>
      </c>
      <c r="AQ57" s="52" t="n">
        <v>-0.13</v>
      </c>
      <c r="AR57" s="52" t="n">
        <v>0.7</v>
      </c>
      <c r="AS57" s="52" t="n">
        <v>0.15</v>
      </c>
      <c r="AT57" s="52" t="n">
        <v>0.6</v>
      </c>
      <c r="AU57" s="52" t="n">
        <v>0</v>
      </c>
      <c r="AV57" s="52" t="n">
        <v>0.15</v>
      </c>
      <c r="AW57" s="52" t="n">
        <v>0.11</v>
      </c>
      <c r="AX57" s="52" t="n">
        <v>0.23</v>
      </c>
      <c r="AY57" s="52" t="n">
        <v>0.25</v>
      </c>
      <c r="AZ57" s="52" t="n">
        <v>0.23</v>
      </c>
      <c r="BA57" s="52" t="n">
        <v>0.35</v>
      </c>
      <c r="BB57" s="52" t="n">
        <v>1</v>
      </c>
      <c r="BC57" s="52" t="n">
        <v>0.15</v>
      </c>
      <c r="BD57" s="52" t="n">
        <v>0.16</v>
      </c>
      <c r="BE57" s="52" t="n">
        <v>0.11</v>
      </c>
      <c r="BF57" s="52" t="n">
        <v>0.19</v>
      </c>
      <c r="BG57" s="52" t="n">
        <v>0.26</v>
      </c>
      <c r="BH57" s="52" t="n">
        <v>0.14</v>
      </c>
      <c r="BI57" s="52" t="n">
        <v>0.11</v>
      </c>
      <c r="BJ57" s="52" t="n">
        <v>0.01</v>
      </c>
      <c r="BK57" s="52" t="n">
        <v>0.26</v>
      </c>
      <c r="BL57" s="52" t="n">
        <v>0.36</v>
      </c>
      <c r="BM57" s="52" t="n">
        <v>0.14</v>
      </c>
      <c r="BN57" s="52" t="n">
        <v>0.12</v>
      </c>
      <c r="BO57" s="52" t="n">
        <v>0.27</v>
      </c>
      <c r="BP57" s="52" t="n">
        <v>0.23</v>
      </c>
      <c r="BQ57" s="52" t="n">
        <v>0.31</v>
      </c>
      <c r="BR57" s="52" t="n">
        <v>0.41</v>
      </c>
      <c r="BS57" s="52" t="n">
        <v>-0.1</v>
      </c>
      <c r="BT57" s="52" t="n">
        <v>0.51</v>
      </c>
      <c r="BU57" s="52" t="n">
        <v>0.19</v>
      </c>
      <c r="BV57" s="52" t="n">
        <v>0.26</v>
      </c>
      <c r="BW57" s="52" t="n">
        <v>0.25</v>
      </c>
      <c r="BX57" s="52" t="n">
        <v>0.06</v>
      </c>
      <c r="BY57" s="52" t="n">
        <v>0.36</v>
      </c>
      <c r="BZ57" s="52" t="n">
        <v>0.36</v>
      </c>
      <c r="CA57" s="52" t="n">
        <v>0.08</v>
      </c>
      <c r="CB57" s="52" t="n">
        <v>0</v>
      </c>
      <c r="CC57" s="52" t="n">
        <v>0.17</v>
      </c>
      <c r="CD57" s="52" t="n">
        <v>0.22</v>
      </c>
      <c r="CE57" s="52" t="n">
        <v>0.39</v>
      </c>
      <c r="CF57" s="52" t="n">
        <v>-0.13</v>
      </c>
      <c r="CG57" s="52" t="n">
        <v>0.38</v>
      </c>
      <c r="CH57" s="52" t="n">
        <v>0.29</v>
      </c>
      <c r="CI57" s="52" t="n">
        <v>-0.13</v>
      </c>
      <c r="CJ57" s="52" t="n">
        <v>0.07</v>
      </c>
      <c r="CK57" s="52" t="n">
        <v>0.19</v>
      </c>
      <c r="CL57" s="52" t="n">
        <v>0.21</v>
      </c>
      <c r="CM57" s="52" t="n">
        <v>0.36</v>
      </c>
      <c r="CN57" s="52" t="n">
        <v>0.08</v>
      </c>
      <c r="CO57" s="52" t="n">
        <v>0.14</v>
      </c>
      <c r="CP57" s="52" t="n">
        <v>0.12</v>
      </c>
      <c r="CQ57" s="52" t="n">
        <v>0.62</v>
      </c>
      <c r="CR57" s="52" t="n">
        <v>0.41</v>
      </c>
      <c r="CS57" s="52" t="n">
        <v>0.44</v>
      </c>
      <c r="CT57" s="52" t="n">
        <v>0.31</v>
      </c>
      <c r="CU57" s="52" t="n">
        <v>0.13</v>
      </c>
      <c r="CV57" s="52" t="n">
        <v>0.27</v>
      </c>
      <c r="CW57" s="52" t="n">
        <v>0.26</v>
      </c>
      <c r="CX57" s="52" t="n">
        <v>0.4</v>
      </c>
      <c r="CY57" s="52" t="n">
        <v>0.53</v>
      </c>
      <c r="CZ57" s="52" t="n">
        <v>0.18</v>
      </c>
      <c r="DA57" s="52" t="n">
        <v>0.16</v>
      </c>
      <c r="DB57" s="52" t="n">
        <v>0.36</v>
      </c>
      <c r="DC57" s="52" t="n">
        <v>0.4</v>
      </c>
      <c r="DD57" s="52" t="n">
        <v>0.38</v>
      </c>
      <c r="DE57" s="52" t="n">
        <v>0.35</v>
      </c>
      <c r="DF57" s="52" t="n">
        <v>0.11</v>
      </c>
      <c r="DG57" s="52" t="n">
        <v>0.25</v>
      </c>
      <c r="DH57" s="52" t="n">
        <v>0.32</v>
      </c>
      <c r="DI57" s="52" t="n">
        <v>0.53</v>
      </c>
      <c r="DJ57" s="52" t="n">
        <v>0.41</v>
      </c>
      <c r="DK57" s="52" t="n">
        <v>0.59</v>
      </c>
      <c r="DL57" s="52" t="n">
        <v>0.08</v>
      </c>
      <c r="DM57" s="52" t="n">
        <v>0.5</v>
      </c>
      <c r="DN57" s="52" t="n">
        <v>0.26</v>
      </c>
      <c r="DO57" s="52" t="n">
        <v>0.33</v>
      </c>
      <c r="DP57" s="52" t="n">
        <v>0.41</v>
      </c>
      <c r="DQ57" s="52" t="n">
        <v>0.24</v>
      </c>
      <c r="DR57" s="52" t="n">
        <v>0.28</v>
      </c>
      <c r="DS57" s="52" t="n">
        <v>0.23</v>
      </c>
      <c r="DT57" s="52" t="n">
        <v>0.3</v>
      </c>
      <c r="DU57" s="52" t="n">
        <v>0.48</v>
      </c>
      <c r="DV57" s="52" t="n">
        <v>0.24</v>
      </c>
      <c r="DW57" s="52" t="n">
        <v>0.3</v>
      </c>
      <c r="DX57" s="52" t="n">
        <v>0.42</v>
      </c>
      <c r="DY57" s="52" t="n">
        <v>0.45</v>
      </c>
      <c r="DZ57" s="52" t="n">
        <v>0.19</v>
      </c>
      <c r="EA57" s="52" t="n">
        <v>0.2</v>
      </c>
      <c r="EB57" s="52" t="n">
        <v>0.52</v>
      </c>
      <c r="EC57" s="52" t="n">
        <v>0.11</v>
      </c>
      <c r="ED57" s="52" t="n">
        <v>0.29</v>
      </c>
      <c r="EE57" s="52" t="n">
        <v>0.31</v>
      </c>
      <c r="EF57" s="52" t="n">
        <v>0.32</v>
      </c>
      <c r="EG57" s="52" t="n">
        <v>0.28</v>
      </c>
      <c r="EH57" s="52" t="n">
        <v>0.21</v>
      </c>
      <c r="EI57" s="52" t="n">
        <v>0.27</v>
      </c>
      <c r="EJ57" s="52" t="n">
        <v>0.27</v>
      </c>
      <c r="EK57" s="52" t="n">
        <v>0.34</v>
      </c>
      <c r="EL57" s="52" t="n">
        <v>0.38</v>
      </c>
      <c r="EM57" s="52" t="n">
        <v>0.13</v>
      </c>
      <c r="EN57" s="52" t="n">
        <v>0.08</v>
      </c>
      <c r="EO57" s="52" t="n">
        <v>0.11</v>
      </c>
    </row>
    <row r="58" customFormat="false" ht="15" hidden="false" customHeight="false" outlineLevel="0" collapsed="false">
      <c r="A58" s="51" t="s">
        <v>203</v>
      </c>
      <c r="B58" s="52" t="n">
        <v>0.1</v>
      </c>
      <c r="C58" s="52" t="n">
        <v>0.03</v>
      </c>
      <c r="D58" s="52" t="n">
        <v>0.06</v>
      </c>
      <c r="E58" s="52" t="n">
        <v>0.22</v>
      </c>
      <c r="F58" s="52" t="n">
        <v>0.07</v>
      </c>
      <c r="G58" s="52" t="n">
        <v>0.04</v>
      </c>
      <c r="H58" s="52" t="n">
        <v>0.16</v>
      </c>
      <c r="I58" s="52" t="n">
        <v>0.11</v>
      </c>
      <c r="J58" s="52" t="n">
        <v>-0.01</v>
      </c>
      <c r="K58" s="52" t="n">
        <v>0.02</v>
      </c>
      <c r="L58" s="52" t="n">
        <v>0.12</v>
      </c>
      <c r="M58" s="52" t="n">
        <v>0.14</v>
      </c>
      <c r="N58" s="52" t="n">
        <v>0.06</v>
      </c>
      <c r="O58" s="52" t="n">
        <v>0.28</v>
      </c>
      <c r="P58" s="52" t="n">
        <v>0.05</v>
      </c>
      <c r="Q58" s="52" t="n">
        <v>-0.09</v>
      </c>
      <c r="R58" s="52" t="n">
        <v>0.05</v>
      </c>
      <c r="S58" s="52" t="n">
        <v>0.19</v>
      </c>
      <c r="T58" s="52" t="n">
        <v>0.05</v>
      </c>
      <c r="U58" s="52" t="n">
        <v>0.18</v>
      </c>
      <c r="V58" s="52" t="n">
        <v>0.13</v>
      </c>
      <c r="W58" s="52" t="n">
        <v>0.11</v>
      </c>
      <c r="X58" s="52" t="n">
        <v>0.14</v>
      </c>
      <c r="Y58" s="52" t="n">
        <v>0.05</v>
      </c>
      <c r="Z58" s="52" t="n">
        <v>0.19</v>
      </c>
      <c r="AA58" s="52" t="n">
        <v>0.16</v>
      </c>
      <c r="AB58" s="52" t="n">
        <v>-0.01</v>
      </c>
      <c r="AC58" s="52" t="n">
        <v>0.22</v>
      </c>
      <c r="AD58" s="52" t="n">
        <v>0.24</v>
      </c>
      <c r="AE58" s="52" t="n">
        <v>0.21</v>
      </c>
      <c r="AF58" s="52" t="n">
        <v>0.23</v>
      </c>
      <c r="AG58" s="52" t="n">
        <v>0</v>
      </c>
      <c r="AH58" s="52" t="n">
        <v>-0.02</v>
      </c>
      <c r="AI58" s="52" t="n">
        <v>-0.03</v>
      </c>
      <c r="AJ58" s="52" t="n">
        <v>0.14</v>
      </c>
      <c r="AK58" s="52" t="n">
        <v>0.18</v>
      </c>
      <c r="AL58" s="52" t="n">
        <v>0.09</v>
      </c>
      <c r="AM58" s="52" t="n">
        <v>0.22</v>
      </c>
      <c r="AN58" s="52" t="n">
        <v>0.1</v>
      </c>
      <c r="AO58" s="52" t="n">
        <v>0</v>
      </c>
      <c r="AP58" s="52" t="n">
        <v>0.14</v>
      </c>
      <c r="AQ58" s="52" t="n">
        <v>-0.04</v>
      </c>
      <c r="AR58" s="52" t="n">
        <v>0.06</v>
      </c>
      <c r="AS58" s="52" t="n">
        <v>0.15</v>
      </c>
      <c r="AT58" s="52" t="n">
        <v>0.06</v>
      </c>
      <c r="AU58" s="52" t="n">
        <v>0.03</v>
      </c>
      <c r="AV58" s="52" t="n">
        <v>0.23</v>
      </c>
      <c r="AW58" s="52" t="n">
        <v>0.22</v>
      </c>
      <c r="AX58" s="52" t="n">
        <v>0.1</v>
      </c>
      <c r="AY58" s="52" t="n">
        <v>0.04</v>
      </c>
      <c r="AZ58" s="52" t="n">
        <v>0.17</v>
      </c>
      <c r="BA58" s="52" t="n">
        <v>0.15</v>
      </c>
      <c r="BB58" s="52" t="n">
        <v>0.15</v>
      </c>
      <c r="BC58" s="52" t="n">
        <v>1</v>
      </c>
      <c r="BD58" s="52" t="n">
        <v>0.25</v>
      </c>
      <c r="BE58" s="52" t="n">
        <v>0.08</v>
      </c>
      <c r="BF58" s="52" t="n">
        <v>0.19</v>
      </c>
      <c r="BG58" s="52" t="n">
        <v>0.1</v>
      </c>
      <c r="BH58" s="52" t="n">
        <v>0.21</v>
      </c>
      <c r="BI58" s="52" t="n">
        <v>0.08</v>
      </c>
      <c r="BJ58" s="52" t="n">
        <v>0.07</v>
      </c>
      <c r="BK58" s="52" t="n">
        <v>0.24</v>
      </c>
      <c r="BL58" s="52" t="n">
        <v>0.05</v>
      </c>
      <c r="BM58" s="52" t="n">
        <v>-0.07</v>
      </c>
      <c r="BN58" s="52" t="n">
        <v>0.1</v>
      </c>
      <c r="BO58" s="52" t="n">
        <v>0.14</v>
      </c>
      <c r="BP58" s="52" t="n">
        <v>0.12</v>
      </c>
      <c r="BQ58" s="52" t="n">
        <v>0.21</v>
      </c>
      <c r="BR58" s="52" t="n">
        <v>0.16</v>
      </c>
      <c r="BS58" s="52" t="n">
        <v>-0.05</v>
      </c>
      <c r="BT58" s="52" t="n">
        <v>0.2</v>
      </c>
      <c r="BU58" s="52" t="n">
        <v>0.14</v>
      </c>
      <c r="BV58" s="52" t="n">
        <v>0</v>
      </c>
      <c r="BW58" s="52" t="n">
        <v>0.22</v>
      </c>
      <c r="BX58" s="52" t="n">
        <v>0.11</v>
      </c>
      <c r="BY58" s="52" t="n">
        <v>0.11</v>
      </c>
      <c r="BZ58" s="52" t="n">
        <v>0.09</v>
      </c>
      <c r="CA58" s="52" t="n">
        <v>0.22</v>
      </c>
      <c r="CB58" s="52" t="n">
        <v>-0.02</v>
      </c>
      <c r="CC58" s="52" t="n">
        <v>0.07</v>
      </c>
      <c r="CD58" s="52" t="n">
        <v>0.01</v>
      </c>
      <c r="CE58" s="52" t="n">
        <v>0.06</v>
      </c>
      <c r="CF58" s="52" t="n">
        <v>-0.02</v>
      </c>
      <c r="CG58" s="52" t="n">
        <v>0.11</v>
      </c>
      <c r="CH58" s="52" t="n">
        <v>0.14</v>
      </c>
      <c r="CI58" s="52" t="n">
        <v>-0.04</v>
      </c>
      <c r="CJ58" s="52" t="n">
        <v>-0.06</v>
      </c>
      <c r="CK58" s="52" t="n">
        <v>0.03</v>
      </c>
      <c r="CL58" s="52" t="n">
        <v>0.06</v>
      </c>
      <c r="CM58" s="52" t="n">
        <v>0.09</v>
      </c>
      <c r="CN58" s="52" t="n">
        <v>0.05</v>
      </c>
      <c r="CO58" s="52" t="n">
        <v>0.15</v>
      </c>
      <c r="CP58" s="52" t="n">
        <v>0.05</v>
      </c>
      <c r="CQ58" s="52" t="n">
        <v>0.15</v>
      </c>
      <c r="CR58" s="52" t="n">
        <v>0.15</v>
      </c>
      <c r="CS58" s="52" t="n">
        <v>0.16</v>
      </c>
      <c r="CT58" s="52" t="n">
        <v>0.16</v>
      </c>
      <c r="CU58" s="52" t="n">
        <v>0.1</v>
      </c>
      <c r="CV58" s="52" t="n">
        <v>0</v>
      </c>
      <c r="CW58" s="52" t="n">
        <v>0.14</v>
      </c>
      <c r="CX58" s="52" t="n">
        <v>0.07</v>
      </c>
      <c r="CY58" s="52" t="n">
        <v>0.09</v>
      </c>
      <c r="CZ58" s="52" t="n">
        <v>0.12</v>
      </c>
      <c r="DA58" s="52" t="n">
        <v>0.03</v>
      </c>
      <c r="DB58" s="52" t="n">
        <v>0.16</v>
      </c>
      <c r="DC58" s="52" t="n">
        <v>0.13</v>
      </c>
      <c r="DD58" s="52" t="n">
        <v>0.14</v>
      </c>
      <c r="DE58" s="52" t="n">
        <v>0.01</v>
      </c>
      <c r="DF58" s="52" t="n">
        <v>0.07</v>
      </c>
      <c r="DG58" s="52" t="n">
        <v>0.11</v>
      </c>
      <c r="DH58" s="52" t="n">
        <v>0.22</v>
      </c>
      <c r="DI58" s="52" t="n">
        <v>0.19</v>
      </c>
      <c r="DJ58" s="52" t="n">
        <v>-0.01</v>
      </c>
      <c r="DK58" s="52" t="n">
        <v>0.18</v>
      </c>
      <c r="DL58" s="52" t="n">
        <v>0.17</v>
      </c>
      <c r="DM58" s="52" t="n">
        <v>0.1</v>
      </c>
      <c r="DN58" s="52" t="n">
        <v>0.06</v>
      </c>
      <c r="DO58" s="52" t="n">
        <v>0.07</v>
      </c>
      <c r="DP58" s="52" t="n">
        <v>0.06</v>
      </c>
      <c r="DQ58" s="52" t="n">
        <v>0.11</v>
      </c>
      <c r="DR58" s="52" t="n">
        <v>-0.01</v>
      </c>
      <c r="DS58" s="52" t="n">
        <v>-0.09</v>
      </c>
      <c r="DT58" s="52" t="n">
        <v>0.08</v>
      </c>
      <c r="DU58" s="52" t="n">
        <v>0.2</v>
      </c>
      <c r="DV58" s="52" t="n">
        <v>0.13</v>
      </c>
      <c r="DW58" s="52" t="n">
        <v>0.1</v>
      </c>
      <c r="DX58" s="52" t="n">
        <v>0.11</v>
      </c>
      <c r="DY58" s="52" t="n">
        <v>0.1</v>
      </c>
      <c r="DZ58" s="52" t="n">
        <v>0.06</v>
      </c>
      <c r="EA58" s="52" t="n">
        <v>0.08</v>
      </c>
      <c r="EB58" s="52" t="n">
        <v>0.06</v>
      </c>
      <c r="EC58" s="52" t="n">
        <v>0.03</v>
      </c>
      <c r="ED58" s="52" t="n">
        <v>0.17</v>
      </c>
      <c r="EE58" s="52" t="n">
        <v>0.11</v>
      </c>
      <c r="EF58" s="52" t="n">
        <v>0.04</v>
      </c>
      <c r="EG58" s="52" t="n">
        <v>0.08</v>
      </c>
      <c r="EH58" s="52" t="n">
        <v>0.04</v>
      </c>
      <c r="EI58" s="52" t="n">
        <v>0.07</v>
      </c>
      <c r="EJ58" s="52" t="n">
        <v>0.14</v>
      </c>
      <c r="EK58" s="52" t="n">
        <v>0.18</v>
      </c>
      <c r="EL58" s="52" t="n">
        <v>0.15</v>
      </c>
      <c r="EM58" s="52" t="n">
        <v>0.06</v>
      </c>
      <c r="EN58" s="52" t="n">
        <v>0.03</v>
      </c>
      <c r="EO58" s="52" t="n">
        <v>-0.07</v>
      </c>
    </row>
    <row r="59" customFormat="false" ht="15" hidden="false" customHeight="false" outlineLevel="0" collapsed="false">
      <c r="A59" s="51" t="s">
        <v>204</v>
      </c>
      <c r="B59" s="52" t="n">
        <v>0.01</v>
      </c>
      <c r="C59" s="52" t="n">
        <v>0.17</v>
      </c>
      <c r="D59" s="52" t="n">
        <v>0.16</v>
      </c>
      <c r="E59" s="52" t="n">
        <v>0.23</v>
      </c>
      <c r="F59" s="52" t="n">
        <v>0.01</v>
      </c>
      <c r="G59" s="52" t="n">
        <v>0.17</v>
      </c>
      <c r="H59" s="52" t="n">
        <v>0.24</v>
      </c>
      <c r="I59" s="52" t="n">
        <v>0.03</v>
      </c>
      <c r="J59" s="52" t="n">
        <v>0.04</v>
      </c>
      <c r="K59" s="52" t="n">
        <v>0.1</v>
      </c>
      <c r="L59" s="52" t="n">
        <v>0.22</v>
      </c>
      <c r="M59" s="52" t="n">
        <v>0.17</v>
      </c>
      <c r="N59" s="52" t="n">
        <v>0.08</v>
      </c>
      <c r="O59" s="52" t="n">
        <v>0.34</v>
      </c>
      <c r="P59" s="52" t="n">
        <v>0.04</v>
      </c>
      <c r="Q59" s="52" t="n">
        <v>0.05</v>
      </c>
      <c r="R59" s="52" t="n">
        <v>0.05</v>
      </c>
      <c r="S59" s="52" t="n">
        <v>0.33</v>
      </c>
      <c r="T59" s="52" t="n">
        <v>0.08</v>
      </c>
      <c r="U59" s="52" t="n">
        <v>0.5</v>
      </c>
      <c r="V59" s="52" t="n">
        <v>0.23</v>
      </c>
      <c r="W59" s="52" t="n">
        <v>0.26</v>
      </c>
      <c r="X59" s="52" t="n">
        <v>0.16</v>
      </c>
      <c r="Y59" s="52" t="n">
        <v>0.08</v>
      </c>
      <c r="Z59" s="52" t="n">
        <v>0.33</v>
      </c>
      <c r="AA59" s="52" t="n">
        <v>0.25</v>
      </c>
      <c r="AB59" s="52" t="n">
        <v>0.05</v>
      </c>
      <c r="AC59" s="52" t="n">
        <v>0.14</v>
      </c>
      <c r="AD59" s="52" t="n">
        <v>0.28</v>
      </c>
      <c r="AE59" s="52" t="n">
        <v>0.42</v>
      </c>
      <c r="AF59" s="52" t="n">
        <v>0.35</v>
      </c>
      <c r="AG59" s="52" t="n">
        <v>0.04</v>
      </c>
      <c r="AH59" s="52" t="n">
        <v>0.04</v>
      </c>
      <c r="AI59" s="52" t="n">
        <v>-0.19</v>
      </c>
      <c r="AJ59" s="52" t="n">
        <v>0.3</v>
      </c>
      <c r="AK59" s="52" t="n">
        <v>0.55</v>
      </c>
      <c r="AL59" s="52" t="n">
        <v>0</v>
      </c>
      <c r="AM59" s="52" t="n">
        <v>0.32</v>
      </c>
      <c r="AN59" s="52" t="n">
        <v>0.18</v>
      </c>
      <c r="AO59" s="52" t="n">
        <v>0.02</v>
      </c>
      <c r="AP59" s="52" t="n">
        <v>0.13</v>
      </c>
      <c r="AQ59" s="52" t="n">
        <v>-0.13</v>
      </c>
      <c r="AR59" s="52" t="n">
        <v>0.17</v>
      </c>
      <c r="AS59" s="52" t="n">
        <v>0.52</v>
      </c>
      <c r="AT59" s="52" t="n">
        <v>0.07</v>
      </c>
      <c r="AU59" s="52" t="n">
        <v>-0.06</v>
      </c>
      <c r="AV59" s="52" t="n">
        <v>0.25</v>
      </c>
      <c r="AW59" s="52" t="n">
        <v>0.35</v>
      </c>
      <c r="AX59" s="52" t="n">
        <v>0.1</v>
      </c>
      <c r="AY59" s="52" t="n">
        <v>0.02</v>
      </c>
      <c r="AZ59" s="52" t="n">
        <v>0.38</v>
      </c>
      <c r="BA59" s="52" t="n">
        <v>0.29</v>
      </c>
      <c r="BB59" s="52" t="n">
        <v>0.16</v>
      </c>
      <c r="BC59" s="52" t="n">
        <v>0.25</v>
      </c>
      <c r="BD59" s="52" t="n">
        <v>1</v>
      </c>
      <c r="BE59" s="52" t="n">
        <v>0.08</v>
      </c>
      <c r="BF59" s="52" t="n">
        <v>0.32</v>
      </c>
      <c r="BG59" s="52" t="n">
        <v>0.08</v>
      </c>
      <c r="BH59" s="52" t="n">
        <v>0.35</v>
      </c>
      <c r="BI59" s="52" t="n">
        <v>0.03</v>
      </c>
      <c r="BJ59" s="52" t="n">
        <v>0.09</v>
      </c>
      <c r="BK59" s="52" t="n">
        <v>0.34</v>
      </c>
      <c r="BL59" s="52" t="n">
        <v>0.24</v>
      </c>
      <c r="BM59" s="52" t="n">
        <v>0</v>
      </c>
      <c r="BN59" s="52" t="n">
        <v>0.09</v>
      </c>
      <c r="BO59" s="52" t="n">
        <v>0.17</v>
      </c>
      <c r="BP59" s="52" t="n">
        <v>0.09</v>
      </c>
      <c r="BQ59" s="52" t="n">
        <v>0.36</v>
      </c>
      <c r="BR59" s="52" t="n">
        <v>0.1</v>
      </c>
      <c r="BS59" s="52" t="n">
        <v>-0.13</v>
      </c>
      <c r="BT59" s="52" t="n">
        <v>0.15</v>
      </c>
      <c r="BU59" s="52" t="n">
        <v>0.35</v>
      </c>
      <c r="BV59" s="52" t="n">
        <v>0.12</v>
      </c>
      <c r="BW59" s="52" t="n">
        <v>0.18</v>
      </c>
      <c r="BX59" s="52" t="n">
        <v>0.07</v>
      </c>
      <c r="BY59" s="52" t="n">
        <v>0.18</v>
      </c>
      <c r="BZ59" s="52" t="n">
        <v>0.22</v>
      </c>
      <c r="CA59" s="52" t="n">
        <v>0.27</v>
      </c>
      <c r="CB59" s="52" t="n">
        <v>0.03</v>
      </c>
      <c r="CC59" s="52" t="n">
        <v>0.09</v>
      </c>
      <c r="CD59" s="52" t="n">
        <v>0.09</v>
      </c>
      <c r="CE59" s="52" t="n">
        <v>0.12</v>
      </c>
      <c r="CF59" s="52" t="n">
        <v>-0.13</v>
      </c>
      <c r="CG59" s="52" t="n">
        <v>0.09</v>
      </c>
      <c r="CH59" s="52" t="n">
        <v>0.36</v>
      </c>
      <c r="CI59" s="52" t="n">
        <v>-0.19</v>
      </c>
      <c r="CJ59" s="52" t="n">
        <v>0.07</v>
      </c>
      <c r="CK59" s="52" t="n">
        <v>0.03</v>
      </c>
      <c r="CL59" s="52" t="n">
        <v>0.04</v>
      </c>
      <c r="CM59" s="52" t="n">
        <v>0.12</v>
      </c>
      <c r="CN59" s="52" t="n">
        <v>0.29</v>
      </c>
      <c r="CO59" s="52" t="n">
        <v>0.2</v>
      </c>
      <c r="CP59" s="52" t="n">
        <v>0.04</v>
      </c>
      <c r="CQ59" s="52" t="n">
        <v>0.14</v>
      </c>
      <c r="CR59" s="52" t="n">
        <v>0.16</v>
      </c>
      <c r="CS59" s="52" t="n">
        <v>0.21</v>
      </c>
      <c r="CT59" s="52" t="n">
        <v>0.17</v>
      </c>
      <c r="CU59" s="52" t="n">
        <v>0.13</v>
      </c>
      <c r="CV59" s="52" t="n">
        <v>0.05</v>
      </c>
      <c r="CW59" s="52" t="n">
        <v>0.19</v>
      </c>
      <c r="CX59" s="52" t="n">
        <v>0.22</v>
      </c>
      <c r="CY59" s="52" t="n">
        <v>0.16</v>
      </c>
      <c r="CZ59" s="52" t="n">
        <v>0.15</v>
      </c>
      <c r="DA59" s="52" t="n">
        <v>0.08</v>
      </c>
      <c r="DB59" s="52" t="n">
        <v>0.16</v>
      </c>
      <c r="DC59" s="52" t="n">
        <v>0.37</v>
      </c>
      <c r="DD59" s="52" t="n">
        <v>0.13</v>
      </c>
      <c r="DE59" s="52" t="n">
        <v>0.24</v>
      </c>
      <c r="DF59" s="52" t="n">
        <v>-0.01</v>
      </c>
      <c r="DG59" s="52" t="n">
        <v>0.25</v>
      </c>
      <c r="DH59" s="52" t="n">
        <v>0.09</v>
      </c>
      <c r="DI59" s="52" t="n">
        <v>0.16</v>
      </c>
      <c r="DJ59" s="52" t="n">
        <v>0.09</v>
      </c>
      <c r="DK59" s="52" t="n">
        <v>0.17</v>
      </c>
      <c r="DL59" s="52" t="n">
        <v>0.33</v>
      </c>
      <c r="DM59" s="52" t="n">
        <v>0.21</v>
      </c>
      <c r="DN59" s="52" t="n">
        <v>0.05</v>
      </c>
      <c r="DO59" s="52" t="n">
        <v>0.1</v>
      </c>
      <c r="DP59" s="52" t="n">
        <v>0.16</v>
      </c>
      <c r="DQ59" s="52" t="n">
        <v>0.12</v>
      </c>
      <c r="DR59" s="52" t="n">
        <v>0.08</v>
      </c>
      <c r="DS59" s="52" t="n">
        <v>-0.09</v>
      </c>
      <c r="DT59" s="52" t="n">
        <v>0.05</v>
      </c>
      <c r="DU59" s="52" t="n">
        <v>0.2</v>
      </c>
      <c r="DV59" s="52" t="n">
        <v>-0.03</v>
      </c>
      <c r="DW59" s="52" t="n">
        <v>0.08</v>
      </c>
      <c r="DX59" s="52" t="n">
        <v>0.13</v>
      </c>
      <c r="DY59" s="52" t="n">
        <v>0.08</v>
      </c>
      <c r="DZ59" s="52" t="n">
        <v>0.07</v>
      </c>
      <c r="EA59" s="52" t="n">
        <v>0.11</v>
      </c>
      <c r="EB59" s="52" t="n">
        <v>0.05</v>
      </c>
      <c r="EC59" s="52" t="n">
        <v>0.1</v>
      </c>
      <c r="ED59" s="52" t="n">
        <v>0.15</v>
      </c>
      <c r="EE59" s="52" t="n">
        <v>0.17</v>
      </c>
      <c r="EF59" s="52" t="n">
        <v>0.09</v>
      </c>
      <c r="EG59" s="52" t="n">
        <v>0.13</v>
      </c>
      <c r="EH59" s="52" t="n">
        <v>0.06</v>
      </c>
      <c r="EI59" s="52" t="n">
        <v>0.09</v>
      </c>
      <c r="EJ59" s="52" t="n">
        <v>0.17</v>
      </c>
      <c r="EK59" s="52" t="n">
        <v>0.16</v>
      </c>
      <c r="EL59" s="52" t="n">
        <v>0.23</v>
      </c>
      <c r="EM59" s="52" t="n">
        <v>0.08</v>
      </c>
      <c r="EN59" s="52" t="n">
        <v>0.06</v>
      </c>
      <c r="EO59" s="52" t="n">
        <v>0.13</v>
      </c>
    </row>
    <row r="60" customFormat="false" ht="15" hidden="false" customHeight="false" outlineLevel="0" collapsed="false">
      <c r="A60" s="51" t="s">
        <v>205</v>
      </c>
      <c r="B60" s="52" t="n">
        <v>0.3</v>
      </c>
      <c r="C60" s="52" t="n">
        <v>0.07</v>
      </c>
      <c r="D60" s="52" t="n">
        <v>-0.02</v>
      </c>
      <c r="E60" s="52" t="n">
        <v>0.08</v>
      </c>
      <c r="F60" s="52" t="n">
        <v>0.41</v>
      </c>
      <c r="G60" s="52" t="n">
        <v>-0.02</v>
      </c>
      <c r="H60" s="52" t="n">
        <v>0.09</v>
      </c>
      <c r="I60" s="52" t="n">
        <v>0.35</v>
      </c>
      <c r="J60" s="52" t="n">
        <v>0.56</v>
      </c>
      <c r="K60" s="52" t="n">
        <v>0.41</v>
      </c>
      <c r="L60" s="52" t="n">
        <v>0.11</v>
      </c>
      <c r="M60" s="52" t="n">
        <v>0.29</v>
      </c>
      <c r="N60" s="52" t="n">
        <v>0.51</v>
      </c>
      <c r="O60" s="52" t="n">
        <v>0.11</v>
      </c>
      <c r="P60" s="52" t="n">
        <v>0.29</v>
      </c>
      <c r="Q60" s="52" t="n">
        <v>-0.08</v>
      </c>
      <c r="R60" s="52" t="n">
        <v>0.37</v>
      </c>
      <c r="S60" s="52" t="n">
        <v>0.16</v>
      </c>
      <c r="T60" s="52" t="n">
        <v>0.17</v>
      </c>
      <c r="U60" s="52" t="n">
        <v>0.22</v>
      </c>
      <c r="V60" s="52" t="n">
        <v>0.03</v>
      </c>
      <c r="W60" s="52" t="n">
        <v>0.1</v>
      </c>
      <c r="X60" s="52" t="n">
        <v>0.22</v>
      </c>
      <c r="Y60" s="52" t="n">
        <v>0.26</v>
      </c>
      <c r="Z60" s="52" t="n">
        <v>0.09</v>
      </c>
      <c r="AA60" s="52" t="n">
        <v>0.16</v>
      </c>
      <c r="AB60" s="52" t="n">
        <v>0.26</v>
      </c>
      <c r="AC60" s="52" t="n">
        <v>0</v>
      </c>
      <c r="AD60" s="52" t="n">
        <v>0.12</v>
      </c>
      <c r="AE60" s="52" t="n">
        <v>0.05</v>
      </c>
      <c r="AF60" s="52" t="n">
        <v>0.05</v>
      </c>
      <c r="AG60" s="52" t="n">
        <v>0.28</v>
      </c>
      <c r="AH60" s="52" t="n">
        <v>0.26</v>
      </c>
      <c r="AI60" s="52" t="n">
        <v>0.15</v>
      </c>
      <c r="AJ60" s="52" t="n">
        <v>0.06</v>
      </c>
      <c r="AK60" s="52" t="n">
        <v>0.08</v>
      </c>
      <c r="AL60" s="52" t="n">
        <v>0.26</v>
      </c>
      <c r="AM60" s="52" t="n">
        <v>0.11</v>
      </c>
      <c r="AN60" s="52" t="n">
        <v>0.33</v>
      </c>
      <c r="AO60" s="52" t="n">
        <v>0.47</v>
      </c>
      <c r="AP60" s="52" t="n">
        <v>0.21</v>
      </c>
      <c r="AQ60" s="52" t="n">
        <v>0.12</v>
      </c>
      <c r="AR60" s="52" t="n">
        <v>0.16</v>
      </c>
      <c r="AS60" s="52" t="n">
        <v>0.05</v>
      </c>
      <c r="AT60" s="52" t="n">
        <v>0.14</v>
      </c>
      <c r="AU60" s="52" t="n">
        <v>0.27</v>
      </c>
      <c r="AV60" s="52" t="n">
        <v>0.08</v>
      </c>
      <c r="AW60" s="52" t="n">
        <v>0.1</v>
      </c>
      <c r="AX60" s="52" t="n">
        <v>0.52</v>
      </c>
      <c r="AY60" s="52" t="n">
        <v>0.27</v>
      </c>
      <c r="AZ60" s="52" t="n">
        <v>0.12</v>
      </c>
      <c r="BA60" s="52" t="n">
        <v>0.28</v>
      </c>
      <c r="BB60" s="52" t="n">
        <v>0.11</v>
      </c>
      <c r="BC60" s="52" t="n">
        <v>0.08</v>
      </c>
      <c r="BD60" s="52" t="n">
        <v>0.08</v>
      </c>
      <c r="BE60" s="52" t="n">
        <v>1</v>
      </c>
      <c r="BF60" s="52" t="n">
        <v>0.06</v>
      </c>
      <c r="BG60" s="52" t="n">
        <v>0.26</v>
      </c>
      <c r="BH60" s="52" t="n">
        <v>0.08</v>
      </c>
      <c r="BI60" s="52" t="n">
        <v>0.09</v>
      </c>
      <c r="BJ60" s="52" t="n">
        <v>0.02</v>
      </c>
      <c r="BK60" s="52" t="n">
        <v>0.04</v>
      </c>
      <c r="BL60" s="52" t="n">
        <v>0.17</v>
      </c>
      <c r="BM60" s="52" t="n">
        <v>0.28</v>
      </c>
      <c r="BN60" s="52" t="n">
        <v>0.19</v>
      </c>
      <c r="BO60" s="52" t="n">
        <v>0.09</v>
      </c>
      <c r="BP60" s="52" t="n">
        <v>-0.09</v>
      </c>
      <c r="BQ60" s="52" t="n">
        <v>0.13</v>
      </c>
      <c r="BR60" s="52" t="n">
        <v>0.11</v>
      </c>
      <c r="BS60" s="52" t="n">
        <v>0.05</v>
      </c>
      <c r="BT60" s="52" t="n">
        <v>0.23</v>
      </c>
      <c r="BU60" s="52" t="n">
        <v>0.05</v>
      </c>
      <c r="BV60" s="52" t="n">
        <v>0.07</v>
      </c>
      <c r="BW60" s="52" t="n">
        <v>0.15</v>
      </c>
      <c r="BX60" s="52" t="n">
        <v>0.44</v>
      </c>
      <c r="BY60" s="52" t="n">
        <v>0.23</v>
      </c>
      <c r="BZ60" s="52" t="n">
        <v>0.15</v>
      </c>
      <c r="CA60" s="52" t="n">
        <v>0.07</v>
      </c>
      <c r="CB60" s="52" t="n">
        <v>0</v>
      </c>
      <c r="CC60" s="52" t="n">
        <v>0.14</v>
      </c>
      <c r="CD60" s="52" t="n">
        <v>0.12</v>
      </c>
      <c r="CE60" s="52" t="n">
        <v>0.06</v>
      </c>
      <c r="CF60" s="52" t="n">
        <v>0.1</v>
      </c>
      <c r="CG60" s="52" t="n">
        <v>0.12</v>
      </c>
      <c r="CH60" s="52" t="n">
        <v>0.14</v>
      </c>
      <c r="CI60" s="52" t="n">
        <v>0.07</v>
      </c>
      <c r="CJ60" s="52" t="n">
        <v>0.19</v>
      </c>
      <c r="CK60" s="52" t="n">
        <v>0.19</v>
      </c>
      <c r="CL60" s="52" t="n">
        <v>0.31</v>
      </c>
      <c r="CM60" s="52" t="n">
        <v>-0.11</v>
      </c>
      <c r="CN60" s="52" t="n">
        <v>0.05</v>
      </c>
      <c r="CO60" s="52" t="n">
        <v>0.04</v>
      </c>
      <c r="CP60" s="52" t="n">
        <v>0.08</v>
      </c>
      <c r="CQ60" s="52" t="n">
        <v>0.22</v>
      </c>
      <c r="CR60" s="52" t="n">
        <v>0.05</v>
      </c>
      <c r="CS60" s="52" t="n">
        <v>0.15</v>
      </c>
      <c r="CT60" s="52" t="n">
        <v>0.05</v>
      </c>
      <c r="CU60" s="52" t="n">
        <v>0</v>
      </c>
      <c r="CV60" s="52" t="n">
        <v>0.04</v>
      </c>
      <c r="CW60" s="52" t="n">
        <v>0.15</v>
      </c>
      <c r="CX60" s="52" t="n">
        <v>0.14</v>
      </c>
      <c r="CY60" s="52" t="n">
        <v>0.21</v>
      </c>
      <c r="CZ60" s="52" t="n">
        <v>0.12</v>
      </c>
      <c r="DA60" s="52" t="n">
        <v>0.13</v>
      </c>
      <c r="DB60" s="52" t="n">
        <v>0.03</v>
      </c>
      <c r="DC60" s="52" t="n">
        <v>0.08</v>
      </c>
      <c r="DD60" s="52" t="n">
        <v>0.1</v>
      </c>
      <c r="DE60" s="52" t="n">
        <v>0.12</v>
      </c>
      <c r="DF60" s="52" t="n">
        <v>-0.01</v>
      </c>
      <c r="DG60" s="52" t="n">
        <v>0.17</v>
      </c>
      <c r="DH60" s="52" t="n">
        <v>-0.12</v>
      </c>
      <c r="DI60" s="52" t="n">
        <v>0.15</v>
      </c>
      <c r="DJ60" s="52" t="n">
        <v>0.22</v>
      </c>
      <c r="DK60" s="52" t="n">
        <v>0.19</v>
      </c>
      <c r="DL60" s="52" t="n">
        <v>0.05</v>
      </c>
      <c r="DM60" s="52" t="n">
        <v>0.23</v>
      </c>
      <c r="DN60" s="52" t="n">
        <v>0.12</v>
      </c>
      <c r="DO60" s="52" t="n">
        <v>0.05</v>
      </c>
      <c r="DP60" s="52" t="n">
        <v>0.21</v>
      </c>
      <c r="DQ60" s="52" t="n">
        <v>0.09</v>
      </c>
      <c r="DR60" s="52" t="n">
        <v>0.13</v>
      </c>
      <c r="DS60" s="52" t="n">
        <v>-0.03</v>
      </c>
      <c r="DT60" s="52" t="n">
        <v>-0.13</v>
      </c>
      <c r="DU60" s="52" t="n">
        <v>0.03</v>
      </c>
      <c r="DV60" s="52" t="n">
        <v>-0.04</v>
      </c>
      <c r="DW60" s="52" t="n">
        <v>0</v>
      </c>
      <c r="DX60" s="52" t="n">
        <v>0.02</v>
      </c>
      <c r="DY60" s="52" t="n">
        <v>0.05</v>
      </c>
      <c r="DZ60" s="52" t="n">
        <v>-0.04</v>
      </c>
      <c r="EA60" s="52" t="n">
        <v>0.14</v>
      </c>
      <c r="EB60" s="52" t="n">
        <v>0.12</v>
      </c>
      <c r="EC60" s="52" t="n">
        <v>-0.02</v>
      </c>
      <c r="ED60" s="52" t="n">
        <v>0.1</v>
      </c>
      <c r="EE60" s="52" t="n">
        <v>-0.07</v>
      </c>
      <c r="EF60" s="52" t="n">
        <v>0.13</v>
      </c>
      <c r="EG60" s="52" t="n">
        <v>0.01</v>
      </c>
      <c r="EH60" s="52" t="n">
        <v>0.08</v>
      </c>
      <c r="EI60" s="52" t="n">
        <v>-0.02</v>
      </c>
      <c r="EJ60" s="52" t="n">
        <v>0.18</v>
      </c>
      <c r="EK60" s="52" t="n">
        <v>0.09</v>
      </c>
      <c r="EL60" s="52" t="n">
        <v>0.06</v>
      </c>
      <c r="EM60" s="52" t="n">
        <v>0.06</v>
      </c>
      <c r="EN60" s="52" t="n">
        <v>0.46</v>
      </c>
      <c r="EO60" s="52" t="n">
        <v>0.07</v>
      </c>
    </row>
    <row r="61" customFormat="false" ht="15" hidden="false" customHeight="false" outlineLevel="0" collapsed="false">
      <c r="A61" s="51" t="s">
        <v>206</v>
      </c>
      <c r="B61" s="52" t="n">
        <v>0.04</v>
      </c>
      <c r="C61" s="52" t="n">
        <v>0</v>
      </c>
      <c r="D61" s="52" t="n">
        <v>0.13</v>
      </c>
      <c r="E61" s="52" t="n">
        <v>0.32</v>
      </c>
      <c r="F61" s="52" t="n">
        <v>0.03</v>
      </c>
      <c r="G61" s="52" t="n">
        <v>0.22</v>
      </c>
      <c r="H61" s="52" t="n">
        <v>0.24</v>
      </c>
      <c r="I61" s="52" t="n">
        <v>0.09</v>
      </c>
      <c r="J61" s="52" t="n">
        <v>0.04</v>
      </c>
      <c r="K61" s="52" t="n">
        <v>0.1</v>
      </c>
      <c r="L61" s="52" t="n">
        <v>0.17</v>
      </c>
      <c r="M61" s="52" t="n">
        <v>0.27</v>
      </c>
      <c r="N61" s="52" t="n">
        <v>0.17</v>
      </c>
      <c r="O61" s="52" t="n">
        <v>0.26</v>
      </c>
      <c r="P61" s="52" t="n">
        <v>0.08</v>
      </c>
      <c r="Q61" s="52" t="n">
        <v>0.07</v>
      </c>
      <c r="R61" s="52" t="n">
        <v>0.07</v>
      </c>
      <c r="S61" s="52" t="n">
        <v>0.22</v>
      </c>
      <c r="T61" s="52" t="n">
        <v>0.16</v>
      </c>
      <c r="U61" s="52" t="n">
        <v>0.32</v>
      </c>
      <c r="V61" s="52" t="n">
        <v>0.28</v>
      </c>
      <c r="W61" s="52" t="n">
        <v>0.22</v>
      </c>
      <c r="X61" s="52" t="n">
        <v>0.12</v>
      </c>
      <c r="Y61" s="52" t="n">
        <v>-0.03</v>
      </c>
      <c r="Z61" s="52" t="n">
        <v>0.45</v>
      </c>
      <c r="AA61" s="52" t="n">
        <v>0.21</v>
      </c>
      <c r="AB61" s="52" t="n">
        <v>-0.03</v>
      </c>
      <c r="AC61" s="52" t="n">
        <v>0.18</v>
      </c>
      <c r="AD61" s="52" t="n">
        <v>0.2</v>
      </c>
      <c r="AE61" s="52" t="n">
        <v>0.32</v>
      </c>
      <c r="AF61" s="52" t="n">
        <v>0.29</v>
      </c>
      <c r="AG61" s="52" t="n">
        <v>-0.03</v>
      </c>
      <c r="AH61" s="52" t="n">
        <v>-0.02</v>
      </c>
      <c r="AI61" s="52" t="n">
        <v>-0.07</v>
      </c>
      <c r="AJ61" s="52" t="n">
        <v>0.23</v>
      </c>
      <c r="AK61" s="52" t="n">
        <v>0.25</v>
      </c>
      <c r="AL61" s="52" t="n">
        <v>0.14</v>
      </c>
      <c r="AM61" s="52" t="n">
        <v>0.23</v>
      </c>
      <c r="AN61" s="52" t="n">
        <v>0.19</v>
      </c>
      <c r="AO61" s="52" t="n">
        <v>0.07</v>
      </c>
      <c r="AP61" s="52" t="n">
        <v>0.12</v>
      </c>
      <c r="AQ61" s="52" t="n">
        <v>0.01</v>
      </c>
      <c r="AR61" s="52" t="n">
        <v>0.12</v>
      </c>
      <c r="AS61" s="52" t="n">
        <v>0.31</v>
      </c>
      <c r="AT61" s="52" t="n">
        <v>0.09</v>
      </c>
      <c r="AU61" s="52" t="n">
        <v>0.02</v>
      </c>
      <c r="AV61" s="52" t="n">
        <v>0.27</v>
      </c>
      <c r="AW61" s="52" t="n">
        <v>0.35</v>
      </c>
      <c r="AX61" s="52" t="n">
        <v>0.12</v>
      </c>
      <c r="AY61" s="52" t="n">
        <v>0.03</v>
      </c>
      <c r="AZ61" s="52" t="n">
        <v>0.26</v>
      </c>
      <c r="BA61" s="52" t="n">
        <v>0.15</v>
      </c>
      <c r="BB61" s="52" t="n">
        <v>0.19</v>
      </c>
      <c r="BC61" s="52" t="n">
        <v>0.19</v>
      </c>
      <c r="BD61" s="52" t="n">
        <v>0.32</v>
      </c>
      <c r="BE61" s="52" t="n">
        <v>0.06</v>
      </c>
      <c r="BF61" s="52" t="n">
        <v>1</v>
      </c>
      <c r="BG61" s="52" t="n">
        <v>0.19</v>
      </c>
      <c r="BH61" s="52" t="n">
        <v>0.25</v>
      </c>
      <c r="BI61" s="52" t="n">
        <v>0.17</v>
      </c>
      <c r="BJ61" s="52" t="n">
        <v>0.01</v>
      </c>
      <c r="BK61" s="52" t="n">
        <v>0.33</v>
      </c>
      <c r="BL61" s="52" t="n">
        <v>0.23</v>
      </c>
      <c r="BM61" s="52" t="n">
        <v>0.01</v>
      </c>
      <c r="BN61" s="52" t="n">
        <v>0.04</v>
      </c>
      <c r="BO61" s="52" t="n">
        <v>0.06</v>
      </c>
      <c r="BP61" s="52" t="n">
        <v>-0.02</v>
      </c>
      <c r="BQ61" s="52" t="n">
        <v>0.25</v>
      </c>
      <c r="BR61" s="52" t="n">
        <v>0.19</v>
      </c>
      <c r="BS61" s="52" t="n">
        <v>0</v>
      </c>
      <c r="BT61" s="52" t="n">
        <v>0.22</v>
      </c>
      <c r="BU61" s="52" t="n">
        <v>0.2</v>
      </c>
      <c r="BV61" s="52" t="n">
        <v>0.01</v>
      </c>
      <c r="BW61" s="52" t="n">
        <v>0.15</v>
      </c>
      <c r="BX61" s="52" t="n">
        <v>0.1</v>
      </c>
      <c r="BY61" s="52" t="n">
        <v>0.1</v>
      </c>
      <c r="BZ61" s="52" t="n">
        <v>0.2</v>
      </c>
      <c r="CA61" s="52" t="n">
        <v>0.24</v>
      </c>
      <c r="CB61" s="52" t="n">
        <v>-0.08</v>
      </c>
      <c r="CC61" s="52" t="n">
        <v>0.09</v>
      </c>
      <c r="CD61" s="52" t="n">
        <v>0.12</v>
      </c>
      <c r="CE61" s="52" t="n">
        <v>0.05</v>
      </c>
      <c r="CF61" s="52" t="n">
        <v>0.03</v>
      </c>
      <c r="CG61" s="52" t="n">
        <v>0.1</v>
      </c>
      <c r="CH61" s="52" t="n">
        <v>0.24</v>
      </c>
      <c r="CI61" s="52" t="n">
        <v>-0.04</v>
      </c>
      <c r="CJ61" s="52" t="n">
        <v>-0.01</v>
      </c>
      <c r="CK61" s="52" t="n">
        <v>0.12</v>
      </c>
      <c r="CL61" s="52" t="n">
        <v>0.04</v>
      </c>
      <c r="CM61" s="52" t="n">
        <v>0.04</v>
      </c>
      <c r="CN61" s="52" t="n">
        <v>0.27</v>
      </c>
      <c r="CO61" s="52" t="n">
        <v>0.2</v>
      </c>
      <c r="CP61" s="52" t="n">
        <v>0.16</v>
      </c>
      <c r="CQ61" s="52" t="n">
        <v>0.19</v>
      </c>
      <c r="CR61" s="52" t="n">
        <v>0.17</v>
      </c>
      <c r="CS61" s="52" t="n">
        <v>0.19</v>
      </c>
      <c r="CT61" s="52" t="n">
        <v>0.25</v>
      </c>
      <c r="CU61" s="52" t="n">
        <v>0.18</v>
      </c>
      <c r="CV61" s="52" t="n">
        <v>0.09</v>
      </c>
      <c r="CW61" s="52" t="n">
        <v>0.13</v>
      </c>
      <c r="CX61" s="52" t="n">
        <v>0.17</v>
      </c>
      <c r="CY61" s="52" t="n">
        <v>0.17</v>
      </c>
      <c r="CZ61" s="52" t="n">
        <v>0.07</v>
      </c>
      <c r="DA61" s="52" t="n">
        <v>0.09</v>
      </c>
      <c r="DB61" s="52" t="n">
        <v>0.23</v>
      </c>
      <c r="DC61" s="52" t="n">
        <v>0.27</v>
      </c>
      <c r="DD61" s="52" t="n">
        <v>0.12</v>
      </c>
      <c r="DE61" s="52" t="n">
        <v>0.21</v>
      </c>
      <c r="DF61" s="52" t="n">
        <v>-0.06</v>
      </c>
      <c r="DG61" s="52" t="n">
        <v>0.23</v>
      </c>
      <c r="DH61" s="52" t="n">
        <v>0.04</v>
      </c>
      <c r="DI61" s="52" t="n">
        <v>0.11</v>
      </c>
      <c r="DJ61" s="52" t="n">
        <v>0.12</v>
      </c>
      <c r="DK61" s="52" t="n">
        <v>0.16</v>
      </c>
      <c r="DL61" s="52" t="n">
        <v>0.24</v>
      </c>
      <c r="DM61" s="52" t="n">
        <v>0.2</v>
      </c>
      <c r="DN61" s="52" t="n">
        <v>0.03</v>
      </c>
      <c r="DO61" s="52" t="n">
        <v>0.15</v>
      </c>
      <c r="DP61" s="52" t="n">
        <v>0.18</v>
      </c>
      <c r="DQ61" s="52" t="n">
        <v>0.11</v>
      </c>
      <c r="DR61" s="52" t="n">
        <v>0.14</v>
      </c>
      <c r="DS61" s="52" t="n">
        <v>0.02</v>
      </c>
      <c r="DT61" s="52" t="n">
        <v>-0.01</v>
      </c>
      <c r="DU61" s="52" t="n">
        <v>0.12</v>
      </c>
      <c r="DV61" s="52" t="n">
        <v>0.05</v>
      </c>
      <c r="DW61" s="52" t="n">
        <v>0.04</v>
      </c>
      <c r="DX61" s="52" t="n">
        <v>0.14</v>
      </c>
      <c r="DY61" s="52" t="n">
        <v>0.11</v>
      </c>
      <c r="DZ61" s="52" t="n">
        <v>0.07</v>
      </c>
      <c r="EA61" s="52" t="n">
        <v>0.09</v>
      </c>
      <c r="EB61" s="52" t="n">
        <v>0.13</v>
      </c>
      <c r="EC61" s="52" t="n">
        <v>0.09</v>
      </c>
      <c r="ED61" s="52" t="n">
        <v>0.21</v>
      </c>
      <c r="EE61" s="52" t="n">
        <v>0.2</v>
      </c>
      <c r="EF61" s="52" t="n">
        <v>0.14</v>
      </c>
      <c r="EG61" s="52" t="n">
        <v>0.13</v>
      </c>
      <c r="EH61" s="52" t="n">
        <v>0</v>
      </c>
      <c r="EI61" s="52" t="n">
        <v>0.1</v>
      </c>
      <c r="EJ61" s="52" t="n">
        <v>0.21</v>
      </c>
      <c r="EK61" s="52" t="n">
        <v>0.15</v>
      </c>
      <c r="EL61" s="52" t="n">
        <v>0.17</v>
      </c>
      <c r="EM61" s="52" t="n">
        <v>-0.03</v>
      </c>
      <c r="EN61" s="52" t="n">
        <v>0.09</v>
      </c>
      <c r="EO61" s="52" t="n">
        <v>0.14</v>
      </c>
    </row>
    <row r="62" customFormat="false" ht="15" hidden="false" customHeight="false" outlineLevel="0" collapsed="false">
      <c r="A62" s="51" t="s">
        <v>207</v>
      </c>
      <c r="B62" s="52" t="n">
        <v>0.21</v>
      </c>
      <c r="C62" s="52" t="n">
        <v>0.01</v>
      </c>
      <c r="D62" s="52" t="n">
        <v>0.04</v>
      </c>
      <c r="E62" s="52" t="n">
        <v>-0.01</v>
      </c>
      <c r="F62" s="52" t="n">
        <v>0.1</v>
      </c>
      <c r="G62" s="52" t="n">
        <v>-0.02</v>
      </c>
      <c r="H62" s="52" t="n">
        <v>0.03</v>
      </c>
      <c r="I62" s="52" t="n">
        <v>0.15</v>
      </c>
      <c r="J62" s="52" t="n">
        <v>0.2</v>
      </c>
      <c r="K62" s="52" t="n">
        <v>0.14</v>
      </c>
      <c r="L62" s="52" t="n">
        <v>0.01</v>
      </c>
      <c r="M62" s="52" t="n">
        <v>0.33</v>
      </c>
      <c r="N62" s="52" t="n">
        <v>0.35</v>
      </c>
      <c r="O62" s="52" t="n">
        <v>-0.12</v>
      </c>
      <c r="P62" s="52" t="n">
        <v>0.07</v>
      </c>
      <c r="Q62" s="52" t="n">
        <v>0.03</v>
      </c>
      <c r="R62" s="52" t="n">
        <v>0.14</v>
      </c>
      <c r="S62" s="52" t="n">
        <v>0.07</v>
      </c>
      <c r="T62" s="52" t="n">
        <v>0.31</v>
      </c>
      <c r="U62" s="52" t="n">
        <v>0.06</v>
      </c>
      <c r="V62" s="52" t="n">
        <v>-0.03</v>
      </c>
      <c r="W62" s="52" t="n">
        <v>-0.1</v>
      </c>
      <c r="X62" s="52" t="n">
        <v>0.27</v>
      </c>
      <c r="Y62" s="52" t="n">
        <v>0.32</v>
      </c>
      <c r="Z62" s="52" t="n">
        <v>0.05</v>
      </c>
      <c r="AA62" s="52" t="n">
        <v>-0.02</v>
      </c>
      <c r="AB62" s="52" t="n">
        <v>0.33</v>
      </c>
      <c r="AC62" s="52" t="n">
        <v>0.01</v>
      </c>
      <c r="AD62" s="52" t="n">
        <v>-0.01</v>
      </c>
      <c r="AE62" s="52" t="n">
        <v>0.12</v>
      </c>
      <c r="AF62" s="52" t="n">
        <v>0</v>
      </c>
      <c r="AG62" s="52" t="n">
        <v>-0.01</v>
      </c>
      <c r="AH62" s="52" t="n">
        <v>0</v>
      </c>
      <c r="AI62" s="52" t="n">
        <v>0.04</v>
      </c>
      <c r="AJ62" s="52" t="n">
        <v>0.02</v>
      </c>
      <c r="AK62" s="52" t="n">
        <v>0.01</v>
      </c>
      <c r="AL62" s="52" t="n">
        <v>0.14</v>
      </c>
      <c r="AM62" s="52" t="n">
        <v>0.09</v>
      </c>
      <c r="AN62" s="52" t="n">
        <v>0.33</v>
      </c>
      <c r="AO62" s="52" t="n">
        <v>0.29</v>
      </c>
      <c r="AP62" s="52" t="n">
        <v>0.3</v>
      </c>
      <c r="AQ62" s="52" t="n">
        <v>-0.01</v>
      </c>
      <c r="AR62" s="52" t="n">
        <v>0.25</v>
      </c>
      <c r="AS62" s="52" t="n">
        <v>0.1</v>
      </c>
      <c r="AT62" s="52" t="n">
        <v>0.4</v>
      </c>
      <c r="AU62" s="52" t="n">
        <v>0.02</v>
      </c>
      <c r="AV62" s="52" t="n">
        <v>0.11</v>
      </c>
      <c r="AW62" s="52" t="n">
        <v>0.12</v>
      </c>
      <c r="AX62" s="52" t="n">
        <v>0.23</v>
      </c>
      <c r="AY62" s="52" t="n">
        <v>0.23</v>
      </c>
      <c r="AZ62" s="52" t="n">
        <v>0.12</v>
      </c>
      <c r="BA62" s="52" t="n">
        <v>0.22</v>
      </c>
      <c r="BB62" s="52" t="n">
        <v>0.26</v>
      </c>
      <c r="BC62" s="52" t="n">
        <v>0.1</v>
      </c>
      <c r="BD62" s="52" t="n">
        <v>0.08</v>
      </c>
      <c r="BE62" s="52" t="n">
        <v>0.26</v>
      </c>
      <c r="BF62" s="52" t="n">
        <v>0.19</v>
      </c>
      <c r="BG62" s="52" t="n">
        <v>1</v>
      </c>
      <c r="BH62" s="52" t="n">
        <v>0.11</v>
      </c>
      <c r="BI62" s="52" t="n">
        <v>0.18</v>
      </c>
      <c r="BJ62" s="52" t="n">
        <v>-0.01</v>
      </c>
      <c r="BK62" s="52" t="n">
        <v>0.1</v>
      </c>
      <c r="BL62" s="52" t="n">
        <v>0.29</v>
      </c>
      <c r="BM62" s="52" t="n">
        <v>0.18</v>
      </c>
      <c r="BN62" s="52" t="n">
        <v>0.02</v>
      </c>
      <c r="BO62" s="52" t="n">
        <v>0.15</v>
      </c>
      <c r="BP62" s="52" t="n">
        <v>0.21</v>
      </c>
      <c r="BQ62" s="52" t="n">
        <v>0.03</v>
      </c>
      <c r="BR62" s="52" t="n">
        <v>0.34</v>
      </c>
      <c r="BS62" s="52" t="n">
        <v>-0.04</v>
      </c>
      <c r="BT62" s="52" t="n">
        <v>0.22</v>
      </c>
      <c r="BU62" s="52" t="n">
        <v>0.07</v>
      </c>
      <c r="BV62" s="52" t="n">
        <v>0.2</v>
      </c>
      <c r="BW62" s="52" t="n">
        <v>0.37</v>
      </c>
      <c r="BX62" s="52" t="n">
        <v>0.32</v>
      </c>
      <c r="BY62" s="52" t="n">
        <v>0.28</v>
      </c>
      <c r="BZ62" s="52" t="n">
        <v>0.19</v>
      </c>
      <c r="CA62" s="52" t="n">
        <v>0.03</v>
      </c>
      <c r="CB62" s="52" t="n">
        <v>-0.03</v>
      </c>
      <c r="CC62" s="52" t="n">
        <v>0.17</v>
      </c>
      <c r="CD62" s="52" t="n">
        <v>0.26</v>
      </c>
      <c r="CE62" s="52" t="n">
        <v>0.08</v>
      </c>
      <c r="CF62" s="52" t="n">
        <v>-0.04</v>
      </c>
      <c r="CG62" s="52" t="n">
        <v>0.34</v>
      </c>
      <c r="CH62" s="52" t="n">
        <v>0.12</v>
      </c>
      <c r="CI62" s="52" t="n">
        <v>-0.01</v>
      </c>
      <c r="CJ62" s="52" t="n">
        <v>0.13</v>
      </c>
      <c r="CK62" s="52" t="n">
        <v>0.28</v>
      </c>
      <c r="CL62" s="52" t="n">
        <v>0.21</v>
      </c>
      <c r="CM62" s="52" t="n">
        <v>0.15</v>
      </c>
      <c r="CN62" s="52" t="n">
        <v>0.02</v>
      </c>
      <c r="CO62" s="52" t="n">
        <v>0.1</v>
      </c>
      <c r="CP62" s="52" t="n">
        <v>0.21</v>
      </c>
      <c r="CQ62" s="52" t="n">
        <v>0.33</v>
      </c>
      <c r="CR62" s="52" t="n">
        <v>0.15</v>
      </c>
      <c r="CS62" s="52" t="n">
        <v>0.1</v>
      </c>
      <c r="CT62" s="52" t="n">
        <v>0.23</v>
      </c>
      <c r="CU62" s="52" t="n">
        <v>0.09</v>
      </c>
      <c r="CV62" s="52" t="n">
        <v>0.18</v>
      </c>
      <c r="CW62" s="52" t="n">
        <v>0.38</v>
      </c>
      <c r="CX62" s="52" t="n">
        <v>0.25</v>
      </c>
      <c r="CY62" s="52" t="n">
        <v>0.24</v>
      </c>
      <c r="CZ62" s="52" t="n">
        <v>0.16</v>
      </c>
      <c r="DA62" s="52" t="n">
        <v>0.35</v>
      </c>
      <c r="DB62" s="52" t="n">
        <v>0.05</v>
      </c>
      <c r="DC62" s="52" t="n">
        <v>0.14</v>
      </c>
      <c r="DD62" s="52" t="n">
        <v>0.38</v>
      </c>
      <c r="DE62" s="52" t="n">
        <v>0.28</v>
      </c>
      <c r="DF62" s="52" t="n">
        <v>0.23</v>
      </c>
      <c r="DG62" s="52" t="n">
        <v>0.2</v>
      </c>
      <c r="DH62" s="52" t="n">
        <v>0.09</v>
      </c>
      <c r="DI62" s="52" t="n">
        <v>0.23</v>
      </c>
      <c r="DJ62" s="52" t="n">
        <v>0.3</v>
      </c>
      <c r="DK62" s="52" t="n">
        <v>0.31</v>
      </c>
      <c r="DL62" s="52" t="n">
        <v>0.07</v>
      </c>
      <c r="DM62" s="52" t="n">
        <v>0.3</v>
      </c>
      <c r="DN62" s="52" t="n">
        <v>0.27</v>
      </c>
      <c r="DO62" s="52" t="n">
        <v>0.13</v>
      </c>
      <c r="DP62" s="52" t="n">
        <v>0.28</v>
      </c>
      <c r="DQ62" s="52" t="n">
        <v>0.08</v>
      </c>
      <c r="DR62" s="52" t="n">
        <v>0.16</v>
      </c>
      <c r="DS62" s="52" t="n">
        <v>0.2</v>
      </c>
      <c r="DT62" s="52" t="n">
        <v>0.14</v>
      </c>
      <c r="DU62" s="52" t="n">
        <v>0.28</v>
      </c>
      <c r="DV62" s="52" t="n">
        <v>0.2</v>
      </c>
      <c r="DW62" s="52" t="n">
        <v>0.32</v>
      </c>
      <c r="DX62" s="52" t="n">
        <v>0.1</v>
      </c>
      <c r="DY62" s="52" t="n">
        <v>0.37</v>
      </c>
      <c r="DZ62" s="52" t="n">
        <v>0.24</v>
      </c>
      <c r="EA62" s="52" t="n">
        <v>0.22</v>
      </c>
      <c r="EB62" s="52" t="n">
        <v>0.38</v>
      </c>
      <c r="EC62" s="52" t="n">
        <v>-0.04</v>
      </c>
      <c r="ED62" s="52" t="n">
        <v>0.17</v>
      </c>
      <c r="EE62" s="52" t="n">
        <v>0.09</v>
      </c>
      <c r="EF62" s="52" t="n">
        <v>0.19</v>
      </c>
      <c r="EG62" s="52" t="n">
        <v>0.07</v>
      </c>
      <c r="EH62" s="52" t="n">
        <v>0.19</v>
      </c>
      <c r="EI62" s="52" t="n">
        <v>0.05</v>
      </c>
      <c r="EJ62" s="52" t="n">
        <v>0.22</v>
      </c>
      <c r="EK62" s="52" t="n">
        <v>0.2</v>
      </c>
      <c r="EL62" s="52" t="n">
        <v>0.17</v>
      </c>
      <c r="EM62" s="52" t="n">
        <v>0.15</v>
      </c>
      <c r="EN62" s="52" t="n">
        <v>0.24</v>
      </c>
      <c r="EO62" s="52" t="n">
        <v>0.16</v>
      </c>
    </row>
    <row r="63" customFormat="false" ht="15" hidden="false" customHeight="false" outlineLevel="0" collapsed="false">
      <c r="A63" s="51" t="s">
        <v>208</v>
      </c>
      <c r="B63" s="52" t="n">
        <v>0.04</v>
      </c>
      <c r="C63" s="52" t="n">
        <v>0.05</v>
      </c>
      <c r="D63" s="52" t="n">
        <v>0.11</v>
      </c>
      <c r="E63" s="52" t="n">
        <v>0.22</v>
      </c>
      <c r="F63" s="52" t="n">
        <v>-0.01</v>
      </c>
      <c r="G63" s="52" t="n">
        <v>0.03</v>
      </c>
      <c r="H63" s="52" t="n">
        <v>0.3</v>
      </c>
      <c r="I63" s="52" t="n">
        <v>0.03</v>
      </c>
      <c r="J63" s="52" t="n">
        <v>-0.04</v>
      </c>
      <c r="K63" s="52" t="n">
        <v>0.03</v>
      </c>
      <c r="L63" s="52" t="n">
        <v>0.26</v>
      </c>
      <c r="M63" s="52" t="n">
        <v>0.16</v>
      </c>
      <c r="N63" s="52" t="n">
        <v>0.15</v>
      </c>
      <c r="O63" s="52" t="n">
        <v>0.18</v>
      </c>
      <c r="P63" s="52" t="n">
        <v>-0.03</v>
      </c>
      <c r="Q63" s="52" t="n">
        <v>-0.05</v>
      </c>
      <c r="R63" s="52" t="n">
        <v>0.07</v>
      </c>
      <c r="S63" s="52" t="n">
        <v>0.24</v>
      </c>
      <c r="T63" s="52" t="n">
        <v>0.1</v>
      </c>
      <c r="U63" s="52" t="n">
        <v>0.35</v>
      </c>
      <c r="V63" s="52" t="n">
        <v>0.24</v>
      </c>
      <c r="W63" s="52" t="n">
        <v>0.17</v>
      </c>
      <c r="X63" s="52" t="n">
        <v>0.14</v>
      </c>
      <c r="Y63" s="52" t="n">
        <v>0.03</v>
      </c>
      <c r="Z63" s="52" t="n">
        <v>0.33</v>
      </c>
      <c r="AA63" s="52" t="n">
        <v>0.07</v>
      </c>
      <c r="AB63" s="52" t="n">
        <v>0</v>
      </c>
      <c r="AC63" s="52" t="n">
        <v>0.26</v>
      </c>
      <c r="AD63" s="52" t="n">
        <v>0.2</v>
      </c>
      <c r="AE63" s="52" t="n">
        <v>0.25</v>
      </c>
      <c r="AF63" s="52" t="n">
        <v>0.24</v>
      </c>
      <c r="AG63" s="52" t="n">
        <v>-0.03</v>
      </c>
      <c r="AH63" s="52" t="n">
        <v>0.01</v>
      </c>
      <c r="AI63" s="52" t="n">
        <v>-0.14</v>
      </c>
      <c r="AJ63" s="52" t="n">
        <v>0.16</v>
      </c>
      <c r="AK63" s="52" t="n">
        <v>0.3</v>
      </c>
      <c r="AL63" s="52" t="n">
        <v>0.06</v>
      </c>
      <c r="AM63" s="52" t="n">
        <v>0.17</v>
      </c>
      <c r="AN63" s="52" t="n">
        <v>0.2</v>
      </c>
      <c r="AO63" s="52" t="n">
        <v>-0.02</v>
      </c>
      <c r="AP63" s="52" t="n">
        <v>0.12</v>
      </c>
      <c r="AQ63" s="52" t="n">
        <v>-0.15</v>
      </c>
      <c r="AR63" s="52" t="n">
        <v>0.09</v>
      </c>
      <c r="AS63" s="52" t="n">
        <v>0.33</v>
      </c>
      <c r="AT63" s="52" t="n">
        <v>0.13</v>
      </c>
      <c r="AU63" s="52" t="n">
        <v>-0.02</v>
      </c>
      <c r="AV63" s="52" t="n">
        <v>0.32</v>
      </c>
      <c r="AW63" s="52" t="n">
        <v>0.36</v>
      </c>
      <c r="AX63" s="52" t="n">
        <v>0.11</v>
      </c>
      <c r="AY63" s="52" t="n">
        <v>0.07</v>
      </c>
      <c r="AZ63" s="52" t="n">
        <v>0.2</v>
      </c>
      <c r="BA63" s="52" t="n">
        <v>0.09</v>
      </c>
      <c r="BB63" s="52" t="n">
        <v>0.14</v>
      </c>
      <c r="BC63" s="52" t="n">
        <v>0.21</v>
      </c>
      <c r="BD63" s="52" t="n">
        <v>0.35</v>
      </c>
      <c r="BE63" s="52" t="n">
        <v>0.08</v>
      </c>
      <c r="BF63" s="52" t="n">
        <v>0.25</v>
      </c>
      <c r="BG63" s="52" t="n">
        <v>0.11</v>
      </c>
      <c r="BH63" s="52" t="n">
        <v>1</v>
      </c>
      <c r="BI63" s="52" t="n">
        <v>0.16</v>
      </c>
      <c r="BJ63" s="52" t="n">
        <v>-0.07</v>
      </c>
      <c r="BK63" s="52" t="n">
        <v>0.15</v>
      </c>
      <c r="BL63" s="52" t="n">
        <v>0.11</v>
      </c>
      <c r="BM63" s="52" t="n">
        <v>0.12</v>
      </c>
      <c r="BN63" s="52" t="n">
        <v>0.01</v>
      </c>
      <c r="BO63" s="52" t="n">
        <v>0.21</v>
      </c>
      <c r="BP63" s="52" t="n">
        <v>0.15</v>
      </c>
      <c r="BQ63" s="52" t="n">
        <v>0.22</v>
      </c>
      <c r="BR63" s="52" t="n">
        <v>0.08</v>
      </c>
      <c r="BS63" s="52" t="n">
        <v>-0.16</v>
      </c>
      <c r="BT63" s="52" t="n">
        <v>0.22</v>
      </c>
      <c r="BU63" s="52" t="n">
        <v>0.28</v>
      </c>
      <c r="BV63" s="52" t="n">
        <v>0.14</v>
      </c>
      <c r="BW63" s="52" t="n">
        <v>0.17</v>
      </c>
      <c r="BX63" s="52" t="n">
        <v>0.02</v>
      </c>
      <c r="BY63" s="52" t="n">
        <v>0.1</v>
      </c>
      <c r="BZ63" s="52" t="n">
        <v>0.16</v>
      </c>
      <c r="CA63" s="52" t="n">
        <v>0.23</v>
      </c>
      <c r="CB63" s="52" t="n">
        <v>0</v>
      </c>
      <c r="CC63" s="52" t="n">
        <v>0.06</v>
      </c>
      <c r="CD63" s="52" t="n">
        <v>0.11</v>
      </c>
      <c r="CE63" s="52" t="n">
        <v>0.1</v>
      </c>
      <c r="CF63" s="52" t="n">
        <v>-0.18</v>
      </c>
      <c r="CG63" s="52" t="n">
        <v>0.15</v>
      </c>
      <c r="CH63" s="52" t="n">
        <v>0.28</v>
      </c>
      <c r="CI63" s="52" t="n">
        <v>-0.16</v>
      </c>
      <c r="CJ63" s="52" t="n">
        <v>0.15</v>
      </c>
      <c r="CK63" s="52" t="n">
        <v>0.1</v>
      </c>
      <c r="CL63" s="52" t="n">
        <v>0.11</v>
      </c>
      <c r="CM63" s="52" t="n">
        <v>0.13</v>
      </c>
      <c r="CN63" s="52" t="n">
        <v>0.17</v>
      </c>
      <c r="CO63" s="52" t="n">
        <v>0.17</v>
      </c>
      <c r="CP63" s="52" t="n">
        <v>0.11</v>
      </c>
      <c r="CQ63" s="52" t="n">
        <v>0.14</v>
      </c>
      <c r="CR63" s="52" t="n">
        <v>0.15</v>
      </c>
      <c r="CS63" s="52" t="n">
        <v>0.12</v>
      </c>
      <c r="CT63" s="52" t="n">
        <v>0.18</v>
      </c>
      <c r="CU63" s="52" t="n">
        <v>0.21</v>
      </c>
      <c r="CV63" s="52" t="n">
        <v>0.17</v>
      </c>
      <c r="CW63" s="52" t="n">
        <v>0.15</v>
      </c>
      <c r="CX63" s="52" t="n">
        <v>0.1</v>
      </c>
      <c r="CY63" s="52" t="n">
        <v>0.1</v>
      </c>
      <c r="CZ63" s="52" t="n">
        <v>0.03</v>
      </c>
      <c r="DA63" s="52" t="n">
        <v>0.12</v>
      </c>
      <c r="DB63" s="52" t="n">
        <v>0.27</v>
      </c>
      <c r="DC63" s="52" t="n">
        <v>0.21</v>
      </c>
      <c r="DD63" s="52" t="n">
        <v>0.19</v>
      </c>
      <c r="DE63" s="52" t="n">
        <v>0.21</v>
      </c>
      <c r="DF63" s="52" t="n">
        <v>0.09</v>
      </c>
      <c r="DG63" s="52" t="n">
        <v>0.18</v>
      </c>
      <c r="DH63" s="52" t="n">
        <v>0.22</v>
      </c>
      <c r="DI63" s="52" t="n">
        <v>0.15</v>
      </c>
      <c r="DJ63" s="52" t="n">
        <v>0.08</v>
      </c>
      <c r="DK63" s="52" t="n">
        <v>0.19</v>
      </c>
      <c r="DL63" s="52" t="n">
        <v>0.23</v>
      </c>
      <c r="DM63" s="52" t="n">
        <v>0.12</v>
      </c>
      <c r="DN63" s="52" t="n">
        <v>0.08</v>
      </c>
      <c r="DO63" s="52" t="n">
        <v>0.08</v>
      </c>
      <c r="DP63" s="52" t="n">
        <v>0.14</v>
      </c>
      <c r="DQ63" s="52" t="n">
        <v>0.02</v>
      </c>
      <c r="DR63" s="52" t="n">
        <v>0.17</v>
      </c>
      <c r="DS63" s="52" t="n">
        <v>0.01</v>
      </c>
      <c r="DT63" s="52" t="n">
        <v>0.15</v>
      </c>
      <c r="DU63" s="52" t="n">
        <v>0.19</v>
      </c>
      <c r="DV63" s="52" t="n">
        <v>0.16</v>
      </c>
      <c r="DW63" s="52" t="n">
        <v>0.23</v>
      </c>
      <c r="DX63" s="52" t="n">
        <v>0.07</v>
      </c>
      <c r="DY63" s="52" t="n">
        <v>0.13</v>
      </c>
      <c r="DZ63" s="52" t="n">
        <v>0.12</v>
      </c>
      <c r="EA63" s="52" t="n">
        <v>0.12</v>
      </c>
      <c r="EB63" s="52" t="n">
        <v>0.13</v>
      </c>
      <c r="EC63" s="52" t="n">
        <v>0.03</v>
      </c>
      <c r="ED63" s="52" t="n">
        <v>0.2</v>
      </c>
      <c r="EE63" s="52" t="n">
        <v>0.14</v>
      </c>
      <c r="EF63" s="52" t="n">
        <v>0.08</v>
      </c>
      <c r="EG63" s="52" t="n">
        <v>0.08</v>
      </c>
      <c r="EH63" s="52" t="n">
        <v>0.02</v>
      </c>
      <c r="EI63" s="52" t="n">
        <v>0.07</v>
      </c>
      <c r="EJ63" s="52" t="n">
        <v>0.14</v>
      </c>
      <c r="EK63" s="52" t="n">
        <v>0.17</v>
      </c>
      <c r="EL63" s="52" t="n">
        <v>0.16</v>
      </c>
      <c r="EM63" s="52" t="n">
        <v>0.1</v>
      </c>
      <c r="EN63" s="52" t="n">
        <v>0.06</v>
      </c>
      <c r="EO63" s="52" t="n">
        <v>0.06</v>
      </c>
    </row>
    <row r="64" customFormat="false" ht="15" hidden="false" customHeight="false" outlineLevel="0" collapsed="false">
      <c r="A64" s="51" t="s">
        <v>209</v>
      </c>
      <c r="B64" s="52" t="n">
        <v>0.1</v>
      </c>
      <c r="C64" s="52" t="n">
        <v>-0.01</v>
      </c>
      <c r="D64" s="52" t="n">
        <v>0.12</v>
      </c>
      <c r="E64" s="52" t="n">
        <v>0.2</v>
      </c>
      <c r="F64" s="52" t="n">
        <v>-0.08</v>
      </c>
      <c r="G64" s="52" t="n">
        <v>0.1</v>
      </c>
      <c r="H64" s="52" t="n">
        <v>0.14</v>
      </c>
      <c r="I64" s="52" t="n">
        <v>0.03</v>
      </c>
      <c r="J64" s="52" t="n">
        <v>-0.01</v>
      </c>
      <c r="K64" s="52" t="n">
        <v>0.04</v>
      </c>
      <c r="L64" s="52" t="n">
        <v>0.18</v>
      </c>
      <c r="M64" s="52" t="n">
        <v>0.13</v>
      </c>
      <c r="N64" s="52" t="n">
        <v>0.06</v>
      </c>
      <c r="O64" s="52" t="n">
        <v>0.25</v>
      </c>
      <c r="P64" s="52" t="n">
        <v>-0.02</v>
      </c>
      <c r="Q64" s="52" t="n">
        <v>0.07</v>
      </c>
      <c r="R64" s="52" t="n">
        <v>0.06</v>
      </c>
      <c r="S64" s="52" t="n">
        <v>0.18</v>
      </c>
      <c r="T64" s="52" t="n">
        <v>0.14</v>
      </c>
      <c r="U64" s="52" t="n">
        <v>0.14</v>
      </c>
      <c r="V64" s="52" t="n">
        <v>0.23</v>
      </c>
      <c r="W64" s="52" t="n">
        <v>0.06</v>
      </c>
      <c r="X64" s="52" t="n">
        <v>0.12</v>
      </c>
      <c r="Y64" s="52" t="n">
        <v>0.04</v>
      </c>
      <c r="Z64" s="52" t="n">
        <v>0.13</v>
      </c>
      <c r="AA64" s="52" t="n">
        <v>0.02</v>
      </c>
      <c r="AB64" s="52" t="n">
        <v>0.08</v>
      </c>
      <c r="AC64" s="52" t="n">
        <v>0.19</v>
      </c>
      <c r="AD64" s="52" t="n">
        <v>0.02</v>
      </c>
      <c r="AE64" s="52" t="n">
        <v>0.14</v>
      </c>
      <c r="AF64" s="52" t="n">
        <v>0.21</v>
      </c>
      <c r="AG64" s="52" t="n">
        <v>-0.06</v>
      </c>
      <c r="AH64" s="52" t="n">
        <v>-0.04</v>
      </c>
      <c r="AI64" s="52" t="n">
        <v>0</v>
      </c>
      <c r="AJ64" s="52" t="n">
        <v>0.03</v>
      </c>
      <c r="AK64" s="52" t="n">
        <v>0.04</v>
      </c>
      <c r="AL64" s="52" t="n">
        <v>0.02</v>
      </c>
      <c r="AM64" s="52" t="n">
        <v>0.11</v>
      </c>
      <c r="AN64" s="52" t="n">
        <v>0.1</v>
      </c>
      <c r="AO64" s="52" t="n">
        <v>-0.05</v>
      </c>
      <c r="AP64" s="52" t="n">
        <v>0.11</v>
      </c>
      <c r="AQ64" s="52" t="n">
        <v>-0.04</v>
      </c>
      <c r="AR64" s="52" t="n">
        <v>0.1</v>
      </c>
      <c r="AS64" s="52" t="n">
        <v>0.04</v>
      </c>
      <c r="AT64" s="52" t="n">
        <v>0.13</v>
      </c>
      <c r="AU64" s="52" t="n">
        <v>-0.04</v>
      </c>
      <c r="AV64" s="52" t="n">
        <v>0.22</v>
      </c>
      <c r="AW64" s="52" t="n">
        <v>0.12</v>
      </c>
      <c r="AX64" s="52" t="n">
        <v>0.06</v>
      </c>
      <c r="AY64" s="52" t="n">
        <v>0.01</v>
      </c>
      <c r="AZ64" s="52" t="n">
        <v>0.18</v>
      </c>
      <c r="BA64" s="52" t="n">
        <v>0.09</v>
      </c>
      <c r="BB64" s="52" t="n">
        <v>0.11</v>
      </c>
      <c r="BC64" s="52" t="n">
        <v>0.08</v>
      </c>
      <c r="BD64" s="52" t="n">
        <v>0.03</v>
      </c>
      <c r="BE64" s="52" t="n">
        <v>0.09</v>
      </c>
      <c r="BF64" s="52" t="n">
        <v>0.17</v>
      </c>
      <c r="BG64" s="52" t="n">
        <v>0.18</v>
      </c>
      <c r="BH64" s="52" t="n">
        <v>0.16</v>
      </c>
      <c r="BI64" s="52" t="n">
        <v>1</v>
      </c>
      <c r="BJ64" s="52" t="n">
        <v>0.07</v>
      </c>
      <c r="BK64" s="52" t="n">
        <v>0.16</v>
      </c>
      <c r="BL64" s="52" t="n">
        <v>0.13</v>
      </c>
      <c r="BM64" s="52" t="n">
        <v>0.09</v>
      </c>
      <c r="BN64" s="52" t="n">
        <v>0.02</v>
      </c>
      <c r="BO64" s="52" t="n">
        <v>0.13</v>
      </c>
      <c r="BP64" s="52" t="n">
        <v>0.06</v>
      </c>
      <c r="BQ64" s="52" t="n">
        <v>0.14</v>
      </c>
      <c r="BR64" s="52" t="n">
        <v>0.18</v>
      </c>
      <c r="BS64" s="52" t="n">
        <v>-0.04</v>
      </c>
      <c r="BT64" s="52" t="n">
        <v>0.12</v>
      </c>
      <c r="BU64" s="52" t="n">
        <v>0.08</v>
      </c>
      <c r="BV64" s="52" t="n">
        <v>0.18</v>
      </c>
      <c r="BW64" s="52" t="n">
        <v>0.23</v>
      </c>
      <c r="BX64" s="52" t="n">
        <v>0.03</v>
      </c>
      <c r="BY64" s="52" t="n">
        <v>0</v>
      </c>
      <c r="BZ64" s="52" t="n">
        <v>0.12</v>
      </c>
      <c r="CA64" s="52" t="n">
        <v>0.17</v>
      </c>
      <c r="CB64" s="52" t="n">
        <v>-0.02</v>
      </c>
      <c r="CC64" s="52" t="n">
        <v>0.08</v>
      </c>
      <c r="CD64" s="52" t="n">
        <v>0.07</v>
      </c>
      <c r="CE64" s="52" t="n">
        <v>0.02</v>
      </c>
      <c r="CF64" s="52" t="n">
        <v>0.01</v>
      </c>
      <c r="CG64" s="52" t="n">
        <v>0.09</v>
      </c>
      <c r="CH64" s="52" t="n">
        <v>0.15</v>
      </c>
      <c r="CI64" s="52" t="n">
        <v>0</v>
      </c>
      <c r="CJ64" s="52" t="n">
        <v>-0.03</v>
      </c>
      <c r="CK64" s="52" t="n">
        <v>0.07</v>
      </c>
      <c r="CL64" s="52" t="n">
        <v>0.02</v>
      </c>
      <c r="CM64" s="52" t="n">
        <v>-0.05</v>
      </c>
      <c r="CN64" s="52" t="n">
        <v>-0.03</v>
      </c>
      <c r="CO64" s="52" t="n">
        <v>0.12</v>
      </c>
      <c r="CP64" s="52" t="n">
        <v>0.15</v>
      </c>
      <c r="CQ64" s="52" t="n">
        <v>0.14</v>
      </c>
      <c r="CR64" s="52" t="n">
        <v>0.04</v>
      </c>
      <c r="CS64" s="52" t="n">
        <v>-0.01</v>
      </c>
      <c r="CT64" s="52" t="n">
        <v>0.12</v>
      </c>
      <c r="CU64" s="52" t="n">
        <v>0.1</v>
      </c>
      <c r="CV64" s="52" t="n">
        <v>0.16</v>
      </c>
      <c r="CW64" s="52" t="n">
        <v>0.07</v>
      </c>
      <c r="CX64" s="52" t="n">
        <v>0.06</v>
      </c>
      <c r="CY64" s="52" t="n">
        <v>0.02</v>
      </c>
      <c r="CZ64" s="52" t="n">
        <v>0.08</v>
      </c>
      <c r="DA64" s="52" t="n">
        <v>0</v>
      </c>
      <c r="DB64" s="52" t="n">
        <v>0.15</v>
      </c>
      <c r="DC64" s="52" t="n">
        <v>0.16</v>
      </c>
      <c r="DD64" s="52" t="n">
        <v>0.16</v>
      </c>
      <c r="DE64" s="52" t="n">
        <v>0.08</v>
      </c>
      <c r="DF64" s="52" t="n">
        <v>0.05</v>
      </c>
      <c r="DG64" s="52" t="n">
        <v>0.12</v>
      </c>
      <c r="DH64" s="52" t="n">
        <v>0.03</v>
      </c>
      <c r="DI64" s="52" t="n">
        <v>0.21</v>
      </c>
      <c r="DJ64" s="52" t="n">
        <v>0.09</v>
      </c>
      <c r="DK64" s="52" t="n">
        <v>0.18</v>
      </c>
      <c r="DL64" s="52" t="n">
        <v>0.1</v>
      </c>
      <c r="DM64" s="52" t="n">
        <v>0.09</v>
      </c>
      <c r="DN64" s="52" t="n">
        <v>0.19</v>
      </c>
      <c r="DO64" s="52" t="n">
        <v>0.13</v>
      </c>
      <c r="DP64" s="52" t="n">
        <v>0.1</v>
      </c>
      <c r="DQ64" s="52" t="n">
        <v>0.14</v>
      </c>
      <c r="DR64" s="52" t="n">
        <v>0.15</v>
      </c>
      <c r="DS64" s="52" t="n">
        <v>0.08</v>
      </c>
      <c r="DT64" s="52" t="n">
        <v>0.11</v>
      </c>
      <c r="DU64" s="52" t="n">
        <v>0.1</v>
      </c>
      <c r="DV64" s="52" t="n">
        <v>0.14</v>
      </c>
      <c r="DW64" s="52" t="n">
        <v>0.08</v>
      </c>
      <c r="DX64" s="52" t="n">
        <v>0.05</v>
      </c>
      <c r="DY64" s="52" t="n">
        <v>0.2</v>
      </c>
      <c r="DZ64" s="52" t="n">
        <v>0.09</v>
      </c>
      <c r="EA64" s="52" t="n">
        <v>-0.02</v>
      </c>
      <c r="EB64" s="52" t="n">
        <v>0.14</v>
      </c>
      <c r="EC64" s="52" t="n">
        <v>0.03</v>
      </c>
      <c r="ED64" s="52" t="n">
        <v>0.13</v>
      </c>
      <c r="EE64" s="52" t="n">
        <v>0.01</v>
      </c>
      <c r="EF64" s="52" t="n">
        <v>0.06</v>
      </c>
      <c r="EG64" s="52" t="n">
        <v>0.06</v>
      </c>
      <c r="EH64" s="52" t="n">
        <v>-0.07</v>
      </c>
      <c r="EI64" s="52" t="n">
        <v>0.01</v>
      </c>
      <c r="EJ64" s="52" t="n">
        <v>0.11</v>
      </c>
      <c r="EK64" s="52" t="n">
        <v>0.02</v>
      </c>
      <c r="EL64" s="52" t="n">
        <v>0.1</v>
      </c>
      <c r="EM64" s="52" t="n">
        <v>0.08</v>
      </c>
      <c r="EN64" s="52" t="n">
        <v>0.03</v>
      </c>
      <c r="EO64" s="52" t="n">
        <v>-0.06</v>
      </c>
    </row>
    <row r="65" customFormat="false" ht="15" hidden="false" customHeight="false" outlineLevel="0" collapsed="false">
      <c r="A65" s="51" t="s">
        <v>210</v>
      </c>
      <c r="B65" s="52" t="n">
        <v>-0.03</v>
      </c>
      <c r="C65" s="52" t="n">
        <v>0.03</v>
      </c>
      <c r="D65" s="52" t="n">
        <v>0.07</v>
      </c>
      <c r="E65" s="52" t="n">
        <v>0.06</v>
      </c>
      <c r="F65" s="52" t="n">
        <v>-0.09</v>
      </c>
      <c r="G65" s="52" t="n">
        <v>0.06</v>
      </c>
      <c r="H65" s="52" t="n">
        <v>-0.08</v>
      </c>
      <c r="I65" s="52" t="n">
        <v>0.01</v>
      </c>
      <c r="J65" s="52" t="n">
        <v>-0.03</v>
      </c>
      <c r="K65" s="52" t="n">
        <v>-0.05</v>
      </c>
      <c r="L65" s="52" t="n">
        <v>0.02</v>
      </c>
      <c r="M65" s="52" t="n">
        <v>-0.11</v>
      </c>
      <c r="N65" s="52" t="n">
        <v>-0.02</v>
      </c>
      <c r="O65" s="52" t="n">
        <v>0.01</v>
      </c>
      <c r="P65" s="52" t="n">
        <v>-0.06</v>
      </c>
      <c r="Q65" s="52" t="n">
        <v>-0.01</v>
      </c>
      <c r="R65" s="52" t="n">
        <v>-0.1</v>
      </c>
      <c r="S65" s="52" t="n">
        <v>0.1</v>
      </c>
      <c r="T65" s="52" t="n">
        <v>0.04</v>
      </c>
      <c r="U65" s="52" t="n">
        <v>0.08</v>
      </c>
      <c r="V65" s="52" t="n">
        <v>0</v>
      </c>
      <c r="W65" s="52" t="n">
        <v>0.01</v>
      </c>
      <c r="X65" s="52" t="n">
        <v>0.01</v>
      </c>
      <c r="Y65" s="52" t="n">
        <v>0.03</v>
      </c>
      <c r="Z65" s="52" t="n">
        <v>-0.09</v>
      </c>
      <c r="AA65" s="52" t="n">
        <v>-0.01</v>
      </c>
      <c r="AB65" s="52" t="n">
        <v>0.02</v>
      </c>
      <c r="AC65" s="52" t="n">
        <v>0.04</v>
      </c>
      <c r="AD65" s="52" t="n">
        <v>0.04</v>
      </c>
      <c r="AE65" s="52" t="n">
        <v>0.08</v>
      </c>
      <c r="AF65" s="52" t="n">
        <v>0.14</v>
      </c>
      <c r="AG65" s="52" t="n">
        <v>-0.02</v>
      </c>
      <c r="AH65" s="52" t="n">
        <v>-0.1</v>
      </c>
      <c r="AI65" s="52" t="n">
        <v>-0.03</v>
      </c>
      <c r="AJ65" s="52" t="n">
        <v>0.16</v>
      </c>
      <c r="AK65" s="52" t="n">
        <v>0.08</v>
      </c>
      <c r="AL65" s="52" t="n">
        <v>-0.09</v>
      </c>
      <c r="AM65" s="52" t="n">
        <v>0.04</v>
      </c>
      <c r="AN65" s="52" t="n">
        <v>-0.06</v>
      </c>
      <c r="AO65" s="52" t="n">
        <v>-0.07</v>
      </c>
      <c r="AP65" s="52" t="n">
        <v>-0.01</v>
      </c>
      <c r="AQ65" s="52" t="n">
        <v>-0.02</v>
      </c>
      <c r="AR65" s="52" t="n">
        <v>0.09</v>
      </c>
      <c r="AS65" s="52" t="n">
        <v>0.08</v>
      </c>
      <c r="AT65" s="52" t="n">
        <v>-0.05</v>
      </c>
      <c r="AU65" s="52" t="n">
        <v>-0.07</v>
      </c>
      <c r="AV65" s="52" t="n">
        <v>0.12</v>
      </c>
      <c r="AW65" s="52" t="n">
        <v>0.08</v>
      </c>
      <c r="AX65" s="52" t="n">
        <v>0.08</v>
      </c>
      <c r="AY65" s="52" t="n">
        <v>-0.07</v>
      </c>
      <c r="AZ65" s="52" t="n">
        <v>0.1</v>
      </c>
      <c r="BA65" s="52" t="n">
        <v>0.03</v>
      </c>
      <c r="BB65" s="52" t="n">
        <v>0.01</v>
      </c>
      <c r="BC65" s="52" t="n">
        <v>0.07</v>
      </c>
      <c r="BD65" s="52" t="n">
        <v>0.09</v>
      </c>
      <c r="BE65" s="52" t="n">
        <v>0.02</v>
      </c>
      <c r="BF65" s="52" t="n">
        <v>0.01</v>
      </c>
      <c r="BG65" s="52" t="n">
        <v>-0.01</v>
      </c>
      <c r="BH65" s="52" t="n">
        <v>-0.07</v>
      </c>
      <c r="BI65" s="52" t="n">
        <v>0.07</v>
      </c>
      <c r="BJ65" s="52" t="n">
        <v>1</v>
      </c>
      <c r="BK65" s="52" t="n">
        <v>0.1</v>
      </c>
      <c r="BL65" s="52" t="n">
        <v>0.03</v>
      </c>
      <c r="BM65" s="52" t="n">
        <v>-0.11</v>
      </c>
      <c r="BN65" s="52" t="n">
        <v>-0.08</v>
      </c>
      <c r="BO65" s="52" t="n">
        <v>-0.01</v>
      </c>
      <c r="BP65" s="52" t="n">
        <v>-0.02</v>
      </c>
      <c r="BQ65" s="52" t="n">
        <v>0.02</v>
      </c>
      <c r="BR65" s="52" t="n">
        <v>0.06</v>
      </c>
      <c r="BS65" s="52" t="n">
        <v>0.08</v>
      </c>
      <c r="BT65" s="52" t="n">
        <v>0.05</v>
      </c>
      <c r="BU65" s="52" t="n">
        <v>0.01</v>
      </c>
      <c r="BV65" s="52" t="n">
        <v>0.04</v>
      </c>
      <c r="BW65" s="52" t="n">
        <v>0.01</v>
      </c>
      <c r="BX65" s="52" t="n">
        <v>-0.02</v>
      </c>
      <c r="BY65" s="52" t="n">
        <v>-0.12</v>
      </c>
      <c r="BZ65" s="52" t="n">
        <v>-0.06</v>
      </c>
      <c r="CA65" s="52" t="n">
        <v>0.08</v>
      </c>
      <c r="CB65" s="52" t="n">
        <v>0.03</v>
      </c>
      <c r="CC65" s="52" t="n">
        <v>0.01</v>
      </c>
      <c r="CD65" s="52" t="n">
        <v>-0.05</v>
      </c>
      <c r="CE65" s="52" t="n">
        <v>-0.05</v>
      </c>
      <c r="CF65" s="52" t="n">
        <v>0.04</v>
      </c>
      <c r="CG65" s="52" t="n">
        <v>-0.03</v>
      </c>
      <c r="CH65" s="52" t="n">
        <v>0.14</v>
      </c>
      <c r="CI65" s="52" t="n">
        <v>0.05</v>
      </c>
      <c r="CJ65" s="52" t="n">
        <v>-0.05</v>
      </c>
      <c r="CK65" s="52" t="n">
        <v>-0.05</v>
      </c>
      <c r="CL65" s="52" t="n">
        <v>-0.13</v>
      </c>
      <c r="CM65" s="52" t="n">
        <v>-0.07</v>
      </c>
      <c r="CN65" s="52" t="n">
        <v>0.03</v>
      </c>
      <c r="CO65" s="52" t="n">
        <v>-0.07</v>
      </c>
      <c r="CP65" s="52" t="n">
        <v>-0.05</v>
      </c>
      <c r="CQ65" s="52" t="n">
        <v>-0.02</v>
      </c>
      <c r="CR65" s="52" t="n">
        <v>0.03</v>
      </c>
      <c r="CS65" s="52" t="n">
        <v>0.06</v>
      </c>
      <c r="CT65" s="52" t="n">
        <v>-0.03</v>
      </c>
      <c r="CU65" s="52" t="n">
        <v>-0.02</v>
      </c>
      <c r="CV65" s="52" t="n">
        <v>-0.06</v>
      </c>
      <c r="CW65" s="52" t="n">
        <v>0.05</v>
      </c>
      <c r="CX65" s="52" t="n">
        <v>0.02</v>
      </c>
      <c r="CY65" s="52" t="n">
        <v>-0.04</v>
      </c>
      <c r="CZ65" s="52" t="n">
        <v>-0.02</v>
      </c>
      <c r="DA65" s="52" t="n">
        <v>-0.1</v>
      </c>
      <c r="DB65" s="52" t="n">
        <v>0.04</v>
      </c>
      <c r="DC65" s="52" t="n">
        <v>0.12</v>
      </c>
      <c r="DD65" s="52" t="n">
        <v>0</v>
      </c>
      <c r="DE65" s="52" t="n">
        <v>0.02</v>
      </c>
      <c r="DF65" s="52" t="n">
        <v>-0.06</v>
      </c>
      <c r="DG65" s="52" t="n">
        <v>0.13</v>
      </c>
      <c r="DH65" s="52" t="n">
        <v>0.06</v>
      </c>
      <c r="DI65" s="52" t="n">
        <v>-0.06</v>
      </c>
      <c r="DJ65" s="52" t="n">
        <v>-0.07</v>
      </c>
      <c r="DK65" s="52" t="n">
        <v>-0.01</v>
      </c>
      <c r="DL65" s="52" t="n">
        <v>0.17</v>
      </c>
      <c r="DM65" s="52" t="n">
        <v>-0.07</v>
      </c>
      <c r="DN65" s="52" t="n">
        <v>-0.1</v>
      </c>
      <c r="DO65" s="52" t="n">
        <v>0.05</v>
      </c>
      <c r="DP65" s="52" t="n">
        <v>-0.06</v>
      </c>
      <c r="DQ65" s="52" t="n">
        <v>0.01</v>
      </c>
      <c r="DR65" s="52" t="n">
        <v>0.01</v>
      </c>
      <c r="DS65" s="52" t="n">
        <v>-0.1</v>
      </c>
      <c r="DT65" s="52" t="n">
        <v>-0.02</v>
      </c>
      <c r="DU65" s="52" t="n">
        <v>0.01</v>
      </c>
      <c r="DV65" s="52" t="n">
        <v>-0.07</v>
      </c>
      <c r="DW65" s="52" t="n">
        <v>-0.06</v>
      </c>
      <c r="DX65" s="52" t="n">
        <v>0.08</v>
      </c>
      <c r="DY65" s="52" t="n">
        <v>-0.03</v>
      </c>
      <c r="DZ65" s="52" t="n">
        <v>-0.03</v>
      </c>
      <c r="EA65" s="52" t="n">
        <v>0.06</v>
      </c>
      <c r="EB65" s="52" t="n">
        <v>-0.06</v>
      </c>
      <c r="EC65" s="52" t="n">
        <v>-0.03</v>
      </c>
      <c r="ED65" s="52" t="n">
        <v>-0.02</v>
      </c>
      <c r="EE65" s="52" t="n">
        <v>0.04</v>
      </c>
      <c r="EF65" s="52" t="n">
        <v>0.05</v>
      </c>
      <c r="EG65" s="52" t="n">
        <v>0.06</v>
      </c>
      <c r="EH65" s="52" t="n">
        <v>-0.11</v>
      </c>
      <c r="EI65" s="52" t="n">
        <v>0.08</v>
      </c>
      <c r="EJ65" s="52" t="n">
        <v>-0.01</v>
      </c>
      <c r="EK65" s="52" t="n">
        <v>0.06</v>
      </c>
      <c r="EL65" s="52" t="n">
        <v>0.11</v>
      </c>
      <c r="EM65" s="52" t="n">
        <v>0.03</v>
      </c>
      <c r="EN65" s="52" t="n">
        <v>0.03</v>
      </c>
      <c r="EO65" s="52" t="n">
        <v>-0.05</v>
      </c>
    </row>
    <row r="66" customFormat="false" ht="15" hidden="false" customHeight="false" outlineLevel="0" collapsed="false">
      <c r="A66" s="51" t="s">
        <v>211</v>
      </c>
      <c r="B66" s="52" t="n">
        <v>0.02</v>
      </c>
      <c r="C66" s="52" t="n">
        <v>0.06</v>
      </c>
      <c r="D66" s="52" t="n">
        <v>0.22</v>
      </c>
      <c r="E66" s="52" t="n">
        <v>0.18</v>
      </c>
      <c r="F66" s="52" t="n">
        <v>-0.05</v>
      </c>
      <c r="G66" s="52" t="n">
        <v>0.17</v>
      </c>
      <c r="H66" s="52" t="n">
        <v>0.19</v>
      </c>
      <c r="I66" s="52" t="n">
        <v>0.01</v>
      </c>
      <c r="J66" s="52" t="n">
        <v>-0.06</v>
      </c>
      <c r="K66" s="52" t="n">
        <v>0.03</v>
      </c>
      <c r="L66" s="52" t="n">
        <v>0.2</v>
      </c>
      <c r="M66" s="52" t="n">
        <v>0.18</v>
      </c>
      <c r="N66" s="52" t="n">
        <v>0.02</v>
      </c>
      <c r="O66" s="52" t="n">
        <v>0.24</v>
      </c>
      <c r="P66" s="52" t="n">
        <v>0.07</v>
      </c>
      <c r="Q66" s="52" t="n">
        <v>0.17</v>
      </c>
      <c r="R66" s="52" t="n">
        <v>0.03</v>
      </c>
      <c r="S66" s="52" t="n">
        <v>0.22</v>
      </c>
      <c r="T66" s="52" t="n">
        <v>0.19</v>
      </c>
      <c r="U66" s="52" t="n">
        <v>0.24</v>
      </c>
      <c r="V66" s="52" t="n">
        <v>0.18</v>
      </c>
      <c r="W66" s="52" t="n">
        <v>0.16</v>
      </c>
      <c r="X66" s="52" t="n">
        <v>0.14</v>
      </c>
      <c r="Y66" s="52" t="n">
        <v>0.1</v>
      </c>
      <c r="Z66" s="52" t="n">
        <v>0.29</v>
      </c>
      <c r="AA66" s="52" t="n">
        <v>0.24</v>
      </c>
      <c r="AB66" s="52" t="n">
        <v>0.07</v>
      </c>
      <c r="AC66" s="52" t="n">
        <v>0.14</v>
      </c>
      <c r="AD66" s="52" t="n">
        <v>0.21</v>
      </c>
      <c r="AE66" s="52" t="n">
        <v>0.66</v>
      </c>
      <c r="AF66" s="52" t="n">
        <v>0.41</v>
      </c>
      <c r="AG66" s="52" t="n">
        <v>-0.03</v>
      </c>
      <c r="AH66" s="52" t="n">
        <v>-0.04</v>
      </c>
      <c r="AI66" s="52" t="n">
        <v>-0.19</v>
      </c>
      <c r="AJ66" s="52" t="n">
        <v>0.2</v>
      </c>
      <c r="AK66" s="52" t="n">
        <v>0.29</v>
      </c>
      <c r="AL66" s="52" t="n">
        <v>0.05</v>
      </c>
      <c r="AM66" s="52" t="n">
        <v>0.28</v>
      </c>
      <c r="AN66" s="52" t="n">
        <v>0.13</v>
      </c>
      <c r="AO66" s="52" t="n">
        <v>-0.02</v>
      </c>
      <c r="AP66" s="52" t="n">
        <v>0.06</v>
      </c>
      <c r="AQ66" s="52" t="n">
        <v>-0.14</v>
      </c>
      <c r="AR66" s="52" t="n">
        <v>0.2</v>
      </c>
      <c r="AS66" s="52" t="n">
        <v>0.18</v>
      </c>
      <c r="AT66" s="52" t="n">
        <v>0.17</v>
      </c>
      <c r="AU66" s="52" t="n">
        <v>-0.01</v>
      </c>
      <c r="AV66" s="52" t="n">
        <v>0.21</v>
      </c>
      <c r="AW66" s="52" t="n">
        <v>0.19</v>
      </c>
      <c r="AX66" s="52" t="n">
        <v>0.05</v>
      </c>
      <c r="AY66" s="52" t="n">
        <v>0.08</v>
      </c>
      <c r="AZ66" s="52" t="n">
        <v>0.68</v>
      </c>
      <c r="BA66" s="52" t="n">
        <v>0.15</v>
      </c>
      <c r="BB66" s="52" t="n">
        <v>0.26</v>
      </c>
      <c r="BC66" s="52" t="n">
        <v>0.24</v>
      </c>
      <c r="BD66" s="52" t="n">
        <v>0.34</v>
      </c>
      <c r="BE66" s="52" t="n">
        <v>0.04</v>
      </c>
      <c r="BF66" s="52" t="n">
        <v>0.33</v>
      </c>
      <c r="BG66" s="52" t="n">
        <v>0.1</v>
      </c>
      <c r="BH66" s="52" t="n">
        <v>0.15</v>
      </c>
      <c r="BI66" s="52" t="n">
        <v>0.16</v>
      </c>
      <c r="BJ66" s="52" t="n">
        <v>0.1</v>
      </c>
      <c r="BK66" s="52" t="n">
        <v>1</v>
      </c>
      <c r="BL66" s="52" t="n">
        <v>0.1</v>
      </c>
      <c r="BM66" s="52" t="n">
        <v>0.05</v>
      </c>
      <c r="BN66" s="52" t="n">
        <v>0.03</v>
      </c>
      <c r="BO66" s="52" t="n">
        <v>0.1</v>
      </c>
      <c r="BP66" s="52" t="n">
        <v>0.04</v>
      </c>
      <c r="BQ66" s="52" t="n">
        <v>0.32</v>
      </c>
      <c r="BR66" s="52" t="n">
        <v>0.16</v>
      </c>
      <c r="BS66" s="52" t="n">
        <v>-0.12</v>
      </c>
      <c r="BT66" s="52" t="n">
        <v>0.17</v>
      </c>
      <c r="BU66" s="52" t="n">
        <v>0.22</v>
      </c>
      <c r="BV66" s="52" t="n">
        <v>0.06</v>
      </c>
      <c r="BW66" s="52" t="n">
        <v>0.06</v>
      </c>
      <c r="BX66" s="52" t="n">
        <v>0</v>
      </c>
      <c r="BY66" s="52" t="n">
        <v>0.06</v>
      </c>
      <c r="BZ66" s="52" t="n">
        <v>0.1</v>
      </c>
      <c r="CA66" s="52" t="n">
        <v>0.22</v>
      </c>
      <c r="CB66" s="52" t="n">
        <v>0</v>
      </c>
      <c r="CC66" s="52" t="n">
        <v>0.08</v>
      </c>
      <c r="CD66" s="52" t="n">
        <v>0.09</v>
      </c>
      <c r="CE66" s="52" t="n">
        <v>0.19</v>
      </c>
      <c r="CF66" s="52" t="n">
        <v>-0.09</v>
      </c>
      <c r="CG66" s="52" t="n">
        <v>0.09</v>
      </c>
      <c r="CH66" s="52" t="n">
        <v>0.24</v>
      </c>
      <c r="CI66" s="52" t="n">
        <v>-0.14</v>
      </c>
      <c r="CJ66" s="52" t="n">
        <v>-0.11</v>
      </c>
      <c r="CK66" s="52" t="n">
        <v>0.03</v>
      </c>
      <c r="CL66" s="52" t="n">
        <v>0.06</v>
      </c>
      <c r="CM66" s="52" t="n">
        <v>0.1</v>
      </c>
      <c r="CN66" s="52" t="n">
        <v>0.18</v>
      </c>
      <c r="CO66" s="52" t="n">
        <v>0.17</v>
      </c>
      <c r="CP66" s="52" t="n">
        <v>0.06</v>
      </c>
      <c r="CQ66" s="52" t="n">
        <v>0.22</v>
      </c>
      <c r="CR66" s="52" t="n">
        <v>0.22</v>
      </c>
      <c r="CS66" s="52" t="n">
        <v>0.26</v>
      </c>
      <c r="CT66" s="52" t="n">
        <v>0.12</v>
      </c>
      <c r="CU66" s="52" t="n">
        <v>0.12</v>
      </c>
      <c r="CV66" s="52" t="n">
        <v>0.18</v>
      </c>
      <c r="CW66" s="52" t="n">
        <v>0.11</v>
      </c>
      <c r="CX66" s="52" t="n">
        <v>0.16</v>
      </c>
      <c r="CY66" s="52" t="n">
        <v>0.21</v>
      </c>
      <c r="CZ66" s="52" t="n">
        <v>0.05</v>
      </c>
      <c r="DA66" s="52" t="n">
        <v>0</v>
      </c>
      <c r="DB66" s="52" t="n">
        <v>0.19</v>
      </c>
      <c r="DC66" s="52" t="n">
        <v>0.35</v>
      </c>
      <c r="DD66" s="52" t="n">
        <v>0.14</v>
      </c>
      <c r="DE66" s="52" t="n">
        <v>0.17</v>
      </c>
      <c r="DF66" s="52" t="n">
        <v>-0.13</v>
      </c>
      <c r="DG66" s="52" t="n">
        <v>0.18</v>
      </c>
      <c r="DH66" s="52" t="n">
        <v>0.2</v>
      </c>
      <c r="DI66" s="52" t="n">
        <v>0.24</v>
      </c>
      <c r="DJ66" s="52" t="n">
        <v>0.14</v>
      </c>
      <c r="DK66" s="52" t="n">
        <v>0.24</v>
      </c>
      <c r="DL66" s="52" t="n">
        <v>0.17</v>
      </c>
      <c r="DM66" s="52" t="n">
        <v>0.21</v>
      </c>
      <c r="DN66" s="52" t="n">
        <v>-0.08</v>
      </c>
      <c r="DO66" s="52" t="n">
        <v>0.18</v>
      </c>
      <c r="DP66" s="52" t="n">
        <v>0.13</v>
      </c>
      <c r="DQ66" s="52" t="n">
        <v>0.1</v>
      </c>
      <c r="DR66" s="52" t="n">
        <v>0.08</v>
      </c>
      <c r="DS66" s="52" t="n">
        <v>0</v>
      </c>
      <c r="DT66" s="52" t="n">
        <v>-0.03</v>
      </c>
      <c r="DU66" s="52" t="n">
        <v>0.17</v>
      </c>
      <c r="DV66" s="52" t="n">
        <v>0.05</v>
      </c>
      <c r="DW66" s="52" t="n">
        <v>0.09</v>
      </c>
      <c r="DX66" s="52" t="n">
        <v>0.22</v>
      </c>
      <c r="DY66" s="52" t="n">
        <v>0.14</v>
      </c>
      <c r="DZ66" s="52" t="n">
        <v>0.05</v>
      </c>
      <c r="EA66" s="52" t="n">
        <v>0.19</v>
      </c>
      <c r="EB66" s="52" t="n">
        <v>0.17</v>
      </c>
      <c r="EC66" s="52" t="n">
        <v>0.02</v>
      </c>
      <c r="ED66" s="52" t="n">
        <v>0.19</v>
      </c>
      <c r="EE66" s="52" t="n">
        <v>0.24</v>
      </c>
      <c r="EF66" s="52" t="n">
        <v>0.12</v>
      </c>
      <c r="EG66" s="52" t="n">
        <v>0.16</v>
      </c>
      <c r="EH66" s="52" t="n">
        <v>-0.06</v>
      </c>
      <c r="EI66" s="52" t="n">
        <v>0.16</v>
      </c>
      <c r="EJ66" s="52" t="n">
        <v>0.19</v>
      </c>
      <c r="EK66" s="52" t="n">
        <v>0.15</v>
      </c>
      <c r="EL66" s="52" t="n">
        <v>0.21</v>
      </c>
      <c r="EM66" s="52" t="n">
        <v>-0.06</v>
      </c>
      <c r="EN66" s="52" t="n">
        <v>0.07</v>
      </c>
      <c r="EO66" s="52" t="n">
        <v>-0.11</v>
      </c>
    </row>
    <row r="67" customFormat="false" ht="15" hidden="false" customHeight="false" outlineLevel="0" collapsed="false">
      <c r="A67" s="51" t="s">
        <v>212</v>
      </c>
      <c r="B67" s="52" t="n">
        <v>0.08</v>
      </c>
      <c r="C67" s="52" t="n">
        <v>-0.01</v>
      </c>
      <c r="D67" s="52" t="n">
        <v>-0.05</v>
      </c>
      <c r="E67" s="52" t="n">
        <v>0.1</v>
      </c>
      <c r="F67" s="52" t="n">
        <v>0.11</v>
      </c>
      <c r="G67" s="52" t="n">
        <v>0.08</v>
      </c>
      <c r="H67" s="52" t="n">
        <v>0.13</v>
      </c>
      <c r="I67" s="52" t="n">
        <v>0.12</v>
      </c>
      <c r="J67" s="52" t="n">
        <v>0.17</v>
      </c>
      <c r="K67" s="52" t="n">
        <v>0.2</v>
      </c>
      <c r="L67" s="52" t="n">
        <v>0.09</v>
      </c>
      <c r="M67" s="52" t="n">
        <v>0.37</v>
      </c>
      <c r="N67" s="52" t="n">
        <v>0.2</v>
      </c>
      <c r="O67" s="52" t="n">
        <v>0.16</v>
      </c>
      <c r="P67" s="52" t="n">
        <v>-0.02</v>
      </c>
      <c r="Q67" s="52" t="n">
        <v>0.04</v>
      </c>
      <c r="R67" s="52" t="n">
        <v>0.13</v>
      </c>
      <c r="S67" s="52" t="n">
        <v>0.07</v>
      </c>
      <c r="T67" s="52" t="n">
        <v>0.31</v>
      </c>
      <c r="U67" s="52" t="n">
        <v>0.19</v>
      </c>
      <c r="V67" s="52" t="n">
        <v>0.15</v>
      </c>
      <c r="W67" s="52" t="n">
        <v>0.05</v>
      </c>
      <c r="X67" s="52" t="n">
        <v>0.33</v>
      </c>
      <c r="Y67" s="52" t="n">
        <v>0.02</v>
      </c>
      <c r="Z67" s="52" t="n">
        <v>0.18</v>
      </c>
      <c r="AA67" s="52" t="n">
        <v>0.12</v>
      </c>
      <c r="AB67" s="52" t="n">
        <v>0.01</v>
      </c>
      <c r="AC67" s="52" t="n">
        <v>-0.01</v>
      </c>
      <c r="AD67" s="52" t="n">
        <v>0.17</v>
      </c>
      <c r="AE67" s="52" t="n">
        <v>0.15</v>
      </c>
      <c r="AF67" s="52" t="n">
        <v>0.13</v>
      </c>
      <c r="AG67" s="52" t="n">
        <v>0.05</v>
      </c>
      <c r="AH67" s="52" t="n">
        <v>0.04</v>
      </c>
      <c r="AI67" s="52" t="n">
        <v>-0.05</v>
      </c>
      <c r="AJ67" s="52" t="n">
        <v>0.13</v>
      </c>
      <c r="AK67" s="52" t="n">
        <v>0.21</v>
      </c>
      <c r="AL67" s="52" t="n">
        <v>0.19</v>
      </c>
      <c r="AM67" s="52" t="n">
        <v>0.1</v>
      </c>
      <c r="AN67" s="52" t="n">
        <v>0.3</v>
      </c>
      <c r="AO67" s="52" t="n">
        <v>0.15</v>
      </c>
      <c r="AP67" s="52" t="n">
        <v>0.17</v>
      </c>
      <c r="AQ67" s="52" t="n">
        <v>-0.05</v>
      </c>
      <c r="AR67" s="52" t="n">
        <v>0.31</v>
      </c>
      <c r="AS67" s="52" t="n">
        <v>0.25</v>
      </c>
      <c r="AT67" s="52" t="n">
        <v>0.25</v>
      </c>
      <c r="AU67" s="52" t="n">
        <v>0.07</v>
      </c>
      <c r="AV67" s="52" t="n">
        <v>0.11</v>
      </c>
      <c r="AW67" s="52" t="n">
        <v>0.25</v>
      </c>
      <c r="AX67" s="52" t="n">
        <v>0.12</v>
      </c>
      <c r="AY67" s="52" t="n">
        <v>0.16</v>
      </c>
      <c r="AZ67" s="52" t="n">
        <v>0.17</v>
      </c>
      <c r="BA67" s="52" t="n">
        <v>0.35</v>
      </c>
      <c r="BB67" s="52" t="n">
        <v>0.36</v>
      </c>
      <c r="BC67" s="52" t="n">
        <v>0.05</v>
      </c>
      <c r="BD67" s="52" t="n">
        <v>0.24</v>
      </c>
      <c r="BE67" s="52" t="n">
        <v>0.17</v>
      </c>
      <c r="BF67" s="52" t="n">
        <v>0.23</v>
      </c>
      <c r="BG67" s="52" t="n">
        <v>0.29</v>
      </c>
      <c r="BH67" s="52" t="n">
        <v>0.11</v>
      </c>
      <c r="BI67" s="52" t="n">
        <v>0.13</v>
      </c>
      <c r="BJ67" s="52" t="n">
        <v>0.03</v>
      </c>
      <c r="BK67" s="52" t="n">
        <v>0.1</v>
      </c>
      <c r="BL67" s="52" t="n">
        <v>1</v>
      </c>
      <c r="BM67" s="52" t="n">
        <v>0.2</v>
      </c>
      <c r="BN67" s="52" t="n">
        <v>0.11</v>
      </c>
      <c r="BO67" s="52" t="n">
        <v>0.17</v>
      </c>
      <c r="BP67" s="52" t="n">
        <v>0.03</v>
      </c>
      <c r="BQ67" s="52" t="n">
        <v>0.33</v>
      </c>
      <c r="BR67" s="52" t="n">
        <v>0.23</v>
      </c>
      <c r="BS67" s="52" t="n">
        <v>-0.02</v>
      </c>
      <c r="BT67" s="52" t="n">
        <v>0.35</v>
      </c>
      <c r="BU67" s="52" t="n">
        <v>0.14</v>
      </c>
      <c r="BV67" s="52" t="n">
        <v>0.18</v>
      </c>
      <c r="BW67" s="52" t="n">
        <v>0.21</v>
      </c>
      <c r="BX67" s="52" t="n">
        <v>0.11</v>
      </c>
      <c r="BY67" s="52" t="n">
        <v>0.35</v>
      </c>
      <c r="BZ67" s="52" t="n">
        <v>0.36</v>
      </c>
      <c r="CA67" s="52" t="n">
        <v>0.06</v>
      </c>
      <c r="CB67" s="52" t="n">
        <v>-0.03</v>
      </c>
      <c r="CC67" s="52" t="n">
        <v>0.13</v>
      </c>
      <c r="CD67" s="52" t="n">
        <v>0.19</v>
      </c>
      <c r="CE67" s="52" t="n">
        <v>0.23</v>
      </c>
      <c r="CF67" s="52" t="n">
        <v>-0.03</v>
      </c>
      <c r="CG67" s="52" t="n">
        <v>0.22</v>
      </c>
      <c r="CH67" s="52" t="n">
        <v>0.44</v>
      </c>
      <c r="CI67" s="52" t="n">
        <v>-0.01</v>
      </c>
      <c r="CJ67" s="52" t="n">
        <v>0.02</v>
      </c>
      <c r="CK67" s="52" t="n">
        <v>0.16</v>
      </c>
      <c r="CL67" s="52" t="n">
        <v>0.29</v>
      </c>
      <c r="CM67" s="52" t="n">
        <v>0.32</v>
      </c>
      <c r="CN67" s="52" t="n">
        <v>0.07</v>
      </c>
      <c r="CO67" s="52" t="n">
        <v>0.11</v>
      </c>
      <c r="CP67" s="52" t="n">
        <v>0.16</v>
      </c>
      <c r="CQ67" s="52" t="n">
        <v>0.33</v>
      </c>
      <c r="CR67" s="52" t="n">
        <v>0.4</v>
      </c>
      <c r="CS67" s="52" t="n">
        <v>0.38</v>
      </c>
      <c r="CT67" s="52" t="n">
        <v>0.24</v>
      </c>
      <c r="CU67" s="52" t="n">
        <v>0.26</v>
      </c>
      <c r="CV67" s="52" t="n">
        <v>0.11</v>
      </c>
      <c r="CW67" s="52" t="n">
        <v>0.19</v>
      </c>
      <c r="CX67" s="52" t="n">
        <v>0.32</v>
      </c>
      <c r="CY67" s="52" t="n">
        <v>0.34</v>
      </c>
      <c r="CZ67" s="52" t="n">
        <v>0.09</v>
      </c>
      <c r="DA67" s="52" t="n">
        <v>0.09</v>
      </c>
      <c r="DB67" s="52" t="n">
        <v>0.26</v>
      </c>
      <c r="DC67" s="52" t="n">
        <v>0.23</v>
      </c>
      <c r="DD67" s="52" t="n">
        <v>0.22</v>
      </c>
      <c r="DE67" s="52" t="n">
        <v>0.53</v>
      </c>
      <c r="DF67" s="52" t="n">
        <v>0.01</v>
      </c>
      <c r="DG67" s="52" t="n">
        <v>0.46</v>
      </c>
      <c r="DH67" s="52" t="n">
        <v>0.23</v>
      </c>
      <c r="DI67" s="52" t="n">
        <v>0.27</v>
      </c>
      <c r="DJ67" s="52" t="n">
        <v>0.37</v>
      </c>
      <c r="DK67" s="52" t="n">
        <v>0.36</v>
      </c>
      <c r="DL67" s="52" t="n">
        <v>0.28</v>
      </c>
      <c r="DM67" s="52" t="n">
        <v>0.37</v>
      </c>
      <c r="DN67" s="52" t="n">
        <v>0.22</v>
      </c>
      <c r="DO67" s="52" t="n">
        <v>0.35</v>
      </c>
      <c r="DP67" s="52" t="n">
        <v>0.33</v>
      </c>
      <c r="DQ67" s="52" t="n">
        <v>0.27</v>
      </c>
      <c r="DR67" s="52" t="n">
        <v>0.44</v>
      </c>
      <c r="DS67" s="52" t="n">
        <v>0.02</v>
      </c>
      <c r="DT67" s="52" t="n">
        <v>0.2</v>
      </c>
      <c r="DU67" s="52" t="n">
        <v>0.24</v>
      </c>
      <c r="DV67" s="52" t="n">
        <v>0.07</v>
      </c>
      <c r="DW67" s="52" t="n">
        <v>0.11</v>
      </c>
      <c r="DX67" s="52" t="n">
        <v>0.36</v>
      </c>
      <c r="DY67" s="52" t="n">
        <v>0.2</v>
      </c>
      <c r="DZ67" s="52" t="n">
        <v>0.13</v>
      </c>
      <c r="EA67" s="52" t="n">
        <v>0.31</v>
      </c>
      <c r="EB67" s="52" t="n">
        <v>0.17</v>
      </c>
      <c r="EC67" s="52" t="n">
        <v>0.15</v>
      </c>
      <c r="ED67" s="52" t="n">
        <v>0.15</v>
      </c>
      <c r="EE67" s="52" t="n">
        <v>0.39</v>
      </c>
      <c r="EF67" s="52" t="n">
        <v>0.47</v>
      </c>
      <c r="EG67" s="52" t="n">
        <v>0.34</v>
      </c>
      <c r="EH67" s="52" t="n">
        <v>0.02</v>
      </c>
      <c r="EI67" s="52" t="n">
        <v>0.33</v>
      </c>
      <c r="EJ67" s="52" t="n">
        <v>0.15</v>
      </c>
      <c r="EK67" s="52" t="n">
        <v>0.3</v>
      </c>
      <c r="EL67" s="52" t="n">
        <v>0.35</v>
      </c>
      <c r="EM67" s="52" t="n">
        <v>0.09</v>
      </c>
      <c r="EN67" s="52" t="n">
        <v>0.12</v>
      </c>
      <c r="EO67" s="52" t="n">
        <v>0.15</v>
      </c>
    </row>
    <row r="68" customFormat="false" ht="15" hidden="false" customHeight="false" outlineLevel="0" collapsed="false">
      <c r="A68" s="51" t="s">
        <v>213</v>
      </c>
      <c r="B68" s="52" t="n">
        <v>0.17</v>
      </c>
      <c r="C68" s="52" t="n">
        <v>0.03</v>
      </c>
      <c r="D68" s="52" t="n">
        <v>0.05</v>
      </c>
      <c r="E68" s="52" t="n">
        <v>0.22</v>
      </c>
      <c r="F68" s="52" t="n">
        <v>0.35</v>
      </c>
      <c r="G68" s="52" t="n">
        <v>-0.08</v>
      </c>
      <c r="H68" s="52" t="n">
        <v>0.05</v>
      </c>
      <c r="I68" s="52" t="n">
        <v>0.33</v>
      </c>
      <c r="J68" s="52" t="n">
        <v>0.2</v>
      </c>
      <c r="K68" s="52" t="n">
        <v>0.33</v>
      </c>
      <c r="L68" s="52" t="n">
        <v>0.13</v>
      </c>
      <c r="M68" s="52" t="n">
        <v>0.32</v>
      </c>
      <c r="N68" s="52" t="n">
        <v>0.24</v>
      </c>
      <c r="O68" s="52" t="n">
        <v>0.05</v>
      </c>
      <c r="P68" s="52" t="n">
        <v>0.41</v>
      </c>
      <c r="Q68" s="52" t="n">
        <v>0.01</v>
      </c>
      <c r="R68" s="52" t="n">
        <v>0.42</v>
      </c>
      <c r="S68" s="52" t="n">
        <v>0.11</v>
      </c>
      <c r="T68" s="52" t="n">
        <v>0.22</v>
      </c>
      <c r="U68" s="52" t="n">
        <v>0.16</v>
      </c>
      <c r="V68" s="52" t="n">
        <v>0.12</v>
      </c>
      <c r="W68" s="52" t="n">
        <v>0.08</v>
      </c>
      <c r="X68" s="52" t="n">
        <v>0.19</v>
      </c>
      <c r="Y68" s="52" t="n">
        <v>0.2</v>
      </c>
      <c r="Z68" s="52" t="n">
        <v>0.03</v>
      </c>
      <c r="AA68" s="52" t="n">
        <v>0.18</v>
      </c>
      <c r="AB68" s="52" t="n">
        <v>0.23</v>
      </c>
      <c r="AC68" s="52" t="n">
        <v>-0.03</v>
      </c>
      <c r="AD68" s="52" t="n">
        <v>0.02</v>
      </c>
      <c r="AE68" s="52" t="n">
        <v>0.03</v>
      </c>
      <c r="AF68" s="52" t="n">
        <v>0.01</v>
      </c>
      <c r="AG68" s="52" t="n">
        <v>0.3</v>
      </c>
      <c r="AH68" s="52" t="n">
        <v>0.33</v>
      </c>
      <c r="AI68" s="52" t="n">
        <v>0.1</v>
      </c>
      <c r="AJ68" s="52" t="n">
        <v>-0.09</v>
      </c>
      <c r="AK68" s="52" t="n">
        <v>0.04</v>
      </c>
      <c r="AL68" s="52" t="n">
        <v>0.24</v>
      </c>
      <c r="AM68" s="52" t="n">
        <v>0.07</v>
      </c>
      <c r="AN68" s="52" t="n">
        <v>0.43</v>
      </c>
      <c r="AO68" s="52" t="n">
        <v>0.21</v>
      </c>
      <c r="AP68" s="52" t="n">
        <v>0.28</v>
      </c>
      <c r="AQ68" s="52" t="n">
        <v>0.05</v>
      </c>
      <c r="AR68" s="52" t="n">
        <v>0.22</v>
      </c>
      <c r="AS68" s="52" t="n">
        <v>0.04</v>
      </c>
      <c r="AT68" s="52" t="n">
        <v>0.26</v>
      </c>
      <c r="AU68" s="52" t="n">
        <v>0.35</v>
      </c>
      <c r="AV68" s="52" t="n">
        <v>0.12</v>
      </c>
      <c r="AW68" s="52" t="n">
        <v>0.02</v>
      </c>
      <c r="AX68" s="52" t="n">
        <v>0.28</v>
      </c>
      <c r="AY68" s="52" t="n">
        <v>0.41</v>
      </c>
      <c r="AZ68" s="52" t="n">
        <v>0.1</v>
      </c>
      <c r="BA68" s="52" t="n">
        <v>0.28</v>
      </c>
      <c r="BB68" s="52" t="n">
        <v>0.14</v>
      </c>
      <c r="BC68" s="52" t="n">
        <v>-0.07</v>
      </c>
      <c r="BD68" s="52" t="n">
        <v>0</v>
      </c>
      <c r="BE68" s="52" t="n">
        <v>0.28</v>
      </c>
      <c r="BF68" s="52" t="n">
        <v>0.01</v>
      </c>
      <c r="BG68" s="52" t="n">
        <v>0.18</v>
      </c>
      <c r="BH68" s="52" t="n">
        <v>0.12</v>
      </c>
      <c r="BI68" s="52" t="n">
        <v>0.09</v>
      </c>
      <c r="BJ68" s="52" t="n">
        <v>-0.11</v>
      </c>
      <c r="BK68" s="52" t="n">
        <v>0.05</v>
      </c>
      <c r="BL68" s="52" t="n">
        <v>0.2</v>
      </c>
      <c r="BM68" s="52" t="n">
        <v>1</v>
      </c>
      <c r="BN68" s="52" t="n">
        <v>0.17</v>
      </c>
      <c r="BO68" s="52" t="n">
        <v>0.13</v>
      </c>
      <c r="BP68" s="52" t="n">
        <v>0.12</v>
      </c>
      <c r="BQ68" s="52" t="n">
        <v>0.09</v>
      </c>
      <c r="BR68" s="52" t="n">
        <v>0.32</v>
      </c>
      <c r="BS68" s="52" t="n">
        <v>0.05</v>
      </c>
      <c r="BT68" s="52" t="n">
        <v>0.13</v>
      </c>
      <c r="BU68" s="52" t="n">
        <v>0.07</v>
      </c>
      <c r="BV68" s="52" t="n">
        <v>0.19</v>
      </c>
      <c r="BW68" s="52" t="n">
        <v>0.23</v>
      </c>
      <c r="BX68" s="52" t="n">
        <v>0.16</v>
      </c>
      <c r="BY68" s="52" t="n">
        <v>0.31</v>
      </c>
      <c r="BZ68" s="52" t="n">
        <v>0.17</v>
      </c>
      <c r="CA68" s="52" t="n">
        <v>0.02</v>
      </c>
      <c r="CB68" s="52" t="n">
        <v>0</v>
      </c>
      <c r="CC68" s="52" t="n">
        <v>0.15</v>
      </c>
      <c r="CD68" s="52" t="n">
        <v>0.25</v>
      </c>
      <c r="CE68" s="52" t="n">
        <v>0.13</v>
      </c>
      <c r="CF68" s="52" t="n">
        <v>0.04</v>
      </c>
      <c r="CG68" s="52" t="n">
        <v>0.29</v>
      </c>
      <c r="CH68" s="52" t="n">
        <v>0.02</v>
      </c>
      <c r="CI68" s="52" t="n">
        <v>0.06</v>
      </c>
      <c r="CJ68" s="52" t="n">
        <v>0.19</v>
      </c>
      <c r="CK68" s="52" t="n">
        <v>0.4</v>
      </c>
      <c r="CL68" s="52" t="n">
        <v>0.27</v>
      </c>
      <c r="CM68" s="52" t="n">
        <v>0.03</v>
      </c>
      <c r="CN68" s="52" t="n">
        <v>-0.05</v>
      </c>
      <c r="CO68" s="52" t="n">
        <v>0.14</v>
      </c>
      <c r="CP68" s="52" t="n">
        <v>0.14</v>
      </c>
      <c r="CQ68" s="52" t="n">
        <v>0.33</v>
      </c>
      <c r="CR68" s="52" t="n">
        <v>0.06</v>
      </c>
      <c r="CS68" s="52" t="n">
        <v>0.09</v>
      </c>
      <c r="CT68" s="52" t="n">
        <v>0.17</v>
      </c>
      <c r="CU68" s="52" t="n">
        <v>0.1</v>
      </c>
      <c r="CV68" s="52" t="n">
        <v>0.12</v>
      </c>
      <c r="CW68" s="52" t="n">
        <v>0.19</v>
      </c>
      <c r="CX68" s="52" t="n">
        <v>0.13</v>
      </c>
      <c r="CY68" s="52" t="n">
        <v>0.29</v>
      </c>
      <c r="CZ68" s="52" t="n">
        <v>0.15</v>
      </c>
      <c r="DA68" s="52" t="n">
        <v>0.22</v>
      </c>
      <c r="DB68" s="52" t="n">
        <v>0.07</v>
      </c>
      <c r="DC68" s="52" t="n">
        <v>0.12</v>
      </c>
      <c r="DD68" s="52" t="n">
        <v>0.21</v>
      </c>
      <c r="DE68" s="52" t="n">
        <v>0.08</v>
      </c>
      <c r="DF68" s="52" t="n">
        <v>0.15</v>
      </c>
      <c r="DG68" s="52" t="n">
        <v>0.01</v>
      </c>
      <c r="DH68" s="52" t="n">
        <v>0.03</v>
      </c>
      <c r="DI68" s="52" t="n">
        <v>0.28</v>
      </c>
      <c r="DJ68" s="52" t="n">
        <v>0.32</v>
      </c>
      <c r="DK68" s="52" t="n">
        <v>0.3</v>
      </c>
      <c r="DL68" s="52" t="n">
        <v>-0.08</v>
      </c>
      <c r="DM68" s="52" t="n">
        <v>0.3</v>
      </c>
      <c r="DN68" s="52" t="n">
        <v>0.32</v>
      </c>
      <c r="DO68" s="52" t="n">
        <v>0.1</v>
      </c>
      <c r="DP68" s="52" t="n">
        <v>0.28</v>
      </c>
      <c r="DQ68" s="52" t="n">
        <v>0.09</v>
      </c>
      <c r="DR68" s="52" t="n">
        <v>0.07</v>
      </c>
      <c r="DS68" s="52" t="n">
        <v>0.14</v>
      </c>
      <c r="DT68" s="52" t="n">
        <v>-0.01</v>
      </c>
      <c r="DU68" s="52" t="n">
        <v>0.18</v>
      </c>
      <c r="DV68" s="52" t="n">
        <v>0.08</v>
      </c>
      <c r="DW68" s="52" t="n">
        <v>0.17</v>
      </c>
      <c r="DX68" s="52" t="n">
        <v>0</v>
      </c>
      <c r="DY68" s="52" t="n">
        <v>0.26</v>
      </c>
      <c r="DZ68" s="52" t="n">
        <v>0.03</v>
      </c>
      <c r="EA68" s="52" t="n">
        <v>0.07</v>
      </c>
      <c r="EB68" s="52" t="n">
        <v>0.26</v>
      </c>
      <c r="EC68" s="52" t="n">
        <v>-0.15</v>
      </c>
      <c r="ED68" s="52" t="n">
        <v>0.16</v>
      </c>
      <c r="EE68" s="52" t="n">
        <v>0</v>
      </c>
      <c r="EF68" s="52" t="n">
        <v>0.1</v>
      </c>
      <c r="EG68" s="52" t="n">
        <v>0</v>
      </c>
      <c r="EH68" s="52" t="n">
        <v>0.14</v>
      </c>
      <c r="EI68" s="52" t="n">
        <v>-0.07</v>
      </c>
      <c r="EJ68" s="52" t="n">
        <v>0.13</v>
      </c>
      <c r="EK68" s="52" t="n">
        <v>0.12</v>
      </c>
      <c r="EL68" s="52" t="n">
        <v>0.07</v>
      </c>
      <c r="EM68" s="52" t="n">
        <v>0.07</v>
      </c>
      <c r="EN68" s="52" t="n">
        <v>0.12</v>
      </c>
      <c r="EO68" s="52" t="n">
        <v>0.18</v>
      </c>
    </row>
    <row r="69" customFormat="false" ht="15" hidden="false" customHeight="false" outlineLevel="0" collapsed="false">
      <c r="A69" s="51" t="s">
        <v>214</v>
      </c>
      <c r="B69" s="52" t="n">
        <v>0.28</v>
      </c>
      <c r="C69" s="52" t="n">
        <v>0.03</v>
      </c>
      <c r="D69" s="52" t="n">
        <v>-0.12</v>
      </c>
      <c r="E69" s="52" t="n">
        <v>0.08</v>
      </c>
      <c r="F69" s="52" t="n">
        <v>0.2</v>
      </c>
      <c r="G69" s="52" t="n">
        <v>0.01</v>
      </c>
      <c r="H69" s="52" t="n">
        <v>-0.08</v>
      </c>
      <c r="I69" s="52" t="n">
        <v>0.13</v>
      </c>
      <c r="J69" s="52" t="n">
        <v>0.21</v>
      </c>
      <c r="K69" s="52" t="n">
        <v>0.23</v>
      </c>
      <c r="L69" s="52" t="n">
        <v>0.1</v>
      </c>
      <c r="M69" s="52" t="n">
        <v>0.03</v>
      </c>
      <c r="N69" s="52" t="n">
        <v>0.07</v>
      </c>
      <c r="O69" s="52" t="n">
        <v>0.12</v>
      </c>
      <c r="P69" s="52" t="n">
        <v>0.25</v>
      </c>
      <c r="Q69" s="52" t="n">
        <v>0.03</v>
      </c>
      <c r="R69" s="52" t="n">
        <v>0.17</v>
      </c>
      <c r="S69" s="52" t="n">
        <v>0.11</v>
      </c>
      <c r="T69" s="52" t="n">
        <v>0.14</v>
      </c>
      <c r="U69" s="52" t="n">
        <v>0.05</v>
      </c>
      <c r="V69" s="52" t="n">
        <v>0.01</v>
      </c>
      <c r="W69" s="52" t="n">
        <v>0.17</v>
      </c>
      <c r="X69" s="52" t="n">
        <v>0.2</v>
      </c>
      <c r="Y69" s="52" t="n">
        <v>0.21</v>
      </c>
      <c r="Z69" s="52" t="n">
        <v>0</v>
      </c>
      <c r="AA69" s="52" t="n">
        <v>0.01</v>
      </c>
      <c r="AB69" s="52" t="n">
        <v>0.2</v>
      </c>
      <c r="AC69" s="52" t="n">
        <v>-0.02</v>
      </c>
      <c r="AD69" s="52" t="n">
        <v>0.1</v>
      </c>
      <c r="AE69" s="52" t="n">
        <v>-0.05</v>
      </c>
      <c r="AF69" s="52" t="n">
        <v>0.01</v>
      </c>
      <c r="AG69" s="52" t="n">
        <v>0.23</v>
      </c>
      <c r="AH69" s="52" t="n">
        <v>0.2</v>
      </c>
      <c r="AI69" s="52" t="n">
        <v>0.13</v>
      </c>
      <c r="AJ69" s="52" t="n">
        <v>0.01</v>
      </c>
      <c r="AK69" s="52" t="n">
        <v>0.06</v>
      </c>
      <c r="AL69" s="52" t="n">
        <v>0.04</v>
      </c>
      <c r="AM69" s="52" t="n">
        <v>0.14</v>
      </c>
      <c r="AN69" s="52" t="n">
        <v>0.13</v>
      </c>
      <c r="AO69" s="52" t="n">
        <v>0.21</v>
      </c>
      <c r="AP69" s="52" t="n">
        <v>0.14</v>
      </c>
      <c r="AQ69" s="52" t="n">
        <v>0.11</v>
      </c>
      <c r="AR69" s="52" t="n">
        <v>0.17</v>
      </c>
      <c r="AS69" s="52" t="n">
        <v>-0.03</v>
      </c>
      <c r="AT69" s="52" t="n">
        <v>0.14</v>
      </c>
      <c r="AU69" s="52" t="n">
        <v>0.2</v>
      </c>
      <c r="AV69" s="52" t="n">
        <v>0.04</v>
      </c>
      <c r="AW69" s="52" t="n">
        <v>0.05</v>
      </c>
      <c r="AX69" s="52" t="n">
        <v>0.14</v>
      </c>
      <c r="AY69" s="52" t="n">
        <v>0.21</v>
      </c>
      <c r="AZ69" s="52" t="n">
        <v>-0.04</v>
      </c>
      <c r="BA69" s="52" t="n">
        <v>0.27</v>
      </c>
      <c r="BB69" s="52" t="n">
        <v>0.12</v>
      </c>
      <c r="BC69" s="52" t="n">
        <v>0.1</v>
      </c>
      <c r="BD69" s="52" t="n">
        <v>0.09</v>
      </c>
      <c r="BE69" s="52" t="n">
        <v>0.19</v>
      </c>
      <c r="BF69" s="52" t="n">
        <v>0.04</v>
      </c>
      <c r="BG69" s="52" t="n">
        <v>0.02</v>
      </c>
      <c r="BH69" s="52" t="n">
        <v>0.01</v>
      </c>
      <c r="BI69" s="52" t="n">
        <v>0.02</v>
      </c>
      <c r="BJ69" s="52" t="n">
        <v>-0.08</v>
      </c>
      <c r="BK69" s="52" t="n">
        <v>0.03</v>
      </c>
      <c r="BL69" s="52" t="n">
        <v>0.11</v>
      </c>
      <c r="BM69" s="52" t="n">
        <v>0.17</v>
      </c>
      <c r="BN69" s="52" t="n">
        <v>1</v>
      </c>
      <c r="BO69" s="52" t="n">
        <v>0.11</v>
      </c>
      <c r="BP69" s="52" t="n">
        <v>-0.03</v>
      </c>
      <c r="BQ69" s="52" t="n">
        <v>0.11</v>
      </c>
      <c r="BR69" s="52" t="n">
        <v>0</v>
      </c>
      <c r="BS69" s="52" t="n">
        <v>0.05</v>
      </c>
      <c r="BT69" s="52" t="n">
        <v>0.11</v>
      </c>
      <c r="BU69" s="52" t="n">
        <v>-0.01</v>
      </c>
      <c r="BV69" s="52" t="n">
        <v>0.05</v>
      </c>
      <c r="BW69" s="52" t="n">
        <v>0.12</v>
      </c>
      <c r="BX69" s="52" t="n">
        <v>0.09</v>
      </c>
      <c r="BY69" s="52" t="n">
        <v>0.04</v>
      </c>
      <c r="BZ69" s="52" t="n">
        <v>0.21</v>
      </c>
      <c r="CA69" s="52" t="n">
        <v>0</v>
      </c>
      <c r="CB69" s="52" t="n">
        <v>0.05</v>
      </c>
      <c r="CC69" s="52" t="n">
        <v>0.68</v>
      </c>
      <c r="CD69" s="52" t="n">
        <v>0.12</v>
      </c>
      <c r="CE69" s="52" t="n">
        <v>0.05</v>
      </c>
      <c r="CF69" s="52" t="n">
        <v>0.06</v>
      </c>
      <c r="CG69" s="52" t="n">
        <v>0.1</v>
      </c>
      <c r="CH69" s="52" t="n">
        <v>0.05</v>
      </c>
      <c r="CI69" s="52" t="n">
        <v>0.07</v>
      </c>
      <c r="CJ69" s="52" t="n">
        <v>0.14</v>
      </c>
      <c r="CK69" s="52" t="n">
        <v>0.12</v>
      </c>
      <c r="CL69" s="52" t="n">
        <v>0.11</v>
      </c>
      <c r="CM69" s="52" t="n">
        <v>0.03</v>
      </c>
      <c r="CN69" s="52" t="n">
        <v>0.01</v>
      </c>
      <c r="CO69" s="52" t="n">
        <v>-0.02</v>
      </c>
      <c r="CP69" s="52" t="n">
        <v>0.04</v>
      </c>
      <c r="CQ69" s="52" t="n">
        <v>0.16</v>
      </c>
      <c r="CR69" s="52" t="n">
        <v>0.03</v>
      </c>
      <c r="CS69" s="52" t="n">
        <v>0.14</v>
      </c>
      <c r="CT69" s="52" t="n">
        <v>0.14</v>
      </c>
      <c r="CU69" s="52" t="n">
        <v>0.06</v>
      </c>
      <c r="CV69" s="52" t="n">
        <v>0.1</v>
      </c>
      <c r="CW69" s="52" t="n">
        <v>-0.05</v>
      </c>
      <c r="CX69" s="52" t="n">
        <v>0.1</v>
      </c>
      <c r="CY69" s="52" t="n">
        <v>0.14</v>
      </c>
      <c r="CZ69" s="52" t="n">
        <v>-0.04</v>
      </c>
      <c r="DA69" s="52" t="n">
        <v>0.07</v>
      </c>
      <c r="DB69" s="52" t="n">
        <v>0.05</v>
      </c>
      <c r="DC69" s="52" t="n">
        <v>-0.04</v>
      </c>
      <c r="DD69" s="52" t="n">
        <v>0.1</v>
      </c>
      <c r="DE69" s="52" t="n">
        <v>-0.03</v>
      </c>
      <c r="DF69" s="52" t="n">
        <v>-0.08</v>
      </c>
      <c r="DG69" s="52" t="n">
        <v>0.03</v>
      </c>
      <c r="DH69" s="52" t="n">
        <v>-0.04</v>
      </c>
      <c r="DI69" s="52" t="n">
        <v>0.19</v>
      </c>
      <c r="DJ69" s="52" t="n">
        <v>0.11</v>
      </c>
      <c r="DK69" s="52" t="n">
        <v>0.17</v>
      </c>
      <c r="DL69" s="52" t="n">
        <v>-0.02</v>
      </c>
      <c r="DM69" s="52" t="n">
        <v>0.1</v>
      </c>
      <c r="DN69" s="52" t="n">
        <v>0.17</v>
      </c>
      <c r="DO69" s="52" t="n">
        <v>0.06</v>
      </c>
      <c r="DP69" s="52" t="n">
        <v>0.09</v>
      </c>
      <c r="DQ69" s="52" t="n">
        <v>0.14</v>
      </c>
      <c r="DR69" s="52" t="n">
        <v>0.01</v>
      </c>
      <c r="DS69" s="52" t="n">
        <v>0.06</v>
      </c>
      <c r="DT69" s="52" t="n">
        <v>-0.06</v>
      </c>
      <c r="DU69" s="52" t="n">
        <v>0.02</v>
      </c>
      <c r="DV69" s="52" t="n">
        <v>-0.02</v>
      </c>
      <c r="DW69" s="52" t="n">
        <v>-0.09</v>
      </c>
      <c r="DX69" s="52" t="n">
        <v>0.05</v>
      </c>
      <c r="DY69" s="52" t="n">
        <v>-0.05</v>
      </c>
      <c r="DZ69" s="52" t="n">
        <v>-0.05</v>
      </c>
      <c r="EA69" s="52" t="n">
        <v>0.02</v>
      </c>
      <c r="EB69" s="52" t="n">
        <v>-0.04</v>
      </c>
      <c r="EC69" s="52" t="n">
        <v>-0.01</v>
      </c>
      <c r="ED69" s="52" t="n">
        <v>0.04</v>
      </c>
      <c r="EE69" s="52" t="n">
        <v>0.12</v>
      </c>
      <c r="EF69" s="52" t="n">
        <v>0.1</v>
      </c>
      <c r="EG69" s="52" t="n">
        <v>0.05</v>
      </c>
      <c r="EH69" s="52" t="n">
        <v>-0.04</v>
      </c>
      <c r="EI69" s="52" t="n">
        <v>0.03</v>
      </c>
      <c r="EJ69" s="52" t="n">
        <v>0.02</v>
      </c>
      <c r="EK69" s="52" t="n">
        <v>0.06</v>
      </c>
      <c r="EL69" s="52" t="n">
        <v>-0.02</v>
      </c>
      <c r="EM69" s="52" t="n">
        <v>0</v>
      </c>
      <c r="EN69" s="52" t="n">
        <v>0.02</v>
      </c>
      <c r="EO69" s="52" t="n">
        <v>0.05</v>
      </c>
    </row>
    <row r="70" customFormat="false" ht="15" hidden="false" customHeight="false" outlineLevel="0" collapsed="false">
      <c r="A70" s="51" t="s">
        <v>47</v>
      </c>
      <c r="B70" s="52" t="n">
        <v>0.14</v>
      </c>
      <c r="C70" s="52" t="n">
        <v>-0.02</v>
      </c>
      <c r="D70" s="52" t="n">
        <v>0.08</v>
      </c>
      <c r="E70" s="52" t="n">
        <v>0.08</v>
      </c>
      <c r="F70" s="52" t="n">
        <v>0.08</v>
      </c>
      <c r="G70" s="52" t="n">
        <v>0.07</v>
      </c>
      <c r="H70" s="52" t="n">
        <v>0.18</v>
      </c>
      <c r="I70" s="52" t="n">
        <v>0.2</v>
      </c>
      <c r="J70" s="52" t="n">
        <v>0.14</v>
      </c>
      <c r="K70" s="52" t="n">
        <v>0.21</v>
      </c>
      <c r="L70" s="52" t="n">
        <v>0.09</v>
      </c>
      <c r="M70" s="52" t="n">
        <v>0.32</v>
      </c>
      <c r="N70" s="52" t="n">
        <v>0.18</v>
      </c>
      <c r="O70" s="52" t="n">
        <v>0.07</v>
      </c>
      <c r="P70" s="52" t="n">
        <v>0.15</v>
      </c>
      <c r="Q70" s="52" t="n">
        <v>0.07</v>
      </c>
      <c r="R70" s="52" t="n">
        <v>0.12</v>
      </c>
      <c r="S70" s="52" t="n">
        <v>0.13</v>
      </c>
      <c r="T70" s="52" t="n">
        <v>0.24</v>
      </c>
      <c r="U70" s="52" t="n">
        <v>0.16</v>
      </c>
      <c r="V70" s="52" t="n">
        <v>-0.04</v>
      </c>
      <c r="W70" s="52" t="n">
        <v>0.13</v>
      </c>
      <c r="X70" s="52" t="n">
        <v>0.26</v>
      </c>
      <c r="Y70" s="52" t="n">
        <v>0.2</v>
      </c>
      <c r="Z70" s="52" t="n">
        <v>0.05</v>
      </c>
      <c r="AA70" s="52" t="n">
        <v>0.06</v>
      </c>
      <c r="AB70" s="52" t="n">
        <v>0.18</v>
      </c>
      <c r="AC70" s="52" t="n">
        <v>0.04</v>
      </c>
      <c r="AD70" s="52" t="n">
        <v>0.07</v>
      </c>
      <c r="AE70" s="52" t="n">
        <v>0.14</v>
      </c>
      <c r="AF70" s="52" t="n">
        <v>0.07</v>
      </c>
      <c r="AG70" s="52" t="n">
        <v>-0.03</v>
      </c>
      <c r="AH70" s="52" t="n">
        <v>0.03</v>
      </c>
      <c r="AI70" s="52" t="n">
        <v>-0.13</v>
      </c>
      <c r="AJ70" s="52" t="n">
        <v>0.01</v>
      </c>
      <c r="AK70" s="52" t="n">
        <v>0.11</v>
      </c>
      <c r="AL70" s="52" t="n">
        <v>0.23</v>
      </c>
      <c r="AM70" s="52" t="n">
        <v>0.16</v>
      </c>
      <c r="AN70" s="52" t="n">
        <v>0.27</v>
      </c>
      <c r="AO70" s="52" t="n">
        <v>0.06</v>
      </c>
      <c r="AP70" s="52" t="n">
        <v>0.27</v>
      </c>
      <c r="AQ70" s="52" t="n">
        <v>-0.17</v>
      </c>
      <c r="AR70" s="52" t="n">
        <v>0.21</v>
      </c>
      <c r="AS70" s="52" t="n">
        <v>0.19</v>
      </c>
      <c r="AT70" s="52" t="n">
        <v>0.34</v>
      </c>
      <c r="AU70" s="52" t="n">
        <v>0.12</v>
      </c>
      <c r="AV70" s="52" t="n">
        <v>0.16</v>
      </c>
      <c r="AW70" s="52" t="n">
        <v>0.09</v>
      </c>
      <c r="AX70" s="52" t="n">
        <v>0.25</v>
      </c>
      <c r="AY70" s="52" t="n">
        <v>0.14</v>
      </c>
      <c r="AZ70" s="52" t="n">
        <v>0.09</v>
      </c>
      <c r="BA70" s="52" t="n">
        <v>0.25</v>
      </c>
      <c r="BB70" s="52" t="n">
        <v>0.27</v>
      </c>
      <c r="BC70" s="52" t="n">
        <v>0.14</v>
      </c>
      <c r="BD70" s="52" t="n">
        <v>0.17</v>
      </c>
      <c r="BE70" s="52" t="n">
        <v>0.09</v>
      </c>
      <c r="BF70" s="52" t="n">
        <v>0.06</v>
      </c>
      <c r="BG70" s="52" t="n">
        <v>0.15</v>
      </c>
      <c r="BH70" s="52" t="n">
        <v>0.21</v>
      </c>
      <c r="BI70" s="52" t="n">
        <v>0.13</v>
      </c>
      <c r="BJ70" s="52" t="n">
        <v>-0.01</v>
      </c>
      <c r="BK70" s="52" t="n">
        <v>0.1</v>
      </c>
      <c r="BL70" s="52" t="n">
        <v>0.17</v>
      </c>
      <c r="BM70" s="52" t="n">
        <v>0.13</v>
      </c>
      <c r="BN70" s="52" t="n">
        <v>0.11</v>
      </c>
      <c r="BO70" s="52" t="n">
        <v>1</v>
      </c>
      <c r="BP70" s="52" t="n">
        <v>0.2</v>
      </c>
      <c r="BQ70" s="52" t="n">
        <v>0.2</v>
      </c>
      <c r="BR70" s="52" t="n">
        <v>0.22</v>
      </c>
      <c r="BS70" s="52" t="n">
        <v>-0.11</v>
      </c>
      <c r="BT70" s="52" t="n">
        <v>0.34</v>
      </c>
      <c r="BU70" s="52" t="n">
        <v>0.14</v>
      </c>
      <c r="BV70" s="52" t="n">
        <v>0.58</v>
      </c>
      <c r="BW70" s="52" t="n">
        <v>0.2</v>
      </c>
      <c r="BX70" s="52" t="n">
        <v>0.24</v>
      </c>
      <c r="BY70" s="52" t="n">
        <v>0.24</v>
      </c>
      <c r="BZ70" s="52" t="n">
        <v>0.28</v>
      </c>
      <c r="CA70" s="52" t="n">
        <v>0.1</v>
      </c>
      <c r="CB70" s="52" t="n">
        <v>-0.02</v>
      </c>
      <c r="CC70" s="52" t="n">
        <v>0.09</v>
      </c>
      <c r="CD70" s="52" t="n">
        <v>0.32</v>
      </c>
      <c r="CE70" s="52" t="n">
        <v>0.17</v>
      </c>
      <c r="CF70" s="52" t="n">
        <v>-0.13</v>
      </c>
      <c r="CG70" s="52" t="n">
        <v>0.33</v>
      </c>
      <c r="CH70" s="52" t="n">
        <v>0.24</v>
      </c>
      <c r="CI70" s="52" t="n">
        <v>-0.15</v>
      </c>
      <c r="CJ70" s="52" t="n">
        <v>0.2</v>
      </c>
      <c r="CK70" s="52" t="n">
        <v>0.17</v>
      </c>
      <c r="CL70" s="52" t="n">
        <v>0.24</v>
      </c>
      <c r="CM70" s="52" t="n">
        <v>0.28</v>
      </c>
      <c r="CN70" s="52" t="n">
        <v>-0.02</v>
      </c>
      <c r="CO70" s="52" t="n">
        <v>0.16</v>
      </c>
      <c r="CP70" s="52" t="n">
        <v>0.18</v>
      </c>
      <c r="CQ70" s="52" t="n">
        <v>0.35</v>
      </c>
      <c r="CR70" s="52" t="n">
        <v>0.34</v>
      </c>
      <c r="CS70" s="52" t="n">
        <v>0.32</v>
      </c>
      <c r="CT70" s="52" t="n">
        <v>0.33</v>
      </c>
      <c r="CU70" s="52" t="n">
        <v>0.38</v>
      </c>
      <c r="CV70" s="52" t="n">
        <v>0.31</v>
      </c>
      <c r="CW70" s="52" t="n">
        <v>0.3</v>
      </c>
      <c r="CX70" s="52" t="n">
        <v>0.33</v>
      </c>
      <c r="CY70" s="52" t="n">
        <v>0.35</v>
      </c>
      <c r="CZ70" s="52" t="n">
        <v>0.21</v>
      </c>
      <c r="DA70" s="52" t="n">
        <v>0.18</v>
      </c>
      <c r="DB70" s="52" t="n">
        <v>0.42</v>
      </c>
      <c r="DC70" s="52" t="n">
        <v>0.19</v>
      </c>
      <c r="DD70" s="52" t="n">
        <v>0.32</v>
      </c>
      <c r="DE70" s="52" t="n">
        <v>0.21</v>
      </c>
      <c r="DF70" s="52" t="n">
        <v>0.12</v>
      </c>
      <c r="DG70" s="52" t="n">
        <v>0.19</v>
      </c>
      <c r="DH70" s="52" t="n">
        <v>0.33</v>
      </c>
      <c r="DI70" s="52" t="n">
        <v>0.37</v>
      </c>
      <c r="DJ70" s="52" t="n">
        <v>0.33</v>
      </c>
      <c r="DK70" s="52" t="n">
        <v>0.34</v>
      </c>
      <c r="DL70" s="52" t="n">
        <v>0.08</v>
      </c>
      <c r="DM70" s="52" t="n">
        <v>0.35</v>
      </c>
      <c r="DN70" s="52" t="n">
        <v>0.21</v>
      </c>
      <c r="DO70" s="52" t="n">
        <v>0.29</v>
      </c>
      <c r="DP70" s="52" t="n">
        <v>0.34</v>
      </c>
      <c r="DQ70" s="52" t="n">
        <v>0.28</v>
      </c>
      <c r="DR70" s="52" t="n">
        <v>0.1</v>
      </c>
      <c r="DS70" s="52" t="n">
        <v>0.25</v>
      </c>
      <c r="DT70" s="52" t="n">
        <v>0.25</v>
      </c>
      <c r="DU70" s="52" t="n">
        <v>0.33</v>
      </c>
      <c r="DV70" s="52" t="n">
        <v>0.28</v>
      </c>
      <c r="DW70" s="52" t="n">
        <v>0.28</v>
      </c>
      <c r="DX70" s="52" t="n">
        <v>0.21</v>
      </c>
      <c r="DY70" s="52" t="n">
        <v>0.31</v>
      </c>
      <c r="DZ70" s="52" t="n">
        <v>0.17</v>
      </c>
      <c r="EA70" s="52" t="n">
        <v>0.19</v>
      </c>
      <c r="EB70" s="52" t="n">
        <v>0.3</v>
      </c>
      <c r="EC70" s="52" t="n">
        <v>-0.02</v>
      </c>
      <c r="ED70" s="52" t="n">
        <v>0.21</v>
      </c>
      <c r="EE70" s="52" t="n">
        <v>0.26</v>
      </c>
      <c r="EF70" s="52" t="n">
        <v>0.07</v>
      </c>
      <c r="EG70" s="52" t="n">
        <v>0.23</v>
      </c>
      <c r="EH70" s="52" t="n">
        <v>0.22</v>
      </c>
      <c r="EI70" s="52" t="n">
        <v>0.16</v>
      </c>
      <c r="EJ70" s="52" t="n">
        <v>0.24</v>
      </c>
      <c r="EK70" s="52" t="n">
        <v>0.21</v>
      </c>
      <c r="EL70" s="52" t="n">
        <v>0.2</v>
      </c>
      <c r="EM70" s="52" t="n">
        <v>0.15</v>
      </c>
      <c r="EN70" s="52" t="n">
        <v>0.14</v>
      </c>
      <c r="EO70" s="52" t="n">
        <v>0.1</v>
      </c>
    </row>
    <row r="71" customFormat="false" ht="15" hidden="false" customHeight="false" outlineLevel="0" collapsed="false">
      <c r="A71" s="51" t="s">
        <v>122</v>
      </c>
      <c r="B71" s="52" t="n">
        <v>0.12</v>
      </c>
      <c r="C71" s="52" t="n">
        <v>-0.07</v>
      </c>
      <c r="D71" s="52" t="n">
        <v>0.08</v>
      </c>
      <c r="E71" s="52" t="n">
        <v>0.07</v>
      </c>
      <c r="F71" s="52" t="n">
        <v>-0.01</v>
      </c>
      <c r="G71" s="52" t="n">
        <v>-0.03</v>
      </c>
      <c r="H71" s="52" t="n">
        <v>0.03</v>
      </c>
      <c r="I71" s="52" t="n">
        <v>0.11</v>
      </c>
      <c r="J71" s="52" t="n">
        <v>-0.14</v>
      </c>
      <c r="K71" s="52" t="n">
        <v>-0.04</v>
      </c>
      <c r="L71" s="52" t="n">
        <v>0.18</v>
      </c>
      <c r="M71" s="52" t="n">
        <v>0.16</v>
      </c>
      <c r="N71" s="52" t="n">
        <v>0.07</v>
      </c>
      <c r="O71" s="52" t="n">
        <v>0.01</v>
      </c>
      <c r="P71" s="52" t="n">
        <v>0.06</v>
      </c>
      <c r="Q71" s="52" t="n">
        <v>-0.02</v>
      </c>
      <c r="R71" s="52" t="n">
        <v>0.01</v>
      </c>
      <c r="S71" s="52" t="n">
        <v>0.1</v>
      </c>
      <c r="T71" s="52" t="n">
        <v>0.15</v>
      </c>
      <c r="U71" s="52" t="n">
        <v>0.13</v>
      </c>
      <c r="V71" s="52" t="n">
        <v>0.03</v>
      </c>
      <c r="W71" s="52" t="n">
        <v>0.05</v>
      </c>
      <c r="X71" s="52" t="n">
        <v>0.12</v>
      </c>
      <c r="Y71" s="52" t="n">
        <v>0.25</v>
      </c>
      <c r="Z71" s="52" t="n">
        <v>0.02</v>
      </c>
      <c r="AA71" s="52" t="n">
        <v>0.09</v>
      </c>
      <c r="AB71" s="52" t="n">
        <v>0.31</v>
      </c>
      <c r="AC71" s="52" t="n">
        <v>0.07</v>
      </c>
      <c r="AD71" s="52" t="n">
        <v>-0.07</v>
      </c>
      <c r="AE71" s="52" t="n">
        <v>0.04</v>
      </c>
      <c r="AF71" s="52" t="n">
        <v>0.04</v>
      </c>
      <c r="AG71" s="52" t="n">
        <v>-0.05</v>
      </c>
      <c r="AH71" s="52" t="n">
        <v>-0.01</v>
      </c>
      <c r="AI71" s="52" t="n">
        <v>0</v>
      </c>
      <c r="AJ71" s="52" t="n">
        <v>0.07</v>
      </c>
      <c r="AK71" s="52" t="n">
        <v>-0.06</v>
      </c>
      <c r="AL71" s="52" t="n">
        <v>0.18</v>
      </c>
      <c r="AM71" s="52" t="n">
        <v>0.06</v>
      </c>
      <c r="AN71" s="52" t="n">
        <v>0.09</v>
      </c>
      <c r="AO71" s="52" t="n">
        <v>-0.05</v>
      </c>
      <c r="AP71" s="52" t="n">
        <v>0.16</v>
      </c>
      <c r="AQ71" s="52" t="n">
        <v>-0.07</v>
      </c>
      <c r="AR71" s="52" t="n">
        <v>0.16</v>
      </c>
      <c r="AS71" s="52" t="n">
        <v>0.05</v>
      </c>
      <c r="AT71" s="52" t="n">
        <v>0.27</v>
      </c>
      <c r="AU71" s="52" t="n">
        <v>-0.04</v>
      </c>
      <c r="AV71" s="52" t="n">
        <v>0.11</v>
      </c>
      <c r="AW71" s="52" t="n">
        <v>-0.02</v>
      </c>
      <c r="AX71" s="52" t="n">
        <v>0.08</v>
      </c>
      <c r="AY71" s="52" t="n">
        <v>0.14</v>
      </c>
      <c r="AZ71" s="52" t="n">
        <v>0.04</v>
      </c>
      <c r="BA71" s="52" t="n">
        <v>0</v>
      </c>
      <c r="BB71" s="52" t="n">
        <v>0.23</v>
      </c>
      <c r="BC71" s="52" t="n">
        <v>0.12</v>
      </c>
      <c r="BD71" s="52" t="n">
        <v>0.09</v>
      </c>
      <c r="BE71" s="52" t="n">
        <v>-0.09</v>
      </c>
      <c r="BF71" s="52" t="n">
        <v>-0.02</v>
      </c>
      <c r="BG71" s="52" t="n">
        <v>0.21</v>
      </c>
      <c r="BH71" s="52" t="n">
        <v>0.15</v>
      </c>
      <c r="BI71" s="52" t="n">
        <v>0.06</v>
      </c>
      <c r="BJ71" s="52" t="n">
        <v>-0.02</v>
      </c>
      <c r="BK71" s="52" t="n">
        <v>0.04</v>
      </c>
      <c r="BL71" s="52" t="n">
        <v>0.03</v>
      </c>
      <c r="BM71" s="52" t="n">
        <v>0.12</v>
      </c>
      <c r="BN71" s="52" t="n">
        <v>-0.03</v>
      </c>
      <c r="BO71" s="52" t="n">
        <v>0.2</v>
      </c>
      <c r="BP71" s="52" t="n">
        <v>1</v>
      </c>
      <c r="BQ71" s="52" t="n">
        <v>0.06</v>
      </c>
      <c r="BR71" s="52" t="n">
        <v>0.21</v>
      </c>
      <c r="BS71" s="52" t="n">
        <v>-0.04</v>
      </c>
      <c r="BT71" s="52" t="n">
        <v>0.07</v>
      </c>
      <c r="BU71" s="52" t="n">
        <v>-0.03</v>
      </c>
      <c r="BV71" s="52" t="n">
        <v>0.42</v>
      </c>
      <c r="BW71" s="52" t="n">
        <v>0.36</v>
      </c>
      <c r="BX71" s="52" t="n">
        <v>-0.02</v>
      </c>
      <c r="BY71" s="52" t="n">
        <v>0.1</v>
      </c>
      <c r="BZ71" s="52" t="n">
        <v>0.28</v>
      </c>
      <c r="CA71" s="52" t="n">
        <v>0</v>
      </c>
      <c r="CB71" s="52" t="n">
        <v>-0.05</v>
      </c>
      <c r="CC71" s="52" t="n">
        <v>0.07</v>
      </c>
      <c r="CD71" s="52" t="n">
        <v>0.3</v>
      </c>
      <c r="CE71" s="52" t="n">
        <v>0.08</v>
      </c>
      <c r="CF71" s="52" t="n">
        <v>-0.05</v>
      </c>
      <c r="CG71" s="52" t="n">
        <v>0.31</v>
      </c>
      <c r="CH71" s="52" t="n">
        <v>0.01</v>
      </c>
      <c r="CI71" s="52" t="n">
        <v>-0.02</v>
      </c>
      <c r="CJ71" s="52" t="n">
        <v>0.27</v>
      </c>
      <c r="CK71" s="52" t="n">
        <v>0.17</v>
      </c>
      <c r="CL71" s="52" t="n">
        <v>0.04</v>
      </c>
      <c r="CM71" s="52" t="n">
        <v>0.28</v>
      </c>
      <c r="CN71" s="52" t="n">
        <v>0.03</v>
      </c>
      <c r="CO71" s="52" t="n">
        <v>0.09</v>
      </c>
      <c r="CP71" s="52" t="n">
        <v>0.17</v>
      </c>
      <c r="CQ71" s="52" t="n">
        <v>0.16</v>
      </c>
      <c r="CR71" s="52" t="n">
        <v>0.19</v>
      </c>
      <c r="CS71" s="52" t="n">
        <v>-0.1</v>
      </c>
      <c r="CT71" s="52" t="n">
        <v>0.27</v>
      </c>
      <c r="CU71" s="52" t="n">
        <v>0.14</v>
      </c>
      <c r="CV71" s="52" t="n">
        <v>0.18</v>
      </c>
      <c r="CW71" s="52" t="n">
        <v>0.32</v>
      </c>
      <c r="CX71" s="52" t="n">
        <v>0.26</v>
      </c>
      <c r="CY71" s="52" t="n">
        <v>0.01</v>
      </c>
      <c r="CZ71" s="52" t="n">
        <v>0.4</v>
      </c>
      <c r="DA71" s="52" t="n">
        <v>0.32</v>
      </c>
      <c r="DB71" s="52" t="n">
        <v>0.25</v>
      </c>
      <c r="DC71" s="52" t="n">
        <v>0.05</v>
      </c>
      <c r="DD71" s="52" t="n">
        <v>0.34</v>
      </c>
      <c r="DE71" s="52" t="n">
        <v>0.09</v>
      </c>
      <c r="DF71" s="52" t="n">
        <v>0.48</v>
      </c>
      <c r="DG71" s="52" t="n">
        <v>0.13</v>
      </c>
      <c r="DH71" s="52" t="n">
        <v>0.24</v>
      </c>
      <c r="DI71" s="52" t="n">
        <v>0.18</v>
      </c>
      <c r="DJ71" s="52" t="n">
        <v>0.03</v>
      </c>
      <c r="DK71" s="52" t="n">
        <v>0.18</v>
      </c>
      <c r="DL71" s="52" t="n">
        <v>0.03</v>
      </c>
      <c r="DM71" s="52" t="n">
        <v>0.09</v>
      </c>
      <c r="DN71" s="52" t="n">
        <v>0.24</v>
      </c>
      <c r="DO71" s="52" t="n">
        <v>0.09</v>
      </c>
      <c r="DP71" s="52" t="n">
        <v>0.01</v>
      </c>
      <c r="DQ71" s="52" t="n">
        <v>0.16</v>
      </c>
      <c r="DR71" s="52" t="n">
        <v>0.09</v>
      </c>
      <c r="DS71" s="52" t="n">
        <v>0.31</v>
      </c>
      <c r="DT71" s="52" t="n">
        <v>0.47</v>
      </c>
      <c r="DU71" s="52" t="n">
        <v>0.42</v>
      </c>
      <c r="DV71" s="52" t="n">
        <v>0.45</v>
      </c>
      <c r="DW71" s="52" t="n">
        <v>0.34</v>
      </c>
      <c r="DX71" s="52" t="n">
        <v>0.02</v>
      </c>
      <c r="DY71" s="52" t="n">
        <v>0.39</v>
      </c>
      <c r="DZ71" s="52" t="n">
        <v>0.34</v>
      </c>
      <c r="EA71" s="52" t="n">
        <v>0.1</v>
      </c>
      <c r="EB71" s="52" t="n">
        <v>0.36</v>
      </c>
      <c r="EC71" s="52" t="n">
        <v>-0.03</v>
      </c>
      <c r="ED71" s="52" t="n">
        <v>0.19</v>
      </c>
      <c r="EE71" s="52" t="n">
        <v>0.17</v>
      </c>
      <c r="EF71" s="52" t="n">
        <v>0.07</v>
      </c>
      <c r="EG71" s="52" t="n">
        <v>0.04</v>
      </c>
      <c r="EH71" s="52" t="n">
        <v>0.27</v>
      </c>
      <c r="EI71" s="52" t="n">
        <v>0.05</v>
      </c>
      <c r="EJ71" s="52" t="n">
        <v>0.18</v>
      </c>
      <c r="EK71" s="52" t="n">
        <v>0.27</v>
      </c>
      <c r="EL71" s="52" t="n">
        <v>0.23</v>
      </c>
      <c r="EM71" s="52" t="n">
        <v>0.3</v>
      </c>
      <c r="EN71" s="52" t="n">
        <v>0.07</v>
      </c>
      <c r="EO71" s="52" t="n">
        <v>0.11</v>
      </c>
    </row>
    <row r="72" customFormat="false" ht="15" hidden="false" customHeight="false" outlineLevel="0" collapsed="false">
      <c r="A72" s="51" t="s">
        <v>48</v>
      </c>
      <c r="B72" s="52" t="n">
        <v>-0.05</v>
      </c>
      <c r="C72" s="52" t="n">
        <v>0.19</v>
      </c>
      <c r="D72" s="52" t="n">
        <v>0.1</v>
      </c>
      <c r="E72" s="52" t="n">
        <v>0.15</v>
      </c>
      <c r="F72" s="52" t="n">
        <v>-0.04</v>
      </c>
      <c r="G72" s="52" t="n">
        <v>0.09</v>
      </c>
      <c r="H72" s="52" t="n">
        <v>0.27</v>
      </c>
      <c r="I72" s="52" t="n">
        <v>0.02</v>
      </c>
      <c r="J72" s="52" t="n">
        <v>-0.03</v>
      </c>
      <c r="K72" s="52" t="n">
        <v>0.1</v>
      </c>
      <c r="L72" s="52" t="n">
        <v>0.23</v>
      </c>
      <c r="M72" s="52" t="n">
        <v>0.33</v>
      </c>
      <c r="N72" s="52" t="n">
        <v>0.04</v>
      </c>
      <c r="O72" s="52" t="n">
        <v>0.35</v>
      </c>
      <c r="P72" s="52" t="n">
        <v>-0.01</v>
      </c>
      <c r="Q72" s="52" t="n">
        <v>0.11</v>
      </c>
      <c r="R72" s="52" t="n">
        <v>0.01</v>
      </c>
      <c r="S72" s="52" t="n">
        <v>0.3</v>
      </c>
      <c r="T72" s="52" t="n">
        <v>0.27</v>
      </c>
      <c r="U72" s="52" t="n">
        <v>0.34</v>
      </c>
      <c r="V72" s="52" t="n">
        <v>0.28</v>
      </c>
      <c r="W72" s="52" t="n">
        <v>0.31</v>
      </c>
      <c r="X72" s="52" t="n">
        <v>0.31</v>
      </c>
      <c r="Y72" s="52" t="n">
        <v>0.04</v>
      </c>
      <c r="Z72" s="52" t="n">
        <v>0.37</v>
      </c>
      <c r="AA72" s="52" t="n">
        <v>0.26</v>
      </c>
      <c r="AB72" s="52" t="n">
        <v>-0.01</v>
      </c>
      <c r="AC72" s="52" t="n">
        <v>0.12</v>
      </c>
      <c r="AD72" s="52" t="n">
        <v>0.33</v>
      </c>
      <c r="AE72" s="52" t="n">
        <v>0.34</v>
      </c>
      <c r="AF72" s="52" t="n">
        <v>0.42</v>
      </c>
      <c r="AG72" s="52" t="n">
        <v>-0.05</v>
      </c>
      <c r="AH72" s="52" t="n">
        <v>-0.03</v>
      </c>
      <c r="AI72" s="52" t="n">
        <v>-0.14</v>
      </c>
      <c r="AJ72" s="52" t="n">
        <v>0.17</v>
      </c>
      <c r="AK72" s="52" t="n">
        <v>0.39</v>
      </c>
      <c r="AL72" s="52" t="n">
        <v>0.09</v>
      </c>
      <c r="AM72" s="52" t="n">
        <v>0.28</v>
      </c>
      <c r="AN72" s="52" t="n">
        <v>0.26</v>
      </c>
      <c r="AO72" s="52" t="n">
        <v>-0.07</v>
      </c>
      <c r="AP72" s="52" t="n">
        <v>0.16</v>
      </c>
      <c r="AQ72" s="52" t="n">
        <v>-0.15</v>
      </c>
      <c r="AR72" s="52" t="n">
        <v>0.25</v>
      </c>
      <c r="AS72" s="52" t="n">
        <v>0.29</v>
      </c>
      <c r="AT72" s="52" t="n">
        <v>0.21</v>
      </c>
      <c r="AU72" s="52" t="n">
        <v>0.03</v>
      </c>
      <c r="AV72" s="52" t="n">
        <v>0.26</v>
      </c>
      <c r="AW72" s="52" t="n">
        <v>0.47</v>
      </c>
      <c r="AX72" s="52" t="n">
        <v>0.06</v>
      </c>
      <c r="AY72" s="52" t="n">
        <v>0.2</v>
      </c>
      <c r="AZ72" s="52" t="n">
        <v>0.33</v>
      </c>
      <c r="BA72" s="52" t="n">
        <v>0.34</v>
      </c>
      <c r="BB72" s="52" t="n">
        <v>0.31</v>
      </c>
      <c r="BC72" s="52" t="n">
        <v>0.21</v>
      </c>
      <c r="BD72" s="52" t="n">
        <v>0.36</v>
      </c>
      <c r="BE72" s="52" t="n">
        <v>0.13</v>
      </c>
      <c r="BF72" s="52" t="n">
        <v>0.25</v>
      </c>
      <c r="BG72" s="52" t="n">
        <v>0.03</v>
      </c>
      <c r="BH72" s="52" t="n">
        <v>0.22</v>
      </c>
      <c r="BI72" s="52" t="n">
        <v>0.14</v>
      </c>
      <c r="BJ72" s="52" t="n">
        <v>0.02</v>
      </c>
      <c r="BK72" s="52" t="n">
        <v>0.32</v>
      </c>
      <c r="BL72" s="52" t="n">
        <v>0.33</v>
      </c>
      <c r="BM72" s="52" t="n">
        <v>0.09</v>
      </c>
      <c r="BN72" s="52" t="n">
        <v>0.11</v>
      </c>
      <c r="BO72" s="52" t="n">
        <v>0.2</v>
      </c>
      <c r="BP72" s="52" t="n">
        <v>0.06</v>
      </c>
      <c r="BQ72" s="52" t="n">
        <v>1</v>
      </c>
      <c r="BR72" s="52" t="n">
        <v>0.24</v>
      </c>
      <c r="BS72" s="52" t="n">
        <v>-0.18</v>
      </c>
      <c r="BT72" s="52" t="n">
        <v>0.32</v>
      </c>
      <c r="BU72" s="52" t="n">
        <v>0.28</v>
      </c>
      <c r="BV72" s="52" t="n">
        <v>0.21</v>
      </c>
      <c r="BW72" s="52" t="n">
        <v>0.12</v>
      </c>
      <c r="BX72" s="52" t="n">
        <v>-0.01</v>
      </c>
      <c r="BY72" s="52" t="n">
        <v>0.21</v>
      </c>
      <c r="BZ72" s="52" t="n">
        <v>0.27</v>
      </c>
      <c r="CA72" s="52" t="n">
        <v>0.26</v>
      </c>
      <c r="CB72" s="52" t="n">
        <v>-0.13</v>
      </c>
      <c r="CC72" s="52" t="n">
        <v>0.11</v>
      </c>
      <c r="CD72" s="52" t="n">
        <v>0.15</v>
      </c>
      <c r="CE72" s="52" t="n">
        <v>0.19</v>
      </c>
      <c r="CF72" s="52" t="n">
        <v>-0.19</v>
      </c>
      <c r="CG72" s="52" t="n">
        <v>0.15</v>
      </c>
      <c r="CH72" s="52" t="n">
        <v>0.47</v>
      </c>
      <c r="CI72" s="52" t="n">
        <v>-0.18</v>
      </c>
      <c r="CJ72" s="52" t="n">
        <v>-0.04</v>
      </c>
      <c r="CK72" s="52" t="n">
        <v>0.12</v>
      </c>
      <c r="CL72" s="52" t="n">
        <v>0.29</v>
      </c>
      <c r="CM72" s="52" t="n">
        <v>0.24</v>
      </c>
      <c r="CN72" s="52" t="n">
        <v>0.24</v>
      </c>
      <c r="CO72" s="52" t="n">
        <v>0.21</v>
      </c>
      <c r="CP72" s="52" t="n">
        <v>0.05</v>
      </c>
      <c r="CQ72" s="52" t="n">
        <v>0.31</v>
      </c>
      <c r="CR72" s="52" t="n">
        <v>0.31</v>
      </c>
      <c r="CS72" s="52" t="n">
        <v>0.41</v>
      </c>
      <c r="CT72" s="52" t="n">
        <v>0.26</v>
      </c>
      <c r="CU72" s="52" t="n">
        <v>0.16</v>
      </c>
      <c r="CV72" s="52" t="n">
        <v>0.17</v>
      </c>
      <c r="CW72" s="52" t="n">
        <v>0.19</v>
      </c>
      <c r="CX72" s="52" t="n">
        <v>0.33</v>
      </c>
      <c r="CY72" s="52" t="n">
        <v>0.23</v>
      </c>
      <c r="CZ72" s="52" t="n">
        <v>0.07</v>
      </c>
      <c r="DA72" s="52" t="n">
        <v>0.09</v>
      </c>
      <c r="DB72" s="52" t="n">
        <v>0.33</v>
      </c>
      <c r="DC72" s="52" t="n">
        <v>0.32</v>
      </c>
      <c r="DD72" s="52" t="n">
        <v>0.2</v>
      </c>
      <c r="DE72" s="52" t="n">
        <v>0.39</v>
      </c>
      <c r="DF72" s="52" t="n">
        <v>-0.12</v>
      </c>
      <c r="DG72" s="52" t="n">
        <v>0.4</v>
      </c>
      <c r="DH72" s="52" t="n">
        <v>0.23</v>
      </c>
      <c r="DI72" s="52" t="n">
        <v>0.26</v>
      </c>
      <c r="DJ72" s="52" t="n">
        <v>0.19</v>
      </c>
      <c r="DK72" s="52" t="n">
        <v>0.35</v>
      </c>
      <c r="DL72" s="52" t="n">
        <v>0.33</v>
      </c>
      <c r="DM72" s="52" t="n">
        <v>0.34</v>
      </c>
      <c r="DN72" s="52" t="n">
        <v>0.06</v>
      </c>
      <c r="DO72" s="52" t="n">
        <v>0.21</v>
      </c>
      <c r="DP72" s="52" t="n">
        <v>0.24</v>
      </c>
      <c r="DQ72" s="52" t="n">
        <v>0.27</v>
      </c>
      <c r="DR72" s="52" t="n">
        <v>0.21</v>
      </c>
      <c r="DS72" s="52" t="n">
        <v>-0.06</v>
      </c>
      <c r="DT72" s="52" t="n">
        <v>0.19</v>
      </c>
      <c r="DU72" s="52" t="n">
        <v>0.28</v>
      </c>
      <c r="DV72" s="52" t="n">
        <v>0.05</v>
      </c>
      <c r="DW72" s="52" t="n">
        <v>0.12</v>
      </c>
      <c r="DX72" s="52" t="n">
        <v>0.33</v>
      </c>
      <c r="DY72" s="52" t="n">
        <v>0.2</v>
      </c>
      <c r="DZ72" s="52" t="n">
        <v>-0.01</v>
      </c>
      <c r="EA72" s="52" t="n">
        <v>0.18</v>
      </c>
      <c r="EB72" s="52" t="n">
        <v>0.15</v>
      </c>
      <c r="EC72" s="52" t="n">
        <v>0.17</v>
      </c>
      <c r="ED72" s="52" t="n">
        <v>0.25</v>
      </c>
      <c r="EE72" s="52" t="n">
        <v>0.3</v>
      </c>
      <c r="EF72" s="52" t="n">
        <v>0.26</v>
      </c>
      <c r="EG72" s="52" t="n">
        <v>0.26</v>
      </c>
      <c r="EH72" s="52" t="n">
        <v>0.02</v>
      </c>
      <c r="EI72" s="52" t="n">
        <v>0.26</v>
      </c>
      <c r="EJ72" s="52" t="n">
        <v>0.19</v>
      </c>
      <c r="EK72" s="52" t="n">
        <v>0.28</v>
      </c>
      <c r="EL72" s="52" t="n">
        <v>0.32</v>
      </c>
      <c r="EM72" s="52" t="n">
        <v>0.13</v>
      </c>
      <c r="EN72" s="52" t="n">
        <v>0.06</v>
      </c>
      <c r="EO72" s="52" t="n">
        <v>-0.01</v>
      </c>
    </row>
    <row r="73" customFormat="false" ht="15" hidden="false" customHeight="false" outlineLevel="0" collapsed="false">
      <c r="A73" s="51" t="s">
        <v>215</v>
      </c>
      <c r="B73" s="52" t="n">
        <v>0.22</v>
      </c>
      <c r="C73" s="52" t="n">
        <v>-0.07</v>
      </c>
      <c r="D73" s="52" t="n">
        <v>0.04</v>
      </c>
      <c r="E73" s="52" t="n">
        <v>0.07</v>
      </c>
      <c r="F73" s="52" t="n">
        <v>0.14</v>
      </c>
      <c r="G73" s="52" t="n">
        <v>0</v>
      </c>
      <c r="H73" s="52" t="n">
        <v>0.12</v>
      </c>
      <c r="I73" s="52" t="n">
        <v>0.24</v>
      </c>
      <c r="J73" s="52" t="n">
        <v>0.09</v>
      </c>
      <c r="K73" s="52" t="n">
        <v>0.14</v>
      </c>
      <c r="L73" s="52" t="n">
        <v>0.1</v>
      </c>
      <c r="M73" s="52" t="n">
        <v>0.35</v>
      </c>
      <c r="N73" s="52" t="n">
        <v>0.27</v>
      </c>
      <c r="O73" s="52" t="n">
        <v>0.05</v>
      </c>
      <c r="P73" s="52" t="n">
        <v>0.15</v>
      </c>
      <c r="Q73" s="52" t="n">
        <v>0.05</v>
      </c>
      <c r="R73" s="52" t="n">
        <v>0.21</v>
      </c>
      <c r="S73" s="52" t="n">
        <v>0.09</v>
      </c>
      <c r="T73" s="52" t="n">
        <v>0.38</v>
      </c>
      <c r="U73" s="52" t="n">
        <v>0.13</v>
      </c>
      <c r="V73" s="52" t="n">
        <v>0.09</v>
      </c>
      <c r="W73" s="52" t="n">
        <v>0.08</v>
      </c>
      <c r="X73" s="52" t="n">
        <v>0.31</v>
      </c>
      <c r="Y73" s="52" t="n">
        <v>0.18</v>
      </c>
      <c r="Z73" s="52" t="n">
        <v>0.03</v>
      </c>
      <c r="AA73" s="52" t="n">
        <v>0.19</v>
      </c>
      <c r="AB73" s="52" t="n">
        <v>0.24</v>
      </c>
      <c r="AC73" s="52" t="n">
        <v>-0.07</v>
      </c>
      <c r="AD73" s="52" t="n">
        <v>0.04</v>
      </c>
      <c r="AE73" s="52" t="n">
        <v>0.16</v>
      </c>
      <c r="AF73" s="52" t="n">
        <v>0.12</v>
      </c>
      <c r="AG73" s="52" t="n">
        <v>0.03</v>
      </c>
      <c r="AH73" s="52" t="n">
        <v>0.06</v>
      </c>
      <c r="AI73" s="52" t="n">
        <v>-0.05</v>
      </c>
      <c r="AJ73" s="52" t="n">
        <v>0.12</v>
      </c>
      <c r="AK73" s="52" t="n">
        <v>0.1</v>
      </c>
      <c r="AL73" s="52" t="n">
        <v>0.3</v>
      </c>
      <c r="AM73" s="52" t="n">
        <v>0.17</v>
      </c>
      <c r="AN73" s="52" t="n">
        <v>0.35</v>
      </c>
      <c r="AO73" s="52" t="n">
        <v>-0.01</v>
      </c>
      <c r="AP73" s="52" t="n">
        <v>0.41</v>
      </c>
      <c r="AQ73" s="52" t="n">
        <v>-0.05</v>
      </c>
      <c r="AR73" s="52" t="n">
        <v>0.31</v>
      </c>
      <c r="AS73" s="52" t="n">
        <v>0.13</v>
      </c>
      <c r="AT73" s="52" t="n">
        <v>0.36</v>
      </c>
      <c r="AU73" s="52" t="n">
        <v>0.13</v>
      </c>
      <c r="AV73" s="52" t="n">
        <v>0.16</v>
      </c>
      <c r="AW73" s="52" t="n">
        <v>0.13</v>
      </c>
      <c r="AX73" s="52" t="n">
        <v>0.21</v>
      </c>
      <c r="AY73" s="52" t="n">
        <v>0.36</v>
      </c>
      <c r="AZ73" s="52" t="n">
        <v>0.18</v>
      </c>
      <c r="BA73" s="52" t="n">
        <v>0.29</v>
      </c>
      <c r="BB73" s="52" t="n">
        <v>0.41</v>
      </c>
      <c r="BC73" s="52" t="n">
        <v>0.16</v>
      </c>
      <c r="BD73" s="52" t="n">
        <v>0.1</v>
      </c>
      <c r="BE73" s="52" t="n">
        <v>0.11</v>
      </c>
      <c r="BF73" s="52" t="n">
        <v>0.19</v>
      </c>
      <c r="BG73" s="52" t="n">
        <v>0.34</v>
      </c>
      <c r="BH73" s="52" t="n">
        <v>0.08</v>
      </c>
      <c r="BI73" s="52" t="n">
        <v>0.18</v>
      </c>
      <c r="BJ73" s="52" t="n">
        <v>0.06</v>
      </c>
      <c r="BK73" s="52" t="n">
        <v>0.16</v>
      </c>
      <c r="BL73" s="52" t="n">
        <v>0.23</v>
      </c>
      <c r="BM73" s="52" t="n">
        <v>0.32</v>
      </c>
      <c r="BN73" s="52" t="n">
        <v>0</v>
      </c>
      <c r="BO73" s="52" t="n">
        <v>0.22</v>
      </c>
      <c r="BP73" s="52" t="n">
        <v>0.21</v>
      </c>
      <c r="BQ73" s="52" t="n">
        <v>0.24</v>
      </c>
      <c r="BR73" s="52" t="n">
        <v>1</v>
      </c>
      <c r="BS73" s="52" t="n">
        <v>0.04</v>
      </c>
      <c r="BT73" s="52" t="n">
        <v>0.31</v>
      </c>
      <c r="BU73" s="52" t="n">
        <v>0.15</v>
      </c>
      <c r="BV73" s="52" t="n">
        <v>0.24</v>
      </c>
      <c r="BW73" s="52" t="n">
        <v>0.63</v>
      </c>
      <c r="BX73" s="52" t="n">
        <v>0.21</v>
      </c>
      <c r="BY73" s="52" t="n">
        <v>0.31</v>
      </c>
      <c r="BZ73" s="52" t="n">
        <v>0.28</v>
      </c>
      <c r="CA73" s="52" t="n">
        <v>0.04</v>
      </c>
      <c r="CB73" s="52" t="n">
        <v>-0.01</v>
      </c>
      <c r="CC73" s="52" t="n">
        <v>0.07</v>
      </c>
      <c r="CD73" s="52" t="n">
        <v>0.28</v>
      </c>
      <c r="CE73" s="52" t="n">
        <v>0.19</v>
      </c>
      <c r="CF73" s="52" t="n">
        <v>0.04</v>
      </c>
      <c r="CG73" s="52" t="n">
        <v>0.41</v>
      </c>
      <c r="CH73" s="52" t="n">
        <v>0.15</v>
      </c>
      <c r="CI73" s="52" t="n">
        <v>0</v>
      </c>
      <c r="CJ73" s="52" t="n">
        <v>0.19</v>
      </c>
      <c r="CK73" s="52" t="n">
        <v>0.36</v>
      </c>
      <c r="CL73" s="52" t="n">
        <v>0.24</v>
      </c>
      <c r="CM73" s="52" t="n">
        <v>0.15</v>
      </c>
      <c r="CN73" s="52" t="n">
        <v>-0.05</v>
      </c>
      <c r="CO73" s="52" t="n">
        <v>0.15</v>
      </c>
      <c r="CP73" s="52" t="n">
        <v>0.25</v>
      </c>
      <c r="CQ73" s="52" t="n">
        <v>0.52</v>
      </c>
      <c r="CR73" s="52" t="n">
        <v>0.29</v>
      </c>
      <c r="CS73" s="52" t="n">
        <v>0.24</v>
      </c>
      <c r="CT73" s="52" t="n">
        <v>0.3</v>
      </c>
      <c r="CU73" s="52" t="n">
        <v>0.28</v>
      </c>
      <c r="CV73" s="52" t="n">
        <v>0.13</v>
      </c>
      <c r="CW73" s="52" t="n">
        <v>0.35</v>
      </c>
      <c r="CX73" s="52" t="n">
        <v>0.29</v>
      </c>
      <c r="CY73" s="52" t="n">
        <v>0.34</v>
      </c>
      <c r="CZ73" s="52" t="n">
        <v>0.19</v>
      </c>
      <c r="DA73" s="52" t="n">
        <v>0.16</v>
      </c>
      <c r="DB73" s="52" t="n">
        <v>0.15</v>
      </c>
      <c r="DC73" s="52" t="n">
        <v>0.27</v>
      </c>
      <c r="DD73" s="52" t="n">
        <v>0.28</v>
      </c>
      <c r="DE73" s="52" t="n">
        <v>0.2</v>
      </c>
      <c r="DF73" s="52" t="n">
        <v>0.12</v>
      </c>
      <c r="DG73" s="52" t="n">
        <v>0.2</v>
      </c>
      <c r="DH73" s="52" t="n">
        <v>0.19</v>
      </c>
      <c r="DI73" s="52" t="n">
        <v>0.46</v>
      </c>
      <c r="DJ73" s="52" t="n">
        <v>0.34</v>
      </c>
      <c r="DK73" s="52" t="n">
        <v>0.51</v>
      </c>
      <c r="DL73" s="52" t="n">
        <v>0.03</v>
      </c>
      <c r="DM73" s="52" t="n">
        <v>0.43</v>
      </c>
      <c r="DN73" s="52" t="n">
        <v>0.28</v>
      </c>
      <c r="DO73" s="52" t="n">
        <v>0.18</v>
      </c>
      <c r="DP73" s="52" t="n">
        <v>0.37</v>
      </c>
      <c r="DQ73" s="52" t="n">
        <v>0.24</v>
      </c>
      <c r="DR73" s="52" t="n">
        <v>0.18</v>
      </c>
      <c r="DS73" s="52" t="n">
        <v>0.13</v>
      </c>
      <c r="DT73" s="52" t="n">
        <v>0.1</v>
      </c>
      <c r="DU73" s="52" t="n">
        <v>0.3</v>
      </c>
      <c r="DV73" s="52" t="n">
        <v>0.14</v>
      </c>
      <c r="DW73" s="52" t="n">
        <v>0.29</v>
      </c>
      <c r="DX73" s="52" t="n">
        <v>0.2</v>
      </c>
      <c r="DY73" s="52" t="n">
        <v>0.35</v>
      </c>
      <c r="DZ73" s="52" t="n">
        <v>0.19</v>
      </c>
      <c r="EA73" s="52" t="n">
        <v>0.19</v>
      </c>
      <c r="EB73" s="52" t="n">
        <v>0.33</v>
      </c>
      <c r="EC73" s="52" t="n">
        <v>-0.01</v>
      </c>
      <c r="ED73" s="52" t="n">
        <v>0.31</v>
      </c>
      <c r="EE73" s="52" t="n">
        <v>0.16</v>
      </c>
      <c r="EF73" s="52" t="n">
        <v>0.26</v>
      </c>
      <c r="EG73" s="52" t="n">
        <v>0.18</v>
      </c>
      <c r="EH73" s="52" t="n">
        <v>0.22</v>
      </c>
      <c r="EI73" s="52" t="n">
        <v>0.15</v>
      </c>
      <c r="EJ73" s="52" t="n">
        <v>0.17</v>
      </c>
      <c r="EK73" s="52" t="n">
        <v>0.24</v>
      </c>
      <c r="EL73" s="52" t="n">
        <v>0.28</v>
      </c>
      <c r="EM73" s="52" t="n">
        <v>0.19</v>
      </c>
      <c r="EN73" s="52" t="n">
        <v>0.04</v>
      </c>
      <c r="EO73" s="52" t="n">
        <v>0.12</v>
      </c>
    </row>
    <row r="74" customFormat="false" ht="15" hidden="false" customHeight="false" outlineLevel="0" collapsed="false">
      <c r="A74" s="51" t="s">
        <v>216</v>
      </c>
      <c r="B74" s="52" t="n">
        <v>0.02</v>
      </c>
      <c r="C74" s="52" t="n">
        <v>-0.03</v>
      </c>
      <c r="D74" s="52" t="n">
        <v>-0.06</v>
      </c>
      <c r="E74" s="52" t="n">
        <v>0.03</v>
      </c>
      <c r="F74" s="52" t="n">
        <v>0.14</v>
      </c>
      <c r="G74" s="52" t="n">
        <v>0</v>
      </c>
      <c r="H74" s="52" t="n">
        <v>-0.1</v>
      </c>
      <c r="I74" s="52" t="n">
        <v>0.01</v>
      </c>
      <c r="J74" s="52" t="n">
        <v>0.11</v>
      </c>
      <c r="K74" s="52" t="n">
        <v>-0.06</v>
      </c>
      <c r="L74" s="52" t="n">
        <v>-0.07</v>
      </c>
      <c r="M74" s="52" t="n">
        <v>-0.09</v>
      </c>
      <c r="N74" s="52" t="n">
        <v>0.04</v>
      </c>
      <c r="O74" s="52" t="n">
        <v>-0.07</v>
      </c>
      <c r="P74" s="52" t="n">
        <v>0.17</v>
      </c>
      <c r="Q74" s="52" t="n">
        <v>-0.05</v>
      </c>
      <c r="R74" s="52" t="n">
        <v>0.14</v>
      </c>
      <c r="S74" s="52" t="n">
        <v>-0.13</v>
      </c>
      <c r="T74" s="52" t="n">
        <v>-0.01</v>
      </c>
      <c r="U74" s="52" t="n">
        <v>-0.1</v>
      </c>
      <c r="V74" s="52" t="n">
        <v>-0.09</v>
      </c>
      <c r="W74" s="52" t="n">
        <v>-0.04</v>
      </c>
      <c r="X74" s="52" t="n">
        <v>-0.02</v>
      </c>
      <c r="Y74" s="52" t="n">
        <v>-0.02</v>
      </c>
      <c r="Z74" s="52" t="n">
        <v>-0.11</v>
      </c>
      <c r="AA74" s="52" t="n">
        <v>-0.14</v>
      </c>
      <c r="AB74" s="52" t="n">
        <v>0</v>
      </c>
      <c r="AC74" s="52" t="n">
        <v>0.01</v>
      </c>
      <c r="AD74" s="52" t="n">
        <v>0.07</v>
      </c>
      <c r="AE74" s="52" t="n">
        <v>-0.23</v>
      </c>
      <c r="AF74" s="52" t="n">
        <v>-0.11</v>
      </c>
      <c r="AG74" s="52" t="n">
        <v>0.22</v>
      </c>
      <c r="AH74" s="52" t="n">
        <v>0.21</v>
      </c>
      <c r="AI74" s="52" t="n">
        <v>0.72</v>
      </c>
      <c r="AJ74" s="52" t="n">
        <v>-0.07</v>
      </c>
      <c r="AK74" s="52" t="n">
        <v>-0.15</v>
      </c>
      <c r="AL74" s="52" t="n">
        <v>-0.01</v>
      </c>
      <c r="AM74" s="52" t="n">
        <v>-0.12</v>
      </c>
      <c r="AN74" s="52" t="n">
        <v>-0.19</v>
      </c>
      <c r="AO74" s="52" t="n">
        <v>0.06</v>
      </c>
      <c r="AP74" s="52" t="n">
        <v>-0.07</v>
      </c>
      <c r="AQ74" s="52" t="n">
        <v>0.74</v>
      </c>
      <c r="AR74" s="52" t="n">
        <v>0.03</v>
      </c>
      <c r="AS74" s="52" t="n">
        <v>-0.15</v>
      </c>
      <c r="AT74" s="52" t="n">
        <v>-0.09</v>
      </c>
      <c r="AU74" s="52" t="n">
        <v>0.11</v>
      </c>
      <c r="AV74" s="52" t="n">
        <v>-0.03</v>
      </c>
      <c r="AW74" s="52" t="n">
        <v>-0.07</v>
      </c>
      <c r="AX74" s="52" t="n">
        <v>0.02</v>
      </c>
      <c r="AY74" s="52" t="n">
        <v>0</v>
      </c>
      <c r="AZ74" s="52" t="n">
        <v>-0.21</v>
      </c>
      <c r="BA74" s="52" t="n">
        <v>-0.03</v>
      </c>
      <c r="BB74" s="52" t="n">
        <v>-0.1</v>
      </c>
      <c r="BC74" s="52" t="n">
        <v>-0.05</v>
      </c>
      <c r="BD74" s="52" t="n">
        <v>-0.13</v>
      </c>
      <c r="BE74" s="52" t="n">
        <v>0.05</v>
      </c>
      <c r="BF74" s="52" t="n">
        <v>0</v>
      </c>
      <c r="BG74" s="52" t="n">
        <v>-0.04</v>
      </c>
      <c r="BH74" s="52" t="n">
        <v>-0.16</v>
      </c>
      <c r="BI74" s="52" t="n">
        <v>-0.04</v>
      </c>
      <c r="BJ74" s="52" t="n">
        <v>0.08</v>
      </c>
      <c r="BK74" s="52" t="n">
        <v>-0.12</v>
      </c>
      <c r="BL74" s="52" t="n">
        <v>-0.02</v>
      </c>
      <c r="BM74" s="52" t="n">
        <v>0.05</v>
      </c>
      <c r="BN74" s="52" t="n">
        <v>0.05</v>
      </c>
      <c r="BO74" s="52" t="n">
        <v>-0.11</v>
      </c>
      <c r="BP74" s="52" t="n">
        <v>-0.04</v>
      </c>
      <c r="BQ74" s="52" t="n">
        <v>-0.18</v>
      </c>
      <c r="BR74" s="52" t="n">
        <v>0.04</v>
      </c>
      <c r="BS74" s="52" t="n">
        <v>1</v>
      </c>
      <c r="BT74" s="52" t="n">
        <v>-0.23</v>
      </c>
      <c r="BU74" s="52" t="n">
        <v>-0.09</v>
      </c>
      <c r="BV74" s="52" t="n">
        <v>-0.03</v>
      </c>
      <c r="BW74" s="52" t="n">
        <v>0.03</v>
      </c>
      <c r="BX74" s="52" t="n">
        <v>0.01</v>
      </c>
      <c r="BY74" s="52" t="n">
        <v>-0.04</v>
      </c>
      <c r="BZ74" s="52" t="n">
        <v>-0.14</v>
      </c>
      <c r="CA74" s="52" t="n">
        <v>-0.1</v>
      </c>
      <c r="CB74" s="52" t="n">
        <v>0.14</v>
      </c>
      <c r="CC74" s="52" t="n">
        <v>-0.01</v>
      </c>
      <c r="CD74" s="52" t="n">
        <v>0.01</v>
      </c>
      <c r="CE74" s="52" t="n">
        <v>0.12</v>
      </c>
      <c r="CF74" s="52" t="n">
        <v>0.84</v>
      </c>
      <c r="CG74" s="52" t="n">
        <v>-0.08</v>
      </c>
      <c r="CH74" s="52" t="n">
        <v>-0.15</v>
      </c>
      <c r="CI74" s="52" t="n">
        <v>0.81</v>
      </c>
      <c r="CJ74" s="52" t="n">
        <v>0.11</v>
      </c>
      <c r="CK74" s="52" t="n">
        <v>0.05</v>
      </c>
      <c r="CL74" s="52" t="n">
        <v>-0.05</v>
      </c>
      <c r="CM74" s="52" t="n">
        <v>-0.05</v>
      </c>
      <c r="CN74" s="52" t="n">
        <v>0</v>
      </c>
      <c r="CO74" s="52" t="n">
        <v>-0.13</v>
      </c>
      <c r="CP74" s="52" t="n">
        <v>0.06</v>
      </c>
      <c r="CQ74" s="52" t="n">
        <v>-0.21</v>
      </c>
      <c r="CR74" s="52" t="n">
        <v>-0.07</v>
      </c>
      <c r="CS74" s="52" t="n">
        <v>0.02</v>
      </c>
      <c r="CT74" s="52" t="n">
        <v>-0.07</v>
      </c>
      <c r="CU74" s="52" t="n">
        <v>0.03</v>
      </c>
      <c r="CV74" s="52" t="n">
        <v>-0.12</v>
      </c>
      <c r="CW74" s="52" t="n">
        <v>-0.07</v>
      </c>
      <c r="CX74" s="52" t="n">
        <v>-0.1</v>
      </c>
      <c r="CY74" s="52" t="n">
        <v>-0.26</v>
      </c>
      <c r="CZ74" s="52" t="n">
        <v>0.08</v>
      </c>
      <c r="DA74" s="52" t="n">
        <v>0.01</v>
      </c>
      <c r="DB74" s="52" t="n">
        <v>-0.05</v>
      </c>
      <c r="DC74" s="52" t="n">
        <v>-0.29</v>
      </c>
      <c r="DD74" s="52" t="n">
        <v>-0.06</v>
      </c>
      <c r="DE74" s="52" t="n">
        <v>-0.1</v>
      </c>
      <c r="DF74" s="52" t="n">
        <v>0.05</v>
      </c>
      <c r="DG74" s="52" t="n">
        <v>-0.08</v>
      </c>
      <c r="DH74" s="52" t="n">
        <v>0.01</v>
      </c>
      <c r="DI74" s="52" t="n">
        <v>-0.32</v>
      </c>
      <c r="DJ74" s="52" t="n">
        <v>-0.14</v>
      </c>
      <c r="DK74" s="52" t="n">
        <v>-0.3</v>
      </c>
      <c r="DL74" s="52" t="n">
        <v>-0.2</v>
      </c>
      <c r="DM74" s="52" t="n">
        <v>-0.24</v>
      </c>
      <c r="DN74" s="52" t="n">
        <v>-0.04</v>
      </c>
      <c r="DO74" s="52" t="n">
        <v>0.03</v>
      </c>
      <c r="DP74" s="52" t="n">
        <v>-0.2</v>
      </c>
      <c r="DQ74" s="52" t="n">
        <v>0.05</v>
      </c>
      <c r="DR74" s="52" t="n">
        <v>0.06</v>
      </c>
      <c r="DS74" s="52" t="n">
        <v>0</v>
      </c>
      <c r="DT74" s="52" t="n">
        <v>-0.02</v>
      </c>
      <c r="DU74" s="52" t="n">
        <v>-0.13</v>
      </c>
      <c r="DV74" s="52" t="n">
        <v>-0.03</v>
      </c>
      <c r="DW74" s="52" t="n">
        <v>-0.13</v>
      </c>
      <c r="DX74" s="52" t="n">
        <v>-0.06</v>
      </c>
      <c r="DY74" s="52" t="n">
        <v>-0.15</v>
      </c>
      <c r="DZ74" s="52" t="n">
        <v>0.07</v>
      </c>
      <c r="EA74" s="52" t="n">
        <v>-0.17</v>
      </c>
      <c r="EB74" s="52" t="n">
        <v>-0.09</v>
      </c>
      <c r="EC74" s="52" t="n">
        <v>-0.08</v>
      </c>
      <c r="ED74" s="52" t="n">
        <v>-0.03</v>
      </c>
      <c r="EE74" s="52" t="n">
        <v>-0.05</v>
      </c>
      <c r="EF74" s="52" t="n">
        <v>0.02</v>
      </c>
      <c r="EG74" s="52" t="n">
        <v>-0.06</v>
      </c>
      <c r="EH74" s="52" t="n">
        <v>-0.05</v>
      </c>
      <c r="EI74" s="52" t="n">
        <v>-0.02</v>
      </c>
      <c r="EJ74" s="52" t="n">
        <v>0.02</v>
      </c>
      <c r="EK74" s="52" t="n">
        <v>0.08</v>
      </c>
      <c r="EL74" s="52" t="n">
        <v>-0.09</v>
      </c>
      <c r="EM74" s="52" t="n">
        <v>-0.02</v>
      </c>
      <c r="EN74" s="52" t="n">
        <v>-0.05</v>
      </c>
      <c r="EO74" s="52" t="n">
        <v>0</v>
      </c>
    </row>
    <row r="75" customFormat="false" ht="15" hidden="false" customHeight="false" outlineLevel="0" collapsed="false">
      <c r="A75" s="51" t="s">
        <v>218</v>
      </c>
      <c r="B75" s="52" t="n">
        <v>0.18</v>
      </c>
      <c r="C75" s="52" t="n">
        <v>0.04</v>
      </c>
      <c r="D75" s="52" t="n">
        <v>0.05</v>
      </c>
      <c r="E75" s="52" t="n">
        <v>0.05</v>
      </c>
      <c r="F75" s="52" t="n">
        <v>0.08</v>
      </c>
      <c r="G75" s="52" t="n">
        <v>0.01</v>
      </c>
      <c r="H75" s="52" t="n">
        <v>0.19</v>
      </c>
      <c r="I75" s="52" t="n">
        <v>0.18</v>
      </c>
      <c r="J75" s="52" t="n">
        <v>0.2</v>
      </c>
      <c r="K75" s="52" t="n">
        <v>0.17</v>
      </c>
      <c r="L75" s="52" t="n">
        <v>0.13</v>
      </c>
      <c r="M75" s="52" t="n">
        <v>0.35</v>
      </c>
      <c r="N75" s="52" t="n">
        <v>0.2</v>
      </c>
      <c r="O75" s="52" t="n">
        <v>0.19</v>
      </c>
      <c r="P75" s="52" t="n">
        <v>0.02</v>
      </c>
      <c r="Q75" s="52" t="n">
        <v>0.02</v>
      </c>
      <c r="R75" s="52" t="n">
        <v>0.09</v>
      </c>
      <c r="S75" s="52" t="n">
        <v>0.17</v>
      </c>
      <c r="T75" s="52" t="n">
        <v>0.46</v>
      </c>
      <c r="U75" s="52" t="n">
        <v>0.2</v>
      </c>
      <c r="V75" s="52" t="n">
        <v>0.06</v>
      </c>
      <c r="W75" s="52" t="n">
        <v>0.06</v>
      </c>
      <c r="X75" s="52" t="n">
        <v>0.47</v>
      </c>
      <c r="Y75" s="52" t="n">
        <v>0.16</v>
      </c>
      <c r="Z75" s="52" t="n">
        <v>0.12</v>
      </c>
      <c r="AA75" s="52" t="n">
        <v>0.15</v>
      </c>
      <c r="AB75" s="52" t="n">
        <v>0.17</v>
      </c>
      <c r="AC75" s="52" t="n">
        <v>0.11</v>
      </c>
      <c r="AD75" s="52" t="n">
        <v>0.17</v>
      </c>
      <c r="AE75" s="52" t="n">
        <v>0.29</v>
      </c>
      <c r="AF75" s="52" t="n">
        <v>0.19</v>
      </c>
      <c r="AG75" s="52" t="n">
        <v>-0.06</v>
      </c>
      <c r="AH75" s="52" t="n">
        <v>0</v>
      </c>
      <c r="AI75" s="52" t="n">
        <v>-0.22</v>
      </c>
      <c r="AJ75" s="52" t="n">
        <v>0.06</v>
      </c>
      <c r="AK75" s="52" t="n">
        <v>0.27</v>
      </c>
      <c r="AL75" s="52" t="n">
        <v>0.23</v>
      </c>
      <c r="AM75" s="52" t="n">
        <v>0.27</v>
      </c>
      <c r="AN75" s="52" t="n">
        <v>0.42</v>
      </c>
      <c r="AO75" s="52" t="n">
        <v>0.12</v>
      </c>
      <c r="AP75" s="52" t="n">
        <v>0.24</v>
      </c>
      <c r="AQ75" s="52" t="n">
        <v>-0.24</v>
      </c>
      <c r="AR75" s="52" t="n">
        <v>0.38</v>
      </c>
      <c r="AS75" s="52" t="n">
        <v>0.15</v>
      </c>
      <c r="AT75" s="52" t="n">
        <v>0.3</v>
      </c>
      <c r="AU75" s="52" t="n">
        <v>0.11</v>
      </c>
      <c r="AV75" s="52" t="n">
        <v>0.09</v>
      </c>
      <c r="AW75" s="52" t="n">
        <v>0.22</v>
      </c>
      <c r="AX75" s="52" t="n">
        <v>0.24</v>
      </c>
      <c r="AY75" s="52" t="n">
        <v>0.21</v>
      </c>
      <c r="AZ75" s="52" t="n">
        <v>0.23</v>
      </c>
      <c r="BA75" s="52" t="n">
        <v>0.33</v>
      </c>
      <c r="BB75" s="52" t="n">
        <v>0.51</v>
      </c>
      <c r="BC75" s="52" t="n">
        <v>0.2</v>
      </c>
      <c r="BD75" s="52" t="n">
        <v>0.15</v>
      </c>
      <c r="BE75" s="52" t="n">
        <v>0.23</v>
      </c>
      <c r="BF75" s="52" t="n">
        <v>0.22</v>
      </c>
      <c r="BG75" s="52" t="n">
        <v>0.22</v>
      </c>
      <c r="BH75" s="52" t="n">
        <v>0.22</v>
      </c>
      <c r="BI75" s="52" t="n">
        <v>0.12</v>
      </c>
      <c r="BJ75" s="52" t="n">
        <v>0.05</v>
      </c>
      <c r="BK75" s="52" t="n">
        <v>0.17</v>
      </c>
      <c r="BL75" s="52" t="n">
        <v>0.35</v>
      </c>
      <c r="BM75" s="52" t="n">
        <v>0.13</v>
      </c>
      <c r="BN75" s="52" t="n">
        <v>0.11</v>
      </c>
      <c r="BO75" s="52" t="n">
        <v>0.34</v>
      </c>
      <c r="BP75" s="52" t="n">
        <v>0.07</v>
      </c>
      <c r="BQ75" s="52" t="n">
        <v>0.32</v>
      </c>
      <c r="BR75" s="52" t="n">
        <v>0.31</v>
      </c>
      <c r="BS75" s="52" t="n">
        <v>-0.23</v>
      </c>
      <c r="BT75" s="52" t="n">
        <v>1</v>
      </c>
      <c r="BU75" s="52" t="n">
        <v>0.23</v>
      </c>
      <c r="BV75" s="52" t="n">
        <v>0.25</v>
      </c>
      <c r="BW75" s="52" t="n">
        <v>0.19</v>
      </c>
      <c r="BX75" s="52" t="n">
        <v>0.19</v>
      </c>
      <c r="BY75" s="52" t="n">
        <v>0.35</v>
      </c>
      <c r="BZ75" s="52" t="n">
        <v>0.49</v>
      </c>
      <c r="CA75" s="52" t="n">
        <v>0.15</v>
      </c>
      <c r="CB75" s="52" t="n">
        <v>-0.05</v>
      </c>
      <c r="CC75" s="52" t="n">
        <v>0.03</v>
      </c>
      <c r="CD75" s="52" t="n">
        <v>0.28</v>
      </c>
      <c r="CE75" s="52" t="n">
        <v>0.14</v>
      </c>
      <c r="CF75" s="52" t="n">
        <v>-0.28</v>
      </c>
      <c r="CG75" s="52" t="n">
        <v>0.24</v>
      </c>
      <c r="CH75" s="52" t="n">
        <v>0.33</v>
      </c>
      <c r="CI75" s="52" t="n">
        <v>-0.26</v>
      </c>
      <c r="CJ75" s="52" t="n">
        <v>0.11</v>
      </c>
      <c r="CK75" s="52" t="n">
        <v>0.15</v>
      </c>
      <c r="CL75" s="52" t="n">
        <v>0.29</v>
      </c>
      <c r="CM75" s="52" t="n">
        <v>0.3</v>
      </c>
      <c r="CN75" s="52" t="n">
        <v>0.08</v>
      </c>
      <c r="CO75" s="52" t="n">
        <v>0.07</v>
      </c>
      <c r="CP75" s="52" t="n">
        <v>0.05</v>
      </c>
      <c r="CQ75" s="52" t="n">
        <v>0.5</v>
      </c>
      <c r="CR75" s="52" t="n">
        <v>0.39</v>
      </c>
      <c r="CS75" s="52" t="n">
        <v>0.48</v>
      </c>
      <c r="CT75" s="52" t="n">
        <v>0.25</v>
      </c>
      <c r="CU75" s="52" t="n">
        <v>0.17</v>
      </c>
      <c r="CV75" s="52" t="n">
        <v>0.18</v>
      </c>
      <c r="CW75" s="52" t="n">
        <v>0.26</v>
      </c>
      <c r="CX75" s="52" t="n">
        <v>0.37</v>
      </c>
      <c r="CY75" s="52" t="n">
        <v>0.49</v>
      </c>
      <c r="CZ75" s="52" t="n">
        <v>0</v>
      </c>
      <c r="DA75" s="52" t="n">
        <v>0.13</v>
      </c>
      <c r="DB75" s="52" t="n">
        <v>0.24</v>
      </c>
      <c r="DC75" s="52" t="n">
        <v>0.31</v>
      </c>
      <c r="DD75" s="52" t="n">
        <v>0.3</v>
      </c>
      <c r="DE75" s="52" t="n">
        <v>0.31</v>
      </c>
      <c r="DF75" s="52" t="n">
        <v>-0.14</v>
      </c>
      <c r="DG75" s="52" t="n">
        <v>0.29</v>
      </c>
      <c r="DH75" s="52" t="n">
        <v>0.23</v>
      </c>
      <c r="DI75" s="52" t="n">
        <v>0.48</v>
      </c>
      <c r="DJ75" s="52" t="n">
        <v>0.43</v>
      </c>
      <c r="DK75" s="52" t="n">
        <v>0.54</v>
      </c>
      <c r="DL75" s="52" t="n">
        <v>0.17</v>
      </c>
      <c r="DM75" s="52" t="n">
        <v>0.53</v>
      </c>
      <c r="DN75" s="52" t="n">
        <v>0.16</v>
      </c>
      <c r="DO75" s="52" t="n">
        <v>0.25</v>
      </c>
      <c r="DP75" s="52" t="n">
        <v>0.5</v>
      </c>
      <c r="DQ75" s="52" t="n">
        <v>0.29</v>
      </c>
      <c r="DR75" s="52" t="n">
        <v>0.2</v>
      </c>
      <c r="DS75" s="52" t="n">
        <v>0.13</v>
      </c>
      <c r="DT75" s="52" t="n">
        <v>0.15</v>
      </c>
      <c r="DU75" s="52" t="n">
        <v>0.36</v>
      </c>
      <c r="DV75" s="52" t="n">
        <v>0.14</v>
      </c>
      <c r="DW75" s="52" t="n">
        <v>0.18</v>
      </c>
      <c r="DX75" s="52" t="n">
        <v>0.37</v>
      </c>
      <c r="DY75" s="52" t="n">
        <v>0.29</v>
      </c>
      <c r="DZ75" s="52" t="n">
        <v>0.01</v>
      </c>
      <c r="EA75" s="52" t="n">
        <v>0.26</v>
      </c>
      <c r="EB75" s="52" t="n">
        <v>0.29</v>
      </c>
      <c r="EC75" s="52" t="n">
        <v>0.07</v>
      </c>
      <c r="ED75" s="52" t="n">
        <v>0.22</v>
      </c>
      <c r="EE75" s="52" t="n">
        <v>0.31</v>
      </c>
      <c r="EF75" s="52" t="n">
        <v>0.3</v>
      </c>
      <c r="EG75" s="52" t="n">
        <v>0.25</v>
      </c>
      <c r="EH75" s="52" t="n">
        <v>0.1</v>
      </c>
      <c r="EI75" s="52" t="n">
        <v>0.27</v>
      </c>
      <c r="EJ75" s="52" t="n">
        <v>0.23</v>
      </c>
      <c r="EK75" s="52" t="n">
        <v>0.27</v>
      </c>
      <c r="EL75" s="52" t="n">
        <v>0.39</v>
      </c>
      <c r="EM75" s="52" t="n">
        <v>0.18</v>
      </c>
      <c r="EN75" s="52" t="n">
        <v>0.06</v>
      </c>
      <c r="EO75" s="52" t="n">
        <v>0.12</v>
      </c>
    </row>
    <row r="76" customFormat="false" ht="15" hidden="false" customHeight="false" outlineLevel="0" collapsed="false">
      <c r="A76" s="51" t="s">
        <v>219</v>
      </c>
      <c r="B76" s="52" t="n">
        <v>-0.07</v>
      </c>
      <c r="C76" s="52" t="n">
        <v>0.06</v>
      </c>
      <c r="D76" s="52" t="n">
        <v>0.1</v>
      </c>
      <c r="E76" s="52" t="n">
        <v>0.17</v>
      </c>
      <c r="F76" s="52" t="n">
        <v>-0.06</v>
      </c>
      <c r="G76" s="52" t="n">
        <v>-0.01</v>
      </c>
      <c r="H76" s="52" t="n">
        <v>0.18</v>
      </c>
      <c r="I76" s="52" t="n">
        <v>-0.06</v>
      </c>
      <c r="J76" s="52" t="n">
        <v>0.03</v>
      </c>
      <c r="K76" s="52" t="n">
        <v>-0.04</v>
      </c>
      <c r="L76" s="52" t="n">
        <v>0.08</v>
      </c>
      <c r="M76" s="52" t="n">
        <v>0.13</v>
      </c>
      <c r="N76" s="52" t="n">
        <v>0.04</v>
      </c>
      <c r="O76" s="52" t="n">
        <v>0.18</v>
      </c>
      <c r="P76" s="52" t="n">
        <v>0.04</v>
      </c>
      <c r="Q76" s="52" t="n">
        <v>-0.02</v>
      </c>
      <c r="R76" s="52" t="n">
        <v>0.01</v>
      </c>
      <c r="S76" s="52" t="n">
        <v>0.2</v>
      </c>
      <c r="T76" s="52" t="n">
        <v>0.17</v>
      </c>
      <c r="U76" s="52" t="n">
        <v>0.29</v>
      </c>
      <c r="V76" s="52" t="n">
        <v>0.11</v>
      </c>
      <c r="W76" s="52" t="n">
        <v>0.14</v>
      </c>
      <c r="X76" s="52" t="n">
        <v>0.18</v>
      </c>
      <c r="Y76" s="52" t="n">
        <v>-0.02</v>
      </c>
      <c r="Z76" s="52" t="n">
        <v>0.28</v>
      </c>
      <c r="AA76" s="52" t="n">
        <v>0.12</v>
      </c>
      <c r="AB76" s="52" t="n">
        <v>-0.02</v>
      </c>
      <c r="AC76" s="52" t="n">
        <v>0.08</v>
      </c>
      <c r="AD76" s="52" t="n">
        <v>0.2</v>
      </c>
      <c r="AE76" s="52" t="n">
        <v>0.27</v>
      </c>
      <c r="AF76" s="52" t="n">
        <v>0.26</v>
      </c>
      <c r="AG76" s="52" t="n">
        <v>-0.04</v>
      </c>
      <c r="AH76" s="52" t="n">
        <v>-0.09</v>
      </c>
      <c r="AI76" s="52" t="n">
        <v>-0.11</v>
      </c>
      <c r="AJ76" s="52" t="n">
        <v>0.16</v>
      </c>
      <c r="AK76" s="52" t="n">
        <v>0.37</v>
      </c>
      <c r="AL76" s="52" t="n">
        <v>0.08</v>
      </c>
      <c r="AM76" s="52" t="n">
        <v>0.29</v>
      </c>
      <c r="AN76" s="52" t="n">
        <v>0.14</v>
      </c>
      <c r="AO76" s="52" t="n">
        <v>-0.11</v>
      </c>
      <c r="AP76" s="52" t="n">
        <v>0.1</v>
      </c>
      <c r="AQ76" s="52" t="n">
        <v>-0.06</v>
      </c>
      <c r="AR76" s="52" t="n">
        <v>0.22</v>
      </c>
      <c r="AS76" s="52" t="n">
        <v>0.27</v>
      </c>
      <c r="AT76" s="52" t="n">
        <v>0.08</v>
      </c>
      <c r="AU76" s="52" t="n">
        <v>-0.01</v>
      </c>
      <c r="AV76" s="52" t="n">
        <v>0.09</v>
      </c>
      <c r="AW76" s="52" t="n">
        <v>0.29</v>
      </c>
      <c r="AX76" s="52" t="n">
        <v>0.01</v>
      </c>
      <c r="AY76" s="52" t="n">
        <v>0.06</v>
      </c>
      <c r="AZ76" s="52" t="n">
        <v>0.24</v>
      </c>
      <c r="BA76" s="52" t="n">
        <v>0.17</v>
      </c>
      <c r="BB76" s="52" t="n">
        <v>0.19</v>
      </c>
      <c r="BC76" s="52" t="n">
        <v>0.14</v>
      </c>
      <c r="BD76" s="52" t="n">
        <v>0.35</v>
      </c>
      <c r="BE76" s="52" t="n">
        <v>0.05</v>
      </c>
      <c r="BF76" s="52" t="n">
        <v>0.2</v>
      </c>
      <c r="BG76" s="52" t="n">
        <v>0.07</v>
      </c>
      <c r="BH76" s="52" t="n">
        <v>0.28</v>
      </c>
      <c r="BI76" s="52" t="n">
        <v>0.08</v>
      </c>
      <c r="BJ76" s="52" t="n">
        <v>0.01</v>
      </c>
      <c r="BK76" s="52" t="n">
        <v>0.22</v>
      </c>
      <c r="BL76" s="52" t="n">
        <v>0.14</v>
      </c>
      <c r="BM76" s="52" t="n">
        <v>0.07</v>
      </c>
      <c r="BN76" s="52" t="n">
        <v>-0.01</v>
      </c>
      <c r="BO76" s="52" t="n">
        <v>0.14</v>
      </c>
      <c r="BP76" s="52" t="n">
        <v>-0.03</v>
      </c>
      <c r="BQ76" s="52" t="n">
        <v>0.28</v>
      </c>
      <c r="BR76" s="52" t="n">
        <v>0.15</v>
      </c>
      <c r="BS76" s="52" t="n">
        <v>-0.09</v>
      </c>
      <c r="BT76" s="52" t="n">
        <v>0.23</v>
      </c>
      <c r="BU76" s="52" t="n">
        <v>1</v>
      </c>
      <c r="BV76" s="52" t="n">
        <v>0.11</v>
      </c>
      <c r="BW76" s="52" t="n">
        <v>0.08</v>
      </c>
      <c r="BX76" s="52" t="n">
        <v>0.08</v>
      </c>
      <c r="BY76" s="52" t="n">
        <v>0.12</v>
      </c>
      <c r="BZ76" s="52" t="n">
        <v>0.15</v>
      </c>
      <c r="CA76" s="52" t="n">
        <v>0.12</v>
      </c>
      <c r="CB76" s="52" t="n">
        <v>-0.01</v>
      </c>
      <c r="CC76" s="52" t="n">
        <v>-0.01</v>
      </c>
      <c r="CD76" s="52" t="n">
        <v>0.08</v>
      </c>
      <c r="CE76" s="52" t="n">
        <v>0.11</v>
      </c>
      <c r="CF76" s="52" t="n">
        <v>-0.12</v>
      </c>
      <c r="CG76" s="52" t="n">
        <v>0.16</v>
      </c>
      <c r="CH76" s="52" t="n">
        <v>0.25</v>
      </c>
      <c r="CI76" s="52" t="n">
        <v>-0.11</v>
      </c>
      <c r="CJ76" s="52" t="n">
        <v>-0.03</v>
      </c>
      <c r="CK76" s="52" t="n">
        <v>0.11</v>
      </c>
      <c r="CL76" s="52" t="n">
        <v>0.13</v>
      </c>
      <c r="CM76" s="52" t="n">
        <v>0.18</v>
      </c>
      <c r="CN76" s="52" t="n">
        <v>0.21</v>
      </c>
      <c r="CO76" s="52" t="n">
        <v>-0.01</v>
      </c>
      <c r="CP76" s="52" t="n">
        <v>-0.06</v>
      </c>
      <c r="CQ76" s="52" t="n">
        <v>0.15</v>
      </c>
      <c r="CR76" s="52" t="n">
        <v>0.09</v>
      </c>
      <c r="CS76" s="52" t="n">
        <v>0.15</v>
      </c>
      <c r="CT76" s="52" t="n">
        <v>0.06</v>
      </c>
      <c r="CU76" s="52" t="n">
        <v>0.15</v>
      </c>
      <c r="CV76" s="52" t="n">
        <v>0.1</v>
      </c>
      <c r="CW76" s="52" t="n">
        <v>0.13</v>
      </c>
      <c r="CX76" s="52" t="n">
        <v>0.18</v>
      </c>
      <c r="CY76" s="52" t="n">
        <v>0.14</v>
      </c>
      <c r="CZ76" s="52" t="n">
        <v>0.16</v>
      </c>
      <c r="DA76" s="52" t="n">
        <v>-0.02</v>
      </c>
      <c r="DB76" s="52" t="n">
        <v>0.12</v>
      </c>
      <c r="DC76" s="52" t="n">
        <v>0.23</v>
      </c>
      <c r="DD76" s="52" t="n">
        <v>0.14</v>
      </c>
      <c r="DE76" s="52" t="n">
        <v>0.24</v>
      </c>
      <c r="DF76" s="52" t="n">
        <v>0.02</v>
      </c>
      <c r="DG76" s="52" t="n">
        <v>0.2</v>
      </c>
      <c r="DH76" s="52" t="n">
        <v>0.11</v>
      </c>
      <c r="DI76" s="52" t="n">
        <v>0.13</v>
      </c>
      <c r="DJ76" s="52" t="n">
        <v>0.14</v>
      </c>
      <c r="DK76" s="52" t="n">
        <v>0.14</v>
      </c>
      <c r="DL76" s="52" t="n">
        <v>0.27</v>
      </c>
      <c r="DM76" s="52" t="n">
        <v>0.21</v>
      </c>
      <c r="DN76" s="52" t="n">
        <v>0.05</v>
      </c>
      <c r="DO76" s="52" t="n">
        <v>0.01</v>
      </c>
      <c r="DP76" s="52" t="n">
        <v>0.11</v>
      </c>
      <c r="DQ76" s="52" t="n">
        <v>0.2</v>
      </c>
      <c r="DR76" s="52" t="n">
        <v>0.18</v>
      </c>
      <c r="DS76" s="52" t="n">
        <v>-0.01</v>
      </c>
      <c r="DT76" s="52" t="n">
        <v>0.09</v>
      </c>
      <c r="DU76" s="52" t="n">
        <v>0.19</v>
      </c>
      <c r="DV76" s="52" t="n">
        <v>0.11</v>
      </c>
      <c r="DW76" s="52" t="n">
        <v>0.14</v>
      </c>
      <c r="DX76" s="52" t="n">
        <v>0.14</v>
      </c>
      <c r="DY76" s="52" t="n">
        <v>0.1</v>
      </c>
      <c r="DZ76" s="52" t="n">
        <v>0.04</v>
      </c>
      <c r="EA76" s="52" t="n">
        <v>0.09</v>
      </c>
      <c r="EB76" s="52" t="n">
        <v>0.15</v>
      </c>
      <c r="EC76" s="52" t="n">
        <v>0.09</v>
      </c>
      <c r="ED76" s="52" t="n">
        <v>0.14</v>
      </c>
      <c r="EE76" s="52" t="n">
        <v>0.07</v>
      </c>
      <c r="EF76" s="52" t="n">
        <v>0.04</v>
      </c>
      <c r="EG76" s="52" t="n">
        <v>0.03</v>
      </c>
      <c r="EH76" s="52" t="n">
        <v>-0.06</v>
      </c>
      <c r="EI76" s="52" t="n">
        <v>0.06</v>
      </c>
      <c r="EJ76" s="52" t="n">
        <v>0.12</v>
      </c>
      <c r="EK76" s="52" t="n">
        <v>0.01</v>
      </c>
      <c r="EL76" s="52" t="n">
        <v>0.1</v>
      </c>
      <c r="EM76" s="52" t="n">
        <v>0.08</v>
      </c>
      <c r="EN76" s="52" t="n">
        <v>0.1</v>
      </c>
      <c r="EO76" s="52" t="n">
        <v>0.06</v>
      </c>
    </row>
    <row r="77" customFormat="false" ht="15" hidden="false" customHeight="false" outlineLevel="0" collapsed="false">
      <c r="A77" s="51" t="s">
        <v>220</v>
      </c>
      <c r="B77" s="52" t="n">
        <v>0.13</v>
      </c>
      <c r="C77" s="52" t="n">
        <v>-0.02</v>
      </c>
      <c r="D77" s="52" t="n">
        <v>0.04</v>
      </c>
      <c r="E77" s="52" t="n">
        <v>-0.03</v>
      </c>
      <c r="F77" s="52" t="n">
        <v>0.02</v>
      </c>
      <c r="G77" s="52" t="n">
        <v>0.02</v>
      </c>
      <c r="H77" s="52" t="n">
        <v>0.06</v>
      </c>
      <c r="I77" s="52" t="n">
        <v>0.14</v>
      </c>
      <c r="J77" s="52" t="n">
        <v>-0.02</v>
      </c>
      <c r="K77" s="52" t="n">
        <v>0.14</v>
      </c>
      <c r="L77" s="52" t="n">
        <v>0.12</v>
      </c>
      <c r="M77" s="52" t="n">
        <v>0.33</v>
      </c>
      <c r="N77" s="52" t="n">
        <v>0.16</v>
      </c>
      <c r="O77" s="52" t="n">
        <v>0.11</v>
      </c>
      <c r="P77" s="52" t="n">
        <v>0.11</v>
      </c>
      <c r="Q77" s="52" t="n">
        <v>0.02</v>
      </c>
      <c r="R77" s="52" t="n">
        <v>0.04</v>
      </c>
      <c r="S77" s="52" t="n">
        <v>0.07</v>
      </c>
      <c r="T77" s="52" t="n">
        <v>0.25</v>
      </c>
      <c r="U77" s="52" t="n">
        <v>0.17</v>
      </c>
      <c r="V77" s="52" t="n">
        <v>0.05</v>
      </c>
      <c r="W77" s="52" t="n">
        <v>0.02</v>
      </c>
      <c r="X77" s="52" t="n">
        <v>0.23</v>
      </c>
      <c r="Y77" s="52" t="n">
        <v>0.24</v>
      </c>
      <c r="Z77" s="52" t="n">
        <v>0.01</v>
      </c>
      <c r="AA77" s="52" t="n">
        <v>0.03</v>
      </c>
      <c r="AB77" s="52" t="n">
        <v>0.27</v>
      </c>
      <c r="AC77" s="52" t="n">
        <v>0.01</v>
      </c>
      <c r="AD77" s="52" t="n">
        <v>0.11</v>
      </c>
      <c r="AE77" s="52" t="n">
        <v>0.11</v>
      </c>
      <c r="AF77" s="52" t="n">
        <v>0.02</v>
      </c>
      <c r="AG77" s="52" t="n">
        <v>0.01</v>
      </c>
      <c r="AH77" s="52" t="n">
        <v>0.03</v>
      </c>
      <c r="AI77" s="52" t="n">
        <v>-0.05</v>
      </c>
      <c r="AJ77" s="52" t="n">
        <v>0.02</v>
      </c>
      <c r="AK77" s="52" t="n">
        <v>0.05</v>
      </c>
      <c r="AL77" s="52" t="n">
        <v>0.16</v>
      </c>
      <c r="AM77" s="52" t="n">
        <v>0.09</v>
      </c>
      <c r="AN77" s="52" t="n">
        <v>0.31</v>
      </c>
      <c r="AO77" s="52" t="n">
        <v>-0.09</v>
      </c>
      <c r="AP77" s="52" t="n">
        <v>0.23</v>
      </c>
      <c r="AQ77" s="52" t="n">
        <v>-0.17</v>
      </c>
      <c r="AR77" s="52" t="n">
        <v>0.25</v>
      </c>
      <c r="AS77" s="52" t="n">
        <v>0.07</v>
      </c>
      <c r="AT77" s="52" t="n">
        <v>0.31</v>
      </c>
      <c r="AU77" s="52" t="n">
        <v>0.01</v>
      </c>
      <c r="AV77" s="52" t="n">
        <v>0.08</v>
      </c>
      <c r="AW77" s="52" t="n">
        <v>0.07</v>
      </c>
      <c r="AX77" s="52" t="n">
        <v>0.14</v>
      </c>
      <c r="AY77" s="52" t="n">
        <v>0.2</v>
      </c>
      <c r="AZ77" s="52" t="n">
        <v>0.1</v>
      </c>
      <c r="BA77" s="52" t="n">
        <v>0.18</v>
      </c>
      <c r="BB77" s="52" t="n">
        <v>0.26</v>
      </c>
      <c r="BC77" s="52" t="n">
        <v>0</v>
      </c>
      <c r="BD77" s="52" t="n">
        <v>0.12</v>
      </c>
      <c r="BE77" s="52" t="n">
        <v>0.07</v>
      </c>
      <c r="BF77" s="52" t="n">
        <v>0.01</v>
      </c>
      <c r="BG77" s="52" t="n">
        <v>0.2</v>
      </c>
      <c r="BH77" s="52" t="n">
        <v>0.14</v>
      </c>
      <c r="BI77" s="52" t="n">
        <v>0.18</v>
      </c>
      <c r="BJ77" s="52" t="n">
        <v>0.04</v>
      </c>
      <c r="BK77" s="52" t="n">
        <v>0.06</v>
      </c>
      <c r="BL77" s="52" t="n">
        <v>0.18</v>
      </c>
      <c r="BM77" s="52" t="n">
        <v>0.19</v>
      </c>
      <c r="BN77" s="52" t="n">
        <v>0.05</v>
      </c>
      <c r="BO77" s="52" t="n">
        <v>0.58</v>
      </c>
      <c r="BP77" s="52" t="n">
        <v>0.42</v>
      </c>
      <c r="BQ77" s="52" t="n">
        <v>0.21</v>
      </c>
      <c r="BR77" s="52" t="n">
        <v>0.24</v>
      </c>
      <c r="BS77" s="52" t="n">
        <v>-0.03</v>
      </c>
      <c r="BT77" s="52" t="n">
        <v>0.25</v>
      </c>
      <c r="BU77" s="52" t="n">
        <v>0.11</v>
      </c>
      <c r="BV77" s="52" t="n">
        <v>1</v>
      </c>
      <c r="BW77" s="52" t="n">
        <v>0.19</v>
      </c>
      <c r="BX77" s="52" t="n">
        <v>0.09</v>
      </c>
      <c r="BY77" s="52" t="n">
        <v>0.3</v>
      </c>
      <c r="BZ77" s="52" t="n">
        <v>0.28</v>
      </c>
      <c r="CA77" s="52" t="n">
        <v>0.11</v>
      </c>
      <c r="CB77" s="52" t="n">
        <v>-0.04</v>
      </c>
      <c r="CC77" s="52" t="n">
        <v>0.06</v>
      </c>
      <c r="CD77" s="52" t="n">
        <v>0.32</v>
      </c>
      <c r="CE77" s="52" t="n">
        <v>0.2</v>
      </c>
      <c r="CF77" s="52" t="n">
        <v>-0.07</v>
      </c>
      <c r="CG77" s="52" t="n">
        <v>0.38</v>
      </c>
      <c r="CH77" s="52" t="n">
        <v>0.12</v>
      </c>
      <c r="CI77" s="52" t="n">
        <v>-0.08</v>
      </c>
      <c r="CJ77" s="52" t="n">
        <v>0.25</v>
      </c>
      <c r="CK77" s="52" t="n">
        <v>0.21</v>
      </c>
      <c r="CL77" s="52" t="n">
        <v>0.22</v>
      </c>
      <c r="CM77" s="52" t="n">
        <v>0.28</v>
      </c>
      <c r="CN77" s="52" t="n">
        <v>0.01</v>
      </c>
      <c r="CO77" s="52" t="n">
        <v>0.11</v>
      </c>
      <c r="CP77" s="52" t="n">
        <v>0.11</v>
      </c>
      <c r="CQ77" s="52" t="n">
        <v>0.31</v>
      </c>
      <c r="CR77" s="52" t="n">
        <v>0.31</v>
      </c>
      <c r="CS77" s="52" t="n">
        <v>0.16</v>
      </c>
      <c r="CT77" s="52" t="n">
        <v>0.36</v>
      </c>
      <c r="CU77" s="52" t="n">
        <v>0.31</v>
      </c>
      <c r="CV77" s="52" t="n">
        <v>0.4</v>
      </c>
      <c r="CW77" s="52" t="n">
        <v>0.35</v>
      </c>
      <c r="CX77" s="52" t="n">
        <v>0.31</v>
      </c>
      <c r="CY77" s="52" t="n">
        <v>0.27</v>
      </c>
      <c r="CZ77" s="52" t="n">
        <v>0.28</v>
      </c>
      <c r="DA77" s="52" t="n">
        <v>0.27</v>
      </c>
      <c r="DB77" s="52" t="n">
        <v>0.38</v>
      </c>
      <c r="DC77" s="52" t="n">
        <v>0.18</v>
      </c>
      <c r="DD77" s="52" t="n">
        <v>0.39</v>
      </c>
      <c r="DE77" s="52" t="n">
        <v>0.19</v>
      </c>
      <c r="DF77" s="52" t="n">
        <v>0.17</v>
      </c>
      <c r="DG77" s="52" t="n">
        <v>0.16</v>
      </c>
      <c r="DH77" s="52" t="n">
        <v>0.26</v>
      </c>
      <c r="DI77" s="52" t="n">
        <v>0.31</v>
      </c>
      <c r="DJ77" s="52" t="n">
        <v>0.25</v>
      </c>
      <c r="DK77" s="52" t="n">
        <v>0.31</v>
      </c>
      <c r="DL77" s="52" t="n">
        <v>0.07</v>
      </c>
      <c r="DM77" s="52" t="n">
        <v>0.32</v>
      </c>
      <c r="DN77" s="52" t="n">
        <v>0.23</v>
      </c>
      <c r="DO77" s="52" t="n">
        <v>0.24</v>
      </c>
      <c r="DP77" s="52" t="n">
        <v>0.3</v>
      </c>
      <c r="DQ77" s="52" t="n">
        <v>0.33</v>
      </c>
      <c r="DR77" s="52" t="n">
        <v>0.14</v>
      </c>
      <c r="DS77" s="52" t="n">
        <v>0.26</v>
      </c>
      <c r="DT77" s="52" t="n">
        <v>0.28</v>
      </c>
      <c r="DU77" s="52" t="n">
        <v>0.35</v>
      </c>
      <c r="DV77" s="52" t="n">
        <v>0.28</v>
      </c>
      <c r="DW77" s="52" t="n">
        <v>0.27</v>
      </c>
      <c r="DX77" s="52" t="n">
        <v>0.22</v>
      </c>
      <c r="DY77" s="52" t="n">
        <v>0.45</v>
      </c>
      <c r="DZ77" s="52" t="n">
        <v>0.22</v>
      </c>
      <c r="EA77" s="52" t="n">
        <v>0.12</v>
      </c>
      <c r="EB77" s="52" t="n">
        <v>0.38</v>
      </c>
      <c r="EC77" s="52" t="n">
        <v>-0.04</v>
      </c>
      <c r="ED77" s="52" t="n">
        <v>0.15</v>
      </c>
      <c r="EE77" s="52" t="n">
        <v>0.26</v>
      </c>
      <c r="EF77" s="52" t="n">
        <v>0.11</v>
      </c>
      <c r="EG77" s="52" t="n">
        <v>0.2</v>
      </c>
      <c r="EH77" s="52" t="n">
        <v>0.26</v>
      </c>
      <c r="EI77" s="52" t="n">
        <v>0.17</v>
      </c>
      <c r="EJ77" s="52" t="n">
        <v>0.19</v>
      </c>
      <c r="EK77" s="52" t="n">
        <v>0.24</v>
      </c>
      <c r="EL77" s="52" t="n">
        <v>0.21</v>
      </c>
      <c r="EM77" s="52" t="n">
        <v>0.18</v>
      </c>
      <c r="EN77" s="52" t="n">
        <v>0.15</v>
      </c>
      <c r="EO77" s="52" t="n">
        <v>0.17</v>
      </c>
    </row>
    <row r="78" customFormat="false" ht="15" hidden="false" customHeight="false" outlineLevel="0" collapsed="false">
      <c r="A78" s="51" t="s">
        <v>221</v>
      </c>
      <c r="B78" s="52" t="n">
        <v>0.16</v>
      </c>
      <c r="C78" s="52" t="n">
        <v>-0.04</v>
      </c>
      <c r="D78" s="52" t="n">
        <v>0.03</v>
      </c>
      <c r="E78" s="52" t="n">
        <v>0.13</v>
      </c>
      <c r="F78" s="52" t="n">
        <v>0.16</v>
      </c>
      <c r="G78" s="52" t="n">
        <v>0.09</v>
      </c>
      <c r="H78" s="52" t="n">
        <v>0.1</v>
      </c>
      <c r="I78" s="52" t="n">
        <v>0.19</v>
      </c>
      <c r="J78" s="52" t="n">
        <v>0.15</v>
      </c>
      <c r="K78" s="52" t="n">
        <v>0.1</v>
      </c>
      <c r="L78" s="52" t="n">
        <v>0.15</v>
      </c>
      <c r="M78" s="52" t="n">
        <v>0.27</v>
      </c>
      <c r="N78" s="52" t="n">
        <v>0.2</v>
      </c>
      <c r="O78" s="52" t="n">
        <v>0.03</v>
      </c>
      <c r="P78" s="52" t="n">
        <v>0.17</v>
      </c>
      <c r="Q78" s="52" t="n">
        <v>0.04</v>
      </c>
      <c r="R78" s="52" t="n">
        <v>0.23</v>
      </c>
      <c r="S78" s="52" t="n">
        <v>0.1</v>
      </c>
      <c r="T78" s="52" t="n">
        <v>0.22</v>
      </c>
      <c r="U78" s="52" t="n">
        <v>0.14</v>
      </c>
      <c r="V78" s="52" t="n">
        <v>0.04</v>
      </c>
      <c r="W78" s="52" t="n">
        <v>0.12</v>
      </c>
      <c r="X78" s="52" t="n">
        <v>0.17</v>
      </c>
      <c r="Y78" s="52" t="n">
        <v>0.2</v>
      </c>
      <c r="Z78" s="52" t="n">
        <v>0.08</v>
      </c>
      <c r="AA78" s="52" t="n">
        <v>0.16</v>
      </c>
      <c r="AB78" s="52" t="n">
        <v>0.2</v>
      </c>
      <c r="AC78" s="52" t="n">
        <v>0.01</v>
      </c>
      <c r="AD78" s="52" t="n">
        <v>0.06</v>
      </c>
      <c r="AE78" s="52" t="n">
        <v>0.15</v>
      </c>
      <c r="AF78" s="52" t="n">
        <v>0.17</v>
      </c>
      <c r="AG78" s="52" t="n">
        <v>-0.06</v>
      </c>
      <c r="AH78" s="52" t="n">
        <v>0.06</v>
      </c>
      <c r="AI78" s="52" t="n">
        <v>0.03</v>
      </c>
      <c r="AJ78" s="52" t="n">
        <v>0.05</v>
      </c>
      <c r="AK78" s="52" t="n">
        <v>0.09</v>
      </c>
      <c r="AL78" s="52" t="n">
        <v>0.23</v>
      </c>
      <c r="AM78" s="52" t="n">
        <v>0.17</v>
      </c>
      <c r="AN78" s="52" t="n">
        <v>0.22</v>
      </c>
      <c r="AO78" s="52" t="n">
        <v>0.07</v>
      </c>
      <c r="AP78" s="52" t="n">
        <v>0.22</v>
      </c>
      <c r="AQ78" s="52" t="n">
        <v>0</v>
      </c>
      <c r="AR78" s="52" t="n">
        <v>0.16</v>
      </c>
      <c r="AS78" s="52" t="n">
        <v>0.29</v>
      </c>
      <c r="AT78" s="52" t="n">
        <v>0.29</v>
      </c>
      <c r="AU78" s="52" t="n">
        <v>0.14</v>
      </c>
      <c r="AV78" s="52" t="n">
        <v>0.16</v>
      </c>
      <c r="AW78" s="52" t="n">
        <v>0.19</v>
      </c>
      <c r="AX78" s="52" t="n">
        <v>0.19</v>
      </c>
      <c r="AY78" s="52" t="n">
        <v>0.27</v>
      </c>
      <c r="AZ78" s="52" t="n">
        <v>0.09</v>
      </c>
      <c r="BA78" s="52" t="n">
        <v>0.24</v>
      </c>
      <c r="BB78" s="52" t="n">
        <v>0.25</v>
      </c>
      <c r="BC78" s="52" t="n">
        <v>0.22</v>
      </c>
      <c r="BD78" s="52" t="n">
        <v>0.18</v>
      </c>
      <c r="BE78" s="52" t="n">
        <v>0.15</v>
      </c>
      <c r="BF78" s="52" t="n">
        <v>0.15</v>
      </c>
      <c r="BG78" s="52" t="n">
        <v>0.37</v>
      </c>
      <c r="BH78" s="52" t="n">
        <v>0.17</v>
      </c>
      <c r="BI78" s="52" t="n">
        <v>0.23</v>
      </c>
      <c r="BJ78" s="52" t="n">
        <v>0.01</v>
      </c>
      <c r="BK78" s="52" t="n">
        <v>0.06</v>
      </c>
      <c r="BL78" s="52" t="n">
        <v>0.21</v>
      </c>
      <c r="BM78" s="52" t="n">
        <v>0.23</v>
      </c>
      <c r="BN78" s="52" t="n">
        <v>0.12</v>
      </c>
      <c r="BO78" s="52" t="n">
        <v>0.2</v>
      </c>
      <c r="BP78" s="52" t="n">
        <v>0.36</v>
      </c>
      <c r="BQ78" s="52" t="n">
        <v>0.12</v>
      </c>
      <c r="BR78" s="52" t="n">
        <v>0.63</v>
      </c>
      <c r="BS78" s="52" t="n">
        <v>0.03</v>
      </c>
      <c r="BT78" s="52" t="n">
        <v>0.19</v>
      </c>
      <c r="BU78" s="52" t="n">
        <v>0.08</v>
      </c>
      <c r="BV78" s="52" t="n">
        <v>0.19</v>
      </c>
      <c r="BW78" s="52" t="n">
        <v>1</v>
      </c>
      <c r="BX78" s="52" t="n">
        <v>0.18</v>
      </c>
      <c r="BY78" s="52" t="n">
        <v>0.24</v>
      </c>
      <c r="BZ78" s="52" t="n">
        <v>0.18</v>
      </c>
      <c r="CA78" s="52" t="n">
        <v>0.08</v>
      </c>
      <c r="CB78" s="52" t="n">
        <v>0.04</v>
      </c>
      <c r="CC78" s="52" t="n">
        <v>0.14</v>
      </c>
      <c r="CD78" s="52" t="n">
        <v>0.28</v>
      </c>
      <c r="CE78" s="52" t="n">
        <v>0.12</v>
      </c>
      <c r="CF78" s="52" t="n">
        <v>0.07</v>
      </c>
      <c r="CG78" s="52" t="n">
        <v>0.27</v>
      </c>
      <c r="CH78" s="52" t="n">
        <v>0.11</v>
      </c>
      <c r="CI78" s="52" t="n">
        <v>0.01</v>
      </c>
      <c r="CJ78" s="52" t="n">
        <v>0.2</v>
      </c>
      <c r="CK78" s="52" t="n">
        <v>0.28</v>
      </c>
      <c r="CL78" s="52" t="n">
        <v>0.18</v>
      </c>
      <c r="CM78" s="52" t="n">
        <v>0.11</v>
      </c>
      <c r="CN78" s="52" t="n">
        <v>-0.06</v>
      </c>
      <c r="CO78" s="52" t="n">
        <v>0.17</v>
      </c>
      <c r="CP78" s="52" t="n">
        <v>0.32</v>
      </c>
      <c r="CQ78" s="52" t="n">
        <v>0.28</v>
      </c>
      <c r="CR78" s="52" t="n">
        <v>0.22</v>
      </c>
      <c r="CS78" s="52" t="n">
        <v>0.1</v>
      </c>
      <c r="CT78" s="52" t="n">
        <v>0.27</v>
      </c>
      <c r="CU78" s="52" t="n">
        <v>0.22</v>
      </c>
      <c r="CV78" s="52" t="n">
        <v>0</v>
      </c>
      <c r="CW78" s="52" t="n">
        <v>0.33</v>
      </c>
      <c r="CX78" s="52" t="n">
        <v>0.29</v>
      </c>
      <c r="CY78" s="52" t="n">
        <v>0.04</v>
      </c>
      <c r="CZ78" s="52" t="n">
        <v>0.23</v>
      </c>
      <c r="DA78" s="52" t="n">
        <v>0.12</v>
      </c>
      <c r="DB78" s="52" t="n">
        <v>0.17</v>
      </c>
      <c r="DC78" s="52" t="n">
        <v>0.15</v>
      </c>
      <c r="DD78" s="52" t="n">
        <v>0.26</v>
      </c>
      <c r="DE78" s="52" t="n">
        <v>0.19</v>
      </c>
      <c r="DF78" s="52" t="n">
        <v>0.19</v>
      </c>
      <c r="DG78" s="52" t="n">
        <v>0.18</v>
      </c>
      <c r="DH78" s="52" t="n">
        <v>0.1</v>
      </c>
      <c r="DI78" s="52" t="n">
        <v>0.3</v>
      </c>
      <c r="DJ78" s="52" t="n">
        <v>0.08</v>
      </c>
      <c r="DK78" s="52" t="n">
        <v>0.31</v>
      </c>
      <c r="DL78" s="52" t="n">
        <v>0.07</v>
      </c>
      <c r="DM78" s="52" t="n">
        <v>0.19</v>
      </c>
      <c r="DN78" s="52" t="n">
        <v>0.21</v>
      </c>
      <c r="DO78" s="52" t="n">
        <v>0.12</v>
      </c>
      <c r="DP78" s="52" t="n">
        <v>0.15</v>
      </c>
      <c r="DQ78" s="52" t="n">
        <v>0.24</v>
      </c>
      <c r="DR78" s="52" t="n">
        <v>0.2</v>
      </c>
      <c r="DS78" s="52" t="n">
        <v>0.19</v>
      </c>
      <c r="DT78" s="52" t="n">
        <v>0.15</v>
      </c>
      <c r="DU78" s="52" t="n">
        <v>0.24</v>
      </c>
      <c r="DV78" s="52" t="n">
        <v>0.19</v>
      </c>
      <c r="DW78" s="52" t="n">
        <v>0.19</v>
      </c>
      <c r="DX78" s="52" t="n">
        <v>0.08</v>
      </c>
      <c r="DY78" s="52" t="n">
        <v>0.3</v>
      </c>
      <c r="DZ78" s="52" t="n">
        <v>0.21</v>
      </c>
      <c r="EA78" s="52" t="n">
        <v>0.12</v>
      </c>
      <c r="EB78" s="52" t="n">
        <v>0.24</v>
      </c>
      <c r="EC78" s="52" t="n">
        <v>0.02</v>
      </c>
      <c r="ED78" s="52" t="n">
        <v>0.23</v>
      </c>
      <c r="EE78" s="52" t="n">
        <v>0.13</v>
      </c>
      <c r="EF78" s="52" t="n">
        <v>0.15</v>
      </c>
      <c r="EG78" s="52" t="n">
        <v>0.09</v>
      </c>
      <c r="EH78" s="52" t="n">
        <v>0.18</v>
      </c>
      <c r="EI78" s="52" t="n">
        <v>0.12</v>
      </c>
      <c r="EJ78" s="52" t="n">
        <v>0.16</v>
      </c>
      <c r="EK78" s="52" t="n">
        <v>0.17</v>
      </c>
      <c r="EL78" s="52" t="n">
        <v>0.18</v>
      </c>
      <c r="EM78" s="52" t="n">
        <v>0.18</v>
      </c>
      <c r="EN78" s="52" t="n">
        <v>0.12</v>
      </c>
      <c r="EO78" s="52" t="n">
        <v>0.11</v>
      </c>
    </row>
    <row r="79" customFormat="false" ht="15" hidden="false" customHeight="false" outlineLevel="0" collapsed="false">
      <c r="A79" s="51" t="s">
        <v>222</v>
      </c>
      <c r="B79" s="52" t="n">
        <v>0.28</v>
      </c>
      <c r="C79" s="52" t="n">
        <v>-0.07</v>
      </c>
      <c r="D79" s="52" t="n">
        <v>0.09</v>
      </c>
      <c r="E79" s="52" t="n">
        <v>0.02</v>
      </c>
      <c r="F79" s="52" t="n">
        <v>0.22</v>
      </c>
      <c r="G79" s="52" t="n">
        <v>0</v>
      </c>
      <c r="H79" s="52" t="n">
        <v>0.05</v>
      </c>
      <c r="I79" s="52" t="n">
        <v>0.33</v>
      </c>
      <c r="J79" s="52" t="n">
        <v>0.51</v>
      </c>
      <c r="K79" s="52" t="n">
        <v>0.25</v>
      </c>
      <c r="L79" s="52" t="n">
        <v>-0.04</v>
      </c>
      <c r="M79" s="52" t="n">
        <v>0.14</v>
      </c>
      <c r="N79" s="52" t="n">
        <v>0.45</v>
      </c>
      <c r="O79" s="52" t="n">
        <v>-0.03</v>
      </c>
      <c r="P79" s="52" t="n">
        <v>0.23</v>
      </c>
      <c r="Q79" s="52" t="n">
        <v>0.08</v>
      </c>
      <c r="R79" s="52" t="n">
        <v>0.22</v>
      </c>
      <c r="S79" s="52" t="n">
        <v>0.17</v>
      </c>
      <c r="T79" s="52" t="n">
        <v>0.14</v>
      </c>
      <c r="U79" s="52" t="n">
        <v>0.06</v>
      </c>
      <c r="V79" s="52" t="n">
        <v>-0.09</v>
      </c>
      <c r="W79" s="52" t="n">
        <v>0.03</v>
      </c>
      <c r="X79" s="52" t="n">
        <v>0.17</v>
      </c>
      <c r="Y79" s="52" t="n">
        <v>0.11</v>
      </c>
      <c r="Z79" s="52" t="n">
        <v>-0.01</v>
      </c>
      <c r="AA79" s="52" t="n">
        <v>0.02</v>
      </c>
      <c r="AB79" s="52" t="n">
        <v>0.08</v>
      </c>
      <c r="AC79" s="52" t="n">
        <v>-0.1</v>
      </c>
      <c r="AD79" s="52" t="n">
        <v>0.03</v>
      </c>
      <c r="AE79" s="52" t="n">
        <v>-0.03</v>
      </c>
      <c r="AF79" s="52" t="n">
        <v>-0.04</v>
      </c>
      <c r="AG79" s="52" t="n">
        <v>0.11</v>
      </c>
      <c r="AH79" s="52" t="n">
        <v>0.15</v>
      </c>
      <c r="AI79" s="52" t="n">
        <v>-0.02</v>
      </c>
      <c r="AJ79" s="52" t="n">
        <v>0.03</v>
      </c>
      <c r="AK79" s="52" t="n">
        <v>-0.03</v>
      </c>
      <c r="AL79" s="52" t="n">
        <v>0.23</v>
      </c>
      <c r="AM79" s="52" t="n">
        <v>0.05</v>
      </c>
      <c r="AN79" s="52" t="n">
        <v>0.26</v>
      </c>
      <c r="AO79" s="52" t="n">
        <v>0.42</v>
      </c>
      <c r="AP79" s="52" t="n">
        <v>0.2</v>
      </c>
      <c r="AQ79" s="52" t="n">
        <v>-0.01</v>
      </c>
      <c r="AR79" s="52" t="n">
        <v>0.11</v>
      </c>
      <c r="AS79" s="52" t="n">
        <v>-0.01</v>
      </c>
      <c r="AT79" s="52" t="n">
        <v>0.09</v>
      </c>
      <c r="AU79" s="52" t="n">
        <v>0.27</v>
      </c>
      <c r="AV79" s="52" t="n">
        <v>0.11</v>
      </c>
      <c r="AW79" s="52" t="n">
        <v>0.07</v>
      </c>
      <c r="AX79" s="52" t="n">
        <v>0.44</v>
      </c>
      <c r="AY79" s="52" t="n">
        <v>0.17</v>
      </c>
      <c r="AZ79" s="52" t="n">
        <v>0</v>
      </c>
      <c r="BA79" s="52" t="n">
        <v>0.18</v>
      </c>
      <c r="BB79" s="52" t="n">
        <v>0.06</v>
      </c>
      <c r="BC79" s="52" t="n">
        <v>0.11</v>
      </c>
      <c r="BD79" s="52" t="n">
        <v>0.07</v>
      </c>
      <c r="BE79" s="52" t="n">
        <v>0.44</v>
      </c>
      <c r="BF79" s="52" t="n">
        <v>0.1</v>
      </c>
      <c r="BG79" s="52" t="n">
        <v>0.32</v>
      </c>
      <c r="BH79" s="52" t="n">
        <v>0.02</v>
      </c>
      <c r="BI79" s="52" t="n">
        <v>0.03</v>
      </c>
      <c r="BJ79" s="52" t="n">
        <v>-0.02</v>
      </c>
      <c r="BK79" s="52" t="n">
        <v>0</v>
      </c>
      <c r="BL79" s="52" t="n">
        <v>0.11</v>
      </c>
      <c r="BM79" s="52" t="n">
        <v>0.16</v>
      </c>
      <c r="BN79" s="52" t="n">
        <v>0.09</v>
      </c>
      <c r="BO79" s="52" t="n">
        <v>0.24</v>
      </c>
      <c r="BP79" s="52" t="n">
        <v>-0.02</v>
      </c>
      <c r="BQ79" s="52" t="n">
        <v>-0.01</v>
      </c>
      <c r="BR79" s="52" t="n">
        <v>0.21</v>
      </c>
      <c r="BS79" s="52" t="n">
        <v>0.01</v>
      </c>
      <c r="BT79" s="52" t="n">
        <v>0.19</v>
      </c>
      <c r="BU79" s="52" t="n">
        <v>0.08</v>
      </c>
      <c r="BV79" s="52" t="n">
        <v>0.09</v>
      </c>
      <c r="BW79" s="52" t="n">
        <v>0.18</v>
      </c>
      <c r="BX79" s="52" t="n">
        <v>1</v>
      </c>
      <c r="BY79" s="52" t="n">
        <v>0.14</v>
      </c>
      <c r="BZ79" s="52" t="n">
        <v>0.18</v>
      </c>
      <c r="CA79" s="52" t="n">
        <v>-0.01</v>
      </c>
      <c r="CB79" s="52" t="n">
        <v>0.01</v>
      </c>
      <c r="CC79" s="52" t="n">
        <v>0.17</v>
      </c>
      <c r="CD79" s="52" t="n">
        <v>0.1</v>
      </c>
      <c r="CE79" s="52" t="n">
        <v>0</v>
      </c>
      <c r="CF79" s="52" t="n">
        <v>0.02</v>
      </c>
      <c r="CG79" s="52" t="n">
        <v>0.18</v>
      </c>
      <c r="CH79" s="52" t="n">
        <v>-0.03</v>
      </c>
      <c r="CI79" s="52" t="n">
        <v>0.04</v>
      </c>
      <c r="CJ79" s="52" t="n">
        <v>0.13</v>
      </c>
      <c r="CK79" s="52" t="n">
        <v>0.18</v>
      </c>
      <c r="CL79" s="52" t="n">
        <v>0.15</v>
      </c>
      <c r="CM79" s="52" t="n">
        <v>-0.04</v>
      </c>
      <c r="CN79" s="52" t="n">
        <v>0.09</v>
      </c>
      <c r="CO79" s="52" t="n">
        <v>0.04</v>
      </c>
      <c r="CP79" s="52" t="n">
        <v>0.16</v>
      </c>
      <c r="CQ79" s="52" t="n">
        <v>0.14</v>
      </c>
      <c r="CR79" s="52" t="n">
        <v>-0.02</v>
      </c>
      <c r="CS79" s="52" t="n">
        <v>0.1</v>
      </c>
      <c r="CT79" s="52" t="n">
        <v>0.12</v>
      </c>
      <c r="CU79" s="52" t="n">
        <v>0</v>
      </c>
      <c r="CV79" s="52" t="n">
        <v>-0.04</v>
      </c>
      <c r="CW79" s="52" t="n">
        <v>0.11</v>
      </c>
      <c r="CX79" s="52" t="n">
        <v>0.06</v>
      </c>
      <c r="CY79" s="52" t="n">
        <v>0.13</v>
      </c>
      <c r="CZ79" s="52" t="n">
        <v>0.14</v>
      </c>
      <c r="DA79" s="52" t="n">
        <v>0.16</v>
      </c>
      <c r="DB79" s="52" t="n">
        <v>0.06</v>
      </c>
      <c r="DC79" s="52" t="n">
        <v>0.08</v>
      </c>
      <c r="DD79" s="52" t="n">
        <v>0.2</v>
      </c>
      <c r="DE79" s="52" t="n">
        <v>0.04</v>
      </c>
      <c r="DF79" s="52" t="n">
        <v>0.09</v>
      </c>
      <c r="DG79" s="52" t="n">
        <v>0.17</v>
      </c>
      <c r="DH79" s="52" t="n">
        <v>-0.04</v>
      </c>
      <c r="DI79" s="52" t="n">
        <v>0.16</v>
      </c>
      <c r="DJ79" s="52" t="n">
        <v>0.25</v>
      </c>
      <c r="DK79" s="52" t="n">
        <v>0.14</v>
      </c>
      <c r="DL79" s="52" t="n">
        <v>0.06</v>
      </c>
      <c r="DM79" s="52" t="n">
        <v>0.23</v>
      </c>
      <c r="DN79" s="52" t="n">
        <v>0.02</v>
      </c>
      <c r="DO79" s="52" t="n">
        <v>0.11</v>
      </c>
      <c r="DP79" s="52" t="n">
        <v>0.22</v>
      </c>
      <c r="DQ79" s="52" t="n">
        <v>0.08</v>
      </c>
      <c r="DR79" s="52" t="n">
        <v>0.07</v>
      </c>
      <c r="DS79" s="52" t="n">
        <v>0.04</v>
      </c>
      <c r="DT79" s="52" t="n">
        <v>-0.04</v>
      </c>
      <c r="DU79" s="52" t="n">
        <v>0.08</v>
      </c>
      <c r="DV79" s="52" t="n">
        <v>0</v>
      </c>
      <c r="DW79" s="52" t="n">
        <v>0.1</v>
      </c>
      <c r="DX79" s="52" t="n">
        <v>-0.05</v>
      </c>
      <c r="DY79" s="52" t="n">
        <v>0.09</v>
      </c>
      <c r="DZ79" s="52" t="n">
        <v>0.17</v>
      </c>
      <c r="EA79" s="52" t="n">
        <v>0.11</v>
      </c>
      <c r="EB79" s="52" t="n">
        <v>0.12</v>
      </c>
      <c r="EC79" s="52" t="n">
        <v>-0.03</v>
      </c>
      <c r="ED79" s="52" t="n">
        <v>0.13</v>
      </c>
      <c r="EE79" s="52" t="n">
        <v>-0.09</v>
      </c>
      <c r="EF79" s="52" t="n">
        <v>0.01</v>
      </c>
      <c r="EG79" s="52" t="n">
        <v>-0.02</v>
      </c>
      <c r="EH79" s="52" t="n">
        <v>0.14</v>
      </c>
      <c r="EI79" s="52" t="n">
        <v>-0.03</v>
      </c>
      <c r="EJ79" s="52" t="n">
        <v>0.19</v>
      </c>
      <c r="EK79" s="52" t="n">
        <v>0.07</v>
      </c>
      <c r="EL79" s="52" t="n">
        <v>0.06</v>
      </c>
      <c r="EM79" s="52" t="n">
        <v>0.1</v>
      </c>
      <c r="EN79" s="52" t="n">
        <v>0.24</v>
      </c>
      <c r="EO79" s="52" t="n">
        <v>0.03</v>
      </c>
    </row>
    <row r="80" customFormat="false" ht="15" hidden="false" customHeight="false" outlineLevel="0" collapsed="false">
      <c r="A80" s="51" t="s">
        <v>223</v>
      </c>
      <c r="B80" s="52" t="n">
        <v>0.16</v>
      </c>
      <c r="C80" s="52" t="n">
        <v>-0.03</v>
      </c>
      <c r="D80" s="52" t="n">
        <v>-0.05</v>
      </c>
      <c r="E80" s="52" t="n">
        <v>0.05</v>
      </c>
      <c r="F80" s="52" t="n">
        <v>0.24</v>
      </c>
      <c r="G80" s="52" t="n">
        <v>0.03</v>
      </c>
      <c r="H80" s="52" t="n">
        <v>0.12</v>
      </c>
      <c r="I80" s="52" t="n">
        <v>0.23</v>
      </c>
      <c r="J80" s="52" t="n">
        <v>0.08</v>
      </c>
      <c r="K80" s="52" t="n">
        <v>0.21</v>
      </c>
      <c r="L80" s="52" t="n">
        <v>0.05</v>
      </c>
      <c r="M80" s="52" t="n">
        <v>0.4</v>
      </c>
      <c r="N80" s="52" t="n">
        <v>0.25</v>
      </c>
      <c r="O80" s="52" t="n">
        <v>0.08</v>
      </c>
      <c r="P80" s="52" t="n">
        <v>0.13</v>
      </c>
      <c r="Q80" s="52" t="n">
        <v>-0.07</v>
      </c>
      <c r="R80" s="52" t="n">
        <v>0.24</v>
      </c>
      <c r="S80" s="52" t="n">
        <v>-0.01</v>
      </c>
      <c r="T80" s="52" t="n">
        <v>0.29</v>
      </c>
      <c r="U80" s="52" t="n">
        <v>0.14</v>
      </c>
      <c r="V80" s="52" t="n">
        <v>0.15</v>
      </c>
      <c r="W80" s="52" t="n">
        <v>0.02</v>
      </c>
      <c r="X80" s="52" t="n">
        <v>0.31</v>
      </c>
      <c r="Y80" s="52" t="n">
        <v>0.17</v>
      </c>
      <c r="Z80" s="52" t="n">
        <v>0.14</v>
      </c>
      <c r="AA80" s="52" t="n">
        <v>0.21</v>
      </c>
      <c r="AB80" s="52" t="n">
        <v>0.21</v>
      </c>
      <c r="AC80" s="52" t="n">
        <v>0.1</v>
      </c>
      <c r="AD80" s="52" t="n">
        <v>0.08</v>
      </c>
      <c r="AE80" s="52" t="n">
        <v>0.18</v>
      </c>
      <c r="AF80" s="52" t="n">
        <v>0.02</v>
      </c>
      <c r="AG80" s="52" t="n">
        <v>0.09</v>
      </c>
      <c r="AH80" s="52" t="n">
        <v>0.03</v>
      </c>
      <c r="AI80" s="52" t="n">
        <v>-0.09</v>
      </c>
      <c r="AJ80" s="52" t="n">
        <v>-0.02</v>
      </c>
      <c r="AK80" s="52" t="n">
        <v>0.19</v>
      </c>
      <c r="AL80" s="52" t="n">
        <v>0.27</v>
      </c>
      <c r="AM80" s="52" t="n">
        <v>0.18</v>
      </c>
      <c r="AN80" s="52" t="n">
        <v>0.4</v>
      </c>
      <c r="AO80" s="52" t="n">
        <v>0.14</v>
      </c>
      <c r="AP80" s="52" t="n">
        <v>0.32</v>
      </c>
      <c r="AQ80" s="52" t="n">
        <v>-0.13</v>
      </c>
      <c r="AR80" s="52" t="n">
        <v>0.28</v>
      </c>
      <c r="AS80" s="52" t="n">
        <v>0.17</v>
      </c>
      <c r="AT80" s="52" t="n">
        <v>0.4</v>
      </c>
      <c r="AU80" s="52" t="n">
        <v>0.13</v>
      </c>
      <c r="AV80" s="52" t="n">
        <v>0.08</v>
      </c>
      <c r="AW80" s="52" t="n">
        <v>0.14</v>
      </c>
      <c r="AX80" s="52" t="n">
        <v>0.21</v>
      </c>
      <c r="AY80" s="52" t="n">
        <v>0.26</v>
      </c>
      <c r="AZ80" s="52" t="n">
        <v>0.16</v>
      </c>
      <c r="BA80" s="52" t="n">
        <v>0.42</v>
      </c>
      <c r="BB80" s="52" t="n">
        <v>0.36</v>
      </c>
      <c r="BC80" s="52" t="n">
        <v>0.11</v>
      </c>
      <c r="BD80" s="52" t="n">
        <v>0.18</v>
      </c>
      <c r="BE80" s="52" t="n">
        <v>0.23</v>
      </c>
      <c r="BF80" s="52" t="n">
        <v>0.1</v>
      </c>
      <c r="BG80" s="52" t="n">
        <v>0.28</v>
      </c>
      <c r="BH80" s="52" t="n">
        <v>0.1</v>
      </c>
      <c r="BI80" s="52" t="n">
        <v>0</v>
      </c>
      <c r="BJ80" s="52" t="n">
        <v>-0.12</v>
      </c>
      <c r="BK80" s="52" t="n">
        <v>0.06</v>
      </c>
      <c r="BL80" s="52" t="n">
        <v>0.35</v>
      </c>
      <c r="BM80" s="52" t="n">
        <v>0.31</v>
      </c>
      <c r="BN80" s="52" t="n">
        <v>0.04</v>
      </c>
      <c r="BO80" s="52" t="n">
        <v>0.24</v>
      </c>
      <c r="BP80" s="52" t="n">
        <v>0.1</v>
      </c>
      <c r="BQ80" s="52" t="n">
        <v>0.21</v>
      </c>
      <c r="BR80" s="52" t="n">
        <v>0.31</v>
      </c>
      <c r="BS80" s="52" t="n">
        <v>-0.04</v>
      </c>
      <c r="BT80" s="52" t="n">
        <v>0.35</v>
      </c>
      <c r="BU80" s="52" t="n">
        <v>0.12</v>
      </c>
      <c r="BV80" s="52" t="n">
        <v>0.3</v>
      </c>
      <c r="BW80" s="52" t="n">
        <v>0.24</v>
      </c>
      <c r="BX80" s="52" t="n">
        <v>0.14</v>
      </c>
      <c r="BY80" s="52" t="n">
        <v>1</v>
      </c>
      <c r="BZ80" s="52" t="n">
        <v>0.29</v>
      </c>
      <c r="CA80" s="52" t="n">
        <v>0.01</v>
      </c>
      <c r="CB80" s="52" t="n">
        <v>-0.12</v>
      </c>
      <c r="CC80" s="52" t="n">
        <v>-0.01</v>
      </c>
      <c r="CD80" s="52" t="n">
        <v>0.18</v>
      </c>
      <c r="CE80" s="52" t="n">
        <v>0.2</v>
      </c>
      <c r="CF80" s="52" t="n">
        <v>-0.11</v>
      </c>
      <c r="CG80" s="52" t="n">
        <v>0.34</v>
      </c>
      <c r="CH80" s="52" t="n">
        <v>0.22</v>
      </c>
      <c r="CI80" s="52" t="n">
        <v>-0.1</v>
      </c>
      <c r="CJ80" s="52" t="n">
        <v>0.06</v>
      </c>
      <c r="CK80" s="52" t="n">
        <v>0.31</v>
      </c>
      <c r="CL80" s="52" t="n">
        <v>0.61</v>
      </c>
      <c r="CM80" s="52" t="n">
        <v>0.21</v>
      </c>
      <c r="CN80" s="52" t="n">
        <v>-0.01</v>
      </c>
      <c r="CO80" s="52" t="n">
        <v>0.08</v>
      </c>
      <c r="CP80" s="52" t="n">
        <v>0.07</v>
      </c>
      <c r="CQ80" s="52" t="n">
        <v>0.48</v>
      </c>
      <c r="CR80" s="52" t="n">
        <v>0.28</v>
      </c>
      <c r="CS80" s="52" t="n">
        <v>0.29</v>
      </c>
      <c r="CT80" s="52" t="n">
        <v>0.24</v>
      </c>
      <c r="CU80" s="52" t="n">
        <v>0.15</v>
      </c>
      <c r="CV80" s="52" t="n">
        <v>0.25</v>
      </c>
      <c r="CW80" s="52" t="n">
        <v>0.3</v>
      </c>
      <c r="CX80" s="52" t="n">
        <v>0.35</v>
      </c>
      <c r="CY80" s="52" t="n">
        <v>0.43</v>
      </c>
      <c r="CZ80" s="52" t="n">
        <v>0.16</v>
      </c>
      <c r="DA80" s="52" t="n">
        <v>0.18</v>
      </c>
      <c r="DB80" s="52" t="n">
        <v>0.26</v>
      </c>
      <c r="DC80" s="52" t="n">
        <v>0.25</v>
      </c>
      <c r="DD80" s="52" t="n">
        <v>0.29</v>
      </c>
      <c r="DE80" s="52" t="n">
        <v>0.25</v>
      </c>
      <c r="DF80" s="52" t="n">
        <v>0.13</v>
      </c>
      <c r="DG80" s="52" t="n">
        <v>0.14</v>
      </c>
      <c r="DH80" s="52" t="n">
        <v>0.15</v>
      </c>
      <c r="DI80" s="52" t="n">
        <v>0.43</v>
      </c>
      <c r="DJ80" s="52" t="n">
        <v>0.4</v>
      </c>
      <c r="DK80" s="52" t="n">
        <v>0.45</v>
      </c>
      <c r="DL80" s="52" t="n">
        <v>0.09</v>
      </c>
      <c r="DM80" s="52" t="n">
        <v>0.48</v>
      </c>
      <c r="DN80" s="52" t="n">
        <v>0.2</v>
      </c>
      <c r="DO80" s="52" t="n">
        <v>0.24</v>
      </c>
      <c r="DP80" s="52" t="n">
        <v>0.43</v>
      </c>
      <c r="DQ80" s="52" t="n">
        <v>0.23</v>
      </c>
      <c r="DR80" s="52" t="n">
        <v>0.15</v>
      </c>
      <c r="DS80" s="52" t="n">
        <v>0.09</v>
      </c>
      <c r="DT80" s="52" t="n">
        <v>0.13</v>
      </c>
      <c r="DU80" s="52" t="n">
        <v>0.27</v>
      </c>
      <c r="DV80" s="52" t="n">
        <v>0.14</v>
      </c>
      <c r="DW80" s="52" t="n">
        <v>0.27</v>
      </c>
      <c r="DX80" s="52" t="n">
        <v>0.16</v>
      </c>
      <c r="DY80" s="52" t="n">
        <v>0.31</v>
      </c>
      <c r="DZ80" s="52" t="n">
        <v>0.07</v>
      </c>
      <c r="EA80" s="52" t="n">
        <v>0.19</v>
      </c>
      <c r="EB80" s="52" t="n">
        <v>0.32</v>
      </c>
      <c r="EC80" s="52" t="n">
        <v>0.02</v>
      </c>
      <c r="ED80" s="52" t="n">
        <v>0.3</v>
      </c>
      <c r="EE80" s="52" t="n">
        <v>0.19</v>
      </c>
      <c r="EF80" s="52" t="n">
        <v>0.12</v>
      </c>
      <c r="EG80" s="52" t="n">
        <v>0.15</v>
      </c>
      <c r="EH80" s="52" t="n">
        <v>0.12</v>
      </c>
      <c r="EI80" s="52" t="n">
        <v>0.16</v>
      </c>
      <c r="EJ80" s="52" t="n">
        <v>0.27</v>
      </c>
      <c r="EK80" s="52" t="n">
        <v>0.24</v>
      </c>
      <c r="EL80" s="52" t="n">
        <v>0.22</v>
      </c>
      <c r="EM80" s="52" t="n">
        <v>0.08</v>
      </c>
      <c r="EN80" s="52" t="n">
        <v>0.13</v>
      </c>
      <c r="EO80" s="52" t="n">
        <v>0.3</v>
      </c>
    </row>
    <row r="81" customFormat="false" ht="15" hidden="false" customHeight="false" outlineLevel="0" collapsed="false">
      <c r="A81" s="51" t="s">
        <v>224</v>
      </c>
      <c r="B81" s="52" t="n">
        <v>0.21</v>
      </c>
      <c r="C81" s="52" t="n">
        <v>0.12</v>
      </c>
      <c r="D81" s="52" t="n">
        <v>-0.01</v>
      </c>
      <c r="E81" s="52" t="n">
        <v>0.13</v>
      </c>
      <c r="F81" s="52" t="n">
        <v>0.08</v>
      </c>
      <c r="G81" s="52" t="n">
        <v>-0.09</v>
      </c>
      <c r="H81" s="52" t="n">
        <v>0.13</v>
      </c>
      <c r="I81" s="52" t="n">
        <v>0.2</v>
      </c>
      <c r="J81" s="52" t="n">
        <v>0.11</v>
      </c>
      <c r="K81" s="52" t="n">
        <v>0.17</v>
      </c>
      <c r="L81" s="52" t="n">
        <v>0.15</v>
      </c>
      <c r="M81" s="52" t="n">
        <v>0.41</v>
      </c>
      <c r="N81" s="52" t="n">
        <v>0.22</v>
      </c>
      <c r="O81" s="52" t="n">
        <v>0.18</v>
      </c>
      <c r="P81" s="52" t="n">
        <v>0.18</v>
      </c>
      <c r="Q81" s="52" t="n">
        <v>0.03</v>
      </c>
      <c r="R81" s="52" t="n">
        <v>0.15</v>
      </c>
      <c r="S81" s="52" t="n">
        <v>0.11</v>
      </c>
      <c r="T81" s="52" t="n">
        <v>0.32</v>
      </c>
      <c r="U81" s="52" t="n">
        <v>0.2</v>
      </c>
      <c r="V81" s="52" t="n">
        <v>0.08</v>
      </c>
      <c r="W81" s="52" t="n">
        <v>0.11</v>
      </c>
      <c r="X81" s="52" t="n">
        <v>0.32</v>
      </c>
      <c r="Y81" s="52" t="n">
        <v>0.11</v>
      </c>
      <c r="Z81" s="52" t="n">
        <v>0.11</v>
      </c>
      <c r="AA81" s="52" t="n">
        <v>0.18</v>
      </c>
      <c r="AB81" s="52" t="n">
        <v>0.15</v>
      </c>
      <c r="AC81" s="52" t="n">
        <v>0.03</v>
      </c>
      <c r="AD81" s="52" t="n">
        <v>0.1</v>
      </c>
      <c r="AE81" s="52" t="n">
        <v>0.16</v>
      </c>
      <c r="AF81" s="52" t="n">
        <v>0.11</v>
      </c>
      <c r="AG81" s="52" t="n">
        <v>0.04</v>
      </c>
      <c r="AH81" s="52" t="n">
        <v>0.08</v>
      </c>
      <c r="AI81" s="52" t="n">
        <v>-0.18</v>
      </c>
      <c r="AJ81" s="52" t="n">
        <v>0.11</v>
      </c>
      <c r="AK81" s="52" t="n">
        <v>0.17</v>
      </c>
      <c r="AL81" s="52" t="n">
        <v>0.26</v>
      </c>
      <c r="AM81" s="52" t="n">
        <v>0.25</v>
      </c>
      <c r="AN81" s="52" t="n">
        <v>0.38</v>
      </c>
      <c r="AO81" s="52" t="n">
        <v>0.04</v>
      </c>
      <c r="AP81" s="52" t="n">
        <v>0.21</v>
      </c>
      <c r="AQ81" s="52" t="n">
        <v>-0.2</v>
      </c>
      <c r="AR81" s="52" t="n">
        <v>0.31</v>
      </c>
      <c r="AS81" s="52" t="n">
        <v>0.15</v>
      </c>
      <c r="AT81" s="52" t="n">
        <v>0.32</v>
      </c>
      <c r="AU81" s="52" t="n">
        <v>0.18</v>
      </c>
      <c r="AV81" s="52" t="n">
        <v>0.11</v>
      </c>
      <c r="AW81" s="52" t="n">
        <v>0.18</v>
      </c>
      <c r="AX81" s="52" t="n">
        <v>0.14</v>
      </c>
      <c r="AY81" s="52" t="n">
        <v>0.21</v>
      </c>
      <c r="AZ81" s="52" t="n">
        <v>0.17</v>
      </c>
      <c r="BA81" s="52" t="n">
        <v>0.23</v>
      </c>
      <c r="BB81" s="52" t="n">
        <v>0.36</v>
      </c>
      <c r="BC81" s="52" t="n">
        <v>0.09</v>
      </c>
      <c r="BD81" s="52" t="n">
        <v>0.22</v>
      </c>
      <c r="BE81" s="52" t="n">
        <v>0.15</v>
      </c>
      <c r="BF81" s="52" t="n">
        <v>0.2</v>
      </c>
      <c r="BG81" s="52" t="n">
        <v>0.19</v>
      </c>
      <c r="BH81" s="52" t="n">
        <v>0.16</v>
      </c>
      <c r="BI81" s="52" t="n">
        <v>0.12</v>
      </c>
      <c r="BJ81" s="52" t="n">
        <v>-0.06</v>
      </c>
      <c r="BK81" s="52" t="n">
        <v>0.1</v>
      </c>
      <c r="BL81" s="52" t="n">
        <v>0.36</v>
      </c>
      <c r="BM81" s="52" t="n">
        <v>0.17</v>
      </c>
      <c r="BN81" s="52" t="n">
        <v>0.21</v>
      </c>
      <c r="BO81" s="52" t="n">
        <v>0.28</v>
      </c>
      <c r="BP81" s="52" t="n">
        <v>0.28</v>
      </c>
      <c r="BQ81" s="52" t="n">
        <v>0.27</v>
      </c>
      <c r="BR81" s="52" t="n">
        <v>0.28</v>
      </c>
      <c r="BS81" s="52" t="n">
        <v>-0.14</v>
      </c>
      <c r="BT81" s="52" t="n">
        <v>0.49</v>
      </c>
      <c r="BU81" s="52" t="n">
        <v>0.15</v>
      </c>
      <c r="BV81" s="52" t="n">
        <v>0.28</v>
      </c>
      <c r="BW81" s="52" t="n">
        <v>0.18</v>
      </c>
      <c r="BX81" s="52" t="n">
        <v>0.18</v>
      </c>
      <c r="BY81" s="52" t="n">
        <v>0.29</v>
      </c>
      <c r="BZ81" s="52" t="n">
        <v>1</v>
      </c>
      <c r="CA81" s="52" t="n">
        <v>0.07</v>
      </c>
      <c r="CB81" s="52" t="n">
        <v>0</v>
      </c>
      <c r="CC81" s="52" t="n">
        <v>0.19</v>
      </c>
      <c r="CD81" s="52" t="n">
        <v>0.27</v>
      </c>
      <c r="CE81" s="52" t="n">
        <v>0.11</v>
      </c>
      <c r="CF81" s="52" t="n">
        <v>-0.14</v>
      </c>
      <c r="CG81" s="52" t="n">
        <v>0.28</v>
      </c>
      <c r="CH81" s="52" t="n">
        <v>0.19</v>
      </c>
      <c r="CI81" s="52" t="n">
        <v>-0.19</v>
      </c>
      <c r="CJ81" s="52" t="n">
        <v>0.18</v>
      </c>
      <c r="CK81" s="52" t="n">
        <v>0.17</v>
      </c>
      <c r="CL81" s="52" t="n">
        <v>0.27</v>
      </c>
      <c r="CM81" s="52" t="n">
        <v>0.26</v>
      </c>
      <c r="CN81" s="52" t="n">
        <v>0.09</v>
      </c>
      <c r="CO81" s="52" t="n">
        <v>0.06</v>
      </c>
      <c r="CP81" s="52" t="n">
        <v>0.1</v>
      </c>
      <c r="CQ81" s="52" t="n">
        <v>0.43</v>
      </c>
      <c r="CR81" s="52" t="n">
        <v>0.3</v>
      </c>
      <c r="CS81" s="52" t="n">
        <v>0.28</v>
      </c>
      <c r="CT81" s="52" t="n">
        <v>0.28</v>
      </c>
      <c r="CU81" s="52" t="n">
        <v>0.21</v>
      </c>
      <c r="CV81" s="52" t="n">
        <v>0.23</v>
      </c>
      <c r="CW81" s="52" t="n">
        <v>0.28</v>
      </c>
      <c r="CX81" s="52" t="n">
        <v>0.36</v>
      </c>
      <c r="CY81" s="52" t="n">
        <v>0.35</v>
      </c>
      <c r="CZ81" s="52" t="n">
        <v>0.15</v>
      </c>
      <c r="DA81" s="52" t="n">
        <v>0.22</v>
      </c>
      <c r="DB81" s="52" t="n">
        <v>0.29</v>
      </c>
      <c r="DC81" s="52" t="n">
        <v>0.31</v>
      </c>
      <c r="DD81" s="52" t="n">
        <v>0.32</v>
      </c>
      <c r="DE81" s="52" t="n">
        <v>0.25</v>
      </c>
      <c r="DF81" s="52" t="n">
        <v>0.07</v>
      </c>
      <c r="DG81" s="52" t="n">
        <v>0.28</v>
      </c>
      <c r="DH81" s="52" t="n">
        <v>0.17</v>
      </c>
      <c r="DI81" s="52" t="n">
        <v>0.41</v>
      </c>
      <c r="DJ81" s="52" t="n">
        <v>0.31</v>
      </c>
      <c r="DK81" s="52" t="n">
        <v>0.48</v>
      </c>
      <c r="DL81" s="52" t="n">
        <v>0.11</v>
      </c>
      <c r="DM81" s="52" t="n">
        <v>0.41</v>
      </c>
      <c r="DN81" s="52" t="n">
        <v>0.29</v>
      </c>
      <c r="DO81" s="52" t="n">
        <v>0.28</v>
      </c>
      <c r="DP81" s="52" t="n">
        <v>0.34</v>
      </c>
      <c r="DQ81" s="52" t="n">
        <v>0.35</v>
      </c>
      <c r="DR81" s="52" t="n">
        <v>0.23</v>
      </c>
      <c r="DS81" s="52" t="n">
        <v>0.19</v>
      </c>
      <c r="DT81" s="52" t="n">
        <v>0.25</v>
      </c>
      <c r="DU81" s="52" t="n">
        <v>0.42</v>
      </c>
      <c r="DV81" s="52" t="n">
        <v>0.22</v>
      </c>
      <c r="DW81" s="52" t="n">
        <v>0.19</v>
      </c>
      <c r="DX81" s="52" t="n">
        <v>0.24</v>
      </c>
      <c r="DY81" s="52" t="n">
        <v>0.36</v>
      </c>
      <c r="DZ81" s="52" t="n">
        <v>0.13</v>
      </c>
      <c r="EA81" s="52" t="n">
        <v>0.17</v>
      </c>
      <c r="EB81" s="52" t="n">
        <v>0.36</v>
      </c>
      <c r="EC81" s="52" t="n">
        <v>-0.02</v>
      </c>
      <c r="ED81" s="52" t="n">
        <v>0.25</v>
      </c>
      <c r="EE81" s="52" t="n">
        <v>0.28</v>
      </c>
      <c r="EF81" s="52" t="n">
        <v>0.28</v>
      </c>
      <c r="EG81" s="52" t="n">
        <v>0.27</v>
      </c>
      <c r="EH81" s="52" t="n">
        <v>0.19</v>
      </c>
      <c r="EI81" s="52" t="n">
        <v>0.24</v>
      </c>
      <c r="EJ81" s="52" t="n">
        <v>0.26</v>
      </c>
      <c r="EK81" s="52" t="n">
        <v>0.28</v>
      </c>
      <c r="EL81" s="52" t="n">
        <v>0.3</v>
      </c>
      <c r="EM81" s="52" t="n">
        <v>0.25</v>
      </c>
      <c r="EN81" s="52" t="n">
        <v>0.15</v>
      </c>
      <c r="EO81" s="52" t="n">
        <v>0.15</v>
      </c>
    </row>
    <row r="82" customFormat="false" ht="15" hidden="false" customHeight="false" outlineLevel="0" collapsed="false">
      <c r="A82" s="51" t="s">
        <v>225</v>
      </c>
      <c r="B82" s="52" t="n">
        <v>0.04</v>
      </c>
      <c r="C82" s="52" t="n">
        <v>0.16</v>
      </c>
      <c r="D82" s="52" t="n">
        <v>0.15</v>
      </c>
      <c r="E82" s="52" t="n">
        <v>0.26</v>
      </c>
      <c r="F82" s="52" t="n">
        <v>0.03</v>
      </c>
      <c r="G82" s="52" t="n">
        <v>0.13</v>
      </c>
      <c r="H82" s="52" t="n">
        <v>0.28</v>
      </c>
      <c r="I82" s="52" t="n">
        <v>0.05</v>
      </c>
      <c r="J82" s="52" t="n">
        <v>0.01</v>
      </c>
      <c r="K82" s="52" t="n">
        <v>0.14</v>
      </c>
      <c r="L82" s="52" t="n">
        <v>0.19</v>
      </c>
      <c r="M82" s="52" t="n">
        <v>0.23</v>
      </c>
      <c r="N82" s="52" t="n">
        <v>0.05</v>
      </c>
      <c r="O82" s="52" t="n">
        <v>0.34</v>
      </c>
      <c r="P82" s="52" t="n">
        <v>0.11</v>
      </c>
      <c r="Q82" s="52" t="n">
        <v>-0.06</v>
      </c>
      <c r="R82" s="52" t="n">
        <v>0.02</v>
      </c>
      <c r="S82" s="52" t="n">
        <v>0.23</v>
      </c>
      <c r="T82" s="52" t="n">
        <v>0.04</v>
      </c>
      <c r="U82" s="52" t="n">
        <v>0.45</v>
      </c>
      <c r="V82" s="52" t="n">
        <v>0.44</v>
      </c>
      <c r="W82" s="52" t="n">
        <v>0.18</v>
      </c>
      <c r="X82" s="52" t="n">
        <v>0.05</v>
      </c>
      <c r="Y82" s="52" t="n">
        <v>0.01</v>
      </c>
      <c r="Z82" s="52" t="n">
        <v>0.22</v>
      </c>
      <c r="AA82" s="52" t="n">
        <v>0.22</v>
      </c>
      <c r="AB82" s="52" t="n">
        <v>-0.07</v>
      </c>
      <c r="AC82" s="52" t="n">
        <v>0.29</v>
      </c>
      <c r="AD82" s="52" t="n">
        <v>0.33</v>
      </c>
      <c r="AE82" s="52" t="n">
        <v>0.29</v>
      </c>
      <c r="AF82" s="52" t="n">
        <v>0.4</v>
      </c>
      <c r="AG82" s="52" t="n">
        <v>-0.04</v>
      </c>
      <c r="AH82" s="52" t="n">
        <v>-0.03</v>
      </c>
      <c r="AI82" s="52" t="n">
        <v>-0.11</v>
      </c>
      <c r="AJ82" s="52" t="n">
        <v>0.23</v>
      </c>
      <c r="AK82" s="52" t="n">
        <v>0.34</v>
      </c>
      <c r="AL82" s="52" t="n">
        <v>0.08</v>
      </c>
      <c r="AM82" s="52" t="n">
        <v>0.26</v>
      </c>
      <c r="AN82" s="52" t="n">
        <v>0.14</v>
      </c>
      <c r="AO82" s="52" t="n">
        <v>-0.04</v>
      </c>
      <c r="AP82" s="52" t="n">
        <v>0.06</v>
      </c>
      <c r="AQ82" s="52" t="n">
        <v>-0.12</v>
      </c>
      <c r="AR82" s="52" t="n">
        <v>-0.04</v>
      </c>
      <c r="AS82" s="52" t="n">
        <v>0.35</v>
      </c>
      <c r="AT82" s="52" t="n">
        <v>-0.02</v>
      </c>
      <c r="AU82" s="52" t="n">
        <v>0.09</v>
      </c>
      <c r="AV82" s="52" t="n">
        <v>0.34</v>
      </c>
      <c r="AW82" s="52" t="n">
        <v>0.29</v>
      </c>
      <c r="AX82" s="52" t="n">
        <v>0.04</v>
      </c>
      <c r="AY82" s="52" t="n">
        <v>0.01</v>
      </c>
      <c r="AZ82" s="52" t="n">
        <v>0.34</v>
      </c>
      <c r="BA82" s="52" t="n">
        <v>0.05</v>
      </c>
      <c r="BB82" s="52" t="n">
        <v>0.08</v>
      </c>
      <c r="BC82" s="52" t="n">
        <v>0.22</v>
      </c>
      <c r="BD82" s="52" t="n">
        <v>0.27</v>
      </c>
      <c r="BE82" s="52" t="n">
        <v>0.07</v>
      </c>
      <c r="BF82" s="52" t="n">
        <v>0.24</v>
      </c>
      <c r="BG82" s="52" t="n">
        <v>0.03</v>
      </c>
      <c r="BH82" s="52" t="n">
        <v>0.23</v>
      </c>
      <c r="BI82" s="52" t="n">
        <v>0.17</v>
      </c>
      <c r="BJ82" s="52" t="n">
        <v>0.08</v>
      </c>
      <c r="BK82" s="52" t="n">
        <v>0.22</v>
      </c>
      <c r="BL82" s="52" t="n">
        <v>0.06</v>
      </c>
      <c r="BM82" s="52" t="n">
        <v>0.02</v>
      </c>
      <c r="BN82" s="52" t="n">
        <v>0</v>
      </c>
      <c r="BO82" s="52" t="n">
        <v>0.1</v>
      </c>
      <c r="BP82" s="52" t="n">
        <v>0</v>
      </c>
      <c r="BQ82" s="52" t="n">
        <v>0.26</v>
      </c>
      <c r="BR82" s="52" t="n">
        <v>0.04</v>
      </c>
      <c r="BS82" s="52" t="n">
        <v>-0.1</v>
      </c>
      <c r="BT82" s="52" t="n">
        <v>0.15</v>
      </c>
      <c r="BU82" s="52" t="n">
        <v>0.12</v>
      </c>
      <c r="BV82" s="52" t="n">
        <v>0.11</v>
      </c>
      <c r="BW82" s="52" t="n">
        <v>0.08</v>
      </c>
      <c r="BX82" s="52" t="n">
        <v>-0.01</v>
      </c>
      <c r="BY82" s="52" t="n">
        <v>0.01</v>
      </c>
      <c r="BZ82" s="52" t="n">
        <v>0.07</v>
      </c>
      <c r="CA82" s="52" t="n">
        <v>1</v>
      </c>
      <c r="CB82" s="52" t="n">
        <v>0</v>
      </c>
      <c r="CC82" s="52" t="n">
        <v>0.02</v>
      </c>
      <c r="CD82" s="52" t="n">
        <v>-0.02</v>
      </c>
      <c r="CE82" s="52" t="n">
        <v>0.06</v>
      </c>
      <c r="CF82" s="52" t="n">
        <v>-0.07</v>
      </c>
      <c r="CG82" s="52" t="n">
        <v>0.03</v>
      </c>
      <c r="CH82" s="52" t="n">
        <v>0.36</v>
      </c>
      <c r="CI82" s="52" t="n">
        <v>-0.11</v>
      </c>
      <c r="CJ82" s="52" t="n">
        <v>0.02</v>
      </c>
      <c r="CK82" s="52" t="n">
        <v>0.04</v>
      </c>
      <c r="CL82" s="52" t="n">
        <v>0.09</v>
      </c>
      <c r="CM82" s="52" t="n">
        <v>0.07</v>
      </c>
      <c r="CN82" s="52" t="n">
        <v>0.21</v>
      </c>
      <c r="CO82" s="52" t="n">
        <v>0.17</v>
      </c>
      <c r="CP82" s="52" t="n">
        <v>-0.03</v>
      </c>
      <c r="CQ82" s="52" t="n">
        <v>0.06</v>
      </c>
      <c r="CR82" s="52" t="n">
        <v>0.14</v>
      </c>
      <c r="CS82" s="52" t="n">
        <v>0.15</v>
      </c>
      <c r="CT82" s="52" t="n">
        <v>0.12</v>
      </c>
      <c r="CU82" s="52" t="n">
        <v>0.04</v>
      </c>
      <c r="CV82" s="52" t="n">
        <v>0.09</v>
      </c>
      <c r="CW82" s="52" t="n">
        <v>0.14</v>
      </c>
      <c r="CX82" s="52" t="n">
        <v>0.03</v>
      </c>
      <c r="CY82" s="52" t="n">
        <v>0.08</v>
      </c>
      <c r="CZ82" s="52" t="n">
        <v>0.03</v>
      </c>
      <c r="DA82" s="52" t="n">
        <v>0.06</v>
      </c>
      <c r="DB82" s="52" t="n">
        <v>0.17</v>
      </c>
      <c r="DC82" s="52" t="n">
        <v>0.24</v>
      </c>
      <c r="DD82" s="52" t="n">
        <v>0.13</v>
      </c>
      <c r="DE82" s="52" t="n">
        <v>0.17</v>
      </c>
      <c r="DF82" s="52" t="n">
        <v>-0.03</v>
      </c>
      <c r="DG82" s="52" t="n">
        <v>0.18</v>
      </c>
      <c r="DH82" s="52" t="n">
        <v>0.17</v>
      </c>
      <c r="DI82" s="52" t="n">
        <v>0.08</v>
      </c>
      <c r="DJ82" s="52" t="n">
        <v>0.05</v>
      </c>
      <c r="DK82" s="52" t="n">
        <v>0.05</v>
      </c>
      <c r="DL82" s="52" t="n">
        <v>0.31</v>
      </c>
      <c r="DM82" s="52" t="n">
        <v>0.12</v>
      </c>
      <c r="DN82" s="52" t="n">
        <v>0.07</v>
      </c>
      <c r="DO82" s="52" t="n">
        <v>0.18</v>
      </c>
      <c r="DP82" s="52" t="n">
        <v>0.12</v>
      </c>
      <c r="DQ82" s="52" t="n">
        <v>0.08</v>
      </c>
      <c r="DR82" s="52" t="n">
        <v>0.03</v>
      </c>
      <c r="DS82" s="52" t="n">
        <v>-0.08</v>
      </c>
      <c r="DT82" s="52" t="n">
        <v>0.06</v>
      </c>
      <c r="DU82" s="52" t="n">
        <v>0.12</v>
      </c>
      <c r="DV82" s="52" t="n">
        <v>0.08</v>
      </c>
      <c r="DW82" s="52" t="n">
        <v>-0.02</v>
      </c>
      <c r="DX82" s="52" t="n">
        <v>0.13</v>
      </c>
      <c r="DY82" s="52" t="n">
        <v>0.04</v>
      </c>
      <c r="DZ82" s="52" t="n">
        <v>-0.05</v>
      </c>
      <c r="EA82" s="52" t="n">
        <v>0.1</v>
      </c>
      <c r="EB82" s="52" t="n">
        <v>0.09</v>
      </c>
      <c r="EC82" s="52" t="n">
        <v>0.04</v>
      </c>
      <c r="ED82" s="52" t="n">
        <v>0.16</v>
      </c>
      <c r="EE82" s="52" t="n">
        <v>0.09</v>
      </c>
      <c r="EF82" s="52" t="n">
        <v>0.08</v>
      </c>
      <c r="EG82" s="52" t="n">
        <v>0.11</v>
      </c>
      <c r="EH82" s="52" t="n">
        <v>-0.11</v>
      </c>
      <c r="EI82" s="52" t="n">
        <v>0.04</v>
      </c>
      <c r="EJ82" s="52" t="n">
        <v>0.16</v>
      </c>
      <c r="EK82" s="52" t="n">
        <v>0.13</v>
      </c>
      <c r="EL82" s="52" t="n">
        <v>0.19</v>
      </c>
      <c r="EM82" s="52" t="n">
        <v>-0.04</v>
      </c>
      <c r="EN82" s="52" t="n">
        <v>0.09</v>
      </c>
      <c r="EO82" s="52" t="n">
        <v>-0.04</v>
      </c>
    </row>
    <row r="83" customFormat="false" ht="15" hidden="false" customHeight="false" outlineLevel="0" collapsed="false">
      <c r="A83" s="51" t="s">
        <v>226</v>
      </c>
      <c r="B83" s="52" t="n">
        <v>0.05</v>
      </c>
      <c r="C83" s="52" t="n">
        <v>0.1</v>
      </c>
      <c r="D83" s="52" t="n">
        <v>-0.06</v>
      </c>
      <c r="E83" s="52" t="n">
        <v>0.02</v>
      </c>
      <c r="F83" s="52" t="n">
        <v>0.07</v>
      </c>
      <c r="G83" s="52" t="n">
        <v>-0.01</v>
      </c>
      <c r="H83" s="52" t="n">
        <v>-0.1</v>
      </c>
      <c r="I83" s="52" t="n">
        <v>0.01</v>
      </c>
      <c r="J83" s="52" t="n">
        <v>0.12</v>
      </c>
      <c r="K83" s="52" t="n">
        <v>-0.02</v>
      </c>
      <c r="L83" s="52" t="n">
        <v>-0.08</v>
      </c>
      <c r="M83" s="52" t="n">
        <v>-0.04</v>
      </c>
      <c r="N83" s="52" t="n">
        <v>0.08</v>
      </c>
      <c r="O83" s="52" t="n">
        <v>0</v>
      </c>
      <c r="P83" s="52" t="n">
        <v>0.07</v>
      </c>
      <c r="Q83" s="52" t="n">
        <v>-0.02</v>
      </c>
      <c r="R83" s="52" t="n">
        <v>0.07</v>
      </c>
      <c r="S83" s="52" t="n">
        <v>-0.09</v>
      </c>
      <c r="T83" s="52" t="n">
        <v>0.01</v>
      </c>
      <c r="U83" s="52" t="n">
        <v>0.02</v>
      </c>
      <c r="V83" s="52" t="n">
        <v>-0.12</v>
      </c>
      <c r="W83" s="52" t="n">
        <v>0.02</v>
      </c>
      <c r="X83" s="52" t="n">
        <v>0.01</v>
      </c>
      <c r="Y83" s="52" t="n">
        <v>0.1</v>
      </c>
      <c r="Z83" s="52" t="n">
        <v>-0.09</v>
      </c>
      <c r="AA83" s="52" t="n">
        <v>-0.08</v>
      </c>
      <c r="AB83" s="52" t="n">
        <v>0.04</v>
      </c>
      <c r="AC83" s="52" t="n">
        <v>-0.04</v>
      </c>
      <c r="AD83" s="52" t="n">
        <v>-0.07</v>
      </c>
      <c r="AE83" s="52" t="n">
        <v>-0.07</v>
      </c>
      <c r="AF83" s="52" t="n">
        <v>-0.04</v>
      </c>
      <c r="AG83" s="52" t="n">
        <v>0.04</v>
      </c>
      <c r="AH83" s="52" t="n">
        <v>0.05</v>
      </c>
      <c r="AI83" s="52" t="n">
        <v>0.17</v>
      </c>
      <c r="AJ83" s="52" t="n">
        <v>-0.01</v>
      </c>
      <c r="AK83" s="52" t="n">
        <v>0.03</v>
      </c>
      <c r="AL83" s="52" t="n">
        <v>-0.05</v>
      </c>
      <c r="AM83" s="52" t="n">
        <v>-0.04</v>
      </c>
      <c r="AN83" s="52" t="n">
        <v>0.01</v>
      </c>
      <c r="AO83" s="52" t="n">
        <v>-0.02</v>
      </c>
      <c r="AP83" s="52" t="n">
        <v>0</v>
      </c>
      <c r="AQ83" s="52" t="n">
        <v>0.16</v>
      </c>
      <c r="AR83" s="52" t="n">
        <v>0.08</v>
      </c>
      <c r="AS83" s="52" t="n">
        <v>0.11</v>
      </c>
      <c r="AT83" s="52" t="n">
        <v>0.02</v>
      </c>
      <c r="AU83" s="52" t="n">
        <v>0.01</v>
      </c>
      <c r="AV83" s="52" t="n">
        <v>0</v>
      </c>
      <c r="AW83" s="52" t="n">
        <v>-0.02</v>
      </c>
      <c r="AX83" s="52" t="n">
        <v>0</v>
      </c>
      <c r="AY83" s="52" t="n">
        <v>-0.02</v>
      </c>
      <c r="AZ83" s="52" t="n">
        <v>-0.02</v>
      </c>
      <c r="BA83" s="52" t="n">
        <v>0.01</v>
      </c>
      <c r="BB83" s="52" t="n">
        <v>0</v>
      </c>
      <c r="BC83" s="52" t="n">
        <v>-0.02</v>
      </c>
      <c r="BD83" s="52" t="n">
        <v>0.03</v>
      </c>
      <c r="BE83" s="52" t="n">
        <v>0</v>
      </c>
      <c r="BF83" s="52" t="n">
        <v>-0.08</v>
      </c>
      <c r="BG83" s="52" t="n">
        <v>-0.03</v>
      </c>
      <c r="BH83" s="52" t="n">
        <v>0</v>
      </c>
      <c r="BI83" s="52" t="n">
        <v>-0.02</v>
      </c>
      <c r="BJ83" s="52" t="n">
        <v>0.03</v>
      </c>
      <c r="BK83" s="52" t="n">
        <v>0</v>
      </c>
      <c r="BL83" s="52" t="n">
        <v>-0.03</v>
      </c>
      <c r="BM83" s="52" t="n">
        <v>0</v>
      </c>
      <c r="BN83" s="52" t="n">
        <v>0.05</v>
      </c>
      <c r="BO83" s="52" t="n">
        <v>-0.02</v>
      </c>
      <c r="BP83" s="52" t="n">
        <v>-0.05</v>
      </c>
      <c r="BQ83" s="52" t="n">
        <v>-0.13</v>
      </c>
      <c r="BR83" s="52" t="n">
        <v>-0.01</v>
      </c>
      <c r="BS83" s="52" t="n">
        <v>0.14</v>
      </c>
      <c r="BT83" s="52" t="n">
        <v>-0.05</v>
      </c>
      <c r="BU83" s="52" t="n">
        <v>-0.01</v>
      </c>
      <c r="BV83" s="52" t="n">
        <v>-0.04</v>
      </c>
      <c r="BW83" s="52" t="n">
        <v>0.04</v>
      </c>
      <c r="BX83" s="52" t="n">
        <v>0.01</v>
      </c>
      <c r="BY83" s="52" t="n">
        <v>-0.12</v>
      </c>
      <c r="BZ83" s="52" t="n">
        <v>0</v>
      </c>
      <c r="CA83" s="52" t="n">
        <v>0</v>
      </c>
      <c r="CB83" s="52" t="n">
        <v>1</v>
      </c>
      <c r="CC83" s="52" t="n">
        <v>0.11</v>
      </c>
      <c r="CD83" s="52" t="n">
        <v>0.02</v>
      </c>
      <c r="CE83" s="52" t="n">
        <v>-0.09</v>
      </c>
      <c r="CF83" s="52" t="n">
        <v>0.16</v>
      </c>
      <c r="CG83" s="52" t="n">
        <v>-0.06</v>
      </c>
      <c r="CH83" s="52" t="n">
        <v>-0.07</v>
      </c>
      <c r="CI83" s="52" t="n">
        <v>0.16</v>
      </c>
      <c r="CJ83" s="52" t="n">
        <v>0.09</v>
      </c>
      <c r="CK83" s="52" t="n">
        <v>0.13</v>
      </c>
      <c r="CL83" s="52" t="n">
        <v>-0.08</v>
      </c>
      <c r="CM83" s="52" t="n">
        <v>-0.12</v>
      </c>
      <c r="CN83" s="52" t="n">
        <v>0.14</v>
      </c>
      <c r="CO83" s="52" t="n">
        <v>0.03</v>
      </c>
      <c r="CP83" s="52" t="n">
        <v>0.06</v>
      </c>
      <c r="CQ83" s="52" t="n">
        <v>-0.02</v>
      </c>
      <c r="CR83" s="52" t="n">
        <v>-0.08</v>
      </c>
      <c r="CS83" s="52" t="n">
        <v>-0.06</v>
      </c>
      <c r="CT83" s="52" t="n">
        <v>-0.08</v>
      </c>
      <c r="CU83" s="52" t="n">
        <v>-0.05</v>
      </c>
      <c r="CV83" s="52" t="n">
        <v>-0.04</v>
      </c>
      <c r="CW83" s="52" t="n">
        <v>0.02</v>
      </c>
      <c r="CX83" s="52" t="n">
        <v>-0.03</v>
      </c>
      <c r="CY83" s="52" t="n">
        <v>-0.03</v>
      </c>
      <c r="CZ83" s="52" t="n">
        <v>0.04</v>
      </c>
      <c r="DA83" s="52" t="n">
        <v>-0.02</v>
      </c>
      <c r="DB83" s="52" t="n">
        <v>-0.01</v>
      </c>
      <c r="DC83" s="52" t="n">
        <v>-0.06</v>
      </c>
      <c r="DD83" s="52" t="n">
        <v>-0.03</v>
      </c>
      <c r="DE83" s="52" t="n">
        <v>-0.15</v>
      </c>
      <c r="DF83" s="52" t="n">
        <v>0.05</v>
      </c>
      <c r="DG83" s="52" t="n">
        <v>-0.13</v>
      </c>
      <c r="DH83" s="52" t="n">
        <v>-0.06</v>
      </c>
      <c r="DI83" s="52" t="n">
        <v>-0.04</v>
      </c>
      <c r="DJ83" s="52" t="n">
        <v>-0.07</v>
      </c>
      <c r="DK83" s="52" t="n">
        <v>-0.06</v>
      </c>
      <c r="DL83" s="52" t="n">
        <v>-0.12</v>
      </c>
      <c r="DM83" s="52" t="n">
        <v>-0.17</v>
      </c>
      <c r="DN83" s="52" t="n">
        <v>0.06</v>
      </c>
      <c r="DO83" s="52" t="n">
        <v>-0.04</v>
      </c>
      <c r="DP83" s="52" t="n">
        <v>-0.09</v>
      </c>
      <c r="DQ83" s="52" t="n">
        <v>0.02</v>
      </c>
      <c r="DR83" s="52" t="n">
        <v>-0.01</v>
      </c>
      <c r="DS83" s="52" t="n">
        <v>0.03</v>
      </c>
      <c r="DT83" s="52" t="n">
        <v>-0.08</v>
      </c>
      <c r="DU83" s="52" t="n">
        <v>-0.02</v>
      </c>
      <c r="DV83" s="52" t="n">
        <v>-0.05</v>
      </c>
      <c r="DW83" s="52" t="n">
        <v>-0.08</v>
      </c>
      <c r="DX83" s="52" t="n">
        <v>-0.06</v>
      </c>
      <c r="DY83" s="52" t="n">
        <v>0.01</v>
      </c>
      <c r="DZ83" s="52" t="n">
        <v>-0.01</v>
      </c>
      <c r="EA83" s="52" t="n">
        <v>-0.07</v>
      </c>
      <c r="EB83" s="52" t="n">
        <v>0.01</v>
      </c>
      <c r="EC83" s="52" t="n">
        <v>-0.14</v>
      </c>
      <c r="ED83" s="52" t="n">
        <v>-0.07</v>
      </c>
      <c r="EE83" s="52" t="n">
        <v>-0.07</v>
      </c>
      <c r="EF83" s="52" t="n">
        <v>0.04</v>
      </c>
      <c r="EG83" s="52" t="n">
        <v>-0.03</v>
      </c>
      <c r="EH83" s="52" t="n">
        <v>0.01</v>
      </c>
      <c r="EI83" s="52" t="n">
        <v>-0.02</v>
      </c>
      <c r="EJ83" s="52" t="n">
        <v>0.04</v>
      </c>
      <c r="EK83" s="52" t="n">
        <v>0.02</v>
      </c>
      <c r="EL83" s="52" t="n">
        <v>-0.08</v>
      </c>
      <c r="EM83" s="52" t="n">
        <v>0</v>
      </c>
      <c r="EN83" s="52" t="n">
        <v>-0.08</v>
      </c>
      <c r="EO83" s="52" t="n">
        <v>-0.09</v>
      </c>
    </row>
    <row r="84" customFormat="false" ht="15" hidden="false" customHeight="false" outlineLevel="0" collapsed="false">
      <c r="A84" s="51" t="s">
        <v>227</v>
      </c>
      <c r="B84" s="52" t="n">
        <v>0.22</v>
      </c>
      <c r="C84" s="52" t="n">
        <v>-0.02</v>
      </c>
      <c r="D84" s="52" t="n">
        <v>-0.01</v>
      </c>
      <c r="E84" s="52" t="n">
        <v>0.06</v>
      </c>
      <c r="F84" s="52" t="n">
        <v>0.07</v>
      </c>
      <c r="G84" s="52" t="n">
        <v>0.03</v>
      </c>
      <c r="H84" s="52" t="n">
        <v>-0.06</v>
      </c>
      <c r="I84" s="52" t="n">
        <v>0.11</v>
      </c>
      <c r="J84" s="52" t="n">
        <v>0.11</v>
      </c>
      <c r="K84" s="52" t="n">
        <v>0.15</v>
      </c>
      <c r="L84" s="52" t="n">
        <v>0</v>
      </c>
      <c r="M84" s="52" t="n">
        <v>0.07</v>
      </c>
      <c r="N84" s="52" t="n">
        <v>0.06</v>
      </c>
      <c r="O84" s="52" t="n">
        <v>0.04</v>
      </c>
      <c r="P84" s="52" t="n">
        <v>0.21</v>
      </c>
      <c r="Q84" s="52" t="n">
        <v>0.06</v>
      </c>
      <c r="R84" s="52" t="n">
        <v>0.04</v>
      </c>
      <c r="S84" s="52" t="n">
        <v>0.11</v>
      </c>
      <c r="T84" s="52" t="n">
        <v>0.16</v>
      </c>
      <c r="U84" s="52" t="n">
        <v>0.07</v>
      </c>
      <c r="V84" s="52" t="n">
        <v>-0.03</v>
      </c>
      <c r="W84" s="52" t="n">
        <v>0.15</v>
      </c>
      <c r="X84" s="52" t="n">
        <v>0.2</v>
      </c>
      <c r="Y84" s="52" t="n">
        <v>0.25</v>
      </c>
      <c r="Z84" s="52" t="n">
        <v>0.01</v>
      </c>
      <c r="AA84" s="52" t="n">
        <v>0</v>
      </c>
      <c r="AB84" s="52" t="n">
        <v>0.27</v>
      </c>
      <c r="AC84" s="52" t="n">
        <v>-0.08</v>
      </c>
      <c r="AD84" s="52" t="n">
        <v>0.01</v>
      </c>
      <c r="AE84" s="52" t="n">
        <v>-0.04</v>
      </c>
      <c r="AF84" s="52" t="n">
        <v>0.02</v>
      </c>
      <c r="AG84" s="52" t="n">
        <v>0.12</v>
      </c>
      <c r="AH84" s="52" t="n">
        <v>0.07</v>
      </c>
      <c r="AI84" s="52" t="n">
        <v>0.03</v>
      </c>
      <c r="AJ84" s="52" t="n">
        <v>-0.03</v>
      </c>
      <c r="AK84" s="52" t="n">
        <v>0.05</v>
      </c>
      <c r="AL84" s="52" t="n">
        <v>-0.03</v>
      </c>
      <c r="AM84" s="52" t="n">
        <v>0.09</v>
      </c>
      <c r="AN84" s="52" t="n">
        <v>0.14</v>
      </c>
      <c r="AO84" s="52" t="n">
        <v>0.18</v>
      </c>
      <c r="AP84" s="52" t="n">
        <v>0.15</v>
      </c>
      <c r="AQ84" s="52" t="n">
        <v>0.01</v>
      </c>
      <c r="AR84" s="52" t="n">
        <v>0.16</v>
      </c>
      <c r="AS84" s="52" t="n">
        <v>0.01</v>
      </c>
      <c r="AT84" s="52" t="n">
        <v>0.24</v>
      </c>
      <c r="AU84" s="52" t="n">
        <v>0.13</v>
      </c>
      <c r="AV84" s="52" t="n">
        <v>0.07</v>
      </c>
      <c r="AW84" s="52" t="n">
        <v>0.11</v>
      </c>
      <c r="AX84" s="52" t="n">
        <v>0.11</v>
      </c>
      <c r="AY84" s="52" t="n">
        <v>0.27</v>
      </c>
      <c r="AZ84" s="52" t="n">
        <v>-0.03</v>
      </c>
      <c r="BA84" s="52" t="n">
        <v>0.1</v>
      </c>
      <c r="BB84" s="52" t="n">
        <v>0.17</v>
      </c>
      <c r="BC84" s="52" t="n">
        <v>0.07</v>
      </c>
      <c r="BD84" s="52" t="n">
        <v>0.09</v>
      </c>
      <c r="BE84" s="52" t="n">
        <v>0.14</v>
      </c>
      <c r="BF84" s="52" t="n">
        <v>0.09</v>
      </c>
      <c r="BG84" s="52" t="n">
        <v>0.17</v>
      </c>
      <c r="BH84" s="52" t="n">
        <v>0.06</v>
      </c>
      <c r="BI84" s="52" t="n">
        <v>0.08</v>
      </c>
      <c r="BJ84" s="52" t="n">
        <v>0.01</v>
      </c>
      <c r="BK84" s="52" t="n">
        <v>0.08</v>
      </c>
      <c r="BL84" s="52" t="n">
        <v>0.13</v>
      </c>
      <c r="BM84" s="52" t="n">
        <v>0.15</v>
      </c>
      <c r="BN84" s="52" t="n">
        <v>0.68</v>
      </c>
      <c r="BO84" s="52" t="n">
        <v>0.09</v>
      </c>
      <c r="BP84" s="52" t="n">
        <v>0.07</v>
      </c>
      <c r="BQ84" s="52" t="n">
        <v>0.11</v>
      </c>
      <c r="BR84" s="52" t="n">
        <v>0.07</v>
      </c>
      <c r="BS84" s="52" t="n">
        <v>-0.01</v>
      </c>
      <c r="BT84" s="52" t="n">
        <v>0.03</v>
      </c>
      <c r="BU84" s="52" t="n">
        <v>-0.01</v>
      </c>
      <c r="BV84" s="52" t="n">
        <v>0.06</v>
      </c>
      <c r="BW84" s="52" t="n">
        <v>0.14</v>
      </c>
      <c r="BX84" s="52" t="n">
        <v>0.17</v>
      </c>
      <c r="BY84" s="52" t="n">
        <v>-0.01</v>
      </c>
      <c r="BZ84" s="52" t="n">
        <v>0.19</v>
      </c>
      <c r="CA84" s="52" t="n">
        <v>0.02</v>
      </c>
      <c r="CB84" s="52" t="n">
        <v>0.11</v>
      </c>
      <c r="CC84" s="52" t="n">
        <v>1</v>
      </c>
      <c r="CD84" s="52" t="n">
        <v>0.16</v>
      </c>
      <c r="CE84" s="52" t="n">
        <v>0.05</v>
      </c>
      <c r="CF84" s="52" t="n">
        <v>0.02</v>
      </c>
      <c r="CG84" s="52" t="n">
        <v>0.18</v>
      </c>
      <c r="CH84" s="52" t="n">
        <v>0.09</v>
      </c>
      <c r="CI84" s="52" t="n">
        <v>0.04</v>
      </c>
      <c r="CJ84" s="52" t="n">
        <v>0.1</v>
      </c>
      <c r="CK84" s="52" t="n">
        <v>0.17</v>
      </c>
      <c r="CL84" s="52" t="n">
        <v>0.06</v>
      </c>
      <c r="CM84" s="52" t="n">
        <v>0.03</v>
      </c>
      <c r="CN84" s="52" t="n">
        <v>0.03</v>
      </c>
      <c r="CO84" s="52" t="n">
        <v>0.12</v>
      </c>
      <c r="CP84" s="52" t="n">
        <v>0.05</v>
      </c>
      <c r="CQ84" s="52" t="n">
        <v>0.17</v>
      </c>
      <c r="CR84" s="52" t="n">
        <v>0.06</v>
      </c>
      <c r="CS84" s="52" t="n">
        <v>0.09</v>
      </c>
      <c r="CT84" s="52" t="n">
        <v>0.17</v>
      </c>
      <c r="CU84" s="52" t="n">
        <v>0.01</v>
      </c>
      <c r="CV84" s="52" t="n">
        <v>0.12</v>
      </c>
      <c r="CW84" s="52" t="n">
        <v>0.06</v>
      </c>
      <c r="CX84" s="52" t="n">
        <v>0.13</v>
      </c>
      <c r="CY84" s="52" t="n">
        <v>0.13</v>
      </c>
      <c r="CZ84" s="52" t="n">
        <v>0.11</v>
      </c>
      <c r="DA84" s="52" t="n">
        <v>0.14</v>
      </c>
      <c r="DB84" s="52" t="n">
        <v>0.12</v>
      </c>
      <c r="DC84" s="52" t="n">
        <v>0.02</v>
      </c>
      <c r="DD84" s="52" t="n">
        <v>0.21</v>
      </c>
      <c r="DE84" s="52" t="n">
        <v>0.06</v>
      </c>
      <c r="DF84" s="52" t="n">
        <v>0.07</v>
      </c>
      <c r="DG84" s="52" t="n">
        <v>0.05</v>
      </c>
      <c r="DH84" s="52" t="n">
        <v>-0.03</v>
      </c>
      <c r="DI84" s="52" t="n">
        <v>0.19</v>
      </c>
      <c r="DJ84" s="52" t="n">
        <v>0.13</v>
      </c>
      <c r="DK84" s="52" t="n">
        <v>0.17</v>
      </c>
      <c r="DL84" s="52" t="n">
        <v>0.03</v>
      </c>
      <c r="DM84" s="52" t="n">
        <v>0.1</v>
      </c>
      <c r="DN84" s="52" t="n">
        <v>0.17</v>
      </c>
      <c r="DO84" s="52" t="n">
        <v>0.06</v>
      </c>
      <c r="DP84" s="52" t="n">
        <v>0.1</v>
      </c>
      <c r="DQ84" s="52" t="n">
        <v>0.01</v>
      </c>
      <c r="DR84" s="52" t="n">
        <v>0.12</v>
      </c>
      <c r="DS84" s="52" t="n">
        <v>0.17</v>
      </c>
      <c r="DT84" s="52" t="n">
        <v>0.08</v>
      </c>
      <c r="DU84" s="52" t="n">
        <v>0.15</v>
      </c>
      <c r="DV84" s="52" t="n">
        <v>0.07</v>
      </c>
      <c r="DW84" s="52" t="n">
        <v>0.11</v>
      </c>
      <c r="DX84" s="52" t="n">
        <v>0.03</v>
      </c>
      <c r="DY84" s="52" t="n">
        <v>0.1</v>
      </c>
      <c r="DZ84" s="52" t="n">
        <v>0.08</v>
      </c>
      <c r="EA84" s="52" t="n">
        <v>0.07</v>
      </c>
      <c r="EB84" s="52" t="n">
        <v>0.14</v>
      </c>
      <c r="EC84" s="52" t="n">
        <v>0.05</v>
      </c>
      <c r="ED84" s="52" t="n">
        <v>0.11</v>
      </c>
      <c r="EE84" s="52" t="n">
        <v>0.09</v>
      </c>
      <c r="EF84" s="52" t="n">
        <v>0.08</v>
      </c>
      <c r="EG84" s="52" t="n">
        <v>0.08</v>
      </c>
      <c r="EH84" s="52" t="n">
        <v>0.12</v>
      </c>
      <c r="EI84" s="52" t="n">
        <v>0.02</v>
      </c>
      <c r="EJ84" s="52" t="n">
        <v>0.11</v>
      </c>
      <c r="EK84" s="52" t="n">
        <v>0.15</v>
      </c>
      <c r="EL84" s="52" t="n">
        <v>0.05</v>
      </c>
      <c r="EM84" s="52" t="n">
        <v>0.05</v>
      </c>
      <c r="EN84" s="52" t="n">
        <v>0.1</v>
      </c>
      <c r="EO84" s="52" t="n">
        <v>0.09</v>
      </c>
    </row>
    <row r="85" customFormat="false" ht="15" hidden="false" customHeight="false" outlineLevel="0" collapsed="false">
      <c r="A85" s="51" t="s">
        <v>228</v>
      </c>
      <c r="B85" s="52" t="n">
        <v>0.18</v>
      </c>
      <c r="C85" s="52" t="n">
        <v>-0.04</v>
      </c>
      <c r="D85" s="52" t="n">
        <v>0.04</v>
      </c>
      <c r="E85" s="52" t="n">
        <v>0.05</v>
      </c>
      <c r="F85" s="52" t="n">
        <v>0.16</v>
      </c>
      <c r="G85" s="52" t="n">
        <v>0.02</v>
      </c>
      <c r="H85" s="52" t="n">
        <v>0.05</v>
      </c>
      <c r="I85" s="52" t="n">
        <v>0.22</v>
      </c>
      <c r="J85" s="52" t="n">
        <v>0.09</v>
      </c>
      <c r="K85" s="52" t="n">
        <v>0.12</v>
      </c>
      <c r="L85" s="52" t="n">
        <v>0.15</v>
      </c>
      <c r="M85" s="52" t="n">
        <v>0.28</v>
      </c>
      <c r="N85" s="52" t="n">
        <v>0.24</v>
      </c>
      <c r="O85" s="52" t="n">
        <v>0.03</v>
      </c>
      <c r="P85" s="52" t="n">
        <v>0.19</v>
      </c>
      <c r="Q85" s="52" t="n">
        <v>0.04</v>
      </c>
      <c r="R85" s="52" t="n">
        <v>0.15</v>
      </c>
      <c r="S85" s="52" t="n">
        <v>0.11</v>
      </c>
      <c r="T85" s="52" t="n">
        <v>0.25</v>
      </c>
      <c r="U85" s="52" t="n">
        <v>0.1</v>
      </c>
      <c r="V85" s="52" t="n">
        <v>0</v>
      </c>
      <c r="W85" s="52" t="n">
        <v>0.02</v>
      </c>
      <c r="X85" s="52" t="n">
        <v>0.2</v>
      </c>
      <c r="Y85" s="52" t="n">
        <v>0.31</v>
      </c>
      <c r="Z85" s="52" t="n">
        <v>0.11</v>
      </c>
      <c r="AA85" s="52" t="n">
        <v>0.08</v>
      </c>
      <c r="AB85" s="52" t="n">
        <v>0.33</v>
      </c>
      <c r="AC85" s="52" t="n">
        <v>-0.05</v>
      </c>
      <c r="AD85" s="52" t="n">
        <v>-0.04</v>
      </c>
      <c r="AE85" s="52" t="n">
        <v>0.11</v>
      </c>
      <c r="AF85" s="52" t="n">
        <v>-0.05</v>
      </c>
      <c r="AG85" s="52" t="n">
        <v>0</v>
      </c>
      <c r="AH85" s="52" t="n">
        <v>0.05</v>
      </c>
      <c r="AI85" s="52" t="n">
        <v>-0.08</v>
      </c>
      <c r="AJ85" s="52" t="n">
        <v>-0.07</v>
      </c>
      <c r="AK85" s="52" t="n">
        <v>-0.02</v>
      </c>
      <c r="AL85" s="52" t="n">
        <v>0.19</v>
      </c>
      <c r="AM85" s="52" t="n">
        <v>0.2</v>
      </c>
      <c r="AN85" s="52" t="n">
        <v>0.29</v>
      </c>
      <c r="AO85" s="52" t="n">
        <v>0.17</v>
      </c>
      <c r="AP85" s="52" t="n">
        <v>0.33</v>
      </c>
      <c r="AQ85" s="52" t="n">
        <v>-0.08</v>
      </c>
      <c r="AR85" s="52" t="n">
        <v>0.2</v>
      </c>
      <c r="AS85" s="52" t="n">
        <v>0.1</v>
      </c>
      <c r="AT85" s="52" t="n">
        <v>0.32</v>
      </c>
      <c r="AU85" s="52" t="n">
        <v>0.05</v>
      </c>
      <c r="AV85" s="52" t="n">
        <v>-0.02</v>
      </c>
      <c r="AW85" s="52" t="n">
        <v>0.09</v>
      </c>
      <c r="AX85" s="52" t="n">
        <v>0.2</v>
      </c>
      <c r="AY85" s="52" t="n">
        <v>0.22</v>
      </c>
      <c r="AZ85" s="52" t="n">
        <v>0.08</v>
      </c>
      <c r="BA85" s="52" t="n">
        <v>0.21</v>
      </c>
      <c r="BB85" s="52" t="n">
        <v>0.22</v>
      </c>
      <c r="BC85" s="52" t="n">
        <v>0.01</v>
      </c>
      <c r="BD85" s="52" t="n">
        <v>0.09</v>
      </c>
      <c r="BE85" s="52" t="n">
        <v>0.12</v>
      </c>
      <c r="BF85" s="52" t="n">
        <v>0.12</v>
      </c>
      <c r="BG85" s="52" t="n">
        <v>0.26</v>
      </c>
      <c r="BH85" s="52" t="n">
        <v>0.11</v>
      </c>
      <c r="BI85" s="52" t="n">
        <v>0.07</v>
      </c>
      <c r="BJ85" s="52" t="n">
        <v>-0.05</v>
      </c>
      <c r="BK85" s="52" t="n">
        <v>0.09</v>
      </c>
      <c r="BL85" s="52" t="n">
        <v>0.19</v>
      </c>
      <c r="BM85" s="52" t="n">
        <v>0.25</v>
      </c>
      <c r="BN85" s="52" t="n">
        <v>0.12</v>
      </c>
      <c r="BO85" s="52" t="n">
        <v>0.32</v>
      </c>
      <c r="BP85" s="52" t="n">
        <v>0.3</v>
      </c>
      <c r="BQ85" s="52" t="n">
        <v>0.15</v>
      </c>
      <c r="BR85" s="52" t="n">
        <v>0.28</v>
      </c>
      <c r="BS85" s="52" t="n">
        <v>0.01</v>
      </c>
      <c r="BT85" s="52" t="n">
        <v>0.28</v>
      </c>
      <c r="BU85" s="52" t="n">
        <v>0.08</v>
      </c>
      <c r="BV85" s="52" t="n">
        <v>0.32</v>
      </c>
      <c r="BW85" s="52" t="n">
        <v>0.28</v>
      </c>
      <c r="BX85" s="52" t="n">
        <v>0.1</v>
      </c>
      <c r="BY85" s="52" t="n">
        <v>0.18</v>
      </c>
      <c r="BZ85" s="52" t="n">
        <v>0.27</v>
      </c>
      <c r="CA85" s="52" t="n">
        <v>-0.02</v>
      </c>
      <c r="CB85" s="52" t="n">
        <v>0.02</v>
      </c>
      <c r="CC85" s="52" t="n">
        <v>0.16</v>
      </c>
      <c r="CD85" s="52" t="n">
        <v>1</v>
      </c>
      <c r="CE85" s="52" t="n">
        <v>0.04</v>
      </c>
      <c r="CF85" s="52" t="n">
        <v>-0.01</v>
      </c>
      <c r="CG85" s="52" t="n">
        <v>0.49</v>
      </c>
      <c r="CH85" s="52" t="n">
        <v>0.12</v>
      </c>
      <c r="CI85" s="52" t="n">
        <v>0.01</v>
      </c>
      <c r="CJ85" s="52" t="n">
        <v>0.3</v>
      </c>
      <c r="CK85" s="52" t="n">
        <v>0.23</v>
      </c>
      <c r="CL85" s="52" t="n">
        <v>0.14</v>
      </c>
      <c r="CM85" s="52" t="n">
        <v>0.19</v>
      </c>
      <c r="CN85" s="52" t="n">
        <v>0.03</v>
      </c>
      <c r="CO85" s="52" t="n">
        <v>0.06</v>
      </c>
      <c r="CP85" s="52" t="n">
        <v>0.22</v>
      </c>
      <c r="CQ85" s="52" t="n">
        <v>0.26</v>
      </c>
      <c r="CR85" s="52" t="n">
        <v>0.22</v>
      </c>
      <c r="CS85" s="52" t="n">
        <v>0.04</v>
      </c>
      <c r="CT85" s="52" t="n">
        <v>0.25</v>
      </c>
      <c r="CU85" s="52" t="n">
        <v>0.21</v>
      </c>
      <c r="CV85" s="52" t="n">
        <v>0.26</v>
      </c>
      <c r="CW85" s="52" t="n">
        <v>0.44</v>
      </c>
      <c r="CX85" s="52" t="n">
        <v>0.26</v>
      </c>
      <c r="CY85" s="52" t="n">
        <v>0.22</v>
      </c>
      <c r="CZ85" s="52" t="n">
        <v>0.23</v>
      </c>
      <c r="DA85" s="52" t="n">
        <v>0.32</v>
      </c>
      <c r="DB85" s="52" t="n">
        <v>0.17</v>
      </c>
      <c r="DC85" s="52" t="n">
        <v>0.09</v>
      </c>
      <c r="DD85" s="52" t="n">
        <v>0.33</v>
      </c>
      <c r="DE85" s="52" t="n">
        <v>0.11</v>
      </c>
      <c r="DF85" s="52" t="n">
        <v>0.25</v>
      </c>
      <c r="DG85" s="52" t="n">
        <v>0.14</v>
      </c>
      <c r="DH85" s="52" t="n">
        <v>0.12</v>
      </c>
      <c r="DI85" s="52" t="n">
        <v>0.23</v>
      </c>
      <c r="DJ85" s="52" t="n">
        <v>0.35</v>
      </c>
      <c r="DK85" s="52" t="n">
        <v>0.27</v>
      </c>
      <c r="DL85" s="52" t="n">
        <v>-0.01</v>
      </c>
      <c r="DM85" s="52" t="n">
        <v>0.34</v>
      </c>
      <c r="DN85" s="52" t="n">
        <v>0.33</v>
      </c>
      <c r="DO85" s="52" t="n">
        <v>0.1</v>
      </c>
      <c r="DP85" s="52" t="n">
        <v>0.36</v>
      </c>
      <c r="DQ85" s="52" t="n">
        <v>0.1</v>
      </c>
      <c r="DR85" s="52" t="n">
        <v>0.16</v>
      </c>
      <c r="DS85" s="52" t="n">
        <v>0.44</v>
      </c>
      <c r="DT85" s="52" t="n">
        <v>0.24</v>
      </c>
      <c r="DU85" s="52" t="n">
        <v>0.3</v>
      </c>
      <c r="DV85" s="52" t="n">
        <v>0.32</v>
      </c>
      <c r="DW85" s="52" t="n">
        <v>0.37</v>
      </c>
      <c r="DX85" s="52" t="n">
        <v>0.06</v>
      </c>
      <c r="DY85" s="52" t="n">
        <v>0.37</v>
      </c>
      <c r="DZ85" s="52" t="n">
        <v>0.25</v>
      </c>
      <c r="EA85" s="52" t="n">
        <v>0.27</v>
      </c>
      <c r="EB85" s="52" t="n">
        <v>0.31</v>
      </c>
      <c r="EC85" s="52" t="n">
        <v>-0.02</v>
      </c>
      <c r="ED85" s="52" t="n">
        <v>0.12</v>
      </c>
      <c r="EE85" s="52" t="n">
        <v>0.16</v>
      </c>
      <c r="EF85" s="52" t="n">
        <v>0.07</v>
      </c>
      <c r="EG85" s="52" t="n">
        <v>0.04</v>
      </c>
      <c r="EH85" s="52" t="n">
        <v>0.25</v>
      </c>
      <c r="EI85" s="52" t="n">
        <v>0.11</v>
      </c>
      <c r="EJ85" s="52" t="n">
        <v>0.24</v>
      </c>
      <c r="EK85" s="52" t="n">
        <v>0.15</v>
      </c>
      <c r="EL85" s="52" t="n">
        <v>0.17</v>
      </c>
      <c r="EM85" s="52" t="n">
        <v>0.22</v>
      </c>
      <c r="EN85" s="52" t="n">
        <v>0.25</v>
      </c>
      <c r="EO85" s="52" t="n">
        <v>0.11</v>
      </c>
    </row>
    <row r="86" customFormat="false" ht="15" hidden="false" customHeight="false" outlineLevel="0" collapsed="false">
      <c r="A86" s="51" t="s">
        <v>229</v>
      </c>
      <c r="B86" s="52" t="n">
        <v>0.07</v>
      </c>
      <c r="C86" s="52" t="n">
        <v>-0.03</v>
      </c>
      <c r="D86" s="52" t="n">
        <v>0.05</v>
      </c>
      <c r="E86" s="52" t="n">
        <v>0</v>
      </c>
      <c r="F86" s="52" t="n">
        <v>-0.08</v>
      </c>
      <c r="G86" s="52" t="n">
        <v>-0.02</v>
      </c>
      <c r="H86" s="52" t="n">
        <v>0.02</v>
      </c>
      <c r="I86" s="52" t="n">
        <v>-0.01</v>
      </c>
      <c r="J86" s="52" t="n">
        <v>0.01</v>
      </c>
      <c r="K86" s="52" t="n">
        <v>-0.04</v>
      </c>
      <c r="L86" s="52" t="n">
        <v>0.06</v>
      </c>
      <c r="M86" s="52" t="n">
        <v>0.1</v>
      </c>
      <c r="N86" s="52" t="n">
        <v>0.05</v>
      </c>
      <c r="O86" s="52" t="n">
        <v>-0.04</v>
      </c>
      <c r="P86" s="52" t="n">
        <v>0.09</v>
      </c>
      <c r="Q86" s="52" t="n">
        <v>0.02</v>
      </c>
      <c r="R86" s="52" t="n">
        <v>0.01</v>
      </c>
      <c r="S86" s="52" t="n">
        <v>-0.03</v>
      </c>
      <c r="T86" s="52" t="n">
        <v>0.28</v>
      </c>
      <c r="U86" s="52" t="n">
        <v>0.1</v>
      </c>
      <c r="V86" s="52" t="n">
        <v>0.05</v>
      </c>
      <c r="W86" s="52" t="n">
        <v>0.06</v>
      </c>
      <c r="X86" s="52" t="n">
        <v>0.27</v>
      </c>
      <c r="Y86" s="52" t="n">
        <v>0.12</v>
      </c>
      <c r="Z86" s="52" t="n">
        <v>-0.02</v>
      </c>
      <c r="AA86" s="52" t="n">
        <v>0.08</v>
      </c>
      <c r="AB86" s="52" t="n">
        <v>0.08</v>
      </c>
      <c r="AC86" s="52" t="n">
        <v>0.07</v>
      </c>
      <c r="AD86" s="52" t="n">
        <v>0.07</v>
      </c>
      <c r="AE86" s="52" t="n">
        <v>0.14</v>
      </c>
      <c r="AF86" s="52" t="n">
        <v>0.08</v>
      </c>
      <c r="AG86" s="52" t="n">
        <v>-0.02</v>
      </c>
      <c r="AH86" s="52" t="n">
        <v>-0.03</v>
      </c>
      <c r="AI86" s="52" t="n">
        <v>0.11</v>
      </c>
      <c r="AJ86" s="52" t="n">
        <v>0.08</v>
      </c>
      <c r="AK86" s="52" t="n">
        <v>0.05</v>
      </c>
      <c r="AL86" s="52" t="n">
        <v>0.21</v>
      </c>
      <c r="AM86" s="52" t="n">
        <v>0.13</v>
      </c>
      <c r="AN86" s="52" t="n">
        <v>0.09</v>
      </c>
      <c r="AO86" s="52" t="n">
        <v>0.09</v>
      </c>
      <c r="AP86" s="52" t="n">
        <v>0.01</v>
      </c>
      <c r="AQ86" s="52" t="n">
        <v>0.11</v>
      </c>
      <c r="AR86" s="52" t="n">
        <v>0.28</v>
      </c>
      <c r="AS86" s="52" t="n">
        <v>0.07</v>
      </c>
      <c r="AT86" s="52" t="n">
        <v>0.22</v>
      </c>
      <c r="AU86" s="52" t="n">
        <v>0.03</v>
      </c>
      <c r="AV86" s="52" t="n">
        <v>0.04</v>
      </c>
      <c r="AW86" s="52" t="n">
        <v>0.14</v>
      </c>
      <c r="AX86" s="52" t="n">
        <v>0.11</v>
      </c>
      <c r="AY86" s="52" t="n">
        <v>0.18</v>
      </c>
      <c r="AZ86" s="52" t="n">
        <v>0.16</v>
      </c>
      <c r="BA86" s="52" t="n">
        <v>0.17</v>
      </c>
      <c r="BB86" s="52" t="n">
        <v>0.39</v>
      </c>
      <c r="BC86" s="52" t="n">
        <v>0.06</v>
      </c>
      <c r="BD86" s="52" t="n">
        <v>0.12</v>
      </c>
      <c r="BE86" s="52" t="n">
        <v>0.06</v>
      </c>
      <c r="BF86" s="52" t="n">
        <v>0.05</v>
      </c>
      <c r="BG86" s="52" t="n">
        <v>0.08</v>
      </c>
      <c r="BH86" s="52" t="n">
        <v>0.1</v>
      </c>
      <c r="BI86" s="52" t="n">
        <v>0.02</v>
      </c>
      <c r="BJ86" s="52" t="n">
        <v>-0.05</v>
      </c>
      <c r="BK86" s="52" t="n">
        <v>0.19</v>
      </c>
      <c r="BL86" s="52" t="n">
        <v>0.23</v>
      </c>
      <c r="BM86" s="52" t="n">
        <v>0.13</v>
      </c>
      <c r="BN86" s="52" t="n">
        <v>0.05</v>
      </c>
      <c r="BO86" s="52" t="n">
        <v>0.17</v>
      </c>
      <c r="BP86" s="52" t="n">
        <v>0.08</v>
      </c>
      <c r="BQ86" s="52" t="n">
        <v>0.19</v>
      </c>
      <c r="BR86" s="52" t="n">
        <v>0.19</v>
      </c>
      <c r="BS86" s="52" t="n">
        <v>0.12</v>
      </c>
      <c r="BT86" s="52" t="n">
        <v>0.14</v>
      </c>
      <c r="BU86" s="52" t="n">
        <v>0.11</v>
      </c>
      <c r="BV86" s="52" t="n">
        <v>0.2</v>
      </c>
      <c r="BW86" s="52" t="n">
        <v>0.12</v>
      </c>
      <c r="BX86" s="52" t="n">
        <v>0</v>
      </c>
      <c r="BY86" s="52" t="n">
        <v>0.2</v>
      </c>
      <c r="BZ86" s="52" t="n">
        <v>0.11</v>
      </c>
      <c r="CA86" s="52" t="n">
        <v>0.06</v>
      </c>
      <c r="CB86" s="52" t="n">
        <v>-0.09</v>
      </c>
      <c r="CC86" s="52" t="n">
        <v>0.05</v>
      </c>
      <c r="CD86" s="52" t="n">
        <v>0.04</v>
      </c>
      <c r="CE86" s="52" t="n">
        <v>1</v>
      </c>
      <c r="CF86" s="52" t="n">
        <v>0.14</v>
      </c>
      <c r="CG86" s="52" t="n">
        <v>0.14</v>
      </c>
      <c r="CH86" s="52" t="n">
        <v>0.2</v>
      </c>
      <c r="CI86" s="52" t="n">
        <v>0.15</v>
      </c>
      <c r="CJ86" s="52" t="n">
        <v>0.02</v>
      </c>
      <c r="CK86" s="52" t="n">
        <v>0.05</v>
      </c>
      <c r="CL86" s="52" t="n">
        <v>0.18</v>
      </c>
      <c r="CM86" s="52" t="n">
        <v>0.3</v>
      </c>
      <c r="CN86" s="52" t="n">
        <v>0.05</v>
      </c>
      <c r="CO86" s="52" t="n">
        <v>0.06</v>
      </c>
      <c r="CP86" s="52" t="n">
        <v>0.05</v>
      </c>
      <c r="CQ86" s="52" t="n">
        <v>0.23</v>
      </c>
      <c r="CR86" s="52" t="n">
        <v>0.36</v>
      </c>
      <c r="CS86" s="52" t="n">
        <v>0.39</v>
      </c>
      <c r="CT86" s="52" t="n">
        <v>0.18</v>
      </c>
      <c r="CU86" s="52" t="n">
        <v>0.12</v>
      </c>
      <c r="CV86" s="52" t="n">
        <v>0.12</v>
      </c>
      <c r="CW86" s="52" t="n">
        <v>0.06</v>
      </c>
      <c r="CX86" s="52" t="n">
        <v>0.09</v>
      </c>
      <c r="CY86" s="52" t="n">
        <v>0.16</v>
      </c>
      <c r="CZ86" s="52" t="n">
        <v>0.17</v>
      </c>
      <c r="DA86" s="52" t="n">
        <v>0.02</v>
      </c>
      <c r="DB86" s="52" t="n">
        <v>0.24</v>
      </c>
      <c r="DC86" s="52" t="n">
        <v>0.07</v>
      </c>
      <c r="DD86" s="52" t="n">
        <v>0.22</v>
      </c>
      <c r="DE86" s="52" t="n">
        <v>0.32</v>
      </c>
      <c r="DF86" s="52" t="n">
        <v>0.01</v>
      </c>
      <c r="DG86" s="52" t="n">
        <v>0.15</v>
      </c>
      <c r="DH86" s="52" t="n">
        <v>0.38</v>
      </c>
      <c r="DI86" s="52" t="n">
        <v>0.14</v>
      </c>
      <c r="DJ86" s="52" t="n">
        <v>0.16</v>
      </c>
      <c r="DK86" s="52" t="n">
        <v>0.22</v>
      </c>
      <c r="DL86" s="52" t="n">
        <v>0.06</v>
      </c>
      <c r="DM86" s="52" t="n">
        <v>0.2</v>
      </c>
      <c r="DN86" s="52" t="n">
        <v>0.13</v>
      </c>
      <c r="DO86" s="52" t="n">
        <v>0.29</v>
      </c>
      <c r="DP86" s="52" t="n">
        <v>0.15</v>
      </c>
      <c r="DQ86" s="52" t="n">
        <v>0.24</v>
      </c>
      <c r="DR86" s="52" t="n">
        <v>0.16</v>
      </c>
      <c r="DS86" s="52" t="n">
        <v>0.07</v>
      </c>
      <c r="DT86" s="52" t="n">
        <v>0.24</v>
      </c>
      <c r="DU86" s="52" t="n">
        <v>0.23</v>
      </c>
      <c r="DV86" s="52" t="n">
        <v>0.21</v>
      </c>
      <c r="DW86" s="52" t="n">
        <v>0.14</v>
      </c>
      <c r="DX86" s="52" t="n">
        <v>0.39</v>
      </c>
      <c r="DY86" s="52" t="n">
        <v>0.23</v>
      </c>
      <c r="DZ86" s="52" t="n">
        <v>0.15</v>
      </c>
      <c r="EA86" s="52" t="n">
        <v>0.06</v>
      </c>
      <c r="EB86" s="52" t="n">
        <v>0.26</v>
      </c>
      <c r="EC86" s="52" t="n">
        <v>0.09</v>
      </c>
      <c r="ED86" s="52" t="n">
        <v>0.21</v>
      </c>
      <c r="EE86" s="52" t="n">
        <v>0.34</v>
      </c>
      <c r="EF86" s="52" t="n">
        <v>0.24</v>
      </c>
      <c r="EG86" s="52" t="n">
        <v>0.26</v>
      </c>
      <c r="EH86" s="52" t="n">
        <v>0.02</v>
      </c>
      <c r="EI86" s="52" t="n">
        <v>0.24</v>
      </c>
      <c r="EJ86" s="52" t="n">
        <v>0.09</v>
      </c>
      <c r="EK86" s="52" t="n">
        <v>0.27</v>
      </c>
      <c r="EL86" s="52" t="n">
        <v>0.21</v>
      </c>
      <c r="EM86" s="52" t="n">
        <v>0.07</v>
      </c>
      <c r="EN86" s="52" t="n">
        <v>0.05</v>
      </c>
      <c r="EO86" s="52" t="n">
        <v>0.1</v>
      </c>
    </row>
    <row r="87" customFormat="false" ht="15" hidden="false" customHeight="false" outlineLevel="0" collapsed="false">
      <c r="A87" s="51" t="s">
        <v>230</v>
      </c>
      <c r="B87" s="52" t="n">
        <v>0.08</v>
      </c>
      <c r="C87" s="52" t="n">
        <v>-0.04</v>
      </c>
      <c r="D87" s="52" t="n">
        <v>-0.04</v>
      </c>
      <c r="E87" s="52" t="n">
        <v>0.03</v>
      </c>
      <c r="F87" s="52" t="n">
        <v>0.23</v>
      </c>
      <c r="G87" s="52" t="n">
        <v>0.02</v>
      </c>
      <c r="H87" s="52" t="n">
        <v>-0.13</v>
      </c>
      <c r="I87" s="52" t="n">
        <v>0.06</v>
      </c>
      <c r="J87" s="52" t="n">
        <v>0.16</v>
      </c>
      <c r="K87" s="52" t="n">
        <v>0.01</v>
      </c>
      <c r="L87" s="52" t="n">
        <v>0</v>
      </c>
      <c r="M87" s="52" t="n">
        <v>-0.09</v>
      </c>
      <c r="N87" s="52" t="n">
        <v>0.08</v>
      </c>
      <c r="O87" s="52" t="n">
        <v>-0.02</v>
      </c>
      <c r="P87" s="52" t="n">
        <v>0.21</v>
      </c>
      <c r="Q87" s="52" t="n">
        <v>-0.06</v>
      </c>
      <c r="R87" s="52" t="n">
        <v>0.19</v>
      </c>
      <c r="S87" s="52" t="n">
        <v>-0.1</v>
      </c>
      <c r="T87" s="52" t="n">
        <v>0.01</v>
      </c>
      <c r="U87" s="52" t="n">
        <v>-0.09</v>
      </c>
      <c r="V87" s="52" t="n">
        <v>-0.1</v>
      </c>
      <c r="W87" s="52" t="n">
        <v>-0.01</v>
      </c>
      <c r="X87" s="52" t="n">
        <v>-0.02</v>
      </c>
      <c r="Y87" s="52" t="n">
        <v>0.03</v>
      </c>
      <c r="Z87" s="52" t="n">
        <v>-0.06</v>
      </c>
      <c r="AA87" s="52" t="n">
        <v>-0.07</v>
      </c>
      <c r="AB87" s="52" t="n">
        <v>0.02</v>
      </c>
      <c r="AC87" s="52" t="n">
        <v>-0.05</v>
      </c>
      <c r="AD87" s="52" t="n">
        <v>0.09</v>
      </c>
      <c r="AE87" s="52" t="n">
        <v>-0.22</v>
      </c>
      <c r="AF87" s="52" t="n">
        <v>-0.08</v>
      </c>
      <c r="AG87" s="52" t="n">
        <v>0.25</v>
      </c>
      <c r="AH87" s="52" t="n">
        <v>0.22</v>
      </c>
      <c r="AI87" s="52" t="n">
        <v>0.75</v>
      </c>
      <c r="AJ87" s="52" t="n">
        <v>-0.03</v>
      </c>
      <c r="AK87" s="52" t="n">
        <v>-0.19</v>
      </c>
      <c r="AL87" s="52" t="n">
        <v>0.01</v>
      </c>
      <c r="AM87" s="52" t="n">
        <v>-0.11</v>
      </c>
      <c r="AN87" s="52" t="n">
        <v>-0.17</v>
      </c>
      <c r="AO87" s="52" t="n">
        <v>0.07</v>
      </c>
      <c r="AP87" s="52" t="n">
        <v>-0.1</v>
      </c>
      <c r="AQ87" s="52" t="n">
        <v>0.78</v>
      </c>
      <c r="AR87" s="52" t="n">
        <v>0.05</v>
      </c>
      <c r="AS87" s="52" t="n">
        <v>-0.16</v>
      </c>
      <c r="AT87" s="52" t="n">
        <v>-0.07</v>
      </c>
      <c r="AU87" s="52" t="n">
        <v>0.13</v>
      </c>
      <c r="AV87" s="52" t="n">
        <v>-0.05</v>
      </c>
      <c r="AW87" s="52" t="n">
        <v>-0.08</v>
      </c>
      <c r="AX87" s="52" t="n">
        <v>0.07</v>
      </c>
      <c r="AY87" s="52" t="n">
        <v>0.04</v>
      </c>
      <c r="AZ87" s="52" t="n">
        <v>-0.18</v>
      </c>
      <c r="BA87" s="52" t="n">
        <v>-0.02</v>
      </c>
      <c r="BB87" s="52" t="n">
        <v>-0.13</v>
      </c>
      <c r="BC87" s="52" t="n">
        <v>-0.02</v>
      </c>
      <c r="BD87" s="52" t="n">
        <v>-0.13</v>
      </c>
      <c r="BE87" s="52" t="n">
        <v>0.1</v>
      </c>
      <c r="BF87" s="52" t="n">
        <v>0.03</v>
      </c>
      <c r="BG87" s="52" t="n">
        <v>-0.04</v>
      </c>
      <c r="BH87" s="52" t="n">
        <v>-0.18</v>
      </c>
      <c r="BI87" s="52" t="n">
        <v>0.01</v>
      </c>
      <c r="BJ87" s="52" t="n">
        <v>0.04</v>
      </c>
      <c r="BK87" s="52" t="n">
        <v>-0.09</v>
      </c>
      <c r="BL87" s="52" t="n">
        <v>-0.03</v>
      </c>
      <c r="BM87" s="52" t="n">
        <v>0.04</v>
      </c>
      <c r="BN87" s="52" t="n">
        <v>0.06</v>
      </c>
      <c r="BO87" s="52" t="n">
        <v>-0.13</v>
      </c>
      <c r="BP87" s="52" t="n">
        <v>-0.05</v>
      </c>
      <c r="BQ87" s="52" t="n">
        <v>-0.19</v>
      </c>
      <c r="BR87" s="52" t="n">
        <v>0.04</v>
      </c>
      <c r="BS87" s="52" t="n">
        <v>0.84</v>
      </c>
      <c r="BT87" s="52" t="n">
        <v>-0.28</v>
      </c>
      <c r="BU87" s="52" t="n">
        <v>-0.12</v>
      </c>
      <c r="BV87" s="52" t="n">
        <v>-0.07</v>
      </c>
      <c r="BW87" s="52" t="n">
        <v>0.07</v>
      </c>
      <c r="BX87" s="52" t="n">
        <v>0.02</v>
      </c>
      <c r="BY87" s="52" t="n">
        <v>-0.11</v>
      </c>
      <c r="BZ87" s="52" t="n">
        <v>-0.14</v>
      </c>
      <c r="CA87" s="52" t="n">
        <v>-0.07</v>
      </c>
      <c r="CB87" s="52" t="n">
        <v>0.16</v>
      </c>
      <c r="CC87" s="52" t="n">
        <v>0.02</v>
      </c>
      <c r="CD87" s="52" t="n">
        <v>-0.01</v>
      </c>
      <c r="CE87" s="52" t="n">
        <v>0.14</v>
      </c>
      <c r="CF87" s="52" t="n">
        <v>1</v>
      </c>
      <c r="CG87" s="52" t="n">
        <v>-0.09</v>
      </c>
      <c r="CH87" s="52" t="n">
        <v>-0.2</v>
      </c>
      <c r="CI87" s="52" t="n">
        <v>0.84</v>
      </c>
      <c r="CJ87" s="52" t="n">
        <v>0.05</v>
      </c>
      <c r="CK87" s="52" t="n">
        <v>0.02</v>
      </c>
      <c r="CL87" s="52" t="n">
        <v>-0.11</v>
      </c>
      <c r="CM87" s="52" t="n">
        <v>-0.12</v>
      </c>
      <c r="CN87" s="52" t="n">
        <v>0.02</v>
      </c>
      <c r="CO87" s="52" t="n">
        <v>-0.06</v>
      </c>
      <c r="CP87" s="52" t="n">
        <v>0.08</v>
      </c>
      <c r="CQ87" s="52" t="n">
        <v>-0.25</v>
      </c>
      <c r="CR87" s="52" t="n">
        <v>-0.12</v>
      </c>
      <c r="CS87" s="52" t="n">
        <v>-0.02</v>
      </c>
      <c r="CT87" s="52" t="n">
        <v>-0.05</v>
      </c>
      <c r="CU87" s="52" t="n">
        <v>-0.01</v>
      </c>
      <c r="CV87" s="52" t="n">
        <v>-0.18</v>
      </c>
      <c r="CW87" s="52" t="n">
        <v>-0.13</v>
      </c>
      <c r="CX87" s="52" t="n">
        <v>-0.12</v>
      </c>
      <c r="CY87" s="52" t="n">
        <v>-0.3</v>
      </c>
      <c r="CZ87" s="52" t="n">
        <v>0.1</v>
      </c>
      <c r="DA87" s="52" t="n">
        <v>-0.03</v>
      </c>
      <c r="DB87" s="52" t="n">
        <v>-0.11</v>
      </c>
      <c r="DC87" s="52" t="n">
        <v>-0.32</v>
      </c>
      <c r="DD87" s="52" t="n">
        <v>-0.11</v>
      </c>
      <c r="DE87" s="52" t="n">
        <v>-0.14</v>
      </c>
      <c r="DF87" s="52" t="n">
        <v>0.11</v>
      </c>
      <c r="DG87" s="52" t="n">
        <v>-0.11</v>
      </c>
      <c r="DH87" s="52" t="n">
        <v>-0.06</v>
      </c>
      <c r="DI87" s="52" t="n">
        <v>-0.33</v>
      </c>
      <c r="DJ87" s="52" t="n">
        <v>-0.19</v>
      </c>
      <c r="DK87" s="52" t="n">
        <v>-0.32</v>
      </c>
      <c r="DL87" s="52" t="n">
        <v>-0.25</v>
      </c>
      <c r="DM87" s="52" t="n">
        <v>-0.26</v>
      </c>
      <c r="DN87" s="52" t="n">
        <v>-0.02</v>
      </c>
      <c r="DO87" s="52" t="n">
        <v>0</v>
      </c>
      <c r="DP87" s="52" t="n">
        <v>-0.24</v>
      </c>
      <c r="DQ87" s="52" t="n">
        <v>0.02</v>
      </c>
      <c r="DR87" s="52" t="n">
        <v>0.05</v>
      </c>
      <c r="DS87" s="52" t="n">
        <v>0</v>
      </c>
      <c r="DT87" s="52" t="n">
        <v>-0.04</v>
      </c>
      <c r="DU87" s="52" t="n">
        <v>-0.13</v>
      </c>
      <c r="DV87" s="52" t="n">
        <v>-0.03</v>
      </c>
      <c r="DW87" s="52" t="n">
        <v>-0.18</v>
      </c>
      <c r="DX87" s="52" t="n">
        <v>-0.1</v>
      </c>
      <c r="DY87" s="52" t="n">
        <v>-0.14</v>
      </c>
      <c r="DZ87" s="52" t="n">
        <v>0.1</v>
      </c>
      <c r="EA87" s="52" t="n">
        <v>-0.14</v>
      </c>
      <c r="EB87" s="52" t="n">
        <v>-0.07</v>
      </c>
      <c r="EC87" s="52" t="n">
        <v>-0.09</v>
      </c>
      <c r="ED87" s="52" t="n">
        <v>-0.05</v>
      </c>
      <c r="EE87" s="52" t="n">
        <v>-0.1</v>
      </c>
      <c r="EF87" s="52" t="n">
        <v>0.02</v>
      </c>
      <c r="EG87" s="52" t="n">
        <v>-0.06</v>
      </c>
      <c r="EH87" s="52" t="n">
        <v>-0.04</v>
      </c>
      <c r="EI87" s="52" t="n">
        <v>-0.08</v>
      </c>
      <c r="EJ87" s="52" t="n">
        <v>-0.01</v>
      </c>
      <c r="EK87" s="52" t="n">
        <v>0.04</v>
      </c>
      <c r="EL87" s="52" t="n">
        <v>-0.14</v>
      </c>
      <c r="EM87" s="52" t="n">
        <v>0</v>
      </c>
      <c r="EN87" s="52" t="n">
        <v>-0.04</v>
      </c>
      <c r="EO87" s="52" t="n">
        <v>-0.05</v>
      </c>
    </row>
    <row r="88" customFormat="false" ht="15" hidden="false" customHeight="false" outlineLevel="0" collapsed="false">
      <c r="A88" s="51" t="s">
        <v>231</v>
      </c>
      <c r="B88" s="52" t="n">
        <v>0.24</v>
      </c>
      <c r="C88" s="52" t="n">
        <v>-0.03</v>
      </c>
      <c r="D88" s="52" t="n">
        <v>0.11</v>
      </c>
      <c r="E88" s="52" t="n">
        <v>0.03</v>
      </c>
      <c r="F88" s="52" t="n">
        <v>0.16</v>
      </c>
      <c r="G88" s="52" t="n">
        <v>0.05</v>
      </c>
      <c r="H88" s="52" t="n">
        <v>0.11</v>
      </c>
      <c r="I88" s="52" t="n">
        <v>0.29</v>
      </c>
      <c r="J88" s="52" t="n">
        <v>0.09</v>
      </c>
      <c r="K88" s="52" t="n">
        <v>0.18</v>
      </c>
      <c r="L88" s="52" t="n">
        <v>0.1</v>
      </c>
      <c r="M88" s="52" t="n">
        <v>0.35</v>
      </c>
      <c r="N88" s="52" t="n">
        <v>0.3</v>
      </c>
      <c r="O88" s="52" t="n">
        <v>0.02</v>
      </c>
      <c r="P88" s="52" t="n">
        <v>0.16</v>
      </c>
      <c r="Q88" s="52" t="n">
        <v>0.01</v>
      </c>
      <c r="R88" s="52" t="n">
        <v>0.14</v>
      </c>
      <c r="S88" s="52" t="n">
        <v>0.14</v>
      </c>
      <c r="T88" s="52" t="n">
        <v>0.38</v>
      </c>
      <c r="U88" s="52" t="n">
        <v>0.12</v>
      </c>
      <c r="V88" s="52" t="n">
        <v>0</v>
      </c>
      <c r="W88" s="52" t="n">
        <v>-0.03</v>
      </c>
      <c r="X88" s="52" t="n">
        <v>0.31</v>
      </c>
      <c r="Y88" s="52" t="n">
        <v>0.34</v>
      </c>
      <c r="Z88" s="52" t="n">
        <v>0.08</v>
      </c>
      <c r="AA88" s="52" t="n">
        <v>0.07</v>
      </c>
      <c r="AB88" s="52" t="n">
        <v>0.36</v>
      </c>
      <c r="AC88" s="52" t="n">
        <v>-0.09</v>
      </c>
      <c r="AD88" s="52" t="n">
        <v>-0.07</v>
      </c>
      <c r="AE88" s="52" t="n">
        <v>0.12</v>
      </c>
      <c r="AF88" s="52" t="n">
        <v>-0.04</v>
      </c>
      <c r="AG88" s="52" t="n">
        <v>0.04</v>
      </c>
      <c r="AH88" s="52" t="n">
        <v>0.05</v>
      </c>
      <c r="AI88" s="52" t="n">
        <v>-0.1</v>
      </c>
      <c r="AJ88" s="52" t="n">
        <v>0.06</v>
      </c>
      <c r="AK88" s="52" t="n">
        <v>-0.01</v>
      </c>
      <c r="AL88" s="52" t="n">
        <v>0.33</v>
      </c>
      <c r="AM88" s="52" t="n">
        <v>0.11</v>
      </c>
      <c r="AN88" s="52" t="n">
        <v>0.42</v>
      </c>
      <c r="AO88" s="52" t="n">
        <v>0.11</v>
      </c>
      <c r="AP88" s="52" t="n">
        <v>0.37</v>
      </c>
      <c r="AQ88" s="52" t="n">
        <v>-0.15</v>
      </c>
      <c r="AR88" s="52" t="n">
        <v>0.32</v>
      </c>
      <c r="AS88" s="52" t="n">
        <v>0.06</v>
      </c>
      <c r="AT88" s="52" t="n">
        <v>0.43</v>
      </c>
      <c r="AU88" s="52" t="n">
        <v>0.08</v>
      </c>
      <c r="AV88" s="52" t="n">
        <v>0.07</v>
      </c>
      <c r="AW88" s="52" t="n">
        <v>0.12</v>
      </c>
      <c r="AX88" s="52" t="n">
        <v>0.21</v>
      </c>
      <c r="AY88" s="52" t="n">
        <v>0.31</v>
      </c>
      <c r="AZ88" s="52" t="n">
        <v>0.17</v>
      </c>
      <c r="BA88" s="52" t="n">
        <v>0.26</v>
      </c>
      <c r="BB88" s="52" t="n">
        <v>0.38</v>
      </c>
      <c r="BC88" s="52" t="n">
        <v>0.11</v>
      </c>
      <c r="BD88" s="52" t="n">
        <v>0.09</v>
      </c>
      <c r="BE88" s="52" t="n">
        <v>0.12</v>
      </c>
      <c r="BF88" s="52" t="n">
        <v>0.1</v>
      </c>
      <c r="BG88" s="52" t="n">
        <v>0.34</v>
      </c>
      <c r="BH88" s="52" t="n">
        <v>0.15</v>
      </c>
      <c r="BI88" s="52" t="n">
        <v>0.09</v>
      </c>
      <c r="BJ88" s="52" t="n">
        <v>-0.03</v>
      </c>
      <c r="BK88" s="52" t="n">
        <v>0.09</v>
      </c>
      <c r="BL88" s="52" t="n">
        <v>0.22</v>
      </c>
      <c r="BM88" s="52" t="n">
        <v>0.29</v>
      </c>
      <c r="BN88" s="52" t="n">
        <v>0.1</v>
      </c>
      <c r="BO88" s="52" t="n">
        <v>0.33</v>
      </c>
      <c r="BP88" s="52" t="n">
        <v>0.31</v>
      </c>
      <c r="BQ88" s="52" t="n">
        <v>0.15</v>
      </c>
      <c r="BR88" s="52" t="n">
        <v>0.41</v>
      </c>
      <c r="BS88" s="52" t="n">
        <v>-0.08</v>
      </c>
      <c r="BT88" s="52" t="n">
        <v>0.24</v>
      </c>
      <c r="BU88" s="52" t="n">
        <v>0.16</v>
      </c>
      <c r="BV88" s="52" t="n">
        <v>0.38</v>
      </c>
      <c r="BW88" s="52" t="n">
        <v>0.27</v>
      </c>
      <c r="BX88" s="52" t="n">
        <v>0.18</v>
      </c>
      <c r="BY88" s="52" t="n">
        <v>0.34</v>
      </c>
      <c r="BZ88" s="52" t="n">
        <v>0.28</v>
      </c>
      <c r="CA88" s="52" t="n">
        <v>0.03</v>
      </c>
      <c r="CB88" s="52" t="n">
        <v>-0.06</v>
      </c>
      <c r="CC88" s="52" t="n">
        <v>0.18</v>
      </c>
      <c r="CD88" s="52" t="n">
        <v>0.49</v>
      </c>
      <c r="CE88" s="52" t="n">
        <v>0.14</v>
      </c>
      <c r="CF88" s="52" t="n">
        <v>-0.09</v>
      </c>
      <c r="CG88" s="52" t="n">
        <v>1</v>
      </c>
      <c r="CH88" s="52" t="n">
        <v>0.13</v>
      </c>
      <c r="CI88" s="52" t="n">
        <v>-0.08</v>
      </c>
      <c r="CJ88" s="52" t="n">
        <v>0.28</v>
      </c>
      <c r="CK88" s="52" t="n">
        <v>0.39</v>
      </c>
      <c r="CL88" s="52" t="n">
        <v>0.25</v>
      </c>
      <c r="CM88" s="52" t="n">
        <v>0.15</v>
      </c>
      <c r="CN88" s="52" t="n">
        <v>-0.03</v>
      </c>
      <c r="CO88" s="52" t="n">
        <v>0.11</v>
      </c>
      <c r="CP88" s="52" t="n">
        <v>0.23</v>
      </c>
      <c r="CQ88" s="52" t="n">
        <v>0.38</v>
      </c>
      <c r="CR88" s="52" t="n">
        <v>0.15</v>
      </c>
      <c r="CS88" s="52" t="n">
        <v>0.05</v>
      </c>
      <c r="CT88" s="52" t="n">
        <v>0.41</v>
      </c>
      <c r="CU88" s="52" t="n">
        <v>0.15</v>
      </c>
      <c r="CV88" s="52" t="n">
        <v>0.27</v>
      </c>
      <c r="CW88" s="52" t="n">
        <v>0.32</v>
      </c>
      <c r="CX88" s="52" t="n">
        <v>0.24</v>
      </c>
      <c r="CY88" s="52" t="n">
        <v>0.35</v>
      </c>
      <c r="CZ88" s="52" t="n">
        <v>0.31</v>
      </c>
      <c r="DA88" s="52" t="n">
        <v>0.37</v>
      </c>
      <c r="DB88" s="52" t="n">
        <v>0.23</v>
      </c>
      <c r="DC88" s="52" t="n">
        <v>0.23</v>
      </c>
      <c r="DD88" s="52" t="n">
        <v>0.47</v>
      </c>
      <c r="DE88" s="52" t="n">
        <v>0.15</v>
      </c>
      <c r="DF88" s="52" t="n">
        <v>0.37</v>
      </c>
      <c r="DG88" s="52" t="n">
        <v>0.19</v>
      </c>
      <c r="DH88" s="52" t="n">
        <v>0.16</v>
      </c>
      <c r="DI88" s="52" t="n">
        <v>0.38</v>
      </c>
      <c r="DJ88" s="52" t="n">
        <v>0.39</v>
      </c>
      <c r="DK88" s="52" t="n">
        <v>0.39</v>
      </c>
      <c r="DL88" s="52" t="n">
        <v>0.06</v>
      </c>
      <c r="DM88" s="52" t="n">
        <v>0.46</v>
      </c>
      <c r="DN88" s="52" t="n">
        <v>0.41</v>
      </c>
      <c r="DO88" s="52" t="n">
        <v>0.21</v>
      </c>
      <c r="DP88" s="52" t="n">
        <v>0.43</v>
      </c>
      <c r="DQ88" s="52" t="n">
        <v>0.07</v>
      </c>
      <c r="DR88" s="52" t="n">
        <v>0.06</v>
      </c>
      <c r="DS88" s="52" t="n">
        <v>0.34</v>
      </c>
      <c r="DT88" s="52" t="n">
        <v>0.22</v>
      </c>
      <c r="DU88" s="52" t="n">
        <v>0.29</v>
      </c>
      <c r="DV88" s="52" t="n">
        <v>0.3</v>
      </c>
      <c r="DW88" s="52" t="n">
        <v>0.5</v>
      </c>
      <c r="DX88" s="52" t="n">
        <v>0.08</v>
      </c>
      <c r="DY88" s="52" t="n">
        <v>0.45</v>
      </c>
      <c r="DZ88" s="52" t="n">
        <v>0.42</v>
      </c>
      <c r="EA88" s="52" t="n">
        <v>0.3</v>
      </c>
      <c r="EB88" s="52" t="n">
        <v>0.42</v>
      </c>
      <c r="EC88" s="52" t="n">
        <v>0</v>
      </c>
      <c r="ED88" s="52" t="n">
        <v>0.3</v>
      </c>
      <c r="EE88" s="52" t="n">
        <v>0.07</v>
      </c>
      <c r="EF88" s="52" t="n">
        <v>0.08</v>
      </c>
      <c r="EG88" s="52" t="n">
        <v>0.09</v>
      </c>
      <c r="EH88" s="52" t="n">
        <v>0.31</v>
      </c>
      <c r="EI88" s="52" t="n">
        <v>0.04</v>
      </c>
      <c r="EJ88" s="52" t="n">
        <v>0.2</v>
      </c>
      <c r="EK88" s="52" t="n">
        <v>0.09</v>
      </c>
      <c r="EL88" s="52" t="n">
        <v>0.07</v>
      </c>
      <c r="EM88" s="52" t="n">
        <v>0.12</v>
      </c>
      <c r="EN88" s="52" t="n">
        <v>0.24</v>
      </c>
      <c r="EO88" s="52" t="n">
        <v>0.17</v>
      </c>
    </row>
    <row r="89" customFormat="false" ht="15" hidden="false" customHeight="false" outlineLevel="0" collapsed="false">
      <c r="A89" s="51" t="s">
        <v>49</v>
      </c>
      <c r="B89" s="52" t="n">
        <v>-0.08</v>
      </c>
      <c r="C89" s="52" t="n">
        <v>0.13</v>
      </c>
      <c r="D89" s="52" t="n">
        <v>0.04</v>
      </c>
      <c r="E89" s="52" t="n">
        <v>0.18</v>
      </c>
      <c r="F89" s="52" t="n">
        <v>-0.07</v>
      </c>
      <c r="G89" s="52" t="n">
        <v>0.17</v>
      </c>
      <c r="H89" s="52" t="n">
        <v>0.26</v>
      </c>
      <c r="I89" s="52" t="n">
        <v>0.02</v>
      </c>
      <c r="J89" s="52" t="n">
        <v>0</v>
      </c>
      <c r="K89" s="52" t="n">
        <v>0.02</v>
      </c>
      <c r="L89" s="52" t="n">
        <v>0.17</v>
      </c>
      <c r="M89" s="52" t="n">
        <v>0.34</v>
      </c>
      <c r="N89" s="52" t="n">
        <v>0.1</v>
      </c>
      <c r="O89" s="52" t="n">
        <v>0.36</v>
      </c>
      <c r="P89" s="52" t="n">
        <v>-0.03</v>
      </c>
      <c r="Q89" s="52" t="n">
        <v>0.11</v>
      </c>
      <c r="R89" s="52" t="n">
        <v>0.03</v>
      </c>
      <c r="S89" s="52" t="n">
        <v>0.15</v>
      </c>
      <c r="T89" s="52" t="n">
        <v>0.19</v>
      </c>
      <c r="U89" s="52" t="n">
        <v>0.41</v>
      </c>
      <c r="V89" s="52" t="n">
        <v>0.39</v>
      </c>
      <c r="W89" s="52" t="n">
        <v>0.25</v>
      </c>
      <c r="X89" s="52" t="n">
        <v>0.24</v>
      </c>
      <c r="Y89" s="52" t="n">
        <v>0.06</v>
      </c>
      <c r="Z89" s="52" t="n">
        <v>0.34</v>
      </c>
      <c r="AA89" s="52" t="n">
        <v>0.19</v>
      </c>
      <c r="AB89" s="52" t="n">
        <v>0.01</v>
      </c>
      <c r="AC89" s="52" t="n">
        <v>0.22</v>
      </c>
      <c r="AD89" s="52" t="n">
        <v>0.25</v>
      </c>
      <c r="AE89" s="52" t="n">
        <v>0.37</v>
      </c>
      <c r="AF89" s="52" t="n">
        <v>0.51</v>
      </c>
      <c r="AG89" s="52" t="n">
        <v>-0.13</v>
      </c>
      <c r="AH89" s="52" t="n">
        <v>-0.13</v>
      </c>
      <c r="AI89" s="52" t="n">
        <v>-0.21</v>
      </c>
      <c r="AJ89" s="52" t="n">
        <v>0.2</v>
      </c>
      <c r="AK89" s="52" t="n">
        <v>0.5</v>
      </c>
      <c r="AL89" s="52" t="n">
        <v>0.12</v>
      </c>
      <c r="AM89" s="52" t="n">
        <v>0.2</v>
      </c>
      <c r="AN89" s="52" t="n">
        <v>0.19</v>
      </c>
      <c r="AO89" s="52" t="n">
        <v>0</v>
      </c>
      <c r="AP89" s="52" t="n">
        <v>0.18</v>
      </c>
      <c r="AQ89" s="52" t="n">
        <v>-0.13</v>
      </c>
      <c r="AR89" s="52" t="n">
        <v>0.14</v>
      </c>
      <c r="AS89" s="52" t="n">
        <v>0.42</v>
      </c>
      <c r="AT89" s="52" t="n">
        <v>0.14</v>
      </c>
      <c r="AU89" s="52" t="n">
        <v>0</v>
      </c>
      <c r="AV89" s="52" t="n">
        <v>0.3</v>
      </c>
      <c r="AW89" s="52" t="n">
        <v>0.42</v>
      </c>
      <c r="AX89" s="52" t="n">
        <v>0.06</v>
      </c>
      <c r="AY89" s="52" t="n">
        <v>0.15</v>
      </c>
      <c r="AZ89" s="52" t="n">
        <v>0.36</v>
      </c>
      <c r="BA89" s="52" t="n">
        <v>0.28</v>
      </c>
      <c r="BB89" s="52" t="n">
        <v>0.29</v>
      </c>
      <c r="BC89" s="52" t="n">
        <v>0.14</v>
      </c>
      <c r="BD89" s="52" t="n">
        <v>0.36</v>
      </c>
      <c r="BE89" s="52" t="n">
        <v>0.14</v>
      </c>
      <c r="BF89" s="52" t="n">
        <v>0.24</v>
      </c>
      <c r="BG89" s="52" t="n">
        <v>0.12</v>
      </c>
      <c r="BH89" s="52" t="n">
        <v>0.28</v>
      </c>
      <c r="BI89" s="52" t="n">
        <v>0.15</v>
      </c>
      <c r="BJ89" s="52" t="n">
        <v>0.14</v>
      </c>
      <c r="BK89" s="52" t="n">
        <v>0.24</v>
      </c>
      <c r="BL89" s="52" t="n">
        <v>0.44</v>
      </c>
      <c r="BM89" s="52" t="n">
        <v>0.02</v>
      </c>
      <c r="BN89" s="52" t="n">
        <v>0.05</v>
      </c>
      <c r="BO89" s="52" t="n">
        <v>0.24</v>
      </c>
      <c r="BP89" s="52" t="n">
        <v>0.01</v>
      </c>
      <c r="BQ89" s="52" t="n">
        <v>0.47</v>
      </c>
      <c r="BR89" s="52" t="n">
        <v>0.15</v>
      </c>
      <c r="BS89" s="52" t="n">
        <v>-0.15</v>
      </c>
      <c r="BT89" s="52" t="n">
        <v>0.33</v>
      </c>
      <c r="BU89" s="52" t="n">
        <v>0.25</v>
      </c>
      <c r="BV89" s="52" t="n">
        <v>0.12</v>
      </c>
      <c r="BW89" s="52" t="n">
        <v>0.11</v>
      </c>
      <c r="BX89" s="52" t="n">
        <v>-0.03</v>
      </c>
      <c r="BY89" s="52" t="n">
        <v>0.22</v>
      </c>
      <c r="BZ89" s="52" t="n">
        <v>0.19</v>
      </c>
      <c r="CA89" s="52" t="n">
        <v>0.36</v>
      </c>
      <c r="CB89" s="52" t="n">
        <v>-0.07</v>
      </c>
      <c r="CC89" s="52" t="n">
        <v>0.09</v>
      </c>
      <c r="CD89" s="52" t="n">
        <v>0.12</v>
      </c>
      <c r="CE89" s="52" t="n">
        <v>0.2</v>
      </c>
      <c r="CF89" s="52" t="n">
        <v>-0.2</v>
      </c>
      <c r="CG89" s="52" t="n">
        <v>0.13</v>
      </c>
      <c r="CH89" s="52" t="n">
        <v>1</v>
      </c>
      <c r="CI89" s="52" t="n">
        <v>-0.15</v>
      </c>
      <c r="CJ89" s="52" t="n">
        <v>-0.02</v>
      </c>
      <c r="CK89" s="52" t="n">
        <v>0.1</v>
      </c>
      <c r="CL89" s="52" t="n">
        <v>0.24</v>
      </c>
      <c r="CM89" s="52" t="n">
        <v>0.28</v>
      </c>
      <c r="CN89" s="52" t="n">
        <v>0.31</v>
      </c>
      <c r="CO89" s="52" t="n">
        <v>0.2</v>
      </c>
      <c r="CP89" s="52" t="n">
        <v>-0.01</v>
      </c>
      <c r="CQ89" s="52" t="n">
        <v>0.26</v>
      </c>
      <c r="CR89" s="52" t="n">
        <v>0.41</v>
      </c>
      <c r="CS89" s="52" t="n">
        <v>0.45</v>
      </c>
      <c r="CT89" s="52" t="n">
        <v>0.28</v>
      </c>
      <c r="CU89" s="52" t="n">
        <v>0.27</v>
      </c>
      <c r="CV89" s="52" t="n">
        <v>0.2</v>
      </c>
      <c r="CW89" s="52" t="n">
        <v>0.2</v>
      </c>
      <c r="CX89" s="52" t="n">
        <v>0.29</v>
      </c>
      <c r="CY89" s="52" t="n">
        <v>0.32</v>
      </c>
      <c r="CZ89" s="52" t="n">
        <v>0.05</v>
      </c>
      <c r="DA89" s="52" t="n">
        <v>-0.04</v>
      </c>
      <c r="DB89" s="52" t="n">
        <v>0.36</v>
      </c>
      <c r="DC89" s="52" t="n">
        <v>0.31</v>
      </c>
      <c r="DD89" s="52" t="n">
        <v>0.17</v>
      </c>
      <c r="DE89" s="52" t="n">
        <v>0.72</v>
      </c>
      <c r="DF89" s="52" t="n">
        <v>-0.11</v>
      </c>
      <c r="DG89" s="52" t="n">
        <v>0.59</v>
      </c>
      <c r="DH89" s="52" t="n">
        <v>0.3</v>
      </c>
      <c r="DI89" s="52" t="n">
        <v>0.24</v>
      </c>
      <c r="DJ89" s="52" t="n">
        <v>0.25</v>
      </c>
      <c r="DK89" s="52" t="n">
        <v>0.28</v>
      </c>
      <c r="DL89" s="52" t="n">
        <v>0.6</v>
      </c>
      <c r="DM89" s="52" t="n">
        <v>0.32</v>
      </c>
      <c r="DN89" s="52" t="n">
        <v>0.06</v>
      </c>
      <c r="DO89" s="52" t="n">
        <v>0.27</v>
      </c>
      <c r="DP89" s="52" t="n">
        <v>0.25</v>
      </c>
      <c r="DQ89" s="52" t="n">
        <v>0.17</v>
      </c>
      <c r="DR89" s="52" t="n">
        <v>0.41</v>
      </c>
      <c r="DS89" s="52" t="n">
        <v>-0.1</v>
      </c>
      <c r="DT89" s="52" t="n">
        <v>0.22</v>
      </c>
      <c r="DU89" s="52" t="n">
        <v>0.26</v>
      </c>
      <c r="DV89" s="52" t="n">
        <v>0.2</v>
      </c>
      <c r="DW89" s="52" t="n">
        <v>0.13</v>
      </c>
      <c r="DX89" s="52" t="n">
        <v>0.43</v>
      </c>
      <c r="DY89" s="52" t="n">
        <v>0.16</v>
      </c>
      <c r="DZ89" s="52" t="n">
        <v>-0.02</v>
      </c>
      <c r="EA89" s="52" t="n">
        <v>0.31</v>
      </c>
      <c r="EB89" s="52" t="n">
        <v>0.15</v>
      </c>
      <c r="EC89" s="52" t="n">
        <v>0.3</v>
      </c>
      <c r="ED89" s="52" t="n">
        <v>0.3</v>
      </c>
      <c r="EE89" s="52" t="n">
        <v>0.37</v>
      </c>
      <c r="EF89" s="52" t="n">
        <v>0.33</v>
      </c>
      <c r="EG89" s="52" t="n">
        <v>0.34</v>
      </c>
      <c r="EH89" s="52" t="n">
        <v>-0.07</v>
      </c>
      <c r="EI89" s="52" t="n">
        <v>0.38</v>
      </c>
      <c r="EJ89" s="52" t="n">
        <v>0.22</v>
      </c>
      <c r="EK89" s="52" t="n">
        <v>0.35</v>
      </c>
      <c r="EL89" s="52" t="n">
        <v>0.46</v>
      </c>
      <c r="EM89" s="52" t="n">
        <v>0.18</v>
      </c>
      <c r="EN89" s="52" t="n">
        <v>0.16</v>
      </c>
      <c r="EO89" s="52" t="n">
        <v>0.1</v>
      </c>
    </row>
    <row r="90" customFormat="false" ht="15" hidden="false" customHeight="false" outlineLevel="0" collapsed="false">
      <c r="A90" s="51" t="s">
        <v>232</v>
      </c>
      <c r="B90" s="52" t="n">
        <v>0.09</v>
      </c>
      <c r="C90" s="52" t="n">
        <v>-0.06</v>
      </c>
      <c r="D90" s="52" t="n">
        <v>-0.07</v>
      </c>
      <c r="E90" s="52" t="n">
        <v>-0.05</v>
      </c>
      <c r="F90" s="52" t="n">
        <v>0.18</v>
      </c>
      <c r="G90" s="52" t="n">
        <v>-0.02</v>
      </c>
      <c r="H90" s="52" t="n">
        <v>-0.13</v>
      </c>
      <c r="I90" s="52" t="n">
        <v>0.11</v>
      </c>
      <c r="J90" s="52" t="n">
        <v>0.15</v>
      </c>
      <c r="K90" s="52" t="n">
        <v>0</v>
      </c>
      <c r="L90" s="52" t="n">
        <v>-0.02</v>
      </c>
      <c r="M90" s="52" t="n">
        <v>-0.12</v>
      </c>
      <c r="N90" s="52" t="n">
        <v>0.08</v>
      </c>
      <c r="O90" s="52" t="n">
        <v>-0.05</v>
      </c>
      <c r="P90" s="52" t="n">
        <v>0.22</v>
      </c>
      <c r="Q90" s="52" t="n">
        <v>-0.05</v>
      </c>
      <c r="R90" s="52" t="n">
        <v>0.18</v>
      </c>
      <c r="S90" s="52" t="n">
        <v>-0.16</v>
      </c>
      <c r="T90" s="52" t="n">
        <v>-0.03</v>
      </c>
      <c r="U90" s="52" t="n">
        <v>-0.08</v>
      </c>
      <c r="V90" s="52" t="n">
        <v>-0.14</v>
      </c>
      <c r="W90" s="52" t="n">
        <v>-0.03</v>
      </c>
      <c r="X90" s="52" t="n">
        <v>0</v>
      </c>
      <c r="Y90" s="52" t="n">
        <v>0.04</v>
      </c>
      <c r="Z90" s="52" t="n">
        <v>-0.1</v>
      </c>
      <c r="AA90" s="52" t="n">
        <v>-0.15</v>
      </c>
      <c r="AB90" s="52" t="n">
        <v>0.03</v>
      </c>
      <c r="AC90" s="52" t="n">
        <v>0</v>
      </c>
      <c r="AD90" s="52" t="n">
        <v>0</v>
      </c>
      <c r="AE90" s="52" t="n">
        <v>-0.25</v>
      </c>
      <c r="AF90" s="52" t="n">
        <v>-0.11</v>
      </c>
      <c r="AG90" s="52" t="n">
        <v>0.26</v>
      </c>
      <c r="AH90" s="52" t="n">
        <v>0.24</v>
      </c>
      <c r="AI90" s="52" t="n">
        <v>0.77</v>
      </c>
      <c r="AJ90" s="52" t="n">
        <v>0</v>
      </c>
      <c r="AK90" s="52" t="n">
        <v>-0.18</v>
      </c>
      <c r="AL90" s="52" t="n">
        <v>-0.05</v>
      </c>
      <c r="AM90" s="52" t="n">
        <v>-0.13</v>
      </c>
      <c r="AN90" s="52" t="n">
        <v>-0.18</v>
      </c>
      <c r="AO90" s="52" t="n">
        <v>0.1</v>
      </c>
      <c r="AP90" s="52" t="n">
        <v>-0.07</v>
      </c>
      <c r="AQ90" s="52" t="n">
        <v>0.78</v>
      </c>
      <c r="AR90" s="52" t="n">
        <v>0.04</v>
      </c>
      <c r="AS90" s="52" t="n">
        <v>-0.21</v>
      </c>
      <c r="AT90" s="52" t="n">
        <v>-0.06</v>
      </c>
      <c r="AU90" s="52" t="n">
        <v>0.1</v>
      </c>
      <c r="AV90" s="52" t="n">
        <v>-0.03</v>
      </c>
      <c r="AW90" s="52" t="n">
        <v>-0.07</v>
      </c>
      <c r="AX90" s="52" t="n">
        <v>0.08</v>
      </c>
      <c r="AY90" s="52" t="n">
        <v>0.06</v>
      </c>
      <c r="AZ90" s="52" t="n">
        <v>-0.22</v>
      </c>
      <c r="BA90" s="52" t="n">
        <v>-0.02</v>
      </c>
      <c r="BB90" s="52" t="n">
        <v>-0.13</v>
      </c>
      <c r="BC90" s="52" t="n">
        <v>-0.04</v>
      </c>
      <c r="BD90" s="52" t="n">
        <v>-0.19</v>
      </c>
      <c r="BE90" s="52" t="n">
        <v>0.07</v>
      </c>
      <c r="BF90" s="52" t="n">
        <v>-0.04</v>
      </c>
      <c r="BG90" s="52" t="n">
        <v>-0.01</v>
      </c>
      <c r="BH90" s="52" t="n">
        <v>-0.16</v>
      </c>
      <c r="BI90" s="52" t="n">
        <v>0</v>
      </c>
      <c r="BJ90" s="52" t="n">
        <v>0.05</v>
      </c>
      <c r="BK90" s="52" t="n">
        <v>-0.14</v>
      </c>
      <c r="BL90" s="52" t="n">
        <v>-0.01</v>
      </c>
      <c r="BM90" s="52" t="n">
        <v>0.06</v>
      </c>
      <c r="BN90" s="52" t="n">
        <v>0.07</v>
      </c>
      <c r="BO90" s="52" t="n">
        <v>-0.15</v>
      </c>
      <c r="BP90" s="52" t="n">
        <v>-0.02</v>
      </c>
      <c r="BQ90" s="52" t="n">
        <v>-0.18</v>
      </c>
      <c r="BR90" s="52" t="n">
        <v>0</v>
      </c>
      <c r="BS90" s="52" t="n">
        <v>0.81</v>
      </c>
      <c r="BT90" s="52" t="n">
        <v>-0.26</v>
      </c>
      <c r="BU90" s="52" t="n">
        <v>-0.11</v>
      </c>
      <c r="BV90" s="52" t="n">
        <v>-0.08</v>
      </c>
      <c r="BW90" s="52" t="n">
        <v>0.01</v>
      </c>
      <c r="BX90" s="52" t="n">
        <v>0.04</v>
      </c>
      <c r="BY90" s="52" t="n">
        <v>-0.1</v>
      </c>
      <c r="BZ90" s="52" t="n">
        <v>-0.19</v>
      </c>
      <c r="CA90" s="52" t="n">
        <v>-0.11</v>
      </c>
      <c r="CB90" s="52" t="n">
        <v>0.16</v>
      </c>
      <c r="CC90" s="52" t="n">
        <v>0.04</v>
      </c>
      <c r="CD90" s="52" t="n">
        <v>0.01</v>
      </c>
      <c r="CE90" s="52" t="n">
        <v>0.15</v>
      </c>
      <c r="CF90" s="52" t="n">
        <v>0.84</v>
      </c>
      <c r="CG90" s="52" t="n">
        <v>-0.08</v>
      </c>
      <c r="CH90" s="52" t="n">
        <v>-0.15</v>
      </c>
      <c r="CI90" s="52" t="n">
        <v>1</v>
      </c>
      <c r="CJ90" s="52" t="n">
        <v>0.08</v>
      </c>
      <c r="CK90" s="52" t="n">
        <v>0.05</v>
      </c>
      <c r="CL90" s="52" t="n">
        <v>-0.1</v>
      </c>
      <c r="CM90" s="52" t="n">
        <v>-0.09</v>
      </c>
      <c r="CN90" s="52" t="n">
        <v>0.03</v>
      </c>
      <c r="CO90" s="52" t="n">
        <v>-0.09</v>
      </c>
      <c r="CP90" s="52" t="n">
        <v>0.03</v>
      </c>
      <c r="CQ90" s="52" t="n">
        <v>-0.27</v>
      </c>
      <c r="CR90" s="52" t="n">
        <v>-0.16</v>
      </c>
      <c r="CS90" s="52" t="n">
        <v>-0.04</v>
      </c>
      <c r="CT90" s="52" t="n">
        <v>-0.07</v>
      </c>
      <c r="CU90" s="52" t="n">
        <v>-0.03</v>
      </c>
      <c r="CV90" s="52" t="n">
        <v>-0.16</v>
      </c>
      <c r="CW90" s="52" t="n">
        <v>-0.12</v>
      </c>
      <c r="CX90" s="52" t="n">
        <v>-0.13</v>
      </c>
      <c r="CY90" s="52" t="n">
        <v>-0.31</v>
      </c>
      <c r="CZ90" s="52" t="n">
        <v>0.09</v>
      </c>
      <c r="DA90" s="52" t="n">
        <v>-0.01</v>
      </c>
      <c r="DB90" s="52" t="n">
        <v>-0.13</v>
      </c>
      <c r="DC90" s="52" t="n">
        <v>-0.34</v>
      </c>
      <c r="DD90" s="52" t="n">
        <v>-0.11</v>
      </c>
      <c r="DE90" s="52" t="n">
        <v>-0.1</v>
      </c>
      <c r="DF90" s="52" t="n">
        <v>0.13</v>
      </c>
      <c r="DG90" s="52" t="n">
        <v>-0.07</v>
      </c>
      <c r="DH90" s="52" t="n">
        <v>-0.06</v>
      </c>
      <c r="DI90" s="52" t="n">
        <v>-0.33</v>
      </c>
      <c r="DJ90" s="52" t="n">
        <v>-0.17</v>
      </c>
      <c r="DK90" s="52" t="n">
        <v>-0.33</v>
      </c>
      <c r="DL90" s="52" t="n">
        <v>-0.18</v>
      </c>
      <c r="DM90" s="52" t="n">
        <v>-0.3</v>
      </c>
      <c r="DN90" s="52" t="n">
        <v>0.04</v>
      </c>
      <c r="DO90" s="52" t="n">
        <v>0.01</v>
      </c>
      <c r="DP90" s="52" t="n">
        <v>-0.24</v>
      </c>
      <c r="DQ90" s="52" t="n">
        <v>0</v>
      </c>
      <c r="DR90" s="52" t="n">
        <v>0.11</v>
      </c>
      <c r="DS90" s="52" t="n">
        <v>0.02</v>
      </c>
      <c r="DT90" s="52" t="n">
        <v>-0.02</v>
      </c>
      <c r="DU90" s="52" t="n">
        <v>-0.15</v>
      </c>
      <c r="DV90" s="52" t="n">
        <v>0.03</v>
      </c>
      <c r="DW90" s="52" t="n">
        <v>-0.12</v>
      </c>
      <c r="DX90" s="52" t="n">
        <v>-0.12</v>
      </c>
      <c r="DY90" s="52" t="n">
        <v>-0.15</v>
      </c>
      <c r="DZ90" s="52" t="n">
        <v>0.06</v>
      </c>
      <c r="EA90" s="52" t="n">
        <v>-0.12</v>
      </c>
      <c r="EB90" s="52" t="n">
        <v>-0.11</v>
      </c>
      <c r="EC90" s="52" t="n">
        <v>-0.05</v>
      </c>
      <c r="ED90" s="52" t="n">
        <v>-0.06</v>
      </c>
      <c r="EE90" s="52" t="n">
        <v>-0.11</v>
      </c>
      <c r="EF90" s="52" t="n">
        <v>0.01</v>
      </c>
      <c r="EG90" s="52" t="n">
        <v>-0.13</v>
      </c>
      <c r="EH90" s="52" t="n">
        <v>-0.11</v>
      </c>
      <c r="EI90" s="52" t="n">
        <v>-0.12</v>
      </c>
      <c r="EJ90" s="52" t="n">
        <v>0</v>
      </c>
      <c r="EK90" s="52" t="n">
        <v>0.08</v>
      </c>
      <c r="EL90" s="52" t="n">
        <v>-0.13</v>
      </c>
      <c r="EM90" s="52" t="n">
        <v>-0.01</v>
      </c>
      <c r="EN90" s="52" t="n">
        <v>-0.03</v>
      </c>
      <c r="EO90" s="52" t="n">
        <v>-0.03</v>
      </c>
    </row>
    <row r="91" customFormat="false" ht="15" hidden="false" customHeight="false" outlineLevel="0" collapsed="false">
      <c r="A91" s="51" t="s">
        <v>233</v>
      </c>
      <c r="B91" s="52" t="n">
        <v>0.26</v>
      </c>
      <c r="C91" s="52" t="n">
        <v>-0.01</v>
      </c>
      <c r="D91" s="52" t="n">
        <v>0.05</v>
      </c>
      <c r="E91" s="52" t="n">
        <v>0.06</v>
      </c>
      <c r="F91" s="52" t="n">
        <v>0.29</v>
      </c>
      <c r="G91" s="52" t="n">
        <v>0.07</v>
      </c>
      <c r="H91" s="52" t="n">
        <v>-0.01</v>
      </c>
      <c r="I91" s="52" t="n">
        <v>0.24</v>
      </c>
      <c r="J91" s="52" t="n">
        <v>0.2</v>
      </c>
      <c r="K91" s="52" t="n">
        <v>0.17</v>
      </c>
      <c r="L91" s="52" t="n">
        <v>-0.02</v>
      </c>
      <c r="M91" s="52" t="n">
        <v>0.08</v>
      </c>
      <c r="N91" s="52" t="n">
        <v>0.25</v>
      </c>
      <c r="O91" s="52" t="n">
        <v>-0.03</v>
      </c>
      <c r="P91" s="52" t="n">
        <v>0.23</v>
      </c>
      <c r="Q91" s="52" t="n">
        <v>0.03</v>
      </c>
      <c r="R91" s="52" t="n">
        <v>0.3</v>
      </c>
      <c r="S91" s="52" t="n">
        <v>0.08</v>
      </c>
      <c r="T91" s="52" t="n">
        <v>0.09</v>
      </c>
      <c r="U91" s="52" t="n">
        <v>0.13</v>
      </c>
      <c r="V91" s="52" t="n">
        <v>-0.05</v>
      </c>
      <c r="W91" s="52" t="n">
        <v>0.02</v>
      </c>
      <c r="X91" s="52" t="n">
        <v>0.1</v>
      </c>
      <c r="Y91" s="52" t="n">
        <v>0.32</v>
      </c>
      <c r="Z91" s="52" t="n">
        <v>0.02</v>
      </c>
      <c r="AA91" s="52" t="n">
        <v>0.02</v>
      </c>
      <c r="AB91" s="52" t="n">
        <v>0.3</v>
      </c>
      <c r="AC91" s="52" t="n">
        <v>0.07</v>
      </c>
      <c r="AD91" s="52" t="n">
        <v>0.05</v>
      </c>
      <c r="AE91" s="52" t="n">
        <v>-0.01</v>
      </c>
      <c r="AF91" s="52" t="n">
        <v>-0.1</v>
      </c>
      <c r="AG91" s="52" t="n">
        <v>0.22</v>
      </c>
      <c r="AH91" s="52" t="n">
        <v>0.23</v>
      </c>
      <c r="AI91" s="52" t="n">
        <v>0.11</v>
      </c>
      <c r="AJ91" s="52" t="n">
        <v>-0.06</v>
      </c>
      <c r="AK91" s="52" t="n">
        <v>-0.03</v>
      </c>
      <c r="AL91" s="52" t="n">
        <v>0.22</v>
      </c>
      <c r="AM91" s="52" t="n">
        <v>0.08</v>
      </c>
      <c r="AN91" s="52" t="n">
        <v>0.12</v>
      </c>
      <c r="AO91" s="52" t="n">
        <v>0.18</v>
      </c>
      <c r="AP91" s="52" t="n">
        <v>0.34</v>
      </c>
      <c r="AQ91" s="52" t="n">
        <v>0.07</v>
      </c>
      <c r="AR91" s="52" t="n">
        <v>0.07</v>
      </c>
      <c r="AS91" s="52" t="n">
        <v>0.06</v>
      </c>
      <c r="AT91" s="52" t="n">
        <v>0.11</v>
      </c>
      <c r="AU91" s="52" t="n">
        <v>0.09</v>
      </c>
      <c r="AV91" s="52" t="n">
        <v>0.06</v>
      </c>
      <c r="AW91" s="52" t="n">
        <v>-0.04</v>
      </c>
      <c r="AX91" s="52" t="n">
        <v>0.22</v>
      </c>
      <c r="AY91" s="52" t="n">
        <v>0.12</v>
      </c>
      <c r="AZ91" s="52" t="n">
        <v>-0.07</v>
      </c>
      <c r="BA91" s="52" t="n">
        <v>0.05</v>
      </c>
      <c r="BB91" s="52" t="n">
        <v>0.07</v>
      </c>
      <c r="BC91" s="52" t="n">
        <v>-0.06</v>
      </c>
      <c r="BD91" s="52" t="n">
        <v>0.07</v>
      </c>
      <c r="BE91" s="52" t="n">
        <v>0.19</v>
      </c>
      <c r="BF91" s="52" t="n">
        <v>-0.01</v>
      </c>
      <c r="BG91" s="52" t="n">
        <v>0.13</v>
      </c>
      <c r="BH91" s="52" t="n">
        <v>0.15</v>
      </c>
      <c r="BI91" s="52" t="n">
        <v>-0.03</v>
      </c>
      <c r="BJ91" s="52" t="n">
        <v>-0.05</v>
      </c>
      <c r="BK91" s="52" t="n">
        <v>-0.11</v>
      </c>
      <c r="BL91" s="52" t="n">
        <v>0.02</v>
      </c>
      <c r="BM91" s="52" t="n">
        <v>0.19</v>
      </c>
      <c r="BN91" s="52" t="n">
        <v>0.14</v>
      </c>
      <c r="BO91" s="52" t="n">
        <v>0.2</v>
      </c>
      <c r="BP91" s="52" t="n">
        <v>0.27</v>
      </c>
      <c r="BQ91" s="52" t="n">
        <v>-0.04</v>
      </c>
      <c r="BR91" s="52" t="n">
        <v>0.19</v>
      </c>
      <c r="BS91" s="52" t="n">
        <v>0.11</v>
      </c>
      <c r="BT91" s="52" t="n">
        <v>0.11</v>
      </c>
      <c r="BU91" s="52" t="n">
        <v>-0.03</v>
      </c>
      <c r="BV91" s="52" t="n">
        <v>0.25</v>
      </c>
      <c r="BW91" s="52" t="n">
        <v>0.2</v>
      </c>
      <c r="BX91" s="52" t="n">
        <v>0.13</v>
      </c>
      <c r="BY91" s="52" t="n">
        <v>0.06</v>
      </c>
      <c r="BZ91" s="52" t="n">
        <v>0.18</v>
      </c>
      <c r="CA91" s="52" t="n">
        <v>0.02</v>
      </c>
      <c r="CB91" s="52" t="n">
        <v>0.09</v>
      </c>
      <c r="CC91" s="52" t="n">
        <v>0.1</v>
      </c>
      <c r="CD91" s="52" t="n">
        <v>0.3</v>
      </c>
      <c r="CE91" s="52" t="n">
        <v>0.02</v>
      </c>
      <c r="CF91" s="52" t="n">
        <v>0.05</v>
      </c>
      <c r="CG91" s="52" t="n">
        <v>0.28</v>
      </c>
      <c r="CH91" s="52" t="n">
        <v>-0.02</v>
      </c>
      <c r="CI91" s="52" t="n">
        <v>0.08</v>
      </c>
      <c r="CJ91" s="52" t="n">
        <v>1</v>
      </c>
      <c r="CK91" s="52" t="n">
        <v>0.22</v>
      </c>
      <c r="CL91" s="52" t="n">
        <v>0.04</v>
      </c>
      <c r="CM91" s="52" t="n">
        <v>-0.01</v>
      </c>
      <c r="CN91" s="52" t="n">
        <v>-0.03</v>
      </c>
      <c r="CO91" s="52" t="n">
        <v>-0.09</v>
      </c>
      <c r="CP91" s="52" t="n">
        <v>0.17</v>
      </c>
      <c r="CQ91" s="52" t="n">
        <v>0.1</v>
      </c>
      <c r="CR91" s="52" t="n">
        <v>-0.03</v>
      </c>
      <c r="CS91" s="52" t="n">
        <v>-0.15</v>
      </c>
      <c r="CT91" s="52" t="n">
        <v>0.26</v>
      </c>
      <c r="CU91" s="52" t="n">
        <v>0.09</v>
      </c>
      <c r="CV91" s="52" t="n">
        <v>0.14</v>
      </c>
      <c r="CW91" s="52" t="n">
        <v>0.25</v>
      </c>
      <c r="CX91" s="52" t="n">
        <v>0.18</v>
      </c>
      <c r="CY91" s="52" t="n">
        <v>0</v>
      </c>
      <c r="CZ91" s="52" t="n">
        <v>0.14</v>
      </c>
      <c r="DA91" s="52" t="n">
        <v>0.28</v>
      </c>
      <c r="DB91" s="52" t="n">
        <v>0.07</v>
      </c>
      <c r="DC91" s="52" t="n">
        <v>-0.13</v>
      </c>
      <c r="DD91" s="52" t="n">
        <v>0.38</v>
      </c>
      <c r="DE91" s="52" t="n">
        <v>-0.02</v>
      </c>
      <c r="DF91" s="52" t="n">
        <v>0.22</v>
      </c>
      <c r="DG91" s="52" t="n">
        <v>0.11</v>
      </c>
      <c r="DH91" s="52" t="n">
        <v>0.01</v>
      </c>
      <c r="DI91" s="52" t="n">
        <v>0.09</v>
      </c>
      <c r="DJ91" s="52" t="n">
        <v>0.04</v>
      </c>
      <c r="DK91" s="52" t="n">
        <v>0.06</v>
      </c>
      <c r="DL91" s="52" t="n">
        <v>0</v>
      </c>
      <c r="DM91" s="52" t="n">
        <v>0.09</v>
      </c>
      <c r="DN91" s="52" t="n">
        <v>0.16</v>
      </c>
      <c r="DO91" s="52" t="n">
        <v>0.01</v>
      </c>
      <c r="DP91" s="52" t="n">
        <v>0.11</v>
      </c>
      <c r="DQ91" s="52" t="n">
        <v>-0.02</v>
      </c>
      <c r="DR91" s="52" t="n">
        <v>0.1</v>
      </c>
      <c r="DS91" s="52" t="n">
        <v>0.2</v>
      </c>
      <c r="DT91" s="52" t="n">
        <v>0.04</v>
      </c>
      <c r="DU91" s="52" t="n">
        <v>0.19</v>
      </c>
      <c r="DV91" s="52" t="n">
        <v>0.23</v>
      </c>
      <c r="DW91" s="52" t="n">
        <v>0.25</v>
      </c>
      <c r="DX91" s="52" t="n">
        <v>-0.14</v>
      </c>
      <c r="DY91" s="52" t="n">
        <v>0.21</v>
      </c>
      <c r="DZ91" s="52" t="n">
        <v>0.14</v>
      </c>
      <c r="EA91" s="52" t="n">
        <v>0.02</v>
      </c>
      <c r="EB91" s="52" t="n">
        <v>0.18</v>
      </c>
      <c r="EC91" s="52" t="n">
        <v>-0.03</v>
      </c>
      <c r="ED91" s="52" t="n">
        <v>0.17</v>
      </c>
      <c r="EE91" s="52" t="n">
        <v>-0.01</v>
      </c>
      <c r="EF91" s="52" t="n">
        <v>0.09</v>
      </c>
      <c r="EG91" s="52" t="n">
        <v>-0.06</v>
      </c>
      <c r="EH91" s="52" t="n">
        <v>0.31</v>
      </c>
      <c r="EI91" s="52" t="n">
        <v>-0.11</v>
      </c>
      <c r="EJ91" s="52" t="n">
        <v>0.08</v>
      </c>
      <c r="EK91" s="52" t="n">
        <v>0.14</v>
      </c>
      <c r="EL91" s="52" t="n">
        <v>-0.03</v>
      </c>
      <c r="EM91" s="52" t="n">
        <v>0.09</v>
      </c>
      <c r="EN91" s="52" t="n">
        <v>0.16</v>
      </c>
      <c r="EO91" s="52" t="n">
        <v>0.16</v>
      </c>
    </row>
    <row r="92" customFormat="false" ht="15" hidden="false" customHeight="false" outlineLevel="0" collapsed="false">
      <c r="A92" s="51" t="s">
        <v>234</v>
      </c>
      <c r="B92" s="52" t="n">
        <v>0.32</v>
      </c>
      <c r="C92" s="52" t="n">
        <v>-0.07</v>
      </c>
      <c r="D92" s="52" t="n">
        <v>0.01</v>
      </c>
      <c r="E92" s="52" t="n">
        <v>0.12</v>
      </c>
      <c r="F92" s="52" t="n">
        <v>0.26</v>
      </c>
      <c r="G92" s="52" t="n">
        <v>-0.1</v>
      </c>
      <c r="H92" s="52" t="n">
        <v>0.01</v>
      </c>
      <c r="I92" s="52" t="n">
        <v>0.33</v>
      </c>
      <c r="J92" s="52" t="n">
        <v>0.21</v>
      </c>
      <c r="K92" s="52" t="n">
        <v>0.34</v>
      </c>
      <c r="L92" s="52" t="n">
        <v>0.03</v>
      </c>
      <c r="M92" s="52" t="n">
        <v>0.31</v>
      </c>
      <c r="N92" s="52" t="n">
        <v>0.3</v>
      </c>
      <c r="O92" s="52" t="n">
        <v>-0.05</v>
      </c>
      <c r="P92" s="52" t="n">
        <v>0.25</v>
      </c>
      <c r="Q92" s="52" t="n">
        <v>0</v>
      </c>
      <c r="R92" s="52" t="n">
        <v>0.34</v>
      </c>
      <c r="S92" s="52" t="n">
        <v>0.09</v>
      </c>
      <c r="T92" s="52" t="n">
        <v>0.22</v>
      </c>
      <c r="U92" s="52" t="n">
        <v>0.12</v>
      </c>
      <c r="V92" s="52" t="n">
        <v>0.1</v>
      </c>
      <c r="W92" s="52" t="n">
        <v>0.02</v>
      </c>
      <c r="X92" s="52" t="n">
        <v>0.19</v>
      </c>
      <c r="Y92" s="52" t="n">
        <v>0.32</v>
      </c>
      <c r="Z92" s="52" t="n">
        <v>0.05</v>
      </c>
      <c r="AA92" s="52" t="n">
        <v>-0.01</v>
      </c>
      <c r="AB92" s="52" t="n">
        <v>0.37</v>
      </c>
      <c r="AC92" s="52" t="n">
        <v>-0.04</v>
      </c>
      <c r="AD92" s="52" t="n">
        <v>0.04</v>
      </c>
      <c r="AE92" s="52" t="n">
        <v>0.05</v>
      </c>
      <c r="AF92" s="52" t="n">
        <v>-0.06</v>
      </c>
      <c r="AG92" s="52" t="n">
        <v>0.14</v>
      </c>
      <c r="AH92" s="52" t="n">
        <v>0.18</v>
      </c>
      <c r="AI92" s="52" t="n">
        <v>0.12</v>
      </c>
      <c r="AJ92" s="52" t="n">
        <v>0.04</v>
      </c>
      <c r="AK92" s="52" t="n">
        <v>0.07</v>
      </c>
      <c r="AL92" s="52" t="n">
        <v>0.27</v>
      </c>
      <c r="AM92" s="52" t="n">
        <v>-0.04</v>
      </c>
      <c r="AN92" s="52" t="n">
        <v>0.45</v>
      </c>
      <c r="AO92" s="52" t="n">
        <v>0.12</v>
      </c>
      <c r="AP92" s="52" t="n">
        <v>0.4</v>
      </c>
      <c r="AQ92" s="52" t="n">
        <v>0.09</v>
      </c>
      <c r="AR92" s="52" t="n">
        <v>0.18</v>
      </c>
      <c r="AS92" s="52" t="n">
        <v>0.04</v>
      </c>
      <c r="AT92" s="52" t="n">
        <v>0.37</v>
      </c>
      <c r="AU92" s="52" t="n">
        <v>0.19</v>
      </c>
      <c r="AV92" s="52" t="n">
        <v>0.12</v>
      </c>
      <c r="AW92" s="52" t="n">
        <v>0.18</v>
      </c>
      <c r="AX92" s="52" t="n">
        <v>0.18</v>
      </c>
      <c r="AY92" s="52" t="n">
        <v>0.3</v>
      </c>
      <c r="AZ92" s="52" t="n">
        <v>0.1</v>
      </c>
      <c r="BA92" s="52" t="n">
        <v>0.3</v>
      </c>
      <c r="BB92" s="52" t="n">
        <v>0.19</v>
      </c>
      <c r="BC92" s="52" t="n">
        <v>0.03</v>
      </c>
      <c r="BD92" s="52" t="n">
        <v>0.03</v>
      </c>
      <c r="BE92" s="52" t="n">
        <v>0.19</v>
      </c>
      <c r="BF92" s="52" t="n">
        <v>0.12</v>
      </c>
      <c r="BG92" s="52" t="n">
        <v>0.28</v>
      </c>
      <c r="BH92" s="52" t="n">
        <v>0.1</v>
      </c>
      <c r="BI92" s="52" t="n">
        <v>0.07</v>
      </c>
      <c r="BJ92" s="52" t="n">
        <v>-0.05</v>
      </c>
      <c r="BK92" s="52" t="n">
        <v>0.03</v>
      </c>
      <c r="BL92" s="52" t="n">
        <v>0.16</v>
      </c>
      <c r="BM92" s="52" t="n">
        <v>0.4</v>
      </c>
      <c r="BN92" s="52" t="n">
        <v>0.12</v>
      </c>
      <c r="BO92" s="52" t="n">
        <v>0.17</v>
      </c>
      <c r="BP92" s="52" t="n">
        <v>0.17</v>
      </c>
      <c r="BQ92" s="52" t="n">
        <v>0.12</v>
      </c>
      <c r="BR92" s="52" t="n">
        <v>0.36</v>
      </c>
      <c r="BS92" s="52" t="n">
        <v>0.05</v>
      </c>
      <c r="BT92" s="52" t="n">
        <v>0.15</v>
      </c>
      <c r="BU92" s="52" t="n">
        <v>0.11</v>
      </c>
      <c r="BV92" s="52" t="n">
        <v>0.21</v>
      </c>
      <c r="BW92" s="52" t="n">
        <v>0.28</v>
      </c>
      <c r="BX92" s="52" t="n">
        <v>0.18</v>
      </c>
      <c r="BY92" s="52" t="n">
        <v>0.31</v>
      </c>
      <c r="BZ92" s="52" t="n">
        <v>0.17</v>
      </c>
      <c r="CA92" s="52" t="n">
        <v>0.04</v>
      </c>
      <c r="CB92" s="52" t="n">
        <v>0.13</v>
      </c>
      <c r="CC92" s="52" t="n">
        <v>0.17</v>
      </c>
      <c r="CD92" s="52" t="n">
        <v>0.23</v>
      </c>
      <c r="CE92" s="52" t="n">
        <v>0.05</v>
      </c>
      <c r="CF92" s="52" t="n">
        <v>0.02</v>
      </c>
      <c r="CG92" s="52" t="n">
        <v>0.39</v>
      </c>
      <c r="CH92" s="52" t="n">
        <v>0.1</v>
      </c>
      <c r="CI92" s="52" t="n">
        <v>0.05</v>
      </c>
      <c r="CJ92" s="52" t="n">
        <v>0.22</v>
      </c>
      <c r="CK92" s="52" t="n">
        <v>1</v>
      </c>
      <c r="CL92" s="52" t="n">
        <v>0.26</v>
      </c>
      <c r="CM92" s="52" t="n">
        <v>0.03</v>
      </c>
      <c r="CN92" s="52" t="n">
        <v>0.05</v>
      </c>
      <c r="CO92" s="52" t="n">
        <v>0.23</v>
      </c>
      <c r="CP92" s="52" t="n">
        <v>0.17</v>
      </c>
      <c r="CQ92" s="52" t="n">
        <v>0.35</v>
      </c>
      <c r="CR92" s="52" t="n">
        <v>0.06</v>
      </c>
      <c r="CS92" s="52" t="n">
        <v>0.01</v>
      </c>
      <c r="CT92" s="52" t="n">
        <v>0.21</v>
      </c>
      <c r="CU92" s="52" t="n">
        <v>0.15</v>
      </c>
      <c r="CV92" s="52" t="n">
        <v>0.22</v>
      </c>
      <c r="CW92" s="52" t="n">
        <v>0.26</v>
      </c>
      <c r="CX92" s="52" t="n">
        <v>0.2</v>
      </c>
      <c r="CY92" s="52" t="n">
        <v>0.3</v>
      </c>
      <c r="CZ92" s="52" t="n">
        <v>0.2</v>
      </c>
      <c r="DA92" s="52" t="n">
        <v>0.23</v>
      </c>
      <c r="DB92" s="52" t="n">
        <v>0.16</v>
      </c>
      <c r="DC92" s="52" t="n">
        <v>0.1</v>
      </c>
      <c r="DD92" s="52" t="n">
        <v>0.29</v>
      </c>
      <c r="DE92" s="52" t="n">
        <v>0.05</v>
      </c>
      <c r="DF92" s="52" t="n">
        <v>0.21</v>
      </c>
      <c r="DG92" s="52" t="n">
        <v>0.08</v>
      </c>
      <c r="DH92" s="52" t="n">
        <v>-0.02</v>
      </c>
      <c r="DI92" s="52" t="n">
        <v>0.29</v>
      </c>
      <c r="DJ92" s="52" t="n">
        <v>0.28</v>
      </c>
      <c r="DK92" s="52" t="n">
        <v>0.29</v>
      </c>
      <c r="DL92" s="52" t="n">
        <v>-0.07</v>
      </c>
      <c r="DM92" s="52" t="n">
        <v>0.29</v>
      </c>
      <c r="DN92" s="52" t="n">
        <v>0.25</v>
      </c>
      <c r="DO92" s="52" t="n">
        <v>0.17</v>
      </c>
      <c r="DP92" s="52" t="n">
        <v>0.27</v>
      </c>
      <c r="DQ92" s="52" t="n">
        <v>0.11</v>
      </c>
      <c r="DR92" s="52" t="n">
        <v>-0.07</v>
      </c>
      <c r="DS92" s="52" t="n">
        <v>0.15</v>
      </c>
      <c r="DT92" s="52" t="n">
        <v>0.05</v>
      </c>
      <c r="DU92" s="52" t="n">
        <v>0.18</v>
      </c>
      <c r="DV92" s="52" t="n">
        <v>0.08</v>
      </c>
      <c r="DW92" s="52" t="n">
        <v>0.28</v>
      </c>
      <c r="DX92" s="52" t="n">
        <v>-0.02</v>
      </c>
      <c r="DY92" s="52" t="n">
        <v>0.28</v>
      </c>
      <c r="DZ92" s="52" t="n">
        <v>0.08</v>
      </c>
      <c r="EA92" s="52" t="n">
        <v>0.23</v>
      </c>
      <c r="EB92" s="52" t="n">
        <v>0.29</v>
      </c>
      <c r="EC92" s="52" t="n">
        <v>-0.04</v>
      </c>
      <c r="ED92" s="52" t="n">
        <v>0.18</v>
      </c>
      <c r="EE92" s="52" t="n">
        <v>-0.03</v>
      </c>
      <c r="EF92" s="52" t="n">
        <v>0.13</v>
      </c>
      <c r="EG92" s="52" t="n">
        <v>-0.02</v>
      </c>
      <c r="EH92" s="52" t="n">
        <v>0.18</v>
      </c>
      <c r="EI92" s="52" t="n">
        <v>-0.1</v>
      </c>
      <c r="EJ92" s="52" t="n">
        <v>0.19</v>
      </c>
      <c r="EK92" s="52" t="n">
        <v>0.02</v>
      </c>
      <c r="EL92" s="52" t="n">
        <v>-0.03</v>
      </c>
      <c r="EM92" s="52" t="n">
        <v>0.14</v>
      </c>
      <c r="EN92" s="52" t="n">
        <v>0.15</v>
      </c>
      <c r="EO92" s="52" t="n">
        <v>0.14</v>
      </c>
    </row>
    <row r="93" customFormat="false" ht="15" hidden="false" customHeight="false" outlineLevel="0" collapsed="false">
      <c r="A93" s="51" t="s">
        <v>235</v>
      </c>
      <c r="B93" s="52" t="n">
        <v>0.11</v>
      </c>
      <c r="C93" s="52" t="n">
        <v>0</v>
      </c>
      <c r="D93" s="52" t="n">
        <v>0</v>
      </c>
      <c r="E93" s="52" t="n">
        <v>0</v>
      </c>
      <c r="F93" s="52" t="n">
        <v>0.14</v>
      </c>
      <c r="G93" s="52" t="n">
        <v>0.07</v>
      </c>
      <c r="H93" s="52" t="n">
        <v>0.22</v>
      </c>
      <c r="I93" s="52" t="n">
        <v>0.1</v>
      </c>
      <c r="J93" s="52" t="n">
        <v>0.12</v>
      </c>
      <c r="K93" s="52" t="n">
        <v>0.16</v>
      </c>
      <c r="L93" s="52" t="n">
        <v>0.05</v>
      </c>
      <c r="M93" s="52" t="n">
        <v>0.33</v>
      </c>
      <c r="N93" s="52" t="n">
        <v>0.27</v>
      </c>
      <c r="O93" s="52" t="n">
        <v>0.04</v>
      </c>
      <c r="P93" s="52" t="n">
        <v>0.05</v>
      </c>
      <c r="Q93" s="52" t="n">
        <v>-0.01</v>
      </c>
      <c r="R93" s="52" t="n">
        <v>0.11</v>
      </c>
      <c r="S93" s="52" t="n">
        <v>-0.04</v>
      </c>
      <c r="T93" s="52" t="n">
        <v>0.22</v>
      </c>
      <c r="U93" s="52" t="n">
        <v>0.14</v>
      </c>
      <c r="V93" s="52" t="n">
        <v>0.1</v>
      </c>
      <c r="W93" s="52" t="n">
        <v>-0.07</v>
      </c>
      <c r="X93" s="52" t="n">
        <v>0.2</v>
      </c>
      <c r="Y93" s="52" t="n">
        <v>0.07</v>
      </c>
      <c r="Z93" s="52" t="n">
        <v>0.11</v>
      </c>
      <c r="AA93" s="52" t="n">
        <v>0.21</v>
      </c>
      <c r="AB93" s="52" t="n">
        <v>0.08</v>
      </c>
      <c r="AC93" s="52" t="n">
        <v>0.04</v>
      </c>
      <c r="AD93" s="52" t="n">
        <v>0.09</v>
      </c>
      <c r="AE93" s="52" t="n">
        <v>0.11</v>
      </c>
      <c r="AF93" s="52" t="n">
        <v>0.01</v>
      </c>
      <c r="AG93" s="52" t="n">
        <v>0.07</v>
      </c>
      <c r="AH93" s="52" t="n">
        <v>0.08</v>
      </c>
      <c r="AI93" s="52" t="n">
        <v>-0.12</v>
      </c>
      <c r="AJ93" s="52" t="n">
        <v>0.04</v>
      </c>
      <c r="AK93" s="52" t="n">
        <v>0.09</v>
      </c>
      <c r="AL93" s="52" t="n">
        <v>0.25</v>
      </c>
      <c r="AM93" s="52" t="n">
        <v>0.16</v>
      </c>
      <c r="AN93" s="52" t="n">
        <v>0.31</v>
      </c>
      <c r="AO93" s="52" t="n">
        <v>0.15</v>
      </c>
      <c r="AP93" s="52" t="n">
        <v>0.22</v>
      </c>
      <c r="AQ93" s="52" t="n">
        <v>-0.18</v>
      </c>
      <c r="AR93" s="52" t="n">
        <v>0.19</v>
      </c>
      <c r="AS93" s="52" t="n">
        <v>0.12</v>
      </c>
      <c r="AT93" s="52" t="n">
        <v>0.29</v>
      </c>
      <c r="AU93" s="52" t="n">
        <v>0.09</v>
      </c>
      <c r="AV93" s="52" t="n">
        <v>0.06</v>
      </c>
      <c r="AW93" s="52" t="n">
        <v>0.12</v>
      </c>
      <c r="AX93" s="52" t="n">
        <v>0.19</v>
      </c>
      <c r="AY93" s="52" t="n">
        <v>0.2</v>
      </c>
      <c r="AZ93" s="52" t="n">
        <v>0.14</v>
      </c>
      <c r="BA93" s="52" t="n">
        <v>0.35</v>
      </c>
      <c r="BB93" s="52" t="n">
        <v>0.21</v>
      </c>
      <c r="BC93" s="52" t="n">
        <v>0.06</v>
      </c>
      <c r="BD93" s="52" t="n">
        <v>0.04</v>
      </c>
      <c r="BE93" s="52" t="n">
        <v>0.31</v>
      </c>
      <c r="BF93" s="52" t="n">
        <v>0.04</v>
      </c>
      <c r="BG93" s="52" t="n">
        <v>0.21</v>
      </c>
      <c r="BH93" s="52" t="n">
        <v>0.11</v>
      </c>
      <c r="BI93" s="52" t="n">
        <v>0.02</v>
      </c>
      <c r="BJ93" s="52" t="n">
        <v>-0.13</v>
      </c>
      <c r="BK93" s="52" t="n">
        <v>0.06</v>
      </c>
      <c r="BL93" s="52" t="n">
        <v>0.29</v>
      </c>
      <c r="BM93" s="52" t="n">
        <v>0.27</v>
      </c>
      <c r="BN93" s="52" t="n">
        <v>0.11</v>
      </c>
      <c r="BO93" s="52" t="n">
        <v>0.24</v>
      </c>
      <c r="BP93" s="52" t="n">
        <v>0.04</v>
      </c>
      <c r="BQ93" s="52" t="n">
        <v>0.29</v>
      </c>
      <c r="BR93" s="52" t="n">
        <v>0.24</v>
      </c>
      <c r="BS93" s="52" t="n">
        <v>-0.05</v>
      </c>
      <c r="BT93" s="52" t="n">
        <v>0.29</v>
      </c>
      <c r="BU93" s="52" t="n">
        <v>0.13</v>
      </c>
      <c r="BV93" s="52" t="n">
        <v>0.22</v>
      </c>
      <c r="BW93" s="52" t="n">
        <v>0.18</v>
      </c>
      <c r="BX93" s="52" t="n">
        <v>0.15</v>
      </c>
      <c r="BY93" s="52" t="n">
        <v>0.61</v>
      </c>
      <c r="BZ93" s="52" t="n">
        <v>0.27</v>
      </c>
      <c r="CA93" s="52" t="n">
        <v>0.09</v>
      </c>
      <c r="CB93" s="52" t="n">
        <v>-0.08</v>
      </c>
      <c r="CC93" s="52" t="n">
        <v>0.06</v>
      </c>
      <c r="CD93" s="52" t="n">
        <v>0.14</v>
      </c>
      <c r="CE93" s="52" t="n">
        <v>0.18</v>
      </c>
      <c r="CF93" s="52" t="n">
        <v>-0.11</v>
      </c>
      <c r="CG93" s="52" t="n">
        <v>0.25</v>
      </c>
      <c r="CH93" s="52" t="n">
        <v>0.24</v>
      </c>
      <c r="CI93" s="52" t="n">
        <v>-0.1</v>
      </c>
      <c r="CJ93" s="52" t="n">
        <v>0.04</v>
      </c>
      <c r="CK93" s="52" t="n">
        <v>0.26</v>
      </c>
      <c r="CL93" s="52" t="n">
        <v>1</v>
      </c>
      <c r="CM93" s="52" t="n">
        <v>0.21</v>
      </c>
      <c r="CN93" s="52" t="n">
        <v>0.05</v>
      </c>
      <c r="CO93" s="52" t="n">
        <v>0.07</v>
      </c>
      <c r="CP93" s="52" t="n">
        <v>0.03</v>
      </c>
      <c r="CQ93" s="52" t="n">
        <v>0.42</v>
      </c>
      <c r="CR93" s="52" t="n">
        <v>0.26</v>
      </c>
      <c r="CS93" s="52" t="n">
        <v>0.27</v>
      </c>
      <c r="CT93" s="52" t="n">
        <v>0.17</v>
      </c>
      <c r="CU93" s="52" t="n">
        <v>0.2</v>
      </c>
      <c r="CV93" s="52" t="n">
        <v>0.22</v>
      </c>
      <c r="CW93" s="52" t="n">
        <v>0.24</v>
      </c>
      <c r="CX93" s="52" t="n">
        <v>0.27</v>
      </c>
      <c r="CY93" s="52" t="n">
        <v>0.35</v>
      </c>
      <c r="CZ93" s="52" t="n">
        <v>0.13</v>
      </c>
      <c r="DA93" s="52" t="n">
        <v>0.18</v>
      </c>
      <c r="DB93" s="52" t="n">
        <v>0.27</v>
      </c>
      <c r="DC93" s="52" t="n">
        <v>0.2</v>
      </c>
      <c r="DD93" s="52" t="n">
        <v>0.21</v>
      </c>
      <c r="DE93" s="52" t="n">
        <v>0.26</v>
      </c>
      <c r="DF93" s="52" t="n">
        <v>0.09</v>
      </c>
      <c r="DG93" s="52" t="n">
        <v>0.2</v>
      </c>
      <c r="DH93" s="52" t="n">
        <v>0.17</v>
      </c>
      <c r="DI93" s="52" t="n">
        <v>0.41</v>
      </c>
      <c r="DJ93" s="52" t="n">
        <v>0.35</v>
      </c>
      <c r="DK93" s="52" t="n">
        <v>0.42</v>
      </c>
      <c r="DL93" s="52" t="n">
        <v>0.14</v>
      </c>
      <c r="DM93" s="52" t="n">
        <v>0.41</v>
      </c>
      <c r="DN93" s="52" t="n">
        <v>0.19</v>
      </c>
      <c r="DO93" s="52" t="n">
        <v>0.28</v>
      </c>
      <c r="DP93" s="52" t="n">
        <v>0.39</v>
      </c>
      <c r="DQ93" s="52" t="n">
        <v>0.27</v>
      </c>
      <c r="DR93" s="52" t="n">
        <v>0.21</v>
      </c>
      <c r="DS93" s="52" t="n">
        <v>-0.01</v>
      </c>
      <c r="DT93" s="52" t="n">
        <v>0.14</v>
      </c>
      <c r="DU93" s="52" t="n">
        <v>0.26</v>
      </c>
      <c r="DV93" s="52" t="n">
        <v>0.07</v>
      </c>
      <c r="DW93" s="52" t="n">
        <v>0.16</v>
      </c>
      <c r="DX93" s="52" t="n">
        <v>0.16</v>
      </c>
      <c r="DY93" s="52" t="n">
        <v>0.24</v>
      </c>
      <c r="DZ93" s="52" t="n">
        <v>0.02</v>
      </c>
      <c r="EA93" s="52" t="n">
        <v>0.22</v>
      </c>
      <c r="EB93" s="52" t="n">
        <v>0.28</v>
      </c>
      <c r="EC93" s="52" t="n">
        <v>0.05</v>
      </c>
      <c r="ED93" s="52" t="n">
        <v>0.29</v>
      </c>
      <c r="EE93" s="52" t="n">
        <v>0.25</v>
      </c>
      <c r="EF93" s="52" t="n">
        <v>0.19</v>
      </c>
      <c r="EG93" s="52" t="n">
        <v>0.13</v>
      </c>
      <c r="EH93" s="52" t="n">
        <v>0.14</v>
      </c>
      <c r="EI93" s="52" t="n">
        <v>0.24</v>
      </c>
      <c r="EJ93" s="52" t="n">
        <v>0.32</v>
      </c>
      <c r="EK93" s="52" t="n">
        <v>0.22</v>
      </c>
      <c r="EL93" s="52" t="n">
        <v>0.21</v>
      </c>
      <c r="EM93" s="52" t="n">
        <v>0.22</v>
      </c>
      <c r="EN93" s="52" t="n">
        <v>0.18</v>
      </c>
      <c r="EO93" s="52" t="n">
        <v>0.15</v>
      </c>
    </row>
    <row r="94" customFormat="false" ht="15" hidden="false" customHeight="false" outlineLevel="0" collapsed="false">
      <c r="A94" s="51" t="s">
        <v>123</v>
      </c>
      <c r="B94" s="52" t="n">
        <v>-0.14</v>
      </c>
      <c r="C94" s="52" t="n">
        <v>-0.07</v>
      </c>
      <c r="D94" s="52" t="n">
        <v>0.06</v>
      </c>
      <c r="E94" s="52" t="n">
        <v>-0.03</v>
      </c>
      <c r="F94" s="52" t="n">
        <v>-0.18</v>
      </c>
      <c r="G94" s="52" t="n">
        <v>-0.02</v>
      </c>
      <c r="H94" s="52" t="n">
        <v>0.03</v>
      </c>
      <c r="I94" s="52" t="n">
        <v>-0.15</v>
      </c>
      <c r="J94" s="52" t="n">
        <v>-0.13</v>
      </c>
      <c r="K94" s="52" t="n">
        <v>-0.14</v>
      </c>
      <c r="L94" s="52" t="n">
        <v>0.05</v>
      </c>
      <c r="M94" s="52" t="n">
        <v>0.22</v>
      </c>
      <c r="N94" s="52" t="n">
        <v>-0.01</v>
      </c>
      <c r="O94" s="52" t="n">
        <v>-0.04</v>
      </c>
      <c r="P94" s="52" t="n">
        <v>-0.14</v>
      </c>
      <c r="Q94" s="52" t="n">
        <v>0.07</v>
      </c>
      <c r="R94" s="52" t="n">
        <v>-0.18</v>
      </c>
      <c r="S94" s="52" t="n">
        <v>-0.01</v>
      </c>
      <c r="T94" s="52" t="n">
        <v>0.17</v>
      </c>
      <c r="U94" s="52" t="n">
        <v>0.13</v>
      </c>
      <c r="V94" s="52" t="n">
        <v>-0.02</v>
      </c>
      <c r="W94" s="52" t="n">
        <v>-0.12</v>
      </c>
      <c r="X94" s="52" t="n">
        <v>0.19</v>
      </c>
      <c r="Y94" s="52" t="n">
        <v>-0.04</v>
      </c>
      <c r="Z94" s="52" t="n">
        <v>0.07</v>
      </c>
      <c r="AA94" s="52" t="n">
        <v>-0.07</v>
      </c>
      <c r="AB94" s="52" t="n">
        <v>-0.04</v>
      </c>
      <c r="AC94" s="52" t="n">
        <v>-0.02</v>
      </c>
      <c r="AD94" s="52" t="n">
        <v>0</v>
      </c>
      <c r="AE94" s="52" t="n">
        <v>0.11</v>
      </c>
      <c r="AF94" s="52" t="n">
        <v>0.13</v>
      </c>
      <c r="AG94" s="52" t="n">
        <v>-0.19</v>
      </c>
      <c r="AH94" s="52" t="n">
        <v>-0.19</v>
      </c>
      <c r="AI94" s="52" t="n">
        <v>-0.13</v>
      </c>
      <c r="AJ94" s="52" t="n">
        <v>0.02</v>
      </c>
      <c r="AK94" s="52" t="n">
        <v>0.13</v>
      </c>
      <c r="AL94" s="52" t="n">
        <v>0.13</v>
      </c>
      <c r="AM94" s="52" t="n">
        <v>0.08</v>
      </c>
      <c r="AN94" s="52" t="n">
        <v>0.06</v>
      </c>
      <c r="AO94" s="52" t="n">
        <v>-0.1</v>
      </c>
      <c r="AP94" s="52" t="n">
        <v>0.14</v>
      </c>
      <c r="AQ94" s="52" t="n">
        <v>-0.14</v>
      </c>
      <c r="AR94" s="52" t="n">
        <v>0.15</v>
      </c>
      <c r="AS94" s="52" t="n">
        <v>0.15</v>
      </c>
      <c r="AT94" s="52" t="n">
        <v>0.19</v>
      </c>
      <c r="AU94" s="52" t="n">
        <v>-0.07</v>
      </c>
      <c r="AV94" s="52" t="n">
        <v>0.05</v>
      </c>
      <c r="AW94" s="52" t="n">
        <v>0.13</v>
      </c>
      <c r="AX94" s="52" t="n">
        <v>-0.07</v>
      </c>
      <c r="AY94" s="52" t="n">
        <v>0.04</v>
      </c>
      <c r="AZ94" s="52" t="n">
        <v>0.16</v>
      </c>
      <c r="BA94" s="52" t="n">
        <v>0.12</v>
      </c>
      <c r="BB94" s="52" t="n">
        <v>0.36</v>
      </c>
      <c r="BC94" s="52" t="n">
        <v>0.09</v>
      </c>
      <c r="BD94" s="52" t="n">
        <v>0.12</v>
      </c>
      <c r="BE94" s="52" t="n">
        <v>-0.11</v>
      </c>
      <c r="BF94" s="52" t="n">
        <v>0.04</v>
      </c>
      <c r="BG94" s="52" t="n">
        <v>0.15</v>
      </c>
      <c r="BH94" s="52" t="n">
        <v>0.13</v>
      </c>
      <c r="BI94" s="52" t="n">
        <v>-0.05</v>
      </c>
      <c r="BJ94" s="52" t="n">
        <v>-0.07</v>
      </c>
      <c r="BK94" s="52" t="n">
        <v>0.1</v>
      </c>
      <c r="BL94" s="52" t="n">
        <v>0.32</v>
      </c>
      <c r="BM94" s="52" t="n">
        <v>0.03</v>
      </c>
      <c r="BN94" s="52" t="n">
        <v>0.03</v>
      </c>
      <c r="BO94" s="52" t="n">
        <v>0.28</v>
      </c>
      <c r="BP94" s="52" t="n">
        <v>0.28</v>
      </c>
      <c r="BQ94" s="52" t="n">
        <v>0.24</v>
      </c>
      <c r="BR94" s="52" t="n">
        <v>0.15</v>
      </c>
      <c r="BS94" s="52" t="n">
        <v>-0.05</v>
      </c>
      <c r="BT94" s="52" t="n">
        <v>0.3</v>
      </c>
      <c r="BU94" s="52" t="n">
        <v>0.18</v>
      </c>
      <c r="BV94" s="52" t="n">
        <v>0.28</v>
      </c>
      <c r="BW94" s="52" t="n">
        <v>0.11</v>
      </c>
      <c r="BX94" s="52" t="n">
        <v>-0.04</v>
      </c>
      <c r="BY94" s="52" t="n">
        <v>0.21</v>
      </c>
      <c r="BZ94" s="52" t="n">
        <v>0.26</v>
      </c>
      <c r="CA94" s="52" t="n">
        <v>0.07</v>
      </c>
      <c r="CB94" s="52" t="n">
        <v>-0.12</v>
      </c>
      <c r="CC94" s="52" t="n">
        <v>0.03</v>
      </c>
      <c r="CD94" s="52" t="n">
        <v>0.19</v>
      </c>
      <c r="CE94" s="52" t="n">
        <v>0.3</v>
      </c>
      <c r="CF94" s="52" t="n">
        <v>-0.12</v>
      </c>
      <c r="CG94" s="52" t="n">
        <v>0.15</v>
      </c>
      <c r="CH94" s="52" t="n">
        <v>0.28</v>
      </c>
      <c r="CI94" s="52" t="n">
        <v>-0.09</v>
      </c>
      <c r="CJ94" s="52" t="n">
        <v>-0.01</v>
      </c>
      <c r="CK94" s="52" t="n">
        <v>0.03</v>
      </c>
      <c r="CL94" s="52" t="n">
        <v>0.21</v>
      </c>
      <c r="CM94" s="52" t="n">
        <v>1</v>
      </c>
      <c r="CN94" s="52" t="n">
        <v>0.07</v>
      </c>
      <c r="CO94" s="52" t="n">
        <v>0.07</v>
      </c>
      <c r="CP94" s="52" t="n">
        <v>0.13</v>
      </c>
      <c r="CQ94" s="52" t="n">
        <v>0.28</v>
      </c>
      <c r="CR94" s="52" t="n">
        <v>0.66</v>
      </c>
      <c r="CS94" s="52" t="n">
        <v>0.41</v>
      </c>
      <c r="CT94" s="52" t="n">
        <v>0.2</v>
      </c>
      <c r="CU94" s="52" t="n">
        <v>0.33</v>
      </c>
      <c r="CV94" s="52" t="n">
        <v>0.3</v>
      </c>
      <c r="CW94" s="52" t="n">
        <v>0.21</v>
      </c>
      <c r="CX94" s="52" t="n">
        <v>0.31</v>
      </c>
      <c r="CY94" s="52" t="n">
        <v>0.2</v>
      </c>
      <c r="CZ94" s="52" t="n">
        <v>0.19</v>
      </c>
      <c r="DA94" s="52" t="n">
        <v>0.24</v>
      </c>
      <c r="DB94" s="52" t="n">
        <v>0.45</v>
      </c>
      <c r="DC94" s="52" t="n">
        <v>0.08</v>
      </c>
      <c r="DD94" s="52" t="n">
        <v>0.25</v>
      </c>
      <c r="DE94" s="52" t="n">
        <v>0.42</v>
      </c>
      <c r="DF94" s="52" t="n">
        <v>0.11</v>
      </c>
      <c r="DG94" s="52" t="n">
        <v>0.33</v>
      </c>
      <c r="DH94" s="52" t="n">
        <v>0.54</v>
      </c>
      <c r="DI94" s="52" t="n">
        <v>0.22</v>
      </c>
      <c r="DJ94" s="52" t="n">
        <v>0.21</v>
      </c>
      <c r="DK94" s="52" t="n">
        <v>0.31</v>
      </c>
      <c r="DL94" s="52" t="n">
        <v>0.18</v>
      </c>
      <c r="DM94" s="52" t="n">
        <v>0.26</v>
      </c>
      <c r="DN94" s="52" t="n">
        <v>0.17</v>
      </c>
      <c r="DO94" s="52" t="n">
        <v>0.22</v>
      </c>
      <c r="DP94" s="52" t="n">
        <v>0.22</v>
      </c>
      <c r="DQ94" s="52" t="n">
        <v>0.24</v>
      </c>
      <c r="DR94" s="52" t="n">
        <v>0.3</v>
      </c>
      <c r="DS94" s="52" t="n">
        <v>0.1</v>
      </c>
      <c r="DT94" s="52" t="n">
        <v>0.44</v>
      </c>
      <c r="DU94" s="52" t="n">
        <v>0.47</v>
      </c>
      <c r="DV94" s="52" t="n">
        <v>0.32</v>
      </c>
      <c r="DW94" s="52" t="n">
        <v>0.29</v>
      </c>
      <c r="DX94" s="52" t="n">
        <v>0.48</v>
      </c>
      <c r="DY94" s="52" t="n">
        <v>0.28</v>
      </c>
      <c r="DZ94" s="52" t="n">
        <v>0.21</v>
      </c>
      <c r="EA94" s="52" t="n">
        <v>0.14</v>
      </c>
      <c r="EB94" s="52" t="n">
        <v>0.34</v>
      </c>
      <c r="EC94" s="52" t="n">
        <v>0.12</v>
      </c>
      <c r="ED94" s="52" t="n">
        <v>0.17</v>
      </c>
      <c r="EE94" s="52" t="n">
        <v>0.53</v>
      </c>
      <c r="EF94" s="52" t="n">
        <v>0.28</v>
      </c>
      <c r="EG94" s="52" t="n">
        <v>0.4</v>
      </c>
      <c r="EH94" s="52" t="n">
        <v>0.13</v>
      </c>
      <c r="EI94" s="52" t="n">
        <v>0.45</v>
      </c>
      <c r="EJ94" s="52" t="n">
        <v>0.15</v>
      </c>
      <c r="EK94" s="52" t="n">
        <v>0.4</v>
      </c>
      <c r="EL94" s="52" t="n">
        <v>0.43</v>
      </c>
      <c r="EM94" s="52" t="n">
        <v>0.21</v>
      </c>
      <c r="EN94" s="52" t="n">
        <v>0.04</v>
      </c>
      <c r="EO94" s="52" t="n">
        <v>0.11</v>
      </c>
    </row>
    <row r="95" customFormat="false" ht="15" hidden="false" customHeight="false" outlineLevel="0" collapsed="false">
      <c r="A95" s="51" t="s">
        <v>236</v>
      </c>
      <c r="B95" s="52" t="n">
        <v>-0.04</v>
      </c>
      <c r="C95" s="52" t="n">
        <v>0.19</v>
      </c>
      <c r="D95" s="52" t="n">
        <v>0.2</v>
      </c>
      <c r="E95" s="52" t="n">
        <v>0.16</v>
      </c>
      <c r="F95" s="52" t="n">
        <v>-0.09</v>
      </c>
      <c r="G95" s="52" t="n">
        <v>0.13</v>
      </c>
      <c r="H95" s="52" t="n">
        <v>0.22</v>
      </c>
      <c r="I95" s="52" t="n">
        <v>-0.06</v>
      </c>
      <c r="J95" s="52" t="n">
        <v>0.04</v>
      </c>
      <c r="K95" s="52" t="n">
        <v>-0.03</v>
      </c>
      <c r="L95" s="52" t="n">
        <v>0.16</v>
      </c>
      <c r="M95" s="52" t="n">
        <v>0.03</v>
      </c>
      <c r="N95" s="52" t="n">
        <v>0.14</v>
      </c>
      <c r="O95" s="52" t="n">
        <v>0.22</v>
      </c>
      <c r="P95" s="52" t="n">
        <v>0.05</v>
      </c>
      <c r="Q95" s="52" t="n">
        <v>0.08</v>
      </c>
      <c r="R95" s="52" t="n">
        <v>-0.1</v>
      </c>
      <c r="S95" s="52" t="n">
        <v>0.06</v>
      </c>
      <c r="T95" s="52" t="n">
        <v>0.07</v>
      </c>
      <c r="U95" s="52" t="n">
        <v>0.34</v>
      </c>
      <c r="V95" s="52" t="n">
        <v>0.19</v>
      </c>
      <c r="W95" s="52" t="n">
        <v>0.14</v>
      </c>
      <c r="X95" s="52" t="n">
        <v>0.1</v>
      </c>
      <c r="Y95" s="52" t="n">
        <v>0</v>
      </c>
      <c r="Z95" s="52" t="n">
        <v>0.27</v>
      </c>
      <c r="AA95" s="52" t="n">
        <v>0.14</v>
      </c>
      <c r="AB95" s="52" t="n">
        <v>0.01</v>
      </c>
      <c r="AC95" s="52" t="n">
        <v>0.2</v>
      </c>
      <c r="AD95" s="52" t="n">
        <v>0.18</v>
      </c>
      <c r="AE95" s="52" t="n">
        <v>0.16</v>
      </c>
      <c r="AF95" s="52" t="n">
        <v>0.36</v>
      </c>
      <c r="AG95" s="52" t="n">
        <v>-0.01</v>
      </c>
      <c r="AH95" s="52" t="n">
        <v>0.03</v>
      </c>
      <c r="AI95" s="52" t="n">
        <v>0</v>
      </c>
      <c r="AJ95" s="52" t="n">
        <v>0.24</v>
      </c>
      <c r="AK95" s="52" t="n">
        <v>0.3</v>
      </c>
      <c r="AL95" s="52" t="n">
        <v>-0.03</v>
      </c>
      <c r="AM95" s="52" t="n">
        <v>0.13</v>
      </c>
      <c r="AN95" s="52" t="n">
        <v>0.03</v>
      </c>
      <c r="AO95" s="52" t="n">
        <v>-0.02</v>
      </c>
      <c r="AP95" s="52" t="n">
        <v>0.05</v>
      </c>
      <c r="AQ95" s="52" t="n">
        <v>0.05</v>
      </c>
      <c r="AR95" s="52" t="n">
        <v>0.04</v>
      </c>
      <c r="AS95" s="52" t="n">
        <v>0.24</v>
      </c>
      <c r="AT95" s="52" t="n">
        <v>0.02</v>
      </c>
      <c r="AU95" s="52" t="n">
        <v>0.01</v>
      </c>
      <c r="AV95" s="52" t="n">
        <v>0.2</v>
      </c>
      <c r="AW95" s="52" t="n">
        <v>0.29</v>
      </c>
      <c r="AX95" s="52" t="n">
        <v>0.04</v>
      </c>
      <c r="AY95" s="52" t="n">
        <v>0.06</v>
      </c>
      <c r="AZ95" s="52" t="n">
        <v>0.15</v>
      </c>
      <c r="BA95" s="52" t="n">
        <v>0.03</v>
      </c>
      <c r="BB95" s="52" t="n">
        <v>0.08</v>
      </c>
      <c r="BC95" s="52" t="n">
        <v>0.05</v>
      </c>
      <c r="BD95" s="52" t="n">
        <v>0.29</v>
      </c>
      <c r="BE95" s="52" t="n">
        <v>0.05</v>
      </c>
      <c r="BF95" s="52" t="n">
        <v>0.27</v>
      </c>
      <c r="BG95" s="52" t="n">
        <v>0.02</v>
      </c>
      <c r="BH95" s="52" t="n">
        <v>0.17</v>
      </c>
      <c r="BI95" s="52" t="n">
        <v>-0.03</v>
      </c>
      <c r="BJ95" s="52" t="n">
        <v>0.03</v>
      </c>
      <c r="BK95" s="52" t="n">
        <v>0.18</v>
      </c>
      <c r="BL95" s="52" t="n">
        <v>0.07</v>
      </c>
      <c r="BM95" s="52" t="n">
        <v>-0.05</v>
      </c>
      <c r="BN95" s="52" t="n">
        <v>0.01</v>
      </c>
      <c r="BO95" s="52" t="n">
        <v>-0.02</v>
      </c>
      <c r="BP95" s="52" t="n">
        <v>0.03</v>
      </c>
      <c r="BQ95" s="52" t="n">
        <v>0.24</v>
      </c>
      <c r="BR95" s="52" t="n">
        <v>-0.05</v>
      </c>
      <c r="BS95" s="52" t="n">
        <v>0</v>
      </c>
      <c r="BT95" s="52" t="n">
        <v>0.08</v>
      </c>
      <c r="BU95" s="52" t="n">
        <v>0.21</v>
      </c>
      <c r="BV95" s="52" t="n">
        <v>0.01</v>
      </c>
      <c r="BW95" s="52" t="n">
        <v>-0.06</v>
      </c>
      <c r="BX95" s="52" t="n">
        <v>0.09</v>
      </c>
      <c r="BY95" s="52" t="n">
        <v>-0.01</v>
      </c>
      <c r="BZ95" s="52" t="n">
        <v>0.09</v>
      </c>
      <c r="CA95" s="52" t="n">
        <v>0.21</v>
      </c>
      <c r="CB95" s="52" t="n">
        <v>0.14</v>
      </c>
      <c r="CC95" s="52" t="n">
        <v>0.03</v>
      </c>
      <c r="CD95" s="52" t="n">
        <v>0.03</v>
      </c>
      <c r="CE95" s="52" t="n">
        <v>0.05</v>
      </c>
      <c r="CF95" s="52" t="n">
        <v>0.02</v>
      </c>
      <c r="CG95" s="52" t="n">
        <v>-0.03</v>
      </c>
      <c r="CH95" s="52" t="n">
        <v>0.31</v>
      </c>
      <c r="CI95" s="52" t="n">
        <v>0.03</v>
      </c>
      <c r="CJ95" s="52" t="n">
        <v>-0.03</v>
      </c>
      <c r="CK95" s="52" t="n">
        <v>0.05</v>
      </c>
      <c r="CL95" s="52" t="n">
        <v>0.05</v>
      </c>
      <c r="CM95" s="52" t="n">
        <v>0.07</v>
      </c>
      <c r="CN95" s="52" t="n">
        <v>1</v>
      </c>
      <c r="CO95" s="52" t="n">
        <v>0.13</v>
      </c>
      <c r="CP95" s="52" t="n">
        <v>-0.03</v>
      </c>
      <c r="CQ95" s="52" t="n">
        <v>0.08</v>
      </c>
      <c r="CR95" s="52" t="n">
        <v>0.08</v>
      </c>
      <c r="CS95" s="52" t="n">
        <v>0.2</v>
      </c>
      <c r="CT95" s="52" t="n">
        <v>0.08</v>
      </c>
      <c r="CU95" s="52" t="n">
        <v>0.11</v>
      </c>
      <c r="CV95" s="52" t="n">
        <v>0.03</v>
      </c>
      <c r="CW95" s="52" t="n">
        <v>0.08</v>
      </c>
      <c r="CX95" s="52" t="n">
        <v>0.09</v>
      </c>
      <c r="CY95" s="52" t="n">
        <v>0.07</v>
      </c>
      <c r="CZ95" s="52" t="n">
        <v>0.15</v>
      </c>
      <c r="DA95" s="52" t="n">
        <v>-0.02</v>
      </c>
      <c r="DB95" s="52" t="n">
        <v>0.12</v>
      </c>
      <c r="DC95" s="52" t="n">
        <v>0.23</v>
      </c>
      <c r="DD95" s="52" t="n">
        <v>0.07</v>
      </c>
      <c r="DE95" s="52" t="n">
        <v>0.19</v>
      </c>
      <c r="DF95" s="52" t="n">
        <v>0.03</v>
      </c>
      <c r="DG95" s="52" t="n">
        <v>0.17</v>
      </c>
      <c r="DH95" s="52" t="n">
        <v>0.13</v>
      </c>
      <c r="DI95" s="52" t="n">
        <v>0.03</v>
      </c>
      <c r="DJ95" s="52" t="n">
        <v>0.13</v>
      </c>
      <c r="DK95" s="52" t="n">
        <v>0.06</v>
      </c>
      <c r="DL95" s="52" t="n">
        <v>0.25</v>
      </c>
      <c r="DM95" s="52" t="n">
        <v>0.13</v>
      </c>
      <c r="DN95" s="52" t="n">
        <v>0</v>
      </c>
      <c r="DO95" s="52" t="n">
        <v>0.02</v>
      </c>
      <c r="DP95" s="52" t="n">
        <v>0.1</v>
      </c>
      <c r="DQ95" s="52" t="n">
        <v>0.01</v>
      </c>
      <c r="DR95" s="52" t="n">
        <v>0.12</v>
      </c>
      <c r="DS95" s="52" t="n">
        <v>0.03</v>
      </c>
      <c r="DT95" s="52" t="n">
        <v>0.13</v>
      </c>
      <c r="DU95" s="52" t="n">
        <v>0.09</v>
      </c>
      <c r="DV95" s="52" t="n">
        <v>0.03</v>
      </c>
      <c r="DW95" s="52" t="n">
        <v>-0.04</v>
      </c>
      <c r="DX95" s="52" t="n">
        <v>0.12</v>
      </c>
      <c r="DY95" s="52" t="n">
        <v>0.04</v>
      </c>
      <c r="DZ95" s="52" t="n">
        <v>-0.03</v>
      </c>
      <c r="EA95" s="52" t="n">
        <v>0.05</v>
      </c>
      <c r="EB95" s="52" t="n">
        <v>0.07</v>
      </c>
      <c r="EC95" s="52" t="n">
        <v>-0.01</v>
      </c>
      <c r="ED95" s="52" t="n">
        <v>0.09</v>
      </c>
      <c r="EE95" s="52" t="n">
        <v>0.1</v>
      </c>
      <c r="EF95" s="52" t="n">
        <v>0.08</v>
      </c>
      <c r="EG95" s="52" t="n">
        <v>0.09</v>
      </c>
      <c r="EH95" s="52" t="n">
        <v>-0.08</v>
      </c>
      <c r="EI95" s="52" t="n">
        <v>0.05</v>
      </c>
      <c r="EJ95" s="52" t="n">
        <v>0.14</v>
      </c>
      <c r="EK95" s="52" t="n">
        <v>0.13</v>
      </c>
      <c r="EL95" s="52" t="n">
        <v>0.16</v>
      </c>
      <c r="EM95" s="52" t="n">
        <v>0.11</v>
      </c>
      <c r="EN95" s="52" t="n">
        <v>0.01</v>
      </c>
      <c r="EO95" s="52" t="n">
        <v>0.03</v>
      </c>
    </row>
    <row r="96" customFormat="false" ht="15" hidden="false" customHeight="false" outlineLevel="0" collapsed="false">
      <c r="A96" s="51" t="s">
        <v>237</v>
      </c>
      <c r="B96" s="52" t="n">
        <v>0.01</v>
      </c>
      <c r="C96" s="52" t="n">
        <v>0.07</v>
      </c>
      <c r="D96" s="52" t="n">
        <v>0</v>
      </c>
      <c r="E96" s="52" t="n">
        <v>0.14</v>
      </c>
      <c r="F96" s="52" t="n">
        <v>-0.02</v>
      </c>
      <c r="G96" s="52" t="n">
        <v>-0.04</v>
      </c>
      <c r="H96" s="52" t="n">
        <v>0.13</v>
      </c>
      <c r="I96" s="52" t="n">
        <v>0.12</v>
      </c>
      <c r="J96" s="52" t="n">
        <v>-0.07</v>
      </c>
      <c r="K96" s="52" t="n">
        <v>0.06</v>
      </c>
      <c r="L96" s="52" t="n">
        <v>0.09</v>
      </c>
      <c r="M96" s="52" t="n">
        <v>0.1</v>
      </c>
      <c r="N96" s="52" t="n">
        <v>0.06</v>
      </c>
      <c r="O96" s="52" t="n">
        <v>0.05</v>
      </c>
      <c r="P96" s="52" t="n">
        <v>0.03</v>
      </c>
      <c r="Q96" s="52" t="n">
        <v>-0.05</v>
      </c>
      <c r="R96" s="52" t="n">
        <v>0.05</v>
      </c>
      <c r="S96" s="52" t="n">
        <v>0.14</v>
      </c>
      <c r="T96" s="52" t="n">
        <v>0.08</v>
      </c>
      <c r="U96" s="52" t="n">
        <v>0.21</v>
      </c>
      <c r="V96" s="52" t="n">
        <v>0.18</v>
      </c>
      <c r="W96" s="52" t="n">
        <v>0.13</v>
      </c>
      <c r="X96" s="52" t="n">
        <v>0.1</v>
      </c>
      <c r="Y96" s="52" t="n">
        <v>0.04</v>
      </c>
      <c r="Z96" s="52" t="n">
        <v>0.11</v>
      </c>
      <c r="AA96" s="52" t="n">
        <v>0.03</v>
      </c>
      <c r="AB96" s="52" t="n">
        <v>0.07</v>
      </c>
      <c r="AC96" s="52" t="n">
        <v>-0.05</v>
      </c>
      <c r="AD96" s="52" t="n">
        <v>0.13</v>
      </c>
      <c r="AE96" s="52" t="n">
        <v>0.12</v>
      </c>
      <c r="AF96" s="52" t="n">
        <v>0.22</v>
      </c>
      <c r="AG96" s="52" t="n">
        <v>0</v>
      </c>
      <c r="AH96" s="52" t="n">
        <v>-0.01</v>
      </c>
      <c r="AI96" s="52" t="n">
        <v>-0.11</v>
      </c>
      <c r="AJ96" s="52" t="n">
        <v>0.05</v>
      </c>
      <c r="AK96" s="52" t="n">
        <v>0.15</v>
      </c>
      <c r="AL96" s="52" t="n">
        <v>0.05</v>
      </c>
      <c r="AM96" s="52" t="n">
        <v>0.06</v>
      </c>
      <c r="AN96" s="52" t="n">
        <v>0.14</v>
      </c>
      <c r="AO96" s="52" t="n">
        <v>-0.1</v>
      </c>
      <c r="AP96" s="52" t="n">
        <v>0.17</v>
      </c>
      <c r="AQ96" s="52" t="n">
        <v>-0.09</v>
      </c>
      <c r="AR96" s="52" t="n">
        <v>0.03</v>
      </c>
      <c r="AS96" s="52" t="n">
        <v>0.21</v>
      </c>
      <c r="AT96" s="52" t="n">
        <v>0.23</v>
      </c>
      <c r="AU96" s="52" t="n">
        <v>-0.05</v>
      </c>
      <c r="AV96" s="52" t="n">
        <v>0.16</v>
      </c>
      <c r="AW96" s="52" t="n">
        <v>0.2</v>
      </c>
      <c r="AX96" s="52" t="n">
        <v>-0.04</v>
      </c>
      <c r="AY96" s="52" t="n">
        <v>0.14</v>
      </c>
      <c r="AZ96" s="52" t="n">
        <v>0.16</v>
      </c>
      <c r="BA96" s="52" t="n">
        <v>0.11</v>
      </c>
      <c r="BB96" s="52" t="n">
        <v>0.14</v>
      </c>
      <c r="BC96" s="52" t="n">
        <v>0.15</v>
      </c>
      <c r="BD96" s="52" t="n">
        <v>0.2</v>
      </c>
      <c r="BE96" s="52" t="n">
        <v>0.04</v>
      </c>
      <c r="BF96" s="52" t="n">
        <v>0.2</v>
      </c>
      <c r="BG96" s="52" t="n">
        <v>0.1</v>
      </c>
      <c r="BH96" s="52" t="n">
        <v>0.17</v>
      </c>
      <c r="BI96" s="52" t="n">
        <v>0.12</v>
      </c>
      <c r="BJ96" s="52" t="n">
        <v>-0.07</v>
      </c>
      <c r="BK96" s="52" t="n">
        <v>0.17</v>
      </c>
      <c r="BL96" s="52" t="n">
        <v>0.11</v>
      </c>
      <c r="BM96" s="52" t="n">
        <v>0.14</v>
      </c>
      <c r="BN96" s="52" t="n">
        <v>-0.02</v>
      </c>
      <c r="BO96" s="52" t="n">
        <v>0.16</v>
      </c>
      <c r="BP96" s="52" t="n">
        <v>0.09</v>
      </c>
      <c r="BQ96" s="52" t="n">
        <v>0.21</v>
      </c>
      <c r="BR96" s="52" t="n">
        <v>0.15</v>
      </c>
      <c r="BS96" s="52" t="n">
        <v>-0.13</v>
      </c>
      <c r="BT96" s="52" t="n">
        <v>0.07</v>
      </c>
      <c r="BU96" s="52" t="n">
        <v>-0.01</v>
      </c>
      <c r="BV96" s="52" t="n">
        <v>0.11</v>
      </c>
      <c r="BW96" s="52" t="n">
        <v>0.17</v>
      </c>
      <c r="BX96" s="52" t="n">
        <v>0.04</v>
      </c>
      <c r="BY96" s="52" t="n">
        <v>0.08</v>
      </c>
      <c r="BZ96" s="52" t="n">
        <v>0.06</v>
      </c>
      <c r="CA96" s="52" t="n">
        <v>0.17</v>
      </c>
      <c r="CB96" s="52" t="n">
        <v>0.03</v>
      </c>
      <c r="CC96" s="52" t="n">
        <v>0.12</v>
      </c>
      <c r="CD96" s="52" t="n">
        <v>0.06</v>
      </c>
      <c r="CE96" s="52" t="n">
        <v>0.06</v>
      </c>
      <c r="CF96" s="52" t="n">
        <v>-0.06</v>
      </c>
      <c r="CG96" s="52" t="n">
        <v>0.11</v>
      </c>
      <c r="CH96" s="52" t="n">
        <v>0.2</v>
      </c>
      <c r="CI96" s="52" t="n">
        <v>-0.09</v>
      </c>
      <c r="CJ96" s="52" t="n">
        <v>-0.09</v>
      </c>
      <c r="CK96" s="52" t="n">
        <v>0.23</v>
      </c>
      <c r="CL96" s="52" t="n">
        <v>0.07</v>
      </c>
      <c r="CM96" s="52" t="n">
        <v>0.07</v>
      </c>
      <c r="CN96" s="52" t="n">
        <v>0.13</v>
      </c>
      <c r="CO96" s="52" t="n">
        <v>1</v>
      </c>
      <c r="CP96" s="52" t="n">
        <v>0.07</v>
      </c>
      <c r="CQ96" s="52" t="n">
        <v>0.16</v>
      </c>
      <c r="CR96" s="52" t="n">
        <v>0.16</v>
      </c>
      <c r="CS96" s="52" t="n">
        <v>0.14</v>
      </c>
      <c r="CT96" s="52" t="n">
        <v>0.18</v>
      </c>
      <c r="CU96" s="52" t="n">
        <v>0.15</v>
      </c>
      <c r="CV96" s="52" t="n">
        <v>0.11</v>
      </c>
      <c r="CW96" s="52" t="n">
        <v>0.1</v>
      </c>
      <c r="CX96" s="52" t="n">
        <v>0.13</v>
      </c>
      <c r="CY96" s="52" t="n">
        <v>0.14</v>
      </c>
      <c r="CZ96" s="52" t="n">
        <v>0.07</v>
      </c>
      <c r="DA96" s="52" t="n">
        <v>0.17</v>
      </c>
      <c r="DB96" s="52" t="n">
        <v>0.22</v>
      </c>
      <c r="DC96" s="52" t="n">
        <v>0.11</v>
      </c>
      <c r="DD96" s="52" t="n">
        <v>0.07</v>
      </c>
      <c r="DE96" s="52" t="n">
        <v>0.18</v>
      </c>
      <c r="DF96" s="52" t="n">
        <v>-0.04</v>
      </c>
      <c r="DG96" s="52" t="n">
        <v>0.08</v>
      </c>
      <c r="DH96" s="52" t="n">
        <v>0.14</v>
      </c>
      <c r="DI96" s="52" t="n">
        <v>0.14</v>
      </c>
      <c r="DJ96" s="52" t="n">
        <v>0.08</v>
      </c>
      <c r="DK96" s="52" t="n">
        <v>0.18</v>
      </c>
      <c r="DL96" s="52" t="n">
        <v>0.02</v>
      </c>
      <c r="DM96" s="52" t="n">
        <v>0.1</v>
      </c>
      <c r="DN96" s="52" t="n">
        <v>0.11</v>
      </c>
      <c r="DO96" s="52" t="n">
        <v>0.14</v>
      </c>
      <c r="DP96" s="52" t="n">
        <v>0.06</v>
      </c>
      <c r="DQ96" s="52" t="n">
        <v>0.15</v>
      </c>
      <c r="DR96" s="52" t="n">
        <v>0.04</v>
      </c>
      <c r="DS96" s="52" t="n">
        <v>0.08</v>
      </c>
      <c r="DT96" s="52" t="n">
        <v>0.11</v>
      </c>
      <c r="DU96" s="52" t="n">
        <v>0.18</v>
      </c>
      <c r="DV96" s="52" t="n">
        <v>0.02</v>
      </c>
      <c r="DW96" s="52" t="n">
        <v>0.15</v>
      </c>
      <c r="DX96" s="52" t="n">
        <v>0.13</v>
      </c>
      <c r="DY96" s="52" t="n">
        <v>0.24</v>
      </c>
      <c r="DZ96" s="52" t="n">
        <v>0.05</v>
      </c>
      <c r="EA96" s="52" t="n">
        <v>0.19</v>
      </c>
      <c r="EB96" s="52" t="n">
        <v>0.14</v>
      </c>
      <c r="EC96" s="52" t="n">
        <v>0.04</v>
      </c>
      <c r="ED96" s="52" t="n">
        <v>0.14</v>
      </c>
      <c r="EE96" s="52" t="n">
        <v>0.17</v>
      </c>
      <c r="EF96" s="52" t="n">
        <v>0.06</v>
      </c>
      <c r="EG96" s="52" t="n">
        <v>0.16</v>
      </c>
      <c r="EH96" s="52" t="n">
        <v>0.09</v>
      </c>
      <c r="EI96" s="52" t="n">
        <v>0.09</v>
      </c>
      <c r="EJ96" s="52" t="n">
        <v>0.18</v>
      </c>
      <c r="EK96" s="52" t="n">
        <v>0.05</v>
      </c>
      <c r="EL96" s="52" t="n">
        <v>0.08</v>
      </c>
      <c r="EM96" s="52" t="n">
        <v>0.05</v>
      </c>
      <c r="EN96" s="52" t="n">
        <v>0.07</v>
      </c>
      <c r="EO96" s="52" t="n">
        <v>0.02</v>
      </c>
    </row>
    <row r="97" customFormat="false" ht="15" hidden="false" customHeight="false" outlineLevel="0" collapsed="false">
      <c r="A97" s="51" t="s">
        <v>238</v>
      </c>
      <c r="B97" s="52" t="n">
        <v>0.17</v>
      </c>
      <c r="C97" s="52" t="n">
        <v>0.02</v>
      </c>
      <c r="D97" s="52" t="n">
        <v>0.05</v>
      </c>
      <c r="E97" s="52" t="n">
        <v>0.03</v>
      </c>
      <c r="F97" s="52" t="n">
        <v>0.11</v>
      </c>
      <c r="G97" s="52" t="n">
        <v>0.06</v>
      </c>
      <c r="H97" s="52" t="n">
        <v>0.05</v>
      </c>
      <c r="I97" s="52" t="n">
        <v>0.18</v>
      </c>
      <c r="J97" s="52" t="n">
        <v>0.11</v>
      </c>
      <c r="K97" s="52" t="n">
        <v>0.17</v>
      </c>
      <c r="L97" s="52" t="n">
        <v>0.05</v>
      </c>
      <c r="M97" s="52" t="n">
        <v>0.14</v>
      </c>
      <c r="N97" s="52" t="n">
        <v>0.19</v>
      </c>
      <c r="O97" s="52" t="n">
        <v>0.03</v>
      </c>
      <c r="P97" s="52" t="n">
        <v>0.08</v>
      </c>
      <c r="Q97" s="52" t="n">
        <v>0.11</v>
      </c>
      <c r="R97" s="52" t="n">
        <v>0.16</v>
      </c>
      <c r="S97" s="52" t="n">
        <v>-0.01</v>
      </c>
      <c r="T97" s="52" t="n">
        <v>0.14</v>
      </c>
      <c r="U97" s="52" t="n">
        <v>0.08</v>
      </c>
      <c r="V97" s="52" t="n">
        <v>-0.11</v>
      </c>
      <c r="W97" s="52" t="n">
        <v>0.12</v>
      </c>
      <c r="X97" s="52" t="n">
        <v>0.13</v>
      </c>
      <c r="Y97" s="52" t="n">
        <v>0.13</v>
      </c>
      <c r="Z97" s="52" t="n">
        <v>0.08</v>
      </c>
      <c r="AA97" s="52" t="n">
        <v>0.04</v>
      </c>
      <c r="AB97" s="52" t="n">
        <v>0.12</v>
      </c>
      <c r="AC97" s="52" t="n">
        <v>-0.03</v>
      </c>
      <c r="AD97" s="52" t="n">
        <v>-0.05</v>
      </c>
      <c r="AE97" s="52" t="n">
        <v>-0.02</v>
      </c>
      <c r="AF97" s="52" t="n">
        <v>0.01</v>
      </c>
      <c r="AG97" s="52" t="n">
        <v>-0.07</v>
      </c>
      <c r="AH97" s="52" t="n">
        <v>0.05</v>
      </c>
      <c r="AI97" s="52" t="n">
        <v>0.1</v>
      </c>
      <c r="AJ97" s="52" t="n">
        <v>0.03</v>
      </c>
      <c r="AK97" s="52" t="n">
        <v>-0.04</v>
      </c>
      <c r="AL97" s="52" t="n">
        <v>0.31</v>
      </c>
      <c r="AM97" s="52" t="n">
        <v>0.04</v>
      </c>
      <c r="AN97" s="52" t="n">
        <v>0.16</v>
      </c>
      <c r="AO97" s="52" t="n">
        <v>0.12</v>
      </c>
      <c r="AP97" s="52" t="n">
        <v>0.15</v>
      </c>
      <c r="AQ97" s="52" t="n">
        <v>0.07</v>
      </c>
      <c r="AR97" s="52" t="n">
        <v>0.11</v>
      </c>
      <c r="AS97" s="52" t="n">
        <v>0.11</v>
      </c>
      <c r="AT97" s="52" t="n">
        <v>0.12</v>
      </c>
      <c r="AU97" s="52" t="n">
        <v>0.13</v>
      </c>
      <c r="AV97" s="52" t="n">
        <v>0.1</v>
      </c>
      <c r="AW97" s="52" t="n">
        <v>0.02</v>
      </c>
      <c r="AX97" s="52" t="n">
        <v>0.1</v>
      </c>
      <c r="AY97" s="52" t="n">
        <v>0.13</v>
      </c>
      <c r="AZ97" s="52" t="n">
        <v>0.05</v>
      </c>
      <c r="BA97" s="52" t="n">
        <v>0.1</v>
      </c>
      <c r="BB97" s="52" t="n">
        <v>0.12</v>
      </c>
      <c r="BC97" s="52" t="n">
        <v>0.05</v>
      </c>
      <c r="BD97" s="52" t="n">
        <v>0.04</v>
      </c>
      <c r="BE97" s="52" t="n">
        <v>0.08</v>
      </c>
      <c r="BF97" s="52" t="n">
        <v>0.16</v>
      </c>
      <c r="BG97" s="52" t="n">
        <v>0.21</v>
      </c>
      <c r="BH97" s="52" t="n">
        <v>0.11</v>
      </c>
      <c r="BI97" s="52" t="n">
        <v>0.15</v>
      </c>
      <c r="BJ97" s="52" t="n">
        <v>-0.05</v>
      </c>
      <c r="BK97" s="52" t="n">
        <v>0.06</v>
      </c>
      <c r="BL97" s="52" t="n">
        <v>0.16</v>
      </c>
      <c r="BM97" s="52" t="n">
        <v>0.14</v>
      </c>
      <c r="BN97" s="52" t="n">
        <v>0.04</v>
      </c>
      <c r="BO97" s="52" t="n">
        <v>0.18</v>
      </c>
      <c r="BP97" s="52" t="n">
        <v>0.17</v>
      </c>
      <c r="BQ97" s="52" t="n">
        <v>0.05</v>
      </c>
      <c r="BR97" s="52" t="n">
        <v>0.25</v>
      </c>
      <c r="BS97" s="52" t="n">
        <v>0.06</v>
      </c>
      <c r="BT97" s="52" t="n">
        <v>0.05</v>
      </c>
      <c r="BU97" s="52" t="n">
        <v>-0.06</v>
      </c>
      <c r="BV97" s="52" t="n">
        <v>0.11</v>
      </c>
      <c r="BW97" s="52" t="n">
        <v>0.32</v>
      </c>
      <c r="BX97" s="52" t="n">
        <v>0.16</v>
      </c>
      <c r="BY97" s="52" t="n">
        <v>0.07</v>
      </c>
      <c r="BZ97" s="52" t="n">
        <v>0.1</v>
      </c>
      <c r="CA97" s="52" t="n">
        <v>-0.03</v>
      </c>
      <c r="CB97" s="52" t="n">
        <v>0.06</v>
      </c>
      <c r="CC97" s="52" t="n">
        <v>0.05</v>
      </c>
      <c r="CD97" s="52" t="n">
        <v>0.22</v>
      </c>
      <c r="CE97" s="52" t="n">
        <v>0.05</v>
      </c>
      <c r="CF97" s="52" t="n">
        <v>0.08</v>
      </c>
      <c r="CG97" s="52" t="n">
        <v>0.23</v>
      </c>
      <c r="CH97" s="52" t="n">
        <v>-0.01</v>
      </c>
      <c r="CI97" s="52" t="n">
        <v>0.03</v>
      </c>
      <c r="CJ97" s="52" t="n">
        <v>0.17</v>
      </c>
      <c r="CK97" s="52" t="n">
        <v>0.17</v>
      </c>
      <c r="CL97" s="52" t="n">
        <v>0.03</v>
      </c>
      <c r="CM97" s="52" t="n">
        <v>0.13</v>
      </c>
      <c r="CN97" s="52" t="n">
        <v>-0.03</v>
      </c>
      <c r="CO97" s="52" t="n">
        <v>0.07</v>
      </c>
      <c r="CP97" s="52" t="n">
        <v>1</v>
      </c>
      <c r="CQ97" s="52" t="n">
        <v>0.16</v>
      </c>
      <c r="CR97" s="52" t="n">
        <v>0.17</v>
      </c>
      <c r="CS97" s="52" t="n">
        <v>0.08</v>
      </c>
      <c r="CT97" s="52" t="n">
        <v>0.21</v>
      </c>
      <c r="CU97" s="52" t="n">
        <v>0.08</v>
      </c>
      <c r="CV97" s="52" t="n">
        <v>0.17</v>
      </c>
      <c r="CW97" s="52" t="n">
        <v>0.23</v>
      </c>
      <c r="CX97" s="52" t="n">
        <v>0.2</v>
      </c>
      <c r="CY97" s="52" t="n">
        <v>0.03</v>
      </c>
      <c r="CZ97" s="52" t="n">
        <v>0.18</v>
      </c>
      <c r="DA97" s="52" t="n">
        <v>0.19</v>
      </c>
      <c r="DB97" s="52" t="n">
        <v>0.2</v>
      </c>
      <c r="DC97" s="52" t="n">
        <v>0.07</v>
      </c>
      <c r="DD97" s="52" t="n">
        <v>0.21</v>
      </c>
      <c r="DE97" s="52" t="n">
        <v>0.06</v>
      </c>
      <c r="DF97" s="52" t="n">
        <v>0.18</v>
      </c>
      <c r="DG97" s="52" t="n">
        <v>0.1</v>
      </c>
      <c r="DH97" s="52" t="n">
        <v>0.18</v>
      </c>
      <c r="DI97" s="52" t="n">
        <v>0.14</v>
      </c>
      <c r="DJ97" s="52" t="n">
        <v>0.09</v>
      </c>
      <c r="DK97" s="52" t="n">
        <v>0.13</v>
      </c>
      <c r="DL97" s="52" t="n">
        <v>-0.08</v>
      </c>
      <c r="DM97" s="52" t="n">
        <v>0.12</v>
      </c>
      <c r="DN97" s="52" t="n">
        <v>0.2</v>
      </c>
      <c r="DO97" s="52" t="n">
        <v>0.14</v>
      </c>
      <c r="DP97" s="52" t="n">
        <v>0.15</v>
      </c>
      <c r="DQ97" s="52" t="n">
        <v>0.01</v>
      </c>
      <c r="DR97" s="52" t="n">
        <v>0.11</v>
      </c>
      <c r="DS97" s="52" t="n">
        <v>0.14</v>
      </c>
      <c r="DT97" s="52" t="n">
        <v>0.09</v>
      </c>
      <c r="DU97" s="52" t="n">
        <v>0.17</v>
      </c>
      <c r="DV97" s="52" t="n">
        <v>0.18</v>
      </c>
      <c r="DW97" s="52" t="n">
        <v>0.2</v>
      </c>
      <c r="DX97" s="52" t="n">
        <v>0.06</v>
      </c>
      <c r="DY97" s="52" t="n">
        <v>0.18</v>
      </c>
      <c r="DZ97" s="52" t="n">
        <v>0.29</v>
      </c>
      <c r="EA97" s="52" t="n">
        <v>0.17</v>
      </c>
      <c r="EB97" s="52" t="n">
        <v>0.21</v>
      </c>
      <c r="EC97" s="52" t="n">
        <v>-0.04</v>
      </c>
      <c r="ED97" s="52" t="n">
        <v>0.17</v>
      </c>
      <c r="EE97" s="52" t="n">
        <v>0.21</v>
      </c>
      <c r="EF97" s="52" t="n">
        <v>0.16</v>
      </c>
      <c r="EG97" s="52" t="n">
        <v>0.21</v>
      </c>
      <c r="EH97" s="52" t="n">
        <v>0.16</v>
      </c>
      <c r="EI97" s="52" t="n">
        <v>0.07</v>
      </c>
      <c r="EJ97" s="52" t="n">
        <v>0.09</v>
      </c>
      <c r="EK97" s="52" t="n">
        <v>0.17</v>
      </c>
      <c r="EL97" s="52" t="n">
        <v>0.13</v>
      </c>
      <c r="EM97" s="52" t="n">
        <v>0.14</v>
      </c>
      <c r="EN97" s="52" t="n">
        <v>0.14</v>
      </c>
      <c r="EO97" s="52" t="n">
        <v>0.09</v>
      </c>
    </row>
    <row r="98" customFormat="false" ht="15" hidden="false" customHeight="false" outlineLevel="0" collapsed="false">
      <c r="A98" s="51" t="s">
        <v>239</v>
      </c>
      <c r="B98" s="52" t="n">
        <v>0.27</v>
      </c>
      <c r="C98" s="52" t="n">
        <v>-0.03</v>
      </c>
      <c r="D98" s="52" t="n">
        <v>0.05</v>
      </c>
      <c r="E98" s="52" t="n">
        <v>0.18</v>
      </c>
      <c r="F98" s="52" t="n">
        <v>0.1</v>
      </c>
      <c r="G98" s="52" t="n">
        <v>-0.05</v>
      </c>
      <c r="H98" s="52" t="n">
        <v>0.08</v>
      </c>
      <c r="I98" s="52" t="n">
        <v>0.22</v>
      </c>
      <c r="J98" s="52" t="n">
        <v>0.1</v>
      </c>
      <c r="K98" s="52" t="n">
        <v>0.19</v>
      </c>
      <c r="L98" s="52" t="n">
        <v>0.13</v>
      </c>
      <c r="M98" s="52" t="n">
        <v>0.43</v>
      </c>
      <c r="N98" s="52" t="n">
        <v>0.29</v>
      </c>
      <c r="O98" s="52" t="n">
        <v>0.11</v>
      </c>
      <c r="P98" s="52" t="n">
        <v>0.09</v>
      </c>
      <c r="Q98" s="52" t="n">
        <v>0.02</v>
      </c>
      <c r="R98" s="52" t="n">
        <v>0.12</v>
      </c>
      <c r="S98" s="52" t="n">
        <v>0.08</v>
      </c>
      <c r="T98" s="52" t="n">
        <v>0.47</v>
      </c>
      <c r="U98" s="52" t="n">
        <v>0.17</v>
      </c>
      <c r="V98" s="52" t="n">
        <v>0.09</v>
      </c>
      <c r="W98" s="52" t="n">
        <v>0.07</v>
      </c>
      <c r="X98" s="52" t="n">
        <v>0.5</v>
      </c>
      <c r="Y98" s="52" t="n">
        <v>0.28</v>
      </c>
      <c r="Z98" s="52" t="n">
        <v>0.11</v>
      </c>
      <c r="AA98" s="52" t="n">
        <v>0.16</v>
      </c>
      <c r="AB98" s="52" t="n">
        <v>0.3</v>
      </c>
      <c r="AC98" s="52" t="n">
        <v>0.05</v>
      </c>
      <c r="AD98" s="52" t="n">
        <v>0.06</v>
      </c>
      <c r="AE98" s="52" t="n">
        <v>0.23</v>
      </c>
      <c r="AF98" s="52" t="n">
        <v>0.12</v>
      </c>
      <c r="AG98" s="52" t="n">
        <v>0.04</v>
      </c>
      <c r="AH98" s="52" t="n">
        <v>0.05</v>
      </c>
      <c r="AI98" s="52" t="n">
        <v>-0.22</v>
      </c>
      <c r="AJ98" s="52" t="n">
        <v>0.11</v>
      </c>
      <c r="AK98" s="52" t="n">
        <v>0.18</v>
      </c>
      <c r="AL98" s="52" t="n">
        <v>0.32</v>
      </c>
      <c r="AM98" s="52" t="n">
        <v>0.19</v>
      </c>
      <c r="AN98" s="52" t="n">
        <v>0.43</v>
      </c>
      <c r="AO98" s="52" t="n">
        <v>0.12</v>
      </c>
      <c r="AP98" s="52" t="n">
        <v>0.33</v>
      </c>
      <c r="AQ98" s="52" t="n">
        <v>-0.26</v>
      </c>
      <c r="AR98" s="52" t="n">
        <v>0.43</v>
      </c>
      <c r="AS98" s="52" t="n">
        <v>0.14</v>
      </c>
      <c r="AT98" s="52" t="n">
        <v>0.51</v>
      </c>
      <c r="AU98" s="52" t="n">
        <v>0.1</v>
      </c>
      <c r="AV98" s="52" t="n">
        <v>0.11</v>
      </c>
      <c r="AW98" s="52" t="n">
        <v>0.1</v>
      </c>
      <c r="AX98" s="52" t="n">
        <v>0.29</v>
      </c>
      <c r="AY98" s="52" t="n">
        <v>0.37</v>
      </c>
      <c r="AZ98" s="52" t="n">
        <v>0.31</v>
      </c>
      <c r="BA98" s="52" t="n">
        <v>0.41</v>
      </c>
      <c r="BB98" s="52" t="n">
        <v>0.62</v>
      </c>
      <c r="BC98" s="52" t="n">
        <v>0.15</v>
      </c>
      <c r="BD98" s="52" t="n">
        <v>0.14</v>
      </c>
      <c r="BE98" s="52" t="n">
        <v>0.22</v>
      </c>
      <c r="BF98" s="52" t="n">
        <v>0.19</v>
      </c>
      <c r="BG98" s="52" t="n">
        <v>0.33</v>
      </c>
      <c r="BH98" s="52" t="n">
        <v>0.14</v>
      </c>
      <c r="BI98" s="52" t="n">
        <v>0.14</v>
      </c>
      <c r="BJ98" s="52" t="n">
        <v>-0.02</v>
      </c>
      <c r="BK98" s="52" t="n">
        <v>0.22</v>
      </c>
      <c r="BL98" s="52" t="n">
        <v>0.33</v>
      </c>
      <c r="BM98" s="52" t="n">
        <v>0.33</v>
      </c>
      <c r="BN98" s="52" t="n">
        <v>0.16</v>
      </c>
      <c r="BO98" s="52" t="n">
        <v>0.35</v>
      </c>
      <c r="BP98" s="52" t="n">
        <v>0.16</v>
      </c>
      <c r="BQ98" s="52" t="n">
        <v>0.31</v>
      </c>
      <c r="BR98" s="52" t="n">
        <v>0.52</v>
      </c>
      <c r="BS98" s="52" t="n">
        <v>-0.21</v>
      </c>
      <c r="BT98" s="52" t="n">
        <v>0.5</v>
      </c>
      <c r="BU98" s="52" t="n">
        <v>0.15</v>
      </c>
      <c r="BV98" s="52" t="n">
        <v>0.31</v>
      </c>
      <c r="BW98" s="52" t="n">
        <v>0.28</v>
      </c>
      <c r="BX98" s="52" t="n">
        <v>0.14</v>
      </c>
      <c r="BY98" s="52" t="n">
        <v>0.48</v>
      </c>
      <c r="BZ98" s="52" t="n">
        <v>0.43</v>
      </c>
      <c r="CA98" s="52" t="n">
        <v>0.06</v>
      </c>
      <c r="CB98" s="52" t="n">
        <v>-0.02</v>
      </c>
      <c r="CC98" s="52" t="n">
        <v>0.17</v>
      </c>
      <c r="CD98" s="52" t="n">
        <v>0.26</v>
      </c>
      <c r="CE98" s="52" t="n">
        <v>0.23</v>
      </c>
      <c r="CF98" s="52" t="n">
        <v>-0.25</v>
      </c>
      <c r="CG98" s="52" t="n">
        <v>0.38</v>
      </c>
      <c r="CH98" s="52" t="n">
        <v>0.26</v>
      </c>
      <c r="CI98" s="52" t="n">
        <v>-0.27</v>
      </c>
      <c r="CJ98" s="52" t="n">
        <v>0.1</v>
      </c>
      <c r="CK98" s="52" t="n">
        <v>0.35</v>
      </c>
      <c r="CL98" s="52" t="n">
        <v>0.42</v>
      </c>
      <c r="CM98" s="52" t="n">
        <v>0.28</v>
      </c>
      <c r="CN98" s="52" t="n">
        <v>0.08</v>
      </c>
      <c r="CO98" s="52" t="n">
        <v>0.16</v>
      </c>
      <c r="CP98" s="52" t="n">
        <v>0.16</v>
      </c>
      <c r="CQ98" s="52" t="n">
        <v>1</v>
      </c>
      <c r="CR98" s="52" t="n">
        <v>0.44</v>
      </c>
      <c r="CS98" s="52" t="n">
        <v>0.46</v>
      </c>
      <c r="CT98" s="52" t="n">
        <v>0.28</v>
      </c>
      <c r="CU98" s="52" t="n">
        <v>0.17</v>
      </c>
      <c r="CV98" s="52" t="n">
        <v>0.26</v>
      </c>
      <c r="CW98" s="52" t="n">
        <v>0.26</v>
      </c>
      <c r="CX98" s="52" t="n">
        <v>0.37</v>
      </c>
      <c r="CY98" s="52" t="n">
        <v>0.77</v>
      </c>
      <c r="CZ98" s="52" t="n">
        <v>0.17</v>
      </c>
      <c r="DA98" s="52" t="n">
        <v>0.18</v>
      </c>
      <c r="DB98" s="52" t="n">
        <v>0.33</v>
      </c>
      <c r="DC98" s="52" t="n">
        <v>0.42</v>
      </c>
      <c r="DD98" s="52" t="n">
        <v>0.33</v>
      </c>
      <c r="DE98" s="52" t="n">
        <v>0.34</v>
      </c>
      <c r="DF98" s="52" t="n">
        <v>0.08</v>
      </c>
      <c r="DG98" s="52" t="n">
        <v>0.27</v>
      </c>
      <c r="DH98" s="52" t="n">
        <v>0.27</v>
      </c>
      <c r="DI98" s="52" t="n">
        <v>0.84</v>
      </c>
      <c r="DJ98" s="52" t="n">
        <v>0.58</v>
      </c>
      <c r="DK98" s="52" t="n">
        <v>0.9</v>
      </c>
      <c r="DL98" s="52" t="n">
        <v>0.06</v>
      </c>
      <c r="DM98" s="52" t="n">
        <v>0.7</v>
      </c>
      <c r="DN98" s="52" t="n">
        <v>0.29</v>
      </c>
      <c r="DO98" s="52" t="n">
        <v>0.33</v>
      </c>
      <c r="DP98" s="52" t="n">
        <v>0.64</v>
      </c>
      <c r="DQ98" s="52" t="n">
        <v>0.34</v>
      </c>
      <c r="DR98" s="52" t="n">
        <v>0.24</v>
      </c>
      <c r="DS98" s="52" t="n">
        <v>0.18</v>
      </c>
      <c r="DT98" s="52" t="n">
        <v>0.19</v>
      </c>
      <c r="DU98" s="52" t="n">
        <v>0.43</v>
      </c>
      <c r="DV98" s="52" t="n">
        <v>0.19</v>
      </c>
      <c r="DW98" s="52" t="n">
        <v>0.34</v>
      </c>
      <c r="DX98" s="52" t="n">
        <v>0.38</v>
      </c>
      <c r="DY98" s="52" t="n">
        <v>0.45</v>
      </c>
      <c r="DZ98" s="52" t="n">
        <v>0.14</v>
      </c>
      <c r="EA98" s="52" t="n">
        <v>0.26</v>
      </c>
      <c r="EB98" s="52" t="n">
        <v>0.5</v>
      </c>
      <c r="EC98" s="52" t="n">
        <v>-0.01</v>
      </c>
      <c r="ED98" s="52" t="n">
        <v>0.3</v>
      </c>
      <c r="EE98" s="52" t="n">
        <v>0.37</v>
      </c>
      <c r="EF98" s="52" t="n">
        <v>0.31</v>
      </c>
      <c r="EG98" s="52" t="n">
        <v>0.29</v>
      </c>
      <c r="EH98" s="52" t="n">
        <v>0.16</v>
      </c>
      <c r="EI98" s="52" t="n">
        <v>0.3</v>
      </c>
      <c r="EJ98" s="52" t="n">
        <v>0.39</v>
      </c>
      <c r="EK98" s="52" t="n">
        <v>0.31</v>
      </c>
      <c r="EL98" s="52" t="n">
        <v>0.37</v>
      </c>
      <c r="EM98" s="52" t="n">
        <v>0.19</v>
      </c>
      <c r="EN98" s="52" t="n">
        <v>0.1</v>
      </c>
      <c r="EO98" s="52" t="n">
        <v>0.14</v>
      </c>
    </row>
    <row r="99" customFormat="false" ht="15" hidden="false" customHeight="false" outlineLevel="0" collapsed="false">
      <c r="A99" s="51" t="s">
        <v>240</v>
      </c>
      <c r="B99" s="52" t="n">
        <v>-0.06</v>
      </c>
      <c r="C99" s="52" t="n">
        <v>-0.06</v>
      </c>
      <c r="D99" s="52" t="n">
        <v>-0.01</v>
      </c>
      <c r="E99" s="52" t="n">
        <v>0.08</v>
      </c>
      <c r="F99" s="52" t="n">
        <v>-0.13</v>
      </c>
      <c r="G99" s="52" t="n">
        <v>-0.01</v>
      </c>
      <c r="H99" s="52" t="n">
        <v>0.11</v>
      </c>
      <c r="I99" s="52" t="n">
        <v>-0.06</v>
      </c>
      <c r="J99" s="52" t="n">
        <v>-0.11</v>
      </c>
      <c r="K99" s="52" t="n">
        <v>-0.04</v>
      </c>
      <c r="L99" s="52" t="n">
        <v>0.13</v>
      </c>
      <c r="M99" s="52" t="n">
        <v>0.31</v>
      </c>
      <c r="N99" s="52" t="n">
        <v>0.03</v>
      </c>
      <c r="O99" s="52" t="n">
        <v>0.05</v>
      </c>
      <c r="P99" s="52" t="n">
        <v>-0.05</v>
      </c>
      <c r="Q99" s="52" t="n">
        <v>0.09</v>
      </c>
      <c r="R99" s="52" t="n">
        <v>-0.11</v>
      </c>
      <c r="S99" s="52" t="n">
        <v>0.01</v>
      </c>
      <c r="T99" s="52" t="n">
        <v>0.19</v>
      </c>
      <c r="U99" s="52" t="n">
        <v>0.18</v>
      </c>
      <c r="V99" s="52" t="n">
        <v>0.07</v>
      </c>
      <c r="W99" s="52" t="n">
        <v>0.02</v>
      </c>
      <c r="X99" s="52" t="n">
        <v>0.21</v>
      </c>
      <c r="Y99" s="52" t="n">
        <v>0</v>
      </c>
      <c r="Z99" s="52" t="n">
        <v>0.11</v>
      </c>
      <c r="AA99" s="52" t="n">
        <v>0.11</v>
      </c>
      <c r="AB99" s="52" t="n">
        <v>-0.02</v>
      </c>
      <c r="AC99" s="52" t="n">
        <v>0.06</v>
      </c>
      <c r="AD99" s="52" t="n">
        <v>0.17</v>
      </c>
      <c r="AE99" s="52" t="n">
        <v>0.22</v>
      </c>
      <c r="AF99" s="52" t="n">
        <v>0.14</v>
      </c>
      <c r="AG99" s="52" t="n">
        <v>-0.22</v>
      </c>
      <c r="AH99" s="52" t="n">
        <v>-0.24</v>
      </c>
      <c r="AI99" s="52" t="n">
        <v>-0.2</v>
      </c>
      <c r="AJ99" s="52" t="n">
        <v>0.07</v>
      </c>
      <c r="AK99" s="52" t="n">
        <v>0.2</v>
      </c>
      <c r="AL99" s="52" t="n">
        <v>0.17</v>
      </c>
      <c r="AM99" s="52" t="n">
        <v>0.15</v>
      </c>
      <c r="AN99" s="52" t="n">
        <v>0.19</v>
      </c>
      <c r="AO99" s="52" t="n">
        <v>-0.07</v>
      </c>
      <c r="AP99" s="52" t="n">
        <v>0.1</v>
      </c>
      <c r="AQ99" s="52" t="n">
        <v>-0.18</v>
      </c>
      <c r="AR99" s="52" t="n">
        <v>0.17</v>
      </c>
      <c r="AS99" s="52" t="n">
        <v>0.2</v>
      </c>
      <c r="AT99" s="52" t="n">
        <v>0.21</v>
      </c>
      <c r="AU99" s="52" t="n">
        <v>-0.03</v>
      </c>
      <c r="AV99" s="52" t="n">
        <v>0.14</v>
      </c>
      <c r="AW99" s="52" t="n">
        <v>0.15</v>
      </c>
      <c r="AX99" s="52" t="n">
        <v>0.01</v>
      </c>
      <c r="AY99" s="52" t="n">
        <v>0.15</v>
      </c>
      <c r="AZ99" s="52" t="n">
        <v>0.27</v>
      </c>
      <c r="BA99" s="52" t="n">
        <v>0.23</v>
      </c>
      <c r="BB99" s="52" t="n">
        <v>0.41</v>
      </c>
      <c r="BC99" s="52" t="n">
        <v>0.15</v>
      </c>
      <c r="BD99" s="52" t="n">
        <v>0.16</v>
      </c>
      <c r="BE99" s="52" t="n">
        <v>0.05</v>
      </c>
      <c r="BF99" s="52" t="n">
        <v>0.17</v>
      </c>
      <c r="BG99" s="52" t="n">
        <v>0.15</v>
      </c>
      <c r="BH99" s="52" t="n">
        <v>0.15</v>
      </c>
      <c r="BI99" s="52" t="n">
        <v>0.04</v>
      </c>
      <c r="BJ99" s="52" t="n">
        <v>0.03</v>
      </c>
      <c r="BK99" s="52" t="n">
        <v>0.22</v>
      </c>
      <c r="BL99" s="52" t="n">
        <v>0.4</v>
      </c>
      <c r="BM99" s="52" t="n">
        <v>0.06</v>
      </c>
      <c r="BN99" s="52" t="n">
        <v>0.03</v>
      </c>
      <c r="BO99" s="52" t="n">
        <v>0.34</v>
      </c>
      <c r="BP99" s="52" t="n">
        <v>0.19</v>
      </c>
      <c r="BQ99" s="52" t="n">
        <v>0.31</v>
      </c>
      <c r="BR99" s="52" t="n">
        <v>0.29</v>
      </c>
      <c r="BS99" s="52" t="n">
        <v>-0.07</v>
      </c>
      <c r="BT99" s="52" t="n">
        <v>0.39</v>
      </c>
      <c r="BU99" s="52" t="n">
        <v>0.09</v>
      </c>
      <c r="BV99" s="52" t="n">
        <v>0.31</v>
      </c>
      <c r="BW99" s="52" t="n">
        <v>0.22</v>
      </c>
      <c r="BX99" s="52" t="n">
        <v>-0.02</v>
      </c>
      <c r="BY99" s="52" t="n">
        <v>0.28</v>
      </c>
      <c r="BZ99" s="52" t="n">
        <v>0.3</v>
      </c>
      <c r="CA99" s="52" t="n">
        <v>0.14</v>
      </c>
      <c r="CB99" s="52" t="n">
        <v>-0.08</v>
      </c>
      <c r="CC99" s="52" t="n">
        <v>0.06</v>
      </c>
      <c r="CD99" s="52" t="n">
        <v>0.22</v>
      </c>
      <c r="CE99" s="52" t="n">
        <v>0.36</v>
      </c>
      <c r="CF99" s="52" t="n">
        <v>-0.12</v>
      </c>
      <c r="CG99" s="52" t="n">
        <v>0.15</v>
      </c>
      <c r="CH99" s="52" t="n">
        <v>0.41</v>
      </c>
      <c r="CI99" s="52" t="n">
        <v>-0.16</v>
      </c>
      <c r="CJ99" s="52" t="n">
        <v>-0.03</v>
      </c>
      <c r="CK99" s="52" t="n">
        <v>0.06</v>
      </c>
      <c r="CL99" s="52" t="n">
        <v>0.26</v>
      </c>
      <c r="CM99" s="52" t="n">
        <v>0.66</v>
      </c>
      <c r="CN99" s="52" t="n">
        <v>0.08</v>
      </c>
      <c r="CO99" s="52" t="n">
        <v>0.16</v>
      </c>
      <c r="CP99" s="52" t="n">
        <v>0.17</v>
      </c>
      <c r="CQ99" s="52" t="n">
        <v>0.44</v>
      </c>
      <c r="CR99" s="52" t="n">
        <v>1</v>
      </c>
      <c r="CS99" s="52" t="n">
        <v>0.64</v>
      </c>
      <c r="CT99" s="52" t="n">
        <v>0.28</v>
      </c>
      <c r="CU99" s="52" t="n">
        <v>0.33</v>
      </c>
      <c r="CV99" s="52" t="n">
        <v>0.22</v>
      </c>
      <c r="CW99" s="52" t="n">
        <v>0.25</v>
      </c>
      <c r="CX99" s="52" t="n">
        <v>0.34</v>
      </c>
      <c r="CY99" s="52" t="n">
        <v>0.33</v>
      </c>
      <c r="CZ99" s="52" t="n">
        <v>0.09</v>
      </c>
      <c r="DA99" s="52" t="n">
        <v>0.14</v>
      </c>
      <c r="DB99" s="52" t="n">
        <v>0.47</v>
      </c>
      <c r="DC99" s="52" t="n">
        <v>0.28</v>
      </c>
      <c r="DD99" s="52" t="n">
        <v>0.28</v>
      </c>
      <c r="DE99" s="52" t="n">
        <v>0.54</v>
      </c>
      <c r="DF99" s="52" t="n">
        <v>-0.08</v>
      </c>
      <c r="DG99" s="52" t="n">
        <v>0.37</v>
      </c>
      <c r="DH99" s="52" t="n">
        <v>0.61</v>
      </c>
      <c r="DI99" s="52" t="n">
        <v>0.35</v>
      </c>
      <c r="DJ99" s="52" t="n">
        <v>0.34</v>
      </c>
      <c r="DK99" s="52" t="n">
        <v>0.44</v>
      </c>
      <c r="DL99" s="52" t="n">
        <v>0.2</v>
      </c>
      <c r="DM99" s="52" t="n">
        <v>0.41</v>
      </c>
      <c r="DN99" s="52" t="n">
        <v>0.13</v>
      </c>
      <c r="DO99" s="52" t="n">
        <v>0.32</v>
      </c>
      <c r="DP99" s="52" t="n">
        <v>0.32</v>
      </c>
      <c r="DQ99" s="52" t="n">
        <v>0.36</v>
      </c>
      <c r="DR99" s="52" t="n">
        <v>0.36</v>
      </c>
      <c r="DS99" s="52" t="n">
        <v>0.08</v>
      </c>
      <c r="DT99" s="52" t="n">
        <v>0.43</v>
      </c>
      <c r="DU99" s="52" t="n">
        <v>0.4</v>
      </c>
      <c r="DV99" s="52" t="n">
        <v>0.23</v>
      </c>
      <c r="DW99" s="52" t="n">
        <v>0.25</v>
      </c>
      <c r="DX99" s="52" t="n">
        <v>0.73</v>
      </c>
      <c r="DY99" s="52" t="n">
        <v>0.32</v>
      </c>
      <c r="DZ99" s="52" t="n">
        <v>0.14</v>
      </c>
      <c r="EA99" s="52" t="n">
        <v>0.24</v>
      </c>
      <c r="EB99" s="52" t="n">
        <v>0.34</v>
      </c>
      <c r="EC99" s="52" t="n">
        <v>0.15</v>
      </c>
      <c r="ED99" s="52" t="n">
        <v>0.3</v>
      </c>
      <c r="EE99" s="52" t="n">
        <v>0.67</v>
      </c>
      <c r="EF99" s="52" t="n">
        <v>0.29</v>
      </c>
      <c r="EG99" s="52" t="n">
        <v>0.54</v>
      </c>
      <c r="EH99" s="52" t="n">
        <v>0.1</v>
      </c>
      <c r="EI99" s="52" t="n">
        <v>0.63</v>
      </c>
      <c r="EJ99" s="52" t="n">
        <v>0.31</v>
      </c>
      <c r="EK99" s="52" t="n">
        <v>0.48</v>
      </c>
      <c r="EL99" s="52" t="n">
        <v>0.57</v>
      </c>
      <c r="EM99" s="52" t="n">
        <v>0.2</v>
      </c>
      <c r="EN99" s="52" t="n">
        <v>0.12</v>
      </c>
      <c r="EO99" s="52" t="n">
        <v>0.13</v>
      </c>
    </row>
    <row r="100" customFormat="false" ht="15" hidden="false" customHeight="false" outlineLevel="0" collapsed="false">
      <c r="A100" s="51" t="s">
        <v>241</v>
      </c>
      <c r="B100" s="52" t="n">
        <v>0</v>
      </c>
      <c r="C100" s="52" t="n">
        <v>0.05</v>
      </c>
      <c r="D100" s="52" t="n">
        <v>0.03</v>
      </c>
      <c r="E100" s="52" t="n">
        <v>0.07</v>
      </c>
      <c r="F100" s="52" t="n">
        <v>-0.14</v>
      </c>
      <c r="G100" s="52" t="n">
        <v>0</v>
      </c>
      <c r="H100" s="52" t="n">
        <v>0.11</v>
      </c>
      <c r="I100" s="52" t="n">
        <v>-0.03</v>
      </c>
      <c r="J100" s="52" t="n">
        <v>0.04</v>
      </c>
      <c r="K100" s="52" t="n">
        <v>0.05</v>
      </c>
      <c r="L100" s="52" t="n">
        <v>0.08</v>
      </c>
      <c r="M100" s="52" t="n">
        <v>0.28</v>
      </c>
      <c r="N100" s="52" t="n">
        <v>0.09</v>
      </c>
      <c r="O100" s="52" t="n">
        <v>0.12</v>
      </c>
      <c r="P100" s="52" t="n">
        <v>0.04</v>
      </c>
      <c r="Q100" s="52" t="n">
        <v>0.09</v>
      </c>
      <c r="R100" s="52" t="n">
        <v>-0.04</v>
      </c>
      <c r="S100" s="52" t="n">
        <v>0.03</v>
      </c>
      <c r="T100" s="52" t="n">
        <v>0.33</v>
      </c>
      <c r="U100" s="52" t="n">
        <v>0.19</v>
      </c>
      <c r="V100" s="52" t="n">
        <v>0.02</v>
      </c>
      <c r="W100" s="52" t="n">
        <v>0.16</v>
      </c>
      <c r="X100" s="52" t="n">
        <v>0.43</v>
      </c>
      <c r="Y100" s="52" t="n">
        <v>0</v>
      </c>
      <c r="Z100" s="52" t="n">
        <v>0.13</v>
      </c>
      <c r="AA100" s="52" t="n">
        <v>0.1</v>
      </c>
      <c r="AB100" s="52" t="n">
        <v>-0.07</v>
      </c>
      <c r="AC100" s="52" t="n">
        <v>0.1</v>
      </c>
      <c r="AD100" s="52" t="n">
        <v>0.2</v>
      </c>
      <c r="AE100" s="52" t="n">
        <v>0.25</v>
      </c>
      <c r="AF100" s="52" t="n">
        <v>0.25</v>
      </c>
      <c r="AG100" s="52" t="n">
        <v>-0.07</v>
      </c>
      <c r="AH100" s="52" t="n">
        <v>-0.01</v>
      </c>
      <c r="AI100" s="52" t="n">
        <v>-0.04</v>
      </c>
      <c r="AJ100" s="52" t="n">
        <v>0.08</v>
      </c>
      <c r="AK100" s="52" t="n">
        <v>0.24</v>
      </c>
      <c r="AL100" s="52" t="n">
        <v>0.12</v>
      </c>
      <c r="AM100" s="52" t="n">
        <v>0.16</v>
      </c>
      <c r="AN100" s="52" t="n">
        <v>0.24</v>
      </c>
      <c r="AO100" s="52" t="n">
        <v>0.04</v>
      </c>
      <c r="AP100" s="52" t="n">
        <v>0.06</v>
      </c>
      <c r="AQ100" s="52" t="n">
        <v>-0.03</v>
      </c>
      <c r="AR100" s="52" t="n">
        <v>0.33</v>
      </c>
      <c r="AS100" s="52" t="n">
        <v>0.14</v>
      </c>
      <c r="AT100" s="52" t="n">
        <v>0.23</v>
      </c>
      <c r="AU100" s="52" t="n">
        <v>0.14</v>
      </c>
      <c r="AV100" s="52" t="n">
        <v>0.16</v>
      </c>
      <c r="AW100" s="52" t="n">
        <v>0.24</v>
      </c>
      <c r="AX100" s="52" t="n">
        <v>0.14</v>
      </c>
      <c r="AY100" s="52" t="n">
        <v>0.19</v>
      </c>
      <c r="AZ100" s="52" t="n">
        <v>0.28</v>
      </c>
      <c r="BA100" s="52" t="n">
        <v>0.41</v>
      </c>
      <c r="BB100" s="52" t="n">
        <v>0.44</v>
      </c>
      <c r="BC100" s="52" t="n">
        <v>0.16</v>
      </c>
      <c r="BD100" s="52" t="n">
        <v>0.21</v>
      </c>
      <c r="BE100" s="52" t="n">
        <v>0.15</v>
      </c>
      <c r="BF100" s="52" t="n">
        <v>0.19</v>
      </c>
      <c r="BG100" s="52" t="n">
        <v>0.1</v>
      </c>
      <c r="BH100" s="52" t="n">
        <v>0.12</v>
      </c>
      <c r="BI100" s="52" t="n">
        <v>-0.01</v>
      </c>
      <c r="BJ100" s="52" t="n">
        <v>0.06</v>
      </c>
      <c r="BK100" s="52" t="n">
        <v>0.26</v>
      </c>
      <c r="BL100" s="52" t="n">
        <v>0.38</v>
      </c>
      <c r="BM100" s="52" t="n">
        <v>0.09</v>
      </c>
      <c r="BN100" s="52" t="n">
        <v>0.14</v>
      </c>
      <c r="BO100" s="52" t="n">
        <v>0.32</v>
      </c>
      <c r="BP100" s="52" t="n">
        <v>-0.1</v>
      </c>
      <c r="BQ100" s="52" t="n">
        <v>0.41</v>
      </c>
      <c r="BR100" s="52" t="n">
        <v>0.24</v>
      </c>
      <c r="BS100" s="52" t="n">
        <v>0.02</v>
      </c>
      <c r="BT100" s="52" t="n">
        <v>0.48</v>
      </c>
      <c r="BU100" s="52" t="n">
        <v>0.15</v>
      </c>
      <c r="BV100" s="52" t="n">
        <v>0.16</v>
      </c>
      <c r="BW100" s="52" t="n">
        <v>0.1</v>
      </c>
      <c r="BX100" s="52" t="n">
        <v>0.1</v>
      </c>
      <c r="BY100" s="52" t="n">
        <v>0.29</v>
      </c>
      <c r="BZ100" s="52" t="n">
        <v>0.28</v>
      </c>
      <c r="CA100" s="52" t="n">
        <v>0.15</v>
      </c>
      <c r="CB100" s="52" t="n">
        <v>-0.06</v>
      </c>
      <c r="CC100" s="52" t="n">
        <v>0.09</v>
      </c>
      <c r="CD100" s="52" t="n">
        <v>0.04</v>
      </c>
      <c r="CE100" s="52" t="n">
        <v>0.39</v>
      </c>
      <c r="CF100" s="52" t="n">
        <v>-0.02</v>
      </c>
      <c r="CG100" s="52" t="n">
        <v>0.05</v>
      </c>
      <c r="CH100" s="52" t="n">
        <v>0.45</v>
      </c>
      <c r="CI100" s="52" t="n">
        <v>-0.04</v>
      </c>
      <c r="CJ100" s="52" t="n">
        <v>-0.15</v>
      </c>
      <c r="CK100" s="52" t="n">
        <v>0.01</v>
      </c>
      <c r="CL100" s="52" t="n">
        <v>0.27</v>
      </c>
      <c r="CM100" s="52" t="n">
        <v>0.41</v>
      </c>
      <c r="CN100" s="52" t="n">
        <v>0.2</v>
      </c>
      <c r="CO100" s="52" t="n">
        <v>0.14</v>
      </c>
      <c r="CP100" s="52" t="n">
        <v>0.08</v>
      </c>
      <c r="CQ100" s="52" t="n">
        <v>0.46</v>
      </c>
      <c r="CR100" s="52" t="n">
        <v>0.64</v>
      </c>
      <c r="CS100" s="52" t="n">
        <v>1</v>
      </c>
      <c r="CT100" s="52" t="n">
        <v>0.22</v>
      </c>
      <c r="CU100" s="52" t="n">
        <v>0.23</v>
      </c>
      <c r="CV100" s="52" t="n">
        <v>0.12</v>
      </c>
      <c r="CW100" s="52" t="n">
        <v>0.1</v>
      </c>
      <c r="CX100" s="52" t="n">
        <v>0.31</v>
      </c>
      <c r="CY100" s="52" t="n">
        <v>0.39</v>
      </c>
      <c r="CZ100" s="52" t="n">
        <v>0.01</v>
      </c>
      <c r="DA100" s="52" t="n">
        <v>0</v>
      </c>
      <c r="DB100" s="52" t="n">
        <v>0.37</v>
      </c>
      <c r="DC100" s="52" t="n">
        <v>0.28</v>
      </c>
      <c r="DD100" s="52" t="n">
        <v>0.14</v>
      </c>
      <c r="DE100" s="52" t="n">
        <v>0.52</v>
      </c>
      <c r="DF100" s="52" t="n">
        <v>-0.22</v>
      </c>
      <c r="DG100" s="52" t="n">
        <v>0.39</v>
      </c>
      <c r="DH100" s="52" t="n">
        <v>0.5</v>
      </c>
      <c r="DI100" s="52" t="n">
        <v>0.38</v>
      </c>
      <c r="DJ100" s="52" t="n">
        <v>0.33</v>
      </c>
      <c r="DK100" s="52" t="n">
        <v>0.47</v>
      </c>
      <c r="DL100" s="52" t="n">
        <v>0.23</v>
      </c>
      <c r="DM100" s="52" t="n">
        <v>0.42</v>
      </c>
      <c r="DN100" s="52" t="n">
        <v>-0.02</v>
      </c>
      <c r="DO100" s="52" t="n">
        <v>0.44</v>
      </c>
      <c r="DP100" s="52" t="n">
        <v>0.33</v>
      </c>
      <c r="DQ100" s="52" t="n">
        <v>0.39</v>
      </c>
      <c r="DR100" s="52" t="n">
        <v>0.36</v>
      </c>
      <c r="DS100" s="52" t="n">
        <v>-0.1</v>
      </c>
      <c r="DT100" s="52" t="n">
        <v>0.22</v>
      </c>
      <c r="DU100" s="52" t="n">
        <v>0.32</v>
      </c>
      <c r="DV100" s="52" t="n">
        <v>0.12</v>
      </c>
      <c r="DW100" s="52" t="n">
        <v>0.03</v>
      </c>
      <c r="DX100" s="52" t="n">
        <v>0.71</v>
      </c>
      <c r="DY100" s="52" t="n">
        <v>0.18</v>
      </c>
      <c r="DZ100" s="52" t="n">
        <v>0.01</v>
      </c>
      <c r="EA100" s="52" t="n">
        <v>0.21</v>
      </c>
      <c r="EB100" s="52" t="n">
        <v>0.23</v>
      </c>
      <c r="EC100" s="52" t="n">
        <v>0.15</v>
      </c>
      <c r="ED100" s="52" t="n">
        <v>0.25</v>
      </c>
      <c r="EE100" s="52" t="n">
        <v>0.56</v>
      </c>
      <c r="EF100" s="52" t="n">
        <v>0.33</v>
      </c>
      <c r="EG100" s="52" t="n">
        <v>0.49</v>
      </c>
      <c r="EH100" s="52" t="n">
        <v>-0.06</v>
      </c>
      <c r="EI100" s="52" t="n">
        <v>0.55</v>
      </c>
      <c r="EJ100" s="52" t="n">
        <v>0.23</v>
      </c>
      <c r="EK100" s="52" t="n">
        <v>0.48</v>
      </c>
      <c r="EL100" s="52" t="n">
        <v>0.51</v>
      </c>
      <c r="EM100" s="52" t="n">
        <v>0.07</v>
      </c>
      <c r="EN100" s="52" t="n">
        <v>0.05</v>
      </c>
      <c r="EO100" s="52" t="n">
        <v>0.09</v>
      </c>
    </row>
    <row r="101" customFormat="false" ht="15" hidden="false" customHeight="false" outlineLevel="0" collapsed="false">
      <c r="A101" s="51" t="s">
        <v>242</v>
      </c>
      <c r="B101" s="52" t="n">
        <v>0.1</v>
      </c>
      <c r="C101" s="52" t="n">
        <v>0.03</v>
      </c>
      <c r="D101" s="52" t="n">
        <v>0.07</v>
      </c>
      <c r="E101" s="52" t="n">
        <v>0.15</v>
      </c>
      <c r="F101" s="52" t="n">
        <v>-0.02</v>
      </c>
      <c r="G101" s="52" t="n">
        <v>0.15</v>
      </c>
      <c r="H101" s="52" t="n">
        <v>0.15</v>
      </c>
      <c r="I101" s="52" t="n">
        <v>0.06</v>
      </c>
      <c r="J101" s="52" t="n">
        <v>0</v>
      </c>
      <c r="K101" s="52" t="n">
        <v>0.08</v>
      </c>
      <c r="L101" s="52" t="n">
        <v>0.1</v>
      </c>
      <c r="M101" s="52" t="n">
        <v>0.26</v>
      </c>
      <c r="N101" s="52" t="n">
        <v>0.2</v>
      </c>
      <c r="O101" s="52" t="n">
        <v>0.15</v>
      </c>
      <c r="P101" s="52" t="n">
        <v>0.08</v>
      </c>
      <c r="Q101" s="52" t="n">
        <v>0.1</v>
      </c>
      <c r="R101" s="52" t="n">
        <v>0.01</v>
      </c>
      <c r="S101" s="52" t="n">
        <v>0.05</v>
      </c>
      <c r="T101" s="52" t="n">
        <v>0.25</v>
      </c>
      <c r="U101" s="52" t="n">
        <v>0.28</v>
      </c>
      <c r="V101" s="52" t="n">
        <v>0.19</v>
      </c>
      <c r="W101" s="52" t="n">
        <v>0.14</v>
      </c>
      <c r="X101" s="52" t="n">
        <v>0.27</v>
      </c>
      <c r="Y101" s="52" t="n">
        <v>0.25</v>
      </c>
      <c r="Z101" s="52" t="n">
        <v>0.15</v>
      </c>
      <c r="AA101" s="52" t="n">
        <v>0.13</v>
      </c>
      <c r="AB101" s="52" t="n">
        <v>0.24</v>
      </c>
      <c r="AC101" s="52" t="n">
        <v>0.14</v>
      </c>
      <c r="AD101" s="52" t="n">
        <v>0.1</v>
      </c>
      <c r="AE101" s="52" t="n">
        <v>0.11</v>
      </c>
      <c r="AF101" s="52" t="n">
        <v>0.16</v>
      </c>
      <c r="AG101" s="52" t="n">
        <v>-0.01</v>
      </c>
      <c r="AH101" s="52" t="n">
        <v>-0.01</v>
      </c>
      <c r="AI101" s="52" t="n">
        <v>-0.05</v>
      </c>
      <c r="AJ101" s="52" t="n">
        <v>0.12</v>
      </c>
      <c r="AK101" s="52" t="n">
        <v>0.2</v>
      </c>
      <c r="AL101" s="52" t="n">
        <v>0.21</v>
      </c>
      <c r="AM101" s="52" t="n">
        <v>0.21</v>
      </c>
      <c r="AN101" s="52" t="n">
        <v>0.24</v>
      </c>
      <c r="AO101" s="52" t="n">
        <v>0.01</v>
      </c>
      <c r="AP101" s="52" t="n">
        <v>0.37</v>
      </c>
      <c r="AQ101" s="52" t="n">
        <v>-0.09</v>
      </c>
      <c r="AR101" s="52" t="n">
        <v>0.21</v>
      </c>
      <c r="AS101" s="52" t="n">
        <v>0.26</v>
      </c>
      <c r="AT101" s="52" t="n">
        <v>0.3</v>
      </c>
      <c r="AU101" s="52" t="n">
        <v>0.01</v>
      </c>
      <c r="AV101" s="52" t="n">
        <v>0.12</v>
      </c>
      <c r="AW101" s="52" t="n">
        <v>0.15</v>
      </c>
      <c r="AX101" s="52" t="n">
        <v>0.09</v>
      </c>
      <c r="AY101" s="52" t="n">
        <v>0.19</v>
      </c>
      <c r="AZ101" s="52" t="n">
        <v>0.1</v>
      </c>
      <c r="BA101" s="52" t="n">
        <v>0.17</v>
      </c>
      <c r="BB101" s="52" t="n">
        <v>0.31</v>
      </c>
      <c r="BC101" s="52" t="n">
        <v>0.16</v>
      </c>
      <c r="BD101" s="52" t="n">
        <v>0.17</v>
      </c>
      <c r="BE101" s="52" t="n">
        <v>0.05</v>
      </c>
      <c r="BF101" s="52" t="n">
        <v>0.25</v>
      </c>
      <c r="BG101" s="52" t="n">
        <v>0.23</v>
      </c>
      <c r="BH101" s="52" t="n">
        <v>0.18</v>
      </c>
      <c r="BI101" s="52" t="n">
        <v>0.12</v>
      </c>
      <c r="BJ101" s="52" t="n">
        <v>-0.03</v>
      </c>
      <c r="BK101" s="52" t="n">
        <v>0.12</v>
      </c>
      <c r="BL101" s="52" t="n">
        <v>0.24</v>
      </c>
      <c r="BM101" s="52" t="n">
        <v>0.17</v>
      </c>
      <c r="BN101" s="52" t="n">
        <v>0.14</v>
      </c>
      <c r="BO101" s="52" t="n">
        <v>0.33</v>
      </c>
      <c r="BP101" s="52" t="n">
        <v>0.27</v>
      </c>
      <c r="BQ101" s="52" t="n">
        <v>0.26</v>
      </c>
      <c r="BR101" s="52" t="n">
        <v>0.3</v>
      </c>
      <c r="BS101" s="52" t="n">
        <v>-0.07</v>
      </c>
      <c r="BT101" s="52" t="n">
        <v>0.25</v>
      </c>
      <c r="BU101" s="52" t="n">
        <v>0.06</v>
      </c>
      <c r="BV101" s="52" t="n">
        <v>0.36</v>
      </c>
      <c r="BW101" s="52" t="n">
        <v>0.27</v>
      </c>
      <c r="BX101" s="52" t="n">
        <v>0.12</v>
      </c>
      <c r="BY101" s="52" t="n">
        <v>0.24</v>
      </c>
      <c r="BZ101" s="52" t="n">
        <v>0.28</v>
      </c>
      <c r="CA101" s="52" t="n">
        <v>0.12</v>
      </c>
      <c r="CB101" s="52" t="n">
        <v>-0.08</v>
      </c>
      <c r="CC101" s="52" t="n">
        <v>0.17</v>
      </c>
      <c r="CD101" s="52" t="n">
        <v>0.25</v>
      </c>
      <c r="CE101" s="52" t="n">
        <v>0.18</v>
      </c>
      <c r="CF101" s="52" t="n">
        <v>-0.05</v>
      </c>
      <c r="CG101" s="52" t="n">
        <v>0.41</v>
      </c>
      <c r="CH101" s="52" t="n">
        <v>0.28</v>
      </c>
      <c r="CI101" s="52" t="n">
        <v>-0.07</v>
      </c>
      <c r="CJ101" s="52" t="n">
        <v>0.26</v>
      </c>
      <c r="CK101" s="52" t="n">
        <v>0.21</v>
      </c>
      <c r="CL101" s="52" t="n">
        <v>0.17</v>
      </c>
      <c r="CM101" s="52" t="n">
        <v>0.2</v>
      </c>
      <c r="CN101" s="52" t="n">
        <v>0.08</v>
      </c>
      <c r="CO101" s="52" t="n">
        <v>0.18</v>
      </c>
      <c r="CP101" s="52" t="n">
        <v>0.21</v>
      </c>
      <c r="CQ101" s="52" t="n">
        <v>0.28</v>
      </c>
      <c r="CR101" s="52" t="n">
        <v>0.28</v>
      </c>
      <c r="CS101" s="52" t="n">
        <v>0.22</v>
      </c>
      <c r="CT101" s="52" t="n">
        <v>1</v>
      </c>
      <c r="CU101" s="52" t="n">
        <v>0.17</v>
      </c>
      <c r="CV101" s="52" t="n">
        <v>0.23</v>
      </c>
      <c r="CW101" s="52" t="n">
        <v>0.29</v>
      </c>
      <c r="CX101" s="52" t="n">
        <v>0.32</v>
      </c>
      <c r="CY101" s="52" t="n">
        <v>0.27</v>
      </c>
      <c r="CZ101" s="52" t="n">
        <v>0.25</v>
      </c>
      <c r="DA101" s="52" t="n">
        <v>0.32</v>
      </c>
      <c r="DB101" s="52" t="n">
        <v>0.36</v>
      </c>
      <c r="DC101" s="52" t="n">
        <v>0.19</v>
      </c>
      <c r="DD101" s="52" t="n">
        <v>0.48</v>
      </c>
      <c r="DE101" s="52" t="n">
        <v>0.29</v>
      </c>
      <c r="DF101" s="52" t="n">
        <v>0.24</v>
      </c>
      <c r="DG101" s="52" t="n">
        <v>0.35</v>
      </c>
      <c r="DH101" s="52" t="n">
        <v>0.19</v>
      </c>
      <c r="DI101" s="52" t="n">
        <v>0.29</v>
      </c>
      <c r="DJ101" s="52" t="n">
        <v>0.26</v>
      </c>
      <c r="DK101" s="52" t="n">
        <v>0.31</v>
      </c>
      <c r="DL101" s="52" t="n">
        <v>0.17</v>
      </c>
      <c r="DM101" s="52" t="n">
        <v>0.35</v>
      </c>
      <c r="DN101" s="52" t="n">
        <v>0.27</v>
      </c>
      <c r="DO101" s="52" t="n">
        <v>0.27</v>
      </c>
      <c r="DP101" s="52" t="n">
        <v>0.27</v>
      </c>
      <c r="DQ101" s="52" t="n">
        <v>0.19</v>
      </c>
      <c r="DR101" s="52" t="n">
        <v>0.18</v>
      </c>
      <c r="DS101" s="52" t="n">
        <v>0.14</v>
      </c>
      <c r="DT101" s="52" t="n">
        <v>0.28</v>
      </c>
      <c r="DU101" s="52" t="n">
        <v>0.37</v>
      </c>
      <c r="DV101" s="52" t="n">
        <v>0.34</v>
      </c>
      <c r="DW101" s="52" t="n">
        <v>0.37</v>
      </c>
      <c r="DX101" s="52" t="n">
        <v>0.22</v>
      </c>
      <c r="DY101" s="52" t="n">
        <v>0.41</v>
      </c>
      <c r="DZ101" s="52" t="n">
        <v>0.32</v>
      </c>
      <c r="EA101" s="52" t="n">
        <v>0.23</v>
      </c>
      <c r="EB101" s="52" t="n">
        <v>0.37</v>
      </c>
      <c r="EC101" s="52" t="n">
        <v>0.14</v>
      </c>
      <c r="ED101" s="52" t="n">
        <v>0.38</v>
      </c>
      <c r="EE101" s="52" t="n">
        <v>0.29</v>
      </c>
      <c r="EF101" s="52" t="n">
        <v>0.14</v>
      </c>
      <c r="EG101" s="52" t="n">
        <v>0.21</v>
      </c>
      <c r="EH101" s="52" t="n">
        <v>0.2</v>
      </c>
      <c r="EI101" s="52" t="n">
        <v>0.14</v>
      </c>
      <c r="EJ101" s="52" t="n">
        <v>0.26</v>
      </c>
      <c r="EK101" s="52" t="n">
        <v>0.28</v>
      </c>
      <c r="EL101" s="52" t="n">
        <v>0.25</v>
      </c>
      <c r="EM101" s="52" t="n">
        <v>0.02</v>
      </c>
      <c r="EN101" s="52" t="n">
        <v>0.15</v>
      </c>
      <c r="EO101" s="52" t="n">
        <v>0.19</v>
      </c>
    </row>
    <row r="102" customFormat="false" ht="15" hidden="false" customHeight="false" outlineLevel="0" collapsed="false">
      <c r="A102" s="51" t="s">
        <v>244</v>
      </c>
      <c r="B102" s="52" t="n">
        <v>0</v>
      </c>
      <c r="C102" s="52" t="n">
        <v>0</v>
      </c>
      <c r="D102" s="52" t="n">
        <v>0.08</v>
      </c>
      <c r="E102" s="52" t="n">
        <v>0.01</v>
      </c>
      <c r="F102" s="52" t="n">
        <v>0</v>
      </c>
      <c r="G102" s="52" t="n">
        <v>-0.03</v>
      </c>
      <c r="H102" s="52" t="n">
        <v>0.04</v>
      </c>
      <c r="I102" s="52" t="n">
        <v>0.07</v>
      </c>
      <c r="J102" s="52" t="n">
        <v>0.01</v>
      </c>
      <c r="K102" s="52" t="n">
        <v>0.05</v>
      </c>
      <c r="L102" s="52" t="n">
        <v>0.11</v>
      </c>
      <c r="M102" s="52" t="n">
        <v>0.15</v>
      </c>
      <c r="N102" s="52" t="n">
        <v>0.13</v>
      </c>
      <c r="O102" s="52" t="n">
        <v>0.01</v>
      </c>
      <c r="P102" s="52" t="n">
        <v>0.05</v>
      </c>
      <c r="Q102" s="52" t="n">
        <v>0.1</v>
      </c>
      <c r="R102" s="52" t="n">
        <v>0.05</v>
      </c>
      <c r="S102" s="52" t="n">
        <v>0.05</v>
      </c>
      <c r="T102" s="52" t="n">
        <v>0.13</v>
      </c>
      <c r="U102" s="52" t="n">
        <v>0.12</v>
      </c>
      <c r="V102" s="52" t="n">
        <v>0.07</v>
      </c>
      <c r="W102" s="52" t="n">
        <v>0.01</v>
      </c>
      <c r="X102" s="52" t="n">
        <v>0.13</v>
      </c>
      <c r="Y102" s="52" t="n">
        <v>0.01</v>
      </c>
      <c r="Z102" s="52" t="n">
        <v>0.15</v>
      </c>
      <c r="AA102" s="52" t="n">
        <v>0.05</v>
      </c>
      <c r="AB102" s="52" t="n">
        <v>0</v>
      </c>
      <c r="AC102" s="52" t="n">
        <v>0.03</v>
      </c>
      <c r="AD102" s="52" t="n">
        <v>0.06</v>
      </c>
      <c r="AE102" s="52" t="n">
        <v>0.13</v>
      </c>
      <c r="AF102" s="52" t="n">
        <v>0.08</v>
      </c>
      <c r="AG102" s="52" t="n">
        <v>-0.01</v>
      </c>
      <c r="AH102" s="52" t="n">
        <v>-0.03</v>
      </c>
      <c r="AI102" s="52" t="n">
        <v>0</v>
      </c>
      <c r="AJ102" s="52" t="n">
        <v>0.07</v>
      </c>
      <c r="AK102" s="52" t="n">
        <v>0.1</v>
      </c>
      <c r="AL102" s="52" t="n">
        <v>0.21</v>
      </c>
      <c r="AM102" s="52" t="n">
        <v>0.17</v>
      </c>
      <c r="AN102" s="52" t="n">
        <v>0.09</v>
      </c>
      <c r="AO102" s="52" t="n">
        <v>-0.07</v>
      </c>
      <c r="AP102" s="52" t="n">
        <v>0.13</v>
      </c>
      <c r="AQ102" s="52" t="n">
        <v>-0.02</v>
      </c>
      <c r="AR102" s="52" t="n">
        <v>0.15</v>
      </c>
      <c r="AS102" s="52" t="n">
        <v>0.18</v>
      </c>
      <c r="AT102" s="52" t="n">
        <v>0.12</v>
      </c>
      <c r="AU102" s="52" t="n">
        <v>0.03</v>
      </c>
      <c r="AV102" s="52" t="n">
        <v>0.15</v>
      </c>
      <c r="AW102" s="52" t="n">
        <v>0.08</v>
      </c>
      <c r="AX102" s="52" t="n">
        <v>0.02</v>
      </c>
      <c r="AY102" s="52" t="n">
        <v>0.03</v>
      </c>
      <c r="AZ102" s="52" t="n">
        <v>0.08</v>
      </c>
      <c r="BA102" s="52" t="n">
        <v>0.03</v>
      </c>
      <c r="BB102" s="52" t="n">
        <v>0.13</v>
      </c>
      <c r="BC102" s="52" t="n">
        <v>0.1</v>
      </c>
      <c r="BD102" s="52" t="n">
        <v>0.13</v>
      </c>
      <c r="BE102" s="52" t="n">
        <v>0</v>
      </c>
      <c r="BF102" s="52" t="n">
        <v>0.18</v>
      </c>
      <c r="BG102" s="52" t="n">
        <v>0.09</v>
      </c>
      <c r="BH102" s="52" t="n">
        <v>0.21</v>
      </c>
      <c r="BI102" s="52" t="n">
        <v>0.1</v>
      </c>
      <c r="BJ102" s="52" t="n">
        <v>-0.02</v>
      </c>
      <c r="BK102" s="52" t="n">
        <v>0.12</v>
      </c>
      <c r="BL102" s="52" t="n">
        <v>0.26</v>
      </c>
      <c r="BM102" s="52" t="n">
        <v>0.1</v>
      </c>
      <c r="BN102" s="52" t="n">
        <v>0.06</v>
      </c>
      <c r="BO102" s="52" t="n">
        <v>0.38</v>
      </c>
      <c r="BP102" s="52" t="n">
        <v>0.14</v>
      </c>
      <c r="BQ102" s="52" t="n">
        <v>0.16</v>
      </c>
      <c r="BR102" s="52" t="n">
        <v>0.28</v>
      </c>
      <c r="BS102" s="52" t="n">
        <v>0.03</v>
      </c>
      <c r="BT102" s="52" t="n">
        <v>0.17</v>
      </c>
      <c r="BU102" s="52" t="n">
        <v>0.15</v>
      </c>
      <c r="BV102" s="52" t="n">
        <v>0.31</v>
      </c>
      <c r="BW102" s="52" t="n">
        <v>0.22</v>
      </c>
      <c r="BX102" s="52" t="n">
        <v>0</v>
      </c>
      <c r="BY102" s="52" t="n">
        <v>0.15</v>
      </c>
      <c r="BZ102" s="52" t="n">
        <v>0.21</v>
      </c>
      <c r="CA102" s="52" t="n">
        <v>0.04</v>
      </c>
      <c r="CB102" s="52" t="n">
        <v>-0.05</v>
      </c>
      <c r="CC102" s="52" t="n">
        <v>0.01</v>
      </c>
      <c r="CD102" s="52" t="n">
        <v>0.21</v>
      </c>
      <c r="CE102" s="52" t="n">
        <v>0.12</v>
      </c>
      <c r="CF102" s="52" t="n">
        <v>-0.01</v>
      </c>
      <c r="CG102" s="52" t="n">
        <v>0.15</v>
      </c>
      <c r="CH102" s="52" t="n">
        <v>0.27</v>
      </c>
      <c r="CI102" s="52" t="n">
        <v>-0.03</v>
      </c>
      <c r="CJ102" s="52" t="n">
        <v>0.09</v>
      </c>
      <c r="CK102" s="52" t="n">
        <v>0.15</v>
      </c>
      <c r="CL102" s="52" t="n">
        <v>0.2</v>
      </c>
      <c r="CM102" s="52" t="n">
        <v>0.33</v>
      </c>
      <c r="CN102" s="52" t="n">
        <v>0.11</v>
      </c>
      <c r="CO102" s="52" t="n">
        <v>0.15</v>
      </c>
      <c r="CP102" s="52" t="n">
        <v>0.08</v>
      </c>
      <c r="CQ102" s="52" t="n">
        <v>0.17</v>
      </c>
      <c r="CR102" s="52" t="n">
        <v>0.33</v>
      </c>
      <c r="CS102" s="52" t="n">
        <v>0.23</v>
      </c>
      <c r="CT102" s="52" t="n">
        <v>0.17</v>
      </c>
      <c r="CU102" s="52" t="n">
        <v>1</v>
      </c>
      <c r="CV102" s="52" t="n">
        <v>0.25</v>
      </c>
      <c r="CW102" s="52" t="n">
        <v>0.21</v>
      </c>
      <c r="CX102" s="52" t="n">
        <v>0.21</v>
      </c>
      <c r="CY102" s="52" t="n">
        <v>0.15</v>
      </c>
      <c r="CZ102" s="52" t="n">
        <v>0.15</v>
      </c>
      <c r="DA102" s="52" t="n">
        <v>0.2</v>
      </c>
      <c r="DB102" s="52" t="n">
        <v>0.25</v>
      </c>
      <c r="DC102" s="52" t="n">
        <v>0.15</v>
      </c>
      <c r="DD102" s="52" t="n">
        <v>0.14</v>
      </c>
      <c r="DE102" s="52" t="n">
        <v>0.25</v>
      </c>
      <c r="DF102" s="52" t="n">
        <v>-0.01</v>
      </c>
      <c r="DG102" s="52" t="n">
        <v>0.23</v>
      </c>
      <c r="DH102" s="52" t="n">
        <v>0.27</v>
      </c>
      <c r="DI102" s="52" t="n">
        <v>0.16</v>
      </c>
      <c r="DJ102" s="52" t="n">
        <v>0.15</v>
      </c>
      <c r="DK102" s="52" t="n">
        <v>0.19</v>
      </c>
      <c r="DL102" s="52" t="n">
        <v>0.24</v>
      </c>
      <c r="DM102" s="52" t="n">
        <v>0.16</v>
      </c>
      <c r="DN102" s="52" t="n">
        <v>0.08</v>
      </c>
      <c r="DO102" s="52" t="n">
        <v>0.16</v>
      </c>
      <c r="DP102" s="52" t="n">
        <v>0.15</v>
      </c>
      <c r="DQ102" s="52" t="n">
        <v>0.17</v>
      </c>
      <c r="DR102" s="52" t="n">
        <v>0.25</v>
      </c>
      <c r="DS102" s="52" t="n">
        <v>0.11</v>
      </c>
      <c r="DT102" s="52" t="n">
        <v>0.21</v>
      </c>
      <c r="DU102" s="52" t="n">
        <v>0.19</v>
      </c>
      <c r="DV102" s="52" t="n">
        <v>0.11</v>
      </c>
      <c r="DW102" s="52" t="n">
        <v>0.17</v>
      </c>
      <c r="DX102" s="52" t="n">
        <v>0.19</v>
      </c>
      <c r="DY102" s="52" t="n">
        <v>0.12</v>
      </c>
      <c r="DZ102" s="52" t="n">
        <v>0.11</v>
      </c>
      <c r="EA102" s="52" t="n">
        <v>0.2</v>
      </c>
      <c r="EB102" s="52" t="n">
        <v>0.14</v>
      </c>
      <c r="EC102" s="52" t="n">
        <v>0.13</v>
      </c>
      <c r="ED102" s="52" t="n">
        <v>0.11</v>
      </c>
      <c r="EE102" s="52" t="n">
        <v>0.3</v>
      </c>
      <c r="EF102" s="52" t="n">
        <v>0.22</v>
      </c>
      <c r="EG102" s="52" t="n">
        <v>0.18</v>
      </c>
      <c r="EH102" s="52" t="n">
        <v>0.13</v>
      </c>
      <c r="EI102" s="52" t="n">
        <v>0.17</v>
      </c>
      <c r="EJ102" s="52" t="n">
        <v>0.19</v>
      </c>
      <c r="EK102" s="52" t="n">
        <v>0.29</v>
      </c>
      <c r="EL102" s="52" t="n">
        <v>0.29</v>
      </c>
      <c r="EM102" s="52" t="n">
        <v>0.09</v>
      </c>
      <c r="EN102" s="52" t="n">
        <v>0.03</v>
      </c>
      <c r="EO102" s="52" t="n">
        <v>0.13</v>
      </c>
    </row>
    <row r="103" customFormat="false" ht="15" hidden="false" customHeight="false" outlineLevel="0" collapsed="false">
      <c r="A103" s="51" t="s">
        <v>245</v>
      </c>
      <c r="B103" s="52" t="n">
        <v>0.07</v>
      </c>
      <c r="C103" s="52" t="n">
        <v>-0.06</v>
      </c>
      <c r="D103" s="52" t="n">
        <v>0.02</v>
      </c>
      <c r="E103" s="52" t="n">
        <v>-0.01</v>
      </c>
      <c r="F103" s="52" t="n">
        <v>-0.06</v>
      </c>
      <c r="G103" s="52" t="n">
        <v>0.01</v>
      </c>
      <c r="H103" s="52" t="n">
        <v>0.02</v>
      </c>
      <c r="I103" s="52" t="n">
        <v>0.06</v>
      </c>
      <c r="J103" s="52" t="n">
        <v>-0.08</v>
      </c>
      <c r="K103" s="52" t="n">
        <v>0.08</v>
      </c>
      <c r="L103" s="52" t="n">
        <v>0</v>
      </c>
      <c r="M103" s="52" t="n">
        <v>0.27</v>
      </c>
      <c r="N103" s="52" t="n">
        <v>0.06</v>
      </c>
      <c r="O103" s="52" t="n">
        <v>0.03</v>
      </c>
      <c r="P103" s="52" t="n">
        <v>-0.04</v>
      </c>
      <c r="Q103" s="52" t="n">
        <v>-0.1</v>
      </c>
      <c r="R103" s="52" t="n">
        <v>0.02</v>
      </c>
      <c r="S103" s="52" t="n">
        <v>0.05</v>
      </c>
      <c r="T103" s="52" t="n">
        <v>0.22</v>
      </c>
      <c r="U103" s="52" t="n">
        <v>0.14</v>
      </c>
      <c r="V103" s="52" t="n">
        <v>0.13</v>
      </c>
      <c r="W103" s="52" t="n">
        <v>-0.04</v>
      </c>
      <c r="X103" s="52" t="n">
        <v>0.2</v>
      </c>
      <c r="Y103" s="52" t="n">
        <v>0.23</v>
      </c>
      <c r="Z103" s="52" t="n">
        <v>0.1</v>
      </c>
      <c r="AA103" s="52" t="n">
        <v>-0.03</v>
      </c>
      <c r="AB103" s="52" t="n">
        <v>0.24</v>
      </c>
      <c r="AC103" s="52" t="n">
        <v>0.11</v>
      </c>
      <c r="AD103" s="52" t="n">
        <v>0.04</v>
      </c>
      <c r="AE103" s="52" t="n">
        <v>0.13</v>
      </c>
      <c r="AF103" s="52" t="n">
        <v>0.18</v>
      </c>
      <c r="AG103" s="52" t="n">
        <v>0.01</v>
      </c>
      <c r="AH103" s="52" t="n">
        <v>-0.04</v>
      </c>
      <c r="AI103" s="52" t="n">
        <v>-0.16</v>
      </c>
      <c r="AJ103" s="52" t="n">
        <v>-0.08</v>
      </c>
      <c r="AK103" s="52" t="n">
        <v>0.12</v>
      </c>
      <c r="AL103" s="52" t="n">
        <v>0.16</v>
      </c>
      <c r="AM103" s="52" t="n">
        <v>0.09</v>
      </c>
      <c r="AN103" s="52" t="n">
        <v>0.17</v>
      </c>
      <c r="AO103" s="52" t="n">
        <v>-0.04</v>
      </c>
      <c r="AP103" s="52" t="n">
        <v>0.17</v>
      </c>
      <c r="AQ103" s="52" t="n">
        <v>-0.18</v>
      </c>
      <c r="AR103" s="52" t="n">
        <v>0.27</v>
      </c>
      <c r="AS103" s="52" t="n">
        <v>0.07</v>
      </c>
      <c r="AT103" s="52" t="n">
        <v>0.27</v>
      </c>
      <c r="AU103" s="52" t="n">
        <v>-0.02</v>
      </c>
      <c r="AV103" s="52" t="n">
        <v>0.03</v>
      </c>
      <c r="AW103" s="52" t="n">
        <v>0.02</v>
      </c>
      <c r="AX103" s="52" t="n">
        <v>-0.11</v>
      </c>
      <c r="AY103" s="52" t="n">
        <v>0.13</v>
      </c>
      <c r="AZ103" s="52" t="n">
        <v>0.18</v>
      </c>
      <c r="BA103" s="52" t="n">
        <v>0.05</v>
      </c>
      <c r="BB103" s="52" t="n">
        <v>0.27</v>
      </c>
      <c r="BC103" s="52" t="n">
        <v>0</v>
      </c>
      <c r="BD103" s="52" t="n">
        <v>0.05</v>
      </c>
      <c r="BE103" s="52" t="n">
        <v>0.04</v>
      </c>
      <c r="BF103" s="52" t="n">
        <v>0.09</v>
      </c>
      <c r="BG103" s="52" t="n">
        <v>0.18</v>
      </c>
      <c r="BH103" s="52" t="n">
        <v>0.17</v>
      </c>
      <c r="BI103" s="52" t="n">
        <v>0.16</v>
      </c>
      <c r="BJ103" s="52" t="n">
        <v>-0.06</v>
      </c>
      <c r="BK103" s="52" t="n">
        <v>0.18</v>
      </c>
      <c r="BL103" s="52" t="n">
        <v>0.11</v>
      </c>
      <c r="BM103" s="52" t="n">
        <v>0.12</v>
      </c>
      <c r="BN103" s="52" t="n">
        <v>0.1</v>
      </c>
      <c r="BO103" s="52" t="n">
        <v>0.31</v>
      </c>
      <c r="BP103" s="52" t="n">
        <v>0.18</v>
      </c>
      <c r="BQ103" s="52" t="n">
        <v>0.17</v>
      </c>
      <c r="BR103" s="52" t="n">
        <v>0.13</v>
      </c>
      <c r="BS103" s="52" t="n">
        <v>-0.12</v>
      </c>
      <c r="BT103" s="52" t="n">
        <v>0.18</v>
      </c>
      <c r="BU103" s="52" t="n">
        <v>0.1</v>
      </c>
      <c r="BV103" s="52" t="n">
        <v>0.4</v>
      </c>
      <c r="BW103" s="52" t="n">
        <v>0</v>
      </c>
      <c r="BX103" s="52" t="n">
        <v>-0.04</v>
      </c>
      <c r="BY103" s="52" t="n">
        <v>0.25</v>
      </c>
      <c r="BZ103" s="52" t="n">
        <v>0.23</v>
      </c>
      <c r="CA103" s="52" t="n">
        <v>0.09</v>
      </c>
      <c r="CB103" s="52" t="n">
        <v>-0.04</v>
      </c>
      <c r="CC103" s="52" t="n">
        <v>0.12</v>
      </c>
      <c r="CD103" s="52" t="n">
        <v>0.26</v>
      </c>
      <c r="CE103" s="52" t="n">
        <v>0.12</v>
      </c>
      <c r="CF103" s="52" t="n">
        <v>-0.18</v>
      </c>
      <c r="CG103" s="52" t="n">
        <v>0.27</v>
      </c>
      <c r="CH103" s="52" t="n">
        <v>0.2</v>
      </c>
      <c r="CI103" s="52" t="n">
        <v>-0.16</v>
      </c>
      <c r="CJ103" s="52" t="n">
        <v>0.14</v>
      </c>
      <c r="CK103" s="52" t="n">
        <v>0.22</v>
      </c>
      <c r="CL103" s="52" t="n">
        <v>0.22</v>
      </c>
      <c r="CM103" s="52" t="n">
        <v>0.3</v>
      </c>
      <c r="CN103" s="52" t="n">
        <v>0.03</v>
      </c>
      <c r="CO103" s="52" t="n">
        <v>0.11</v>
      </c>
      <c r="CP103" s="52" t="n">
        <v>0.17</v>
      </c>
      <c r="CQ103" s="52" t="n">
        <v>0.26</v>
      </c>
      <c r="CR103" s="52" t="n">
        <v>0.22</v>
      </c>
      <c r="CS103" s="52" t="n">
        <v>0.12</v>
      </c>
      <c r="CT103" s="52" t="n">
        <v>0.23</v>
      </c>
      <c r="CU103" s="52" t="n">
        <v>0.25</v>
      </c>
      <c r="CV103" s="52" t="n">
        <v>1</v>
      </c>
      <c r="CW103" s="52" t="n">
        <v>0.28</v>
      </c>
      <c r="CX103" s="52" t="n">
        <v>0.27</v>
      </c>
      <c r="CY103" s="52" t="n">
        <v>0.32</v>
      </c>
      <c r="CZ103" s="52" t="n">
        <v>0.17</v>
      </c>
      <c r="DA103" s="52" t="n">
        <v>0.22</v>
      </c>
      <c r="DB103" s="52" t="n">
        <v>0.36</v>
      </c>
      <c r="DC103" s="52" t="n">
        <v>0.2</v>
      </c>
      <c r="DD103" s="52" t="n">
        <v>0.27</v>
      </c>
      <c r="DE103" s="52" t="n">
        <v>0.18</v>
      </c>
      <c r="DF103" s="52" t="n">
        <v>0.11</v>
      </c>
      <c r="DG103" s="52" t="n">
        <v>0.09</v>
      </c>
      <c r="DH103" s="52" t="n">
        <v>0.2</v>
      </c>
      <c r="DI103" s="52" t="n">
        <v>0.26</v>
      </c>
      <c r="DJ103" s="52" t="n">
        <v>0.31</v>
      </c>
      <c r="DK103" s="52" t="n">
        <v>0.28</v>
      </c>
      <c r="DL103" s="52" t="n">
        <v>0.1</v>
      </c>
      <c r="DM103" s="52" t="n">
        <v>0.31</v>
      </c>
      <c r="DN103" s="52" t="n">
        <v>0.17</v>
      </c>
      <c r="DO103" s="52" t="n">
        <v>0.2</v>
      </c>
      <c r="DP103" s="52" t="n">
        <v>0.34</v>
      </c>
      <c r="DQ103" s="52" t="n">
        <v>0.09</v>
      </c>
      <c r="DR103" s="52" t="n">
        <v>0.09</v>
      </c>
      <c r="DS103" s="52" t="n">
        <v>0.18</v>
      </c>
      <c r="DT103" s="52" t="n">
        <v>0.23</v>
      </c>
      <c r="DU103" s="52" t="n">
        <v>0.28</v>
      </c>
      <c r="DV103" s="52" t="n">
        <v>0.23</v>
      </c>
      <c r="DW103" s="52" t="n">
        <v>0.36</v>
      </c>
      <c r="DX103" s="52" t="n">
        <v>0.12</v>
      </c>
      <c r="DY103" s="52" t="n">
        <v>0.33</v>
      </c>
      <c r="DZ103" s="52" t="n">
        <v>0.09</v>
      </c>
      <c r="EA103" s="52" t="n">
        <v>0.21</v>
      </c>
      <c r="EB103" s="52" t="n">
        <v>0.31</v>
      </c>
      <c r="EC103" s="52" t="n">
        <v>0.06</v>
      </c>
      <c r="ED103" s="52" t="n">
        <v>0.17</v>
      </c>
      <c r="EE103" s="52" t="n">
        <v>0.22</v>
      </c>
      <c r="EF103" s="52" t="n">
        <v>0.16</v>
      </c>
      <c r="EG103" s="52" t="n">
        <v>0.18</v>
      </c>
      <c r="EH103" s="52" t="n">
        <v>0.17</v>
      </c>
      <c r="EI103" s="52" t="n">
        <v>0.1</v>
      </c>
      <c r="EJ103" s="52" t="n">
        <v>0.17</v>
      </c>
      <c r="EK103" s="52" t="n">
        <v>0.1</v>
      </c>
      <c r="EL103" s="52" t="n">
        <v>0.12</v>
      </c>
      <c r="EM103" s="52" t="n">
        <v>0.1</v>
      </c>
      <c r="EN103" s="52" t="n">
        <v>0.09</v>
      </c>
      <c r="EO103" s="52" t="n">
        <v>0.08</v>
      </c>
    </row>
    <row r="104" customFormat="false" ht="15" hidden="false" customHeight="false" outlineLevel="0" collapsed="false">
      <c r="A104" s="51" t="s">
        <v>246</v>
      </c>
      <c r="B104" s="52" t="n">
        <v>0.11</v>
      </c>
      <c r="C104" s="52" t="n">
        <v>0.02</v>
      </c>
      <c r="D104" s="52" t="n">
        <v>-0.01</v>
      </c>
      <c r="E104" s="52" t="n">
        <v>0.1</v>
      </c>
      <c r="F104" s="52" t="n">
        <v>0.09</v>
      </c>
      <c r="G104" s="52" t="n">
        <v>-0.02</v>
      </c>
      <c r="H104" s="52" t="n">
        <v>0.07</v>
      </c>
      <c r="I104" s="52" t="n">
        <v>0.24</v>
      </c>
      <c r="J104" s="52" t="n">
        <v>0.07</v>
      </c>
      <c r="K104" s="52" t="n">
        <v>0.13</v>
      </c>
      <c r="L104" s="52" t="n">
        <v>0.15</v>
      </c>
      <c r="M104" s="52" t="n">
        <v>0.3</v>
      </c>
      <c r="N104" s="52" t="n">
        <v>0.19</v>
      </c>
      <c r="O104" s="52" t="n">
        <v>0.07</v>
      </c>
      <c r="P104" s="52" t="n">
        <v>0.16</v>
      </c>
      <c r="Q104" s="52" t="n">
        <v>0.19</v>
      </c>
      <c r="R104" s="52" t="n">
        <v>0.13</v>
      </c>
      <c r="S104" s="52" t="n">
        <v>0.15</v>
      </c>
      <c r="T104" s="52" t="n">
        <v>0.25</v>
      </c>
      <c r="U104" s="52" t="n">
        <v>0.2</v>
      </c>
      <c r="V104" s="52" t="n">
        <v>0.07</v>
      </c>
      <c r="W104" s="52" t="n">
        <v>0.08</v>
      </c>
      <c r="X104" s="52" t="n">
        <v>0.23</v>
      </c>
      <c r="Y104" s="52" t="n">
        <v>0.34</v>
      </c>
      <c r="Z104" s="52" t="n">
        <v>0.11</v>
      </c>
      <c r="AA104" s="52" t="n">
        <v>0.23</v>
      </c>
      <c r="AB104" s="52" t="n">
        <v>0.33</v>
      </c>
      <c r="AC104" s="52" t="n">
        <v>0.1</v>
      </c>
      <c r="AD104" s="52" t="n">
        <v>0.12</v>
      </c>
      <c r="AE104" s="52" t="n">
        <v>0.15</v>
      </c>
      <c r="AF104" s="52" t="n">
        <v>0.13</v>
      </c>
      <c r="AG104" s="52" t="n">
        <v>0.01</v>
      </c>
      <c r="AH104" s="52" t="n">
        <v>0.01</v>
      </c>
      <c r="AI104" s="52" t="n">
        <v>-0.06</v>
      </c>
      <c r="AJ104" s="52" t="n">
        <v>0.05</v>
      </c>
      <c r="AK104" s="52" t="n">
        <v>0.07</v>
      </c>
      <c r="AL104" s="52" t="n">
        <v>0.22</v>
      </c>
      <c r="AM104" s="52" t="n">
        <v>0.13</v>
      </c>
      <c r="AN104" s="52" t="n">
        <v>0.34</v>
      </c>
      <c r="AO104" s="52" t="n">
        <v>0.13</v>
      </c>
      <c r="AP104" s="52" t="n">
        <v>0.34</v>
      </c>
      <c r="AQ104" s="52" t="n">
        <v>-0.1</v>
      </c>
      <c r="AR104" s="52" t="n">
        <v>0.27</v>
      </c>
      <c r="AS104" s="52" t="n">
        <v>0.17</v>
      </c>
      <c r="AT104" s="52" t="n">
        <v>0.31</v>
      </c>
      <c r="AU104" s="52" t="n">
        <v>-0.03</v>
      </c>
      <c r="AV104" s="52" t="n">
        <v>0.15</v>
      </c>
      <c r="AW104" s="52" t="n">
        <v>0.11</v>
      </c>
      <c r="AX104" s="52" t="n">
        <v>0.08</v>
      </c>
      <c r="AY104" s="52" t="n">
        <v>0.19</v>
      </c>
      <c r="AZ104" s="52" t="n">
        <v>0.13</v>
      </c>
      <c r="BA104" s="52" t="n">
        <v>0.15</v>
      </c>
      <c r="BB104" s="52" t="n">
        <v>0.26</v>
      </c>
      <c r="BC104" s="52" t="n">
        <v>0.14</v>
      </c>
      <c r="BD104" s="52" t="n">
        <v>0.19</v>
      </c>
      <c r="BE104" s="52" t="n">
        <v>0.15</v>
      </c>
      <c r="BF104" s="52" t="n">
        <v>0.13</v>
      </c>
      <c r="BG104" s="52" t="n">
        <v>0.38</v>
      </c>
      <c r="BH104" s="52" t="n">
        <v>0.15</v>
      </c>
      <c r="BI104" s="52" t="n">
        <v>0.07</v>
      </c>
      <c r="BJ104" s="52" t="n">
        <v>0.05</v>
      </c>
      <c r="BK104" s="52" t="n">
        <v>0.11</v>
      </c>
      <c r="BL104" s="52" t="n">
        <v>0.19</v>
      </c>
      <c r="BM104" s="52" t="n">
        <v>0.19</v>
      </c>
      <c r="BN104" s="52" t="n">
        <v>-0.05</v>
      </c>
      <c r="BO104" s="52" t="n">
        <v>0.3</v>
      </c>
      <c r="BP104" s="52" t="n">
        <v>0.32</v>
      </c>
      <c r="BQ104" s="52" t="n">
        <v>0.19</v>
      </c>
      <c r="BR104" s="52" t="n">
        <v>0.35</v>
      </c>
      <c r="BS104" s="52" t="n">
        <v>-0.07</v>
      </c>
      <c r="BT104" s="52" t="n">
        <v>0.26</v>
      </c>
      <c r="BU104" s="52" t="n">
        <v>0.13</v>
      </c>
      <c r="BV104" s="52" t="n">
        <v>0.35</v>
      </c>
      <c r="BW104" s="52" t="n">
        <v>0.33</v>
      </c>
      <c r="BX104" s="52" t="n">
        <v>0.11</v>
      </c>
      <c r="BY104" s="52" t="n">
        <v>0.3</v>
      </c>
      <c r="BZ104" s="52" t="n">
        <v>0.28</v>
      </c>
      <c r="CA104" s="52" t="n">
        <v>0.14</v>
      </c>
      <c r="CB104" s="52" t="n">
        <v>0.02</v>
      </c>
      <c r="CC104" s="52" t="n">
        <v>0.06</v>
      </c>
      <c r="CD104" s="52" t="n">
        <v>0.44</v>
      </c>
      <c r="CE104" s="52" t="n">
        <v>0.06</v>
      </c>
      <c r="CF104" s="52" t="n">
        <v>-0.13</v>
      </c>
      <c r="CG104" s="52" t="n">
        <v>0.32</v>
      </c>
      <c r="CH104" s="52" t="n">
        <v>0.2</v>
      </c>
      <c r="CI104" s="52" t="n">
        <v>-0.12</v>
      </c>
      <c r="CJ104" s="52" t="n">
        <v>0.25</v>
      </c>
      <c r="CK104" s="52" t="n">
        <v>0.26</v>
      </c>
      <c r="CL104" s="52" t="n">
        <v>0.24</v>
      </c>
      <c r="CM104" s="52" t="n">
        <v>0.21</v>
      </c>
      <c r="CN104" s="52" t="n">
        <v>0.08</v>
      </c>
      <c r="CO104" s="52" t="n">
        <v>0.1</v>
      </c>
      <c r="CP104" s="52" t="n">
        <v>0.23</v>
      </c>
      <c r="CQ104" s="52" t="n">
        <v>0.26</v>
      </c>
      <c r="CR104" s="52" t="n">
        <v>0.25</v>
      </c>
      <c r="CS104" s="52" t="n">
        <v>0.1</v>
      </c>
      <c r="CT104" s="52" t="n">
        <v>0.29</v>
      </c>
      <c r="CU104" s="52" t="n">
        <v>0.21</v>
      </c>
      <c r="CV104" s="52" t="n">
        <v>0.28</v>
      </c>
      <c r="CW104" s="52" t="n">
        <v>1</v>
      </c>
      <c r="CX104" s="52" t="n">
        <v>0.53</v>
      </c>
      <c r="CY104" s="52" t="n">
        <v>0.2</v>
      </c>
      <c r="CZ104" s="52" t="n">
        <v>0.33</v>
      </c>
      <c r="DA104" s="52" t="n">
        <v>0.28</v>
      </c>
      <c r="DB104" s="52" t="n">
        <v>0.21</v>
      </c>
      <c r="DC104" s="52" t="n">
        <v>0.21</v>
      </c>
      <c r="DD104" s="52" t="n">
        <v>0.35</v>
      </c>
      <c r="DE104" s="52" t="n">
        <v>0.17</v>
      </c>
      <c r="DF104" s="52" t="n">
        <v>0.3</v>
      </c>
      <c r="DG104" s="52" t="n">
        <v>0.17</v>
      </c>
      <c r="DH104" s="52" t="n">
        <v>0.15</v>
      </c>
      <c r="DI104" s="52" t="n">
        <v>0.24</v>
      </c>
      <c r="DJ104" s="52" t="n">
        <v>0.27</v>
      </c>
      <c r="DK104" s="52" t="n">
        <v>0.28</v>
      </c>
      <c r="DL104" s="52" t="n">
        <v>0.09</v>
      </c>
      <c r="DM104" s="52" t="n">
        <v>0.31</v>
      </c>
      <c r="DN104" s="52" t="n">
        <v>0.25</v>
      </c>
      <c r="DO104" s="52" t="n">
        <v>0.08</v>
      </c>
      <c r="DP104" s="52" t="n">
        <v>0.25</v>
      </c>
      <c r="DQ104" s="52" t="n">
        <v>0.18</v>
      </c>
      <c r="DR104" s="52" t="n">
        <v>0.18</v>
      </c>
      <c r="DS104" s="52" t="n">
        <v>0.24</v>
      </c>
      <c r="DT104" s="52" t="n">
        <v>0.16</v>
      </c>
      <c r="DU104" s="52" t="n">
        <v>0.39</v>
      </c>
      <c r="DV104" s="52" t="n">
        <v>0.26</v>
      </c>
      <c r="DW104" s="52" t="n">
        <v>0.39</v>
      </c>
      <c r="DX104" s="52" t="n">
        <v>0.05</v>
      </c>
      <c r="DY104" s="52" t="n">
        <v>0.48</v>
      </c>
      <c r="DZ104" s="52" t="n">
        <v>0.17</v>
      </c>
      <c r="EA104" s="52" t="n">
        <v>0.2</v>
      </c>
      <c r="EB104" s="52" t="n">
        <v>0.38</v>
      </c>
      <c r="EC104" s="52" t="n">
        <v>0.04</v>
      </c>
      <c r="ED104" s="52" t="n">
        <v>0.16</v>
      </c>
      <c r="EE104" s="52" t="n">
        <v>0.11</v>
      </c>
      <c r="EF104" s="52" t="n">
        <v>0.09</v>
      </c>
      <c r="EG104" s="52" t="n">
        <v>0.03</v>
      </c>
      <c r="EH104" s="52" t="n">
        <v>0.32</v>
      </c>
      <c r="EI104" s="52" t="n">
        <v>0.03</v>
      </c>
      <c r="EJ104" s="52" t="n">
        <v>0.16</v>
      </c>
      <c r="EK104" s="52" t="n">
        <v>0.2</v>
      </c>
      <c r="EL104" s="52" t="n">
        <v>0.22</v>
      </c>
      <c r="EM104" s="52" t="n">
        <v>0.15</v>
      </c>
      <c r="EN104" s="52" t="n">
        <v>0.24</v>
      </c>
      <c r="EO104" s="52" t="n">
        <v>0.15</v>
      </c>
    </row>
    <row r="105" customFormat="false" ht="15" hidden="false" customHeight="false" outlineLevel="0" collapsed="false">
      <c r="A105" s="51" t="s">
        <v>247</v>
      </c>
      <c r="B105" s="52" t="n">
        <v>0.07</v>
      </c>
      <c r="C105" s="52" t="n">
        <v>0.01</v>
      </c>
      <c r="D105" s="52" t="n">
        <v>0</v>
      </c>
      <c r="E105" s="52" t="n">
        <v>0.06</v>
      </c>
      <c r="F105" s="52" t="n">
        <v>0.05</v>
      </c>
      <c r="G105" s="52" t="n">
        <v>0.08</v>
      </c>
      <c r="H105" s="52" t="n">
        <v>0.06</v>
      </c>
      <c r="I105" s="52" t="n">
        <v>0.16</v>
      </c>
      <c r="J105" s="52" t="n">
        <v>0.06</v>
      </c>
      <c r="K105" s="52" t="n">
        <v>0.11</v>
      </c>
      <c r="L105" s="52" t="n">
        <v>0.07</v>
      </c>
      <c r="M105" s="52" t="n">
        <v>0.35</v>
      </c>
      <c r="N105" s="52" t="n">
        <v>0.16</v>
      </c>
      <c r="O105" s="52" t="n">
        <v>0.06</v>
      </c>
      <c r="P105" s="52" t="n">
        <v>0.06</v>
      </c>
      <c r="Q105" s="52" t="n">
        <v>0.11</v>
      </c>
      <c r="R105" s="52" t="n">
        <v>0.05</v>
      </c>
      <c r="S105" s="52" t="n">
        <v>0.12</v>
      </c>
      <c r="T105" s="52" t="n">
        <v>0.36</v>
      </c>
      <c r="U105" s="52" t="n">
        <v>0.21</v>
      </c>
      <c r="V105" s="52" t="n">
        <v>0.02</v>
      </c>
      <c r="W105" s="52" t="n">
        <v>0.19</v>
      </c>
      <c r="X105" s="52" t="n">
        <v>0.37</v>
      </c>
      <c r="Y105" s="52" t="n">
        <v>0.3</v>
      </c>
      <c r="Z105" s="52" t="n">
        <v>0.13</v>
      </c>
      <c r="AA105" s="52" t="n">
        <v>0.19</v>
      </c>
      <c r="AB105" s="52" t="n">
        <v>0.31</v>
      </c>
      <c r="AC105" s="52" t="n">
        <v>0.05</v>
      </c>
      <c r="AD105" s="52" t="n">
        <v>0.14</v>
      </c>
      <c r="AE105" s="52" t="n">
        <v>0.21</v>
      </c>
      <c r="AF105" s="52" t="n">
        <v>0.17</v>
      </c>
      <c r="AG105" s="52" t="n">
        <v>0.04</v>
      </c>
      <c r="AH105" s="52" t="n">
        <v>0</v>
      </c>
      <c r="AI105" s="52" t="n">
        <v>-0.1</v>
      </c>
      <c r="AJ105" s="52" t="n">
        <v>0</v>
      </c>
      <c r="AK105" s="52" t="n">
        <v>0.2</v>
      </c>
      <c r="AL105" s="52" t="n">
        <v>0.18</v>
      </c>
      <c r="AM105" s="52" t="n">
        <v>0.15</v>
      </c>
      <c r="AN105" s="52" t="n">
        <v>0.27</v>
      </c>
      <c r="AO105" s="52" t="n">
        <v>0.12</v>
      </c>
      <c r="AP105" s="52" t="n">
        <v>0.26</v>
      </c>
      <c r="AQ105" s="52" t="n">
        <v>-0.13</v>
      </c>
      <c r="AR105" s="52" t="n">
        <v>0.36</v>
      </c>
      <c r="AS105" s="52" t="n">
        <v>0.18</v>
      </c>
      <c r="AT105" s="52" t="n">
        <v>0.4</v>
      </c>
      <c r="AU105" s="52" t="n">
        <v>0.03</v>
      </c>
      <c r="AV105" s="52" t="n">
        <v>0.09</v>
      </c>
      <c r="AW105" s="52" t="n">
        <v>0.13</v>
      </c>
      <c r="AX105" s="52" t="n">
        <v>0.1</v>
      </c>
      <c r="AY105" s="52" t="n">
        <v>0.2</v>
      </c>
      <c r="AZ105" s="52" t="n">
        <v>0.19</v>
      </c>
      <c r="BA105" s="52" t="n">
        <v>0.22</v>
      </c>
      <c r="BB105" s="52" t="n">
        <v>0.4</v>
      </c>
      <c r="BC105" s="52" t="n">
        <v>0.07</v>
      </c>
      <c r="BD105" s="52" t="n">
        <v>0.22</v>
      </c>
      <c r="BE105" s="52" t="n">
        <v>0.14</v>
      </c>
      <c r="BF105" s="52" t="n">
        <v>0.17</v>
      </c>
      <c r="BG105" s="52" t="n">
        <v>0.25</v>
      </c>
      <c r="BH105" s="52" t="n">
        <v>0.1</v>
      </c>
      <c r="BI105" s="52" t="n">
        <v>0.06</v>
      </c>
      <c r="BJ105" s="52" t="n">
        <v>0.02</v>
      </c>
      <c r="BK105" s="52" t="n">
        <v>0.16</v>
      </c>
      <c r="BL105" s="52" t="n">
        <v>0.32</v>
      </c>
      <c r="BM105" s="52" t="n">
        <v>0.13</v>
      </c>
      <c r="BN105" s="52" t="n">
        <v>0.1</v>
      </c>
      <c r="BO105" s="52" t="n">
        <v>0.33</v>
      </c>
      <c r="BP105" s="52" t="n">
        <v>0.26</v>
      </c>
      <c r="BQ105" s="52" t="n">
        <v>0.33</v>
      </c>
      <c r="BR105" s="52" t="n">
        <v>0.29</v>
      </c>
      <c r="BS105" s="52" t="n">
        <v>-0.1</v>
      </c>
      <c r="BT105" s="52" t="n">
        <v>0.37</v>
      </c>
      <c r="BU105" s="52" t="n">
        <v>0.18</v>
      </c>
      <c r="BV105" s="52" t="n">
        <v>0.31</v>
      </c>
      <c r="BW105" s="52" t="n">
        <v>0.29</v>
      </c>
      <c r="BX105" s="52" t="n">
        <v>0.06</v>
      </c>
      <c r="BY105" s="52" t="n">
        <v>0.35</v>
      </c>
      <c r="BZ105" s="52" t="n">
        <v>0.36</v>
      </c>
      <c r="CA105" s="52" t="n">
        <v>0.03</v>
      </c>
      <c r="CB105" s="52" t="n">
        <v>-0.03</v>
      </c>
      <c r="CC105" s="52" t="n">
        <v>0.13</v>
      </c>
      <c r="CD105" s="52" t="n">
        <v>0.26</v>
      </c>
      <c r="CE105" s="52" t="n">
        <v>0.09</v>
      </c>
      <c r="CF105" s="52" t="n">
        <v>-0.12</v>
      </c>
      <c r="CG105" s="52" t="n">
        <v>0.24</v>
      </c>
      <c r="CH105" s="52" t="n">
        <v>0.29</v>
      </c>
      <c r="CI105" s="52" t="n">
        <v>-0.13</v>
      </c>
      <c r="CJ105" s="52" t="n">
        <v>0.18</v>
      </c>
      <c r="CK105" s="52" t="n">
        <v>0.2</v>
      </c>
      <c r="CL105" s="52" t="n">
        <v>0.27</v>
      </c>
      <c r="CM105" s="52" t="n">
        <v>0.31</v>
      </c>
      <c r="CN105" s="52" t="n">
        <v>0.09</v>
      </c>
      <c r="CO105" s="52" t="n">
        <v>0.13</v>
      </c>
      <c r="CP105" s="52" t="n">
        <v>0.2</v>
      </c>
      <c r="CQ105" s="52" t="n">
        <v>0.37</v>
      </c>
      <c r="CR105" s="52" t="n">
        <v>0.34</v>
      </c>
      <c r="CS105" s="52" t="n">
        <v>0.31</v>
      </c>
      <c r="CT105" s="52" t="n">
        <v>0.32</v>
      </c>
      <c r="CU105" s="52" t="n">
        <v>0.21</v>
      </c>
      <c r="CV105" s="52" t="n">
        <v>0.27</v>
      </c>
      <c r="CW105" s="52" t="n">
        <v>0.53</v>
      </c>
      <c r="CX105" s="52" t="n">
        <v>1</v>
      </c>
      <c r="CY105" s="52" t="n">
        <v>0.3</v>
      </c>
      <c r="CZ105" s="52" t="n">
        <v>0.19</v>
      </c>
      <c r="DA105" s="52" t="n">
        <v>0.26</v>
      </c>
      <c r="DB105" s="52" t="n">
        <v>0.35</v>
      </c>
      <c r="DC105" s="52" t="n">
        <v>0.29</v>
      </c>
      <c r="DD105" s="52" t="n">
        <v>0.39</v>
      </c>
      <c r="DE105" s="52" t="n">
        <v>0.32</v>
      </c>
      <c r="DF105" s="52" t="n">
        <v>0.07</v>
      </c>
      <c r="DG105" s="52" t="n">
        <v>0.33</v>
      </c>
      <c r="DH105" s="52" t="n">
        <v>0.17</v>
      </c>
      <c r="DI105" s="52" t="n">
        <v>0.33</v>
      </c>
      <c r="DJ105" s="52" t="n">
        <v>0.31</v>
      </c>
      <c r="DK105" s="52" t="n">
        <v>0.39</v>
      </c>
      <c r="DL105" s="52" t="n">
        <v>0.15</v>
      </c>
      <c r="DM105" s="52" t="n">
        <v>0.39</v>
      </c>
      <c r="DN105" s="52" t="n">
        <v>0.14</v>
      </c>
      <c r="DO105" s="52" t="n">
        <v>0.18</v>
      </c>
      <c r="DP105" s="52" t="n">
        <v>0.29</v>
      </c>
      <c r="DQ105" s="52" t="n">
        <v>0.21</v>
      </c>
      <c r="DR105" s="52" t="n">
        <v>0.26</v>
      </c>
      <c r="DS105" s="52" t="n">
        <v>0.2</v>
      </c>
      <c r="DT105" s="52" t="n">
        <v>0.2</v>
      </c>
      <c r="DU105" s="52" t="n">
        <v>0.49</v>
      </c>
      <c r="DV105" s="52" t="n">
        <v>0.23</v>
      </c>
      <c r="DW105" s="52" t="n">
        <v>0.33</v>
      </c>
      <c r="DX105" s="52" t="n">
        <v>0.24</v>
      </c>
      <c r="DY105" s="52" t="n">
        <v>0.41</v>
      </c>
      <c r="DZ105" s="52" t="n">
        <v>0.07</v>
      </c>
      <c r="EA105" s="52" t="n">
        <v>0.21</v>
      </c>
      <c r="EB105" s="52" t="n">
        <v>0.41</v>
      </c>
      <c r="EC105" s="52" t="n">
        <v>0.16</v>
      </c>
      <c r="ED105" s="52" t="n">
        <v>0.28</v>
      </c>
      <c r="EE105" s="52" t="n">
        <v>0.32</v>
      </c>
      <c r="EF105" s="52" t="n">
        <v>0.23</v>
      </c>
      <c r="EG105" s="52" t="n">
        <v>0.21</v>
      </c>
      <c r="EH105" s="52" t="n">
        <v>0.22</v>
      </c>
      <c r="EI105" s="52" t="n">
        <v>0.23</v>
      </c>
      <c r="EJ105" s="52" t="n">
        <v>0.26</v>
      </c>
      <c r="EK105" s="52" t="n">
        <v>0.32</v>
      </c>
      <c r="EL105" s="52" t="n">
        <v>0.33</v>
      </c>
      <c r="EM105" s="52" t="n">
        <v>0.29</v>
      </c>
      <c r="EN105" s="52" t="n">
        <v>0.18</v>
      </c>
      <c r="EO105" s="52" t="n">
        <v>0.13</v>
      </c>
    </row>
    <row r="106" customFormat="false" ht="15" hidden="false" customHeight="false" outlineLevel="0" collapsed="false">
      <c r="A106" s="51" t="s">
        <v>248</v>
      </c>
      <c r="B106" s="52" t="n">
        <v>0.22</v>
      </c>
      <c r="C106" s="52" t="n">
        <v>-0.01</v>
      </c>
      <c r="D106" s="52" t="n">
        <v>0.02</v>
      </c>
      <c r="E106" s="52" t="n">
        <v>0.19</v>
      </c>
      <c r="F106" s="52" t="n">
        <v>0.14</v>
      </c>
      <c r="G106" s="52" t="n">
        <v>0</v>
      </c>
      <c r="H106" s="52" t="n">
        <v>0.04</v>
      </c>
      <c r="I106" s="52" t="n">
        <v>0.24</v>
      </c>
      <c r="J106" s="52" t="n">
        <v>0.08</v>
      </c>
      <c r="K106" s="52" t="n">
        <v>0.29</v>
      </c>
      <c r="L106" s="52" t="n">
        <v>0.09</v>
      </c>
      <c r="M106" s="52" t="n">
        <v>0.42</v>
      </c>
      <c r="N106" s="52" t="n">
        <v>0.25</v>
      </c>
      <c r="O106" s="52" t="n">
        <v>0.13</v>
      </c>
      <c r="P106" s="52" t="n">
        <v>0.06</v>
      </c>
      <c r="Q106" s="52" t="n">
        <v>0.01</v>
      </c>
      <c r="R106" s="52" t="n">
        <v>0.13</v>
      </c>
      <c r="S106" s="52" t="n">
        <v>0.04</v>
      </c>
      <c r="T106" s="52" t="n">
        <v>0.43</v>
      </c>
      <c r="U106" s="52" t="n">
        <v>0.1</v>
      </c>
      <c r="V106" s="52" t="n">
        <v>0.12</v>
      </c>
      <c r="W106" s="52" t="n">
        <v>0.05</v>
      </c>
      <c r="X106" s="52" t="n">
        <v>0.44</v>
      </c>
      <c r="Y106" s="52" t="n">
        <v>0.28</v>
      </c>
      <c r="Z106" s="52" t="n">
        <v>0.12</v>
      </c>
      <c r="AA106" s="52" t="n">
        <v>0.12</v>
      </c>
      <c r="AB106" s="52" t="n">
        <v>0.33</v>
      </c>
      <c r="AC106" s="52" t="n">
        <v>0.08</v>
      </c>
      <c r="AD106" s="52" t="n">
        <v>0.09</v>
      </c>
      <c r="AE106" s="52" t="n">
        <v>0.27</v>
      </c>
      <c r="AF106" s="52" t="n">
        <v>0.07</v>
      </c>
      <c r="AG106" s="52" t="n">
        <v>0.09</v>
      </c>
      <c r="AH106" s="52" t="n">
        <v>0.05</v>
      </c>
      <c r="AI106" s="52" t="n">
        <v>-0.27</v>
      </c>
      <c r="AJ106" s="52" t="n">
        <v>0.05</v>
      </c>
      <c r="AK106" s="52" t="n">
        <v>0.23</v>
      </c>
      <c r="AL106" s="52" t="n">
        <v>0.28</v>
      </c>
      <c r="AM106" s="52" t="n">
        <v>0.13</v>
      </c>
      <c r="AN106" s="52" t="n">
        <v>0.45</v>
      </c>
      <c r="AO106" s="52" t="n">
        <v>0.12</v>
      </c>
      <c r="AP106" s="52" t="n">
        <v>0.32</v>
      </c>
      <c r="AQ106" s="52" t="n">
        <v>-0.27</v>
      </c>
      <c r="AR106" s="52" t="n">
        <v>0.4</v>
      </c>
      <c r="AS106" s="52" t="n">
        <v>0.1</v>
      </c>
      <c r="AT106" s="52" t="n">
        <v>0.45</v>
      </c>
      <c r="AU106" s="52" t="n">
        <v>0.08</v>
      </c>
      <c r="AV106" s="52" t="n">
        <v>0.13</v>
      </c>
      <c r="AW106" s="52" t="n">
        <v>0.1</v>
      </c>
      <c r="AX106" s="52" t="n">
        <v>0.24</v>
      </c>
      <c r="AY106" s="52" t="n">
        <v>0.3</v>
      </c>
      <c r="AZ106" s="52" t="n">
        <v>0.31</v>
      </c>
      <c r="BA106" s="52" t="n">
        <v>0.39</v>
      </c>
      <c r="BB106" s="52" t="n">
        <v>0.53</v>
      </c>
      <c r="BC106" s="52" t="n">
        <v>0.09</v>
      </c>
      <c r="BD106" s="52" t="n">
        <v>0.16</v>
      </c>
      <c r="BE106" s="52" t="n">
        <v>0.21</v>
      </c>
      <c r="BF106" s="52" t="n">
        <v>0.17</v>
      </c>
      <c r="BG106" s="52" t="n">
        <v>0.24</v>
      </c>
      <c r="BH106" s="52" t="n">
        <v>0.1</v>
      </c>
      <c r="BI106" s="52" t="n">
        <v>0.02</v>
      </c>
      <c r="BJ106" s="52" t="n">
        <v>-0.04</v>
      </c>
      <c r="BK106" s="52" t="n">
        <v>0.21</v>
      </c>
      <c r="BL106" s="52" t="n">
        <v>0.34</v>
      </c>
      <c r="BM106" s="52" t="n">
        <v>0.29</v>
      </c>
      <c r="BN106" s="52" t="n">
        <v>0.14</v>
      </c>
      <c r="BO106" s="52" t="n">
        <v>0.35</v>
      </c>
      <c r="BP106" s="52" t="n">
        <v>0.01</v>
      </c>
      <c r="BQ106" s="52" t="n">
        <v>0.23</v>
      </c>
      <c r="BR106" s="52" t="n">
        <v>0.34</v>
      </c>
      <c r="BS106" s="52" t="n">
        <v>-0.26</v>
      </c>
      <c r="BT106" s="52" t="n">
        <v>0.49</v>
      </c>
      <c r="BU106" s="52" t="n">
        <v>0.14</v>
      </c>
      <c r="BV106" s="52" t="n">
        <v>0.27</v>
      </c>
      <c r="BW106" s="52" t="n">
        <v>0.04</v>
      </c>
      <c r="BX106" s="52" t="n">
        <v>0.13</v>
      </c>
      <c r="BY106" s="52" t="n">
        <v>0.43</v>
      </c>
      <c r="BZ106" s="52" t="n">
        <v>0.35</v>
      </c>
      <c r="CA106" s="52" t="n">
        <v>0.08</v>
      </c>
      <c r="CB106" s="52" t="n">
        <v>-0.03</v>
      </c>
      <c r="CC106" s="52" t="n">
        <v>0.13</v>
      </c>
      <c r="CD106" s="52" t="n">
        <v>0.22</v>
      </c>
      <c r="CE106" s="52" t="n">
        <v>0.16</v>
      </c>
      <c r="CF106" s="52" t="n">
        <v>-0.3</v>
      </c>
      <c r="CG106" s="52" t="n">
        <v>0.35</v>
      </c>
      <c r="CH106" s="52" t="n">
        <v>0.32</v>
      </c>
      <c r="CI106" s="52" t="n">
        <v>-0.31</v>
      </c>
      <c r="CJ106" s="52" t="n">
        <v>0</v>
      </c>
      <c r="CK106" s="52" t="n">
        <v>0.3</v>
      </c>
      <c r="CL106" s="52" t="n">
        <v>0.35</v>
      </c>
      <c r="CM106" s="52" t="n">
        <v>0.2</v>
      </c>
      <c r="CN106" s="52" t="n">
        <v>0.07</v>
      </c>
      <c r="CO106" s="52" t="n">
        <v>0.14</v>
      </c>
      <c r="CP106" s="52" t="n">
        <v>0.03</v>
      </c>
      <c r="CQ106" s="52" t="n">
        <v>0.77</v>
      </c>
      <c r="CR106" s="52" t="n">
        <v>0.33</v>
      </c>
      <c r="CS106" s="52" t="n">
        <v>0.39</v>
      </c>
      <c r="CT106" s="52" t="n">
        <v>0.27</v>
      </c>
      <c r="CU106" s="52" t="n">
        <v>0.15</v>
      </c>
      <c r="CV106" s="52" t="n">
        <v>0.32</v>
      </c>
      <c r="CW106" s="52" t="n">
        <v>0.2</v>
      </c>
      <c r="CX106" s="52" t="n">
        <v>0.3</v>
      </c>
      <c r="CY106" s="52" t="n">
        <v>1</v>
      </c>
      <c r="CZ106" s="52" t="n">
        <v>0.09</v>
      </c>
      <c r="DA106" s="52" t="n">
        <v>0.14</v>
      </c>
      <c r="DB106" s="52" t="n">
        <v>0.24</v>
      </c>
      <c r="DC106" s="52" t="n">
        <v>0.45</v>
      </c>
      <c r="DD106" s="52" t="n">
        <v>0.28</v>
      </c>
      <c r="DE106" s="52" t="n">
        <v>0.34</v>
      </c>
      <c r="DF106" s="52" t="n">
        <v>0.01</v>
      </c>
      <c r="DG106" s="52" t="n">
        <v>0.23</v>
      </c>
      <c r="DH106" s="52" t="n">
        <v>0.19</v>
      </c>
      <c r="DI106" s="52" t="n">
        <v>0.73</v>
      </c>
      <c r="DJ106" s="52" t="n">
        <v>0.67</v>
      </c>
      <c r="DK106" s="52" t="n">
        <v>0.74</v>
      </c>
      <c r="DL106" s="52" t="n">
        <v>0.1</v>
      </c>
      <c r="DM106" s="52" t="n">
        <v>0.7</v>
      </c>
      <c r="DN106" s="52" t="n">
        <v>0.22</v>
      </c>
      <c r="DO106" s="52" t="n">
        <v>0.27</v>
      </c>
      <c r="DP106" s="52" t="n">
        <v>0.64</v>
      </c>
      <c r="DQ106" s="52" t="n">
        <v>0.19</v>
      </c>
      <c r="DR106" s="52" t="n">
        <v>0.12</v>
      </c>
      <c r="DS106" s="52" t="n">
        <v>0.08</v>
      </c>
      <c r="DT106" s="52" t="n">
        <v>0.11</v>
      </c>
      <c r="DU106" s="52" t="n">
        <v>0.32</v>
      </c>
      <c r="DV106" s="52" t="n">
        <v>0.11</v>
      </c>
      <c r="DW106" s="52" t="n">
        <v>0.27</v>
      </c>
      <c r="DX106" s="52" t="n">
        <v>0.33</v>
      </c>
      <c r="DY106" s="52" t="n">
        <v>0.37</v>
      </c>
      <c r="DZ106" s="52" t="n">
        <v>0.04</v>
      </c>
      <c r="EA106" s="52" t="n">
        <v>0.23</v>
      </c>
      <c r="EB106" s="52" t="n">
        <v>0.37</v>
      </c>
      <c r="EC106" s="52" t="n">
        <v>0.07</v>
      </c>
      <c r="ED106" s="52" t="n">
        <v>0.23</v>
      </c>
      <c r="EE106" s="52" t="n">
        <v>0.27</v>
      </c>
      <c r="EF106" s="52" t="n">
        <v>0.25</v>
      </c>
      <c r="EG106" s="52" t="n">
        <v>0.27</v>
      </c>
      <c r="EH106" s="52" t="n">
        <v>0.15</v>
      </c>
      <c r="EI106" s="52" t="n">
        <v>0.23</v>
      </c>
      <c r="EJ106" s="52" t="n">
        <v>0.33</v>
      </c>
      <c r="EK106" s="52" t="n">
        <v>0.21</v>
      </c>
      <c r="EL106" s="52" t="n">
        <v>0.28</v>
      </c>
      <c r="EM106" s="52" t="n">
        <v>0.11</v>
      </c>
      <c r="EN106" s="52" t="n">
        <v>0.13</v>
      </c>
      <c r="EO106" s="52" t="n">
        <v>0.13</v>
      </c>
    </row>
    <row r="107" customFormat="false" ht="15" hidden="false" customHeight="false" outlineLevel="0" collapsed="false">
      <c r="A107" s="51" t="s">
        <v>249</v>
      </c>
      <c r="B107" s="52" t="n">
        <v>0.1</v>
      </c>
      <c r="C107" s="52" t="n">
        <v>-0.14</v>
      </c>
      <c r="D107" s="52" t="n">
        <v>0.12</v>
      </c>
      <c r="E107" s="52" t="n">
        <v>0.05</v>
      </c>
      <c r="F107" s="52" t="n">
        <v>0.02</v>
      </c>
      <c r="G107" s="52" t="n">
        <v>-0.11</v>
      </c>
      <c r="H107" s="52" t="n">
        <v>0.11</v>
      </c>
      <c r="I107" s="52" t="n">
        <v>0.09</v>
      </c>
      <c r="J107" s="52" t="n">
        <v>0.04</v>
      </c>
      <c r="K107" s="52" t="n">
        <v>0.01</v>
      </c>
      <c r="L107" s="52" t="n">
        <v>0.14</v>
      </c>
      <c r="M107" s="52" t="n">
        <v>0.11</v>
      </c>
      <c r="N107" s="52" t="n">
        <v>0.2</v>
      </c>
      <c r="O107" s="52" t="n">
        <v>-0.01</v>
      </c>
      <c r="P107" s="52" t="n">
        <v>0.13</v>
      </c>
      <c r="Q107" s="52" t="n">
        <v>0</v>
      </c>
      <c r="R107" s="52" t="n">
        <v>0.11</v>
      </c>
      <c r="S107" s="52" t="n">
        <v>0.11</v>
      </c>
      <c r="T107" s="52" t="n">
        <v>0.16</v>
      </c>
      <c r="U107" s="52" t="n">
        <v>0.17</v>
      </c>
      <c r="V107" s="52" t="n">
        <v>-0.03</v>
      </c>
      <c r="W107" s="52" t="n">
        <v>-0.04</v>
      </c>
      <c r="X107" s="52" t="n">
        <v>0.14</v>
      </c>
      <c r="Y107" s="52" t="n">
        <v>0.25</v>
      </c>
      <c r="Z107" s="52" t="n">
        <v>0.04</v>
      </c>
      <c r="AA107" s="52" t="n">
        <v>0.09</v>
      </c>
      <c r="AB107" s="52" t="n">
        <v>0.23</v>
      </c>
      <c r="AC107" s="52" t="n">
        <v>-0.05</v>
      </c>
      <c r="AD107" s="52" t="n">
        <v>-0.05</v>
      </c>
      <c r="AE107" s="52" t="n">
        <v>0.03</v>
      </c>
      <c r="AF107" s="52" t="n">
        <v>0.09</v>
      </c>
      <c r="AG107" s="52" t="n">
        <v>0.06</v>
      </c>
      <c r="AH107" s="52" t="n">
        <v>0.08</v>
      </c>
      <c r="AI107" s="52" t="n">
        <v>0.1</v>
      </c>
      <c r="AJ107" s="52" t="n">
        <v>0.04</v>
      </c>
      <c r="AK107" s="52" t="n">
        <v>0.01</v>
      </c>
      <c r="AL107" s="52" t="n">
        <v>0.22</v>
      </c>
      <c r="AM107" s="52" t="n">
        <v>0.16</v>
      </c>
      <c r="AN107" s="52" t="n">
        <v>0.14</v>
      </c>
      <c r="AO107" s="52" t="n">
        <v>0.03</v>
      </c>
      <c r="AP107" s="52" t="n">
        <v>0.15</v>
      </c>
      <c r="AQ107" s="52" t="n">
        <v>0.02</v>
      </c>
      <c r="AR107" s="52" t="n">
        <v>0.19</v>
      </c>
      <c r="AS107" s="52" t="n">
        <v>0.07</v>
      </c>
      <c r="AT107" s="52" t="n">
        <v>0.19</v>
      </c>
      <c r="AU107" s="52" t="n">
        <v>0.07</v>
      </c>
      <c r="AV107" s="52" t="n">
        <v>0.02</v>
      </c>
      <c r="AW107" s="52" t="n">
        <v>0.12</v>
      </c>
      <c r="AX107" s="52" t="n">
        <v>0.11</v>
      </c>
      <c r="AY107" s="52" t="n">
        <v>0.15</v>
      </c>
      <c r="AZ107" s="52" t="n">
        <v>0.12</v>
      </c>
      <c r="BA107" s="52" t="n">
        <v>0.05</v>
      </c>
      <c r="BB107" s="52" t="n">
        <v>0.18</v>
      </c>
      <c r="BC107" s="52" t="n">
        <v>0.12</v>
      </c>
      <c r="BD107" s="52" t="n">
        <v>0.15</v>
      </c>
      <c r="BE107" s="52" t="n">
        <v>0.12</v>
      </c>
      <c r="BF107" s="52" t="n">
        <v>0.07</v>
      </c>
      <c r="BG107" s="52" t="n">
        <v>0.16</v>
      </c>
      <c r="BH107" s="52" t="n">
        <v>0.03</v>
      </c>
      <c r="BI107" s="52" t="n">
        <v>0.08</v>
      </c>
      <c r="BJ107" s="52" t="n">
        <v>-0.02</v>
      </c>
      <c r="BK107" s="52" t="n">
        <v>0.05</v>
      </c>
      <c r="BL107" s="52" t="n">
        <v>0.09</v>
      </c>
      <c r="BM107" s="52" t="n">
        <v>0.15</v>
      </c>
      <c r="BN107" s="52" t="n">
        <v>-0.04</v>
      </c>
      <c r="BO107" s="52" t="n">
        <v>0.21</v>
      </c>
      <c r="BP107" s="52" t="n">
        <v>0.4</v>
      </c>
      <c r="BQ107" s="52" t="n">
        <v>0.07</v>
      </c>
      <c r="BR107" s="52" t="n">
        <v>0.19</v>
      </c>
      <c r="BS107" s="52" t="n">
        <v>0.08</v>
      </c>
      <c r="BT107" s="52" t="n">
        <v>0</v>
      </c>
      <c r="BU107" s="52" t="n">
        <v>0.16</v>
      </c>
      <c r="BV107" s="52" t="n">
        <v>0.28</v>
      </c>
      <c r="BW107" s="52" t="n">
        <v>0.23</v>
      </c>
      <c r="BX107" s="52" t="n">
        <v>0.14</v>
      </c>
      <c r="BY107" s="52" t="n">
        <v>0.16</v>
      </c>
      <c r="BZ107" s="52" t="n">
        <v>0.15</v>
      </c>
      <c r="CA107" s="52" t="n">
        <v>0.03</v>
      </c>
      <c r="CB107" s="52" t="n">
        <v>0.04</v>
      </c>
      <c r="CC107" s="52" t="n">
        <v>0.11</v>
      </c>
      <c r="CD107" s="52" t="n">
        <v>0.23</v>
      </c>
      <c r="CE107" s="52" t="n">
        <v>0.17</v>
      </c>
      <c r="CF107" s="52" t="n">
        <v>0.1</v>
      </c>
      <c r="CG107" s="52" t="n">
        <v>0.31</v>
      </c>
      <c r="CH107" s="52" t="n">
        <v>0.05</v>
      </c>
      <c r="CI107" s="52" t="n">
        <v>0.09</v>
      </c>
      <c r="CJ107" s="52" t="n">
        <v>0.14</v>
      </c>
      <c r="CK107" s="52" t="n">
        <v>0.2</v>
      </c>
      <c r="CL107" s="52" t="n">
        <v>0.13</v>
      </c>
      <c r="CM107" s="52" t="n">
        <v>0.19</v>
      </c>
      <c r="CN107" s="52" t="n">
        <v>0.15</v>
      </c>
      <c r="CO107" s="52" t="n">
        <v>0.07</v>
      </c>
      <c r="CP107" s="52" t="n">
        <v>0.18</v>
      </c>
      <c r="CQ107" s="52" t="n">
        <v>0.17</v>
      </c>
      <c r="CR107" s="52" t="n">
        <v>0.09</v>
      </c>
      <c r="CS107" s="52" t="n">
        <v>0.01</v>
      </c>
      <c r="CT107" s="52" t="n">
        <v>0.25</v>
      </c>
      <c r="CU107" s="52" t="n">
        <v>0.15</v>
      </c>
      <c r="CV107" s="52" t="n">
        <v>0.17</v>
      </c>
      <c r="CW107" s="52" t="n">
        <v>0.33</v>
      </c>
      <c r="CX107" s="52" t="n">
        <v>0.19</v>
      </c>
      <c r="CY107" s="52" t="n">
        <v>0.09</v>
      </c>
      <c r="CZ107" s="52" t="n">
        <v>1</v>
      </c>
      <c r="DA107" s="52" t="n">
        <v>0.32</v>
      </c>
      <c r="DB107" s="52" t="n">
        <v>0.22</v>
      </c>
      <c r="DC107" s="52" t="n">
        <v>0.1</v>
      </c>
      <c r="DD107" s="52" t="n">
        <v>0.32</v>
      </c>
      <c r="DE107" s="52" t="n">
        <v>0.04</v>
      </c>
      <c r="DF107" s="52" t="n">
        <v>0.57</v>
      </c>
      <c r="DG107" s="52" t="n">
        <v>0.06</v>
      </c>
      <c r="DH107" s="52" t="n">
        <v>0.18</v>
      </c>
      <c r="DI107" s="52" t="n">
        <v>0.15</v>
      </c>
      <c r="DJ107" s="52" t="n">
        <v>0.18</v>
      </c>
      <c r="DK107" s="52" t="n">
        <v>0.13</v>
      </c>
      <c r="DL107" s="52" t="n">
        <v>0.05</v>
      </c>
      <c r="DM107" s="52" t="n">
        <v>0.18</v>
      </c>
      <c r="DN107" s="52" t="n">
        <v>0.25</v>
      </c>
      <c r="DO107" s="52" t="n">
        <v>0.19</v>
      </c>
      <c r="DP107" s="52" t="n">
        <v>0.15</v>
      </c>
      <c r="DQ107" s="52" t="n">
        <v>0.16</v>
      </c>
      <c r="DR107" s="52" t="n">
        <v>0.11</v>
      </c>
      <c r="DS107" s="52" t="n">
        <v>0.32</v>
      </c>
      <c r="DT107" s="52" t="n">
        <v>0.31</v>
      </c>
      <c r="DU107" s="52" t="n">
        <v>0.24</v>
      </c>
      <c r="DV107" s="52" t="n">
        <v>0.34</v>
      </c>
      <c r="DW107" s="52" t="n">
        <v>0.34</v>
      </c>
      <c r="DX107" s="52" t="n">
        <v>0.03</v>
      </c>
      <c r="DY107" s="52" t="n">
        <v>0.25</v>
      </c>
      <c r="DZ107" s="52" t="n">
        <v>0.51</v>
      </c>
      <c r="EA107" s="52" t="n">
        <v>0.01</v>
      </c>
      <c r="EB107" s="52" t="n">
        <v>0.29</v>
      </c>
      <c r="EC107" s="52" t="n">
        <v>-0.01</v>
      </c>
      <c r="ED107" s="52" t="n">
        <v>0.14</v>
      </c>
      <c r="EE107" s="52" t="n">
        <v>0.05</v>
      </c>
      <c r="EF107" s="52" t="n">
        <v>0.05</v>
      </c>
      <c r="EG107" s="52" t="n">
        <v>0.07</v>
      </c>
      <c r="EH107" s="52" t="n">
        <v>0.29</v>
      </c>
      <c r="EI107" s="52" t="n">
        <v>0</v>
      </c>
      <c r="EJ107" s="52" t="n">
        <v>0.2</v>
      </c>
      <c r="EK107" s="52" t="n">
        <v>0.13</v>
      </c>
      <c r="EL107" s="52" t="n">
        <v>0.07</v>
      </c>
      <c r="EM107" s="52" t="n">
        <v>0.15</v>
      </c>
      <c r="EN107" s="52" t="n">
        <v>0.1</v>
      </c>
      <c r="EO107" s="52" t="n">
        <v>0.08</v>
      </c>
    </row>
    <row r="108" customFormat="false" ht="15" hidden="false" customHeight="false" outlineLevel="0" collapsed="false">
      <c r="A108" s="51" t="s">
        <v>250</v>
      </c>
      <c r="B108" s="52" t="n">
        <v>0.12</v>
      </c>
      <c r="C108" s="52" t="n">
        <v>-0.01</v>
      </c>
      <c r="D108" s="52" t="n">
        <v>0.17</v>
      </c>
      <c r="E108" s="52" t="n">
        <v>-0.03</v>
      </c>
      <c r="F108" s="52" t="n">
        <v>0.06</v>
      </c>
      <c r="G108" s="52" t="n">
        <v>-0.09</v>
      </c>
      <c r="H108" s="52" t="n">
        <v>0.05</v>
      </c>
      <c r="I108" s="52" t="n">
        <v>0.12</v>
      </c>
      <c r="J108" s="52" t="n">
        <v>0.01</v>
      </c>
      <c r="K108" s="52" t="n">
        <v>0.13</v>
      </c>
      <c r="L108" s="52" t="n">
        <v>0.11</v>
      </c>
      <c r="M108" s="52" t="n">
        <v>0.16</v>
      </c>
      <c r="N108" s="52" t="n">
        <v>0.36</v>
      </c>
      <c r="O108" s="52" t="n">
        <v>-0.14</v>
      </c>
      <c r="P108" s="52" t="n">
        <v>0.11</v>
      </c>
      <c r="Q108" s="52" t="n">
        <v>0</v>
      </c>
      <c r="R108" s="52" t="n">
        <v>0.03</v>
      </c>
      <c r="S108" s="52" t="n">
        <v>0.1</v>
      </c>
      <c r="T108" s="52" t="n">
        <v>0.14</v>
      </c>
      <c r="U108" s="52" t="n">
        <v>0.02</v>
      </c>
      <c r="V108" s="52" t="n">
        <v>0</v>
      </c>
      <c r="W108" s="52" t="n">
        <v>-0.12</v>
      </c>
      <c r="X108" s="52" t="n">
        <v>0.14</v>
      </c>
      <c r="Y108" s="52" t="n">
        <v>0.33</v>
      </c>
      <c r="Z108" s="52" t="n">
        <v>0</v>
      </c>
      <c r="AA108" s="52" t="n">
        <v>-0.05</v>
      </c>
      <c r="AB108" s="52" t="n">
        <v>0.31</v>
      </c>
      <c r="AC108" s="52" t="n">
        <v>-0.1</v>
      </c>
      <c r="AD108" s="52" t="n">
        <v>-0.02</v>
      </c>
      <c r="AE108" s="52" t="n">
        <v>0.01</v>
      </c>
      <c r="AF108" s="52" t="n">
        <v>-0.13</v>
      </c>
      <c r="AG108" s="52" t="n">
        <v>0.09</v>
      </c>
      <c r="AH108" s="52" t="n">
        <v>0.05</v>
      </c>
      <c r="AI108" s="52" t="n">
        <v>0.01</v>
      </c>
      <c r="AJ108" s="52" t="n">
        <v>0.01</v>
      </c>
      <c r="AK108" s="52" t="n">
        <v>-0.1</v>
      </c>
      <c r="AL108" s="52" t="n">
        <v>0.27</v>
      </c>
      <c r="AM108" s="52" t="n">
        <v>0.1</v>
      </c>
      <c r="AN108" s="52" t="n">
        <v>0.21</v>
      </c>
      <c r="AO108" s="52" t="n">
        <v>0.18</v>
      </c>
      <c r="AP108" s="52" t="n">
        <v>0.3</v>
      </c>
      <c r="AQ108" s="52" t="n">
        <v>-0.06</v>
      </c>
      <c r="AR108" s="52" t="n">
        <v>0.16</v>
      </c>
      <c r="AS108" s="52" t="n">
        <v>0.06</v>
      </c>
      <c r="AT108" s="52" t="n">
        <v>0.29</v>
      </c>
      <c r="AU108" s="52" t="n">
        <v>-0.01</v>
      </c>
      <c r="AV108" s="52" t="n">
        <v>0.03</v>
      </c>
      <c r="AW108" s="52" t="n">
        <v>0.03</v>
      </c>
      <c r="AX108" s="52" t="n">
        <v>0.2</v>
      </c>
      <c r="AY108" s="52" t="n">
        <v>0.17</v>
      </c>
      <c r="AZ108" s="52" t="n">
        <v>0.09</v>
      </c>
      <c r="BA108" s="52" t="n">
        <v>0.06</v>
      </c>
      <c r="BB108" s="52" t="n">
        <v>0.16</v>
      </c>
      <c r="BC108" s="52" t="n">
        <v>0.03</v>
      </c>
      <c r="BD108" s="52" t="n">
        <v>0.08</v>
      </c>
      <c r="BE108" s="52" t="n">
        <v>0.13</v>
      </c>
      <c r="BF108" s="52" t="n">
        <v>0.09</v>
      </c>
      <c r="BG108" s="52" t="n">
        <v>0.35</v>
      </c>
      <c r="BH108" s="52" t="n">
        <v>0.12</v>
      </c>
      <c r="BI108" s="52" t="n">
        <v>0</v>
      </c>
      <c r="BJ108" s="52" t="n">
        <v>-0.1</v>
      </c>
      <c r="BK108" s="52" t="n">
        <v>0</v>
      </c>
      <c r="BL108" s="52" t="n">
        <v>0.09</v>
      </c>
      <c r="BM108" s="52" t="n">
        <v>0.22</v>
      </c>
      <c r="BN108" s="52" t="n">
        <v>0.07</v>
      </c>
      <c r="BO108" s="52" t="n">
        <v>0.18</v>
      </c>
      <c r="BP108" s="52" t="n">
        <v>0.32</v>
      </c>
      <c r="BQ108" s="52" t="n">
        <v>0.09</v>
      </c>
      <c r="BR108" s="52" t="n">
        <v>0.16</v>
      </c>
      <c r="BS108" s="52" t="n">
        <v>0.01</v>
      </c>
      <c r="BT108" s="52" t="n">
        <v>0.13</v>
      </c>
      <c r="BU108" s="52" t="n">
        <v>-0.02</v>
      </c>
      <c r="BV108" s="52" t="n">
        <v>0.27</v>
      </c>
      <c r="BW108" s="52" t="n">
        <v>0.12</v>
      </c>
      <c r="BX108" s="52" t="n">
        <v>0.16</v>
      </c>
      <c r="BY108" s="52" t="n">
        <v>0.18</v>
      </c>
      <c r="BZ108" s="52" t="n">
        <v>0.22</v>
      </c>
      <c r="CA108" s="52" t="n">
        <v>0.06</v>
      </c>
      <c r="CB108" s="52" t="n">
        <v>-0.02</v>
      </c>
      <c r="CC108" s="52" t="n">
        <v>0.14</v>
      </c>
      <c r="CD108" s="52" t="n">
        <v>0.32</v>
      </c>
      <c r="CE108" s="52" t="n">
        <v>0.02</v>
      </c>
      <c r="CF108" s="52" t="n">
        <v>-0.03</v>
      </c>
      <c r="CG108" s="52" t="n">
        <v>0.37</v>
      </c>
      <c r="CH108" s="52" t="n">
        <v>-0.04</v>
      </c>
      <c r="CI108" s="52" t="n">
        <v>-0.01</v>
      </c>
      <c r="CJ108" s="52" t="n">
        <v>0.28</v>
      </c>
      <c r="CK108" s="52" t="n">
        <v>0.23</v>
      </c>
      <c r="CL108" s="52" t="n">
        <v>0.18</v>
      </c>
      <c r="CM108" s="52" t="n">
        <v>0.24</v>
      </c>
      <c r="CN108" s="52" t="n">
        <v>-0.02</v>
      </c>
      <c r="CO108" s="52" t="n">
        <v>0.17</v>
      </c>
      <c r="CP108" s="52" t="n">
        <v>0.19</v>
      </c>
      <c r="CQ108" s="52" t="n">
        <v>0.18</v>
      </c>
      <c r="CR108" s="52" t="n">
        <v>0.14</v>
      </c>
      <c r="CS108" s="52" t="n">
        <v>0</v>
      </c>
      <c r="CT108" s="52" t="n">
        <v>0.32</v>
      </c>
      <c r="CU108" s="52" t="n">
        <v>0.2</v>
      </c>
      <c r="CV108" s="52" t="n">
        <v>0.22</v>
      </c>
      <c r="CW108" s="52" t="n">
        <v>0.28</v>
      </c>
      <c r="CX108" s="52" t="n">
        <v>0.26</v>
      </c>
      <c r="CY108" s="52" t="n">
        <v>0.14</v>
      </c>
      <c r="CZ108" s="52" t="n">
        <v>0.32</v>
      </c>
      <c r="DA108" s="52" t="n">
        <v>1</v>
      </c>
      <c r="DB108" s="52" t="n">
        <v>0.18</v>
      </c>
      <c r="DC108" s="52" t="n">
        <v>0.06</v>
      </c>
      <c r="DD108" s="52" t="n">
        <v>0.44</v>
      </c>
      <c r="DE108" s="52" t="n">
        <v>0.04</v>
      </c>
      <c r="DF108" s="52" t="n">
        <v>0.31</v>
      </c>
      <c r="DG108" s="52" t="n">
        <v>0.12</v>
      </c>
      <c r="DH108" s="52" t="n">
        <v>0.11</v>
      </c>
      <c r="DI108" s="52" t="n">
        <v>0.14</v>
      </c>
      <c r="DJ108" s="52" t="n">
        <v>0.23</v>
      </c>
      <c r="DK108" s="52" t="n">
        <v>0.16</v>
      </c>
      <c r="DL108" s="52" t="n">
        <v>0.01</v>
      </c>
      <c r="DM108" s="52" t="n">
        <v>0.22</v>
      </c>
      <c r="DN108" s="52" t="n">
        <v>0.35</v>
      </c>
      <c r="DO108" s="52" t="n">
        <v>0.14</v>
      </c>
      <c r="DP108" s="52" t="n">
        <v>0.24</v>
      </c>
      <c r="DQ108" s="52" t="n">
        <v>0.09</v>
      </c>
      <c r="DR108" s="52" t="n">
        <v>0.05</v>
      </c>
      <c r="DS108" s="52" t="n">
        <v>0.2</v>
      </c>
      <c r="DT108" s="52" t="n">
        <v>0.2</v>
      </c>
      <c r="DU108" s="52" t="n">
        <v>0.31</v>
      </c>
      <c r="DV108" s="52" t="n">
        <v>0.18</v>
      </c>
      <c r="DW108" s="52" t="n">
        <v>0.41</v>
      </c>
      <c r="DX108" s="52" t="n">
        <v>0.03</v>
      </c>
      <c r="DY108" s="52" t="n">
        <v>0.33</v>
      </c>
      <c r="DZ108" s="52" t="n">
        <v>0.22</v>
      </c>
      <c r="EA108" s="52" t="n">
        <v>0.13</v>
      </c>
      <c r="EB108" s="52" t="n">
        <v>0.31</v>
      </c>
      <c r="EC108" s="52" t="n">
        <v>-0.02</v>
      </c>
      <c r="ED108" s="52" t="n">
        <v>0.21</v>
      </c>
      <c r="EE108" s="52" t="n">
        <v>0.09</v>
      </c>
      <c r="EF108" s="52" t="n">
        <v>0.1</v>
      </c>
      <c r="EG108" s="52" t="n">
        <v>0</v>
      </c>
      <c r="EH108" s="52" t="n">
        <v>0.38</v>
      </c>
      <c r="EI108" s="52" t="n">
        <v>-0.01</v>
      </c>
      <c r="EJ108" s="52" t="n">
        <v>0.32</v>
      </c>
      <c r="EK108" s="52" t="n">
        <v>0.24</v>
      </c>
      <c r="EL108" s="52" t="n">
        <v>0.14</v>
      </c>
      <c r="EM108" s="52" t="n">
        <v>0.11</v>
      </c>
      <c r="EN108" s="52" t="n">
        <v>0.12</v>
      </c>
      <c r="EO108" s="52" t="n">
        <v>0.12</v>
      </c>
    </row>
    <row r="109" customFormat="false" ht="15" hidden="false" customHeight="false" outlineLevel="0" collapsed="false">
      <c r="A109" s="51" t="s">
        <v>50</v>
      </c>
      <c r="B109" s="52" t="n">
        <v>0</v>
      </c>
      <c r="C109" s="52" t="n">
        <v>0.05</v>
      </c>
      <c r="D109" s="52" t="n">
        <v>0.09</v>
      </c>
      <c r="E109" s="52" t="n">
        <v>0.19</v>
      </c>
      <c r="F109" s="52" t="n">
        <v>-0.08</v>
      </c>
      <c r="G109" s="52" t="n">
        <v>0.08</v>
      </c>
      <c r="H109" s="52" t="n">
        <v>0.12</v>
      </c>
      <c r="I109" s="52" t="n">
        <v>-0.03</v>
      </c>
      <c r="J109" s="52" t="n">
        <v>-0.09</v>
      </c>
      <c r="K109" s="52" t="n">
        <v>-0.02</v>
      </c>
      <c r="L109" s="52" t="n">
        <v>0.13</v>
      </c>
      <c r="M109" s="52" t="n">
        <v>0.3</v>
      </c>
      <c r="N109" s="52" t="n">
        <v>0.13</v>
      </c>
      <c r="O109" s="52" t="n">
        <v>0.12</v>
      </c>
      <c r="P109" s="52" t="n">
        <v>-0.07</v>
      </c>
      <c r="Q109" s="52" t="n">
        <v>0.07</v>
      </c>
      <c r="R109" s="52" t="n">
        <v>-0.04</v>
      </c>
      <c r="S109" s="52" t="n">
        <v>0.03</v>
      </c>
      <c r="T109" s="52" t="n">
        <v>0.19</v>
      </c>
      <c r="U109" s="52" t="n">
        <v>0.27</v>
      </c>
      <c r="V109" s="52" t="n">
        <v>0.13</v>
      </c>
      <c r="W109" s="52" t="n">
        <v>0.16</v>
      </c>
      <c r="X109" s="52" t="n">
        <v>0.18</v>
      </c>
      <c r="Y109" s="52" t="n">
        <v>0.03</v>
      </c>
      <c r="Z109" s="52" t="n">
        <v>0.14</v>
      </c>
      <c r="AA109" s="52" t="n">
        <v>0.06</v>
      </c>
      <c r="AB109" s="52" t="n">
        <v>0.02</v>
      </c>
      <c r="AC109" s="52" t="n">
        <v>0.15</v>
      </c>
      <c r="AD109" s="52" t="n">
        <v>0.12</v>
      </c>
      <c r="AE109" s="52" t="n">
        <v>0.13</v>
      </c>
      <c r="AF109" s="52" t="n">
        <v>0.26</v>
      </c>
      <c r="AG109" s="52" t="n">
        <v>-0.08</v>
      </c>
      <c r="AH109" s="52" t="n">
        <v>-0.02</v>
      </c>
      <c r="AI109" s="52" t="n">
        <v>-0.08</v>
      </c>
      <c r="AJ109" s="52" t="n">
        <v>0.1</v>
      </c>
      <c r="AK109" s="52" t="n">
        <v>0.18</v>
      </c>
      <c r="AL109" s="52" t="n">
        <v>0.21</v>
      </c>
      <c r="AM109" s="52" t="n">
        <v>0.16</v>
      </c>
      <c r="AN109" s="52" t="n">
        <v>0.18</v>
      </c>
      <c r="AO109" s="52" t="n">
        <v>-0.04</v>
      </c>
      <c r="AP109" s="52" t="n">
        <v>0.19</v>
      </c>
      <c r="AQ109" s="52" t="n">
        <v>-0.12</v>
      </c>
      <c r="AR109" s="52" t="n">
        <v>0.13</v>
      </c>
      <c r="AS109" s="52" t="n">
        <v>0.2</v>
      </c>
      <c r="AT109" s="52" t="n">
        <v>0.3</v>
      </c>
      <c r="AU109" s="52" t="n">
        <v>-0.02</v>
      </c>
      <c r="AV109" s="52" t="n">
        <v>0.23</v>
      </c>
      <c r="AW109" s="52" t="n">
        <v>0.25</v>
      </c>
      <c r="AX109" s="52" t="n">
        <v>0.09</v>
      </c>
      <c r="AY109" s="52" t="n">
        <v>0.1</v>
      </c>
      <c r="AZ109" s="52" t="n">
        <v>0.18</v>
      </c>
      <c r="BA109" s="52" t="n">
        <v>0.16</v>
      </c>
      <c r="BB109" s="52" t="n">
        <v>0.36</v>
      </c>
      <c r="BC109" s="52" t="n">
        <v>0.16</v>
      </c>
      <c r="BD109" s="52" t="n">
        <v>0.16</v>
      </c>
      <c r="BE109" s="52" t="n">
        <v>0.03</v>
      </c>
      <c r="BF109" s="52" t="n">
        <v>0.23</v>
      </c>
      <c r="BG109" s="52" t="n">
        <v>0.05</v>
      </c>
      <c r="BH109" s="52" t="n">
        <v>0.27</v>
      </c>
      <c r="BI109" s="52" t="n">
        <v>0.15</v>
      </c>
      <c r="BJ109" s="52" t="n">
        <v>0.04</v>
      </c>
      <c r="BK109" s="52" t="n">
        <v>0.19</v>
      </c>
      <c r="BL109" s="52" t="n">
        <v>0.26</v>
      </c>
      <c r="BM109" s="52" t="n">
        <v>0.07</v>
      </c>
      <c r="BN109" s="52" t="n">
        <v>0.05</v>
      </c>
      <c r="BO109" s="52" t="n">
        <v>0.42</v>
      </c>
      <c r="BP109" s="52" t="n">
        <v>0.25</v>
      </c>
      <c r="BQ109" s="52" t="n">
        <v>0.33</v>
      </c>
      <c r="BR109" s="52" t="n">
        <v>0.15</v>
      </c>
      <c r="BS109" s="52" t="n">
        <v>-0.05</v>
      </c>
      <c r="BT109" s="52" t="n">
        <v>0.24</v>
      </c>
      <c r="BU109" s="52" t="n">
        <v>0.12</v>
      </c>
      <c r="BV109" s="52" t="n">
        <v>0.38</v>
      </c>
      <c r="BW109" s="52" t="n">
        <v>0.17</v>
      </c>
      <c r="BX109" s="52" t="n">
        <v>0.06</v>
      </c>
      <c r="BY109" s="52" t="n">
        <v>0.26</v>
      </c>
      <c r="BZ109" s="52" t="n">
        <v>0.29</v>
      </c>
      <c r="CA109" s="52" t="n">
        <v>0.17</v>
      </c>
      <c r="CB109" s="52" t="n">
        <v>-0.01</v>
      </c>
      <c r="CC109" s="52" t="n">
        <v>0.12</v>
      </c>
      <c r="CD109" s="52" t="n">
        <v>0.17</v>
      </c>
      <c r="CE109" s="52" t="n">
        <v>0.24</v>
      </c>
      <c r="CF109" s="52" t="n">
        <v>-0.11</v>
      </c>
      <c r="CG109" s="52" t="n">
        <v>0.23</v>
      </c>
      <c r="CH109" s="52" t="n">
        <v>0.36</v>
      </c>
      <c r="CI109" s="52" t="n">
        <v>-0.13</v>
      </c>
      <c r="CJ109" s="52" t="n">
        <v>0.07</v>
      </c>
      <c r="CK109" s="52" t="n">
        <v>0.16</v>
      </c>
      <c r="CL109" s="52" t="n">
        <v>0.27</v>
      </c>
      <c r="CM109" s="52" t="n">
        <v>0.45</v>
      </c>
      <c r="CN109" s="52" t="n">
        <v>0.12</v>
      </c>
      <c r="CO109" s="52" t="n">
        <v>0.22</v>
      </c>
      <c r="CP109" s="52" t="n">
        <v>0.2</v>
      </c>
      <c r="CQ109" s="52" t="n">
        <v>0.33</v>
      </c>
      <c r="CR109" s="52" t="n">
        <v>0.47</v>
      </c>
      <c r="CS109" s="52" t="n">
        <v>0.37</v>
      </c>
      <c r="CT109" s="52" t="n">
        <v>0.36</v>
      </c>
      <c r="CU109" s="52" t="n">
        <v>0.25</v>
      </c>
      <c r="CV109" s="52" t="n">
        <v>0.36</v>
      </c>
      <c r="CW109" s="52" t="n">
        <v>0.21</v>
      </c>
      <c r="CX109" s="52" t="n">
        <v>0.35</v>
      </c>
      <c r="CY109" s="52" t="n">
        <v>0.24</v>
      </c>
      <c r="CZ109" s="52" t="n">
        <v>0.22</v>
      </c>
      <c r="DA109" s="52" t="n">
        <v>0.18</v>
      </c>
      <c r="DB109" s="52" t="n">
        <v>1</v>
      </c>
      <c r="DC109" s="52" t="n">
        <v>0.28</v>
      </c>
      <c r="DD109" s="52" t="n">
        <v>0.35</v>
      </c>
      <c r="DE109" s="52" t="n">
        <v>0.4</v>
      </c>
      <c r="DF109" s="52" t="n">
        <v>0.13</v>
      </c>
      <c r="DG109" s="52" t="n">
        <v>0.32</v>
      </c>
      <c r="DH109" s="52" t="n">
        <v>0.38</v>
      </c>
      <c r="DI109" s="52" t="n">
        <v>0.37</v>
      </c>
      <c r="DJ109" s="52" t="n">
        <v>0.17</v>
      </c>
      <c r="DK109" s="52" t="n">
        <v>0.34</v>
      </c>
      <c r="DL109" s="52" t="n">
        <v>0.22</v>
      </c>
      <c r="DM109" s="52" t="n">
        <v>0.27</v>
      </c>
      <c r="DN109" s="52" t="n">
        <v>0.1</v>
      </c>
      <c r="DO109" s="52" t="n">
        <v>0.45</v>
      </c>
      <c r="DP109" s="52" t="n">
        <v>0.25</v>
      </c>
      <c r="DQ109" s="52" t="n">
        <v>0.36</v>
      </c>
      <c r="DR109" s="52" t="n">
        <v>0.34</v>
      </c>
      <c r="DS109" s="52" t="n">
        <v>0.11</v>
      </c>
      <c r="DT109" s="52" t="n">
        <v>0.39</v>
      </c>
      <c r="DU109" s="52" t="n">
        <v>0.49</v>
      </c>
      <c r="DV109" s="52" t="n">
        <v>0.38</v>
      </c>
      <c r="DW109" s="52" t="n">
        <v>0.29</v>
      </c>
      <c r="DX109" s="52" t="n">
        <v>0.4</v>
      </c>
      <c r="DY109" s="52" t="n">
        <v>0.41</v>
      </c>
      <c r="DZ109" s="52" t="n">
        <v>0.22</v>
      </c>
      <c r="EA109" s="52" t="n">
        <v>0.23</v>
      </c>
      <c r="EB109" s="52" t="n">
        <v>0.41</v>
      </c>
      <c r="EC109" s="52" t="n">
        <v>0.07</v>
      </c>
      <c r="ED109" s="52" t="n">
        <v>0.42</v>
      </c>
      <c r="EE109" s="52" t="n">
        <v>0.46</v>
      </c>
      <c r="EF109" s="52" t="n">
        <v>0.15</v>
      </c>
      <c r="EG109" s="52" t="n">
        <v>0.38</v>
      </c>
      <c r="EH109" s="52" t="n">
        <v>0.13</v>
      </c>
      <c r="EI109" s="52" t="n">
        <v>0.34</v>
      </c>
      <c r="EJ109" s="52" t="n">
        <v>0.32</v>
      </c>
      <c r="EK109" s="52" t="n">
        <v>0.39</v>
      </c>
      <c r="EL109" s="52" t="n">
        <v>0.35</v>
      </c>
      <c r="EM109" s="52" t="n">
        <v>0.14</v>
      </c>
      <c r="EN109" s="52" t="n">
        <v>0.2</v>
      </c>
      <c r="EO109" s="52" t="n">
        <v>0.17</v>
      </c>
    </row>
    <row r="110" customFormat="false" ht="15" hidden="false" customHeight="false" outlineLevel="0" collapsed="false">
      <c r="A110" s="51" t="s">
        <v>251</v>
      </c>
      <c r="B110" s="52" t="n">
        <v>-0.02</v>
      </c>
      <c r="C110" s="52" t="n">
        <v>0.04</v>
      </c>
      <c r="D110" s="52" t="n">
        <v>0.18</v>
      </c>
      <c r="E110" s="52" t="n">
        <v>0.17</v>
      </c>
      <c r="F110" s="52" t="n">
        <v>-0.09</v>
      </c>
      <c r="G110" s="52" t="n">
        <v>0.1</v>
      </c>
      <c r="H110" s="52" t="n">
        <v>0.16</v>
      </c>
      <c r="I110" s="52" t="n">
        <v>0.03</v>
      </c>
      <c r="J110" s="52" t="n">
        <v>-0.06</v>
      </c>
      <c r="K110" s="52" t="n">
        <v>0.13</v>
      </c>
      <c r="L110" s="52" t="n">
        <v>0.15</v>
      </c>
      <c r="M110" s="52" t="n">
        <v>0.32</v>
      </c>
      <c r="N110" s="52" t="n">
        <v>0.11</v>
      </c>
      <c r="O110" s="52" t="n">
        <v>0.21</v>
      </c>
      <c r="P110" s="52" t="n">
        <v>-0.1</v>
      </c>
      <c r="Q110" s="52" t="n">
        <v>0.09</v>
      </c>
      <c r="R110" s="52" t="n">
        <v>-0.03</v>
      </c>
      <c r="S110" s="52" t="n">
        <v>0.09</v>
      </c>
      <c r="T110" s="52" t="n">
        <v>0.32</v>
      </c>
      <c r="U110" s="52" t="n">
        <v>0.2</v>
      </c>
      <c r="V110" s="52" t="n">
        <v>0.22</v>
      </c>
      <c r="W110" s="52" t="n">
        <v>0.14</v>
      </c>
      <c r="X110" s="52" t="n">
        <v>0.26</v>
      </c>
      <c r="Y110" s="52" t="n">
        <v>0.05</v>
      </c>
      <c r="Z110" s="52" t="n">
        <v>0.23</v>
      </c>
      <c r="AA110" s="52" t="n">
        <v>0.28</v>
      </c>
      <c r="AB110" s="52" t="n">
        <v>0.06</v>
      </c>
      <c r="AC110" s="52" t="n">
        <v>0.12</v>
      </c>
      <c r="AD110" s="52" t="n">
        <v>0.05</v>
      </c>
      <c r="AE110" s="52" t="n">
        <v>0.42</v>
      </c>
      <c r="AF110" s="52" t="n">
        <v>0.28</v>
      </c>
      <c r="AG110" s="52" t="n">
        <v>-0.12</v>
      </c>
      <c r="AH110" s="52" t="n">
        <v>-0.1</v>
      </c>
      <c r="AI110" s="52" t="n">
        <v>-0.36</v>
      </c>
      <c r="AJ110" s="52" t="n">
        <v>0.28</v>
      </c>
      <c r="AK110" s="52" t="n">
        <v>0.34</v>
      </c>
      <c r="AL110" s="52" t="n">
        <v>0.09</v>
      </c>
      <c r="AM110" s="52" t="n">
        <v>0.33</v>
      </c>
      <c r="AN110" s="52" t="n">
        <v>0.3</v>
      </c>
      <c r="AO110" s="52" t="n">
        <v>0</v>
      </c>
      <c r="AP110" s="52" t="n">
        <v>0.18</v>
      </c>
      <c r="AQ110" s="52" t="n">
        <v>-0.36</v>
      </c>
      <c r="AR110" s="52" t="n">
        <v>0.24</v>
      </c>
      <c r="AS110" s="52" t="n">
        <v>0.27</v>
      </c>
      <c r="AT110" s="52" t="n">
        <v>0.28</v>
      </c>
      <c r="AU110" s="52" t="n">
        <v>-0.01</v>
      </c>
      <c r="AV110" s="52" t="n">
        <v>0.21</v>
      </c>
      <c r="AW110" s="52" t="n">
        <v>0.2</v>
      </c>
      <c r="AX110" s="52" t="n">
        <v>0.11</v>
      </c>
      <c r="AY110" s="52" t="n">
        <v>0.12</v>
      </c>
      <c r="AZ110" s="52" t="n">
        <v>0.41</v>
      </c>
      <c r="BA110" s="52" t="n">
        <v>0.23</v>
      </c>
      <c r="BB110" s="52" t="n">
        <v>0.4</v>
      </c>
      <c r="BC110" s="52" t="n">
        <v>0.13</v>
      </c>
      <c r="BD110" s="52" t="n">
        <v>0.37</v>
      </c>
      <c r="BE110" s="52" t="n">
        <v>0.08</v>
      </c>
      <c r="BF110" s="52" t="n">
        <v>0.27</v>
      </c>
      <c r="BG110" s="52" t="n">
        <v>0.14</v>
      </c>
      <c r="BH110" s="52" t="n">
        <v>0.21</v>
      </c>
      <c r="BI110" s="52" t="n">
        <v>0.16</v>
      </c>
      <c r="BJ110" s="52" t="n">
        <v>0.12</v>
      </c>
      <c r="BK110" s="52" t="n">
        <v>0.35</v>
      </c>
      <c r="BL110" s="52" t="n">
        <v>0.23</v>
      </c>
      <c r="BM110" s="52" t="n">
        <v>0.12</v>
      </c>
      <c r="BN110" s="52" t="n">
        <v>-0.04</v>
      </c>
      <c r="BO110" s="52" t="n">
        <v>0.19</v>
      </c>
      <c r="BP110" s="52" t="n">
        <v>0.05</v>
      </c>
      <c r="BQ110" s="52" t="n">
        <v>0.32</v>
      </c>
      <c r="BR110" s="52" t="n">
        <v>0.27</v>
      </c>
      <c r="BS110" s="52" t="n">
        <v>-0.29</v>
      </c>
      <c r="BT110" s="52" t="n">
        <v>0.31</v>
      </c>
      <c r="BU110" s="52" t="n">
        <v>0.23</v>
      </c>
      <c r="BV110" s="52" t="n">
        <v>0.18</v>
      </c>
      <c r="BW110" s="52" t="n">
        <v>0.15</v>
      </c>
      <c r="BX110" s="52" t="n">
        <v>0.08</v>
      </c>
      <c r="BY110" s="52" t="n">
        <v>0.25</v>
      </c>
      <c r="BZ110" s="52" t="n">
        <v>0.31</v>
      </c>
      <c r="CA110" s="52" t="n">
        <v>0.24</v>
      </c>
      <c r="CB110" s="52" t="n">
        <v>-0.06</v>
      </c>
      <c r="CC110" s="52" t="n">
        <v>0.02</v>
      </c>
      <c r="CD110" s="52" t="n">
        <v>0.09</v>
      </c>
      <c r="CE110" s="52" t="n">
        <v>0.07</v>
      </c>
      <c r="CF110" s="52" t="n">
        <v>-0.32</v>
      </c>
      <c r="CG110" s="52" t="n">
        <v>0.23</v>
      </c>
      <c r="CH110" s="52" t="n">
        <v>0.31</v>
      </c>
      <c r="CI110" s="52" t="n">
        <v>-0.34</v>
      </c>
      <c r="CJ110" s="52" t="n">
        <v>-0.13</v>
      </c>
      <c r="CK110" s="52" t="n">
        <v>0.1</v>
      </c>
      <c r="CL110" s="52" t="n">
        <v>0.2</v>
      </c>
      <c r="CM110" s="52" t="n">
        <v>0.08</v>
      </c>
      <c r="CN110" s="52" t="n">
        <v>0.23</v>
      </c>
      <c r="CO110" s="52" t="n">
        <v>0.11</v>
      </c>
      <c r="CP110" s="52" t="n">
        <v>0.07</v>
      </c>
      <c r="CQ110" s="52" t="n">
        <v>0.42</v>
      </c>
      <c r="CR110" s="52" t="n">
        <v>0.28</v>
      </c>
      <c r="CS110" s="52" t="n">
        <v>0.28</v>
      </c>
      <c r="CT110" s="52" t="n">
        <v>0.19</v>
      </c>
      <c r="CU110" s="52" t="n">
        <v>0.15</v>
      </c>
      <c r="CV110" s="52" t="n">
        <v>0.2</v>
      </c>
      <c r="CW110" s="52" t="n">
        <v>0.21</v>
      </c>
      <c r="CX110" s="52" t="n">
        <v>0.29</v>
      </c>
      <c r="CY110" s="52" t="n">
        <v>0.45</v>
      </c>
      <c r="CZ110" s="52" t="n">
        <v>0.1</v>
      </c>
      <c r="DA110" s="52" t="n">
        <v>0.06</v>
      </c>
      <c r="DB110" s="52" t="n">
        <v>0.28</v>
      </c>
      <c r="DC110" s="52" t="n">
        <v>1</v>
      </c>
      <c r="DD110" s="52" t="n">
        <v>0.23</v>
      </c>
      <c r="DE110" s="52" t="n">
        <v>0.33</v>
      </c>
      <c r="DF110" s="52" t="n">
        <v>-0.09</v>
      </c>
      <c r="DG110" s="52" t="n">
        <v>0.23</v>
      </c>
      <c r="DH110" s="52" t="n">
        <v>0.16</v>
      </c>
      <c r="DI110" s="52" t="n">
        <v>0.42</v>
      </c>
      <c r="DJ110" s="52" t="n">
        <v>0.41</v>
      </c>
      <c r="DK110" s="52" t="n">
        <v>0.47</v>
      </c>
      <c r="DL110" s="52" t="n">
        <v>0.31</v>
      </c>
      <c r="DM110" s="52" t="n">
        <v>0.51</v>
      </c>
      <c r="DN110" s="52" t="n">
        <v>0.15</v>
      </c>
      <c r="DO110" s="52" t="n">
        <v>0.28</v>
      </c>
      <c r="DP110" s="52" t="n">
        <v>0.42</v>
      </c>
      <c r="DQ110" s="52" t="n">
        <v>0.28</v>
      </c>
      <c r="DR110" s="52" t="n">
        <v>0.14</v>
      </c>
      <c r="DS110" s="52" t="n">
        <v>0.03</v>
      </c>
      <c r="DT110" s="52" t="n">
        <v>0.19</v>
      </c>
      <c r="DU110" s="52" t="n">
        <v>0.25</v>
      </c>
      <c r="DV110" s="52" t="n">
        <v>0.01</v>
      </c>
      <c r="DW110" s="52" t="n">
        <v>0.18</v>
      </c>
      <c r="DX110" s="52" t="n">
        <v>0.28</v>
      </c>
      <c r="DY110" s="52" t="n">
        <v>0.29</v>
      </c>
      <c r="DZ110" s="52" t="n">
        <v>0.04</v>
      </c>
      <c r="EA110" s="52" t="n">
        <v>0.2</v>
      </c>
      <c r="EB110" s="52" t="n">
        <v>0.26</v>
      </c>
      <c r="EC110" s="52" t="n">
        <v>0.02</v>
      </c>
      <c r="ED110" s="52" t="n">
        <v>0.32</v>
      </c>
      <c r="EE110" s="52" t="n">
        <v>0.25</v>
      </c>
      <c r="EF110" s="52" t="n">
        <v>0.14</v>
      </c>
      <c r="EG110" s="52" t="n">
        <v>0.27</v>
      </c>
      <c r="EH110" s="52" t="n">
        <v>0</v>
      </c>
      <c r="EI110" s="52" t="n">
        <v>0.26</v>
      </c>
      <c r="EJ110" s="52" t="n">
        <v>0.26</v>
      </c>
      <c r="EK110" s="52" t="n">
        <v>0.18</v>
      </c>
      <c r="EL110" s="52" t="n">
        <v>0.3</v>
      </c>
      <c r="EM110" s="52" t="n">
        <v>0.07</v>
      </c>
      <c r="EN110" s="52" t="n">
        <v>0.1</v>
      </c>
      <c r="EO110" s="52" t="n">
        <v>0.1</v>
      </c>
    </row>
    <row r="111" customFormat="false" ht="15" hidden="false" customHeight="false" outlineLevel="0" collapsed="false">
      <c r="A111" s="51" t="s">
        <v>252</v>
      </c>
      <c r="B111" s="52" t="n">
        <v>0.14</v>
      </c>
      <c r="C111" s="52" t="n">
        <v>-0.04</v>
      </c>
      <c r="D111" s="52" t="n">
        <v>0.19</v>
      </c>
      <c r="E111" s="52" t="n">
        <v>0.12</v>
      </c>
      <c r="F111" s="52" t="n">
        <v>0.03</v>
      </c>
      <c r="G111" s="52" t="n">
        <v>0.05</v>
      </c>
      <c r="H111" s="52" t="n">
        <v>0.06</v>
      </c>
      <c r="I111" s="52" t="n">
        <v>0.17</v>
      </c>
      <c r="J111" s="52" t="n">
        <v>0.01</v>
      </c>
      <c r="K111" s="52" t="n">
        <v>0.11</v>
      </c>
      <c r="L111" s="52" t="n">
        <v>0.06</v>
      </c>
      <c r="M111" s="52" t="n">
        <v>0.31</v>
      </c>
      <c r="N111" s="52" t="n">
        <v>0.25</v>
      </c>
      <c r="O111" s="52" t="n">
        <v>0.02</v>
      </c>
      <c r="P111" s="52" t="n">
        <v>0.08</v>
      </c>
      <c r="Q111" s="52" t="n">
        <v>0.06</v>
      </c>
      <c r="R111" s="52" t="n">
        <v>0.06</v>
      </c>
      <c r="S111" s="52" t="n">
        <v>0.13</v>
      </c>
      <c r="T111" s="52" t="n">
        <v>0.26</v>
      </c>
      <c r="U111" s="52" t="n">
        <v>0.16</v>
      </c>
      <c r="V111" s="52" t="n">
        <v>0.16</v>
      </c>
      <c r="W111" s="52" t="n">
        <v>-0.04</v>
      </c>
      <c r="X111" s="52" t="n">
        <v>0.33</v>
      </c>
      <c r="Y111" s="52" t="n">
        <v>0.4</v>
      </c>
      <c r="Z111" s="52" t="n">
        <v>0.07</v>
      </c>
      <c r="AA111" s="52" t="n">
        <v>0.05</v>
      </c>
      <c r="AB111" s="52" t="n">
        <v>0.38</v>
      </c>
      <c r="AC111" s="52" t="n">
        <v>0.07</v>
      </c>
      <c r="AD111" s="52" t="n">
        <v>0.03</v>
      </c>
      <c r="AE111" s="52" t="n">
        <v>0.18</v>
      </c>
      <c r="AF111" s="52" t="n">
        <v>0.07</v>
      </c>
      <c r="AG111" s="52" t="n">
        <v>0</v>
      </c>
      <c r="AH111" s="52" t="n">
        <v>0.01</v>
      </c>
      <c r="AI111" s="52" t="n">
        <v>-0.11</v>
      </c>
      <c r="AJ111" s="52" t="n">
        <v>0.04</v>
      </c>
      <c r="AK111" s="52" t="n">
        <v>0.03</v>
      </c>
      <c r="AL111" s="52" t="n">
        <v>0.26</v>
      </c>
      <c r="AM111" s="52" t="n">
        <v>0.27</v>
      </c>
      <c r="AN111" s="52" t="n">
        <v>0.34</v>
      </c>
      <c r="AO111" s="52" t="n">
        <v>0.1</v>
      </c>
      <c r="AP111" s="52" t="n">
        <v>0.37</v>
      </c>
      <c r="AQ111" s="52" t="n">
        <v>-0.16</v>
      </c>
      <c r="AR111" s="52" t="n">
        <v>0.22</v>
      </c>
      <c r="AS111" s="52" t="n">
        <v>0.15</v>
      </c>
      <c r="AT111" s="52" t="n">
        <v>0.38</v>
      </c>
      <c r="AU111" s="52" t="n">
        <v>0.04</v>
      </c>
      <c r="AV111" s="52" t="n">
        <v>0.08</v>
      </c>
      <c r="AW111" s="52" t="n">
        <v>0.17</v>
      </c>
      <c r="AX111" s="52" t="n">
        <v>0.16</v>
      </c>
      <c r="AY111" s="52" t="n">
        <v>0.29</v>
      </c>
      <c r="AZ111" s="52" t="n">
        <v>0.23</v>
      </c>
      <c r="BA111" s="52" t="n">
        <v>0.19</v>
      </c>
      <c r="BB111" s="52" t="n">
        <v>0.38</v>
      </c>
      <c r="BC111" s="52" t="n">
        <v>0.14</v>
      </c>
      <c r="BD111" s="52" t="n">
        <v>0.13</v>
      </c>
      <c r="BE111" s="52" t="n">
        <v>0.1</v>
      </c>
      <c r="BF111" s="52" t="n">
        <v>0.12</v>
      </c>
      <c r="BG111" s="52" t="n">
        <v>0.38</v>
      </c>
      <c r="BH111" s="52" t="n">
        <v>0.19</v>
      </c>
      <c r="BI111" s="52" t="n">
        <v>0.16</v>
      </c>
      <c r="BJ111" s="52" t="n">
        <v>0</v>
      </c>
      <c r="BK111" s="52" t="n">
        <v>0.14</v>
      </c>
      <c r="BL111" s="52" t="n">
        <v>0.22</v>
      </c>
      <c r="BM111" s="52" t="n">
        <v>0.21</v>
      </c>
      <c r="BN111" s="52" t="n">
        <v>0.1</v>
      </c>
      <c r="BO111" s="52" t="n">
        <v>0.32</v>
      </c>
      <c r="BP111" s="52" t="n">
        <v>0.34</v>
      </c>
      <c r="BQ111" s="52" t="n">
        <v>0.2</v>
      </c>
      <c r="BR111" s="52" t="n">
        <v>0.28</v>
      </c>
      <c r="BS111" s="52" t="n">
        <v>-0.06</v>
      </c>
      <c r="BT111" s="52" t="n">
        <v>0.3</v>
      </c>
      <c r="BU111" s="52" t="n">
        <v>0.14</v>
      </c>
      <c r="BV111" s="52" t="n">
        <v>0.39</v>
      </c>
      <c r="BW111" s="52" t="n">
        <v>0.26</v>
      </c>
      <c r="BX111" s="52" t="n">
        <v>0.2</v>
      </c>
      <c r="BY111" s="52" t="n">
        <v>0.29</v>
      </c>
      <c r="BZ111" s="52" t="n">
        <v>0.32</v>
      </c>
      <c r="CA111" s="52" t="n">
        <v>0.13</v>
      </c>
      <c r="CB111" s="52" t="n">
        <v>-0.03</v>
      </c>
      <c r="CC111" s="52" t="n">
        <v>0.21</v>
      </c>
      <c r="CD111" s="52" t="n">
        <v>0.33</v>
      </c>
      <c r="CE111" s="52" t="n">
        <v>0.22</v>
      </c>
      <c r="CF111" s="52" t="n">
        <v>-0.11</v>
      </c>
      <c r="CG111" s="52" t="n">
        <v>0.47</v>
      </c>
      <c r="CH111" s="52" t="n">
        <v>0.17</v>
      </c>
      <c r="CI111" s="52" t="n">
        <v>-0.11</v>
      </c>
      <c r="CJ111" s="52" t="n">
        <v>0.38</v>
      </c>
      <c r="CK111" s="52" t="n">
        <v>0.29</v>
      </c>
      <c r="CL111" s="52" t="n">
        <v>0.21</v>
      </c>
      <c r="CM111" s="52" t="n">
        <v>0.25</v>
      </c>
      <c r="CN111" s="52" t="n">
        <v>0.07</v>
      </c>
      <c r="CO111" s="52" t="n">
        <v>0.07</v>
      </c>
      <c r="CP111" s="52" t="n">
        <v>0.21</v>
      </c>
      <c r="CQ111" s="52" t="n">
        <v>0.33</v>
      </c>
      <c r="CR111" s="52" t="n">
        <v>0.28</v>
      </c>
      <c r="CS111" s="52" t="n">
        <v>0.14</v>
      </c>
      <c r="CT111" s="52" t="n">
        <v>0.48</v>
      </c>
      <c r="CU111" s="52" t="n">
        <v>0.14</v>
      </c>
      <c r="CV111" s="52" t="n">
        <v>0.27</v>
      </c>
      <c r="CW111" s="52" t="n">
        <v>0.35</v>
      </c>
      <c r="CX111" s="52" t="n">
        <v>0.39</v>
      </c>
      <c r="CY111" s="52" t="n">
        <v>0.28</v>
      </c>
      <c r="CZ111" s="52" t="n">
        <v>0.32</v>
      </c>
      <c r="DA111" s="52" t="n">
        <v>0.44</v>
      </c>
      <c r="DB111" s="52" t="n">
        <v>0.35</v>
      </c>
      <c r="DC111" s="52" t="n">
        <v>0.23</v>
      </c>
      <c r="DD111" s="52" t="n">
        <v>1</v>
      </c>
      <c r="DE111" s="52" t="n">
        <v>0.24</v>
      </c>
      <c r="DF111" s="52" t="n">
        <v>0.35</v>
      </c>
      <c r="DG111" s="52" t="n">
        <v>0.26</v>
      </c>
      <c r="DH111" s="52" t="n">
        <v>0.29</v>
      </c>
      <c r="DI111" s="52" t="n">
        <v>0.35</v>
      </c>
      <c r="DJ111" s="52" t="n">
        <v>0.34</v>
      </c>
      <c r="DK111" s="52" t="n">
        <v>0.35</v>
      </c>
      <c r="DL111" s="52" t="n">
        <v>0.14</v>
      </c>
      <c r="DM111" s="52" t="n">
        <v>0.39</v>
      </c>
      <c r="DN111" s="52" t="n">
        <v>0.36</v>
      </c>
      <c r="DO111" s="52" t="n">
        <v>0.26</v>
      </c>
      <c r="DP111" s="52" t="n">
        <v>0.37</v>
      </c>
      <c r="DQ111" s="52" t="n">
        <v>0.17</v>
      </c>
      <c r="DR111" s="52" t="n">
        <v>0.13</v>
      </c>
      <c r="DS111" s="52" t="n">
        <v>0.29</v>
      </c>
      <c r="DT111" s="52" t="n">
        <v>0.34</v>
      </c>
      <c r="DU111" s="52" t="n">
        <v>0.47</v>
      </c>
      <c r="DV111" s="52" t="n">
        <v>0.38</v>
      </c>
      <c r="DW111" s="52" t="n">
        <v>0.53</v>
      </c>
      <c r="DX111" s="52" t="n">
        <v>0.18</v>
      </c>
      <c r="DY111" s="52" t="n">
        <v>0.57</v>
      </c>
      <c r="DZ111" s="52" t="n">
        <v>0.31</v>
      </c>
      <c r="EA111" s="52" t="n">
        <v>0.23</v>
      </c>
      <c r="EB111" s="52" t="n">
        <v>0.54</v>
      </c>
      <c r="EC111" s="52" t="n">
        <v>0.06</v>
      </c>
      <c r="ED111" s="52" t="n">
        <v>0.34</v>
      </c>
      <c r="EE111" s="52" t="n">
        <v>0.22</v>
      </c>
      <c r="EF111" s="52" t="n">
        <v>0.22</v>
      </c>
      <c r="EG111" s="52" t="n">
        <v>0.17</v>
      </c>
      <c r="EH111" s="52" t="n">
        <v>0.35</v>
      </c>
      <c r="EI111" s="52" t="n">
        <v>0.17</v>
      </c>
      <c r="EJ111" s="52" t="n">
        <v>0.31</v>
      </c>
      <c r="EK111" s="52" t="n">
        <v>0.35</v>
      </c>
      <c r="EL111" s="52" t="n">
        <v>0.28</v>
      </c>
      <c r="EM111" s="52" t="n">
        <v>0.21</v>
      </c>
      <c r="EN111" s="52" t="n">
        <v>0.2</v>
      </c>
      <c r="EO111" s="52" t="n">
        <v>0.21</v>
      </c>
    </row>
    <row r="112" customFormat="false" ht="15" hidden="false" customHeight="false" outlineLevel="0" collapsed="false">
      <c r="A112" s="51" t="s">
        <v>253</v>
      </c>
      <c r="B112" s="52" t="n">
        <v>-0.09</v>
      </c>
      <c r="C112" s="52" t="n">
        <v>0.07</v>
      </c>
      <c r="D112" s="52" t="n">
        <v>0.05</v>
      </c>
      <c r="E112" s="52" t="n">
        <v>0.15</v>
      </c>
      <c r="F112" s="52" t="n">
        <v>-0.11</v>
      </c>
      <c r="G112" s="52" t="n">
        <v>0.03</v>
      </c>
      <c r="H112" s="52" t="n">
        <v>0.1</v>
      </c>
      <c r="I112" s="52" t="n">
        <v>-0.01</v>
      </c>
      <c r="J112" s="52" t="n">
        <v>-0.03</v>
      </c>
      <c r="K112" s="52" t="n">
        <v>-0.02</v>
      </c>
      <c r="L112" s="52" t="n">
        <v>0.09</v>
      </c>
      <c r="M112" s="52" t="n">
        <v>0.35</v>
      </c>
      <c r="N112" s="52" t="n">
        <v>0.1</v>
      </c>
      <c r="O112" s="52" t="n">
        <v>0.11</v>
      </c>
      <c r="P112" s="52" t="n">
        <v>-0.09</v>
      </c>
      <c r="Q112" s="52" t="n">
        <v>0.06</v>
      </c>
      <c r="R112" s="52" t="n">
        <v>-0.06</v>
      </c>
      <c r="S112" s="52" t="n">
        <v>-0.04</v>
      </c>
      <c r="T112" s="52" t="n">
        <v>0.23</v>
      </c>
      <c r="U112" s="52" t="n">
        <v>0.22</v>
      </c>
      <c r="V112" s="52" t="n">
        <v>0.15</v>
      </c>
      <c r="W112" s="52" t="n">
        <v>0.13</v>
      </c>
      <c r="X112" s="52" t="n">
        <v>0.28</v>
      </c>
      <c r="Y112" s="52" t="n">
        <v>0</v>
      </c>
      <c r="Z112" s="52" t="n">
        <v>0.2</v>
      </c>
      <c r="AA112" s="52" t="n">
        <v>0.09</v>
      </c>
      <c r="AB112" s="52" t="n">
        <v>-0.02</v>
      </c>
      <c r="AC112" s="52" t="n">
        <v>0.07</v>
      </c>
      <c r="AD112" s="52" t="n">
        <v>0.17</v>
      </c>
      <c r="AE112" s="52" t="n">
        <v>0.3</v>
      </c>
      <c r="AF112" s="52" t="n">
        <v>0.32</v>
      </c>
      <c r="AG112" s="52" t="n">
        <v>-0.15</v>
      </c>
      <c r="AH112" s="52" t="n">
        <v>-0.14</v>
      </c>
      <c r="AI112" s="52" t="n">
        <v>-0.14</v>
      </c>
      <c r="AJ112" s="52" t="n">
        <v>0.12</v>
      </c>
      <c r="AK112" s="52" t="n">
        <v>0.33</v>
      </c>
      <c r="AL112" s="52" t="n">
        <v>0.15</v>
      </c>
      <c r="AM112" s="52" t="n">
        <v>0.14</v>
      </c>
      <c r="AN112" s="52" t="n">
        <v>0.22</v>
      </c>
      <c r="AO112" s="52" t="n">
        <v>0</v>
      </c>
      <c r="AP112" s="52" t="n">
        <v>0.14</v>
      </c>
      <c r="AQ112" s="52" t="n">
        <v>-0.1</v>
      </c>
      <c r="AR112" s="52" t="n">
        <v>0.2</v>
      </c>
      <c r="AS112" s="52" t="n">
        <v>0.26</v>
      </c>
      <c r="AT112" s="52" t="n">
        <v>0.22</v>
      </c>
      <c r="AU112" s="52" t="n">
        <v>-0.05</v>
      </c>
      <c r="AV112" s="52" t="n">
        <v>0.18</v>
      </c>
      <c r="AW112" s="52" t="n">
        <v>0.3</v>
      </c>
      <c r="AX112" s="52" t="n">
        <v>0.05</v>
      </c>
      <c r="AY112" s="52" t="n">
        <v>0.15</v>
      </c>
      <c r="AZ112" s="52" t="n">
        <v>0.31</v>
      </c>
      <c r="BA112" s="52" t="n">
        <v>0.23</v>
      </c>
      <c r="BB112" s="52" t="n">
        <v>0.35</v>
      </c>
      <c r="BC112" s="52" t="n">
        <v>0.01</v>
      </c>
      <c r="BD112" s="52" t="n">
        <v>0.24</v>
      </c>
      <c r="BE112" s="52" t="n">
        <v>0.12</v>
      </c>
      <c r="BF112" s="52" t="n">
        <v>0.21</v>
      </c>
      <c r="BG112" s="52" t="n">
        <v>0.28</v>
      </c>
      <c r="BH112" s="52" t="n">
        <v>0.21</v>
      </c>
      <c r="BI112" s="52" t="n">
        <v>0.08</v>
      </c>
      <c r="BJ112" s="52" t="n">
        <v>0.02</v>
      </c>
      <c r="BK112" s="52" t="n">
        <v>0.17</v>
      </c>
      <c r="BL112" s="52" t="n">
        <v>0.53</v>
      </c>
      <c r="BM112" s="52" t="n">
        <v>0.08</v>
      </c>
      <c r="BN112" s="52" t="n">
        <v>-0.03</v>
      </c>
      <c r="BO112" s="52" t="n">
        <v>0.21</v>
      </c>
      <c r="BP112" s="52" t="n">
        <v>0.09</v>
      </c>
      <c r="BQ112" s="52" t="n">
        <v>0.39</v>
      </c>
      <c r="BR112" s="52" t="n">
        <v>0.2</v>
      </c>
      <c r="BS112" s="52" t="n">
        <v>-0.1</v>
      </c>
      <c r="BT112" s="52" t="n">
        <v>0.31</v>
      </c>
      <c r="BU112" s="52" t="n">
        <v>0.24</v>
      </c>
      <c r="BV112" s="52" t="n">
        <v>0.19</v>
      </c>
      <c r="BW112" s="52" t="n">
        <v>0.19</v>
      </c>
      <c r="BX112" s="52" t="n">
        <v>0.04</v>
      </c>
      <c r="BY112" s="52" t="n">
        <v>0.25</v>
      </c>
      <c r="BZ112" s="52" t="n">
        <v>0.25</v>
      </c>
      <c r="CA112" s="52" t="n">
        <v>0.17</v>
      </c>
      <c r="CB112" s="52" t="n">
        <v>-0.15</v>
      </c>
      <c r="CC112" s="52" t="n">
        <v>0.06</v>
      </c>
      <c r="CD112" s="52" t="n">
        <v>0.11</v>
      </c>
      <c r="CE112" s="52" t="n">
        <v>0.32</v>
      </c>
      <c r="CF112" s="52" t="n">
        <v>-0.14</v>
      </c>
      <c r="CG112" s="52" t="n">
        <v>0.15</v>
      </c>
      <c r="CH112" s="52" t="n">
        <v>0.72</v>
      </c>
      <c r="CI112" s="52" t="n">
        <v>-0.1</v>
      </c>
      <c r="CJ112" s="52" t="n">
        <v>-0.02</v>
      </c>
      <c r="CK112" s="52" t="n">
        <v>0.05</v>
      </c>
      <c r="CL112" s="52" t="n">
        <v>0.26</v>
      </c>
      <c r="CM112" s="52" t="n">
        <v>0.42</v>
      </c>
      <c r="CN112" s="52" t="n">
        <v>0.19</v>
      </c>
      <c r="CO112" s="52" t="n">
        <v>0.18</v>
      </c>
      <c r="CP112" s="52" t="n">
        <v>0.06</v>
      </c>
      <c r="CQ112" s="52" t="n">
        <v>0.34</v>
      </c>
      <c r="CR112" s="52" t="n">
        <v>0.54</v>
      </c>
      <c r="CS112" s="52" t="n">
        <v>0.52</v>
      </c>
      <c r="CT112" s="52" t="n">
        <v>0.29</v>
      </c>
      <c r="CU112" s="52" t="n">
        <v>0.25</v>
      </c>
      <c r="CV112" s="52" t="n">
        <v>0.18</v>
      </c>
      <c r="CW112" s="52" t="n">
        <v>0.17</v>
      </c>
      <c r="CX112" s="52" t="n">
        <v>0.32</v>
      </c>
      <c r="CY112" s="52" t="n">
        <v>0.34</v>
      </c>
      <c r="CZ112" s="52" t="n">
        <v>0.04</v>
      </c>
      <c r="DA112" s="52" t="n">
        <v>0.04</v>
      </c>
      <c r="DB112" s="52" t="n">
        <v>0.4</v>
      </c>
      <c r="DC112" s="52" t="n">
        <v>0.33</v>
      </c>
      <c r="DD112" s="52" t="n">
        <v>0.24</v>
      </c>
      <c r="DE112" s="52" t="n">
        <v>1</v>
      </c>
      <c r="DF112" s="52" t="n">
        <v>-0.08</v>
      </c>
      <c r="DG112" s="52" t="n">
        <v>0.69</v>
      </c>
      <c r="DH112" s="52" t="n">
        <v>0.41</v>
      </c>
      <c r="DI112" s="52" t="n">
        <v>0.28</v>
      </c>
      <c r="DJ112" s="52" t="n">
        <v>0.3</v>
      </c>
      <c r="DK112" s="52" t="n">
        <v>0.38</v>
      </c>
      <c r="DL112" s="52" t="n">
        <v>0.5</v>
      </c>
      <c r="DM112" s="52" t="n">
        <v>0.39</v>
      </c>
      <c r="DN112" s="52" t="n">
        <v>0.08</v>
      </c>
      <c r="DO112" s="52" t="n">
        <v>0.34</v>
      </c>
      <c r="DP112" s="52" t="n">
        <v>0.3</v>
      </c>
      <c r="DQ112" s="52" t="n">
        <v>0.33</v>
      </c>
      <c r="DR112" s="52" t="n">
        <v>0.57</v>
      </c>
      <c r="DS112" s="52" t="n">
        <v>-0.01</v>
      </c>
      <c r="DT112" s="52" t="n">
        <v>0.34</v>
      </c>
      <c r="DU112" s="52" t="n">
        <v>0.38</v>
      </c>
      <c r="DV112" s="52" t="n">
        <v>0.26</v>
      </c>
      <c r="DW112" s="52" t="n">
        <v>0.19</v>
      </c>
      <c r="DX112" s="52" t="n">
        <v>0.56</v>
      </c>
      <c r="DY112" s="52" t="n">
        <v>0.3</v>
      </c>
      <c r="DZ112" s="52" t="n">
        <v>0.04</v>
      </c>
      <c r="EA112" s="52" t="n">
        <v>0.28</v>
      </c>
      <c r="EB112" s="52" t="n">
        <v>0.31</v>
      </c>
      <c r="EC112" s="52" t="n">
        <v>0.28</v>
      </c>
      <c r="ED112" s="52" t="n">
        <v>0.35</v>
      </c>
      <c r="EE112" s="52" t="n">
        <v>0.51</v>
      </c>
      <c r="EF112" s="52" t="n">
        <v>0.41</v>
      </c>
      <c r="EG112" s="52" t="n">
        <v>0.39</v>
      </c>
      <c r="EH112" s="52" t="n">
        <v>0.02</v>
      </c>
      <c r="EI112" s="52" t="n">
        <v>0.49</v>
      </c>
      <c r="EJ112" s="52" t="n">
        <v>0.19</v>
      </c>
      <c r="EK112" s="52" t="n">
        <v>0.46</v>
      </c>
      <c r="EL112" s="52" t="n">
        <v>0.52</v>
      </c>
      <c r="EM112" s="52" t="n">
        <v>0.16</v>
      </c>
      <c r="EN112" s="52" t="n">
        <v>0.22</v>
      </c>
      <c r="EO112" s="52" t="n">
        <v>0.16</v>
      </c>
    </row>
    <row r="113" customFormat="false" ht="15" hidden="false" customHeight="false" outlineLevel="0" collapsed="false">
      <c r="A113" s="51" t="s">
        <v>254</v>
      </c>
      <c r="B113" s="52" t="n">
        <v>0.17</v>
      </c>
      <c r="C113" s="52" t="n">
        <v>-0.09</v>
      </c>
      <c r="D113" s="52" t="n">
        <v>0.08</v>
      </c>
      <c r="E113" s="52" t="n">
        <v>0.04</v>
      </c>
      <c r="F113" s="52" t="n">
        <v>0.07</v>
      </c>
      <c r="G113" s="52" t="n">
        <v>0.01</v>
      </c>
      <c r="H113" s="52" t="n">
        <v>0.03</v>
      </c>
      <c r="I113" s="52" t="n">
        <v>0.12</v>
      </c>
      <c r="J113" s="52" t="n">
        <v>0</v>
      </c>
      <c r="K113" s="52" t="n">
        <v>-0.03</v>
      </c>
      <c r="L113" s="52" t="n">
        <v>0.07</v>
      </c>
      <c r="M113" s="52" t="n">
        <v>0.1</v>
      </c>
      <c r="N113" s="52" t="n">
        <v>0.19</v>
      </c>
      <c r="O113" s="52" t="n">
        <v>-0.05</v>
      </c>
      <c r="P113" s="52" t="n">
        <v>0.09</v>
      </c>
      <c r="Q113" s="52" t="n">
        <v>-0.06</v>
      </c>
      <c r="R113" s="52" t="n">
        <v>0.06</v>
      </c>
      <c r="S113" s="52" t="n">
        <v>-0.04</v>
      </c>
      <c r="T113" s="52" t="n">
        <v>0.08</v>
      </c>
      <c r="U113" s="52" t="n">
        <v>0.06</v>
      </c>
      <c r="V113" s="52" t="n">
        <v>-0.05</v>
      </c>
      <c r="W113" s="52" t="n">
        <v>-0.13</v>
      </c>
      <c r="X113" s="52" t="n">
        <v>0.09</v>
      </c>
      <c r="Y113" s="52" t="n">
        <v>0.3</v>
      </c>
      <c r="Z113" s="52" t="n">
        <v>0</v>
      </c>
      <c r="AA113" s="52" t="n">
        <v>0.02</v>
      </c>
      <c r="AB113" s="52" t="n">
        <v>0.31</v>
      </c>
      <c r="AC113" s="52" t="n">
        <v>-0.03</v>
      </c>
      <c r="AD113" s="52" t="n">
        <v>-0.2</v>
      </c>
      <c r="AE113" s="52" t="n">
        <v>-0.13</v>
      </c>
      <c r="AF113" s="52" t="n">
        <v>-0.06</v>
      </c>
      <c r="AG113" s="52" t="n">
        <v>0.07</v>
      </c>
      <c r="AH113" s="52" t="n">
        <v>0.11</v>
      </c>
      <c r="AI113" s="52" t="n">
        <v>0.13</v>
      </c>
      <c r="AJ113" s="52" t="n">
        <v>0.01</v>
      </c>
      <c r="AK113" s="52" t="n">
        <v>-0.16</v>
      </c>
      <c r="AL113" s="52" t="n">
        <v>0.18</v>
      </c>
      <c r="AM113" s="52" t="n">
        <v>0.06</v>
      </c>
      <c r="AN113" s="52" t="n">
        <v>0.06</v>
      </c>
      <c r="AO113" s="52" t="n">
        <v>0.06</v>
      </c>
      <c r="AP113" s="52" t="n">
        <v>0.18</v>
      </c>
      <c r="AQ113" s="52" t="n">
        <v>0.03</v>
      </c>
      <c r="AR113" s="52" t="n">
        <v>0.15</v>
      </c>
      <c r="AS113" s="52" t="n">
        <v>0</v>
      </c>
      <c r="AT113" s="52" t="n">
        <v>0.22</v>
      </c>
      <c r="AU113" s="52" t="n">
        <v>-0.01</v>
      </c>
      <c r="AV113" s="52" t="n">
        <v>0.02</v>
      </c>
      <c r="AW113" s="52" t="n">
        <v>-0.04</v>
      </c>
      <c r="AX113" s="52" t="n">
        <v>0.12</v>
      </c>
      <c r="AY113" s="52" t="n">
        <v>0.08</v>
      </c>
      <c r="AZ113" s="52" t="n">
        <v>-0.08</v>
      </c>
      <c r="BA113" s="52" t="n">
        <v>0.02</v>
      </c>
      <c r="BB113" s="52" t="n">
        <v>0.11</v>
      </c>
      <c r="BC113" s="52" t="n">
        <v>0.07</v>
      </c>
      <c r="BD113" s="52" t="n">
        <v>-0.01</v>
      </c>
      <c r="BE113" s="52" t="n">
        <v>-0.01</v>
      </c>
      <c r="BF113" s="52" t="n">
        <v>-0.06</v>
      </c>
      <c r="BG113" s="52" t="n">
        <v>0.23</v>
      </c>
      <c r="BH113" s="52" t="n">
        <v>0.09</v>
      </c>
      <c r="BI113" s="52" t="n">
        <v>0.05</v>
      </c>
      <c r="BJ113" s="52" t="n">
        <v>-0.06</v>
      </c>
      <c r="BK113" s="52" t="n">
        <v>-0.13</v>
      </c>
      <c r="BL113" s="52" t="n">
        <v>0.01</v>
      </c>
      <c r="BM113" s="52" t="n">
        <v>0.15</v>
      </c>
      <c r="BN113" s="52" t="n">
        <v>-0.08</v>
      </c>
      <c r="BO113" s="52" t="n">
        <v>0.12</v>
      </c>
      <c r="BP113" s="52" t="n">
        <v>0.48</v>
      </c>
      <c r="BQ113" s="52" t="n">
        <v>-0.12</v>
      </c>
      <c r="BR113" s="52" t="n">
        <v>0.12</v>
      </c>
      <c r="BS113" s="52" t="n">
        <v>0.05</v>
      </c>
      <c r="BT113" s="52" t="n">
        <v>-0.14</v>
      </c>
      <c r="BU113" s="52" t="n">
        <v>0.02</v>
      </c>
      <c r="BV113" s="52" t="n">
        <v>0.17</v>
      </c>
      <c r="BW113" s="52" t="n">
        <v>0.19</v>
      </c>
      <c r="BX113" s="52" t="n">
        <v>0.09</v>
      </c>
      <c r="BY113" s="52" t="n">
        <v>0.13</v>
      </c>
      <c r="BZ113" s="52" t="n">
        <v>0.07</v>
      </c>
      <c r="CA113" s="52" t="n">
        <v>-0.03</v>
      </c>
      <c r="CB113" s="52" t="n">
        <v>0.05</v>
      </c>
      <c r="CC113" s="52" t="n">
        <v>0.07</v>
      </c>
      <c r="CD113" s="52" t="n">
        <v>0.25</v>
      </c>
      <c r="CE113" s="52" t="n">
        <v>0.01</v>
      </c>
      <c r="CF113" s="52" t="n">
        <v>0.11</v>
      </c>
      <c r="CG113" s="52" t="n">
        <v>0.37</v>
      </c>
      <c r="CH113" s="52" t="n">
        <v>-0.11</v>
      </c>
      <c r="CI113" s="52" t="n">
        <v>0.13</v>
      </c>
      <c r="CJ113" s="52" t="n">
        <v>0.22</v>
      </c>
      <c r="CK113" s="52" t="n">
        <v>0.21</v>
      </c>
      <c r="CL113" s="52" t="n">
        <v>0.09</v>
      </c>
      <c r="CM113" s="52" t="n">
        <v>0.11</v>
      </c>
      <c r="CN113" s="52" t="n">
        <v>0.03</v>
      </c>
      <c r="CO113" s="52" t="n">
        <v>-0.04</v>
      </c>
      <c r="CP113" s="52" t="n">
        <v>0.18</v>
      </c>
      <c r="CQ113" s="52" t="n">
        <v>0.08</v>
      </c>
      <c r="CR113" s="52" t="n">
        <v>-0.08</v>
      </c>
      <c r="CS113" s="52" t="n">
        <v>-0.22</v>
      </c>
      <c r="CT113" s="52" t="n">
        <v>0.24</v>
      </c>
      <c r="CU113" s="52" t="n">
        <v>-0.01</v>
      </c>
      <c r="CV113" s="52" t="n">
        <v>0.11</v>
      </c>
      <c r="CW113" s="52" t="n">
        <v>0.3</v>
      </c>
      <c r="CX113" s="52" t="n">
        <v>0.07</v>
      </c>
      <c r="CY113" s="52" t="n">
        <v>0.01</v>
      </c>
      <c r="CZ113" s="52" t="n">
        <v>0.57</v>
      </c>
      <c r="DA113" s="52" t="n">
        <v>0.31</v>
      </c>
      <c r="DB113" s="52" t="n">
        <v>0.13</v>
      </c>
      <c r="DC113" s="52" t="n">
        <v>-0.09</v>
      </c>
      <c r="DD113" s="52" t="n">
        <v>0.35</v>
      </c>
      <c r="DE113" s="52" t="n">
        <v>-0.08</v>
      </c>
      <c r="DF113" s="52" t="n">
        <v>1</v>
      </c>
      <c r="DG113" s="52" t="n">
        <v>0</v>
      </c>
      <c r="DH113" s="52" t="n">
        <v>0.04</v>
      </c>
      <c r="DI113" s="52" t="n">
        <v>0.11</v>
      </c>
      <c r="DJ113" s="52" t="n">
        <v>0.1</v>
      </c>
      <c r="DK113" s="52" t="n">
        <v>0.06</v>
      </c>
      <c r="DL113" s="52" t="n">
        <v>-0.05</v>
      </c>
      <c r="DM113" s="52" t="n">
        <v>0.08</v>
      </c>
      <c r="DN113" s="52" t="n">
        <v>0.33</v>
      </c>
      <c r="DO113" s="52" t="n">
        <v>0.08</v>
      </c>
      <c r="DP113" s="52" t="n">
        <v>0.12</v>
      </c>
      <c r="DQ113" s="52" t="n">
        <v>-0.05</v>
      </c>
      <c r="DR113" s="52" t="n">
        <v>0.07</v>
      </c>
      <c r="DS113" s="52" t="n">
        <v>0.29</v>
      </c>
      <c r="DT113" s="52" t="n">
        <v>0.28</v>
      </c>
      <c r="DU113" s="52" t="n">
        <v>0.24</v>
      </c>
      <c r="DV113" s="52" t="n">
        <v>0.45</v>
      </c>
      <c r="DW113" s="52" t="n">
        <v>0.43</v>
      </c>
      <c r="DX113" s="52" t="n">
        <v>-0.22</v>
      </c>
      <c r="DY113" s="52" t="n">
        <v>0.3</v>
      </c>
      <c r="DZ113" s="52" t="n">
        <v>0.51</v>
      </c>
      <c r="EA113" s="52" t="n">
        <v>0.06</v>
      </c>
      <c r="EB113" s="52" t="n">
        <v>0.3</v>
      </c>
      <c r="EC113" s="52" t="n">
        <v>-0.11</v>
      </c>
      <c r="ED113" s="52" t="n">
        <v>0.15</v>
      </c>
      <c r="EE113" s="52" t="n">
        <v>-0.15</v>
      </c>
      <c r="EF113" s="52" t="n">
        <v>0.02</v>
      </c>
      <c r="EG113" s="52" t="n">
        <v>-0.1</v>
      </c>
      <c r="EH113" s="52" t="n">
        <v>0.32</v>
      </c>
      <c r="EI113" s="52" t="n">
        <v>-0.15</v>
      </c>
      <c r="EJ113" s="52" t="n">
        <v>0.16</v>
      </c>
      <c r="EK113" s="52" t="n">
        <v>0.05</v>
      </c>
      <c r="EL113" s="52" t="n">
        <v>-0.06</v>
      </c>
      <c r="EM113" s="52" t="n">
        <v>0.19</v>
      </c>
      <c r="EN113" s="52" t="n">
        <v>0.09</v>
      </c>
      <c r="EO113" s="52" t="n">
        <v>0.15</v>
      </c>
    </row>
    <row r="114" customFormat="false" ht="15" hidden="false" customHeight="false" outlineLevel="0" collapsed="false">
      <c r="A114" s="51" t="s">
        <v>255</v>
      </c>
      <c r="B114" s="52" t="n">
        <v>0.01</v>
      </c>
      <c r="C114" s="52" t="n">
        <v>0.06</v>
      </c>
      <c r="D114" s="52" t="n">
        <v>0.08</v>
      </c>
      <c r="E114" s="52" t="n">
        <v>0.09</v>
      </c>
      <c r="F114" s="52" t="n">
        <v>-0.07</v>
      </c>
      <c r="G114" s="52" t="n">
        <v>0.04</v>
      </c>
      <c r="H114" s="52" t="n">
        <v>0.11</v>
      </c>
      <c r="I114" s="52" t="n">
        <v>0.07</v>
      </c>
      <c r="J114" s="52" t="n">
        <v>0.1</v>
      </c>
      <c r="K114" s="52" t="n">
        <v>0.04</v>
      </c>
      <c r="L114" s="52" t="n">
        <v>0.12</v>
      </c>
      <c r="M114" s="52" t="n">
        <v>0.36</v>
      </c>
      <c r="N114" s="52" t="n">
        <v>0.2</v>
      </c>
      <c r="O114" s="52" t="n">
        <v>0.21</v>
      </c>
      <c r="P114" s="52" t="n">
        <v>-0.06</v>
      </c>
      <c r="Q114" s="52" t="n">
        <v>0.07</v>
      </c>
      <c r="R114" s="52" t="n">
        <v>0.02</v>
      </c>
      <c r="S114" s="52" t="n">
        <v>0.14</v>
      </c>
      <c r="T114" s="52" t="n">
        <v>0.17</v>
      </c>
      <c r="U114" s="52" t="n">
        <v>0.2</v>
      </c>
      <c r="V114" s="52" t="n">
        <v>0.24</v>
      </c>
      <c r="W114" s="52" t="n">
        <v>0.13</v>
      </c>
      <c r="X114" s="52" t="n">
        <v>0.23</v>
      </c>
      <c r="Y114" s="52" t="n">
        <v>0.05</v>
      </c>
      <c r="Z114" s="52" t="n">
        <v>0.23</v>
      </c>
      <c r="AA114" s="52" t="n">
        <v>0.07</v>
      </c>
      <c r="AB114" s="52" t="n">
        <v>-0.01</v>
      </c>
      <c r="AC114" s="52" t="n">
        <v>0.12</v>
      </c>
      <c r="AD114" s="52" t="n">
        <v>0.11</v>
      </c>
      <c r="AE114" s="52" t="n">
        <v>0.22</v>
      </c>
      <c r="AF114" s="52" t="n">
        <v>0.26</v>
      </c>
      <c r="AG114" s="52" t="n">
        <v>-0.12</v>
      </c>
      <c r="AH114" s="52" t="n">
        <v>-0.16</v>
      </c>
      <c r="AI114" s="52" t="n">
        <v>-0.15</v>
      </c>
      <c r="AJ114" s="52" t="n">
        <v>0.21</v>
      </c>
      <c r="AK114" s="52" t="n">
        <v>0.23</v>
      </c>
      <c r="AL114" s="52" t="n">
        <v>0.16</v>
      </c>
      <c r="AM114" s="52" t="n">
        <v>0.12</v>
      </c>
      <c r="AN114" s="52" t="n">
        <v>0.19</v>
      </c>
      <c r="AO114" s="52" t="n">
        <v>0.04</v>
      </c>
      <c r="AP114" s="52" t="n">
        <v>0.19</v>
      </c>
      <c r="AQ114" s="52" t="n">
        <v>-0.1</v>
      </c>
      <c r="AR114" s="52" t="n">
        <v>0.16</v>
      </c>
      <c r="AS114" s="52" t="n">
        <v>0.22</v>
      </c>
      <c r="AT114" s="52" t="n">
        <v>0.1</v>
      </c>
      <c r="AU114" s="52" t="n">
        <v>-0.04</v>
      </c>
      <c r="AV114" s="52" t="n">
        <v>0.12</v>
      </c>
      <c r="AW114" s="52" t="n">
        <v>0.25</v>
      </c>
      <c r="AX114" s="52" t="n">
        <v>0.13</v>
      </c>
      <c r="AY114" s="52" t="n">
        <v>0.1</v>
      </c>
      <c r="AZ114" s="52" t="n">
        <v>0.25</v>
      </c>
      <c r="BA114" s="52" t="n">
        <v>0.18</v>
      </c>
      <c r="BB114" s="52" t="n">
        <v>0.25</v>
      </c>
      <c r="BC114" s="52" t="n">
        <v>0.11</v>
      </c>
      <c r="BD114" s="52" t="n">
        <v>0.25</v>
      </c>
      <c r="BE114" s="52" t="n">
        <v>0.17</v>
      </c>
      <c r="BF114" s="52" t="n">
        <v>0.23</v>
      </c>
      <c r="BG114" s="52" t="n">
        <v>0.2</v>
      </c>
      <c r="BH114" s="52" t="n">
        <v>0.18</v>
      </c>
      <c r="BI114" s="52" t="n">
        <v>0.12</v>
      </c>
      <c r="BJ114" s="52" t="n">
        <v>0.13</v>
      </c>
      <c r="BK114" s="52" t="n">
        <v>0.18</v>
      </c>
      <c r="BL114" s="52" t="n">
        <v>0.46</v>
      </c>
      <c r="BM114" s="52" t="n">
        <v>0.01</v>
      </c>
      <c r="BN114" s="52" t="n">
        <v>0.03</v>
      </c>
      <c r="BO114" s="52" t="n">
        <v>0.19</v>
      </c>
      <c r="BP114" s="52" t="n">
        <v>0.13</v>
      </c>
      <c r="BQ114" s="52" t="n">
        <v>0.4</v>
      </c>
      <c r="BR114" s="52" t="n">
        <v>0.2</v>
      </c>
      <c r="BS114" s="52" t="n">
        <v>-0.08</v>
      </c>
      <c r="BT114" s="52" t="n">
        <v>0.29</v>
      </c>
      <c r="BU114" s="52" t="n">
        <v>0.2</v>
      </c>
      <c r="BV114" s="52" t="n">
        <v>0.16</v>
      </c>
      <c r="BW114" s="52" t="n">
        <v>0.18</v>
      </c>
      <c r="BX114" s="52" t="n">
        <v>0.17</v>
      </c>
      <c r="BY114" s="52" t="n">
        <v>0.14</v>
      </c>
      <c r="BZ114" s="52" t="n">
        <v>0.28</v>
      </c>
      <c r="CA114" s="52" t="n">
        <v>0.18</v>
      </c>
      <c r="CB114" s="52" t="n">
        <v>-0.13</v>
      </c>
      <c r="CC114" s="52" t="n">
        <v>0.05</v>
      </c>
      <c r="CD114" s="52" t="n">
        <v>0.14</v>
      </c>
      <c r="CE114" s="52" t="n">
        <v>0.15</v>
      </c>
      <c r="CF114" s="52" t="n">
        <v>-0.11</v>
      </c>
      <c r="CG114" s="52" t="n">
        <v>0.19</v>
      </c>
      <c r="CH114" s="52" t="n">
        <v>0.59</v>
      </c>
      <c r="CI114" s="52" t="n">
        <v>-0.07</v>
      </c>
      <c r="CJ114" s="52" t="n">
        <v>0.11</v>
      </c>
      <c r="CK114" s="52" t="n">
        <v>0.08</v>
      </c>
      <c r="CL114" s="52" t="n">
        <v>0.2</v>
      </c>
      <c r="CM114" s="52" t="n">
        <v>0.33</v>
      </c>
      <c r="CN114" s="52" t="n">
        <v>0.17</v>
      </c>
      <c r="CO114" s="52" t="n">
        <v>0.08</v>
      </c>
      <c r="CP114" s="52" t="n">
        <v>0.1</v>
      </c>
      <c r="CQ114" s="52" t="n">
        <v>0.27</v>
      </c>
      <c r="CR114" s="52" t="n">
        <v>0.37</v>
      </c>
      <c r="CS114" s="52" t="n">
        <v>0.39</v>
      </c>
      <c r="CT114" s="52" t="n">
        <v>0.35</v>
      </c>
      <c r="CU114" s="52" t="n">
        <v>0.23</v>
      </c>
      <c r="CV114" s="52" t="n">
        <v>0.09</v>
      </c>
      <c r="CW114" s="52" t="n">
        <v>0.17</v>
      </c>
      <c r="CX114" s="52" t="n">
        <v>0.33</v>
      </c>
      <c r="CY114" s="52" t="n">
        <v>0.23</v>
      </c>
      <c r="CZ114" s="52" t="n">
        <v>0.06</v>
      </c>
      <c r="DA114" s="52" t="n">
        <v>0.12</v>
      </c>
      <c r="DB114" s="52" t="n">
        <v>0.32</v>
      </c>
      <c r="DC114" s="52" t="n">
        <v>0.23</v>
      </c>
      <c r="DD114" s="52" t="n">
        <v>0.26</v>
      </c>
      <c r="DE114" s="52" t="n">
        <v>0.69</v>
      </c>
      <c r="DF114" s="52" t="n">
        <v>0</v>
      </c>
      <c r="DG114" s="52" t="n">
        <v>1</v>
      </c>
      <c r="DH114" s="52" t="n">
        <v>0.25</v>
      </c>
      <c r="DI114" s="52" t="n">
        <v>0.25</v>
      </c>
      <c r="DJ114" s="52" t="n">
        <v>0.22</v>
      </c>
      <c r="DK114" s="52" t="n">
        <v>0.31</v>
      </c>
      <c r="DL114" s="52" t="n">
        <v>0.58</v>
      </c>
      <c r="DM114" s="52" t="n">
        <v>0.31</v>
      </c>
      <c r="DN114" s="52" t="n">
        <v>0.1</v>
      </c>
      <c r="DO114" s="52" t="n">
        <v>0.35</v>
      </c>
      <c r="DP114" s="52" t="n">
        <v>0.24</v>
      </c>
      <c r="DQ114" s="52" t="n">
        <v>0.33</v>
      </c>
      <c r="DR114" s="52" t="n">
        <v>0.47</v>
      </c>
      <c r="DS114" s="52" t="n">
        <v>-0.11</v>
      </c>
      <c r="DT114" s="52" t="n">
        <v>0.25</v>
      </c>
      <c r="DU114" s="52" t="n">
        <v>0.37</v>
      </c>
      <c r="DV114" s="52" t="n">
        <v>0.25</v>
      </c>
      <c r="DW114" s="52" t="n">
        <v>0.23</v>
      </c>
      <c r="DX114" s="52" t="n">
        <v>0.36</v>
      </c>
      <c r="DY114" s="52" t="n">
        <v>0.26</v>
      </c>
      <c r="DZ114" s="52" t="n">
        <v>0.06</v>
      </c>
      <c r="EA114" s="52" t="n">
        <v>0.27</v>
      </c>
      <c r="EB114" s="52" t="n">
        <v>0.24</v>
      </c>
      <c r="EC114" s="52" t="n">
        <v>0.3</v>
      </c>
      <c r="ED114" s="52" t="n">
        <v>0.32</v>
      </c>
      <c r="EE114" s="52" t="n">
        <v>0.39</v>
      </c>
      <c r="EF114" s="52" t="n">
        <v>0.38</v>
      </c>
      <c r="EG114" s="52" t="n">
        <v>0.26</v>
      </c>
      <c r="EH114" s="52" t="n">
        <v>0.01</v>
      </c>
      <c r="EI114" s="52" t="n">
        <v>0.38</v>
      </c>
      <c r="EJ114" s="52" t="n">
        <v>0.13</v>
      </c>
      <c r="EK114" s="52" t="n">
        <v>0.41</v>
      </c>
      <c r="EL114" s="52" t="n">
        <v>0.47</v>
      </c>
      <c r="EM114" s="52" t="n">
        <v>0.14</v>
      </c>
      <c r="EN114" s="52" t="n">
        <v>0.28</v>
      </c>
      <c r="EO114" s="52" t="n">
        <v>0.04</v>
      </c>
    </row>
    <row r="115" customFormat="false" ht="15" hidden="false" customHeight="false" outlineLevel="0" collapsed="false">
      <c r="A115" s="51" t="s">
        <v>51</v>
      </c>
      <c r="B115" s="52" t="n">
        <v>-0.05</v>
      </c>
      <c r="C115" s="52" t="n">
        <v>0.06</v>
      </c>
      <c r="D115" s="52" t="n">
        <v>0.05</v>
      </c>
      <c r="E115" s="52" t="n">
        <v>0.1</v>
      </c>
      <c r="F115" s="52" t="n">
        <v>-0.16</v>
      </c>
      <c r="G115" s="52" t="n">
        <v>-0.03</v>
      </c>
      <c r="H115" s="52" t="n">
        <v>0.1</v>
      </c>
      <c r="I115" s="52" t="n">
        <v>-0.07</v>
      </c>
      <c r="J115" s="52" t="n">
        <v>-0.15</v>
      </c>
      <c r="K115" s="52" t="n">
        <v>-0.15</v>
      </c>
      <c r="L115" s="52" t="n">
        <v>0.09</v>
      </c>
      <c r="M115" s="52" t="n">
        <v>0.18</v>
      </c>
      <c r="N115" s="52" t="n">
        <v>-0.02</v>
      </c>
      <c r="O115" s="52" t="n">
        <v>0.02</v>
      </c>
      <c r="P115" s="52" t="n">
        <v>-0.12</v>
      </c>
      <c r="Q115" s="52" t="n">
        <v>0.12</v>
      </c>
      <c r="R115" s="52" t="n">
        <v>-0.14</v>
      </c>
      <c r="S115" s="52" t="n">
        <v>-0.01</v>
      </c>
      <c r="T115" s="52" t="n">
        <v>0.17</v>
      </c>
      <c r="U115" s="52" t="n">
        <v>0.12</v>
      </c>
      <c r="V115" s="52" t="n">
        <v>0</v>
      </c>
      <c r="W115" s="52" t="n">
        <v>-0.02</v>
      </c>
      <c r="X115" s="52" t="n">
        <v>0.19</v>
      </c>
      <c r="Y115" s="52" t="n">
        <v>-0.02</v>
      </c>
      <c r="Z115" s="52" t="n">
        <v>0.1</v>
      </c>
      <c r="AA115" s="52" t="n">
        <v>0.02</v>
      </c>
      <c r="AB115" s="52" t="n">
        <v>-0.08</v>
      </c>
      <c r="AC115" s="52" t="n">
        <v>0.11</v>
      </c>
      <c r="AD115" s="52" t="n">
        <v>0.12</v>
      </c>
      <c r="AE115" s="52" t="n">
        <v>0.17</v>
      </c>
      <c r="AF115" s="52" t="n">
        <v>0.13</v>
      </c>
      <c r="AG115" s="52" t="n">
        <v>-0.14</v>
      </c>
      <c r="AH115" s="52" t="n">
        <v>-0.14</v>
      </c>
      <c r="AI115" s="52" t="n">
        <v>-0.08</v>
      </c>
      <c r="AJ115" s="52" t="n">
        <v>0.06</v>
      </c>
      <c r="AK115" s="52" t="n">
        <v>0.08</v>
      </c>
      <c r="AL115" s="52" t="n">
        <v>0.2</v>
      </c>
      <c r="AM115" s="52" t="n">
        <v>0.14</v>
      </c>
      <c r="AN115" s="52" t="n">
        <v>0.06</v>
      </c>
      <c r="AO115" s="52" t="n">
        <v>-0.13</v>
      </c>
      <c r="AP115" s="52" t="n">
        <v>0.04</v>
      </c>
      <c r="AQ115" s="52" t="n">
        <v>-0.11</v>
      </c>
      <c r="AR115" s="52" t="n">
        <v>0.12</v>
      </c>
      <c r="AS115" s="52" t="n">
        <v>0.06</v>
      </c>
      <c r="AT115" s="52" t="n">
        <v>0.15</v>
      </c>
      <c r="AU115" s="52" t="n">
        <v>-0.07</v>
      </c>
      <c r="AV115" s="52" t="n">
        <v>0.18</v>
      </c>
      <c r="AW115" s="52" t="n">
        <v>0.12</v>
      </c>
      <c r="AX115" s="52" t="n">
        <v>-0.07</v>
      </c>
      <c r="AY115" s="52" t="n">
        <v>0.14</v>
      </c>
      <c r="AZ115" s="52" t="n">
        <v>0.25</v>
      </c>
      <c r="BA115" s="52" t="n">
        <v>0.13</v>
      </c>
      <c r="BB115" s="52" t="n">
        <v>0.32</v>
      </c>
      <c r="BC115" s="52" t="n">
        <v>0.22</v>
      </c>
      <c r="BD115" s="52" t="n">
        <v>0.09</v>
      </c>
      <c r="BE115" s="52" t="n">
        <v>-0.12</v>
      </c>
      <c r="BF115" s="52" t="n">
        <v>0.04</v>
      </c>
      <c r="BG115" s="52" t="n">
        <v>0.09</v>
      </c>
      <c r="BH115" s="52" t="n">
        <v>0.22</v>
      </c>
      <c r="BI115" s="52" t="n">
        <v>0.03</v>
      </c>
      <c r="BJ115" s="52" t="n">
        <v>0.06</v>
      </c>
      <c r="BK115" s="52" t="n">
        <v>0.2</v>
      </c>
      <c r="BL115" s="52" t="n">
        <v>0.23</v>
      </c>
      <c r="BM115" s="52" t="n">
        <v>0.03</v>
      </c>
      <c r="BN115" s="52" t="n">
        <v>-0.04</v>
      </c>
      <c r="BO115" s="52" t="n">
        <v>0.33</v>
      </c>
      <c r="BP115" s="52" t="n">
        <v>0.24</v>
      </c>
      <c r="BQ115" s="52" t="n">
        <v>0.23</v>
      </c>
      <c r="BR115" s="52" t="n">
        <v>0.19</v>
      </c>
      <c r="BS115" s="52" t="n">
        <v>0.01</v>
      </c>
      <c r="BT115" s="52" t="n">
        <v>0.23</v>
      </c>
      <c r="BU115" s="52" t="n">
        <v>0.11</v>
      </c>
      <c r="BV115" s="52" t="n">
        <v>0.26</v>
      </c>
      <c r="BW115" s="52" t="n">
        <v>0.1</v>
      </c>
      <c r="BX115" s="52" t="n">
        <v>-0.04</v>
      </c>
      <c r="BY115" s="52" t="n">
        <v>0.15</v>
      </c>
      <c r="BZ115" s="52" t="n">
        <v>0.17</v>
      </c>
      <c r="CA115" s="52" t="n">
        <v>0.17</v>
      </c>
      <c r="CB115" s="52" t="n">
        <v>-0.06</v>
      </c>
      <c r="CC115" s="52" t="n">
        <v>-0.03</v>
      </c>
      <c r="CD115" s="52" t="n">
        <v>0.12</v>
      </c>
      <c r="CE115" s="52" t="n">
        <v>0.38</v>
      </c>
      <c r="CF115" s="52" t="n">
        <v>-0.06</v>
      </c>
      <c r="CG115" s="52" t="n">
        <v>0.16</v>
      </c>
      <c r="CH115" s="52" t="n">
        <v>0.3</v>
      </c>
      <c r="CI115" s="52" t="n">
        <v>-0.06</v>
      </c>
      <c r="CJ115" s="52" t="n">
        <v>0.01</v>
      </c>
      <c r="CK115" s="52" t="n">
        <v>-0.02</v>
      </c>
      <c r="CL115" s="52" t="n">
        <v>0.17</v>
      </c>
      <c r="CM115" s="52" t="n">
        <v>0.54</v>
      </c>
      <c r="CN115" s="52" t="n">
        <v>0.13</v>
      </c>
      <c r="CO115" s="52" t="n">
        <v>0.14</v>
      </c>
      <c r="CP115" s="52" t="n">
        <v>0.18</v>
      </c>
      <c r="CQ115" s="52" t="n">
        <v>0.27</v>
      </c>
      <c r="CR115" s="52" t="n">
        <v>0.61</v>
      </c>
      <c r="CS115" s="52" t="n">
        <v>0.5</v>
      </c>
      <c r="CT115" s="52" t="n">
        <v>0.19</v>
      </c>
      <c r="CU115" s="52" t="n">
        <v>0.27</v>
      </c>
      <c r="CV115" s="52" t="n">
        <v>0.2</v>
      </c>
      <c r="CW115" s="52" t="n">
        <v>0.15</v>
      </c>
      <c r="CX115" s="52" t="n">
        <v>0.17</v>
      </c>
      <c r="CY115" s="52" t="n">
        <v>0.19</v>
      </c>
      <c r="CZ115" s="52" t="n">
        <v>0.18</v>
      </c>
      <c r="DA115" s="52" t="n">
        <v>0.11</v>
      </c>
      <c r="DB115" s="52" t="n">
        <v>0.38</v>
      </c>
      <c r="DC115" s="52" t="n">
        <v>0.16</v>
      </c>
      <c r="DD115" s="52" t="n">
        <v>0.29</v>
      </c>
      <c r="DE115" s="52" t="n">
        <v>0.41</v>
      </c>
      <c r="DF115" s="52" t="n">
        <v>0.04</v>
      </c>
      <c r="DG115" s="52" t="n">
        <v>0.25</v>
      </c>
      <c r="DH115" s="52" t="n">
        <v>1</v>
      </c>
      <c r="DI115" s="52" t="n">
        <v>0.25</v>
      </c>
      <c r="DJ115" s="52" t="n">
        <v>0.19</v>
      </c>
      <c r="DK115" s="52" t="n">
        <v>0.31</v>
      </c>
      <c r="DL115" s="52" t="n">
        <v>0.18</v>
      </c>
      <c r="DM115" s="52" t="n">
        <v>0.22</v>
      </c>
      <c r="DN115" s="52" t="n">
        <v>0.15</v>
      </c>
      <c r="DO115" s="52" t="n">
        <v>0.35</v>
      </c>
      <c r="DP115" s="52" t="n">
        <v>0.2</v>
      </c>
      <c r="DQ115" s="52" t="n">
        <v>0.33</v>
      </c>
      <c r="DR115" s="52" t="n">
        <v>0.32</v>
      </c>
      <c r="DS115" s="52" t="n">
        <v>0.08</v>
      </c>
      <c r="DT115" s="52" t="n">
        <v>0.45</v>
      </c>
      <c r="DU115" s="52" t="n">
        <v>0.36</v>
      </c>
      <c r="DV115" s="52" t="n">
        <v>0.32</v>
      </c>
      <c r="DW115" s="52" t="n">
        <v>0.25</v>
      </c>
      <c r="DX115" s="52" t="n">
        <v>0.55</v>
      </c>
      <c r="DY115" s="52" t="n">
        <v>0.27</v>
      </c>
      <c r="DZ115" s="52" t="n">
        <v>0.17</v>
      </c>
      <c r="EA115" s="52" t="n">
        <v>0.18</v>
      </c>
      <c r="EB115" s="52" t="n">
        <v>0.3</v>
      </c>
      <c r="EC115" s="52" t="n">
        <v>0.05</v>
      </c>
      <c r="ED115" s="52" t="n">
        <v>0.27</v>
      </c>
      <c r="EE115" s="52" t="n">
        <v>0.53</v>
      </c>
      <c r="EF115" s="52" t="n">
        <v>0.28</v>
      </c>
      <c r="EG115" s="52" t="n">
        <v>0.44</v>
      </c>
      <c r="EH115" s="52" t="n">
        <v>0.11</v>
      </c>
      <c r="EI115" s="52" t="n">
        <v>0.5</v>
      </c>
      <c r="EJ115" s="52" t="n">
        <v>0.21</v>
      </c>
      <c r="EK115" s="52" t="n">
        <v>0.41</v>
      </c>
      <c r="EL115" s="52" t="n">
        <v>0.43</v>
      </c>
      <c r="EM115" s="52" t="n">
        <v>0.18</v>
      </c>
      <c r="EN115" s="52" t="n">
        <v>0.02</v>
      </c>
      <c r="EO115" s="52" t="n">
        <v>0.07</v>
      </c>
    </row>
    <row r="116" customFormat="false" ht="15" hidden="false" customHeight="false" outlineLevel="0" collapsed="false">
      <c r="A116" s="51" t="s">
        <v>256</v>
      </c>
      <c r="B116" s="52" t="n">
        <v>0.27</v>
      </c>
      <c r="C116" s="52" t="n">
        <v>-0.03</v>
      </c>
      <c r="D116" s="52" t="n">
        <v>0.03</v>
      </c>
      <c r="E116" s="52" t="n">
        <v>0.2</v>
      </c>
      <c r="F116" s="52" t="n">
        <v>0.1</v>
      </c>
      <c r="G116" s="52" t="n">
        <v>0</v>
      </c>
      <c r="H116" s="52" t="n">
        <v>0.11</v>
      </c>
      <c r="I116" s="52" t="n">
        <v>0.23</v>
      </c>
      <c r="J116" s="52" t="n">
        <v>0.04</v>
      </c>
      <c r="K116" s="52" t="n">
        <v>0.23</v>
      </c>
      <c r="L116" s="52" t="n">
        <v>0.14</v>
      </c>
      <c r="M116" s="52" t="n">
        <v>0.41</v>
      </c>
      <c r="N116" s="52" t="n">
        <v>0.22</v>
      </c>
      <c r="O116" s="52" t="n">
        <v>0.19</v>
      </c>
      <c r="P116" s="52" t="n">
        <v>0.05</v>
      </c>
      <c r="Q116" s="52" t="n">
        <v>0.07</v>
      </c>
      <c r="R116" s="52" t="n">
        <v>0.12</v>
      </c>
      <c r="S116" s="52" t="n">
        <v>0.11</v>
      </c>
      <c r="T116" s="52" t="n">
        <v>0.39</v>
      </c>
      <c r="U116" s="52" t="n">
        <v>0.15</v>
      </c>
      <c r="V116" s="52" t="n">
        <v>0.1</v>
      </c>
      <c r="W116" s="52" t="n">
        <v>0.11</v>
      </c>
      <c r="X116" s="52" t="n">
        <v>0.4</v>
      </c>
      <c r="Y116" s="52" t="n">
        <v>0.24</v>
      </c>
      <c r="Z116" s="52" t="n">
        <v>0.09</v>
      </c>
      <c r="AA116" s="52" t="n">
        <v>0.19</v>
      </c>
      <c r="AB116" s="52" t="n">
        <v>0.27</v>
      </c>
      <c r="AC116" s="52" t="n">
        <v>0.12</v>
      </c>
      <c r="AD116" s="52" t="n">
        <v>0.06</v>
      </c>
      <c r="AE116" s="52" t="n">
        <v>0.24</v>
      </c>
      <c r="AF116" s="52" t="n">
        <v>0.11</v>
      </c>
      <c r="AG116" s="52" t="n">
        <v>0.03</v>
      </c>
      <c r="AH116" s="52" t="n">
        <v>0.05</v>
      </c>
      <c r="AI116" s="52" t="n">
        <v>-0.31</v>
      </c>
      <c r="AJ116" s="52" t="n">
        <v>0.04</v>
      </c>
      <c r="AK116" s="52" t="n">
        <v>0.18</v>
      </c>
      <c r="AL116" s="52" t="n">
        <v>0.29</v>
      </c>
      <c r="AM116" s="52" t="n">
        <v>0.17</v>
      </c>
      <c r="AN116" s="52" t="n">
        <v>0.46</v>
      </c>
      <c r="AO116" s="52" t="n">
        <v>0.06</v>
      </c>
      <c r="AP116" s="52" t="n">
        <v>0.34</v>
      </c>
      <c r="AQ116" s="52" t="n">
        <v>-0.35</v>
      </c>
      <c r="AR116" s="52" t="n">
        <v>0.35</v>
      </c>
      <c r="AS116" s="52" t="n">
        <v>0.07</v>
      </c>
      <c r="AT116" s="52" t="n">
        <v>0.45</v>
      </c>
      <c r="AU116" s="52" t="n">
        <v>0.06</v>
      </c>
      <c r="AV116" s="52" t="n">
        <v>0.14</v>
      </c>
      <c r="AW116" s="52" t="n">
        <v>0.12</v>
      </c>
      <c r="AX116" s="52" t="n">
        <v>0.25</v>
      </c>
      <c r="AY116" s="52" t="n">
        <v>0.33</v>
      </c>
      <c r="AZ116" s="52" t="n">
        <v>0.28</v>
      </c>
      <c r="BA116" s="52" t="n">
        <v>0.34</v>
      </c>
      <c r="BB116" s="52" t="n">
        <v>0.53</v>
      </c>
      <c r="BC116" s="52" t="n">
        <v>0.19</v>
      </c>
      <c r="BD116" s="52" t="n">
        <v>0.16</v>
      </c>
      <c r="BE116" s="52" t="n">
        <v>0.15</v>
      </c>
      <c r="BF116" s="52" t="n">
        <v>0.11</v>
      </c>
      <c r="BG116" s="52" t="n">
        <v>0.23</v>
      </c>
      <c r="BH116" s="52" t="n">
        <v>0.15</v>
      </c>
      <c r="BI116" s="52" t="n">
        <v>0.21</v>
      </c>
      <c r="BJ116" s="52" t="n">
        <v>-0.06</v>
      </c>
      <c r="BK116" s="52" t="n">
        <v>0.24</v>
      </c>
      <c r="BL116" s="52" t="n">
        <v>0.27</v>
      </c>
      <c r="BM116" s="52" t="n">
        <v>0.28</v>
      </c>
      <c r="BN116" s="52" t="n">
        <v>0.19</v>
      </c>
      <c r="BO116" s="52" t="n">
        <v>0.37</v>
      </c>
      <c r="BP116" s="52" t="n">
        <v>0.18</v>
      </c>
      <c r="BQ116" s="52" t="n">
        <v>0.26</v>
      </c>
      <c r="BR116" s="52" t="n">
        <v>0.46</v>
      </c>
      <c r="BS116" s="52" t="n">
        <v>-0.32</v>
      </c>
      <c r="BT116" s="52" t="n">
        <v>0.48</v>
      </c>
      <c r="BU116" s="52" t="n">
        <v>0.13</v>
      </c>
      <c r="BV116" s="52" t="n">
        <v>0.31</v>
      </c>
      <c r="BW116" s="52" t="n">
        <v>0.3</v>
      </c>
      <c r="BX116" s="52" t="n">
        <v>0.16</v>
      </c>
      <c r="BY116" s="52" t="n">
        <v>0.43</v>
      </c>
      <c r="BZ116" s="52" t="n">
        <v>0.41</v>
      </c>
      <c r="CA116" s="52" t="n">
        <v>0.08</v>
      </c>
      <c r="CB116" s="52" t="n">
        <v>-0.04</v>
      </c>
      <c r="CC116" s="52" t="n">
        <v>0.19</v>
      </c>
      <c r="CD116" s="52" t="n">
        <v>0.23</v>
      </c>
      <c r="CE116" s="52" t="n">
        <v>0.14</v>
      </c>
      <c r="CF116" s="52" t="n">
        <v>-0.33</v>
      </c>
      <c r="CG116" s="52" t="n">
        <v>0.38</v>
      </c>
      <c r="CH116" s="52" t="n">
        <v>0.24</v>
      </c>
      <c r="CI116" s="52" t="n">
        <v>-0.33</v>
      </c>
      <c r="CJ116" s="52" t="n">
        <v>0.09</v>
      </c>
      <c r="CK116" s="52" t="n">
        <v>0.29</v>
      </c>
      <c r="CL116" s="52" t="n">
        <v>0.41</v>
      </c>
      <c r="CM116" s="52" t="n">
        <v>0.22</v>
      </c>
      <c r="CN116" s="52" t="n">
        <v>0.03</v>
      </c>
      <c r="CO116" s="52" t="n">
        <v>0.14</v>
      </c>
      <c r="CP116" s="52" t="n">
        <v>0.14</v>
      </c>
      <c r="CQ116" s="52" t="n">
        <v>0.84</v>
      </c>
      <c r="CR116" s="52" t="n">
        <v>0.35</v>
      </c>
      <c r="CS116" s="52" t="n">
        <v>0.38</v>
      </c>
      <c r="CT116" s="52" t="n">
        <v>0.29</v>
      </c>
      <c r="CU116" s="52" t="n">
        <v>0.16</v>
      </c>
      <c r="CV116" s="52" t="n">
        <v>0.26</v>
      </c>
      <c r="CW116" s="52" t="n">
        <v>0.24</v>
      </c>
      <c r="CX116" s="52" t="n">
        <v>0.33</v>
      </c>
      <c r="CY116" s="52" t="n">
        <v>0.73</v>
      </c>
      <c r="CZ116" s="52" t="n">
        <v>0.15</v>
      </c>
      <c r="DA116" s="52" t="n">
        <v>0.14</v>
      </c>
      <c r="DB116" s="52" t="n">
        <v>0.37</v>
      </c>
      <c r="DC116" s="52" t="n">
        <v>0.42</v>
      </c>
      <c r="DD116" s="52" t="n">
        <v>0.35</v>
      </c>
      <c r="DE116" s="52" t="n">
        <v>0.28</v>
      </c>
      <c r="DF116" s="52" t="n">
        <v>0.11</v>
      </c>
      <c r="DG116" s="52" t="n">
        <v>0.25</v>
      </c>
      <c r="DH116" s="52" t="n">
        <v>0.25</v>
      </c>
      <c r="DI116" s="52" t="n">
        <v>1</v>
      </c>
      <c r="DJ116" s="52" t="n">
        <v>0.52</v>
      </c>
      <c r="DK116" s="52" t="n">
        <v>0.84</v>
      </c>
      <c r="DL116" s="52" t="n">
        <v>0.09</v>
      </c>
      <c r="DM116" s="52" t="n">
        <v>0.65</v>
      </c>
      <c r="DN116" s="52" t="n">
        <v>0.27</v>
      </c>
      <c r="DO116" s="52" t="n">
        <v>0.32</v>
      </c>
      <c r="DP116" s="52" t="n">
        <v>0.6</v>
      </c>
      <c r="DQ116" s="52" t="n">
        <v>0.3</v>
      </c>
      <c r="DR116" s="52" t="n">
        <v>0.2</v>
      </c>
      <c r="DS116" s="52" t="n">
        <v>0.17</v>
      </c>
      <c r="DT116" s="52" t="n">
        <v>0.19</v>
      </c>
      <c r="DU116" s="52" t="n">
        <v>0.4</v>
      </c>
      <c r="DV116" s="52" t="n">
        <v>0.19</v>
      </c>
      <c r="DW116" s="52" t="n">
        <v>0.31</v>
      </c>
      <c r="DX116" s="52" t="n">
        <v>0.31</v>
      </c>
      <c r="DY116" s="52" t="n">
        <v>0.47</v>
      </c>
      <c r="DZ116" s="52" t="n">
        <v>0.13</v>
      </c>
      <c r="EA116" s="52" t="n">
        <v>0.27</v>
      </c>
      <c r="EB116" s="52" t="n">
        <v>0.45</v>
      </c>
      <c r="EC116" s="52" t="n">
        <v>-0.01</v>
      </c>
      <c r="ED116" s="52" t="n">
        <v>0.27</v>
      </c>
      <c r="EE116" s="52" t="n">
        <v>0.35</v>
      </c>
      <c r="EF116" s="52" t="n">
        <v>0.21</v>
      </c>
      <c r="EG116" s="52" t="n">
        <v>0.3</v>
      </c>
      <c r="EH116" s="52" t="n">
        <v>0.16</v>
      </c>
      <c r="EI116" s="52" t="n">
        <v>0.26</v>
      </c>
      <c r="EJ116" s="52" t="n">
        <v>0.32</v>
      </c>
      <c r="EK116" s="52" t="n">
        <v>0.3</v>
      </c>
      <c r="EL116" s="52" t="n">
        <v>0.32</v>
      </c>
      <c r="EM116" s="52" t="n">
        <v>0.16</v>
      </c>
      <c r="EN116" s="52" t="n">
        <v>0.13</v>
      </c>
      <c r="EO116" s="52" t="n">
        <v>0.11</v>
      </c>
    </row>
    <row r="117" customFormat="false" ht="15" hidden="false" customHeight="false" outlineLevel="0" collapsed="false">
      <c r="A117" s="51" t="s">
        <v>257</v>
      </c>
      <c r="B117" s="52" t="n">
        <v>0.22</v>
      </c>
      <c r="C117" s="52" t="n">
        <v>-0.06</v>
      </c>
      <c r="D117" s="52" t="n">
        <v>0</v>
      </c>
      <c r="E117" s="52" t="n">
        <v>0.08</v>
      </c>
      <c r="F117" s="52" t="n">
        <v>0.14</v>
      </c>
      <c r="G117" s="52" t="n">
        <v>-0.04</v>
      </c>
      <c r="H117" s="52" t="n">
        <v>0.06</v>
      </c>
      <c r="I117" s="52" t="n">
        <v>0.26</v>
      </c>
      <c r="J117" s="52" t="n">
        <v>0.14</v>
      </c>
      <c r="K117" s="52" t="n">
        <v>0.27</v>
      </c>
      <c r="L117" s="52" t="n">
        <v>0.08</v>
      </c>
      <c r="M117" s="52" t="n">
        <v>0.37</v>
      </c>
      <c r="N117" s="52" t="n">
        <v>0.29</v>
      </c>
      <c r="O117" s="52" t="n">
        <v>0.06</v>
      </c>
      <c r="P117" s="52" t="n">
        <v>0.08</v>
      </c>
      <c r="Q117" s="52" t="n">
        <v>-0.01</v>
      </c>
      <c r="R117" s="52" t="n">
        <v>0.15</v>
      </c>
      <c r="S117" s="52" t="n">
        <v>0.06</v>
      </c>
      <c r="T117" s="52" t="n">
        <v>0.4</v>
      </c>
      <c r="U117" s="52" t="n">
        <v>0.07</v>
      </c>
      <c r="V117" s="52" t="n">
        <v>0.1</v>
      </c>
      <c r="W117" s="52" t="n">
        <v>-0.03</v>
      </c>
      <c r="X117" s="52" t="n">
        <v>0.39</v>
      </c>
      <c r="Y117" s="52" t="n">
        <v>0.33</v>
      </c>
      <c r="Z117" s="52" t="n">
        <v>0.11</v>
      </c>
      <c r="AA117" s="52" t="n">
        <v>0.1</v>
      </c>
      <c r="AB117" s="52" t="n">
        <v>0.36</v>
      </c>
      <c r="AC117" s="52" t="n">
        <v>-0.01</v>
      </c>
      <c r="AD117" s="52" t="n">
        <v>0.05</v>
      </c>
      <c r="AE117" s="52" t="n">
        <v>0.18</v>
      </c>
      <c r="AF117" s="52" t="n">
        <v>-0.01</v>
      </c>
      <c r="AG117" s="52" t="n">
        <v>0.03</v>
      </c>
      <c r="AH117" s="52" t="n">
        <v>0</v>
      </c>
      <c r="AI117" s="52" t="n">
        <v>-0.21</v>
      </c>
      <c r="AJ117" s="52" t="n">
        <v>0.02</v>
      </c>
      <c r="AK117" s="52" t="n">
        <v>0.19</v>
      </c>
      <c r="AL117" s="52" t="n">
        <v>0.27</v>
      </c>
      <c r="AM117" s="52" t="n">
        <v>0.12</v>
      </c>
      <c r="AN117" s="52" t="n">
        <v>0.43</v>
      </c>
      <c r="AO117" s="52" t="n">
        <v>0.15</v>
      </c>
      <c r="AP117" s="52" t="n">
        <v>0.38</v>
      </c>
      <c r="AQ117" s="52" t="n">
        <v>-0.21</v>
      </c>
      <c r="AR117" s="52" t="n">
        <v>0.35</v>
      </c>
      <c r="AS117" s="52" t="n">
        <v>0.1</v>
      </c>
      <c r="AT117" s="52" t="n">
        <v>0.44</v>
      </c>
      <c r="AU117" s="52" t="n">
        <v>0.12</v>
      </c>
      <c r="AV117" s="52" t="n">
        <v>0.02</v>
      </c>
      <c r="AW117" s="52" t="n">
        <v>0.05</v>
      </c>
      <c r="AX117" s="52" t="n">
        <v>0.26</v>
      </c>
      <c r="AY117" s="52" t="n">
        <v>0.33</v>
      </c>
      <c r="AZ117" s="52" t="n">
        <v>0.18</v>
      </c>
      <c r="BA117" s="52" t="n">
        <v>0.32</v>
      </c>
      <c r="BB117" s="52" t="n">
        <v>0.41</v>
      </c>
      <c r="BC117" s="52" t="n">
        <v>-0.01</v>
      </c>
      <c r="BD117" s="52" t="n">
        <v>0.09</v>
      </c>
      <c r="BE117" s="52" t="n">
        <v>0.22</v>
      </c>
      <c r="BF117" s="52" t="n">
        <v>0.12</v>
      </c>
      <c r="BG117" s="52" t="n">
        <v>0.3</v>
      </c>
      <c r="BH117" s="52" t="n">
        <v>0.08</v>
      </c>
      <c r="BI117" s="52" t="n">
        <v>0.09</v>
      </c>
      <c r="BJ117" s="52" t="n">
        <v>-0.07</v>
      </c>
      <c r="BK117" s="52" t="n">
        <v>0.14</v>
      </c>
      <c r="BL117" s="52" t="n">
        <v>0.37</v>
      </c>
      <c r="BM117" s="52" t="n">
        <v>0.32</v>
      </c>
      <c r="BN117" s="52" t="n">
        <v>0.11</v>
      </c>
      <c r="BO117" s="52" t="n">
        <v>0.33</v>
      </c>
      <c r="BP117" s="52" t="n">
        <v>0.03</v>
      </c>
      <c r="BQ117" s="52" t="n">
        <v>0.19</v>
      </c>
      <c r="BR117" s="52" t="n">
        <v>0.34</v>
      </c>
      <c r="BS117" s="52" t="n">
        <v>-0.14</v>
      </c>
      <c r="BT117" s="52" t="n">
        <v>0.43</v>
      </c>
      <c r="BU117" s="52" t="n">
        <v>0.14</v>
      </c>
      <c r="BV117" s="52" t="n">
        <v>0.25</v>
      </c>
      <c r="BW117" s="52" t="n">
        <v>0.08</v>
      </c>
      <c r="BX117" s="52" t="n">
        <v>0.25</v>
      </c>
      <c r="BY117" s="52" t="n">
        <v>0.4</v>
      </c>
      <c r="BZ117" s="52" t="n">
        <v>0.31</v>
      </c>
      <c r="CA117" s="52" t="n">
        <v>0.05</v>
      </c>
      <c r="CB117" s="52" t="n">
        <v>-0.07</v>
      </c>
      <c r="CC117" s="52" t="n">
        <v>0.13</v>
      </c>
      <c r="CD117" s="52" t="n">
        <v>0.35</v>
      </c>
      <c r="CE117" s="52" t="n">
        <v>0.16</v>
      </c>
      <c r="CF117" s="52" t="n">
        <v>-0.19</v>
      </c>
      <c r="CG117" s="52" t="n">
        <v>0.39</v>
      </c>
      <c r="CH117" s="52" t="n">
        <v>0.25</v>
      </c>
      <c r="CI117" s="52" t="n">
        <v>-0.17</v>
      </c>
      <c r="CJ117" s="52" t="n">
        <v>0.04</v>
      </c>
      <c r="CK117" s="52" t="n">
        <v>0.28</v>
      </c>
      <c r="CL117" s="52" t="n">
        <v>0.35</v>
      </c>
      <c r="CM117" s="52" t="n">
        <v>0.21</v>
      </c>
      <c r="CN117" s="52" t="n">
        <v>0.13</v>
      </c>
      <c r="CO117" s="52" t="n">
        <v>0.08</v>
      </c>
      <c r="CP117" s="52" t="n">
        <v>0.09</v>
      </c>
      <c r="CQ117" s="52" t="n">
        <v>0.58</v>
      </c>
      <c r="CR117" s="52" t="n">
        <v>0.34</v>
      </c>
      <c r="CS117" s="52" t="n">
        <v>0.33</v>
      </c>
      <c r="CT117" s="52" t="n">
        <v>0.26</v>
      </c>
      <c r="CU117" s="52" t="n">
        <v>0.15</v>
      </c>
      <c r="CV117" s="52" t="n">
        <v>0.31</v>
      </c>
      <c r="CW117" s="52" t="n">
        <v>0.27</v>
      </c>
      <c r="CX117" s="52" t="n">
        <v>0.31</v>
      </c>
      <c r="CY117" s="52" t="n">
        <v>0.67</v>
      </c>
      <c r="CZ117" s="52" t="n">
        <v>0.18</v>
      </c>
      <c r="DA117" s="52" t="n">
        <v>0.23</v>
      </c>
      <c r="DB117" s="52" t="n">
        <v>0.17</v>
      </c>
      <c r="DC117" s="52" t="n">
        <v>0.41</v>
      </c>
      <c r="DD117" s="52" t="n">
        <v>0.34</v>
      </c>
      <c r="DE117" s="52" t="n">
        <v>0.3</v>
      </c>
      <c r="DF117" s="52" t="n">
        <v>0.1</v>
      </c>
      <c r="DG117" s="52" t="n">
        <v>0.22</v>
      </c>
      <c r="DH117" s="52" t="n">
        <v>0.19</v>
      </c>
      <c r="DI117" s="52" t="n">
        <v>0.52</v>
      </c>
      <c r="DJ117" s="52" t="n">
        <v>1</v>
      </c>
      <c r="DK117" s="52" t="n">
        <v>0.57</v>
      </c>
      <c r="DL117" s="52" t="n">
        <v>0.11</v>
      </c>
      <c r="DM117" s="52" t="n">
        <v>0.8</v>
      </c>
      <c r="DN117" s="52" t="n">
        <v>0.29</v>
      </c>
      <c r="DO117" s="52" t="n">
        <v>0.27</v>
      </c>
      <c r="DP117" s="52" t="n">
        <v>0.76</v>
      </c>
      <c r="DQ117" s="52" t="n">
        <v>0.15</v>
      </c>
      <c r="DR117" s="52" t="n">
        <v>0.16</v>
      </c>
      <c r="DS117" s="52" t="n">
        <v>0.25</v>
      </c>
      <c r="DT117" s="52" t="n">
        <v>0.16</v>
      </c>
      <c r="DU117" s="52" t="n">
        <v>0.25</v>
      </c>
      <c r="DV117" s="52" t="n">
        <v>0.1</v>
      </c>
      <c r="DW117" s="52" t="n">
        <v>0.3</v>
      </c>
      <c r="DX117" s="52" t="n">
        <v>0.27</v>
      </c>
      <c r="DY117" s="52" t="n">
        <v>0.33</v>
      </c>
      <c r="DZ117" s="52" t="n">
        <v>0.13</v>
      </c>
      <c r="EA117" s="52" t="n">
        <v>0.23</v>
      </c>
      <c r="EB117" s="52" t="n">
        <v>0.37</v>
      </c>
      <c r="EC117" s="52" t="n">
        <v>0.07</v>
      </c>
      <c r="ED117" s="52" t="n">
        <v>0.21</v>
      </c>
      <c r="EE117" s="52" t="n">
        <v>0.22</v>
      </c>
      <c r="EF117" s="52" t="n">
        <v>0.18</v>
      </c>
      <c r="EG117" s="52" t="n">
        <v>0.19</v>
      </c>
      <c r="EH117" s="52" t="n">
        <v>0.1</v>
      </c>
      <c r="EI117" s="52" t="n">
        <v>0.17</v>
      </c>
      <c r="EJ117" s="52" t="n">
        <v>0.36</v>
      </c>
      <c r="EK117" s="52" t="n">
        <v>0.13</v>
      </c>
      <c r="EL117" s="52" t="n">
        <v>0.21</v>
      </c>
      <c r="EM117" s="52" t="n">
        <v>0.12</v>
      </c>
      <c r="EN117" s="52" t="n">
        <v>0.14</v>
      </c>
      <c r="EO117" s="52" t="n">
        <v>0.17</v>
      </c>
    </row>
    <row r="118" customFormat="false" ht="15" hidden="false" customHeight="false" outlineLevel="0" collapsed="false">
      <c r="A118" s="51" t="s">
        <v>258</v>
      </c>
      <c r="B118" s="52" t="n">
        <v>0.23</v>
      </c>
      <c r="C118" s="52" t="n">
        <v>0</v>
      </c>
      <c r="D118" s="52" t="n">
        <v>0.02</v>
      </c>
      <c r="E118" s="52" t="n">
        <v>0.14</v>
      </c>
      <c r="F118" s="52" t="n">
        <v>0.07</v>
      </c>
      <c r="G118" s="52" t="n">
        <v>-0.06</v>
      </c>
      <c r="H118" s="52" t="n">
        <v>0.09</v>
      </c>
      <c r="I118" s="52" t="n">
        <v>0.18</v>
      </c>
      <c r="J118" s="52" t="n">
        <v>0.07</v>
      </c>
      <c r="K118" s="52" t="n">
        <v>0.2</v>
      </c>
      <c r="L118" s="52" t="n">
        <v>0.15</v>
      </c>
      <c r="M118" s="52" t="n">
        <v>0.44</v>
      </c>
      <c r="N118" s="52" t="n">
        <v>0.23</v>
      </c>
      <c r="O118" s="52" t="n">
        <v>0.14</v>
      </c>
      <c r="P118" s="52" t="n">
        <v>0.05</v>
      </c>
      <c r="Q118" s="52" t="n">
        <v>0.04</v>
      </c>
      <c r="R118" s="52" t="n">
        <v>0.1</v>
      </c>
      <c r="S118" s="52" t="n">
        <v>0.11</v>
      </c>
      <c r="T118" s="52" t="n">
        <v>0.44</v>
      </c>
      <c r="U118" s="52" t="n">
        <v>0.15</v>
      </c>
      <c r="V118" s="52" t="n">
        <v>0.11</v>
      </c>
      <c r="W118" s="52" t="n">
        <v>0.08</v>
      </c>
      <c r="X118" s="52" t="n">
        <v>0.47</v>
      </c>
      <c r="Y118" s="52" t="n">
        <v>0.23</v>
      </c>
      <c r="Z118" s="52" t="n">
        <v>0.09</v>
      </c>
      <c r="AA118" s="52" t="n">
        <v>0.17</v>
      </c>
      <c r="AB118" s="52" t="n">
        <v>0.24</v>
      </c>
      <c r="AC118" s="52" t="n">
        <v>0.04</v>
      </c>
      <c r="AD118" s="52" t="n">
        <v>0.09</v>
      </c>
      <c r="AE118" s="52" t="n">
        <v>0.27</v>
      </c>
      <c r="AF118" s="52" t="n">
        <v>0.13</v>
      </c>
      <c r="AG118" s="52" t="n">
        <v>0</v>
      </c>
      <c r="AH118" s="52" t="n">
        <v>0.02</v>
      </c>
      <c r="AI118" s="52" t="n">
        <v>-0.31</v>
      </c>
      <c r="AJ118" s="52" t="n">
        <v>0.07</v>
      </c>
      <c r="AK118" s="52" t="n">
        <v>0.19</v>
      </c>
      <c r="AL118" s="52" t="n">
        <v>0.3</v>
      </c>
      <c r="AM118" s="52" t="n">
        <v>0.18</v>
      </c>
      <c r="AN118" s="52" t="n">
        <v>0.47</v>
      </c>
      <c r="AO118" s="52" t="n">
        <v>0.08</v>
      </c>
      <c r="AP118" s="52" t="n">
        <v>0.33</v>
      </c>
      <c r="AQ118" s="52" t="n">
        <v>-0.35</v>
      </c>
      <c r="AR118" s="52" t="n">
        <v>0.43</v>
      </c>
      <c r="AS118" s="52" t="n">
        <v>0.14</v>
      </c>
      <c r="AT118" s="52" t="n">
        <v>0.5</v>
      </c>
      <c r="AU118" s="52" t="n">
        <v>0.08</v>
      </c>
      <c r="AV118" s="52" t="n">
        <v>0.12</v>
      </c>
      <c r="AW118" s="52" t="n">
        <v>0.17</v>
      </c>
      <c r="AX118" s="52" t="n">
        <v>0.24</v>
      </c>
      <c r="AY118" s="52" t="n">
        <v>0.37</v>
      </c>
      <c r="AZ118" s="52" t="n">
        <v>0.34</v>
      </c>
      <c r="BA118" s="52" t="n">
        <v>0.43</v>
      </c>
      <c r="BB118" s="52" t="n">
        <v>0.59</v>
      </c>
      <c r="BC118" s="52" t="n">
        <v>0.18</v>
      </c>
      <c r="BD118" s="52" t="n">
        <v>0.17</v>
      </c>
      <c r="BE118" s="52" t="n">
        <v>0.19</v>
      </c>
      <c r="BF118" s="52" t="n">
        <v>0.16</v>
      </c>
      <c r="BG118" s="52" t="n">
        <v>0.31</v>
      </c>
      <c r="BH118" s="52" t="n">
        <v>0.19</v>
      </c>
      <c r="BI118" s="52" t="n">
        <v>0.18</v>
      </c>
      <c r="BJ118" s="52" t="n">
        <v>-0.01</v>
      </c>
      <c r="BK118" s="52" t="n">
        <v>0.24</v>
      </c>
      <c r="BL118" s="52" t="n">
        <v>0.36</v>
      </c>
      <c r="BM118" s="52" t="n">
        <v>0.3</v>
      </c>
      <c r="BN118" s="52" t="n">
        <v>0.17</v>
      </c>
      <c r="BO118" s="52" t="n">
        <v>0.34</v>
      </c>
      <c r="BP118" s="52" t="n">
        <v>0.18</v>
      </c>
      <c r="BQ118" s="52" t="n">
        <v>0.35</v>
      </c>
      <c r="BR118" s="52" t="n">
        <v>0.51</v>
      </c>
      <c r="BS118" s="52" t="n">
        <v>-0.3</v>
      </c>
      <c r="BT118" s="52" t="n">
        <v>0.54</v>
      </c>
      <c r="BU118" s="52" t="n">
        <v>0.14</v>
      </c>
      <c r="BV118" s="52" t="n">
        <v>0.31</v>
      </c>
      <c r="BW118" s="52" t="n">
        <v>0.31</v>
      </c>
      <c r="BX118" s="52" t="n">
        <v>0.14</v>
      </c>
      <c r="BY118" s="52" t="n">
        <v>0.45</v>
      </c>
      <c r="BZ118" s="52" t="n">
        <v>0.48</v>
      </c>
      <c r="CA118" s="52" t="n">
        <v>0.05</v>
      </c>
      <c r="CB118" s="52" t="n">
        <v>-0.06</v>
      </c>
      <c r="CC118" s="52" t="n">
        <v>0.17</v>
      </c>
      <c r="CD118" s="52" t="n">
        <v>0.27</v>
      </c>
      <c r="CE118" s="52" t="n">
        <v>0.22</v>
      </c>
      <c r="CF118" s="52" t="n">
        <v>-0.32</v>
      </c>
      <c r="CG118" s="52" t="n">
        <v>0.39</v>
      </c>
      <c r="CH118" s="52" t="n">
        <v>0.28</v>
      </c>
      <c r="CI118" s="52" t="n">
        <v>-0.33</v>
      </c>
      <c r="CJ118" s="52" t="n">
        <v>0.06</v>
      </c>
      <c r="CK118" s="52" t="n">
        <v>0.29</v>
      </c>
      <c r="CL118" s="52" t="n">
        <v>0.42</v>
      </c>
      <c r="CM118" s="52" t="n">
        <v>0.31</v>
      </c>
      <c r="CN118" s="52" t="n">
        <v>0.06</v>
      </c>
      <c r="CO118" s="52" t="n">
        <v>0.18</v>
      </c>
      <c r="CP118" s="52" t="n">
        <v>0.13</v>
      </c>
      <c r="CQ118" s="52" t="n">
        <v>0.9</v>
      </c>
      <c r="CR118" s="52" t="n">
        <v>0.44</v>
      </c>
      <c r="CS118" s="52" t="n">
        <v>0.47</v>
      </c>
      <c r="CT118" s="52" t="n">
        <v>0.31</v>
      </c>
      <c r="CU118" s="52" t="n">
        <v>0.19</v>
      </c>
      <c r="CV118" s="52" t="n">
        <v>0.28</v>
      </c>
      <c r="CW118" s="52" t="n">
        <v>0.28</v>
      </c>
      <c r="CX118" s="52" t="n">
        <v>0.39</v>
      </c>
      <c r="CY118" s="52" t="n">
        <v>0.74</v>
      </c>
      <c r="CZ118" s="52" t="n">
        <v>0.13</v>
      </c>
      <c r="DA118" s="52" t="n">
        <v>0.16</v>
      </c>
      <c r="DB118" s="52" t="n">
        <v>0.34</v>
      </c>
      <c r="DC118" s="52" t="n">
        <v>0.47</v>
      </c>
      <c r="DD118" s="52" t="n">
        <v>0.35</v>
      </c>
      <c r="DE118" s="52" t="n">
        <v>0.38</v>
      </c>
      <c r="DF118" s="52" t="n">
        <v>0.06</v>
      </c>
      <c r="DG118" s="52" t="n">
        <v>0.31</v>
      </c>
      <c r="DH118" s="52" t="n">
        <v>0.31</v>
      </c>
      <c r="DI118" s="52" t="n">
        <v>0.84</v>
      </c>
      <c r="DJ118" s="52" t="n">
        <v>0.57</v>
      </c>
      <c r="DK118" s="52" t="n">
        <v>1</v>
      </c>
      <c r="DL118" s="52" t="n">
        <v>0.12</v>
      </c>
      <c r="DM118" s="52" t="n">
        <v>0.69</v>
      </c>
      <c r="DN118" s="52" t="n">
        <v>0.3</v>
      </c>
      <c r="DO118" s="52" t="n">
        <v>0.33</v>
      </c>
      <c r="DP118" s="52" t="n">
        <v>0.63</v>
      </c>
      <c r="DQ118" s="52" t="n">
        <v>0.36</v>
      </c>
      <c r="DR118" s="52" t="n">
        <v>0.25</v>
      </c>
      <c r="DS118" s="52" t="n">
        <v>0.16</v>
      </c>
      <c r="DT118" s="52" t="n">
        <v>0.21</v>
      </c>
      <c r="DU118" s="52" t="n">
        <v>0.44</v>
      </c>
      <c r="DV118" s="52" t="n">
        <v>0.2</v>
      </c>
      <c r="DW118" s="52" t="n">
        <v>0.34</v>
      </c>
      <c r="DX118" s="52" t="n">
        <v>0.39</v>
      </c>
      <c r="DY118" s="52" t="n">
        <v>0.48</v>
      </c>
      <c r="DZ118" s="52" t="n">
        <v>0.12</v>
      </c>
      <c r="EA118" s="52" t="n">
        <v>0.29</v>
      </c>
      <c r="EB118" s="52" t="n">
        <v>0.46</v>
      </c>
      <c r="EC118" s="52" t="n">
        <v>0.05</v>
      </c>
      <c r="ED118" s="52" t="n">
        <v>0.3</v>
      </c>
      <c r="EE118" s="52" t="n">
        <v>0.41</v>
      </c>
      <c r="EF118" s="52" t="n">
        <v>0.32</v>
      </c>
      <c r="EG118" s="52" t="n">
        <v>0.36</v>
      </c>
      <c r="EH118" s="52" t="n">
        <v>0.14</v>
      </c>
      <c r="EI118" s="52" t="n">
        <v>0.33</v>
      </c>
      <c r="EJ118" s="52" t="n">
        <v>0.36</v>
      </c>
      <c r="EK118" s="52" t="n">
        <v>0.35</v>
      </c>
      <c r="EL118" s="52" t="n">
        <v>0.42</v>
      </c>
      <c r="EM118" s="52" t="n">
        <v>0.2</v>
      </c>
      <c r="EN118" s="52" t="n">
        <v>0.12</v>
      </c>
      <c r="EO118" s="52" t="n">
        <v>0.11</v>
      </c>
    </row>
    <row r="119" customFormat="false" ht="15" hidden="false" customHeight="false" outlineLevel="0" collapsed="false">
      <c r="A119" s="51" t="s">
        <v>259</v>
      </c>
      <c r="B119" s="52" t="n">
        <v>-0.12</v>
      </c>
      <c r="C119" s="52" t="n">
        <v>0.18</v>
      </c>
      <c r="D119" s="52" t="n">
        <v>0.2</v>
      </c>
      <c r="E119" s="52" t="n">
        <v>0.11</v>
      </c>
      <c r="F119" s="52" t="n">
        <v>-0.11</v>
      </c>
      <c r="G119" s="52" t="n">
        <v>0.17</v>
      </c>
      <c r="H119" s="52" t="n">
        <v>0.22</v>
      </c>
      <c r="I119" s="52" t="n">
        <v>-0.04</v>
      </c>
      <c r="J119" s="52" t="n">
        <v>-0.01</v>
      </c>
      <c r="K119" s="52" t="n">
        <v>0.02</v>
      </c>
      <c r="L119" s="52" t="n">
        <v>0.16</v>
      </c>
      <c r="M119" s="52" t="n">
        <v>0.19</v>
      </c>
      <c r="N119" s="52" t="n">
        <v>0.04</v>
      </c>
      <c r="O119" s="52" t="n">
        <v>0.27</v>
      </c>
      <c r="P119" s="52" t="n">
        <v>-0.04</v>
      </c>
      <c r="Q119" s="52" t="n">
        <v>0.04</v>
      </c>
      <c r="R119" s="52" t="n">
        <v>-0.05</v>
      </c>
      <c r="S119" s="52" t="n">
        <v>0.17</v>
      </c>
      <c r="T119" s="52" t="n">
        <v>0.02</v>
      </c>
      <c r="U119" s="52" t="n">
        <v>0.31</v>
      </c>
      <c r="V119" s="52" t="n">
        <v>0.33</v>
      </c>
      <c r="W119" s="52" t="n">
        <v>0.08</v>
      </c>
      <c r="X119" s="52" t="n">
        <v>0.07</v>
      </c>
      <c r="Y119" s="52" t="n">
        <v>-0.07</v>
      </c>
      <c r="Z119" s="52" t="n">
        <v>0.33</v>
      </c>
      <c r="AA119" s="52" t="n">
        <v>0.13</v>
      </c>
      <c r="AB119" s="52" t="n">
        <v>-0.13</v>
      </c>
      <c r="AC119" s="52" t="n">
        <v>0.22</v>
      </c>
      <c r="AD119" s="52" t="n">
        <v>0.12</v>
      </c>
      <c r="AE119" s="52" t="n">
        <v>0.3</v>
      </c>
      <c r="AF119" s="52" t="n">
        <v>0.36</v>
      </c>
      <c r="AG119" s="52" t="n">
        <v>-0.16</v>
      </c>
      <c r="AH119" s="52" t="n">
        <v>-0.22</v>
      </c>
      <c r="AI119" s="52" t="n">
        <v>-0.25</v>
      </c>
      <c r="AJ119" s="52" t="n">
        <v>0.29</v>
      </c>
      <c r="AK119" s="52" t="n">
        <v>0.34</v>
      </c>
      <c r="AL119" s="52" t="n">
        <v>-0.01</v>
      </c>
      <c r="AM119" s="52" t="n">
        <v>0.13</v>
      </c>
      <c r="AN119" s="52" t="n">
        <v>0.08</v>
      </c>
      <c r="AO119" s="52" t="n">
        <v>-0.08</v>
      </c>
      <c r="AP119" s="52" t="n">
        <v>0.09</v>
      </c>
      <c r="AQ119" s="52" t="n">
        <v>-0.22</v>
      </c>
      <c r="AR119" s="52" t="n">
        <v>-0.01</v>
      </c>
      <c r="AS119" s="52" t="n">
        <v>0.31</v>
      </c>
      <c r="AT119" s="52" t="n">
        <v>-0.05</v>
      </c>
      <c r="AU119" s="52" t="n">
        <v>-0.03</v>
      </c>
      <c r="AV119" s="52" t="n">
        <v>0.18</v>
      </c>
      <c r="AW119" s="52" t="n">
        <v>0.34</v>
      </c>
      <c r="AX119" s="52" t="n">
        <v>0.03</v>
      </c>
      <c r="AY119" s="52" t="n">
        <v>-0.01</v>
      </c>
      <c r="AZ119" s="52" t="n">
        <v>0.23</v>
      </c>
      <c r="BA119" s="52" t="n">
        <v>0.11</v>
      </c>
      <c r="BB119" s="52" t="n">
        <v>0.08</v>
      </c>
      <c r="BC119" s="52" t="n">
        <v>0.17</v>
      </c>
      <c r="BD119" s="52" t="n">
        <v>0.33</v>
      </c>
      <c r="BE119" s="52" t="n">
        <v>0.05</v>
      </c>
      <c r="BF119" s="52" t="n">
        <v>0.24</v>
      </c>
      <c r="BG119" s="52" t="n">
        <v>0.07</v>
      </c>
      <c r="BH119" s="52" t="n">
        <v>0.23</v>
      </c>
      <c r="BI119" s="52" t="n">
        <v>0.1</v>
      </c>
      <c r="BJ119" s="52" t="n">
        <v>0.17</v>
      </c>
      <c r="BK119" s="52" t="n">
        <v>0.17</v>
      </c>
      <c r="BL119" s="52" t="n">
        <v>0.28</v>
      </c>
      <c r="BM119" s="52" t="n">
        <v>-0.08</v>
      </c>
      <c r="BN119" s="52" t="n">
        <v>-0.02</v>
      </c>
      <c r="BO119" s="52" t="n">
        <v>0.08</v>
      </c>
      <c r="BP119" s="52" t="n">
        <v>0.03</v>
      </c>
      <c r="BQ119" s="52" t="n">
        <v>0.33</v>
      </c>
      <c r="BR119" s="52" t="n">
        <v>0.03</v>
      </c>
      <c r="BS119" s="52" t="n">
        <v>-0.2</v>
      </c>
      <c r="BT119" s="52" t="n">
        <v>0.17</v>
      </c>
      <c r="BU119" s="52" t="n">
        <v>0.27</v>
      </c>
      <c r="BV119" s="52" t="n">
        <v>0.07</v>
      </c>
      <c r="BW119" s="52" t="n">
        <v>0.07</v>
      </c>
      <c r="BX119" s="52" t="n">
        <v>0.06</v>
      </c>
      <c r="BY119" s="52" t="n">
        <v>0.09</v>
      </c>
      <c r="BZ119" s="52" t="n">
        <v>0.11</v>
      </c>
      <c r="CA119" s="52" t="n">
        <v>0.31</v>
      </c>
      <c r="CB119" s="52" t="n">
        <v>-0.12</v>
      </c>
      <c r="CC119" s="52" t="n">
        <v>0.03</v>
      </c>
      <c r="CD119" s="52" t="n">
        <v>-0.01</v>
      </c>
      <c r="CE119" s="52" t="n">
        <v>0.06</v>
      </c>
      <c r="CF119" s="52" t="n">
        <v>-0.25</v>
      </c>
      <c r="CG119" s="52" t="n">
        <v>0.06</v>
      </c>
      <c r="CH119" s="52" t="n">
        <v>0.6</v>
      </c>
      <c r="CI119" s="52" t="n">
        <v>-0.18</v>
      </c>
      <c r="CJ119" s="52" t="n">
        <v>0</v>
      </c>
      <c r="CK119" s="52" t="n">
        <v>-0.07</v>
      </c>
      <c r="CL119" s="52" t="n">
        <v>0.14</v>
      </c>
      <c r="CM119" s="52" t="n">
        <v>0.18</v>
      </c>
      <c r="CN119" s="52" t="n">
        <v>0.25</v>
      </c>
      <c r="CO119" s="52" t="n">
        <v>0.02</v>
      </c>
      <c r="CP119" s="52" t="n">
        <v>-0.08</v>
      </c>
      <c r="CQ119" s="52" t="n">
        <v>0.06</v>
      </c>
      <c r="CR119" s="52" t="n">
        <v>0.2</v>
      </c>
      <c r="CS119" s="52" t="n">
        <v>0.23</v>
      </c>
      <c r="CT119" s="52" t="n">
        <v>0.17</v>
      </c>
      <c r="CU119" s="52" t="n">
        <v>0.24</v>
      </c>
      <c r="CV119" s="52" t="n">
        <v>0.1</v>
      </c>
      <c r="CW119" s="52" t="n">
        <v>0.09</v>
      </c>
      <c r="CX119" s="52" t="n">
        <v>0.15</v>
      </c>
      <c r="CY119" s="52" t="n">
        <v>0.1</v>
      </c>
      <c r="CZ119" s="52" t="n">
        <v>0.05</v>
      </c>
      <c r="DA119" s="52" t="n">
        <v>0.01</v>
      </c>
      <c r="DB119" s="52" t="n">
        <v>0.22</v>
      </c>
      <c r="DC119" s="52" t="n">
        <v>0.31</v>
      </c>
      <c r="DD119" s="52" t="n">
        <v>0.14</v>
      </c>
      <c r="DE119" s="52" t="n">
        <v>0.5</v>
      </c>
      <c r="DF119" s="52" t="n">
        <v>-0.05</v>
      </c>
      <c r="DG119" s="52" t="n">
        <v>0.58</v>
      </c>
      <c r="DH119" s="52" t="n">
        <v>0.18</v>
      </c>
      <c r="DI119" s="52" t="n">
        <v>0.09</v>
      </c>
      <c r="DJ119" s="52" t="n">
        <v>0.11</v>
      </c>
      <c r="DK119" s="52" t="n">
        <v>0.12</v>
      </c>
      <c r="DL119" s="52" t="n">
        <v>1</v>
      </c>
      <c r="DM119" s="52" t="n">
        <v>0.19</v>
      </c>
      <c r="DN119" s="52" t="n">
        <v>0</v>
      </c>
      <c r="DO119" s="52" t="n">
        <v>0.15</v>
      </c>
      <c r="DP119" s="52" t="n">
        <v>0.13</v>
      </c>
      <c r="DQ119" s="52" t="n">
        <v>0.13</v>
      </c>
      <c r="DR119" s="52" t="n">
        <v>0.34</v>
      </c>
      <c r="DS119" s="52" t="n">
        <v>-0.16</v>
      </c>
      <c r="DT119" s="52" t="n">
        <v>0.14</v>
      </c>
      <c r="DU119" s="52" t="n">
        <v>0.15</v>
      </c>
      <c r="DV119" s="52" t="n">
        <v>0.04</v>
      </c>
      <c r="DW119" s="52" t="n">
        <v>0.06</v>
      </c>
      <c r="DX119" s="52" t="n">
        <v>0.25</v>
      </c>
      <c r="DY119" s="52" t="n">
        <v>0.06</v>
      </c>
      <c r="DZ119" s="52" t="n">
        <v>0.04</v>
      </c>
      <c r="EA119" s="52" t="n">
        <v>0.22</v>
      </c>
      <c r="EB119" s="52" t="n">
        <v>0.02</v>
      </c>
      <c r="EC119" s="52" t="n">
        <v>0.32</v>
      </c>
      <c r="ED119" s="52" t="n">
        <v>0.21</v>
      </c>
      <c r="EE119" s="52" t="n">
        <v>0.23</v>
      </c>
      <c r="EF119" s="52" t="n">
        <v>0.22</v>
      </c>
      <c r="EG119" s="52" t="n">
        <v>0.18</v>
      </c>
      <c r="EH119" s="52" t="n">
        <v>-0.11</v>
      </c>
      <c r="EI119" s="52" t="n">
        <v>0.27</v>
      </c>
      <c r="EJ119" s="52" t="n">
        <v>0.06</v>
      </c>
      <c r="EK119" s="52" t="n">
        <v>0.26</v>
      </c>
      <c r="EL119" s="52" t="n">
        <v>0.35</v>
      </c>
      <c r="EM119" s="52" t="n">
        <v>0</v>
      </c>
      <c r="EN119" s="52" t="n">
        <v>0.12</v>
      </c>
      <c r="EO119" s="52" t="n">
        <v>0.02</v>
      </c>
    </row>
    <row r="120" customFormat="false" ht="15" hidden="false" customHeight="false" outlineLevel="0" collapsed="false">
      <c r="A120" s="51" t="s">
        <v>260</v>
      </c>
      <c r="B120" s="52" t="n">
        <v>0.27</v>
      </c>
      <c r="C120" s="52" t="n">
        <v>-0.01</v>
      </c>
      <c r="D120" s="52" t="n">
        <v>0.02</v>
      </c>
      <c r="E120" s="52" t="n">
        <v>0.13</v>
      </c>
      <c r="F120" s="52" t="n">
        <v>0.16</v>
      </c>
      <c r="G120" s="52" t="n">
        <v>0.04</v>
      </c>
      <c r="H120" s="52" t="n">
        <v>0.14</v>
      </c>
      <c r="I120" s="52" t="n">
        <v>0.28</v>
      </c>
      <c r="J120" s="52" t="n">
        <v>0.12</v>
      </c>
      <c r="K120" s="52" t="n">
        <v>0.33</v>
      </c>
      <c r="L120" s="52" t="n">
        <v>0.15</v>
      </c>
      <c r="M120" s="52" t="n">
        <v>0.45</v>
      </c>
      <c r="N120" s="52" t="n">
        <v>0.35</v>
      </c>
      <c r="O120" s="52" t="n">
        <v>0.17</v>
      </c>
      <c r="P120" s="52" t="n">
        <v>0.1</v>
      </c>
      <c r="Q120" s="52" t="n">
        <v>-0.01</v>
      </c>
      <c r="R120" s="52" t="n">
        <v>0.18</v>
      </c>
      <c r="S120" s="52" t="n">
        <v>0.09</v>
      </c>
      <c r="T120" s="52" t="n">
        <v>0.45</v>
      </c>
      <c r="U120" s="52" t="n">
        <v>0.16</v>
      </c>
      <c r="V120" s="52" t="n">
        <v>0.2</v>
      </c>
      <c r="W120" s="52" t="n">
        <v>0.08</v>
      </c>
      <c r="X120" s="52" t="n">
        <v>0.46</v>
      </c>
      <c r="Y120" s="52" t="n">
        <v>0.35</v>
      </c>
      <c r="Z120" s="52" t="n">
        <v>0.2</v>
      </c>
      <c r="AA120" s="52" t="n">
        <v>0.25</v>
      </c>
      <c r="AB120" s="52" t="n">
        <v>0.35</v>
      </c>
      <c r="AC120" s="52" t="n">
        <v>0.11</v>
      </c>
      <c r="AD120" s="52" t="n">
        <v>0.12</v>
      </c>
      <c r="AE120" s="52" t="n">
        <v>0.31</v>
      </c>
      <c r="AF120" s="52" t="n">
        <v>0.09</v>
      </c>
      <c r="AG120" s="52" t="n">
        <v>0.02</v>
      </c>
      <c r="AH120" s="52" t="n">
        <v>0.02</v>
      </c>
      <c r="AI120" s="52" t="n">
        <v>-0.26</v>
      </c>
      <c r="AJ120" s="52" t="n">
        <v>0.12</v>
      </c>
      <c r="AK120" s="52" t="n">
        <v>0.27</v>
      </c>
      <c r="AL120" s="52" t="n">
        <v>0.31</v>
      </c>
      <c r="AM120" s="52" t="n">
        <v>0.24</v>
      </c>
      <c r="AN120" s="52" t="n">
        <v>0.5</v>
      </c>
      <c r="AO120" s="52" t="n">
        <v>0.15</v>
      </c>
      <c r="AP120" s="52" t="n">
        <v>0.4</v>
      </c>
      <c r="AQ120" s="52" t="n">
        <v>-0.28</v>
      </c>
      <c r="AR120" s="52" t="n">
        <v>0.38</v>
      </c>
      <c r="AS120" s="52" t="n">
        <v>0.14</v>
      </c>
      <c r="AT120" s="52" t="n">
        <v>0.46</v>
      </c>
      <c r="AU120" s="52" t="n">
        <v>0.15</v>
      </c>
      <c r="AV120" s="52" t="n">
        <v>0.09</v>
      </c>
      <c r="AW120" s="52" t="n">
        <v>0.12</v>
      </c>
      <c r="AX120" s="52" t="n">
        <v>0.28</v>
      </c>
      <c r="AY120" s="52" t="n">
        <v>0.37</v>
      </c>
      <c r="AZ120" s="52" t="n">
        <v>0.28</v>
      </c>
      <c r="BA120" s="52" t="n">
        <v>0.43</v>
      </c>
      <c r="BB120" s="52" t="n">
        <v>0.5</v>
      </c>
      <c r="BC120" s="52" t="n">
        <v>0.1</v>
      </c>
      <c r="BD120" s="52" t="n">
        <v>0.21</v>
      </c>
      <c r="BE120" s="52" t="n">
        <v>0.23</v>
      </c>
      <c r="BF120" s="52" t="n">
        <v>0.2</v>
      </c>
      <c r="BG120" s="52" t="n">
        <v>0.3</v>
      </c>
      <c r="BH120" s="52" t="n">
        <v>0.12</v>
      </c>
      <c r="BI120" s="52" t="n">
        <v>0.09</v>
      </c>
      <c r="BJ120" s="52" t="n">
        <v>-0.07</v>
      </c>
      <c r="BK120" s="52" t="n">
        <v>0.21</v>
      </c>
      <c r="BL120" s="52" t="n">
        <v>0.37</v>
      </c>
      <c r="BM120" s="52" t="n">
        <v>0.3</v>
      </c>
      <c r="BN120" s="52" t="n">
        <v>0.1</v>
      </c>
      <c r="BO120" s="52" t="n">
        <v>0.35</v>
      </c>
      <c r="BP120" s="52" t="n">
        <v>0.09</v>
      </c>
      <c r="BQ120" s="52" t="n">
        <v>0.34</v>
      </c>
      <c r="BR120" s="52" t="n">
        <v>0.43</v>
      </c>
      <c r="BS120" s="52" t="n">
        <v>-0.24</v>
      </c>
      <c r="BT120" s="52" t="n">
        <v>0.53</v>
      </c>
      <c r="BU120" s="52" t="n">
        <v>0.21</v>
      </c>
      <c r="BV120" s="52" t="n">
        <v>0.32</v>
      </c>
      <c r="BW120" s="52" t="n">
        <v>0.19</v>
      </c>
      <c r="BX120" s="52" t="n">
        <v>0.23</v>
      </c>
      <c r="BY120" s="52" t="n">
        <v>0.48</v>
      </c>
      <c r="BZ120" s="52" t="n">
        <v>0.41</v>
      </c>
      <c r="CA120" s="52" t="n">
        <v>0.12</v>
      </c>
      <c r="CB120" s="52" t="n">
        <v>-0.17</v>
      </c>
      <c r="CC120" s="52" t="n">
        <v>0.1</v>
      </c>
      <c r="CD120" s="52" t="n">
        <v>0.34</v>
      </c>
      <c r="CE120" s="52" t="n">
        <v>0.2</v>
      </c>
      <c r="CF120" s="52" t="n">
        <v>-0.26</v>
      </c>
      <c r="CG120" s="52" t="n">
        <v>0.46</v>
      </c>
      <c r="CH120" s="52" t="n">
        <v>0.32</v>
      </c>
      <c r="CI120" s="52" t="n">
        <v>-0.3</v>
      </c>
      <c r="CJ120" s="52" t="n">
        <v>0.09</v>
      </c>
      <c r="CK120" s="52" t="n">
        <v>0.29</v>
      </c>
      <c r="CL120" s="52" t="n">
        <v>0.41</v>
      </c>
      <c r="CM120" s="52" t="n">
        <v>0.26</v>
      </c>
      <c r="CN120" s="52" t="n">
        <v>0.13</v>
      </c>
      <c r="CO120" s="52" t="n">
        <v>0.1</v>
      </c>
      <c r="CP120" s="52" t="n">
        <v>0.12</v>
      </c>
      <c r="CQ120" s="52" t="n">
        <v>0.7</v>
      </c>
      <c r="CR120" s="52" t="n">
        <v>0.41</v>
      </c>
      <c r="CS120" s="52" t="n">
        <v>0.42</v>
      </c>
      <c r="CT120" s="52" t="n">
        <v>0.35</v>
      </c>
      <c r="CU120" s="52" t="n">
        <v>0.16</v>
      </c>
      <c r="CV120" s="52" t="n">
        <v>0.31</v>
      </c>
      <c r="CW120" s="52" t="n">
        <v>0.31</v>
      </c>
      <c r="CX120" s="52" t="n">
        <v>0.39</v>
      </c>
      <c r="CY120" s="52" t="n">
        <v>0.7</v>
      </c>
      <c r="CZ120" s="52" t="n">
        <v>0.18</v>
      </c>
      <c r="DA120" s="52" t="n">
        <v>0.22</v>
      </c>
      <c r="DB120" s="52" t="n">
        <v>0.27</v>
      </c>
      <c r="DC120" s="52" t="n">
        <v>0.51</v>
      </c>
      <c r="DD120" s="52" t="n">
        <v>0.39</v>
      </c>
      <c r="DE120" s="52" t="n">
        <v>0.39</v>
      </c>
      <c r="DF120" s="52" t="n">
        <v>0.08</v>
      </c>
      <c r="DG120" s="52" t="n">
        <v>0.31</v>
      </c>
      <c r="DH120" s="52" t="n">
        <v>0.22</v>
      </c>
      <c r="DI120" s="52" t="n">
        <v>0.65</v>
      </c>
      <c r="DJ120" s="52" t="n">
        <v>0.8</v>
      </c>
      <c r="DK120" s="52" t="n">
        <v>0.69</v>
      </c>
      <c r="DL120" s="52" t="n">
        <v>0.19</v>
      </c>
      <c r="DM120" s="52" t="n">
        <v>1</v>
      </c>
      <c r="DN120" s="52" t="n">
        <v>0.28</v>
      </c>
      <c r="DO120" s="52" t="n">
        <v>0.31</v>
      </c>
      <c r="DP120" s="52" t="n">
        <v>0.82</v>
      </c>
      <c r="DQ120" s="52" t="n">
        <v>0.25</v>
      </c>
      <c r="DR120" s="52" t="n">
        <v>0.17</v>
      </c>
      <c r="DS120" s="52" t="n">
        <v>0.18</v>
      </c>
      <c r="DT120" s="52" t="n">
        <v>0.17</v>
      </c>
      <c r="DU120" s="52" t="n">
        <v>0.34</v>
      </c>
      <c r="DV120" s="52" t="n">
        <v>0.16</v>
      </c>
      <c r="DW120" s="52" t="n">
        <v>0.35</v>
      </c>
      <c r="DX120" s="52" t="n">
        <v>0.33</v>
      </c>
      <c r="DY120" s="52" t="n">
        <v>0.41</v>
      </c>
      <c r="DZ120" s="52" t="n">
        <v>0.1</v>
      </c>
      <c r="EA120" s="52" t="n">
        <v>0.25</v>
      </c>
      <c r="EB120" s="52" t="n">
        <v>0.4</v>
      </c>
      <c r="EC120" s="52" t="n">
        <v>0.07</v>
      </c>
      <c r="ED120" s="52" t="n">
        <v>0.28</v>
      </c>
      <c r="EE120" s="52" t="n">
        <v>0.28</v>
      </c>
      <c r="EF120" s="52" t="n">
        <v>0.27</v>
      </c>
      <c r="EG120" s="52" t="n">
        <v>0.23</v>
      </c>
      <c r="EH120" s="52" t="n">
        <v>0.15</v>
      </c>
      <c r="EI120" s="52" t="n">
        <v>0.22</v>
      </c>
      <c r="EJ120" s="52" t="n">
        <v>0.32</v>
      </c>
      <c r="EK120" s="52" t="n">
        <v>0.2</v>
      </c>
      <c r="EL120" s="52" t="n">
        <v>0.28</v>
      </c>
      <c r="EM120" s="52" t="n">
        <v>0.13</v>
      </c>
      <c r="EN120" s="52" t="n">
        <v>0.15</v>
      </c>
      <c r="EO120" s="52" t="n">
        <v>0.19</v>
      </c>
    </row>
    <row r="121" customFormat="false" ht="15" hidden="false" customHeight="false" outlineLevel="0" collapsed="false">
      <c r="A121" s="51" t="s">
        <v>261</v>
      </c>
      <c r="B121" s="52" t="n">
        <v>0.19</v>
      </c>
      <c r="C121" s="52" t="n">
        <v>0.09</v>
      </c>
      <c r="D121" s="52" t="n">
        <v>-0.06</v>
      </c>
      <c r="E121" s="52" t="n">
        <v>-0.02</v>
      </c>
      <c r="F121" s="52" t="n">
        <v>0.16</v>
      </c>
      <c r="G121" s="52" t="n">
        <v>0.03</v>
      </c>
      <c r="H121" s="52" t="n">
        <v>0.09</v>
      </c>
      <c r="I121" s="52" t="n">
        <v>0.25</v>
      </c>
      <c r="J121" s="52" t="n">
        <v>0.07</v>
      </c>
      <c r="K121" s="52" t="n">
        <v>0.19</v>
      </c>
      <c r="L121" s="52" t="n">
        <v>0.21</v>
      </c>
      <c r="M121" s="52" t="n">
        <v>0.32</v>
      </c>
      <c r="N121" s="52" t="n">
        <v>0.18</v>
      </c>
      <c r="O121" s="52" t="n">
        <v>0.05</v>
      </c>
      <c r="P121" s="52" t="n">
        <v>0.16</v>
      </c>
      <c r="Q121" s="52" t="n">
        <v>-0.11</v>
      </c>
      <c r="R121" s="52" t="n">
        <v>0.16</v>
      </c>
      <c r="S121" s="52" t="n">
        <v>-0.01</v>
      </c>
      <c r="T121" s="52" t="n">
        <v>0.22</v>
      </c>
      <c r="U121" s="52" t="n">
        <v>0.06</v>
      </c>
      <c r="V121" s="52" t="n">
        <v>0.16</v>
      </c>
      <c r="W121" s="52" t="n">
        <v>0.04</v>
      </c>
      <c r="X121" s="52" t="n">
        <v>0.24</v>
      </c>
      <c r="Y121" s="52" t="n">
        <v>0.3</v>
      </c>
      <c r="Z121" s="52" t="n">
        <v>0.08</v>
      </c>
      <c r="AA121" s="52" t="n">
        <v>0.09</v>
      </c>
      <c r="AB121" s="52" t="n">
        <v>0.31</v>
      </c>
      <c r="AC121" s="52" t="n">
        <v>-0.01</v>
      </c>
      <c r="AD121" s="52" t="n">
        <v>-0.11</v>
      </c>
      <c r="AE121" s="52" t="n">
        <v>-0.07</v>
      </c>
      <c r="AF121" s="52" t="n">
        <v>-0.01</v>
      </c>
      <c r="AG121" s="52" t="n">
        <v>0.05</v>
      </c>
      <c r="AH121" s="52" t="n">
        <v>0.02</v>
      </c>
      <c r="AI121" s="52" t="n">
        <v>-0.03</v>
      </c>
      <c r="AJ121" s="52" t="n">
        <v>0.02</v>
      </c>
      <c r="AK121" s="52" t="n">
        <v>0.03</v>
      </c>
      <c r="AL121" s="52" t="n">
        <v>0.23</v>
      </c>
      <c r="AM121" s="52" t="n">
        <v>0.1</v>
      </c>
      <c r="AN121" s="52" t="n">
        <v>0.3</v>
      </c>
      <c r="AO121" s="52" t="n">
        <v>0.11</v>
      </c>
      <c r="AP121" s="52" t="n">
        <v>0.36</v>
      </c>
      <c r="AQ121" s="52" t="n">
        <v>-0.06</v>
      </c>
      <c r="AR121" s="52" t="n">
        <v>0.2</v>
      </c>
      <c r="AS121" s="52" t="n">
        <v>0.09</v>
      </c>
      <c r="AT121" s="52" t="n">
        <v>0.31</v>
      </c>
      <c r="AU121" s="52" t="n">
        <v>0.13</v>
      </c>
      <c r="AV121" s="52" t="n">
        <v>0.02</v>
      </c>
      <c r="AW121" s="52" t="n">
        <v>0.06</v>
      </c>
      <c r="AX121" s="52" t="n">
        <v>0.17</v>
      </c>
      <c r="AY121" s="52" t="n">
        <v>0.34</v>
      </c>
      <c r="AZ121" s="52" t="n">
        <v>0.08</v>
      </c>
      <c r="BA121" s="52" t="n">
        <v>0.23</v>
      </c>
      <c r="BB121" s="52" t="n">
        <v>0.26</v>
      </c>
      <c r="BC121" s="52" t="n">
        <v>0.06</v>
      </c>
      <c r="BD121" s="52" t="n">
        <v>0.05</v>
      </c>
      <c r="BE121" s="52" t="n">
        <v>0.12</v>
      </c>
      <c r="BF121" s="52" t="n">
        <v>0.03</v>
      </c>
      <c r="BG121" s="52" t="n">
        <v>0.27</v>
      </c>
      <c r="BH121" s="52" t="n">
        <v>0.08</v>
      </c>
      <c r="BI121" s="52" t="n">
        <v>0.19</v>
      </c>
      <c r="BJ121" s="52" t="n">
        <v>-0.1</v>
      </c>
      <c r="BK121" s="52" t="n">
        <v>-0.08</v>
      </c>
      <c r="BL121" s="52" t="n">
        <v>0.22</v>
      </c>
      <c r="BM121" s="52" t="n">
        <v>0.32</v>
      </c>
      <c r="BN121" s="52" t="n">
        <v>0.17</v>
      </c>
      <c r="BO121" s="52" t="n">
        <v>0.21</v>
      </c>
      <c r="BP121" s="52" t="n">
        <v>0.24</v>
      </c>
      <c r="BQ121" s="52" t="n">
        <v>0.06</v>
      </c>
      <c r="BR121" s="52" t="n">
        <v>0.28</v>
      </c>
      <c r="BS121" s="52" t="n">
        <v>-0.04</v>
      </c>
      <c r="BT121" s="52" t="n">
        <v>0.16</v>
      </c>
      <c r="BU121" s="52" t="n">
        <v>0.05</v>
      </c>
      <c r="BV121" s="52" t="n">
        <v>0.23</v>
      </c>
      <c r="BW121" s="52" t="n">
        <v>0.21</v>
      </c>
      <c r="BX121" s="52" t="n">
        <v>0.02</v>
      </c>
      <c r="BY121" s="52" t="n">
        <v>0.2</v>
      </c>
      <c r="BZ121" s="52" t="n">
        <v>0.29</v>
      </c>
      <c r="CA121" s="52" t="n">
        <v>0.07</v>
      </c>
      <c r="CB121" s="52" t="n">
        <v>0.06</v>
      </c>
      <c r="CC121" s="52" t="n">
        <v>0.17</v>
      </c>
      <c r="CD121" s="52" t="n">
        <v>0.33</v>
      </c>
      <c r="CE121" s="52" t="n">
        <v>0.13</v>
      </c>
      <c r="CF121" s="52" t="n">
        <v>-0.02</v>
      </c>
      <c r="CG121" s="52" t="n">
        <v>0.41</v>
      </c>
      <c r="CH121" s="52" t="n">
        <v>0.06</v>
      </c>
      <c r="CI121" s="52" t="n">
        <v>0.04</v>
      </c>
      <c r="CJ121" s="52" t="n">
        <v>0.16</v>
      </c>
      <c r="CK121" s="52" t="n">
        <v>0.25</v>
      </c>
      <c r="CL121" s="52" t="n">
        <v>0.19</v>
      </c>
      <c r="CM121" s="52" t="n">
        <v>0.17</v>
      </c>
      <c r="CN121" s="52" t="n">
        <v>0</v>
      </c>
      <c r="CO121" s="52" t="n">
        <v>0.11</v>
      </c>
      <c r="CP121" s="52" t="n">
        <v>0.2</v>
      </c>
      <c r="CQ121" s="52" t="n">
        <v>0.29</v>
      </c>
      <c r="CR121" s="52" t="n">
        <v>0.13</v>
      </c>
      <c r="CS121" s="52" t="n">
        <v>-0.02</v>
      </c>
      <c r="CT121" s="52" t="n">
        <v>0.27</v>
      </c>
      <c r="CU121" s="52" t="n">
        <v>0.08</v>
      </c>
      <c r="CV121" s="52" t="n">
        <v>0.17</v>
      </c>
      <c r="CW121" s="52" t="n">
        <v>0.25</v>
      </c>
      <c r="CX121" s="52" t="n">
        <v>0.14</v>
      </c>
      <c r="CY121" s="52" t="n">
        <v>0.22</v>
      </c>
      <c r="CZ121" s="52" t="n">
        <v>0.25</v>
      </c>
      <c r="DA121" s="52" t="n">
        <v>0.35</v>
      </c>
      <c r="DB121" s="52" t="n">
        <v>0.1</v>
      </c>
      <c r="DC121" s="52" t="n">
        <v>0.15</v>
      </c>
      <c r="DD121" s="52" t="n">
        <v>0.36</v>
      </c>
      <c r="DE121" s="52" t="n">
        <v>0.08</v>
      </c>
      <c r="DF121" s="52" t="n">
        <v>0.33</v>
      </c>
      <c r="DG121" s="52" t="n">
        <v>0.1</v>
      </c>
      <c r="DH121" s="52" t="n">
        <v>0.15</v>
      </c>
      <c r="DI121" s="52" t="n">
        <v>0.27</v>
      </c>
      <c r="DJ121" s="52" t="n">
        <v>0.29</v>
      </c>
      <c r="DK121" s="52" t="n">
        <v>0.3</v>
      </c>
      <c r="DL121" s="52" t="n">
        <v>0</v>
      </c>
      <c r="DM121" s="52" t="n">
        <v>0.28</v>
      </c>
      <c r="DN121" s="52" t="n">
        <v>1</v>
      </c>
      <c r="DO121" s="52" t="n">
        <v>0.13</v>
      </c>
      <c r="DP121" s="52" t="n">
        <v>0.32</v>
      </c>
      <c r="DQ121" s="52" t="n">
        <v>0.1</v>
      </c>
      <c r="DR121" s="52" t="n">
        <v>0.09</v>
      </c>
      <c r="DS121" s="52" t="n">
        <v>0.29</v>
      </c>
      <c r="DT121" s="52" t="n">
        <v>0.21</v>
      </c>
      <c r="DU121" s="52" t="n">
        <v>0.25</v>
      </c>
      <c r="DV121" s="52" t="n">
        <v>0.28</v>
      </c>
      <c r="DW121" s="52" t="n">
        <v>0.34</v>
      </c>
      <c r="DX121" s="52" t="n">
        <v>0.06</v>
      </c>
      <c r="DY121" s="52" t="n">
        <v>0.39</v>
      </c>
      <c r="DZ121" s="52" t="n">
        <v>0.24</v>
      </c>
      <c r="EA121" s="52" t="n">
        <v>0.19</v>
      </c>
      <c r="EB121" s="52" t="n">
        <v>0.37</v>
      </c>
      <c r="EC121" s="52" t="n">
        <v>-0.06</v>
      </c>
      <c r="ED121" s="52" t="n">
        <v>0.21</v>
      </c>
      <c r="EE121" s="52" t="n">
        <v>0.11</v>
      </c>
      <c r="EF121" s="52" t="n">
        <v>0.18</v>
      </c>
      <c r="EG121" s="52" t="n">
        <v>0.13</v>
      </c>
      <c r="EH121" s="52" t="n">
        <v>0.25</v>
      </c>
      <c r="EI121" s="52" t="n">
        <v>0.08</v>
      </c>
      <c r="EJ121" s="52" t="n">
        <v>0.13</v>
      </c>
      <c r="EK121" s="52" t="n">
        <v>0.18</v>
      </c>
      <c r="EL121" s="52" t="n">
        <v>0.09</v>
      </c>
      <c r="EM121" s="52" t="n">
        <v>0.14</v>
      </c>
      <c r="EN121" s="52" t="n">
        <v>0.12</v>
      </c>
      <c r="EO121" s="52" t="n">
        <v>0.17</v>
      </c>
    </row>
    <row r="122" customFormat="false" ht="15" hidden="false" customHeight="false" outlineLevel="0" collapsed="false">
      <c r="A122" s="51" t="s">
        <v>262</v>
      </c>
      <c r="B122" s="52" t="n">
        <v>0.06</v>
      </c>
      <c r="C122" s="52" t="n">
        <v>0.15</v>
      </c>
      <c r="D122" s="52" t="n">
        <v>0.07</v>
      </c>
      <c r="E122" s="52" t="n">
        <v>0.14</v>
      </c>
      <c r="F122" s="52" t="n">
        <v>-0.12</v>
      </c>
      <c r="G122" s="52" t="n">
        <v>-0.04</v>
      </c>
      <c r="H122" s="52" t="n">
        <v>0.13</v>
      </c>
      <c r="I122" s="52" t="n">
        <v>0.03</v>
      </c>
      <c r="J122" s="52" t="n">
        <v>-0.07</v>
      </c>
      <c r="K122" s="52" t="n">
        <v>0.01</v>
      </c>
      <c r="L122" s="52" t="n">
        <v>0.15</v>
      </c>
      <c r="M122" s="52" t="n">
        <v>0.26</v>
      </c>
      <c r="N122" s="52" t="n">
        <v>0.2</v>
      </c>
      <c r="O122" s="52" t="n">
        <v>0.12</v>
      </c>
      <c r="P122" s="52" t="n">
        <v>-0.04</v>
      </c>
      <c r="Q122" s="52" t="n">
        <v>0.09</v>
      </c>
      <c r="R122" s="52" t="n">
        <v>0.03</v>
      </c>
      <c r="S122" s="52" t="n">
        <v>0.09</v>
      </c>
      <c r="T122" s="52" t="n">
        <v>0.24</v>
      </c>
      <c r="U122" s="52" t="n">
        <v>0.1</v>
      </c>
      <c r="V122" s="52" t="n">
        <v>0.08</v>
      </c>
      <c r="W122" s="52" t="n">
        <v>0.09</v>
      </c>
      <c r="X122" s="52" t="n">
        <v>0.26</v>
      </c>
      <c r="Y122" s="52" t="n">
        <v>0.06</v>
      </c>
      <c r="Z122" s="52" t="n">
        <v>-0.03</v>
      </c>
      <c r="AA122" s="52" t="n">
        <v>0.12</v>
      </c>
      <c r="AB122" s="52" t="n">
        <v>-0.02</v>
      </c>
      <c r="AC122" s="52" t="n">
        <v>0.14</v>
      </c>
      <c r="AD122" s="52" t="n">
        <v>0.11</v>
      </c>
      <c r="AE122" s="52" t="n">
        <v>0.14</v>
      </c>
      <c r="AF122" s="52" t="n">
        <v>0.17</v>
      </c>
      <c r="AG122" s="52" t="n">
        <v>-0.01</v>
      </c>
      <c r="AH122" s="52" t="n">
        <v>0.02</v>
      </c>
      <c r="AI122" s="52" t="n">
        <v>-0.02</v>
      </c>
      <c r="AJ122" s="52" t="n">
        <v>0.13</v>
      </c>
      <c r="AK122" s="52" t="n">
        <v>0.13</v>
      </c>
      <c r="AL122" s="52" t="n">
        <v>0.26</v>
      </c>
      <c r="AM122" s="52" t="n">
        <v>0.16</v>
      </c>
      <c r="AN122" s="52" t="n">
        <v>0.14</v>
      </c>
      <c r="AO122" s="52" t="n">
        <v>-0.01</v>
      </c>
      <c r="AP122" s="52" t="n">
        <v>0.16</v>
      </c>
      <c r="AQ122" s="52" t="n">
        <v>-0.06</v>
      </c>
      <c r="AR122" s="52" t="n">
        <v>0.2</v>
      </c>
      <c r="AS122" s="52" t="n">
        <v>0.09</v>
      </c>
      <c r="AT122" s="52" t="n">
        <v>0.25</v>
      </c>
      <c r="AU122" s="52" t="n">
        <v>-0.05</v>
      </c>
      <c r="AV122" s="52" t="n">
        <v>0.15</v>
      </c>
      <c r="AW122" s="52" t="n">
        <v>0.18</v>
      </c>
      <c r="AX122" s="52" t="n">
        <v>0.08</v>
      </c>
      <c r="AY122" s="52" t="n">
        <v>0.12</v>
      </c>
      <c r="AZ122" s="52" t="n">
        <v>0.23</v>
      </c>
      <c r="BA122" s="52" t="n">
        <v>0.27</v>
      </c>
      <c r="BB122" s="52" t="n">
        <v>0.33</v>
      </c>
      <c r="BC122" s="52" t="n">
        <v>0.07</v>
      </c>
      <c r="BD122" s="52" t="n">
        <v>0.1</v>
      </c>
      <c r="BE122" s="52" t="n">
        <v>0.05</v>
      </c>
      <c r="BF122" s="52" t="n">
        <v>0.15</v>
      </c>
      <c r="BG122" s="52" t="n">
        <v>0.13</v>
      </c>
      <c r="BH122" s="52" t="n">
        <v>0.08</v>
      </c>
      <c r="BI122" s="52" t="n">
        <v>0.13</v>
      </c>
      <c r="BJ122" s="52" t="n">
        <v>0.05</v>
      </c>
      <c r="BK122" s="52" t="n">
        <v>0.18</v>
      </c>
      <c r="BL122" s="52" t="n">
        <v>0.35</v>
      </c>
      <c r="BM122" s="52" t="n">
        <v>0.1</v>
      </c>
      <c r="BN122" s="52" t="n">
        <v>0.06</v>
      </c>
      <c r="BO122" s="52" t="n">
        <v>0.29</v>
      </c>
      <c r="BP122" s="52" t="n">
        <v>0.09</v>
      </c>
      <c r="BQ122" s="52" t="n">
        <v>0.21</v>
      </c>
      <c r="BR122" s="52" t="n">
        <v>0.18</v>
      </c>
      <c r="BS122" s="52" t="n">
        <v>0.03</v>
      </c>
      <c r="BT122" s="52" t="n">
        <v>0.25</v>
      </c>
      <c r="BU122" s="52" t="n">
        <v>0.01</v>
      </c>
      <c r="BV122" s="52" t="n">
        <v>0.24</v>
      </c>
      <c r="BW122" s="52" t="n">
        <v>0.12</v>
      </c>
      <c r="BX122" s="52" t="n">
        <v>0.11</v>
      </c>
      <c r="BY122" s="52" t="n">
        <v>0.24</v>
      </c>
      <c r="BZ122" s="52" t="n">
        <v>0.28</v>
      </c>
      <c r="CA122" s="52" t="n">
        <v>0.18</v>
      </c>
      <c r="CB122" s="52" t="n">
        <v>-0.04</v>
      </c>
      <c r="CC122" s="52" t="n">
        <v>0.06</v>
      </c>
      <c r="CD122" s="52" t="n">
        <v>0.1</v>
      </c>
      <c r="CE122" s="52" t="n">
        <v>0.29</v>
      </c>
      <c r="CF122" s="52" t="n">
        <v>0</v>
      </c>
      <c r="CG122" s="52" t="n">
        <v>0.21</v>
      </c>
      <c r="CH122" s="52" t="n">
        <v>0.27</v>
      </c>
      <c r="CI122" s="52" t="n">
        <v>0.01</v>
      </c>
      <c r="CJ122" s="52" t="n">
        <v>0.01</v>
      </c>
      <c r="CK122" s="52" t="n">
        <v>0.17</v>
      </c>
      <c r="CL122" s="52" t="n">
        <v>0.28</v>
      </c>
      <c r="CM122" s="52" t="n">
        <v>0.22</v>
      </c>
      <c r="CN122" s="52" t="n">
        <v>0.02</v>
      </c>
      <c r="CO122" s="52" t="n">
        <v>0.14</v>
      </c>
      <c r="CP122" s="52" t="n">
        <v>0.14</v>
      </c>
      <c r="CQ122" s="52" t="n">
        <v>0.33</v>
      </c>
      <c r="CR122" s="52" t="n">
        <v>0.32</v>
      </c>
      <c r="CS122" s="52" t="n">
        <v>0.44</v>
      </c>
      <c r="CT122" s="52" t="n">
        <v>0.27</v>
      </c>
      <c r="CU122" s="52" t="n">
        <v>0.16</v>
      </c>
      <c r="CV122" s="52" t="n">
        <v>0.2</v>
      </c>
      <c r="CW122" s="52" t="n">
        <v>0.08</v>
      </c>
      <c r="CX122" s="52" t="n">
        <v>0.18</v>
      </c>
      <c r="CY122" s="52" t="n">
        <v>0.27</v>
      </c>
      <c r="CZ122" s="52" t="n">
        <v>0.19</v>
      </c>
      <c r="DA122" s="52" t="n">
        <v>0.14</v>
      </c>
      <c r="DB122" s="52" t="n">
        <v>0.45</v>
      </c>
      <c r="DC122" s="52" t="n">
        <v>0.28</v>
      </c>
      <c r="DD122" s="52" t="n">
        <v>0.26</v>
      </c>
      <c r="DE122" s="52" t="n">
        <v>0.34</v>
      </c>
      <c r="DF122" s="52" t="n">
        <v>0.08</v>
      </c>
      <c r="DG122" s="52" t="n">
        <v>0.35</v>
      </c>
      <c r="DH122" s="52" t="n">
        <v>0.35</v>
      </c>
      <c r="DI122" s="52" t="n">
        <v>0.32</v>
      </c>
      <c r="DJ122" s="52" t="n">
        <v>0.27</v>
      </c>
      <c r="DK122" s="52" t="n">
        <v>0.33</v>
      </c>
      <c r="DL122" s="52" t="n">
        <v>0.15</v>
      </c>
      <c r="DM122" s="52" t="n">
        <v>0.31</v>
      </c>
      <c r="DN122" s="52" t="n">
        <v>0.13</v>
      </c>
      <c r="DO122" s="52" t="n">
        <v>1</v>
      </c>
      <c r="DP122" s="52" t="n">
        <v>0.28</v>
      </c>
      <c r="DQ122" s="52" t="n">
        <v>0.46</v>
      </c>
      <c r="DR122" s="52" t="n">
        <v>0.3</v>
      </c>
      <c r="DS122" s="52" t="n">
        <v>0.08</v>
      </c>
      <c r="DT122" s="52" t="n">
        <v>0.26</v>
      </c>
      <c r="DU122" s="52" t="n">
        <v>0.27</v>
      </c>
      <c r="DV122" s="52" t="n">
        <v>0.2</v>
      </c>
      <c r="DW122" s="52" t="n">
        <v>0.11</v>
      </c>
      <c r="DX122" s="52" t="n">
        <v>0.38</v>
      </c>
      <c r="DY122" s="52" t="n">
        <v>0.25</v>
      </c>
      <c r="DZ122" s="52" t="n">
        <v>0.17</v>
      </c>
      <c r="EA122" s="52" t="n">
        <v>0.17</v>
      </c>
      <c r="EB122" s="52" t="n">
        <v>0.26</v>
      </c>
      <c r="EC122" s="52" t="n">
        <v>0.04</v>
      </c>
      <c r="ED122" s="52" t="n">
        <v>0.32</v>
      </c>
      <c r="EE122" s="52" t="n">
        <v>0.52</v>
      </c>
      <c r="EF122" s="52" t="n">
        <v>0.28</v>
      </c>
      <c r="EG122" s="52" t="n">
        <v>0.49</v>
      </c>
      <c r="EH122" s="52" t="n">
        <v>-0.01</v>
      </c>
      <c r="EI122" s="52" t="n">
        <v>0.39</v>
      </c>
      <c r="EJ122" s="52" t="n">
        <v>0.22</v>
      </c>
      <c r="EK122" s="52" t="n">
        <v>0.32</v>
      </c>
      <c r="EL122" s="52" t="n">
        <v>0.32</v>
      </c>
      <c r="EM122" s="52" t="n">
        <v>0.11</v>
      </c>
      <c r="EN122" s="52" t="n">
        <v>0.13</v>
      </c>
      <c r="EO122" s="52" t="n">
        <v>0.1</v>
      </c>
    </row>
    <row r="123" customFormat="false" ht="15" hidden="false" customHeight="false" outlineLevel="0" collapsed="false">
      <c r="A123" s="51" t="s">
        <v>263</v>
      </c>
      <c r="B123" s="52" t="n">
        <v>0.25</v>
      </c>
      <c r="C123" s="52" t="n">
        <v>-0.02</v>
      </c>
      <c r="D123" s="52" t="n">
        <v>0.02</v>
      </c>
      <c r="E123" s="52" t="n">
        <v>0.05</v>
      </c>
      <c r="F123" s="52" t="n">
        <v>0.13</v>
      </c>
      <c r="G123" s="52" t="n">
        <v>0.01</v>
      </c>
      <c r="H123" s="52" t="n">
        <v>0.11</v>
      </c>
      <c r="I123" s="52" t="n">
        <v>0.24</v>
      </c>
      <c r="J123" s="52" t="n">
        <v>0.15</v>
      </c>
      <c r="K123" s="52" t="n">
        <v>0.29</v>
      </c>
      <c r="L123" s="52" t="n">
        <v>0.1</v>
      </c>
      <c r="M123" s="52" t="n">
        <v>0.39</v>
      </c>
      <c r="N123" s="52" t="n">
        <v>0.3</v>
      </c>
      <c r="O123" s="52" t="n">
        <v>0.1</v>
      </c>
      <c r="P123" s="52" t="n">
        <v>0.04</v>
      </c>
      <c r="Q123" s="52" t="n">
        <v>-0.02</v>
      </c>
      <c r="R123" s="52" t="n">
        <v>0.12</v>
      </c>
      <c r="S123" s="52" t="n">
        <v>0.05</v>
      </c>
      <c r="T123" s="52" t="n">
        <v>0.37</v>
      </c>
      <c r="U123" s="52" t="n">
        <v>0.13</v>
      </c>
      <c r="V123" s="52" t="n">
        <v>0.09</v>
      </c>
      <c r="W123" s="52" t="n">
        <v>-0.03</v>
      </c>
      <c r="X123" s="52" t="n">
        <v>0.37</v>
      </c>
      <c r="Y123" s="52" t="n">
        <v>0.34</v>
      </c>
      <c r="Z123" s="52" t="n">
        <v>0.15</v>
      </c>
      <c r="AA123" s="52" t="n">
        <v>0.11</v>
      </c>
      <c r="AB123" s="52" t="n">
        <v>0.29</v>
      </c>
      <c r="AC123" s="52" t="n">
        <v>0.05</v>
      </c>
      <c r="AD123" s="52" t="n">
        <v>0.05</v>
      </c>
      <c r="AE123" s="52" t="n">
        <v>0.22</v>
      </c>
      <c r="AF123" s="52" t="n">
        <v>0.01</v>
      </c>
      <c r="AG123" s="52" t="n">
        <v>0.02</v>
      </c>
      <c r="AH123" s="52" t="n">
        <v>0.02</v>
      </c>
      <c r="AI123" s="52" t="n">
        <v>-0.26</v>
      </c>
      <c r="AJ123" s="52" t="n">
        <v>0.08</v>
      </c>
      <c r="AK123" s="52" t="n">
        <v>0.16</v>
      </c>
      <c r="AL123" s="52" t="n">
        <v>0.28</v>
      </c>
      <c r="AM123" s="52" t="n">
        <v>0.18</v>
      </c>
      <c r="AN123" s="52" t="n">
        <v>0.44</v>
      </c>
      <c r="AO123" s="52" t="n">
        <v>0.13</v>
      </c>
      <c r="AP123" s="52" t="n">
        <v>0.33</v>
      </c>
      <c r="AQ123" s="52" t="n">
        <v>-0.29</v>
      </c>
      <c r="AR123" s="52" t="n">
        <v>0.3</v>
      </c>
      <c r="AS123" s="52" t="n">
        <v>0.15</v>
      </c>
      <c r="AT123" s="52" t="n">
        <v>0.41</v>
      </c>
      <c r="AU123" s="52" t="n">
        <v>0.11</v>
      </c>
      <c r="AV123" s="52" t="n">
        <v>0.03</v>
      </c>
      <c r="AW123" s="52" t="n">
        <v>0.1</v>
      </c>
      <c r="AX123" s="52" t="n">
        <v>0.25</v>
      </c>
      <c r="AY123" s="52" t="n">
        <v>0.33</v>
      </c>
      <c r="AZ123" s="52" t="n">
        <v>0.21</v>
      </c>
      <c r="BA123" s="52" t="n">
        <v>0.37</v>
      </c>
      <c r="BB123" s="52" t="n">
        <v>0.41</v>
      </c>
      <c r="BC123" s="52" t="n">
        <v>0.06</v>
      </c>
      <c r="BD123" s="52" t="n">
        <v>0.16</v>
      </c>
      <c r="BE123" s="52" t="n">
        <v>0.21</v>
      </c>
      <c r="BF123" s="52" t="n">
        <v>0.18</v>
      </c>
      <c r="BG123" s="52" t="n">
        <v>0.28</v>
      </c>
      <c r="BH123" s="52" t="n">
        <v>0.14</v>
      </c>
      <c r="BI123" s="52" t="n">
        <v>0.1</v>
      </c>
      <c r="BJ123" s="52" t="n">
        <v>-0.06</v>
      </c>
      <c r="BK123" s="52" t="n">
        <v>0.13</v>
      </c>
      <c r="BL123" s="52" t="n">
        <v>0.33</v>
      </c>
      <c r="BM123" s="52" t="n">
        <v>0.28</v>
      </c>
      <c r="BN123" s="52" t="n">
        <v>0.09</v>
      </c>
      <c r="BO123" s="52" t="n">
        <v>0.34</v>
      </c>
      <c r="BP123" s="52" t="n">
        <v>0.01</v>
      </c>
      <c r="BQ123" s="52" t="n">
        <v>0.24</v>
      </c>
      <c r="BR123" s="52" t="n">
        <v>0.37</v>
      </c>
      <c r="BS123" s="52" t="n">
        <v>-0.2</v>
      </c>
      <c r="BT123" s="52" t="n">
        <v>0.5</v>
      </c>
      <c r="BU123" s="52" t="n">
        <v>0.11</v>
      </c>
      <c r="BV123" s="52" t="n">
        <v>0.3</v>
      </c>
      <c r="BW123" s="52" t="n">
        <v>0.15</v>
      </c>
      <c r="BX123" s="52" t="n">
        <v>0.22</v>
      </c>
      <c r="BY123" s="52" t="n">
        <v>0.43</v>
      </c>
      <c r="BZ123" s="52" t="n">
        <v>0.34</v>
      </c>
      <c r="CA123" s="52" t="n">
        <v>0.12</v>
      </c>
      <c r="CB123" s="52" t="n">
        <v>-0.09</v>
      </c>
      <c r="CC123" s="52" t="n">
        <v>0.1</v>
      </c>
      <c r="CD123" s="52" t="n">
        <v>0.36</v>
      </c>
      <c r="CE123" s="52" t="n">
        <v>0.15</v>
      </c>
      <c r="CF123" s="52" t="n">
        <v>-0.24</v>
      </c>
      <c r="CG123" s="52" t="n">
        <v>0.43</v>
      </c>
      <c r="CH123" s="52" t="n">
        <v>0.25</v>
      </c>
      <c r="CI123" s="52" t="n">
        <v>-0.24</v>
      </c>
      <c r="CJ123" s="52" t="n">
        <v>0.11</v>
      </c>
      <c r="CK123" s="52" t="n">
        <v>0.27</v>
      </c>
      <c r="CL123" s="52" t="n">
        <v>0.39</v>
      </c>
      <c r="CM123" s="52" t="n">
        <v>0.22</v>
      </c>
      <c r="CN123" s="52" t="n">
        <v>0.1</v>
      </c>
      <c r="CO123" s="52" t="n">
        <v>0.06</v>
      </c>
      <c r="CP123" s="52" t="n">
        <v>0.15</v>
      </c>
      <c r="CQ123" s="52" t="n">
        <v>0.64</v>
      </c>
      <c r="CR123" s="52" t="n">
        <v>0.32</v>
      </c>
      <c r="CS123" s="52" t="n">
        <v>0.33</v>
      </c>
      <c r="CT123" s="52" t="n">
        <v>0.27</v>
      </c>
      <c r="CU123" s="52" t="n">
        <v>0.15</v>
      </c>
      <c r="CV123" s="52" t="n">
        <v>0.34</v>
      </c>
      <c r="CW123" s="52" t="n">
        <v>0.25</v>
      </c>
      <c r="CX123" s="52" t="n">
        <v>0.29</v>
      </c>
      <c r="CY123" s="52" t="n">
        <v>0.64</v>
      </c>
      <c r="CZ123" s="52" t="n">
        <v>0.15</v>
      </c>
      <c r="DA123" s="52" t="n">
        <v>0.24</v>
      </c>
      <c r="DB123" s="52" t="n">
        <v>0.25</v>
      </c>
      <c r="DC123" s="52" t="n">
        <v>0.42</v>
      </c>
      <c r="DD123" s="52" t="n">
        <v>0.37</v>
      </c>
      <c r="DE123" s="52" t="n">
        <v>0.3</v>
      </c>
      <c r="DF123" s="52" t="n">
        <v>0.12</v>
      </c>
      <c r="DG123" s="52" t="n">
        <v>0.24</v>
      </c>
      <c r="DH123" s="52" t="n">
        <v>0.2</v>
      </c>
      <c r="DI123" s="52" t="n">
        <v>0.6</v>
      </c>
      <c r="DJ123" s="52" t="n">
        <v>0.76</v>
      </c>
      <c r="DK123" s="52" t="n">
        <v>0.63</v>
      </c>
      <c r="DL123" s="52" t="n">
        <v>0.13</v>
      </c>
      <c r="DM123" s="52" t="n">
        <v>0.82</v>
      </c>
      <c r="DN123" s="52" t="n">
        <v>0.32</v>
      </c>
      <c r="DO123" s="52" t="n">
        <v>0.28</v>
      </c>
      <c r="DP123" s="52" t="n">
        <v>1</v>
      </c>
      <c r="DQ123" s="52" t="n">
        <v>0.17</v>
      </c>
      <c r="DR123" s="52" t="n">
        <v>0.13</v>
      </c>
      <c r="DS123" s="52" t="n">
        <v>0.25</v>
      </c>
      <c r="DT123" s="52" t="n">
        <v>0.15</v>
      </c>
      <c r="DU123" s="52" t="n">
        <v>0.26</v>
      </c>
      <c r="DV123" s="52" t="n">
        <v>0.16</v>
      </c>
      <c r="DW123" s="52" t="n">
        <v>0.39</v>
      </c>
      <c r="DX123" s="52" t="n">
        <v>0.21</v>
      </c>
      <c r="DY123" s="52" t="n">
        <v>0.37</v>
      </c>
      <c r="DZ123" s="52" t="n">
        <v>0.1</v>
      </c>
      <c r="EA123" s="52" t="n">
        <v>0.24</v>
      </c>
      <c r="EB123" s="52" t="n">
        <v>0.39</v>
      </c>
      <c r="EC123" s="52" t="n">
        <v>0.02</v>
      </c>
      <c r="ED123" s="52" t="n">
        <v>0.19</v>
      </c>
      <c r="EE123" s="52" t="n">
        <v>0.21</v>
      </c>
      <c r="EF123" s="52" t="n">
        <v>0.23</v>
      </c>
      <c r="EG123" s="52" t="n">
        <v>0.18</v>
      </c>
      <c r="EH123" s="52" t="n">
        <v>0.18</v>
      </c>
      <c r="EI123" s="52" t="n">
        <v>0.17</v>
      </c>
      <c r="EJ123" s="52" t="n">
        <v>0.29</v>
      </c>
      <c r="EK123" s="52" t="n">
        <v>0.15</v>
      </c>
      <c r="EL123" s="52" t="n">
        <v>0.24</v>
      </c>
      <c r="EM123" s="52" t="n">
        <v>0.15</v>
      </c>
      <c r="EN123" s="52" t="n">
        <v>0.14</v>
      </c>
      <c r="EO123" s="52" t="n">
        <v>0.17</v>
      </c>
    </row>
    <row r="124" customFormat="false" ht="15" hidden="false" customHeight="false" outlineLevel="0" collapsed="false">
      <c r="A124" s="51" t="s">
        <v>264</v>
      </c>
      <c r="B124" s="52" t="n">
        <v>0.01</v>
      </c>
      <c r="C124" s="52" t="n">
        <v>0.02</v>
      </c>
      <c r="D124" s="52" t="n">
        <v>-0.01</v>
      </c>
      <c r="E124" s="52" t="n">
        <v>0.08</v>
      </c>
      <c r="F124" s="52" t="n">
        <v>-0.11</v>
      </c>
      <c r="G124" s="52" t="n">
        <v>-0.18</v>
      </c>
      <c r="H124" s="52" t="n">
        <v>0.13</v>
      </c>
      <c r="I124" s="52" t="n">
        <v>-0.04</v>
      </c>
      <c r="J124" s="52" t="n">
        <v>-0.03</v>
      </c>
      <c r="K124" s="52" t="n">
        <v>-0.01</v>
      </c>
      <c r="L124" s="52" t="n">
        <v>0.11</v>
      </c>
      <c r="M124" s="52" t="n">
        <v>0.26</v>
      </c>
      <c r="N124" s="52" t="n">
        <v>0.06</v>
      </c>
      <c r="O124" s="52" t="n">
        <v>0.08</v>
      </c>
      <c r="P124" s="52" t="n">
        <v>-0.04</v>
      </c>
      <c r="Q124" s="52" t="n">
        <v>0.04</v>
      </c>
      <c r="R124" s="52" t="n">
        <v>0.03</v>
      </c>
      <c r="S124" s="52" t="n">
        <v>0.09</v>
      </c>
      <c r="T124" s="52" t="n">
        <v>0.13</v>
      </c>
      <c r="U124" s="52" t="n">
        <v>0.12</v>
      </c>
      <c r="V124" s="52" t="n">
        <v>0.06</v>
      </c>
      <c r="W124" s="52" t="n">
        <v>0.03</v>
      </c>
      <c r="X124" s="52" t="n">
        <v>0.19</v>
      </c>
      <c r="Y124" s="52" t="n">
        <v>-0.1</v>
      </c>
      <c r="Z124" s="52" t="n">
        <v>0.05</v>
      </c>
      <c r="AA124" s="52" t="n">
        <v>0.07</v>
      </c>
      <c r="AB124" s="52" t="n">
        <v>-0.13</v>
      </c>
      <c r="AC124" s="52" t="n">
        <v>0.08</v>
      </c>
      <c r="AD124" s="52" t="n">
        <v>0.13</v>
      </c>
      <c r="AE124" s="52" t="n">
        <v>0.11</v>
      </c>
      <c r="AF124" s="52" t="n">
        <v>0.09</v>
      </c>
      <c r="AG124" s="52" t="n">
        <v>0.01</v>
      </c>
      <c r="AH124" s="52" t="n">
        <v>0.03</v>
      </c>
      <c r="AI124" s="52" t="n">
        <v>-0.03</v>
      </c>
      <c r="AJ124" s="52" t="n">
        <v>0.15</v>
      </c>
      <c r="AK124" s="52" t="n">
        <v>0.14</v>
      </c>
      <c r="AL124" s="52" t="n">
        <v>0.18</v>
      </c>
      <c r="AM124" s="52" t="n">
        <v>0.25</v>
      </c>
      <c r="AN124" s="52" t="n">
        <v>0.2</v>
      </c>
      <c r="AO124" s="52" t="n">
        <v>-0.14</v>
      </c>
      <c r="AP124" s="52" t="n">
        <v>0.06</v>
      </c>
      <c r="AQ124" s="52" t="n">
        <v>-0.07</v>
      </c>
      <c r="AR124" s="52" t="n">
        <v>0.14</v>
      </c>
      <c r="AS124" s="52" t="n">
        <v>0.08</v>
      </c>
      <c r="AT124" s="52" t="n">
        <v>0.15</v>
      </c>
      <c r="AU124" s="52" t="n">
        <v>-0.01</v>
      </c>
      <c r="AV124" s="52" t="n">
        <v>-0.02</v>
      </c>
      <c r="AW124" s="52" t="n">
        <v>0.14</v>
      </c>
      <c r="AX124" s="52" t="n">
        <v>-0.01</v>
      </c>
      <c r="AY124" s="52" t="n">
        <v>0.04</v>
      </c>
      <c r="AZ124" s="52" t="n">
        <v>0.18</v>
      </c>
      <c r="BA124" s="52" t="n">
        <v>0.26</v>
      </c>
      <c r="BB124" s="52" t="n">
        <v>0.24</v>
      </c>
      <c r="BC124" s="52" t="n">
        <v>0.11</v>
      </c>
      <c r="BD124" s="52" t="n">
        <v>0.12</v>
      </c>
      <c r="BE124" s="52" t="n">
        <v>0.09</v>
      </c>
      <c r="BF124" s="52" t="n">
        <v>0.11</v>
      </c>
      <c r="BG124" s="52" t="n">
        <v>0.08</v>
      </c>
      <c r="BH124" s="52" t="n">
        <v>0.02</v>
      </c>
      <c r="BI124" s="52" t="n">
        <v>0.14</v>
      </c>
      <c r="BJ124" s="52" t="n">
        <v>0.01</v>
      </c>
      <c r="BK124" s="52" t="n">
        <v>0.1</v>
      </c>
      <c r="BL124" s="52" t="n">
        <v>0.27</v>
      </c>
      <c r="BM124" s="52" t="n">
        <v>0.09</v>
      </c>
      <c r="BN124" s="52" t="n">
        <v>0.14</v>
      </c>
      <c r="BO124" s="52" t="n">
        <v>0.28</v>
      </c>
      <c r="BP124" s="52" t="n">
        <v>0.16</v>
      </c>
      <c r="BQ124" s="52" t="n">
        <v>0.27</v>
      </c>
      <c r="BR124" s="52" t="n">
        <v>0.24</v>
      </c>
      <c r="BS124" s="52" t="n">
        <v>0.05</v>
      </c>
      <c r="BT124" s="52" t="n">
        <v>0.29</v>
      </c>
      <c r="BU124" s="52" t="n">
        <v>0.2</v>
      </c>
      <c r="BV124" s="52" t="n">
        <v>0.33</v>
      </c>
      <c r="BW124" s="52" t="n">
        <v>0.24</v>
      </c>
      <c r="BX124" s="52" t="n">
        <v>0.08</v>
      </c>
      <c r="BY124" s="52" t="n">
        <v>0.23</v>
      </c>
      <c r="BZ124" s="52" t="n">
        <v>0.35</v>
      </c>
      <c r="CA124" s="52" t="n">
        <v>0.08</v>
      </c>
      <c r="CB124" s="52" t="n">
        <v>0.02</v>
      </c>
      <c r="CC124" s="52" t="n">
        <v>0.01</v>
      </c>
      <c r="CD124" s="52" t="n">
        <v>0.1</v>
      </c>
      <c r="CE124" s="52" t="n">
        <v>0.24</v>
      </c>
      <c r="CF124" s="52" t="n">
        <v>0.02</v>
      </c>
      <c r="CG124" s="52" t="n">
        <v>0.07</v>
      </c>
      <c r="CH124" s="52" t="n">
        <v>0.17</v>
      </c>
      <c r="CI124" s="52" t="n">
        <v>0</v>
      </c>
      <c r="CJ124" s="52" t="n">
        <v>-0.02</v>
      </c>
      <c r="CK124" s="52" t="n">
        <v>0.11</v>
      </c>
      <c r="CL124" s="52" t="n">
        <v>0.27</v>
      </c>
      <c r="CM124" s="52" t="n">
        <v>0.24</v>
      </c>
      <c r="CN124" s="52" t="n">
        <v>0.01</v>
      </c>
      <c r="CO124" s="52" t="n">
        <v>0.15</v>
      </c>
      <c r="CP124" s="52" t="n">
        <v>0.01</v>
      </c>
      <c r="CQ124" s="52" t="n">
        <v>0.34</v>
      </c>
      <c r="CR124" s="52" t="n">
        <v>0.36</v>
      </c>
      <c r="CS124" s="52" t="n">
        <v>0.39</v>
      </c>
      <c r="CT124" s="52" t="n">
        <v>0.19</v>
      </c>
      <c r="CU124" s="52" t="n">
        <v>0.17</v>
      </c>
      <c r="CV124" s="52" t="n">
        <v>0.09</v>
      </c>
      <c r="CW124" s="52" t="n">
        <v>0.18</v>
      </c>
      <c r="CX124" s="52" t="n">
        <v>0.21</v>
      </c>
      <c r="CY124" s="52" t="n">
        <v>0.19</v>
      </c>
      <c r="CZ124" s="52" t="n">
        <v>0.16</v>
      </c>
      <c r="DA124" s="52" t="n">
        <v>0.09</v>
      </c>
      <c r="DB124" s="52" t="n">
        <v>0.36</v>
      </c>
      <c r="DC124" s="52" t="n">
        <v>0.28</v>
      </c>
      <c r="DD124" s="52" t="n">
        <v>0.17</v>
      </c>
      <c r="DE124" s="52" t="n">
        <v>0.33</v>
      </c>
      <c r="DF124" s="52" t="n">
        <v>-0.05</v>
      </c>
      <c r="DG124" s="52" t="n">
        <v>0.33</v>
      </c>
      <c r="DH124" s="52" t="n">
        <v>0.33</v>
      </c>
      <c r="DI124" s="52" t="n">
        <v>0.3</v>
      </c>
      <c r="DJ124" s="52" t="n">
        <v>0.15</v>
      </c>
      <c r="DK124" s="52" t="n">
        <v>0.36</v>
      </c>
      <c r="DL124" s="52" t="n">
        <v>0.13</v>
      </c>
      <c r="DM124" s="52" t="n">
        <v>0.25</v>
      </c>
      <c r="DN124" s="52" t="n">
        <v>0.1</v>
      </c>
      <c r="DO124" s="52" t="n">
        <v>0.46</v>
      </c>
      <c r="DP124" s="52" t="n">
        <v>0.17</v>
      </c>
      <c r="DQ124" s="52" t="n">
        <v>1</v>
      </c>
      <c r="DR124" s="52" t="n">
        <v>0.31</v>
      </c>
      <c r="DS124" s="52" t="n">
        <v>0.04</v>
      </c>
      <c r="DT124" s="52" t="n">
        <v>0.28</v>
      </c>
      <c r="DU124" s="52" t="n">
        <v>0.3</v>
      </c>
      <c r="DV124" s="52" t="n">
        <v>0.17</v>
      </c>
      <c r="DW124" s="52" t="n">
        <v>0.12</v>
      </c>
      <c r="DX124" s="52" t="n">
        <v>0.33</v>
      </c>
      <c r="DY124" s="52" t="n">
        <v>0.28</v>
      </c>
      <c r="DZ124" s="52" t="n">
        <v>0.17</v>
      </c>
      <c r="EA124" s="52" t="n">
        <v>0.08</v>
      </c>
      <c r="EB124" s="52" t="n">
        <v>0.26</v>
      </c>
      <c r="EC124" s="52" t="n">
        <v>0.06</v>
      </c>
      <c r="ED124" s="52" t="n">
        <v>0.24</v>
      </c>
      <c r="EE124" s="52" t="n">
        <v>0.38</v>
      </c>
      <c r="EF124" s="52" t="n">
        <v>0.26</v>
      </c>
      <c r="EG124" s="52" t="n">
        <v>0.25</v>
      </c>
      <c r="EH124" s="52" t="n">
        <v>0.08</v>
      </c>
      <c r="EI124" s="52" t="n">
        <v>0.36</v>
      </c>
      <c r="EJ124" s="52" t="n">
        <v>0.21</v>
      </c>
      <c r="EK124" s="52" t="n">
        <v>0.24</v>
      </c>
      <c r="EL124" s="52" t="n">
        <v>0.27</v>
      </c>
      <c r="EM124" s="52" t="n">
        <v>0.22</v>
      </c>
      <c r="EN124" s="52" t="n">
        <v>0.1</v>
      </c>
      <c r="EO124" s="52" t="n">
        <v>0.03</v>
      </c>
    </row>
    <row r="125" customFormat="false" ht="15" hidden="false" customHeight="false" outlineLevel="0" collapsed="false">
      <c r="A125" s="51" t="s">
        <v>265</v>
      </c>
      <c r="B125" s="52" t="n">
        <v>-0.06</v>
      </c>
      <c r="C125" s="52" t="n">
        <v>0.06</v>
      </c>
      <c r="D125" s="52" t="n">
        <v>-0.02</v>
      </c>
      <c r="E125" s="52" t="n">
        <v>0.12</v>
      </c>
      <c r="F125" s="52" t="n">
        <v>-0.09</v>
      </c>
      <c r="G125" s="52" t="n">
        <v>0.07</v>
      </c>
      <c r="H125" s="52" t="n">
        <v>0.03</v>
      </c>
      <c r="I125" s="52" t="n">
        <v>-0.05</v>
      </c>
      <c r="J125" s="52" t="n">
        <v>0</v>
      </c>
      <c r="K125" s="52" t="n">
        <v>-0.11</v>
      </c>
      <c r="L125" s="52" t="n">
        <v>0.04</v>
      </c>
      <c r="M125" s="52" t="n">
        <v>0.22</v>
      </c>
      <c r="N125" s="52" t="n">
        <v>0.14</v>
      </c>
      <c r="O125" s="52" t="n">
        <v>0.09</v>
      </c>
      <c r="P125" s="52" t="n">
        <v>-0.04</v>
      </c>
      <c r="Q125" s="52" t="n">
        <v>0.15</v>
      </c>
      <c r="R125" s="52" t="n">
        <v>-0.06</v>
      </c>
      <c r="S125" s="52" t="n">
        <v>-0.08</v>
      </c>
      <c r="T125" s="52" t="n">
        <v>0.22</v>
      </c>
      <c r="U125" s="52" t="n">
        <v>0.15</v>
      </c>
      <c r="V125" s="52" t="n">
        <v>0.05</v>
      </c>
      <c r="W125" s="52" t="n">
        <v>0.09</v>
      </c>
      <c r="X125" s="52" t="n">
        <v>0.25</v>
      </c>
      <c r="Y125" s="52" t="n">
        <v>-0.02</v>
      </c>
      <c r="Z125" s="52" t="n">
        <v>0.15</v>
      </c>
      <c r="AA125" s="52" t="n">
        <v>0.06</v>
      </c>
      <c r="AB125" s="52" t="n">
        <v>-0.02</v>
      </c>
      <c r="AC125" s="52" t="n">
        <v>0.06</v>
      </c>
      <c r="AD125" s="52" t="n">
        <v>0.07</v>
      </c>
      <c r="AE125" s="52" t="n">
        <v>0.04</v>
      </c>
      <c r="AF125" s="52" t="n">
        <v>0.2</v>
      </c>
      <c r="AG125" s="52" t="n">
        <v>-0.09</v>
      </c>
      <c r="AH125" s="52" t="n">
        <v>-0.06</v>
      </c>
      <c r="AI125" s="52" t="n">
        <v>0.08</v>
      </c>
      <c r="AJ125" s="52" t="n">
        <v>0.08</v>
      </c>
      <c r="AK125" s="52" t="n">
        <v>0.13</v>
      </c>
      <c r="AL125" s="52" t="n">
        <v>0.06</v>
      </c>
      <c r="AM125" s="52" t="n">
        <v>0.19</v>
      </c>
      <c r="AN125" s="52" t="n">
        <v>0.04</v>
      </c>
      <c r="AO125" s="52" t="n">
        <v>0.04</v>
      </c>
      <c r="AP125" s="52" t="n">
        <v>0.07</v>
      </c>
      <c r="AQ125" s="52" t="n">
        <v>0.06</v>
      </c>
      <c r="AR125" s="52" t="n">
        <v>0.22</v>
      </c>
      <c r="AS125" s="52" t="n">
        <v>0.1</v>
      </c>
      <c r="AT125" s="52" t="n">
        <v>0.13</v>
      </c>
      <c r="AU125" s="52" t="n">
        <v>-0.02</v>
      </c>
      <c r="AV125" s="52" t="n">
        <v>0.1</v>
      </c>
      <c r="AW125" s="52" t="n">
        <v>0.18</v>
      </c>
      <c r="AX125" s="52" t="n">
        <v>0.08</v>
      </c>
      <c r="AY125" s="52" t="n">
        <v>0.09</v>
      </c>
      <c r="AZ125" s="52" t="n">
        <v>0.06</v>
      </c>
      <c r="BA125" s="52" t="n">
        <v>0.13</v>
      </c>
      <c r="BB125" s="52" t="n">
        <v>0.28</v>
      </c>
      <c r="BC125" s="52" t="n">
        <v>-0.01</v>
      </c>
      <c r="BD125" s="52" t="n">
        <v>0.08</v>
      </c>
      <c r="BE125" s="52" t="n">
        <v>0.13</v>
      </c>
      <c r="BF125" s="52" t="n">
        <v>0.14</v>
      </c>
      <c r="BG125" s="52" t="n">
        <v>0.16</v>
      </c>
      <c r="BH125" s="52" t="n">
        <v>0.17</v>
      </c>
      <c r="BI125" s="52" t="n">
        <v>0.15</v>
      </c>
      <c r="BJ125" s="52" t="n">
        <v>0.01</v>
      </c>
      <c r="BK125" s="52" t="n">
        <v>0.08</v>
      </c>
      <c r="BL125" s="52" t="n">
        <v>0.44</v>
      </c>
      <c r="BM125" s="52" t="n">
        <v>0.07</v>
      </c>
      <c r="BN125" s="52" t="n">
        <v>0.01</v>
      </c>
      <c r="BO125" s="52" t="n">
        <v>0.1</v>
      </c>
      <c r="BP125" s="52" t="n">
        <v>0.09</v>
      </c>
      <c r="BQ125" s="52" t="n">
        <v>0.21</v>
      </c>
      <c r="BR125" s="52" t="n">
        <v>0.18</v>
      </c>
      <c r="BS125" s="52" t="n">
        <v>0.06</v>
      </c>
      <c r="BT125" s="52" t="n">
        <v>0.2</v>
      </c>
      <c r="BU125" s="52" t="n">
        <v>0.18</v>
      </c>
      <c r="BV125" s="52" t="n">
        <v>0.14</v>
      </c>
      <c r="BW125" s="52" t="n">
        <v>0.2</v>
      </c>
      <c r="BX125" s="52" t="n">
        <v>0.07</v>
      </c>
      <c r="BY125" s="52" t="n">
        <v>0.15</v>
      </c>
      <c r="BZ125" s="52" t="n">
        <v>0.23</v>
      </c>
      <c r="CA125" s="52" t="n">
        <v>0.03</v>
      </c>
      <c r="CB125" s="52" t="n">
        <v>-0.01</v>
      </c>
      <c r="CC125" s="52" t="n">
        <v>0.12</v>
      </c>
      <c r="CD125" s="52" t="n">
        <v>0.16</v>
      </c>
      <c r="CE125" s="52" t="n">
        <v>0.16</v>
      </c>
      <c r="CF125" s="52" t="n">
        <v>0.05</v>
      </c>
      <c r="CG125" s="52" t="n">
        <v>0.06</v>
      </c>
      <c r="CH125" s="52" t="n">
        <v>0.41</v>
      </c>
      <c r="CI125" s="52" t="n">
        <v>0.11</v>
      </c>
      <c r="CJ125" s="52" t="n">
        <v>0.1</v>
      </c>
      <c r="CK125" s="52" t="n">
        <v>-0.07</v>
      </c>
      <c r="CL125" s="52" t="n">
        <v>0.21</v>
      </c>
      <c r="CM125" s="52" t="n">
        <v>0.3</v>
      </c>
      <c r="CN125" s="52" t="n">
        <v>0.12</v>
      </c>
      <c r="CO125" s="52" t="n">
        <v>0.04</v>
      </c>
      <c r="CP125" s="52" t="n">
        <v>0.11</v>
      </c>
      <c r="CQ125" s="52" t="n">
        <v>0.24</v>
      </c>
      <c r="CR125" s="52" t="n">
        <v>0.36</v>
      </c>
      <c r="CS125" s="52" t="n">
        <v>0.36</v>
      </c>
      <c r="CT125" s="52" t="n">
        <v>0.18</v>
      </c>
      <c r="CU125" s="52" t="n">
        <v>0.25</v>
      </c>
      <c r="CV125" s="52" t="n">
        <v>0.09</v>
      </c>
      <c r="CW125" s="52" t="n">
        <v>0.18</v>
      </c>
      <c r="CX125" s="52" t="n">
        <v>0.26</v>
      </c>
      <c r="CY125" s="52" t="n">
        <v>0.12</v>
      </c>
      <c r="CZ125" s="52" t="n">
        <v>0.11</v>
      </c>
      <c r="DA125" s="52" t="n">
        <v>0.05</v>
      </c>
      <c r="DB125" s="52" t="n">
        <v>0.34</v>
      </c>
      <c r="DC125" s="52" t="n">
        <v>0.14</v>
      </c>
      <c r="DD125" s="52" t="n">
        <v>0.13</v>
      </c>
      <c r="DE125" s="52" t="n">
        <v>0.57</v>
      </c>
      <c r="DF125" s="52" t="n">
        <v>0.07</v>
      </c>
      <c r="DG125" s="52" t="n">
        <v>0.47</v>
      </c>
      <c r="DH125" s="52" t="n">
        <v>0.32</v>
      </c>
      <c r="DI125" s="52" t="n">
        <v>0.2</v>
      </c>
      <c r="DJ125" s="52" t="n">
        <v>0.16</v>
      </c>
      <c r="DK125" s="52" t="n">
        <v>0.25</v>
      </c>
      <c r="DL125" s="52" t="n">
        <v>0.34</v>
      </c>
      <c r="DM125" s="52" t="n">
        <v>0.17</v>
      </c>
      <c r="DN125" s="52" t="n">
        <v>0.09</v>
      </c>
      <c r="DO125" s="52" t="n">
        <v>0.3</v>
      </c>
      <c r="DP125" s="52" t="n">
        <v>0.13</v>
      </c>
      <c r="DQ125" s="52" t="n">
        <v>0.31</v>
      </c>
      <c r="DR125" s="52" t="n">
        <v>1</v>
      </c>
      <c r="DS125" s="52" t="n">
        <v>0.08</v>
      </c>
      <c r="DT125" s="52" t="n">
        <v>0.25</v>
      </c>
      <c r="DU125" s="52" t="n">
        <v>0.32</v>
      </c>
      <c r="DV125" s="52" t="n">
        <v>0.25</v>
      </c>
      <c r="DW125" s="52" t="n">
        <v>0.13</v>
      </c>
      <c r="DX125" s="52" t="n">
        <v>0.36</v>
      </c>
      <c r="DY125" s="52" t="n">
        <v>0.22</v>
      </c>
      <c r="DZ125" s="52" t="n">
        <v>0.11</v>
      </c>
      <c r="EA125" s="52" t="n">
        <v>0.2</v>
      </c>
      <c r="EB125" s="52" t="n">
        <v>0.22</v>
      </c>
      <c r="EC125" s="52" t="n">
        <v>0.18</v>
      </c>
      <c r="ED125" s="52" t="n">
        <v>0.25</v>
      </c>
      <c r="EE125" s="52" t="n">
        <v>0.37</v>
      </c>
      <c r="EF125" s="52" t="n">
        <v>0.4</v>
      </c>
      <c r="EG125" s="52" t="n">
        <v>0.31</v>
      </c>
      <c r="EH125" s="52" t="n">
        <v>0.03</v>
      </c>
      <c r="EI125" s="52" t="n">
        <v>0.36</v>
      </c>
      <c r="EJ125" s="52" t="n">
        <v>0.25</v>
      </c>
      <c r="EK125" s="52" t="n">
        <v>0.32</v>
      </c>
      <c r="EL125" s="52" t="n">
        <v>0.36</v>
      </c>
      <c r="EM125" s="52" t="n">
        <v>0.23</v>
      </c>
      <c r="EN125" s="52" t="n">
        <v>0.16</v>
      </c>
      <c r="EO125" s="52" t="n">
        <v>0.06</v>
      </c>
    </row>
    <row r="126" customFormat="false" ht="15" hidden="false" customHeight="false" outlineLevel="0" collapsed="false">
      <c r="A126" s="51" t="s">
        <v>266</v>
      </c>
      <c r="B126" s="52" t="n">
        <v>0.11</v>
      </c>
      <c r="C126" s="52" t="n">
        <v>-0.07</v>
      </c>
      <c r="D126" s="52" t="n">
        <v>0.03</v>
      </c>
      <c r="E126" s="52" t="n">
        <v>-0.02</v>
      </c>
      <c r="F126" s="52" t="n">
        <v>0.04</v>
      </c>
      <c r="G126" s="52" t="n">
        <v>-0.02</v>
      </c>
      <c r="H126" s="52" t="n">
        <v>0.01</v>
      </c>
      <c r="I126" s="52" t="n">
        <v>0.06</v>
      </c>
      <c r="J126" s="52" t="n">
        <v>0</v>
      </c>
      <c r="K126" s="52" t="n">
        <v>0.07</v>
      </c>
      <c r="L126" s="52" t="n">
        <v>0.04</v>
      </c>
      <c r="M126" s="52" t="n">
        <v>0.12</v>
      </c>
      <c r="N126" s="52" t="n">
        <v>0.06</v>
      </c>
      <c r="O126" s="52" t="n">
        <v>-0.08</v>
      </c>
      <c r="P126" s="52" t="n">
        <v>0.06</v>
      </c>
      <c r="Q126" s="52" t="n">
        <v>0.01</v>
      </c>
      <c r="R126" s="52" t="n">
        <v>0.05</v>
      </c>
      <c r="S126" s="52" t="n">
        <v>0.02</v>
      </c>
      <c r="T126" s="52" t="n">
        <v>0.25</v>
      </c>
      <c r="U126" s="52" t="n">
        <v>0.02</v>
      </c>
      <c r="V126" s="52" t="n">
        <v>-0.07</v>
      </c>
      <c r="W126" s="52" t="n">
        <v>0.02</v>
      </c>
      <c r="X126" s="52" t="n">
        <v>0.13</v>
      </c>
      <c r="Y126" s="52" t="n">
        <v>0.25</v>
      </c>
      <c r="Z126" s="52" t="n">
        <v>0</v>
      </c>
      <c r="AA126" s="52" t="n">
        <v>0.05</v>
      </c>
      <c r="AB126" s="52" t="n">
        <v>0.3</v>
      </c>
      <c r="AC126" s="52" t="n">
        <v>-0.07</v>
      </c>
      <c r="AD126" s="52" t="n">
        <v>-0.07</v>
      </c>
      <c r="AE126" s="52" t="n">
        <v>-0.03</v>
      </c>
      <c r="AF126" s="52" t="n">
        <v>-0.05</v>
      </c>
      <c r="AG126" s="52" t="n">
        <v>0</v>
      </c>
      <c r="AH126" s="52" t="n">
        <v>0</v>
      </c>
      <c r="AI126" s="52" t="n">
        <v>-0.03</v>
      </c>
      <c r="AJ126" s="52" t="n">
        <v>-0.13</v>
      </c>
      <c r="AK126" s="52" t="n">
        <v>-0.04</v>
      </c>
      <c r="AL126" s="52" t="n">
        <v>0.24</v>
      </c>
      <c r="AM126" s="52" t="n">
        <v>0.12</v>
      </c>
      <c r="AN126" s="52" t="n">
        <v>0.15</v>
      </c>
      <c r="AO126" s="52" t="n">
        <v>-0.01</v>
      </c>
      <c r="AP126" s="52" t="n">
        <v>0.15</v>
      </c>
      <c r="AQ126" s="52" t="n">
        <v>-0.04</v>
      </c>
      <c r="AR126" s="52" t="n">
        <v>0.16</v>
      </c>
      <c r="AS126" s="52" t="n">
        <v>0.01</v>
      </c>
      <c r="AT126" s="52" t="n">
        <v>0.28</v>
      </c>
      <c r="AU126" s="52" t="n">
        <v>-0.02</v>
      </c>
      <c r="AV126" s="52" t="n">
        <v>-0.07</v>
      </c>
      <c r="AW126" s="52" t="n">
        <v>-0.06</v>
      </c>
      <c r="AX126" s="52" t="n">
        <v>0.02</v>
      </c>
      <c r="AY126" s="52" t="n">
        <v>0.08</v>
      </c>
      <c r="AZ126" s="52" t="n">
        <v>-0.1</v>
      </c>
      <c r="BA126" s="52" t="n">
        <v>0.01</v>
      </c>
      <c r="BB126" s="52" t="n">
        <v>0.23</v>
      </c>
      <c r="BC126" s="52" t="n">
        <v>-0.09</v>
      </c>
      <c r="BD126" s="52" t="n">
        <v>-0.09</v>
      </c>
      <c r="BE126" s="52" t="n">
        <v>-0.03</v>
      </c>
      <c r="BF126" s="52" t="n">
        <v>0.02</v>
      </c>
      <c r="BG126" s="52" t="n">
        <v>0.2</v>
      </c>
      <c r="BH126" s="52" t="n">
        <v>0.01</v>
      </c>
      <c r="BI126" s="52" t="n">
        <v>0.08</v>
      </c>
      <c r="BJ126" s="52" t="n">
        <v>-0.1</v>
      </c>
      <c r="BK126" s="52" t="n">
        <v>0</v>
      </c>
      <c r="BL126" s="52" t="n">
        <v>0.02</v>
      </c>
      <c r="BM126" s="52" t="n">
        <v>0.14</v>
      </c>
      <c r="BN126" s="52" t="n">
        <v>0.06</v>
      </c>
      <c r="BO126" s="52" t="n">
        <v>0.25</v>
      </c>
      <c r="BP126" s="52" t="n">
        <v>0.31</v>
      </c>
      <c r="BQ126" s="52" t="n">
        <v>-0.06</v>
      </c>
      <c r="BR126" s="52" t="n">
        <v>0.13</v>
      </c>
      <c r="BS126" s="52" t="n">
        <v>0</v>
      </c>
      <c r="BT126" s="52" t="n">
        <v>0.13</v>
      </c>
      <c r="BU126" s="52" t="n">
        <v>-0.01</v>
      </c>
      <c r="BV126" s="52" t="n">
        <v>0.26</v>
      </c>
      <c r="BW126" s="52" t="n">
        <v>0.19</v>
      </c>
      <c r="BX126" s="52" t="n">
        <v>0.04</v>
      </c>
      <c r="BY126" s="52" t="n">
        <v>0.09</v>
      </c>
      <c r="BZ126" s="52" t="n">
        <v>0.19</v>
      </c>
      <c r="CA126" s="52" t="n">
        <v>-0.08</v>
      </c>
      <c r="CB126" s="52" t="n">
        <v>0.03</v>
      </c>
      <c r="CC126" s="52" t="n">
        <v>0.17</v>
      </c>
      <c r="CD126" s="52" t="n">
        <v>0.44</v>
      </c>
      <c r="CE126" s="52" t="n">
        <v>0.07</v>
      </c>
      <c r="CF126" s="52" t="n">
        <v>0</v>
      </c>
      <c r="CG126" s="52" t="n">
        <v>0.34</v>
      </c>
      <c r="CH126" s="52" t="n">
        <v>-0.1</v>
      </c>
      <c r="CI126" s="52" t="n">
        <v>0.02</v>
      </c>
      <c r="CJ126" s="52" t="n">
        <v>0.2</v>
      </c>
      <c r="CK126" s="52" t="n">
        <v>0.15</v>
      </c>
      <c r="CL126" s="52" t="n">
        <v>-0.01</v>
      </c>
      <c r="CM126" s="52" t="n">
        <v>0.1</v>
      </c>
      <c r="CN126" s="52" t="n">
        <v>0.03</v>
      </c>
      <c r="CO126" s="52" t="n">
        <v>0.08</v>
      </c>
      <c r="CP126" s="52" t="n">
        <v>0.14</v>
      </c>
      <c r="CQ126" s="52" t="n">
        <v>0.18</v>
      </c>
      <c r="CR126" s="52" t="n">
        <v>0.08</v>
      </c>
      <c r="CS126" s="52" t="n">
        <v>-0.1</v>
      </c>
      <c r="CT126" s="52" t="n">
        <v>0.14</v>
      </c>
      <c r="CU126" s="52" t="n">
        <v>0.11</v>
      </c>
      <c r="CV126" s="52" t="n">
        <v>0.18</v>
      </c>
      <c r="CW126" s="52" t="n">
        <v>0.24</v>
      </c>
      <c r="CX126" s="52" t="n">
        <v>0.2</v>
      </c>
      <c r="CY126" s="52" t="n">
        <v>0.08</v>
      </c>
      <c r="CZ126" s="52" t="n">
        <v>0.32</v>
      </c>
      <c r="DA126" s="52" t="n">
        <v>0.2</v>
      </c>
      <c r="DB126" s="52" t="n">
        <v>0.11</v>
      </c>
      <c r="DC126" s="52" t="n">
        <v>0.03</v>
      </c>
      <c r="DD126" s="52" t="n">
        <v>0.29</v>
      </c>
      <c r="DE126" s="52" t="n">
        <v>-0.01</v>
      </c>
      <c r="DF126" s="52" t="n">
        <v>0.29</v>
      </c>
      <c r="DG126" s="52" t="n">
        <v>-0.11</v>
      </c>
      <c r="DH126" s="52" t="n">
        <v>0.08</v>
      </c>
      <c r="DI126" s="52" t="n">
        <v>0.17</v>
      </c>
      <c r="DJ126" s="52" t="n">
        <v>0.25</v>
      </c>
      <c r="DK126" s="52" t="n">
        <v>0.16</v>
      </c>
      <c r="DL126" s="52" t="n">
        <v>-0.16</v>
      </c>
      <c r="DM126" s="52" t="n">
        <v>0.18</v>
      </c>
      <c r="DN126" s="52" t="n">
        <v>0.29</v>
      </c>
      <c r="DO126" s="52" t="n">
        <v>0.08</v>
      </c>
      <c r="DP126" s="52" t="n">
        <v>0.25</v>
      </c>
      <c r="DQ126" s="52" t="n">
        <v>0.04</v>
      </c>
      <c r="DR126" s="52" t="n">
        <v>0.08</v>
      </c>
      <c r="DS126" s="52" t="n">
        <v>1</v>
      </c>
      <c r="DT126" s="52" t="n">
        <v>0.23</v>
      </c>
      <c r="DU126" s="52" t="n">
        <v>0.26</v>
      </c>
      <c r="DV126" s="52" t="n">
        <v>0.32</v>
      </c>
      <c r="DW126" s="52" t="n">
        <v>0.3</v>
      </c>
      <c r="DX126" s="52" t="n">
        <v>-0.07</v>
      </c>
      <c r="DY126" s="52" t="n">
        <v>0.38</v>
      </c>
      <c r="DZ126" s="52" t="n">
        <v>0.25</v>
      </c>
      <c r="EA126" s="52" t="n">
        <v>0.09</v>
      </c>
      <c r="EB126" s="52" t="n">
        <v>0.41</v>
      </c>
      <c r="EC126" s="52" t="n">
        <v>-0.09</v>
      </c>
      <c r="ED126" s="52" t="n">
        <v>-0.09</v>
      </c>
      <c r="EE126" s="52" t="n">
        <v>0.04</v>
      </c>
      <c r="EF126" s="52" t="n">
        <v>0.07</v>
      </c>
      <c r="EG126" s="52" t="n">
        <v>-0.02</v>
      </c>
      <c r="EH126" s="52" t="n">
        <v>0.22</v>
      </c>
      <c r="EI126" s="52" t="n">
        <v>-0.05</v>
      </c>
      <c r="EJ126" s="52" t="n">
        <v>0.16</v>
      </c>
      <c r="EK126" s="52" t="n">
        <v>-0.01</v>
      </c>
      <c r="EL126" s="52" t="n">
        <v>0.02</v>
      </c>
      <c r="EM126" s="52" t="n">
        <v>0.16</v>
      </c>
      <c r="EN126" s="52" t="n">
        <v>0.13</v>
      </c>
      <c r="EO126" s="52" t="n">
        <v>0.14</v>
      </c>
    </row>
    <row r="127" customFormat="false" ht="15" hidden="false" customHeight="false" outlineLevel="0" collapsed="false">
      <c r="A127" s="51" t="s">
        <v>267</v>
      </c>
      <c r="B127" s="52" t="n">
        <v>-0.13</v>
      </c>
      <c r="C127" s="52" t="n">
        <v>-0.03</v>
      </c>
      <c r="D127" s="52" t="n">
        <v>0.04</v>
      </c>
      <c r="E127" s="52" t="n">
        <v>0.05</v>
      </c>
      <c r="F127" s="52" t="n">
        <v>-0.26</v>
      </c>
      <c r="G127" s="52" t="n">
        <v>-0.04</v>
      </c>
      <c r="H127" s="52" t="n">
        <v>0.02</v>
      </c>
      <c r="I127" s="52" t="n">
        <v>-0.12</v>
      </c>
      <c r="J127" s="52" t="n">
        <v>-0.22</v>
      </c>
      <c r="K127" s="52" t="n">
        <v>-0.23</v>
      </c>
      <c r="L127" s="52" t="n">
        <v>0.03</v>
      </c>
      <c r="M127" s="52" t="n">
        <v>0.14</v>
      </c>
      <c r="N127" s="52" t="n">
        <v>0</v>
      </c>
      <c r="O127" s="52" t="n">
        <v>-0.01</v>
      </c>
      <c r="P127" s="52" t="n">
        <v>-0.17</v>
      </c>
      <c r="Q127" s="52" t="n">
        <v>-0.1</v>
      </c>
      <c r="R127" s="52" t="n">
        <v>-0.14</v>
      </c>
      <c r="S127" s="52" t="n">
        <v>-0.02</v>
      </c>
      <c r="T127" s="52" t="n">
        <v>0.15</v>
      </c>
      <c r="U127" s="52" t="n">
        <v>0.13</v>
      </c>
      <c r="V127" s="52" t="n">
        <v>0.02</v>
      </c>
      <c r="W127" s="52" t="n">
        <v>-0.06</v>
      </c>
      <c r="X127" s="52" t="n">
        <v>0.15</v>
      </c>
      <c r="Y127" s="52" t="n">
        <v>-0.08</v>
      </c>
      <c r="Z127" s="52" t="n">
        <v>0.08</v>
      </c>
      <c r="AA127" s="52" t="n">
        <v>0</v>
      </c>
      <c r="AB127" s="52" t="n">
        <v>-0.04</v>
      </c>
      <c r="AC127" s="52" t="n">
        <v>0.12</v>
      </c>
      <c r="AD127" s="52" t="n">
        <v>-0.11</v>
      </c>
      <c r="AE127" s="52" t="n">
        <v>0.04</v>
      </c>
      <c r="AF127" s="52" t="n">
        <v>0.06</v>
      </c>
      <c r="AG127" s="52" t="n">
        <v>-0.18</v>
      </c>
      <c r="AH127" s="52" t="n">
        <v>-0.14</v>
      </c>
      <c r="AI127" s="52" t="n">
        <v>-0.03</v>
      </c>
      <c r="AJ127" s="52" t="n">
        <v>0.05</v>
      </c>
      <c r="AK127" s="52" t="n">
        <v>0.03</v>
      </c>
      <c r="AL127" s="52" t="n">
        <v>0.04</v>
      </c>
      <c r="AM127" s="52" t="n">
        <v>0.1</v>
      </c>
      <c r="AN127" s="52" t="n">
        <v>-0.01</v>
      </c>
      <c r="AO127" s="52" t="n">
        <v>-0.16</v>
      </c>
      <c r="AP127" s="52" t="n">
        <v>0.08</v>
      </c>
      <c r="AQ127" s="52" t="n">
        <v>-0.1</v>
      </c>
      <c r="AR127" s="52" t="n">
        <v>0.15</v>
      </c>
      <c r="AS127" s="52" t="n">
        <v>0.04</v>
      </c>
      <c r="AT127" s="52" t="n">
        <v>0.19</v>
      </c>
      <c r="AU127" s="52" t="n">
        <v>-0.12</v>
      </c>
      <c r="AV127" s="52" t="n">
        <v>0.08</v>
      </c>
      <c r="AW127" s="52" t="n">
        <v>0.06</v>
      </c>
      <c r="AX127" s="52" t="n">
        <v>-0.09</v>
      </c>
      <c r="AY127" s="52" t="n">
        <v>-0.03</v>
      </c>
      <c r="AZ127" s="52" t="n">
        <v>0</v>
      </c>
      <c r="BA127" s="52" t="n">
        <v>0.04</v>
      </c>
      <c r="BB127" s="52" t="n">
        <v>0.3</v>
      </c>
      <c r="BC127" s="52" t="n">
        <v>0.08</v>
      </c>
      <c r="BD127" s="52" t="n">
        <v>0.05</v>
      </c>
      <c r="BE127" s="52" t="n">
        <v>-0.13</v>
      </c>
      <c r="BF127" s="52" t="n">
        <v>-0.01</v>
      </c>
      <c r="BG127" s="52" t="n">
        <v>0.14</v>
      </c>
      <c r="BH127" s="52" t="n">
        <v>0.15</v>
      </c>
      <c r="BI127" s="52" t="n">
        <v>0.11</v>
      </c>
      <c r="BJ127" s="52" t="n">
        <v>-0.02</v>
      </c>
      <c r="BK127" s="52" t="n">
        <v>-0.03</v>
      </c>
      <c r="BL127" s="52" t="n">
        <v>0.2</v>
      </c>
      <c r="BM127" s="52" t="n">
        <v>-0.01</v>
      </c>
      <c r="BN127" s="52" t="n">
        <v>-0.06</v>
      </c>
      <c r="BO127" s="52" t="n">
        <v>0.25</v>
      </c>
      <c r="BP127" s="52" t="n">
        <v>0.47</v>
      </c>
      <c r="BQ127" s="52" t="n">
        <v>0.19</v>
      </c>
      <c r="BR127" s="52" t="n">
        <v>0.1</v>
      </c>
      <c r="BS127" s="52" t="n">
        <v>-0.02</v>
      </c>
      <c r="BT127" s="52" t="n">
        <v>0.15</v>
      </c>
      <c r="BU127" s="52" t="n">
        <v>0.09</v>
      </c>
      <c r="BV127" s="52" t="n">
        <v>0.28</v>
      </c>
      <c r="BW127" s="52" t="n">
        <v>0.15</v>
      </c>
      <c r="BX127" s="52" t="n">
        <v>-0.04</v>
      </c>
      <c r="BY127" s="52" t="n">
        <v>0.13</v>
      </c>
      <c r="BZ127" s="52" t="n">
        <v>0.25</v>
      </c>
      <c r="CA127" s="52" t="n">
        <v>0.06</v>
      </c>
      <c r="CB127" s="52" t="n">
        <v>-0.08</v>
      </c>
      <c r="CC127" s="52" t="n">
        <v>0.08</v>
      </c>
      <c r="CD127" s="52" t="n">
        <v>0.24</v>
      </c>
      <c r="CE127" s="52" t="n">
        <v>0.24</v>
      </c>
      <c r="CF127" s="52" t="n">
        <v>-0.04</v>
      </c>
      <c r="CG127" s="52" t="n">
        <v>0.22</v>
      </c>
      <c r="CH127" s="52" t="n">
        <v>0.22</v>
      </c>
      <c r="CI127" s="52" t="n">
        <v>-0.02</v>
      </c>
      <c r="CJ127" s="52" t="n">
        <v>0.04</v>
      </c>
      <c r="CK127" s="52" t="n">
        <v>0.05</v>
      </c>
      <c r="CL127" s="52" t="n">
        <v>0.14</v>
      </c>
      <c r="CM127" s="52" t="n">
        <v>0.44</v>
      </c>
      <c r="CN127" s="52" t="n">
        <v>0.13</v>
      </c>
      <c r="CO127" s="52" t="n">
        <v>0.11</v>
      </c>
      <c r="CP127" s="52" t="n">
        <v>0.09</v>
      </c>
      <c r="CQ127" s="52" t="n">
        <v>0.19</v>
      </c>
      <c r="CR127" s="52" t="n">
        <v>0.43</v>
      </c>
      <c r="CS127" s="52" t="n">
        <v>0.22</v>
      </c>
      <c r="CT127" s="52" t="n">
        <v>0.28</v>
      </c>
      <c r="CU127" s="52" t="n">
        <v>0.21</v>
      </c>
      <c r="CV127" s="52" t="n">
        <v>0.23</v>
      </c>
      <c r="CW127" s="52" t="n">
        <v>0.16</v>
      </c>
      <c r="CX127" s="52" t="n">
        <v>0.2</v>
      </c>
      <c r="CY127" s="52" t="n">
        <v>0.11</v>
      </c>
      <c r="CZ127" s="52" t="n">
        <v>0.31</v>
      </c>
      <c r="DA127" s="52" t="n">
        <v>0.2</v>
      </c>
      <c r="DB127" s="52" t="n">
        <v>0.39</v>
      </c>
      <c r="DC127" s="52" t="n">
        <v>0.19</v>
      </c>
      <c r="DD127" s="52" t="n">
        <v>0.34</v>
      </c>
      <c r="DE127" s="52" t="n">
        <v>0.34</v>
      </c>
      <c r="DF127" s="52" t="n">
        <v>0.28</v>
      </c>
      <c r="DG127" s="52" t="n">
        <v>0.25</v>
      </c>
      <c r="DH127" s="52" t="n">
        <v>0.45</v>
      </c>
      <c r="DI127" s="52" t="n">
        <v>0.19</v>
      </c>
      <c r="DJ127" s="52" t="n">
        <v>0.16</v>
      </c>
      <c r="DK127" s="52" t="n">
        <v>0.21</v>
      </c>
      <c r="DL127" s="52" t="n">
        <v>0.14</v>
      </c>
      <c r="DM127" s="52" t="n">
        <v>0.17</v>
      </c>
      <c r="DN127" s="52" t="n">
        <v>0.21</v>
      </c>
      <c r="DO127" s="52" t="n">
        <v>0.26</v>
      </c>
      <c r="DP127" s="52" t="n">
        <v>0.15</v>
      </c>
      <c r="DQ127" s="52" t="n">
        <v>0.28</v>
      </c>
      <c r="DR127" s="52" t="n">
        <v>0.25</v>
      </c>
      <c r="DS127" s="52" t="n">
        <v>0.23</v>
      </c>
      <c r="DT127" s="52" t="n">
        <v>1</v>
      </c>
      <c r="DU127" s="52" t="n">
        <v>0.46</v>
      </c>
      <c r="DV127" s="52" t="n">
        <v>0.42</v>
      </c>
      <c r="DW127" s="52" t="n">
        <v>0.34</v>
      </c>
      <c r="DX127" s="52" t="n">
        <v>0.29</v>
      </c>
      <c r="DY127" s="52" t="n">
        <v>0.35</v>
      </c>
      <c r="DZ127" s="52" t="n">
        <v>0.35</v>
      </c>
      <c r="EA127" s="52" t="n">
        <v>0.2</v>
      </c>
      <c r="EB127" s="52" t="n">
        <v>0.38</v>
      </c>
      <c r="EC127" s="52" t="n">
        <v>0.1</v>
      </c>
      <c r="ED127" s="52" t="n">
        <v>0.33</v>
      </c>
      <c r="EE127" s="52" t="n">
        <v>0.37</v>
      </c>
      <c r="EF127" s="52" t="n">
        <v>0.1</v>
      </c>
      <c r="EG127" s="52" t="n">
        <v>0.22</v>
      </c>
      <c r="EH127" s="52" t="n">
        <v>0.18</v>
      </c>
      <c r="EI127" s="52" t="n">
        <v>0.32</v>
      </c>
      <c r="EJ127" s="52" t="n">
        <v>0.29</v>
      </c>
      <c r="EK127" s="52" t="n">
        <v>0.38</v>
      </c>
      <c r="EL127" s="52" t="n">
        <v>0.37</v>
      </c>
      <c r="EM127" s="52" t="n">
        <v>0.36</v>
      </c>
      <c r="EN127" s="52" t="n">
        <v>0.11</v>
      </c>
      <c r="EO127" s="52" t="n">
        <v>0.15</v>
      </c>
    </row>
    <row r="128" customFormat="false" ht="15" hidden="false" customHeight="false" outlineLevel="0" collapsed="false">
      <c r="A128" s="51" t="s">
        <v>268</v>
      </c>
      <c r="B128" s="52" t="n">
        <v>-0.01</v>
      </c>
      <c r="C128" s="52" t="n">
        <v>-0.06</v>
      </c>
      <c r="D128" s="52" t="n">
        <v>0.11</v>
      </c>
      <c r="E128" s="52" t="n">
        <v>0.13</v>
      </c>
      <c r="F128" s="52" t="n">
        <v>-0.12</v>
      </c>
      <c r="G128" s="52" t="n">
        <v>0.04</v>
      </c>
      <c r="H128" s="52" t="n">
        <v>0.05</v>
      </c>
      <c r="I128" s="52" t="n">
        <v>0</v>
      </c>
      <c r="J128" s="52" t="n">
        <v>-0.11</v>
      </c>
      <c r="K128" s="52" t="n">
        <v>-0.06</v>
      </c>
      <c r="L128" s="52" t="n">
        <v>-0.02</v>
      </c>
      <c r="M128" s="52" t="n">
        <v>0.3</v>
      </c>
      <c r="N128" s="52" t="n">
        <v>0.12</v>
      </c>
      <c r="O128" s="52" t="n">
        <v>0.08</v>
      </c>
      <c r="P128" s="52" t="n">
        <v>-0.09</v>
      </c>
      <c r="Q128" s="52" t="n">
        <v>0</v>
      </c>
      <c r="R128" s="52" t="n">
        <v>-0.07</v>
      </c>
      <c r="S128" s="52" t="n">
        <v>0.06</v>
      </c>
      <c r="T128" s="52" t="n">
        <v>0.32</v>
      </c>
      <c r="U128" s="52" t="n">
        <v>0.22</v>
      </c>
      <c r="V128" s="52" t="n">
        <v>0.05</v>
      </c>
      <c r="W128" s="52" t="n">
        <v>0.14</v>
      </c>
      <c r="X128" s="52" t="n">
        <v>0.37</v>
      </c>
      <c r="Y128" s="52" t="n">
        <v>0.09</v>
      </c>
      <c r="Z128" s="52" t="n">
        <v>0.14</v>
      </c>
      <c r="AA128" s="52" t="n">
        <v>0.04</v>
      </c>
      <c r="AB128" s="52" t="n">
        <v>0.14</v>
      </c>
      <c r="AC128" s="52" t="n">
        <v>0.11</v>
      </c>
      <c r="AD128" s="52" t="n">
        <v>0.08</v>
      </c>
      <c r="AE128" s="52" t="n">
        <v>0.16</v>
      </c>
      <c r="AF128" s="52" t="n">
        <v>0.16</v>
      </c>
      <c r="AG128" s="52" t="n">
        <v>-0.04</v>
      </c>
      <c r="AH128" s="52" t="n">
        <v>-0.06</v>
      </c>
      <c r="AI128" s="52" t="n">
        <v>-0.11</v>
      </c>
      <c r="AJ128" s="52" t="n">
        <v>0.08</v>
      </c>
      <c r="AK128" s="52" t="n">
        <v>0.15</v>
      </c>
      <c r="AL128" s="52" t="n">
        <v>0.2</v>
      </c>
      <c r="AM128" s="52" t="n">
        <v>0.21</v>
      </c>
      <c r="AN128" s="52" t="n">
        <v>0.21</v>
      </c>
      <c r="AO128" s="52" t="n">
        <v>-0.09</v>
      </c>
      <c r="AP128" s="52" t="n">
        <v>0.3</v>
      </c>
      <c r="AQ128" s="52" t="n">
        <v>-0.15</v>
      </c>
      <c r="AR128" s="52" t="n">
        <v>0.32</v>
      </c>
      <c r="AS128" s="52" t="n">
        <v>0.14</v>
      </c>
      <c r="AT128" s="52" t="n">
        <v>0.45</v>
      </c>
      <c r="AU128" s="52" t="n">
        <v>-0.11</v>
      </c>
      <c r="AV128" s="52" t="n">
        <v>0.16</v>
      </c>
      <c r="AW128" s="52" t="n">
        <v>0.11</v>
      </c>
      <c r="AX128" s="52" t="n">
        <v>0.07</v>
      </c>
      <c r="AY128" s="52" t="n">
        <v>0.11</v>
      </c>
      <c r="AZ128" s="52" t="n">
        <v>0.16</v>
      </c>
      <c r="BA128" s="52" t="n">
        <v>0.17</v>
      </c>
      <c r="BB128" s="52" t="n">
        <v>0.48</v>
      </c>
      <c r="BC128" s="52" t="n">
        <v>0.2</v>
      </c>
      <c r="BD128" s="52" t="n">
        <v>0.2</v>
      </c>
      <c r="BE128" s="52" t="n">
        <v>0.03</v>
      </c>
      <c r="BF128" s="52" t="n">
        <v>0.12</v>
      </c>
      <c r="BG128" s="52" t="n">
        <v>0.28</v>
      </c>
      <c r="BH128" s="52" t="n">
        <v>0.19</v>
      </c>
      <c r="BI128" s="52" t="n">
        <v>0.1</v>
      </c>
      <c r="BJ128" s="52" t="n">
        <v>0.01</v>
      </c>
      <c r="BK128" s="52" t="n">
        <v>0.17</v>
      </c>
      <c r="BL128" s="52" t="n">
        <v>0.24</v>
      </c>
      <c r="BM128" s="52" t="n">
        <v>0.18</v>
      </c>
      <c r="BN128" s="52" t="n">
        <v>0.02</v>
      </c>
      <c r="BO128" s="52" t="n">
        <v>0.33</v>
      </c>
      <c r="BP128" s="52" t="n">
        <v>0.42</v>
      </c>
      <c r="BQ128" s="52" t="n">
        <v>0.28</v>
      </c>
      <c r="BR128" s="52" t="n">
        <v>0.3</v>
      </c>
      <c r="BS128" s="52" t="n">
        <v>-0.13</v>
      </c>
      <c r="BT128" s="52" t="n">
        <v>0.36</v>
      </c>
      <c r="BU128" s="52" t="n">
        <v>0.19</v>
      </c>
      <c r="BV128" s="52" t="n">
        <v>0.35</v>
      </c>
      <c r="BW128" s="52" t="n">
        <v>0.24</v>
      </c>
      <c r="BX128" s="52" t="n">
        <v>0.08</v>
      </c>
      <c r="BY128" s="52" t="n">
        <v>0.27</v>
      </c>
      <c r="BZ128" s="52" t="n">
        <v>0.42</v>
      </c>
      <c r="CA128" s="52" t="n">
        <v>0.12</v>
      </c>
      <c r="CB128" s="52" t="n">
        <v>-0.02</v>
      </c>
      <c r="CC128" s="52" t="n">
        <v>0.15</v>
      </c>
      <c r="CD128" s="52" t="n">
        <v>0.3</v>
      </c>
      <c r="CE128" s="52" t="n">
        <v>0.23</v>
      </c>
      <c r="CF128" s="52" t="n">
        <v>-0.13</v>
      </c>
      <c r="CG128" s="52" t="n">
        <v>0.29</v>
      </c>
      <c r="CH128" s="52" t="n">
        <v>0.26</v>
      </c>
      <c r="CI128" s="52" t="n">
        <v>-0.15</v>
      </c>
      <c r="CJ128" s="52" t="n">
        <v>0.19</v>
      </c>
      <c r="CK128" s="52" t="n">
        <v>0.18</v>
      </c>
      <c r="CL128" s="52" t="n">
        <v>0.26</v>
      </c>
      <c r="CM128" s="52" t="n">
        <v>0.47</v>
      </c>
      <c r="CN128" s="52" t="n">
        <v>0.09</v>
      </c>
      <c r="CO128" s="52" t="n">
        <v>0.18</v>
      </c>
      <c r="CP128" s="52" t="n">
        <v>0.17</v>
      </c>
      <c r="CQ128" s="52" t="n">
        <v>0.43</v>
      </c>
      <c r="CR128" s="52" t="n">
        <v>0.4</v>
      </c>
      <c r="CS128" s="52" t="n">
        <v>0.32</v>
      </c>
      <c r="CT128" s="52" t="n">
        <v>0.37</v>
      </c>
      <c r="CU128" s="52" t="n">
        <v>0.19</v>
      </c>
      <c r="CV128" s="52" t="n">
        <v>0.28</v>
      </c>
      <c r="CW128" s="52" t="n">
        <v>0.39</v>
      </c>
      <c r="CX128" s="52" t="n">
        <v>0.49</v>
      </c>
      <c r="CY128" s="52" t="n">
        <v>0.32</v>
      </c>
      <c r="CZ128" s="52" t="n">
        <v>0.24</v>
      </c>
      <c r="DA128" s="52" t="n">
        <v>0.31</v>
      </c>
      <c r="DB128" s="52" t="n">
        <v>0.49</v>
      </c>
      <c r="DC128" s="52" t="n">
        <v>0.25</v>
      </c>
      <c r="DD128" s="52" t="n">
        <v>0.47</v>
      </c>
      <c r="DE128" s="52" t="n">
        <v>0.38</v>
      </c>
      <c r="DF128" s="52" t="n">
        <v>0.24</v>
      </c>
      <c r="DG128" s="52" t="n">
        <v>0.37</v>
      </c>
      <c r="DH128" s="52" t="n">
        <v>0.36</v>
      </c>
      <c r="DI128" s="52" t="n">
        <v>0.4</v>
      </c>
      <c r="DJ128" s="52" t="n">
        <v>0.25</v>
      </c>
      <c r="DK128" s="52" t="n">
        <v>0.44</v>
      </c>
      <c r="DL128" s="52" t="n">
        <v>0.15</v>
      </c>
      <c r="DM128" s="52" t="n">
        <v>0.34</v>
      </c>
      <c r="DN128" s="52" t="n">
        <v>0.25</v>
      </c>
      <c r="DO128" s="52" t="n">
        <v>0.27</v>
      </c>
      <c r="DP128" s="52" t="n">
        <v>0.26</v>
      </c>
      <c r="DQ128" s="52" t="n">
        <v>0.3</v>
      </c>
      <c r="DR128" s="52" t="n">
        <v>0.32</v>
      </c>
      <c r="DS128" s="52" t="n">
        <v>0.26</v>
      </c>
      <c r="DT128" s="52" t="n">
        <v>0.46</v>
      </c>
      <c r="DU128" s="52" t="n">
        <v>1</v>
      </c>
      <c r="DV128" s="52" t="n">
        <v>0.48</v>
      </c>
      <c r="DW128" s="52" t="n">
        <v>0.46</v>
      </c>
      <c r="DX128" s="52" t="n">
        <v>0.33</v>
      </c>
      <c r="DY128" s="52" t="n">
        <v>0.66</v>
      </c>
      <c r="DZ128" s="52" t="n">
        <v>0.27</v>
      </c>
      <c r="EA128" s="52" t="n">
        <v>0.27</v>
      </c>
      <c r="EB128" s="52" t="n">
        <v>0.7</v>
      </c>
      <c r="EC128" s="52" t="n">
        <v>0.05</v>
      </c>
      <c r="ED128" s="52" t="n">
        <v>0.42</v>
      </c>
      <c r="EE128" s="52" t="n">
        <v>0.41</v>
      </c>
      <c r="EF128" s="52" t="n">
        <v>0.32</v>
      </c>
      <c r="EG128" s="52" t="n">
        <v>0.25</v>
      </c>
      <c r="EH128" s="52" t="n">
        <v>0.29</v>
      </c>
      <c r="EI128" s="52" t="n">
        <v>0.29</v>
      </c>
      <c r="EJ128" s="52" t="n">
        <v>0.34</v>
      </c>
      <c r="EK128" s="52" t="n">
        <v>0.53</v>
      </c>
      <c r="EL128" s="52" t="n">
        <v>0.5</v>
      </c>
      <c r="EM128" s="52" t="n">
        <v>0.35</v>
      </c>
      <c r="EN128" s="52" t="n">
        <v>0.22</v>
      </c>
      <c r="EO128" s="52" t="n">
        <v>0.23</v>
      </c>
    </row>
    <row r="129" customFormat="false" ht="15" hidden="false" customHeight="false" outlineLevel="0" collapsed="false">
      <c r="A129" s="51" t="s">
        <v>269</v>
      </c>
      <c r="B129" s="52" t="n">
        <v>-0.02</v>
      </c>
      <c r="C129" s="52" t="n">
        <v>-0.06</v>
      </c>
      <c r="D129" s="52" t="n">
        <v>0.06</v>
      </c>
      <c r="E129" s="52" t="n">
        <v>0.09</v>
      </c>
      <c r="F129" s="52" t="n">
        <v>-0.09</v>
      </c>
      <c r="G129" s="52" t="n">
        <v>0.04</v>
      </c>
      <c r="H129" s="52" t="n">
        <v>0.02</v>
      </c>
      <c r="I129" s="52" t="n">
        <v>0.07</v>
      </c>
      <c r="J129" s="52" t="n">
        <v>-0.05</v>
      </c>
      <c r="K129" s="52" t="n">
        <v>-0.04</v>
      </c>
      <c r="L129" s="52" t="n">
        <v>0.07</v>
      </c>
      <c r="M129" s="52" t="n">
        <v>0.16</v>
      </c>
      <c r="N129" s="52" t="n">
        <v>0.09</v>
      </c>
      <c r="O129" s="52" t="n">
        <v>0.02</v>
      </c>
      <c r="P129" s="52" t="n">
        <v>0.04</v>
      </c>
      <c r="Q129" s="52" t="n">
        <v>-0.02</v>
      </c>
      <c r="R129" s="52" t="n">
        <v>0.01</v>
      </c>
      <c r="S129" s="52" t="n">
        <v>0.01</v>
      </c>
      <c r="T129" s="52" t="n">
        <v>0.11</v>
      </c>
      <c r="U129" s="52" t="n">
        <v>0.12</v>
      </c>
      <c r="V129" s="52" t="n">
        <v>0</v>
      </c>
      <c r="W129" s="52" t="n">
        <v>0.08</v>
      </c>
      <c r="X129" s="52" t="n">
        <v>0.18</v>
      </c>
      <c r="Y129" s="52" t="n">
        <v>0.19</v>
      </c>
      <c r="Z129" s="52" t="n">
        <v>0.05</v>
      </c>
      <c r="AA129" s="52" t="n">
        <v>-0.01</v>
      </c>
      <c r="AB129" s="52" t="n">
        <v>0.18</v>
      </c>
      <c r="AC129" s="52" t="n">
        <v>0.05</v>
      </c>
      <c r="AD129" s="52" t="n">
        <v>-0.05</v>
      </c>
      <c r="AE129" s="52" t="n">
        <v>0</v>
      </c>
      <c r="AF129" s="52" t="n">
        <v>0.15</v>
      </c>
      <c r="AG129" s="52" t="n">
        <v>-0.02</v>
      </c>
      <c r="AH129" s="52" t="n">
        <v>-0.02</v>
      </c>
      <c r="AI129" s="52" t="n">
        <v>0.02</v>
      </c>
      <c r="AJ129" s="52" t="n">
        <v>-0.05</v>
      </c>
      <c r="AK129" s="52" t="n">
        <v>-0.01</v>
      </c>
      <c r="AL129" s="52" t="n">
        <v>0.21</v>
      </c>
      <c r="AM129" s="52" t="n">
        <v>0.13</v>
      </c>
      <c r="AN129" s="52" t="n">
        <v>0.08</v>
      </c>
      <c r="AO129" s="52" t="n">
        <v>-0.02</v>
      </c>
      <c r="AP129" s="52" t="n">
        <v>0.14</v>
      </c>
      <c r="AQ129" s="52" t="n">
        <v>-0.02</v>
      </c>
      <c r="AR129" s="52" t="n">
        <v>0.14</v>
      </c>
      <c r="AS129" s="52" t="n">
        <v>0.04</v>
      </c>
      <c r="AT129" s="52" t="n">
        <v>0.23</v>
      </c>
      <c r="AU129" s="52" t="n">
        <v>0</v>
      </c>
      <c r="AV129" s="52" t="n">
        <v>0.15</v>
      </c>
      <c r="AW129" s="52" t="n">
        <v>0.03</v>
      </c>
      <c r="AX129" s="52" t="n">
        <v>0.07</v>
      </c>
      <c r="AY129" s="52" t="n">
        <v>0.13</v>
      </c>
      <c r="AZ129" s="52" t="n">
        <v>0.05</v>
      </c>
      <c r="BA129" s="52" t="n">
        <v>0.06</v>
      </c>
      <c r="BB129" s="52" t="n">
        <v>0.24</v>
      </c>
      <c r="BC129" s="52" t="n">
        <v>0.13</v>
      </c>
      <c r="BD129" s="52" t="n">
        <v>-0.03</v>
      </c>
      <c r="BE129" s="52" t="n">
        <v>-0.04</v>
      </c>
      <c r="BF129" s="52" t="n">
        <v>0.05</v>
      </c>
      <c r="BG129" s="52" t="n">
        <v>0.2</v>
      </c>
      <c r="BH129" s="52" t="n">
        <v>0.16</v>
      </c>
      <c r="BI129" s="52" t="n">
        <v>0.14</v>
      </c>
      <c r="BJ129" s="52" t="n">
        <v>-0.07</v>
      </c>
      <c r="BK129" s="52" t="n">
        <v>0.05</v>
      </c>
      <c r="BL129" s="52" t="n">
        <v>0.07</v>
      </c>
      <c r="BM129" s="52" t="n">
        <v>0.08</v>
      </c>
      <c r="BN129" s="52" t="n">
        <v>-0.02</v>
      </c>
      <c r="BO129" s="52" t="n">
        <v>0.28</v>
      </c>
      <c r="BP129" s="52" t="n">
        <v>0.45</v>
      </c>
      <c r="BQ129" s="52" t="n">
        <v>0.05</v>
      </c>
      <c r="BR129" s="52" t="n">
        <v>0.14</v>
      </c>
      <c r="BS129" s="52" t="n">
        <v>-0.03</v>
      </c>
      <c r="BT129" s="52" t="n">
        <v>0.14</v>
      </c>
      <c r="BU129" s="52" t="n">
        <v>0.11</v>
      </c>
      <c r="BV129" s="52" t="n">
        <v>0.28</v>
      </c>
      <c r="BW129" s="52" t="n">
        <v>0.19</v>
      </c>
      <c r="BX129" s="52" t="n">
        <v>0</v>
      </c>
      <c r="BY129" s="52" t="n">
        <v>0.14</v>
      </c>
      <c r="BZ129" s="52" t="n">
        <v>0.22</v>
      </c>
      <c r="CA129" s="52" t="n">
        <v>0.08</v>
      </c>
      <c r="CB129" s="52" t="n">
        <v>-0.05</v>
      </c>
      <c r="CC129" s="52" t="n">
        <v>0.07</v>
      </c>
      <c r="CD129" s="52" t="n">
        <v>0.32</v>
      </c>
      <c r="CE129" s="52" t="n">
        <v>0.21</v>
      </c>
      <c r="CF129" s="52" t="n">
        <v>-0.03</v>
      </c>
      <c r="CG129" s="52" t="n">
        <v>0.3</v>
      </c>
      <c r="CH129" s="52" t="n">
        <v>0.2</v>
      </c>
      <c r="CI129" s="52" t="n">
        <v>0.03</v>
      </c>
      <c r="CJ129" s="52" t="n">
        <v>0.23</v>
      </c>
      <c r="CK129" s="52" t="n">
        <v>0.08</v>
      </c>
      <c r="CL129" s="52" t="n">
        <v>0.07</v>
      </c>
      <c r="CM129" s="52" t="n">
        <v>0.32</v>
      </c>
      <c r="CN129" s="52" t="n">
        <v>0.03</v>
      </c>
      <c r="CO129" s="52" t="n">
        <v>0.02</v>
      </c>
      <c r="CP129" s="52" t="n">
        <v>0.18</v>
      </c>
      <c r="CQ129" s="52" t="n">
        <v>0.19</v>
      </c>
      <c r="CR129" s="52" t="n">
        <v>0.23</v>
      </c>
      <c r="CS129" s="52" t="n">
        <v>0.12</v>
      </c>
      <c r="CT129" s="52" t="n">
        <v>0.34</v>
      </c>
      <c r="CU129" s="52" t="n">
        <v>0.11</v>
      </c>
      <c r="CV129" s="52" t="n">
        <v>0.23</v>
      </c>
      <c r="CW129" s="52" t="n">
        <v>0.26</v>
      </c>
      <c r="CX129" s="52" t="n">
        <v>0.23</v>
      </c>
      <c r="CY129" s="52" t="n">
        <v>0.11</v>
      </c>
      <c r="CZ129" s="52" t="n">
        <v>0.34</v>
      </c>
      <c r="DA129" s="52" t="n">
        <v>0.18</v>
      </c>
      <c r="DB129" s="52" t="n">
        <v>0.38</v>
      </c>
      <c r="DC129" s="52" t="n">
        <v>0.01</v>
      </c>
      <c r="DD129" s="52" t="n">
        <v>0.38</v>
      </c>
      <c r="DE129" s="52" t="n">
        <v>0.26</v>
      </c>
      <c r="DF129" s="52" t="n">
        <v>0.45</v>
      </c>
      <c r="DG129" s="52" t="n">
        <v>0.25</v>
      </c>
      <c r="DH129" s="52" t="n">
        <v>0.32</v>
      </c>
      <c r="DI129" s="52" t="n">
        <v>0.19</v>
      </c>
      <c r="DJ129" s="52" t="n">
        <v>0.1</v>
      </c>
      <c r="DK129" s="52" t="n">
        <v>0.2</v>
      </c>
      <c r="DL129" s="52" t="n">
        <v>0.04</v>
      </c>
      <c r="DM129" s="52" t="n">
        <v>0.16</v>
      </c>
      <c r="DN129" s="52" t="n">
        <v>0.28</v>
      </c>
      <c r="DO129" s="52" t="n">
        <v>0.2</v>
      </c>
      <c r="DP129" s="52" t="n">
        <v>0.16</v>
      </c>
      <c r="DQ129" s="52" t="n">
        <v>0.17</v>
      </c>
      <c r="DR129" s="52" t="n">
        <v>0.25</v>
      </c>
      <c r="DS129" s="52" t="n">
        <v>0.32</v>
      </c>
      <c r="DT129" s="52" t="n">
        <v>0.42</v>
      </c>
      <c r="DU129" s="52" t="n">
        <v>0.48</v>
      </c>
      <c r="DV129" s="52" t="n">
        <v>1</v>
      </c>
      <c r="DW129" s="52" t="n">
        <v>0.51</v>
      </c>
      <c r="DX129" s="52" t="n">
        <v>0.13</v>
      </c>
      <c r="DY129" s="52" t="n">
        <v>0.41</v>
      </c>
      <c r="DZ129" s="52" t="n">
        <v>0.39</v>
      </c>
      <c r="EA129" s="52" t="n">
        <v>0.15</v>
      </c>
      <c r="EB129" s="52" t="n">
        <v>0.44</v>
      </c>
      <c r="EC129" s="52" t="n">
        <v>-0.04</v>
      </c>
      <c r="ED129" s="52" t="n">
        <v>0.27</v>
      </c>
      <c r="EE129" s="52" t="n">
        <v>0.25</v>
      </c>
      <c r="EF129" s="52" t="n">
        <v>0.19</v>
      </c>
      <c r="EG129" s="52" t="n">
        <v>0.11</v>
      </c>
      <c r="EH129" s="52" t="n">
        <v>0.23</v>
      </c>
      <c r="EI129" s="52" t="n">
        <v>0.13</v>
      </c>
      <c r="EJ129" s="52" t="n">
        <v>0.19</v>
      </c>
      <c r="EK129" s="52" t="n">
        <v>0.26</v>
      </c>
      <c r="EL129" s="52" t="n">
        <v>0.2</v>
      </c>
      <c r="EM129" s="52" t="n">
        <v>0.31</v>
      </c>
      <c r="EN129" s="52" t="n">
        <v>0.16</v>
      </c>
      <c r="EO129" s="52" t="n">
        <v>0.14</v>
      </c>
    </row>
    <row r="130" customFormat="false" ht="15" hidden="false" customHeight="false" outlineLevel="0" collapsed="false">
      <c r="A130" s="51" t="s">
        <v>270</v>
      </c>
      <c r="B130" s="52" t="n">
        <v>0.1</v>
      </c>
      <c r="C130" s="52" t="n">
        <v>-0.12</v>
      </c>
      <c r="D130" s="52" t="n">
        <v>0.07</v>
      </c>
      <c r="E130" s="52" t="n">
        <v>0.02</v>
      </c>
      <c r="F130" s="52" t="n">
        <v>-0.04</v>
      </c>
      <c r="G130" s="52" t="n">
        <v>-0.08</v>
      </c>
      <c r="H130" s="52" t="n">
        <v>0.03</v>
      </c>
      <c r="I130" s="52" t="n">
        <v>0.17</v>
      </c>
      <c r="J130" s="52" t="n">
        <v>-0.01</v>
      </c>
      <c r="K130" s="52" t="n">
        <v>0.01</v>
      </c>
      <c r="L130" s="52" t="n">
        <v>-0.01</v>
      </c>
      <c r="M130" s="52" t="n">
        <v>0.23</v>
      </c>
      <c r="N130" s="52" t="n">
        <v>0.14</v>
      </c>
      <c r="O130" s="52" t="n">
        <v>-0.04</v>
      </c>
      <c r="P130" s="52" t="n">
        <v>0.03</v>
      </c>
      <c r="Q130" s="52" t="n">
        <v>-0.04</v>
      </c>
      <c r="R130" s="52" t="n">
        <v>0.02</v>
      </c>
      <c r="S130" s="52" t="n">
        <v>0.06</v>
      </c>
      <c r="T130" s="52" t="n">
        <v>0.23</v>
      </c>
      <c r="U130" s="52" t="n">
        <v>0.11</v>
      </c>
      <c r="V130" s="52" t="n">
        <v>-0.03</v>
      </c>
      <c r="W130" s="52" t="n">
        <v>0.03</v>
      </c>
      <c r="X130" s="52" t="n">
        <v>0.21</v>
      </c>
      <c r="Y130" s="52" t="n">
        <v>0.33</v>
      </c>
      <c r="Z130" s="52" t="n">
        <v>0.04</v>
      </c>
      <c r="AA130" s="52" t="n">
        <v>-0.02</v>
      </c>
      <c r="AB130" s="52" t="n">
        <v>0.35</v>
      </c>
      <c r="AC130" s="52" t="n">
        <v>-0.04</v>
      </c>
      <c r="AD130" s="52" t="n">
        <v>-0.11</v>
      </c>
      <c r="AE130" s="52" t="n">
        <v>0.06</v>
      </c>
      <c r="AF130" s="52" t="n">
        <v>-0.02</v>
      </c>
      <c r="AG130" s="52" t="n">
        <v>-0.04</v>
      </c>
      <c r="AH130" s="52" t="n">
        <v>-0.11</v>
      </c>
      <c r="AI130" s="52" t="n">
        <v>-0.16</v>
      </c>
      <c r="AJ130" s="52" t="n">
        <v>0.02</v>
      </c>
      <c r="AK130" s="52" t="n">
        <v>0.07</v>
      </c>
      <c r="AL130" s="52" t="n">
        <v>0.25</v>
      </c>
      <c r="AM130" s="52" t="n">
        <v>0.15</v>
      </c>
      <c r="AN130" s="52" t="n">
        <v>0.22</v>
      </c>
      <c r="AO130" s="52" t="n">
        <v>0.03</v>
      </c>
      <c r="AP130" s="52" t="n">
        <v>0.3</v>
      </c>
      <c r="AQ130" s="52" t="n">
        <v>-0.19</v>
      </c>
      <c r="AR130" s="52" t="n">
        <v>0.24</v>
      </c>
      <c r="AS130" s="52" t="n">
        <v>0.06</v>
      </c>
      <c r="AT130" s="52" t="n">
        <v>0.41</v>
      </c>
      <c r="AU130" s="52" t="n">
        <v>-0.02</v>
      </c>
      <c r="AV130" s="52" t="n">
        <v>0.12</v>
      </c>
      <c r="AW130" s="52" t="n">
        <v>0.04</v>
      </c>
      <c r="AX130" s="52" t="n">
        <v>0.01</v>
      </c>
      <c r="AY130" s="52" t="n">
        <v>0.2</v>
      </c>
      <c r="AZ130" s="52" t="n">
        <v>0.12</v>
      </c>
      <c r="BA130" s="52" t="n">
        <v>0.1</v>
      </c>
      <c r="BB130" s="52" t="n">
        <v>0.3</v>
      </c>
      <c r="BC130" s="52" t="n">
        <v>0.1</v>
      </c>
      <c r="BD130" s="52" t="n">
        <v>0.08</v>
      </c>
      <c r="BE130" s="52" t="n">
        <v>0</v>
      </c>
      <c r="BF130" s="52" t="n">
        <v>0.04</v>
      </c>
      <c r="BG130" s="52" t="n">
        <v>0.32</v>
      </c>
      <c r="BH130" s="52" t="n">
        <v>0.23</v>
      </c>
      <c r="BI130" s="52" t="n">
        <v>0.08</v>
      </c>
      <c r="BJ130" s="52" t="n">
        <v>-0.06</v>
      </c>
      <c r="BK130" s="52" t="n">
        <v>0.09</v>
      </c>
      <c r="BL130" s="52" t="n">
        <v>0.11</v>
      </c>
      <c r="BM130" s="52" t="n">
        <v>0.17</v>
      </c>
      <c r="BN130" s="52" t="n">
        <v>-0.09</v>
      </c>
      <c r="BO130" s="52" t="n">
        <v>0.28</v>
      </c>
      <c r="BP130" s="52" t="n">
        <v>0.34</v>
      </c>
      <c r="BQ130" s="52" t="n">
        <v>0.12</v>
      </c>
      <c r="BR130" s="52" t="n">
        <v>0.29</v>
      </c>
      <c r="BS130" s="52" t="n">
        <v>-0.13</v>
      </c>
      <c r="BT130" s="52" t="n">
        <v>0.18</v>
      </c>
      <c r="BU130" s="52" t="n">
        <v>0.14</v>
      </c>
      <c r="BV130" s="52" t="n">
        <v>0.27</v>
      </c>
      <c r="BW130" s="52" t="n">
        <v>0.19</v>
      </c>
      <c r="BX130" s="52" t="n">
        <v>0.1</v>
      </c>
      <c r="BY130" s="52" t="n">
        <v>0.27</v>
      </c>
      <c r="BZ130" s="52" t="n">
        <v>0.19</v>
      </c>
      <c r="CA130" s="52" t="n">
        <v>-0.02</v>
      </c>
      <c r="CB130" s="52" t="n">
        <v>-0.08</v>
      </c>
      <c r="CC130" s="52" t="n">
        <v>0.11</v>
      </c>
      <c r="CD130" s="52" t="n">
        <v>0.37</v>
      </c>
      <c r="CE130" s="52" t="n">
        <v>0.14</v>
      </c>
      <c r="CF130" s="52" t="n">
        <v>-0.18</v>
      </c>
      <c r="CG130" s="52" t="n">
        <v>0.5</v>
      </c>
      <c r="CH130" s="52" t="n">
        <v>0.13</v>
      </c>
      <c r="CI130" s="52" t="n">
        <v>-0.12</v>
      </c>
      <c r="CJ130" s="52" t="n">
        <v>0.25</v>
      </c>
      <c r="CK130" s="52" t="n">
        <v>0.28</v>
      </c>
      <c r="CL130" s="52" t="n">
        <v>0.16</v>
      </c>
      <c r="CM130" s="52" t="n">
        <v>0.29</v>
      </c>
      <c r="CN130" s="52" t="n">
        <v>-0.04</v>
      </c>
      <c r="CO130" s="52" t="n">
        <v>0.15</v>
      </c>
      <c r="CP130" s="52" t="n">
        <v>0.2</v>
      </c>
      <c r="CQ130" s="52" t="n">
        <v>0.34</v>
      </c>
      <c r="CR130" s="52" t="n">
        <v>0.25</v>
      </c>
      <c r="CS130" s="52" t="n">
        <v>0.03</v>
      </c>
      <c r="CT130" s="52" t="n">
        <v>0.37</v>
      </c>
      <c r="CU130" s="52" t="n">
        <v>0.17</v>
      </c>
      <c r="CV130" s="52" t="n">
        <v>0.36</v>
      </c>
      <c r="CW130" s="52" t="n">
        <v>0.39</v>
      </c>
      <c r="CX130" s="52" t="n">
        <v>0.33</v>
      </c>
      <c r="CY130" s="52" t="n">
        <v>0.27</v>
      </c>
      <c r="CZ130" s="52" t="n">
        <v>0.34</v>
      </c>
      <c r="DA130" s="52" t="n">
        <v>0.41</v>
      </c>
      <c r="DB130" s="52" t="n">
        <v>0.29</v>
      </c>
      <c r="DC130" s="52" t="n">
        <v>0.18</v>
      </c>
      <c r="DD130" s="52" t="n">
        <v>0.53</v>
      </c>
      <c r="DE130" s="52" t="n">
        <v>0.19</v>
      </c>
      <c r="DF130" s="52" t="n">
        <v>0.43</v>
      </c>
      <c r="DG130" s="52" t="n">
        <v>0.23</v>
      </c>
      <c r="DH130" s="52" t="n">
        <v>0.25</v>
      </c>
      <c r="DI130" s="52" t="n">
        <v>0.31</v>
      </c>
      <c r="DJ130" s="52" t="n">
        <v>0.3</v>
      </c>
      <c r="DK130" s="52" t="n">
        <v>0.34</v>
      </c>
      <c r="DL130" s="52" t="n">
        <v>0.06</v>
      </c>
      <c r="DM130" s="52" t="n">
        <v>0.35</v>
      </c>
      <c r="DN130" s="52" t="n">
        <v>0.34</v>
      </c>
      <c r="DO130" s="52" t="n">
        <v>0.11</v>
      </c>
      <c r="DP130" s="52" t="n">
        <v>0.39</v>
      </c>
      <c r="DQ130" s="52" t="n">
        <v>0.12</v>
      </c>
      <c r="DR130" s="52" t="n">
        <v>0.13</v>
      </c>
      <c r="DS130" s="52" t="n">
        <v>0.3</v>
      </c>
      <c r="DT130" s="52" t="n">
        <v>0.34</v>
      </c>
      <c r="DU130" s="52" t="n">
        <v>0.46</v>
      </c>
      <c r="DV130" s="52" t="n">
        <v>0.51</v>
      </c>
      <c r="DW130" s="52" t="n">
        <v>1</v>
      </c>
      <c r="DX130" s="52" t="n">
        <v>0.06</v>
      </c>
      <c r="DY130" s="52" t="n">
        <v>0.54</v>
      </c>
      <c r="DZ130" s="52" t="n">
        <v>0.37</v>
      </c>
      <c r="EA130" s="52" t="n">
        <v>0.23</v>
      </c>
      <c r="EB130" s="52" t="n">
        <v>0.53</v>
      </c>
      <c r="EC130" s="52" t="n">
        <v>0.05</v>
      </c>
      <c r="ED130" s="52" t="n">
        <v>0.24</v>
      </c>
      <c r="EE130" s="52" t="n">
        <v>0.09</v>
      </c>
      <c r="EF130" s="52" t="n">
        <v>0.14</v>
      </c>
      <c r="EG130" s="52" t="n">
        <v>0.02</v>
      </c>
      <c r="EH130" s="52" t="n">
        <v>0.42</v>
      </c>
      <c r="EI130" s="52" t="n">
        <v>0.05</v>
      </c>
      <c r="EJ130" s="52" t="n">
        <v>0.23</v>
      </c>
      <c r="EK130" s="52" t="n">
        <v>0.17</v>
      </c>
      <c r="EL130" s="52" t="n">
        <v>0.18</v>
      </c>
      <c r="EM130" s="52" t="n">
        <v>0.23</v>
      </c>
      <c r="EN130" s="52" t="n">
        <v>0.13</v>
      </c>
      <c r="EO130" s="52" t="n">
        <v>0.1</v>
      </c>
    </row>
    <row r="131" customFormat="false" ht="15" hidden="false" customHeight="false" outlineLevel="0" collapsed="false">
      <c r="A131" s="51" t="s">
        <v>271</v>
      </c>
      <c r="B131" s="52" t="n">
        <v>-0.15</v>
      </c>
      <c r="C131" s="52" t="n">
        <v>0.03</v>
      </c>
      <c r="D131" s="52" t="n">
        <v>0.06</v>
      </c>
      <c r="E131" s="52" t="n">
        <v>0.05</v>
      </c>
      <c r="F131" s="52" t="n">
        <v>-0.19</v>
      </c>
      <c r="G131" s="52" t="n">
        <v>0.01</v>
      </c>
      <c r="H131" s="52" t="n">
        <v>0.1</v>
      </c>
      <c r="I131" s="52" t="n">
        <v>-0.16</v>
      </c>
      <c r="J131" s="52" t="n">
        <v>-0.13</v>
      </c>
      <c r="K131" s="52" t="n">
        <v>-0.17</v>
      </c>
      <c r="L131" s="52" t="n">
        <v>0.12</v>
      </c>
      <c r="M131" s="52" t="n">
        <v>0.25</v>
      </c>
      <c r="N131" s="52" t="n">
        <v>-0.01</v>
      </c>
      <c r="O131" s="52" t="n">
        <v>0.04</v>
      </c>
      <c r="P131" s="52" t="n">
        <v>-0.09</v>
      </c>
      <c r="Q131" s="52" t="n">
        <v>0.04</v>
      </c>
      <c r="R131" s="52" t="n">
        <v>-0.23</v>
      </c>
      <c r="S131" s="52" t="n">
        <v>-0.07</v>
      </c>
      <c r="T131" s="52" t="n">
        <v>0.21</v>
      </c>
      <c r="U131" s="52" t="n">
        <v>0.13</v>
      </c>
      <c r="V131" s="52" t="n">
        <v>0.03</v>
      </c>
      <c r="W131" s="52" t="n">
        <v>0.1</v>
      </c>
      <c r="X131" s="52" t="n">
        <v>0.27</v>
      </c>
      <c r="Y131" s="52" t="n">
        <v>-0.08</v>
      </c>
      <c r="Z131" s="52" t="n">
        <v>0.06</v>
      </c>
      <c r="AA131" s="52" t="n">
        <v>0.07</v>
      </c>
      <c r="AB131" s="52" t="n">
        <v>-0.11</v>
      </c>
      <c r="AC131" s="52" t="n">
        <v>0.04</v>
      </c>
      <c r="AD131" s="52" t="n">
        <v>0.16</v>
      </c>
      <c r="AE131" s="52" t="n">
        <v>0.23</v>
      </c>
      <c r="AF131" s="52" t="n">
        <v>0.22</v>
      </c>
      <c r="AG131" s="52" t="n">
        <v>-0.26</v>
      </c>
      <c r="AH131" s="52" t="n">
        <v>-0.25</v>
      </c>
      <c r="AI131" s="52" t="n">
        <v>-0.15</v>
      </c>
      <c r="AJ131" s="52" t="n">
        <v>0.13</v>
      </c>
      <c r="AK131" s="52" t="n">
        <v>0.21</v>
      </c>
      <c r="AL131" s="52" t="n">
        <v>-0.03</v>
      </c>
      <c r="AM131" s="52" t="n">
        <v>0.08</v>
      </c>
      <c r="AN131" s="52" t="n">
        <v>0.13</v>
      </c>
      <c r="AO131" s="52" t="n">
        <v>-0.06</v>
      </c>
      <c r="AP131" s="52" t="n">
        <v>-0.03</v>
      </c>
      <c r="AQ131" s="52" t="n">
        <v>-0.13</v>
      </c>
      <c r="AR131" s="52" t="n">
        <v>0.19</v>
      </c>
      <c r="AS131" s="52" t="n">
        <v>0.11</v>
      </c>
      <c r="AT131" s="52" t="n">
        <v>0.17</v>
      </c>
      <c r="AU131" s="52" t="n">
        <v>-0.06</v>
      </c>
      <c r="AV131" s="52" t="n">
        <v>0.09</v>
      </c>
      <c r="AW131" s="52" t="n">
        <v>0.2</v>
      </c>
      <c r="AX131" s="52" t="n">
        <v>0.02</v>
      </c>
      <c r="AY131" s="52" t="n">
        <v>0.15</v>
      </c>
      <c r="AZ131" s="52" t="n">
        <v>0.34</v>
      </c>
      <c r="BA131" s="52" t="n">
        <v>0.27</v>
      </c>
      <c r="BB131" s="52" t="n">
        <v>0.42</v>
      </c>
      <c r="BC131" s="52" t="n">
        <v>0.11</v>
      </c>
      <c r="BD131" s="52" t="n">
        <v>0.13</v>
      </c>
      <c r="BE131" s="52" t="n">
        <v>0.02</v>
      </c>
      <c r="BF131" s="52" t="n">
        <v>0.14</v>
      </c>
      <c r="BG131" s="52" t="n">
        <v>0.1</v>
      </c>
      <c r="BH131" s="52" t="n">
        <v>0.07</v>
      </c>
      <c r="BI131" s="52" t="n">
        <v>0.05</v>
      </c>
      <c r="BJ131" s="52" t="n">
        <v>0.08</v>
      </c>
      <c r="BK131" s="52" t="n">
        <v>0.22</v>
      </c>
      <c r="BL131" s="52" t="n">
        <v>0.36</v>
      </c>
      <c r="BM131" s="52" t="n">
        <v>0</v>
      </c>
      <c r="BN131" s="52" t="n">
        <v>0.05</v>
      </c>
      <c r="BO131" s="52" t="n">
        <v>0.21</v>
      </c>
      <c r="BP131" s="52" t="n">
        <v>0.02</v>
      </c>
      <c r="BQ131" s="52" t="n">
        <v>0.33</v>
      </c>
      <c r="BR131" s="52" t="n">
        <v>0.2</v>
      </c>
      <c r="BS131" s="52" t="n">
        <v>-0.06</v>
      </c>
      <c r="BT131" s="52" t="n">
        <v>0.37</v>
      </c>
      <c r="BU131" s="52" t="n">
        <v>0.14</v>
      </c>
      <c r="BV131" s="52" t="n">
        <v>0.22</v>
      </c>
      <c r="BW131" s="52" t="n">
        <v>0.08</v>
      </c>
      <c r="BX131" s="52" t="n">
        <v>-0.05</v>
      </c>
      <c r="BY131" s="52" t="n">
        <v>0.16</v>
      </c>
      <c r="BZ131" s="52" t="n">
        <v>0.24</v>
      </c>
      <c r="CA131" s="52" t="n">
        <v>0.13</v>
      </c>
      <c r="CB131" s="52" t="n">
        <v>-0.06</v>
      </c>
      <c r="CC131" s="52" t="n">
        <v>0.03</v>
      </c>
      <c r="CD131" s="52" t="n">
        <v>0.06</v>
      </c>
      <c r="CE131" s="52" t="n">
        <v>0.39</v>
      </c>
      <c r="CF131" s="52" t="n">
        <v>-0.1</v>
      </c>
      <c r="CG131" s="52" t="n">
        <v>0.08</v>
      </c>
      <c r="CH131" s="52" t="n">
        <v>0.43</v>
      </c>
      <c r="CI131" s="52" t="n">
        <v>-0.12</v>
      </c>
      <c r="CJ131" s="52" t="n">
        <v>-0.14</v>
      </c>
      <c r="CK131" s="52" t="n">
        <v>-0.02</v>
      </c>
      <c r="CL131" s="52" t="n">
        <v>0.16</v>
      </c>
      <c r="CM131" s="52" t="n">
        <v>0.48</v>
      </c>
      <c r="CN131" s="52" t="n">
        <v>0.12</v>
      </c>
      <c r="CO131" s="52" t="n">
        <v>0.13</v>
      </c>
      <c r="CP131" s="52" t="n">
        <v>0.06</v>
      </c>
      <c r="CQ131" s="52" t="n">
        <v>0.38</v>
      </c>
      <c r="CR131" s="52" t="n">
        <v>0.73</v>
      </c>
      <c r="CS131" s="52" t="n">
        <v>0.71</v>
      </c>
      <c r="CT131" s="52" t="n">
        <v>0.22</v>
      </c>
      <c r="CU131" s="52" t="n">
        <v>0.19</v>
      </c>
      <c r="CV131" s="52" t="n">
        <v>0.12</v>
      </c>
      <c r="CW131" s="52" t="n">
        <v>0.05</v>
      </c>
      <c r="CX131" s="52" t="n">
        <v>0.24</v>
      </c>
      <c r="CY131" s="52" t="n">
        <v>0.33</v>
      </c>
      <c r="CZ131" s="52" t="n">
        <v>0.03</v>
      </c>
      <c r="DA131" s="52" t="n">
        <v>0.03</v>
      </c>
      <c r="DB131" s="52" t="n">
        <v>0.4</v>
      </c>
      <c r="DC131" s="52" t="n">
        <v>0.28</v>
      </c>
      <c r="DD131" s="52" t="n">
        <v>0.18</v>
      </c>
      <c r="DE131" s="52" t="n">
        <v>0.56</v>
      </c>
      <c r="DF131" s="52" t="n">
        <v>-0.22</v>
      </c>
      <c r="DG131" s="52" t="n">
        <v>0.36</v>
      </c>
      <c r="DH131" s="52" t="n">
        <v>0.55</v>
      </c>
      <c r="DI131" s="52" t="n">
        <v>0.31</v>
      </c>
      <c r="DJ131" s="52" t="n">
        <v>0.27</v>
      </c>
      <c r="DK131" s="52" t="n">
        <v>0.39</v>
      </c>
      <c r="DL131" s="52" t="n">
        <v>0.25</v>
      </c>
      <c r="DM131" s="52" t="n">
        <v>0.33</v>
      </c>
      <c r="DN131" s="52" t="n">
        <v>0.06</v>
      </c>
      <c r="DO131" s="52" t="n">
        <v>0.38</v>
      </c>
      <c r="DP131" s="52" t="n">
        <v>0.21</v>
      </c>
      <c r="DQ131" s="52" t="n">
        <v>0.33</v>
      </c>
      <c r="DR131" s="52" t="n">
        <v>0.36</v>
      </c>
      <c r="DS131" s="52" t="n">
        <v>-0.07</v>
      </c>
      <c r="DT131" s="52" t="n">
        <v>0.29</v>
      </c>
      <c r="DU131" s="52" t="n">
        <v>0.33</v>
      </c>
      <c r="DV131" s="52" t="n">
        <v>0.13</v>
      </c>
      <c r="DW131" s="52" t="n">
        <v>0.06</v>
      </c>
      <c r="DX131" s="52" t="n">
        <v>1</v>
      </c>
      <c r="DY131" s="52" t="n">
        <v>0.21</v>
      </c>
      <c r="DZ131" s="52" t="n">
        <v>0.09</v>
      </c>
      <c r="EA131" s="52" t="n">
        <v>0.19</v>
      </c>
      <c r="EB131" s="52" t="n">
        <v>0.27</v>
      </c>
      <c r="EC131" s="52" t="n">
        <v>0.15</v>
      </c>
      <c r="ED131" s="52" t="n">
        <v>0.3</v>
      </c>
      <c r="EE131" s="52" t="n">
        <v>0.64</v>
      </c>
      <c r="EF131" s="52" t="n">
        <v>0.25</v>
      </c>
      <c r="EG131" s="52" t="n">
        <v>0.6</v>
      </c>
      <c r="EH131" s="52" t="n">
        <v>0</v>
      </c>
      <c r="EI131" s="52" t="n">
        <v>0.73</v>
      </c>
      <c r="EJ131" s="52" t="n">
        <v>0.19</v>
      </c>
      <c r="EK131" s="52" t="n">
        <v>0.47</v>
      </c>
      <c r="EL131" s="52" t="n">
        <v>0.55</v>
      </c>
      <c r="EM131" s="52" t="n">
        <v>0.13</v>
      </c>
      <c r="EN131" s="52" t="n">
        <v>0.07</v>
      </c>
      <c r="EO131" s="52" t="n">
        <v>0.1</v>
      </c>
    </row>
    <row r="132" customFormat="false" ht="15" hidden="false" customHeight="false" outlineLevel="0" collapsed="false">
      <c r="A132" s="51" t="s">
        <v>272</v>
      </c>
      <c r="B132" s="52" t="n">
        <v>0.15</v>
      </c>
      <c r="C132" s="52" t="n">
        <v>0.01</v>
      </c>
      <c r="D132" s="52" t="n">
        <v>0.03</v>
      </c>
      <c r="E132" s="52" t="n">
        <v>0.09</v>
      </c>
      <c r="F132" s="52" t="n">
        <v>0</v>
      </c>
      <c r="G132" s="52" t="n">
        <v>-0.04</v>
      </c>
      <c r="H132" s="52" t="n">
        <v>-0.05</v>
      </c>
      <c r="I132" s="52" t="n">
        <v>0.12</v>
      </c>
      <c r="J132" s="52" t="n">
        <v>-0.13</v>
      </c>
      <c r="K132" s="52" t="n">
        <v>0.01</v>
      </c>
      <c r="L132" s="52" t="n">
        <v>0.07</v>
      </c>
      <c r="M132" s="52" t="n">
        <v>0.36</v>
      </c>
      <c r="N132" s="52" t="n">
        <v>0.11</v>
      </c>
      <c r="O132" s="52" t="n">
        <v>0.03</v>
      </c>
      <c r="P132" s="52" t="n">
        <v>0.02</v>
      </c>
      <c r="Q132" s="52" t="n">
        <v>0.04</v>
      </c>
      <c r="R132" s="52" t="n">
        <v>0.01</v>
      </c>
      <c r="S132" s="52" t="n">
        <v>0.04</v>
      </c>
      <c r="T132" s="52" t="n">
        <v>0.35</v>
      </c>
      <c r="U132" s="52" t="n">
        <v>0.14</v>
      </c>
      <c r="V132" s="52" t="n">
        <v>0.1</v>
      </c>
      <c r="W132" s="52" t="n">
        <v>0.06</v>
      </c>
      <c r="X132" s="52" t="n">
        <v>0.31</v>
      </c>
      <c r="Y132" s="52" t="n">
        <v>0.36</v>
      </c>
      <c r="Z132" s="52" t="n">
        <v>0.1</v>
      </c>
      <c r="AA132" s="52" t="n">
        <v>0.02</v>
      </c>
      <c r="AB132" s="52" t="n">
        <v>0.37</v>
      </c>
      <c r="AC132" s="52" t="n">
        <v>0</v>
      </c>
      <c r="AD132" s="52" t="n">
        <v>0.04</v>
      </c>
      <c r="AE132" s="52" t="n">
        <v>0.16</v>
      </c>
      <c r="AF132" s="52" t="n">
        <v>0.08</v>
      </c>
      <c r="AG132" s="52" t="n">
        <v>-0.06</v>
      </c>
      <c r="AH132" s="52" t="n">
        <v>-0.05</v>
      </c>
      <c r="AI132" s="52" t="n">
        <v>-0.15</v>
      </c>
      <c r="AJ132" s="52" t="n">
        <v>-0.02</v>
      </c>
      <c r="AK132" s="52" t="n">
        <v>0.04</v>
      </c>
      <c r="AL132" s="52" t="n">
        <v>0.28</v>
      </c>
      <c r="AM132" s="52" t="n">
        <v>0.14</v>
      </c>
      <c r="AN132" s="52" t="n">
        <v>0.35</v>
      </c>
      <c r="AO132" s="52" t="n">
        <v>-0.02</v>
      </c>
      <c r="AP132" s="52" t="n">
        <v>0.35</v>
      </c>
      <c r="AQ132" s="52" t="n">
        <v>-0.17</v>
      </c>
      <c r="AR132" s="52" t="n">
        <v>0.3</v>
      </c>
      <c r="AS132" s="52" t="n">
        <v>0.08</v>
      </c>
      <c r="AT132" s="52" t="n">
        <v>0.56</v>
      </c>
      <c r="AU132" s="52" t="n">
        <v>-0.08</v>
      </c>
      <c r="AV132" s="52" t="n">
        <v>0.13</v>
      </c>
      <c r="AW132" s="52" t="n">
        <v>0.13</v>
      </c>
      <c r="AX132" s="52" t="n">
        <v>0.05</v>
      </c>
      <c r="AY132" s="52" t="n">
        <v>0.31</v>
      </c>
      <c r="AZ132" s="52" t="n">
        <v>0.17</v>
      </c>
      <c r="BA132" s="52" t="n">
        <v>0.21</v>
      </c>
      <c r="BB132" s="52" t="n">
        <v>0.45</v>
      </c>
      <c r="BC132" s="52" t="n">
        <v>0.1</v>
      </c>
      <c r="BD132" s="52" t="n">
        <v>0.08</v>
      </c>
      <c r="BE132" s="52" t="n">
        <v>0.05</v>
      </c>
      <c r="BF132" s="52" t="n">
        <v>0.11</v>
      </c>
      <c r="BG132" s="52" t="n">
        <v>0.37</v>
      </c>
      <c r="BH132" s="52" t="n">
        <v>0.13</v>
      </c>
      <c r="BI132" s="52" t="n">
        <v>0.2</v>
      </c>
      <c r="BJ132" s="52" t="n">
        <v>-0.03</v>
      </c>
      <c r="BK132" s="52" t="n">
        <v>0.14</v>
      </c>
      <c r="BL132" s="52" t="n">
        <v>0.2</v>
      </c>
      <c r="BM132" s="52" t="n">
        <v>0.26</v>
      </c>
      <c r="BN132" s="52" t="n">
        <v>-0.05</v>
      </c>
      <c r="BO132" s="52" t="n">
        <v>0.31</v>
      </c>
      <c r="BP132" s="52" t="n">
        <v>0.39</v>
      </c>
      <c r="BQ132" s="52" t="n">
        <v>0.2</v>
      </c>
      <c r="BR132" s="52" t="n">
        <v>0.35</v>
      </c>
      <c r="BS132" s="52" t="n">
        <v>-0.15</v>
      </c>
      <c r="BT132" s="52" t="n">
        <v>0.29</v>
      </c>
      <c r="BU132" s="52" t="n">
        <v>0.1</v>
      </c>
      <c r="BV132" s="52" t="n">
        <v>0.45</v>
      </c>
      <c r="BW132" s="52" t="n">
        <v>0.3</v>
      </c>
      <c r="BX132" s="52" t="n">
        <v>0.09</v>
      </c>
      <c r="BY132" s="52" t="n">
        <v>0.31</v>
      </c>
      <c r="BZ132" s="52" t="n">
        <v>0.36</v>
      </c>
      <c r="CA132" s="52" t="n">
        <v>0.04</v>
      </c>
      <c r="CB132" s="52" t="n">
        <v>0.01</v>
      </c>
      <c r="CC132" s="52" t="n">
        <v>0.1</v>
      </c>
      <c r="CD132" s="52" t="n">
        <v>0.37</v>
      </c>
      <c r="CE132" s="52" t="n">
        <v>0.23</v>
      </c>
      <c r="CF132" s="52" t="n">
        <v>-0.14</v>
      </c>
      <c r="CG132" s="52" t="n">
        <v>0.45</v>
      </c>
      <c r="CH132" s="52" t="n">
        <v>0.16</v>
      </c>
      <c r="CI132" s="52" t="n">
        <v>-0.15</v>
      </c>
      <c r="CJ132" s="52" t="n">
        <v>0.21</v>
      </c>
      <c r="CK132" s="52" t="n">
        <v>0.28</v>
      </c>
      <c r="CL132" s="52" t="n">
        <v>0.24</v>
      </c>
      <c r="CM132" s="52" t="n">
        <v>0.28</v>
      </c>
      <c r="CN132" s="52" t="n">
        <v>0.04</v>
      </c>
      <c r="CO132" s="52" t="n">
        <v>0.24</v>
      </c>
      <c r="CP132" s="52" t="n">
        <v>0.18</v>
      </c>
      <c r="CQ132" s="52" t="n">
        <v>0.45</v>
      </c>
      <c r="CR132" s="52" t="n">
        <v>0.32</v>
      </c>
      <c r="CS132" s="52" t="n">
        <v>0.18</v>
      </c>
      <c r="CT132" s="52" t="n">
        <v>0.41</v>
      </c>
      <c r="CU132" s="52" t="n">
        <v>0.12</v>
      </c>
      <c r="CV132" s="52" t="n">
        <v>0.33</v>
      </c>
      <c r="CW132" s="52" t="n">
        <v>0.48</v>
      </c>
      <c r="CX132" s="52" t="n">
        <v>0.41</v>
      </c>
      <c r="CY132" s="52" t="n">
        <v>0.37</v>
      </c>
      <c r="CZ132" s="52" t="n">
        <v>0.25</v>
      </c>
      <c r="DA132" s="52" t="n">
        <v>0.33</v>
      </c>
      <c r="DB132" s="52" t="n">
        <v>0.41</v>
      </c>
      <c r="DC132" s="52" t="n">
        <v>0.29</v>
      </c>
      <c r="DD132" s="52" t="n">
        <v>0.57</v>
      </c>
      <c r="DE132" s="52" t="n">
        <v>0.3</v>
      </c>
      <c r="DF132" s="52" t="n">
        <v>0.3</v>
      </c>
      <c r="DG132" s="52" t="n">
        <v>0.26</v>
      </c>
      <c r="DH132" s="52" t="n">
        <v>0.27</v>
      </c>
      <c r="DI132" s="52" t="n">
        <v>0.47</v>
      </c>
      <c r="DJ132" s="52" t="n">
        <v>0.33</v>
      </c>
      <c r="DK132" s="52" t="n">
        <v>0.48</v>
      </c>
      <c r="DL132" s="52" t="n">
        <v>0.06</v>
      </c>
      <c r="DM132" s="52" t="n">
        <v>0.41</v>
      </c>
      <c r="DN132" s="52" t="n">
        <v>0.39</v>
      </c>
      <c r="DO132" s="52" t="n">
        <v>0.25</v>
      </c>
      <c r="DP132" s="52" t="n">
        <v>0.37</v>
      </c>
      <c r="DQ132" s="52" t="n">
        <v>0.28</v>
      </c>
      <c r="DR132" s="52" t="n">
        <v>0.22</v>
      </c>
      <c r="DS132" s="52" t="n">
        <v>0.38</v>
      </c>
      <c r="DT132" s="52" t="n">
        <v>0.35</v>
      </c>
      <c r="DU132" s="52" t="n">
        <v>0.66</v>
      </c>
      <c r="DV132" s="52" t="n">
        <v>0.41</v>
      </c>
      <c r="DW132" s="52" t="n">
        <v>0.54</v>
      </c>
      <c r="DX132" s="52" t="n">
        <v>0.21</v>
      </c>
      <c r="DY132" s="52" t="n">
        <v>1</v>
      </c>
      <c r="DZ132" s="52" t="n">
        <v>0.26</v>
      </c>
      <c r="EA132" s="52" t="n">
        <v>0.28</v>
      </c>
      <c r="EB132" s="52" t="n">
        <v>0.74</v>
      </c>
      <c r="EC132" s="52" t="n">
        <v>-0.01</v>
      </c>
      <c r="ED132" s="52" t="n">
        <v>0.3</v>
      </c>
      <c r="EE132" s="52" t="n">
        <v>0.26</v>
      </c>
      <c r="EF132" s="52" t="n">
        <v>0.25</v>
      </c>
      <c r="EG132" s="52" t="n">
        <v>0.22</v>
      </c>
      <c r="EH132" s="52" t="n">
        <v>0.36</v>
      </c>
      <c r="EI132" s="52" t="n">
        <v>0.22</v>
      </c>
      <c r="EJ132" s="52" t="n">
        <v>0.22</v>
      </c>
      <c r="EK132" s="52" t="n">
        <v>0.31</v>
      </c>
      <c r="EL132" s="52" t="n">
        <v>0.31</v>
      </c>
      <c r="EM132" s="52" t="n">
        <v>0.21</v>
      </c>
      <c r="EN132" s="52" t="n">
        <v>0.22</v>
      </c>
      <c r="EO132" s="52" t="n">
        <v>0.25</v>
      </c>
    </row>
    <row r="133" customFormat="false" ht="15" hidden="false" customHeight="false" outlineLevel="0" collapsed="false">
      <c r="A133" s="51" t="s">
        <v>273</v>
      </c>
      <c r="B133" s="52" t="n">
        <v>0.02</v>
      </c>
      <c r="C133" s="52" t="n">
        <v>-0.11</v>
      </c>
      <c r="D133" s="52" t="n">
        <v>0.14</v>
      </c>
      <c r="E133" s="52" t="n">
        <v>0.03</v>
      </c>
      <c r="F133" s="52" t="n">
        <v>-0.06</v>
      </c>
      <c r="G133" s="52" t="n">
        <v>0.04</v>
      </c>
      <c r="H133" s="52" t="n">
        <v>0.04</v>
      </c>
      <c r="I133" s="52" t="n">
        <v>0</v>
      </c>
      <c r="J133" s="52" t="n">
        <v>0</v>
      </c>
      <c r="K133" s="52" t="n">
        <v>-0.09</v>
      </c>
      <c r="L133" s="52" t="n">
        <v>0.11</v>
      </c>
      <c r="M133" s="52" t="n">
        <v>0.1</v>
      </c>
      <c r="N133" s="52" t="n">
        <v>0.12</v>
      </c>
      <c r="O133" s="52" t="n">
        <v>-0.09</v>
      </c>
      <c r="P133" s="52" t="n">
        <v>0.01</v>
      </c>
      <c r="Q133" s="52" t="n">
        <v>0.05</v>
      </c>
      <c r="R133" s="52" t="n">
        <v>-0.05</v>
      </c>
      <c r="S133" s="52" t="n">
        <v>0.06</v>
      </c>
      <c r="T133" s="52" t="n">
        <v>0.11</v>
      </c>
      <c r="U133" s="52" t="n">
        <v>0.07</v>
      </c>
      <c r="V133" s="52" t="n">
        <v>-0.1</v>
      </c>
      <c r="W133" s="52" t="n">
        <v>0.02</v>
      </c>
      <c r="X133" s="52" t="n">
        <v>0.1</v>
      </c>
      <c r="Y133" s="52" t="n">
        <v>0.09</v>
      </c>
      <c r="Z133" s="52" t="n">
        <v>0.04</v>
      </c>
      <c r="AA133" s="52" t="n">
        <v>0.03</v>
      </c>
      <c r="AB133" s="52" t="n">
        <v>0.09</v>
      </c>
      <c r="AC133" s="52" t="n">
        <v>-0.08</v>
      </c>
      <c r="AD133" s="52" t="n">
        <v>-0.04</v>
      </c>
      <c r="AE133" s="52" t="n">
        <v>-0.03</v>
      </c>
      <c r="AF133" s="52" t="n">
        <v>0</v>
      </c>
      <c r="AG133" s="52" t="n">
        <v>-0.08</v>
      </c>
      <c r="AH133" s="52" t="n">
        <v>-0.05</v>
      </c>
      <c r="AI133" s="52" t="n">
        <v>0.03</v>
      </c>
      <c r="AJ133" s="52" t="n">
        <v>0.04</v>
      </c>
      <c r="AK133" s="52" t="n">
        <v>-0.08</v>
      </c>
      <c r="AL133" s="52" t="n">
        <v>0.14</v>
      </c>
      <c r="AM133" s="52" t="n">
        <v>0.18</v>
      </c>
      <c r="AN133" s="52" t="n">
        <v>0.03</v>
      </c>
      <c r="AO133" s="52" t="n">
        <v>-0.01</v>
      </c>
      <c r="AP133" s="52" t="n">
        <v>0.09</v>
      </c>
      <c r="AQ133" s="52" t="n">
        <v>-0.04</v>
      </c>
      <c r="AR133" s="52" t="n">
        <v>0.11</v>
      </c>
      <c r="AS133" s="52" t="n">
        <v>0.03</v>
      </c>
      <c r="AT133" s="52" t="n">
        <v>0.14</v>
      </c>
      <c r="AU133" s="52" t="n">
        <v>0</v>
      </c>
      <c r="AV133" s="52" t="n">
        <v>0.02</v>
      </c>
      <c r="AW133" s="52" t="n">
        <v>0.03</v>
      </c>
      <c r="AX133" s="52" t="n">
        <v>0.04</v>
      </c>
      <c r="AY133" s="52" t="n">
        <v>0.04</v>
      </c>
      <c r="AZ133" s="52" t="n">
        <v>0.01</v>
      </c>
      <c r="BA133" s="52" t="n">
        <v>0</v>
      </c>
      <c r="BB133" s="52" t="n">
        <v>0.19</v>
      </c>
      <c r="BC133" s="52" t="n">
        <v>0.06</v>
      </c>
      <c r="BD133" s="52" t="n">
        <v>0.07</v>
      </c>
      <c r="BE133" s="52" t="n">
        <v>-0.04</v>
      </c>
      <c r="BF133" s="52" t="n">
        <v>0.07</v>
      </c>
      <c r="BG133" s="52" t="n">
        <v>0.24</v>
      </c>
      <c r="BH133" s="52" t="n">
        <v>0.12</v>
      </c>
      <c r="BI133" s="52" t="n">
        <v>0.09</v>
      </c>
      <c r="BJ133" s="52" t="n">
        <v>-0.03</v>
      </c>
      <c r="BK133" s="52" t="n">
        <v>0.05</v>
      </c>
      <c r="BL133" s="52" t="n">
        <v>0.13</v>
      </c>
      <c r="BM133" s="52" t="n">
        <v>0.03</v>
      </c>
      <c r="BN133" s="52" t="n">
        <v>-0.05</v>
      </c>
      <c r="BO133" s="52" t="n">
        <v>0.17</v>
      </c>
      <c r="BP133" s="52" t="n">
        <v>0.34</v>
      </c>
      <c r="BQ133" s="52" t="n">
        <v>-0.01</v>
      </c>
      <c r="BR133" s="52" t="n">
        <v>0.19</v>
      </c>
      <c r="BS133" s="52" t="n">
        <v>0.07</v>
      </c>
      <c r="BT133" s="52" t="n">
        <v>0.01</v>
      </c>
      <c r="BU133" s="52" t="n">
        <v>0.04</v>
      </c>
      <c r="BV133" s="52" t="n">
        <v>0.22</v>
      </c>
      <c r="BW133" s="52" t="n">
        <v>0.21</v>
      </c>
      <c r="BX133" s="52" t="n">
        <v>0.17</v>
      </c>
      <c r="BY133" s="52" t="n">
        <v>0.07</v>
      </c>
      <c r="BZ133" s="52" t="n">
        <v>0.13</v>
      </c>
      <c r="CA133" s="52" t="n">
        <v>-0.05</v>
      </c>
      <c r="CB133" s="52" t="n">
        <v>-0.01</v>
      </c>
      <c r="CC133" s="52" t="n">
        <v>0.08</v>
      </c>
      <c r="CD133" s="52" t="n">
        <v>0.25</v>
      </c>
      <c r="CE133" s="52" t="n">
        <v>0.15</v>
      </c>
      <c r="CF133" s="52" t="n">
        <v>0.1</v>
      </c>
      <c r="CG133" s="52" t="n">
        <v>0.42</v>
      </c>
      <c r="CH133" s="52" t="n">
        <v>-0.02</v>
      </c>
      <c r="CI133" s="52" t="n">
        <v>0.06</v>
      </c>
      <c r="CJ133" s="52" t="n">
        <v>0.14</v>
      </c>
      <c r="CK133" s="52" t="n">
        <v>0.08</v>
      </c>
      <c r="CL133" s="52" t="n">
        <v>0.02</v>
      </c>
      <c r="CM133" s="52" t="n">
        <v>0.21</v>
      </c>
      <c r="CN133" s="52" t="n">
        <v>-0.03</v>
      </c>
      <c r="CO133" s="52" t="n">
        <v>0.05</v>
      </c>
      <c r="CP133" s="52" t="n">
        <v>0.29</v>
      </c>
      <c r="CQ133" s="52" t="n">
        <v>0.14</v>
      </c>
      <c r="CR133" s="52" t="n">
        <v>0.14</v>
      </c>
      <c r="CS133" s="52" t="n">
        <v>0.01</v>
      </c>
      <c r="CT133" s="52" t="n">
        <v>0.32</v>
      </c>
      <c r="CU133" s="52" t="n">
        <v>0.11</v>
      </c>
      <c r="CV133" s="52" t="n">
        <v>0.09</v>
      </c>
      <c r="CW133" s="52" t="n">
        <v>0.17</v>
      </c>
      <c r="CX133" s="52" t="n">
        <v>0.07</v>
      </c>
      <c r="CY133" s="52" t="n">
        <v>0.04</v>
      </c>
      <c r="CZ133" s="52" t="n">
        <v>0.51</v>
      </c>
      <c r="DA133" s="52" t="n">
        <v>0.22</v>
      </c>
      <c r="DB133" s="52" t="n">
        <v>0.22</v>
      </c>
      <c r="DC133" s="52" t="n">
        <v>0.04</v>
      </c>
      <c r="DD133" s="52" t="n">
        <v>0.31</v>
      </c>
      <c r="DE133" s="52" t="n">
        <v>0.04</v>
      </c>
      <c r="DF133" s="52" t="n">
        <v>0.51</v>
      </c>
      <c r="DG133" s="52" t="n">
        <v>0.06</v>
      </c>
      <c r="DH133" s="52" t="n">
        <v>0.17</v>
      </c>
      <c r="DI133" s="52" t="n">
        <v>0.13</v>
      </c>
      <c r="DJ133" s="52" t="n">
        <v>0.13</v>
      </c>
      <c r="DK133" s="52" t="n">
        <v>0.12</v>
      </c>
      <c r="DL133" s="52" t="n">
        <v>0.04</v>
      </c>
      <c r="DM133" s="52" t="n">
        <v>0.1</v>
      </c>
      <c r="DN133" s="52" t="n">
        <v>0.24</v>
      </c>
      <c r="DO133" s="52" t="n">
        <v>0.17</v>
      </c>
      <c r="DP133" s="52" t="n">
        <v>0.1</v>
      </c>
      <c r="DQ133" s="52" t="n">
        <v>0.17</v>
      </c>
      <c r="DR133" s="52" t="n">
        <v>0.11</v>
      </c>
      <c r="DS133" s="52" t="n">
        <v>0.25</v>
      </c>
      <c r="DT133" s="52" t="n">
        <v>0.35</v>
      </c>
      <c r="DU133" s="52" t="n">
        <v>0.27</v>
      </c>
      <c r="DV133" s="52" t="n">
        <v>0.39</v>
      </c>
      <c r="DW133" s="52" t="n">
        <v>0.37</v>
      </c>
      <c r="DX133" s="52" t="n">
        <v>0.09</v>
      </c>
      <c r="DY133" s="52" t="n">
        <v>0.26</v>
      </c>
      <c r="DZ133" s="52" t="n">
        <v>1</v>
      </c>
      <c r="EA133" s="52" t="n">
        <v>0.13</v>
      </c>
      <c r="EB133" s="52" t="n">
        <v>0.35</v>
      </c>
      <c r="EC133" s="52" t="n">
        <v>-0.01</v>
      </c>
      <c r="ED133" s="52" t="n">
        <v>0.18</v>
      </c>
      <c r="EE133" s="52" t="n">
        <v>0.09</v>
      </c>
      <c r="EF133" s="52" t="n">
        <v>0.1</v>
      </c>
      <c r="EG133" s="52" t="n">
        <v>0.1</v>
      </c>
      <c r="EH133" s="52" t="n">
        <v>0.26</v>
      </c>
      <c r="EI133" s="52" t="n">
        <v>0.09</v>
      </c>
      <c r="EJ133" s="52" t="n">
        <v>0.14</v>
      </c>
      <c r="EK133" s="52" t="n">
        <v>0.13</v>
      </c>
      <c r="EL133" s="52" t="n">
        <v>0.09</v>
      </c>
      <c r="EM133" s="52" t="n">
        <v>0.23</v>
      </c>
      <c r="EN133" s="52" t="n">
        <v>0.03</v>
      </c>
      <c r="EO133" s="52" t="n">
        <v>0.1</v>
      </c>
    </row>
    <row r="134" customFormat="false" ht="15" hidden="false" customHeight="false" outlineLevel="0" collapsed="false">
      <c r="A134" s="51" t="s">
        <v>274</v>
      </c>
      <c r="B134" s="52" t="n">
        <v>0</v>
      </c>
      <c r="C134" s="52" t="n">
        <v>0.02</v>
      </c>
      <c r="D134" s="52" t="n">
        <v>0.05</v>
      </c>
      <c r="E134" s="52" t="n">
        <v>0.05</v>
      </c>
      <c r="F134" s="52" t="n">
        <v>0.01</v>
      </c>
      <c r="G134" s="52" t="n">
        <v>0.04</v>
      </c>
      <c r="H134" s="52" t="n">
        <v>0.1</v>
      </c>
      <c r="I134" s="52" t="n">
        <v>0.1</v>
      </c>
      <c r="J134" s="52" t="n">
        <v>0.02</v>
      </c>
      <c r="K134" s="52" t="n">
        <v>0.11</v>
      </c>
      <c r="L134" s="52" t="n">
        <v>0.12</v>
      </c>
      <c r="M134" s="52" t="n">
        <v>0.21</v>
      </c>
      <c r="N134" s="52" t="n">
        <v>0.22</v>
      </c>
      <c r="O134" s="52" t="n">
        <v>0.05</v>
      </c>
      <c r="P134" s="52" t="n">
        <v>-0.07</v>
      </c>
      <c r="Q134" s="52" t="n">
        <v>0.05</v>
      </c>
      <c r="R134" s="52" t="n">
        <v>0.01</v>
      </c>
      <c r="S134" s="52" t="n">
        <v>0.06</v>
      </c>
      <c r="T134" s="52" t="n">
        <v>0.13</v>
      </c>
      <c r="U134" s="52" t="n">
        <v>0.1</v>
      </c>
      <c r="V134" s="52" t="n">
        <v>0.06</v>
      </c>
      <c r="W134" s="52" t="n">
        <v>0.06</v>
      </c>
      <c r="X134" s="52" t="n">
        <v>0.09</v>
      </c>
      <c r="Y134" s="52" t="n">
        <v>0.06</v>
      </c>
      <c r="Z134" s="52" t="n">
        <v>0.16</v>
      </c>
      <c r="AA134" s="52" t="n">
        <v>0.07</v>
      </c>
      <c r="AB134" s="52" t="n">
        <v>0.03</v>
      </c>
      <c r="AC134" s="52" t="n">
        <v>-0.06</v>
      </c>
      <c r="AD134" s="52" t="n">
        <v>0.1</v>
      </c>
      <c r="AE134" s="52" t="n">
        <v>0.15</v>
      </c>
      <c r="AF134" s="52" t="n">
        <v>0.12</v>
      </c>
      <c r="AG134" s="52" t="n">
        <v>-0.17</v>
      </c>
      <c r="AH134" s="52" t="n">
        <v>-0.12</v>
      </c>
      <c r="AI134" s="52" t="n">
        <v>-0.16</v>
      </c>
      <c r="AJ134" s="52" t="n">
        <v>0.18</v>
      </c>
      <c r="AK134" s="52" t="n">
        <v>0.1</v>
      </c>
      <c r="AL134" s="52" t="n">
        <v>0.21</v>
      </c>
      <c r="AM134" s="52" t="n">
        <v>0.04</v>
      </c>
      <c r="AN134" s="52" t="n">
        <v>0.17</v>
      </c>
      <c r="AO134" s="52" t="n">
        <v>0.11</v>
      </c>
      <c r="AP134" s="52" t="n">
        <v>0.25</v>
      </c>
      <c r="AQ134" s="52" t="n">
        <v>-0.18</v>
      </c>
      <c r="AR134" s="52" t="n">
        <v>0.13</v>
      </c>
      <c r="AS134" s="52" t="n">
        <v>0.1</v>
      </c>
      <c r="AT134" s="52" t="n">
        <v>0.23</v>
      </c>
      <c r="AU134" s="52" t="n">
        <v>0.01</v>
      </c>
      <c r="AV134" s="52" t="n">
        <v>0.09</v>
      </c>
      <c r="AW134" s="52" t="n">
        <v>0.08</v>
      </c>
      <c r="AX134" s="52" t="n">
        <v>0.11</v>
      </c>
      <c r="AY134" s="52" t="n">
        <v>0.2</v>
      </c>
      <c r="AZ134" s="52" t="n">
        <v>0.2</v>
      </c>
      <c r="BA134" s="52" t="n">
        <v>0.17</v>
      </c>
      <c r="BB134" s="52" t="n">
        <v>0.2</v>
      </c>
      <c r="BC134" s="52" t="n">
        <v>0.08</v>
      </c>
      <c r="BD134" s="52" t="n">
        <v>0.11</v>
      </c>
      <c r="BE134" s="52" t="n">
        <v>0.14</v>
      </c>
      <c r="BF134" s="52" t="n">
        <v>0.09</v>
      </c>
      <c r="BG134" s="52" t="n">
        <v>0.22</v>
      </c>
      <c r="BH134" s="52" t="n">
        <v>0.12</v>
      </c>
      <c r="BI134" s="52" t="n">
        <v>-0.02</v>
      </c>
      <c r="BJ134" s="52" t="n">
        <v>0.06</v>
      </c>
      <c r="BK134" s="52" t="n">
        <v>0.19</v>
      </c>
      <c r="BL134" s="52" t="n">
        <v>0.31</v>
      </c>
      <c r="BM134" s="52" t="n">
        <v>0.07</v>
      </c>
      <c r="BN134" s="52" t="n">
        <v>0.02</v>
      </c>
      <c r="BO134" s="52" t="n">
        <v>0.19</v>
      </c>
      <c r="BP134" s="52" t="n">
        <v>0.1</v>
      </c>
      <c r="BQ134" s="52" t="n">
        <v>0.18</v>
      </c>
      <c r="BR134" s="52" t="n">
        <v>0.19</v>
      </c>
      <c r="BS134" s="52" t="n">
        <v>-0.17</v>
      </c>
      <c r="BT134" s="52" t="n">
        <v>0.26</v>
      </c>
      <c r="BU134" s="52" t="n">
        <v>0.09</v>
      </c>
      <c r="BV134" s="52" t="n">
        <v>0.12</v>
      </c>
      <c r="BW134" s="52" t="n">
        <v>0.12</v>
      </c>
      <c r="BX134" s="52" t="n">
        <v>0.11</v>
      </c>
      <c r="BY134" s="52" t="n">
        <v>0.19</v>
      </c>
      <c r="BZ134" s="52" t="n">
        <v>0.17</v>
      </c>
      <c r="CA134" s="52" t="n">
        <v>0.1</v>
      </c>
      <c r="CB134" s="52" t="n">
        <v>-0.07</v>
      </c>
      <c r="CC134" s="52" t="n">
        <v>0.07</v>
      </c>
      <c r="CD134" s="52" t="n">
        <v>0.27</v>
      </c>
      <c r="CE134" s="52" t="n">
        <v>0.06</v>
      </c>
      <c r="CF134" s="52" t="n">
        <v>-0.14</v>
      </c>
      <c r="CG134" s="52" t="n">
        <v>0.3</v>
      </c>
      <c r="CH134" s="52" t="n">
        <v>0.31</v>
      </c>
      <c r="CI134" s="52" t="n">
        <v>-0.12</v>
      </c>
      <c r="CJ134" s="52" t="n">
        <v>0.02</v>
      </c>
      <c r="CK134" s="52" t="n">
        <v>0.23</v>
      </c>
      <c r="CL134" s="52" t="n">
        <v>0.22</v>
      </c>
      <c r="CM134" s="52" t="n">
        <v>0.14</v>
      </c>
      <c r="CN134" s="52" t="n">
        <v>0.05</v>
      </c>
      <c r="CO134" s="52" t="n">
        <v>0.19</v>
      </c>
      <c r="CP134" s="52" t="n">
        <v>0.17</v>
      </c>
      <c r="CQ134" s="52" t="n">
        <v>0.26</v>
      </c>
      <c r="CR134" s="52" t="n">
        <v>0.24</v>
      </c>
      <c r="CS134" s="52" t="n">
        <v>0.21</v>
      </c>
      <c r="CT134" s="52" t="n">
        <v>0.23</v>
      </c>
      <c r="CU134" s="52" t="n">
        <v>0.2</v>
      </c>
      <c r="CV134" s="52" t="n">
        <v>0.21</v>
      </c>
      <c r="CW134" s="52" t="n">
        <v>0.2</v>
      </c>
      <c r="CX134" s="52" t="n">
        <v>0.21</v>
      </c>
      <c r="CY134" s="52" t="n">
        <v>0.23</v>
      </c>
      <c r="CZ134" s="52" t="n">
        <v>0.01</v>
      </c>
      <c r="DA134" s="52" t="n">
        <v>0.13</v>
      </c>
      <c r="DB134" s="52" t="n">
        <v>0.23</v>
      </c>
      <c r="DC134" s="52" t="n">
        <v>0.2</v>
      </c>
      <c r="DD134" s="52" t="n">
        <v>0.23</v>
      </c>
      <c r="DE134" s="52" t="n">
        <v>0.28</v>
      </c>
      <c r="DF134" s="52" t="n">
        <v>0.06</v>
      </c>
      <c r="DG134" s="52" t="n">
        <v>0.27</v>
      </c>
      <c r="DH134" s="52" t="n">
        <v>0.18</v>
      </c>
      <c r="DI134" s="52" t="n">
        <v>0.27</v>
      </c>
      <c r="DJ134" s="52" t="n">
        <v>0.23</v>
      </c>
      <c r="DK134" s="52" t="n">
        <v>0.29</v>
      </c>
      <c r="DL134" s="52" t="n">
        <v>0.22</v>
      </c>
      <c r="DM134" s="52" t="n">
        <v>0.25</v>
      </c>
      <c r="DN134" s="52" t="n">
        <v>0.19</v>
      </c>
      <c r="DO134" s="52" t="n">
        <v>0.17</v>
      </c>
      <c r="DP134" s="52" t="n">
        <v>0.24</v>
      </c>
      <c r="DQ134" s="52" t="n">
        <v>0.08</v>
      </c>
      <c r="DR134" s="52" t="n">
        <v>0.2</v>
      </c>
      <c r="DS134" s="52" t="n">
        <v>0.09</v>
      </c>
      <c r="DT134" s="52" t="n">
        <v>0.2</v>
      </c>
      <c r="DU134" s="52" t="n">
        <v>0.27</v>
      </c>
      <c r="DV134" s="52" t="n">
        <v>0.15</v>
      </c>
      <c r="DW134" s="52" t="n">
        <v>0.23</v>
      </c>
      <c r="DX134" s="52" t="n">
        <v>0.19</v>
      </c>
      <c r="DY134" s="52" t="n">
        <v>0.28</v>
      </c>
      <c r="DZ134" s="52" t="n">
        <v>0.13</v>
      </c>
      <c r="EA134" s="52" t="n">
        <v>1</v>
      </c>
      <c r="EB134" s="52" t="n">
        <v>0.33</v>
      </c>
      <c r="EC134" s="52" t="n">
        <v>0.1</v>
      </c>
      <c r="ED134" s="52" t="n">
        <v>0.23</v>
      </c>
      <c r="EE134" s="52" t="n">
        <v>0.29</v>
      </c>
      <c r="EF134" s="52" t="n">
        <v>0.23</v>
      </c>
      <c r="EG134" s="52" t="n">
        <v>0.23</v>
      </c>
      <c r="EH134" s="52" t="n">
        <v>0.06</v>
      </c>
      <c r="EI134" s="52" t="n">
        <v>0.24</v>
      </c>
      <c r="EJ134" s="52" t="n">
        <v>0.32</v>
      </c>
      <c r="EK134" s="52" t="n">
        <v>0.24</v>
      </c>
      <c r="EL134" s="52" t="n">
        <v>0.28</v>
      </c>
      <c r="EM134" s="52" t="n">
        <v>0.27</v>
      </c>
      <c r="EN134" s="52" t="n">
        <v>0.45</v>
      </c>
      <c r="EO134" s="52" t="n">
        <v>0.1</v>
      </c>
    </row>
    <row r="135" customFormat="false" ht="15" hidden="false" customHeight="false" outlineLevel="0" collapsed="false">
      <c r="A135" s="51" t="s">
        <v>275</v>
      </c>
      <c r="B135" s="52" t="n">
        <v>0.05</v>
      </c>
      <c r="C135" s="52" t="n">
        <v>-0.08</v>
      </c>
      <c r="D135" s="52" t="n">
        <v>0.05</v>
      </c>
      <c r="E135" s="52" t="n">
        <v>0.12</v>
      </c>
      <c r="F135" s="52" t="n">
        <v>-0.06</v>
      </c>
      <c r="G135" s="52" t="n">
        <v>0.02</v>
      </c>
      <c r="H135" s="52" t="n">
        <v>-0.01</v>
      </c>
      <c r="I135" s="52" t="n">
        <v>0.09</v>
      </c>
      <c r="J135" s="52" t="n">
        <v>-0.07</v>
      </c>
      <c r="K135" s="52" t="n">
        <v>-0.01</v>
      </c>
      <c r="L135" s="52" t="n">
        <v>0.03</v>
      </c>
      <c r="M135" s="52" t="n">
        <v>0.36</v>
      </c>
      <c r="N135" s="52" t="n">
        <v>0.17</v>
      </c>
      <c r="O135" s="52" t="n">
        <v>0.01</v>
      </c>
      <c r="P135" s="52" t="n">
        <v>0</v>
      </c>
      <c r="Q135" s="52" t="n">
        <v>0.04</v>
      </c>
      <c r="R135" s="52" t="n">
        <v>-0.02</v>
      </c>
      <c r="S135" s="52" t="n">
        <v>0</v>
      </c>
      <c r="T135" s="52" t="n">
        <v>0.38</v>
      </c>
      <c r="U135" s="52" t="n">
        <v>0.19</v>
      </c>
      <c r="V135" s="52" t="n">
        <v>0.05</v>
      </c>
      <c r="W135" s="52" t="n">
        <v>0.04</v>
      </c>
      <c r="X135" s="52" t="n">
        <v>0.31</v>
      </c>
      <c r="Y135" s="52" t="n">
        <v>0.23</v>
      </c>
      <c r="Z135" s="52" t="n">
        <v>0.14</v>
      </c>
      <c r="AA135" s="52" t="n">
        <v>-0.01</v>
      </c>
      <c r="AB135" s="52" t="n">
        <v>0.24</v>
      </c>
      <c r="AC135" s="52" t="n">
        <v>0.04</v>
      </c>
      <c r="AD135" s="52" t="n">
        <v>0</v>
      </c>
      <c r="AE135" s="52" t="n">
        <v>0.14</v>
      </c>
      <c r="AF135" s="52" t="n">
        <v>0.08</v>
      </c>
      <c r="AG135" s="52" t="n">
        <v>-0.09</v>
      </c>
      <c r="AH135" s="52" t="n">
        <v>-0.1</v>
      </c>
      <c r="AI135" s="52" t="n">
        <v>-0.11</v>
      </c>
      <c r="AJ135" s="52" t="n">
        <v>-0.01</v>
      </c>
      <c r="AK135" s="52" t="n">
        <v>0.11</v>
      </c>
      <c r="AL135" s="52" t="n">
        <v>0.26</v>
      </c>
      <c r="AM135" s="52" t="n">
        <v>0.2</v>
      </c>
      <c r="AN135" s="52" t="n">
        <v>0.31</v>
      </c>
      <c r="AO135" s="52" t="n">
        <v>0</v>
      </c>
      <c r="AP135" s="52" t="n">
        <v>0.3</v>
      </c>
      <c r="AQ135" s="52" t="n">
        <v>-0.13</v>
      </c>
      <c r="AR135" s="52" t="n">
        <v>0.33</v>
      </c>
      <c r="AS135" s="52" t="n">
        <v>0.1</v>
      </c>
      <c r="AT135" s="52" t="n">
        <v>0.51</v>
      </c>
      <c r="AU135" s="52" t="n">
        <v>-0.01</v>
      </c>
      <c r="AV135" s="52" t="n">
        <v>0.15</v>
      </c>
      <c r="AW135" s="52" t="n">
        <v>0.1</v>
      </c>
      <c r="AX135" s="52" t="n">
        <v>0.1</v>
      </c>
      <c r="AY135" s="52" t="n">
        <v>0.2</v>
      </c>
      <c r="AZ135" s="52" t="n">
        <v>0.14</v>
      </c>
      <c r="BA135" s="52" t="n">
        <v>0.23</v>
      </c>
      <c r="BB135" s="52" t="n">
        <v>0.52</v>
      </c>
      <c r="BC135" s="52" t="n">
        <v>0.06</v>
      </c>
      <c r="BD135" s="52" t="n">
        <v>0.05</v>
      </c>
      <c r="BE135" s="52" t="n">
        <v>0.12</v>
      </c>
      <c r="BF135" s="52" t="n">
        <v>0.13</v>
      </c>
      <c r="BG135" s="52" t="n">
        <v>0.38</v>
      </c>
      <c r="BH135" s="52" t="n">
        <v>0.13</v>
      </c>
      <c r="BI135" s="52" t="n">
        <v>0.14</v>
      </c>
      <c r="BJ135" s="52" t="n">
        <v>-0.06</v>
      </c>
      <c r="BK135" s="52" t="n">
        <v>0.17</v>
      </c>
      <c r="BL135" s="52" t="n">
        <v>0.17</v>
      </c>
      <c r="BM135" s="52" t="n">
        <v>0.26</v>
      </c>
      <c r="BN135" s="52" t="n">
        <v>-0.04</v>
      </c>
      <c r="BO135" s="52" t="n">
        <v>0.3</v>
      </c>
      <c r="BP135" s="52" t="n">
        <v>0.36</v>
      </c>
      <c r="BQ135" s="52" t="n">
        <v>0.15</v>
      </c>
      <c r="BR135" s="52" t="n">
        <v>0.33</v>
      </c>
      <c r="BS135" s="52" t="n">
        <v>-0.09</v>
      </c>
      <c r="BT135" s="52" t="n">
        <v>0.29</v>
      </c>
      <c r="BU135" s="52" t="n">
        <v>0.15</v>
      </c>
      <c r="BV135" s="52" t="n">
        <v>0.38</v>
      </c>
      <c r="BW135" s="52" t="n">
        <v>0.24</v>
      </c>
      <c r="BX135" s="52" t="n">
        <v>0.12</v>
      </c>
      <c r="BY135" s="52" t="n">
        <v>0.32</v>
      </c>
      <c r="BZ135" s="52" t="n">
        <v>0.36</v>
      </c>
      <c r="CA135" s="52" t="n">
        <v>0.09</v>
      </c>
      <c r="CB135" s="52" t="n">
        <v>0.01</v>
      </c>
      <c r="CC135" s="52" t="n">
        <v>0.14</v>
      </c>
      <c r="CD135" s="52" t="n">
        <v>0.31</v>
      </c>
      <c r="CE135" s="52" t="n">
        <v>0.26</v>
      </c>
      <c r="CF135" s="52" t="n">
        <v>-0.07</v>
      </c>
      <c r="CG135" s="52" t="n">
        <v>0.42</v>
      </c>
      <c r="CH135" s="52" t="n">
        <v>0.15</v>
      </c>
      <c r="CI135" s="52" t="n">
        <v>-0.11</v>
      </c>
      <c r="CJ135" s="52" t="n">
        <v>0.18</v>
      </c>
      <c r="CK135" s="52" t="n">
        <v>0.29</v>
      </c>
      <c r="CL135" s="52" t="n">
        <v>0.28</v>
      </c>
      <c r="CM135" s="52" t="n">
        <v>0.34</v>
      </c>
      <c r="CN135" s="52" t="n">
        <v>0.07</v>
      </c>
      <c r="CO135" s="52" t="n">
        <v>0.14</v>
      </c>
      <c r="CP135" s="52" t="n">
        <v>0.21</v>
      </c>
      <c r="CQ135" s="52" t="n">
        <v>0.5</v>
      </c>
      <c r="CR135" s="52" t="n">
        <v>0.34</v>
      </c>
      <c r="CS135" s="52" t="n">
        <v>0.23</v>
      </c>
      <c r="CT135" s="52" t="n">
        <v>0.37</v>
      </c>
      <c r="CU135" s="52" t="n">
        <v>0.14</v>
      </c>
      <c r="CV135" s="52" t="n">
        <v>0.31</v>
      </c>
      <c r="CW135" s="52" t="n">
        <v>0.38</v>
      </c>
      <c r="CX135" s="52" t="n">
        <v>0.41</v>
      </c>
      <c r="CY135" s="52" t="n">
        <v>0.37</v>
      </c>
      <c r="CZ135" s="52" t="n">
        <v>0.29</v>
      </c>
      <c r="DA135" s="52" t="n">
        <v>0.31</v>
      </c>
      <c r="DB135" s="52" t="n">
        <v>0.41</v>
      </c>
      <c r="DC135" s="52" t="n">
        <v>0.26</v>
      </c>
      <c r="DD135" s="52" t="n">
        <v>0.54</v>
      </c>
      <c r="DE135" s="52" t="n">
        <v>0.31</v>
      </c>
      <c r="DF135" s="52" t="n">
        <v>0.3</v>
      </c>
      <c r="DG135" s="52" t="n">
        <v>0.24</v>
      </c>
      <c r="DH135" s="52" t="n">
        <v>0.3</v>
      </c>
      <c r="DI135" s="52" t="n">
        <v>0.45</v>
      </c>
      <c r="DJ135" s="52" t="n">
        <v>0.37</v>
      </c>
      <c r="DK135" s="52" t="n">
        <v>0.46</v>
      </c>
      <c r="DL135" s="52" t="n">
        <v>0.02</v>
      </c>
      <c r="DM135" s="52" t="n">
        <v>0.4</v>
      </c>
      <c r="DN135" s="52" t="n">
        <v>0.37</v>
      </c>
      <c r="DO135" s="52" t="n">
        <v>0.26</v>
      </c>
      <c r="DP135" s="52" t="n">
        <v>0.39</v>
      </c>
      <c r="DQ135" s="52" t="n">
        <v>0.26</v>
      </c>
      <c r="DR135" s="52" t="n">
        <v>0.22</v>
      </c>
      <c r="DS135" s="52" t="n">
        <v>0.41</v>
      </c>
      <c r="DT135" s="52" t="n">
        <v>0.38</v>
      </c>
      <c r="DU135" s="52" t="n">
        <v>0.7</v>
      </c>
      <c r="DV135" s="52" t="n">
        <v>0.44</v>
      </c>
      <c r="DW135" s="52" t="n">
        <v>0.53</v>
      </c>
      <c r="DX135" s="52" t="n">
        <v>0.27</v>
      </c>
      <c r="DY135" s="52" t="n">
        <v>0.74</v>
      </c>
      <c r="DZ135" s="52" t="n">
        <v>0.35</v>
      </c>
      <c r="EA135" s="52" t="n">
        <v>0.33</v>
      </c>
      <c r="EB135" s="52" t="n">
        <v>1</v>
      </c>
      <c r="EC135" s="52" t="n">
        <v>0.07</v>
      </c>
      <c r="ED135" s="52" t="n">
        <v>0.29</v>
      </c>
      <c r="EE135" s="52" t="n">
        <v>0.27</v>
      </c>
      <c r="EF135" s="52" t="n">
        <v>0.26</v>
      </c>
      <c r="EG135" s="52" t="n">
        <v>0.2</v>
      </c>
      <c r="EH135" s="52" t="n">
        <v>0.36</v>
      </c>
      <c r="EI135" s="52" t="n">
        <v>0.18</v>
      </c>
      <c r="EJ135" s="52" t="n">
        <v>0.34</v>
      </c>
      <c r="EK135" s="52" t="n">
        <v>0.4</v>
      </c>
      <c r="EL135" s="52" t="n">
        <v>0.36</v>
      </c>
      <c r="EM135" s="52" t="n">
        <v>0.3</v>
      </c>
      <c r="EN135" s="52" t="n">
        <v>0.25</v>
      </c>
      <c r="EO135" s="52" t="n">
        <v>0.28</v>
      </c>
    </row>
    <row r="136" customFormat="false" ht="15" hidden="false" customHeight="false" outlineLevel="0" collapsed="false">
      <c r="A136" s="51" t="s">
        <v>276</v>
      </c>
      <c r="B136" s="52" t="n">
        <v>-0.12</v>
      </c>
      <c r="C136" s="52" t="n">
        <v>0.04</v>
      </c>
      <c r="D136" s="52" t="n">
        <v>0</v>
      </c>
      <c r="E136" s="52" t="n">
        <v>0.09</v>
      </c>
      <c r="F136" s="52" t="n">
        <v>-0.13</v>
      </c>
      <c r="G136" s="52" t="n">
        <v>0.15</v>
      </c>
      <c r="H136" s="52" t="n">
        <v>0.04</v>
      </c>
      <c r="I136" s="52" t="n">
        <v>-0.08</v>
      </c>
      <c r="J136" s="52" t="n">
        <v>0.03</v>
      </c>
      <c r="K136" s="52" t="n">
        <v>-0.14</v>
      </c>
      <c r="L136" s="52" t="n">
        <v>0.03</v>
      </c>
      <c r="M136" s="52" t="n">
        <v>0.05</v>
      </c>
      <c r="N136" s="52" t="n">
        <v>-0.06</v>
      </c>
      <c r="O136" s="52" t="n">
        <v>0.02</v>
      </c>
      <c r="P136" s="52" t="n">
        <v>-0.14</v>
      </c>
      <c r="Q136" s="52" t="n">
        <v>0.05</v>
      </c>
      <c r="R136" s="52" t="n">
        <v>-0.12</v>
      </c>
      <c r="S136" s="52" t="n">
        <v>0.09</v>
      </c>
      <c r="T136" s="52" t="n">
        <v>0.05</v>
      </c>
      <c r="U136" s="52" t="n">
        <v>0.12</v>
      </c>
      <c r="V136" s="52" t="n">
        <v>0.16</v>
      </c>
      <c r="W136" s="52" t="n">
        <v>-0.02</v>
      </c>
      <c r="X136" s="52" t="n">
        <v>0.07</v>
      </c>
      <c r="Y136" s="52" t="n">
        <v>0.03</v>
      </c>
      <c r="Z136" s="52" t="n">
        <v>0.09</v>
      </c>
      <c r="AA136" s="52" t="n">
        <v>0.02</v>
      </c>
      <c r="AB136" s="52" t="n">
        <v>0.02</v>
      </c>
      <c r="AC136" s="52" t="n">
        <v>0.15</v>
      </c>
      <c r="AD136" s="52" t="n">
        <v>0.04</v>
      </c>
      <c r="AE136" s="52" t="n">
        <v>0.13</v>
      </c>
      <c r="AF136" s="52" t="n">
        <v>0.13</v>
      </c>
      <c r="AG136" s="52" t="n">
        <v>-0.15</v>
      </c>
      <c r="AH136" s="52" t="n">
        <v>-0.24</v>
      </c>
      <c r="AI136" s="52" t="n">
        <v>-0.12</v>
      </c>
      <c r="AJ136" s="52" t="n">
        <v>0.03</v>
      </c>
      <c r="AK136" s="52" t="n">
        <v>0.22</v>
      </c>
      <c r="AL136" s="52" t="n">
        <v>0</v>
      </c>
      <c r="AM136" s="52" t="n">
        <v>0.04</v>
      </c>
      <c r="AN136" s="52" t="n">
        <v>-0.05</v>
      </c>
      <c r="AO136" s="52" t="n">
        <v>-0.04</v>
      </c>
      <c r="AP136" s="52" t="n">
        <v>-0.01</v>
      </c>
      <c r="AQ136" s="52" t="n">
        <v>0</v>
      </c>
      <c r="AR136" s="52" t="n">
        <v>0</v>
      </c>
      <c r="AS136" s="52" t="n">
        <v>0.15</v>
      </c>
      <c r="AT136" s="52" t="n">
        <v>0.03</v>
      </c>
      <c r="AU136" s="52" t="n">
        <v>-0.1</v>
      </c>
      <c r="AV136" s="52" t="n">
        <v>0.04</v>
      </c>
      <c r="AW136" s="52" t="n">
        <v>0.17</v>
      </c>
      <c r="AX136" s="52" t="n">
        <v>-0.13</v>
      </c>
      <c r="AY136" s="52" t="n">
        <v>-0.03</v>
      </c>
      <c r="AZ136" s="52" t="n">
        <v>0.1</v>
      </c>
      <c r="BA136" s="52" t="n">
        <v>0</v>
      </c>
      <c r="BB136" s="52" t="n">
        <v>0.11</v>
      </c>
      <c r="BC136" s="52" t="n">
        <v>0.03</v>
      </c>
      <c r="BD136" s="52" t="n">
        <v>0.1</v>
      </c>
      <c r="BE136" s="52" t="n">
        <v>-0.02</v>
      </c>
      <c r="BF136" s="52" t="n">
        <v>0.09</v>
      </c>
      <c r="BG136" s="52" t="n">
        <v>-0.04</v>
      </c>
      <c r="BH136" s="52" t="n">
        <v>0.03</v>
      </c>
      <c r="BI136" s="52" t="n">
        <v>0.03</v>
      </c>
      <c r="BJ136" s="52" t="n">
        <v>-0.03</v>
      </c>
      <c r="BK136" s="52" t="n">
        <v>0.02</v>
      </c>
      <c r="BL136" s="52" t="n">
        <v>0.15</v>
      </c>
      <c r="BM136" s="52" t="n">
        <v>-0.15</v>
      </c>
      <c r="BN136" s="52" t="n">
        <v>-0.01</v>
      </c>
      <c r="BO136" s="52" t="n">
        <v>-0.02</v>
      </c>
      <c r="BP136" s="52" t="n">
        <v>-0.03</v>
      </c>
      <c r="BQ136" s="52" t="n">
        <v>0.17</v>
      </c>
      <c r="BR136" s="52" t="n">
        <v>-0.01</v>
      </c>
      <c r="BS136" s="52" t="n">
        <v>-0.08</v>
      </c>
      <c r="BT136" s="52" t="n">
        <v>0.07</v>
      </c>
      <c r="BU136" s="52" t="n">
        <v>0.09</v>
      </c>
      <c r="BV136" s="52" t="n">
        <v>-0.04</v>
      </c>
      <c r="BW136" s="52" t="n">
        <v>0.02</v>
      </c>
      <c r="BX136" s="52" t="n">
        <v>-0.03</v>
      </c>
      <c r="BY136" s="52" t="n">
        <v>0.02</v>
      </c>
      <c r="BZ136" s="52" t="n">
        <v>-0.02</v>
      </c>
      <c r="CA136" s="52" t="n">
        <v>0.04</v>
      </c>
      <c r="CB136" s="52" t="n">
        <v>-0.14</v>
      </c>
      <c r="CC136" s="52" t="n">
        <v>0.05</v>
      </c>
      <c r="CD136" s="52" t="n">
        <v>-0.02</v>
      </c>
      <c r="CE136" s="52" t="n">
        <v>0.09</v>
      </c>
      <c r="CF136" s="52" t="n">
        <v>-0.09</v>
      </c>
      <c r="CG136" s="52" t="n">
        <v>0</v>
      </c>
      <c r="CH136" s="52" t="n">
        <v>0.3</v>
      </c>
      <c r="CI136" s="52" t="n">
        <v>-0.05</v>
      </c>
      <c r="CJ136" s="52" t="n">
        <v>-0.03</v>
      </c>
      <c r="CK136" s="52" t="n">
        <v>-0.04</v>
      </c>
      <c r="CL136" s="52" t="n">
        <v>0.05</v>
      </c>
      <c r="CM136" s="52" t="n">
        <v>0.12</v>
      </c>
      <c r="CN136" s="52" t="n">
        <v>-0.01</v>
      </c>
      <c r="CO136" s="52" t="n">
        <v>0.04</v>
      </c>
      <c r="CP136" s="52" t="n">
        <v>-0.04</v>
      </c>
      <c r="CQ136" s="52" t="n">
        <v>-0.01</v>
      </c>
      <c r="CR136" s="52" t="n">
        <v>0.15</v>
      </c>
      <c r="CS136" s="52" t="n">
        <v>0.15</v>
      </c>
      <c r="CT136" s="52" t="n">
        <v>0.14</v>
      </c>
      <c r="CU136" s="52" t="n">
        <v>0.13</v>
      </c>
      <c r="CV136" s="52" t="n">
        <v>0.06</v>
      </c>
      <c r="CW136" s="52" t="n">
        <v>0.04</v>
      </c>
      <c r="CX136" s="52" t="n">
        <v>0.16</v>
      </c>
      <c r="CY136" s="52" t="n">
        <v>0.07</v>
      </c>
      <c r="CZ136" s="52" t="n">
        <v>-0.01</v>
      </c>
      <c r="DA136" s="52" t="n">
        <v>-0.02</v>
      </c>
      <c r="DB136" s="52" t="n">
        <v>0.07</v>
      </c>
      <c r="DC136" s="52" t="n">
        <v>0.02</v>
      </c>
      <c r="DD136" s="52" t="n">
        <v>0.06</v>
      </c>
      <c r="DE136" s="52" t="n">
        <v>0.28</v>
      </c>
      <c r="DF136" s="52" t="n">
        <v>-0.11</v>
      </c>
      <c r="DG136" s="52" t="n">
        <v>0.3</v>
      </c>
      <c r="DH136" s="52" t="n">
        <v>0.05</v>
      </c>
      <c r="DI136" s="52" t="n">
        <v>-0.01</v>
      </c>
      <c r="DJ136" s="52" t="n">
        <v>0.07</v>
      </c>
      <c r="DK136" s="52" t="n">
        <v>0.05</v>
      </c>
      <c r="DL136" s="52" t="n">
        <v>0.32</v>
      </c>
      <c r="DM136" s="52" t="n">
        <v>0.07</v>
      </c>
      <c r="DN136" s="52" t="n">
        <v>-0.06</v>
      </c>
      <c r="DO136" s="52" t="n">
        <v>0.04</v>
      </c>
      <c r="DP136" s="52" t="n">
        <v>0.02</v>
      </c>
      <c r="DQ136" s="52" t="n">
        <v>0.06</v>
      </c>
      <c r="DR136" s="52" t="n">
        <v>0.18</v>
      </c>
      <c r="DS136" s="52" t="n">
        <v>-0.09</v>
      </c>
      <c r="DT136" s="52" t="n">
        <v>0.1</v>
      </c>
      <c r="DU136" s="52" t="n">
        <v>0.05</v>
      </c>
      <c r="DV136" s="52" t="n">
        <v>-0.04</v>
      </c>
      <c r="DW136" s="52" t="n">
        <v>0.05</v>
      </c>
      <c r="DX136" s="52" t="n">
        <v>0.15</v>
      </c>
      <c r="DY136" s="52" t="n">
        <v>-0.01</v>
      </c>
      <c r="DZ136" s="52" t="n">
        <v>-0.01</v>
      </c>
      <c r="EA136" s="52" t="n">
        <v>0.1</v>
      </c>
      <c r="EB136" s="52" t="n">
        <v>0.07</v>
      </c>
      <c r="EC136" s="52" t="n">
        <v>1</v>
      </c>
      <c r="ED136" s="52" t="n">
        <v>0.09</v>
      </c>
      <c r="EE136" s="52" t="n">
        <v>0.16</v>
      </c>
      <c r="EF136" s="52" t="n">
        <v>0.08</v>
      </c>
      <c r="EG136" s="52" t="n">
        <v>0.2</v>
      </c>
      <c r="EH136" s="52" t="n">
        <v>-0.01</v>
      </c>
      <c r="EI136" s="52" t="n">
        <v>0.16</v>
      </c>
      <c r="EJ136" s="52" t="n">
        <v>0.12</v>
      </c>
      <c r="EK136" s="52" t="n">
        <v>0.17</v>
      </c>
      <c r="EL136" s="52" t="n">
        <v>0.2</v>
      </c>
      <c r="EM136" s="52" t="n">
        <v>0</v>
      </c>
      <c r="EN136" s="52" t="n">
        <v>0.04</v>
      </c>
      <c r="EO136" s="52" t="n">
        <v>0.03</v>
      </c>
    </row>
    <row r="137" customFormat="false" ht="15" hidden="false" customHeight="false" outlineLevel="0" collapsed="false">
      <c r="A137" s="51" t="s">
        <v>277</v>
      </c>
      <c r="B137" s="52" t="n">
        <v>0.05</v>
      </c>
      <c r="C137" s="52" t="n">
        <v>0.13</v>
      </c>
      <c r="D137" s="52" t="n">
        <v>0.1</v>
      </c>
      <c r="E137" s="52" t="n">
        <v>0.19</v>
      </c>
      <c r="F137" s="52" t="n">
        <v>-0.03</v>
      </c>
      <c r="G137" s="52" t="n">
        <v>0.07</v>
      </c>
      <c r="H137" s="52" t="n">
        <v>0.22</v>
      </c>
      <c r="I137" s="52" t="n">
        <v>0.1</v>
      </c>
      <c r="J137" s="52" t="n">
        <v>-0.06</v>
      </c>
      <c r="K137" s="52" t="n">
        <v>-0.07</v>
      </c>
      <c r="L137" s="52" t="n">
        <v>0.07</v>
      </c>
      <c r="M137" s="52" t="n">
        <v>0.29</v>
      </c>
      <c r="N137" s="52" t="n">
        <v>0.23</v>
      </c>
      <c r="O137" s="52" t="n">
        <v>0.09</v>
      </c>
      <c r="P137" s="52" t="n">
        <v>-0.04</v>
      </c>
      <c r="Q137" s="52" t="n">
        <v>-0.09</v>
      </c>
      <c r="R137" s="52" t="n">
        <v>-0.01</v>
      </c>
      <c r="S137" s="52" t="n">
        <v>0.05</v>
      </c>
      <c r="T137" s="52" t="n">
        <v>0.19</v>
      </c>
      <c r="U137" s="52" t="n">
        <v>0.21</v>
      </c>
      <c r="V137" s="52" t="n">
        <v>0.16</v>
      </c>
      <c r="W137" s="52" t="n">
        <v>0.14</v>
      </c>
      <c r="X137" s="52" t="n">
        <v>0.2</v>
      </c>
      <c r="Y137" s="52" t="n">
        <v>0.06</v>
      </c>
      <c r="Z137" s="52" t="n">
        <v>0.16</v>
      </c>
      <c r="AA137" s="52" t="n">
        <v>0.12</v>
      </c>
      <c r="AB137" s="52" t="n">
        <v>0.09</v>
      </c>
      <c r="AC137" s="52" t="n">
        <v>0.06</v>
      </c>
      <c r="AD137" s="52" t="n">
        <v>0.06</v>
      </c>
      <c r="AE137" s="52" t="n">
        <v>0.24</v>
      </c>
      <c r="AF137" s="52" t="n">
        <v>0.18</v>
      </c>
      <c r="AG137" s="52" t="n">
        <v>-0.07</v>
      </c>
      <c r="AH137" s="52" t="n">
        <v>-0.05</v>
      </c>
      <c r="AI137" s="52" t="n">
        <v>-0.07</v>
      </c>
      <c r="AJ137" s="52" t="n">
        <v>0.17</v>
      </c>
      <c r="AK137" s="52" t="n">
        <v>0.14</v>
      </c>
      <c r="AL137" s="52" t="n">
        <v>0.2</v>
      </c>
      <c r="AM137" s="52" t="n">
        <v>0.2</v>
      </c>
      <c r="AN137" s="52" t="n">
        <v>0.15</v>
      </c>
      <c r="AO137" s="52" t="n">
        <v>0.08</v>
      </c>
      <c r="AP137" s="52" t="n">
        <v>0.24</v>
      </c>
      <c r="AQ137" s="52" t="n">
        <v>-0.1</v>
      </c>
      <c r="AR137" s="52" t="n">
        <v>0.15</v>
      </c>
      <c r="AS137" s="52" t="n">
        <v>0.13</v>
      </c>
      <c r="AT137" s="52" t="n">
        <v>0.25</v>
      </c>
      <c r="AU137" s="52" t="n">
        <v>0.01</v>
      </c>
      <c r="AV137" s="52" t="n">
        <v>0.2</v>
      </c>
      <c r="AW137" s="52" t="n">
        <v>0.21</v>
      </c>
      <c r="AX137" s="52" t="n">
        <v>0.18</v>
      </c>
      <c r="AY137" s="52" t="n">
        <v>0.14</v>
      </c>
      <c r="AZ137" s="52" t="n">
        <v>0.3</v>
      </c>
      <c r="BA137" s="52" t="n">
        <v>0.18</v>
      </c>
      <c r="BB137" s="52" t="n">
        <v>0.29</v>
      </c>
      <c r="BC137" s="52" t="n">
        <v>0.17</v>
      </c>
      <c r="BD137" s="52" t="n">
        <v>0.15</v>
      </c>
      <c r="BE137" s="52" t="n">
        <v>0.1</v>
      </c>
      <c r="BF137" s="52" t="n">
        <v>0.21</v>
      </c>
      <c r="BG137" s="52" t="n">
        <v>0.17</v>
      </c>
      <c r="BH137" s="52" t="n">
        <v>0.2</v>
      </c>
      <c r="BI137" s="52" t="n">
        <v>0.13</v>
      </c>
      <c r="BJ137" s="52" t="n">
        <v>-0.02</v>
      </c>
      <c r="BK137" s="52" t="n">
        <v>0.19</v>
      </c>
      <c r="BL137" s="52" t="n">
        <v>0.15</v>
      </c>
      <c r="BM137" s="52" t="n">
        <v>0.16</v>
      </c>
      <c r="BN137" s="52" t="n">
        <v>0.04</v>
      </c>
      <c r="BO137" s="52" t="n">
        <v>0.21</v>
      </c>
      <c r="BP137" s="52" t="n">
        <v>0.19</v>
      </c>
      <c r="BQ137" s="52" t="n">
        <v>0.25</v>
      </c>
      <c r="BR137" s="52" t="n">
        <v>0.31</v>
      </c>
      <c r="BS137" s="52" t="n">
        <v>-0.03</v>
      </c>
      <c r="BT137" s="52" t="n">
        <v>0.22</v>
      </c>
      <c r="BU137" s="52" t="n">
        <v>0.14</v>
      </c>
      <c r="BV137" s="52" t="n">
        <v>0.15</v>
      </c>
      <c r="BW137" s="52" t="n">
        <v>0.23</v>
      </c>
      <c r="BX137" s="52" t="n">
        <v>0.13</v>
      </c>
      <c r="BY137" s="52" t="n">
        <v>0.3</v>
      </c>
      <c r="BZ137" s="52" t="n">
        <v>0.25</v>
      </c>
      <c r="CA137" s="52" t="n">
        <v>0.16</v>
      </c>
      <c r="CB137" s="52" t="n">
        <v>-0.07</v>
      </c>
      <c r="CC137" s="52" t="n">
        <v>0.11</v>
      </c>
      <c r="CD137" s="52" t="n">
        <v>0.12</v>
      </c>
      <c r="CE137" s="52" t="n">
        <v>0.21</v>
      </c>
      <c r="CF137" s="52" t="n">
        <v>-0.05</v>
      </c>
      <c r="CG137" s="52" t="n">
        <v>0.3</v>
      </c>
      <c r="CH137" s="52" t="n">
        <v>0.3</v>
      </c>
      <c r="CI137" s="52" t="n">
        <v>-0.06</v>
      </c>
      <c r="CJ137" s="52" t="n">
        <v>0.17</v>
      </c>
      <c r="CK137" s="52" t="n">
        <v>0.18</v>
      </c>
      <c r="CL137" s="52" t="n">
        <v>0.29</v>
      </c>
      <c r="CM137" s="52" t="n">
        <v>0.17</v>
      </c>
      <c r="CN137" s="52" t="n">
        <v>0.09</v>
      </c>
      <c r="CO137" s="52" t="n">
        <v>0.14</v>
      </c>
      <c r="CP137" s="52" t="n">
        <v>0.17</v>
      </c>
      <c r="CQ137" s="52" t="n">
        <v>0.3</v>
      </c>
      <c r="CR137" s="52" t="n">
        <v>0.3</v>
      </c>
      <c r="CS137" s="52" t="n">
        <v>0.25</v>
      </c>
      <c r="CT137" s="52" t="n">
        <v>0.38</v>
      </c>
      <c r="CU137" s="52" t="n">
        <v>0.11</v>
      </c>
      <c r="CV137" s="52" t="n">
        <v>0.17</v>
      </c>
      <c r="CW137" s="52" t="n">
        <v>0.16</v>
      </c>
      <c r="CX137" s="52" t="n">
        <v>0.28</v>
      </c>
      <c r="CY137" s="52" t="n">
        <v>0.23</v>
      </c>
      <c r="CZ137" s="52" t="n">
        <v>0.14</v>
      </c>
      <c r="DA137" s="52" t="n">
        <v>0.21</v>
      </c>
      <c r="DB137" s="52" t="n">
        <v>0.42</v>
      </c>
      <c r="DC137" s="52" t="n">
        <v>0.32</v>
      </c>
      <c r="DD137" s="52" t="n">
        <v>0.34</v>
      </c>
      <c r="DE137" s="52" t="n">
        <v>0.35</v>
      </c>
      <c r="DF137" s="52" t="n">
        <v>0.15</v>
      </c>
      <c r="DG137" s="52" t="n">
        <v>0.32</v>
      </c>
      <c r="DH137" s="52" t="n">
        <v>0.27</v>
      </c>
      <c r="DI137" s="52" t="n">
        <v>0.27</v>
      </c>
      <c r="DJ137" s="52" t="n">
        <v>0.21</v>
      </c>
      <c r="DK137" s="52" t="n">
        <v>0.3</v>
      </c>
      <c r="DL137" s="52" t="n">
        <v>0.21</v>
      </c>
      <c r="DM137" s="52" t="n">
        <v>0.28</v>
      </c>
      <c r="DN137" s="52" t="n">
        <v>0.21</v>
      </c>
      <c r="DO137" s="52" t="n">
        <v>0.32</v>
      </c>
      <c r="DP137" s="52" t="n">
        <v>0.19</v>
      </c>
      <c r="DQ137" s="52" t="n">
        <v>0.24</v>
      </c>
      <c r="DR137" s="52" t="n">
        <v>0.25</v>
      </c>
      <c r="DS137" s="52" t="n">
        <v>-0.09</v>
      </c>
      <c r="DT137" s="52" t="n">
        <v>0.33</v>
      </c>
      <c r="DU137" s="52" t="n">
        <v>0.42</v>
      </c>
      <c r="DV137" s="52" t="n">
        <v>0.27</v>
      </c>
      <c r="DW137" s="52" t="n">
        <v>0.24</v>
      </c>
      <c r="DX137" s="52" t="n">
        <v>0.3</v>
      </c>
      <c r="DY137" s="52" t="n">
        <v>0.3</v>
      </c>
      <c r="DZ137" s="52" t="n">
        <v>0.18</v>
      </c>
      <c r="EA137" s="52" t="n">
        <v>0.23</v>
      </c>
      <c r="EB137" s="52" t="n">
        <v>0.29</v>
      </c>
      <c r="EC137" s="52" t="n">
        <v>0.09</v>
      </c>
      <c r="ED137" s="52" t="n">
        <v>1</v>
      </c>
      <c r="EE137" s="52" t="n">
        <v>0.3</v>
      </c>
      <c r="EF137" s="52" t="n">
        <v>0.11</v>
      </c>
      <c r="EG137" s="52" t="n">
        <v>0.25</v>
      </c>
      <c r="EH137" s="52" t="n">
        <v>0.17</v>
      </c>
      <c r="EI137" s="52" t="n">
        <v>0.23</v>
      </c>
      <c r="EJ137" s="52" t="n">
        <v>0.4</v>
      </c>
      <c r="EK137" s="52" t="n">
        <v>0.36</v>
      </c>
      <c r="EL137" s="52" t="n">
        <v>0.28</v>
      </c>
      <c r="EM137" s="52" t="n">
        <v>0.16</v>
      </c>
      <c r="EN137" s="52" t="n">
        <v>0.23</v>
      </c>
      <c r="EO137" s="52" t="n">
        <v>0.13</v>
      </c>
    </row>
    <row r="138" customFormat="false" ht="15" hidden="false" customHeight="false" outlineLevel="0" collapsed="false">
      <c r="A138" s="51" t="s">
        <v>278</v>
      </c>
      <c r="B138" s="52" t="n">
        <v>-0.09</v>
      </c>
      <c r="C138" s="52" t="n">
        <v>0.03</v>
      </c>
      <c r="D138" s="52" t="n">
        <v>0.04</v>
      </c>
      <c r="E138" s="52" t="n">
        <v>0.07</v>
      </c>
      <c r="F138" s="52" t="n">
        <v>-0.18</v>
      </c>
      <c r="G138" s="52" t="n">
        <v>0.03</v>
      </c>
      <c r="H138" s="52" t="n">
        <v>0.1</v>
      </c>
      <c r="I138" s="52" t="n">
        <v>-0.14</v>
      </c>
      <c r="J138" s="52" t="n">
        <v>-0.15</v>
      </c>
      <c r="K138" s="52" t="n">
        <v>-0.08</v>
      </c>
      <c r="L138" s="52" t="n">
        <v>0.11</v>
      </c>
      <c r="M138" s="52" t="n">
        <v>0.22</v>
      </c>
      <c r="N138" s="52" t="n">
        <v>-0.04</v>
      </c>
      <c r="O138" s="52" t="n">
        <v>0.1</v>
      </c>
      <c r="P138" s="52" t="n">
        <v>-0.1</v>
      </c>
      <c r="Q138" s="52" t="n">
        <v>0.06</v>
      </c>
      <c r="R138" s="52" t="n">
        <v>-0.14</v>
      </c>
      <c r="S138" s="52" t="n">
        <v>0.04</v>
      </c>
      <c r="T138" s="52" t="n">
        <v>0.16</v>
      </c>
      <c r="U138" s="52" t="n">
        <v>0.13</v>
      </c>
      <c r="V138" s="52" t="n">
        <v>0.04</v>
      </c>
      <c r="W138" s="52" t="n">
        <v>0.06</v>
      </c>
      <c r="X138" s="52" t="n">
        <v>0.2</v>
      </c>
      <c r="Y138" s="52" t="n">
        <v>-0.06</v>
      </c>
      <c r="Z138" s="52" t="n">
        <v>0.07</v>
      </c>
      <c r="AA138" s="52" t="n">
        <v>0.08</v>
      </c>
      <c r="AB138" s="52" t="n">
        <v>-0.11</v>
      </c>
      <c r="AC138" s="52" t="n">
        <v>0.11</v>
      </c>
      <c r="AD138" s="52" t="n">
        <v>0.18</v>
      </c>
      <c r="AE138" s="52" t="n">
        <v>0.18</v>
      </c>
      <c r="AF138" s="52" t="n">
        <v>0.16</v>
      </c>
      <c r="AG138" s="52" t="n">
        <v>-0.15</v>
      </c>
      <c r="AH138" s="52" t="n">
        <v>-0.18</v>
      </c>
      <c r="AI138" s="52" t="n">
        <v>-0.16</v>
      </c>
      <c r="AJ138" s="52" t="n">
        <v>0.08</v>
      </c>
      <c r="AK138" s="52" t="n">
        <v>0.2</v>
      </c>
      <c r="AL138" s="52" t="n">
        <v>0.11</v>
      </c>
      <c r="AM138" s="52" t="n">
        <v>0.19</v>
      </c>
      <c r="AN138" s="52" t="n">
        <v>0.08</v>
      </c>
      <c r="AO138" s="52" t="n">
        <v>-0.05</v>
      </c>
      <c r="AP138" s="52" t="n">
        <v>0.08</v>
      </c>
      <c r="AQ138" s="52" t="n">
        <v>-0.16</v>
      </c>
      <c r="AR138" s="52" t="n">
        <v>0.14</v>
      </c>
      <c r="AS138" s="52" t="n">
        <v>0.11</v>
      </c>
      <c r="AT138" s="52" t="n">
        <v>0.14</v>
      </c>
      <c r="AU138" s="52" t="n">
        <v>-0.06</v>
      </c>
      <c r="AV138" s="52" t="n">
        <v>0.09</v>
      </c>
      <c r="AW138" s="52" t="n">
        <v>0.16</v>
      </c>
      <c r="AX138" s="52" t="n">
        <v>-0.03</v>
      </c>
      <c r="AY138" s="52" t="n">
        <v>0.09</v>
      </c>
      <c r="AZ138" s="52" t="n">
        <v>0.24</v>
      </c>
      <c r="BA138" s="52" t="n">
        <v>0.17</v>
      </c>
      <c r="BB138" s="52" t="n">
        <v>0.31</v>
      </c>
      <c r="BC138" s="52" t="n">
        <v>0.11</v>
      </c>
      <c r="BD138" s="52" t="n">
        <v>0.17</v>
      </c>
      <c r="BE138" s="52" t="n">
        <v>-0.07</v>
      </c>
      <c r="BF138" s="52" t="n">
        <v>0.2</v>
      </c>
      <c r="BG138" s="52" t="n">
        <v>0.09</v>
      </c>
      <c r="BH138" s="52" t="n">
        <v>0.14</v>
      </c>
      <c r="BI138" s="52" t="n">
        <v>0.01</v>
      </c>
      <c r="BJ138" s="52" t="n">
        <v>0.04</v>
      </c>
      <c r="BK138" s="52" t="n">
        <v>0.24</v>
      </c>
      <c r="BL138" s="52" t="n">
        <v>0.39</v>
      </c>
      <c r="BM138" s="52" t="n">
        <v>0</v>
      </c>
      <c r="BN138" s="52" t="n">
        <v>0.12</v>
      </c>
      <c r="BO138" s="52" t="n">
        <v>0.26</v>
      </c>
      <c r="BP138" s="52" t="n">
        <v>0.17</v>
      </c>
      <c r="BQ138" s="52" t="n">
        <v>0.3</v>
      </c>
      <c r="BR138" s="52" t="n">
        <v>0.16</v>
      </c>
      <c r="BS138" s="52" t="n">
        <v>-0.05</v>
      </c>
      <c r="BT138" s="52" t="n">
        <v>0.31</v>
      </c>
      <c r="BU138" s="52" t="n">
        <v>0.07</v>
      </c>
      <c r="BV138" s="52" t="n">
        <v>0.26</v>
      </c>
      <c r="BW138" s="52" t="n">
        <v>0.13</v>
      </c>
      <c r="BX138" s="52" t="n">
        <v>-0.09</v>
      </c>
      <c r="BY138" s="52" t="n">
        <v>0.19</v>
      </c>
      <c r="BZ138" s="52" t="n">
        <v>0.28</v>
      </c>
      <c r="CA138" s="52" t="n">
        <v>0.09</v>
      </c>
      <c r="CB138" s="52" t="n">
        <v>-0.07</v>
      </c>
      <c r="CC138" s="52" t="n">
        <v>0.09</v>
      </c>
      <c r="CD138" s="52" t="n">
        <v>0.16</v>
      </c>
      <c r="CE138" s="52" t="n">
        <v>0.34</v>
      </c>
      <c r="CF138" s="52" t="n">
        <v>-0.1</v>
      </c>
      <c r="CG138" s="52" t="n">
        <v>0.07</v>
      </c>
      <c r="CH138" s="52" t="n">
        <v>0.37</v>
      </c>
      <c r="CI138" s="52" t="n">
        <v>-0.11</v>
      </c>
      <c r="CJ138" s="52" t="n">
        <v>-0.01</v>
      </c>
      <c r="CK138" s="52" t="n">
        <v>-0.03</v>
      </c>
      <c r="CL138" s="52" t="n">
        <v>0.25</v>
      </c>
      <c r="CM138" s="52" t="n">
        <v>0.53</v>
      </c>
      <c r="CN138" s="52" t="n">
        <v>0.1</v>
      </c>
      <c r="CO138" s="52" t="n">
        <v>0.17</v>
      </c>
      <c r="CP138" s="52" t="n">
        <v>0.21</v>
      </c>
      <c r="CQ138" s="52" t="n">
        <v>0.37</v>
      </c>
      <c r="CR138" s="52" t="n">
        <v>0.67</v>
      </c>
      <c r="CS138" s="52" t="n">
        <v>0.56</v>
      </c>
      <c r="CT138" s="52" t="n">
        <v>0.29</v>
      </c>
      <c r="CU138" s="52" t="n">
        <v>0.3</v>
      </c>
      <c r="CV138" s="52" t="n">
        <v>0.22</v>
      </c>
      <c r="CW138" s="52" t="n">
        <v>0.11</v>
      </c>
      <c r="CX138" s="52" t="n">
        <v>0.32</v>
      </c>
      <c r="CY138" s="52" t="n">
        <v>0.27</v>
      </c>
      <c r="CZ138" s="52" t="n">
        <v>0.05</v>
      </c>
      <c r="DA138" s="52" t="n">
        <v>0.09</v>
      </c>
      <c r="DB138" s="52" t="n">
        <v>0.46</v>
      </c>
      <c r="DC138" s="52" t="n">
        <v>0.25</v>
      </c>
      <c r="DD138" s="52" t="n">
        <v>0.22</v>
      </c>
      <c r="DE138" s="52" t="n">
        <v>0.51</v>
      </c>
      <c r="DF138" s="52" t="n">
        <v>-0.15</v>
      </c>
      <c r="DG138" s="52" t="n">
        <v>0.39</v>
      </c>
      <c r="DH138" s="52" t="n">
        <v>0.53</v>
      </c>
      <c r="DI138" s="52" t="n">
        <v>0.35</v>
      </c>
      <c r="DJ138" s="52" t="n">
        <v>0.22</v>
      </c>
      <c r="DK138" s="52" t="n">
        <v>0.41</v>
      </c>
      <c r="DL138" s="52" t="n">
        <v>0.23</v>
      </c>
      <c r="DM138" s="52" t="n">
        <v>0.28</v>
      </c>
      <c r="DN138" s="52" t="n">
        <v>0.11</v>
      </c>
      <c r="DO138" s="52" t="n">
        <v>0.52</v>
      </c>
      <c r="DP138" s="52" t="n">
        <v>0.21</v>
      </c>
      <c r="DQ138" s="52" t="n">
        <v>0.38</v>
      </c>
      <c r="DR138" s="52" t="n">
        <v>0.37</v>
      </c>
      <c r="DS138" s="52" t="n">
        <v>0.04</v>
      </c>
      <c r="DT138" s="52" t="n">
        <v>0.37</v>
      </c>
      <c r="DU138" s="52" t="n">
        <v>0.41</v>
      </c>
      <c r="DV138" s="52" t="n">
        <v>0.25</v>
      </c>
      <c r="DW138" s="52" t="n">
        <v>0.09</v>
      </c>
      <c r="DX138" s="52" t="n">
        <v>0.64</v>
      </c>
      <c r="DY138" s="52" t="n">
        <v>0.26</v>
      </c>
      <c r="DZ138" s="52" t="n">
        <v>0.09</v>
      </c>
      <c r="EA138" s="52" t="n">
        <v>0.29</v>
      </c>
      <c r="EB138" s="52" t="n">
        <v>0.27</v>
      </c>
      <c r="EC138" s="52" t="n">
        <v>0.16</v>
      </c>
      <c r="ED138" s="52" t="n">
        <v>0.3</v>
      </c>
      <c r="EE138" s="52" t="n">
        <v>1</v>
      </c>
      <c r="EF138" s="52" t="n">
        <v>0.29</v>
      </c>
      <c r="EG138" s="52" t="n">
        <v>0.67</v>
      </c>
      <c r="EH138" s="52" t="n">
        <v>0.02</v>
      </c>
      <c r="EI138" s="52" t="n">
        <v>0.64</v>
      </c>
      <c r="EJ138" s="52" t="n">
        <v>0.24</v>
      </c>
      <c r="EK138" s="52" t="n">
        <v>0.54</v>
      </c>
      <c r="EL138" s="52" t="n">
        <v>0.58</v>
      </c>
      <c r="EM138" s="52" t="n">
        <v>0.22</v>
      </c>
      <c r="EN138" s="52" t="n">
        <v>0.11</v>
      </c>
      <c r="EO138" s="52" t="n">
        <v>0.14</v>
      </c>
    </row>
    <row r="139" customFormat="false" ht="15" hidden="false" customHeight="false" outlineLevel="0" collapsed="false">
      <c r="A139" s="51" t="s">
        <v>279</v>
      </c>
      <c r="B139" s="52" t="n">
        <v>0.05</v>
      </c>
      <c r="C139" s="52" t="n">
        <v>0.11</v>
      </c>
      <c r="D139" s="52" t="n">
        <v>0.09</v>
      </c>
      <c r="E139" s="52" t="n">
        <v>0.01</v>
      </c>
      <c r="F139" s="52" t="n">
        <v>-0.07</v>
      </c>
      <c r="G139" s="52" t="n">
        <v>0.08</v>
      </c>
      <c r="H139" s="52" t="n">
        <v>0</v>
      </c>
      <c r="I139" s="52" t="n">
        <v>-0.01</v>
      </c>
      <c r="J139" s="52" t="n">
        <v>0.05</v>
      </c>
      <c r="K139" s="52" t="n">
        <v>0.12</v>
      </c>
      <c r="L139" s="52" t="n">
        <v>0.07</v>
      </c>
      <c r="M139" s="52" t="n">
        <v>0.25</v>
      </c>
      <c r="N139" s="52" t="n">
        <v>0.15</v>
      </c>
      <c r="O139" s="52" t="n">
        <v>0.07</v>
      </c>
      <c r="P139" s="52" t="n">
        <v>-0.07</v>
      </c>
      <c r="Q139" s="52" t="n">
        <v>0.07</v>
      </c>
      <c r="R139" s="52" t="n">
        <v>0.07</v>
      </c>
      <c r="S139" s="52" t="n">
        <v>0.01</v>
      </c>
      <c r="T139" s="52" t="n">
        <v>0.28</v>
      </c>
      <c r="U139" s="52" t="n">
        <v>0.08</v>
      </c>
      <c r="V139" s="52" t="n">
        <v>0.07</v>
      </c>
      <c r="W139" s="52" t="n">
        <v>0.05</v>
      </c>
      <c r="X139" s="52" t="n">
        <v>0.29</v>
      </c>
      <c r="Y139" s="52" t="n">
        <v>0.11</v>
      </c>
      <c r="Z139" s="52" t="n">
        <v>0.16</v>
      </c>
      <c r="AA139" s="52" t="n">
        <v>0</v>
      </c>
      <c r="AB139" s="52" t="n">
        <v>0.09</v>
      </c>
      <c r="AC139" s="52" t="n">
        <v>-0.03</v>
      </c>
      <c r="AD139" s="52" t="n">
        <v>0.08</v>
      </c>
      <c r="AE139" s="52" t="n">
        <v>0.1</v>
      </c>
      <c r="AF139" s="52" t="n">
        <v>0.16</v>
      </c>
      <c r="AG139" s="52" t="n">
        <v>0.01</v>
      </c>
      <c r="AH139" s="52" t="n">
        <v>0.02</v>
      </c>
      <c r="AI139" s="52" t="n">
        <v>0.01</v>
      </c>
      <c r="AJ139" s="52" t="n">
        <v>0.1</v>
      </c>
      <c r="AK139" s="52" t="n">
        <v>0.14</v>
      </c>
      <c r="AL139" s="52" t="n">
        <v>0.27</v>
      </c>
      <c r="AM139" s="52" t="n">
        <v>0.14</v>
      </c>
      <c r="AN139" s="52" t="n">
        <v>0.13</v>
      </c>
      <c r="AO139" s="52" t="n">
        <v>0.01</v>
      </c>
      <c r="AP139" s="52" t="n">
        <v>0.13</v>
      </c>
      <c r="AQ139" s="52" t="n">
        <v>0.01</v>
      </c>
      <c r="AR139" s="52" t="n">
        <v>0.28</v>
      </c>
      <c r="AS139" s="52" t="n">
        <v>0.09</v>
      </c>
      <c r="AT139" s="52" t="n">
        <v>0.14</v>
      </c>
      <c r="AU139" s="52" t="n">
        <v>-0.01</v>
      </c>
      <c r="AV139" s="52" t="n">
        <v>0.11</v>
      </c>
      <c r="AW139" s="52" t="n">
        <v>0.17</v>
      </c>
      <c r="AX139" s="52" t="n">
        <v>-0.03</v>
      </c>
      <c r="AY139" s="52" t="n">
        <v>0.18</v>
      </c>
      <c r="AZ139" s="52" t="n">
        <v>0.14</v>
      </c>
      <c r="BA139" s="52" t="n">
        <v>0.18</v>
      </c>
      <c r="BB139" s="52" t="n">
        <v>0.32</v>
      </c>
      <c r="BC139" s="52" t="n">
        <v>0.04</v>
      </c>
      <c r="BD139" s="52" t="n">
        <v>0.09</v>
      </c>
      <c r="BE139" s="52" t="n">
        <v>0.13</v>
      </c>
      <c r="BF139" s="52" t="n">
        <v>0.14</v>
      </c>
      <c r="BG139" s="52" t="n">
        <v>0.19</v>
      </c>
      <c r="BH139" s="52" t="n">
        <v>0.08</v>
      </c>
      <c r="BI139" s="52" t="n">
        <v>0.06</v>
      </c>
      <c r="BJ139" s="52" t="n">
        <v>0.05</v>
      </c>
      <c r="BK139" s="52" t="n">
        <v>0.12</v>
      </c>
      <c r="BL139" s="52" t="n">
        <v>0.47</v>
      </c>
      <c r="BM139" s="52" t="n">
        <v>0.1</v>
      </c>
      <c r="BN139" s="52" t="n">
        <v>0.1</v>
      </c>
      <c r="BO139" s="52" t="n">
        <v>0.07</v>
      </c>
      <c r="BP139" s="52" t="n">
        <v>0.07</v>
      </c>
      <c r="BQ139" s="52" t="n">
        <v>0.26</v>
      </c>
      <c r="BR139" s="52" t="n">
        <v>0.26</v>
      </c>
      <c r="BS139" s="52" t="n">
        <v>0.02</v>
      </c>
      <c r="BT139" s="52" t="n">
        <v>0.3</v>
      </c>
      <c r="BU139" s="52" t="n">
        <v>0.04</v>
      </c>
      <c r="BV139" s="52" t="n">
        <v>0.11</v>
      </c>
      <c r="BW139" s="52" t="n">
        <v>0.15</v>
      </c>
      <c r="BX139" s="52" t="n">
        <v>0.01</v>
      </c>
      <c r="BY139" s="52" t="n">
        <v>0.12</v>
      </c>
      <c r="BZ139" s="52" t="n">
        <v>0.28</v>
      </c>
      <c r="CA139" s="52" t="n">
        <v>0.08</v>
      </c>
      <c r="CB139" s="52" t="n">
        <v>0.04</v>
      </c>
      <c r="CC139" s="52" t="n">
        <v>0.08</v>
      </c>
      <c r="CD139" s="52" t="n">
        <v>0.07</v>
      </c>
      <c r="CE139" s="52" t="n">
        <v>0.24</v>
      </c>
      <c r="CF139" s="52" t="n">
        <v>0.02</v>
      </c>
      <c r="CG139" s="52" t="n">
        <v>0.08</v>
      </c>
      <c r="CH139" s="52" t="n">
        <v>0.33</v>
      </c>
      <c r="CI139" s="52" t="n">
        <v>0.01</v>
      </c>
      <c r="CJ139" s="52" t="n">
        <v>0.09</v>
      </c>
      <c r="CK139" s="52" t="n">
        <v>0.13</v>
      </c>
      <c r="CL139" s="52" t="n">
        <v>0.19</v>
      </c>
      <c r="CM139" s="52" t="n">
        <v>0.28</v>
      </c>
      <c r="CN139" s="52" t="n">
        <v>0.08</v>
      </c>
      <c r="CO139" s="52" t="n">
        <v>0.06</v>
      </c>
      <c r="CP139" s="52" t="n">
        <v>0.16</v>
      </c>
      <c r="CQ139" s="52" t="n">
        <v>0.31</v>
      </c>
      <c r="CR139" s="52" t="n">
        <v>0.29</v>
      </c>
      <c r="CS139" s="52" t="n">
        <v>0.33</v>
      </c>
      <c r="CT139" s="52" t="n">
        <v>0.14</v>
      </c>
      <c r="CU139" s="52" t="n">
        <v>0.22</v>
      </c>
      <c r="CV139" s="52" t="n">
        <v>0.16</v>
      </c>
      <c r="CW139" s="52" t="n">
        <v>0.09</v>
      </c>
      <c r="CX139" s="52" t="n">
        <v>0.23</v>
      </c>
      <c r="CY139" s="52" t="n">
        <v>0.25</v>
      </c>
      <c r="CZ139" s="52" t="n">
        <v>0.05</v>
      </c>
      <c r="DA139" s="52" t="n">
        <v>0.1</v>
      </c>
      <c r="DB139" s="52" t="n">
        <v>0.15</v>
      </c>
      <c r="DC139" s="52" t="n">
        <v>0.14</v>
      </c>
      <c r="DD139" s="52" t="n">
        <v>0.22</v>
      </c>
      <c r="DE139" s="52" t="n">
        <v>0.41</v>
      </c>
      <c r="DF139" s="52" t="n">
        <v>0.02</v>
      </c>
      <c r="DG139" s="52" t="n">
        <v>0.38</v>
      </c>
      <c r="DH139" s="52" t="n">
        <v>0.28</v>
      </c>
      <c r="DI139" s="52" t="n">
        <v>0.21</v>
      </c>
      <c r="DJ139" s="52" t="n">
        <v>0.18</v>
      </c>
      <c r="DK139" s="52" t="n">
        <v>0.32</v>
      </c>
      <c r="DL139" s="52" t="n">
        <v>0.22</v>
      </c>
      <c r="DM139" s="52" t="n">
        <v>0.27</v>
      </c>
      <c r="DN139" s="52" t="n">
        <v>0.18</v>
      </c>
      <c r="DO139" s="52" t="n">
        <v>0.28</v>
      </c>
      <c r="DP139" s="52" t="n">
        <v>0.23</v>
      </c>
      <c r="DQ139" s="52" t="n">
        <v>0.26</v>
      </c>
      <c r="DR139" s="52" t="n">
        <v>0.4</v>
      </c>
      <c r="DS139" s="52" t="n">
        <v>0.07</v>
      </c>
      <c r="DT139" s="52" t="n">
        <v>0.1</v>
      </c>
      <c r="DU139" s="52" t="n">
        <v>0.32</v>
      </c>
      <c r="DV139" s="52" t="n">
        <v>0.19</v>
      </c>
      <c r="DW139" s="52" t="n">
        <v>0.14</v>
      </c>
      <c r="DX139" s="52" t="n">
        <v>0.25</v>
      </c>
      <c r="DY139" s="52" t="n">
        <v>0.25</v>
      </c>
      <c r="DZ139" s="52" t="n">
        <v>0.1</v>
      </c>
      <c r="EA139" s="52" t="n">
        <v>0.23</v>
      </c>
      <c r="EB139" s="52" t="n">
        <v>0.26</v>
      </c>
      <c r="EC139" s="52" t="n">
        <v>0.08</v>
      </c>
      <c r="ED139" s="52" t="n">
        <v>0.11</v>
      </c>
      <c r="EE139" s="52" t="n">
        <v>0.29</v>
      </c>
      <c r="EF139" s="52" t="n">
        <v>1</v>
      </c>
      <c r="EG139" s="52" t="n">
        <v>0.27</v>
      </c>
      <c r="EH139" s="52" t="n">
        <v>0.05</v>
      </c>
      <c r="EI139" s="52" t="n">
        <v>0.29</v>
      </c>
      <c r="EJ139" s="52" t="n">
        <v>0.09</v>
      </c>
      <c r="EK139" s="52" t="n">
        <v>0.28</v>
      </c>
      <c r="EL139" s="52" t="n">
        <v>0.32</v>
      </c>
      <c r="EM139" s="52" t="n">
        <v>0.14</v>
      </c>
      <c r="EN139" s="52" t="n">
        <v>0</v>
      </c>
      <c r="EO139" s="52" t="n">
        <v>0.02</v>
      </c>
    </row>
    <row r="140" customFormat="false" ht="15" hidden="false" customHeight="false" outlineLevel="0" collapsed="false">
      <c r="A140" s="51" t="s">
        <v>280</v>
      </c>
      <c r="B140" s="52" t="n">
        <v>-0.06</v>
      </c>
      <c r="C140" s="52" t="n">
        <v>0.07</v>
      </c>
      <c r="D140" s="52" t="n">
        <v>-0.01</v>
      </c>
      <c r="E140" s="52" t="n">
        <v>0.05</v>
      </c>
      <c r="F140" s="52" t="n">
        <v>-0.09</v>
      </c>
      <c r="G140" s="52" t="n">
        <v>0.05</v>
      </c>
      <c r="H140" s="52" t="n">
        <v>0.09</v>
      </c>
      <c r="I140" s="52" t="n">
        <v>-0.16</v>
      </c>
      <c r="J140" s="52" t="n">
        <v>-0.1</v>
      </c>
      <c r="K140" s="52" t="n">
        <v>-0.08</v>
      </c>
      <c r="L140" s="52" t="n">
        <v>0.2</v>
      </c>
      <c r="M140" s="52" t="n">
        <v>0.23</v>
      </c>
      <c r="N140" s="52" t="n">
        <v>0.02</v>
      </c>
      <c r="O140" s="52" t="n">
        <v>0.11</v>
      </c>
      <c r="P140" s="52" t="n">
        <v>-0.06</v>
      </c>
      <c r="Q140" s="52" t="n">
        <v>0.1</v>
      </c>
      <c r="R140" s="52" t="n">
        <v>-0.11</v>
      </c>
      <c r="S140" s="52" t="n">
        <v>0.1</v>
      </c>
      <c r="T140" s="52" t="n">
        <v>0.14</v>
      </c>
      <c r="U140" s="52" t="n">
        <v>0.09</v>
      </c>
      <c r="V140" s="52" t="n">
        <v>0</v>
      </c>
      <c r="W140" s="52" t="n">
        <v>0.09</v>
      </c>
      <c r="X140" s="52" t="n">
        <v>0.14</v>
      </c>
      <c r="Y140" s="52" t="n">
        <v>-0.03</v>
      </c>
      <c r="Z140" s="52" t="n">
        <v>0.05</v>
      </c>
      <c r="AA140" s="52" t="n">
        <v>0.12</v>
      </c>
      <c r="AB140" s="52" t="n">
        <v>-0.06</v>
      </c>
      <c r="AC140" s="52" t="n">
        <v>0.02</v>
      </c>
      <c r="AD140" s="52" t="n">
        <v>0.19</v>
      </c>
      <c r="AE140" s="52" t="n">
        <v>0.13</v>
      </c>
      <c r="AF140" s="52" t="n">
        <v>0.21</v>
      </c>
      <c r="AG140" s="52" t="n">
        <v>-0.21</v>
      </c>
      <c r="AH140" s="52" t="n">
        <v>-0.18</v>
      </c>
      <c r="AI140" s="52" t="n">
        <v>-0.15</v>
      </c>
      <c r="AJ140" s="52" t="n">
        <v>0.04</v>
      </c>
      <c r="AK140" s="52" t="n">
        <v>0.2</v>
      </c>
      <c r="AL140" s="52" t="n">
        <v>0.09</v>
      </c>
      <c r="AM140" s="52" t="n">
        <v>0.11</v>
      </c>
      <c r="AN140" s="52" t="n">
        <v>0.08</v>
      </c>
      <c r="AO140" s="52" t="n">
        <v>-0.08</v>
      </c>
      <c r="AP140" s="52" t="n">
        <v>0.03</v>
      </c>
      <c r="AQ140" s="52" t="n">
        <v>-0.14</v>
      </c>
      <c r="AR140" s="52" t="n">
        <v>0.09</v>
      </c>
      <c r="AS140" s="52" t="n">
        <v>0.12</v>
      </c>
      <c r="AT140" s="52" t="n">
        <v>0.11</v>
      </c>
      <c r="AU140" s="52" t="n">
        <v>-0.02</v>
      </c>
      <c r="AV140" s="52" t="n">
        <v>0.1</v>
      </c>
      <c r="AW140" s="52" t="n">
        <v>0.22</v>
      </c>
      <c r="AX140" s="52" t="n">
        <v>-0.03</v>
      </c>
      <c r="AY140" s="52" t="n">
        <v>0.18</v>
      </c>
      <c r="AZ140" s="52" t="n">
        <v>0.24</v>
      </c>
      <c r="BA140" s="52" t="n">
        <v>0.18</v>
      </c>
      <c r="BB140" s="52" t="n">
        <v>0.28</v>
      </c>
      <c r="BC140" s="52" t="n">
        <v>0.08</v>
      </c>
      <c r="BD140" s="52" t="n">
        <v>0.13</v>
      </c>
      <c r="BE140" s="52" t="n">
        <v>0.01</v>
      </c>
      <c r="BF140" s="52" t="n">
        <v>0.13</v>
      </c>
      <c r="BG140" s="52" t="n">
        <v>0.07</v>
      </c>
      <c r="BH140" s="52" t="n">
        <v>0.08</v>
      </c>
      <c r="BI140" s="52" t="n">
        <v>0.06</v>
      </c>
      <c r="BJ140" s="52" t="n">
        <v>0.06</v>
      </c>
      <c r="BK140" s="52" t="n">
        <v>0.16</v>
      </c>
      <c r="BL140" s="52" t="n">
        <v>0.34</v>
      </c>
      <c r="BM140" s="52" t="n">
        <v>0</v>
      </c>
      <c r="BN140" s="52" t="n">
        <v>0.05</v>
      </c>
      <c r="BO140" s="52" t="n">
        <v>0.23</v>
      </c>
      <c r="BP140" s="52" t="n">
        <v>0.04</v>
      </c>
      <c r="BQ140" s="52" t="n">
        <v>0.26</v>
      </c>
      <c r="BR140" s="52" t="n">
        <v>0.18</v>
      </c>
      <c r="BS140" s="52" t="n">
        <v>-0.06</v>
      </c>
      <c r="BT140" s="52" t="n">
        <v>0.25</v>
      </c>
      <c r="BU140" s="52" t="n">
        <v>0.03</v>
      </c>
      <c r="BV140" s="52" t="n">
        <v>0.2</v>
      </c>
      <c r="BW140" s="52" t="n">
        <v>0.09</v>
      </c>
      <c r="BX140" s="52" t="n">
        <v>-0.02</v>
      </c>
      <c r="BY140" s="52" t="n">
        <v>0.15</v>
      </c>
      <c r="BZ140" s="52" t="n">
        <v>0.27</v>
      </c>
      <c r="CA140" s="52" t="n">
        <v>0.11</v>
      </c>
      <c r="CB140" s="52" t="n">
        <v>-0.03</v>
      </c>
      <c r="CC140" s="52" t="n">
        <v>0.08</v>
      </c>
      <c r="CD140" s="52" t="n">
        <v>0.04</v>
      </c>
      <c r="CE140" s="52" t="n">
        <v>0.26</v>
      </c>
      <c r="CF140" s="52" t="n">
        <v>-0.06</v>
      </c>
      <c r="CG140" s="52" t="n">
        <v>0.09</v>
      </c>
      <c r="CH140" s="52" t="n">
        <v>0.34</v>
      </c>
      <c r="CI140" s="52" t="n">
        <v>-0.13</v>
      </c>
      <c r="CJ140" s="52" t="n">
        <v>-0.06</v>
      </c>
      <c r="CK140" s="52" t="n">
        <v>-0.02</v>
      </c>
      <c r="CL140" s="52" t="n">
        <v>0.13</v>
      </c>
      <c r="CM140" s="52" t="n">
        <v>0.4</v>
      </c>
      <c r="CN140" s="52" t="n">
        <v>0.09</v>
      </c>
      <c r="CO140" s="52" t="n">
        <v>0.16</v>
      </c>
      <c r="CP140" s="52" t="n">
        <v>0.21</v>
      </c>
      <c r="CQ140" s="52" t="n">
        <v>0.29</v>
      </c>
      <c r="CR140" s="52" t="n">
        <v>0.54</v>
      </c>
      <c r="CS140" s="52" t="n">
        <v>0.49</v>
      </c>
      <c r="CT140" s="52" t="n">
        <v>0.21</v>
      </c>
      <c r="CU140" s="52" t="n">
        <v>0.18</v>
      </c>
      <c r="CV140" s="52" t="n">
        <v>0.18</v>
      </c>
      <c r="CW140" s="52" t="n">
        <v>0.03</v>
      </c>
      <c r="CX140" s="52" t="n">
        <v>0.21</v>
      </c>
      <c r="CY140" s="52" t="n">
        <v>0.27</v>
      </c>
      <c r="CZ140" s="52" t="n">
        <v>0.07</v>
      </c>
      <c r="DA140" s="52" t="n">
        <v>0</v>
      </c>
      <c r="DB140" s="52" t="n">
        <v>0.38</v>
      </c>
      <c r="DC140" s="52" t="n">
        <v>0.27</v>
      </c>
      <c r="DD140" s="52" t="n">
        <v>0.17</v>
      </c>
      <c r="DE140" s="52" t="n">
        <v>0.39</v>
      </c>
      <c r="DF140" s="52" t="n">
        <v>-0.1</v>
      </c>
      <c r="DG140" s="52" t="n">
        <v>0.26</v>
      </c>
      <c r="DH140" s="52" t="n">
        <v>0.44</v>
      </c>
      <c r="DI140" s="52" t="n">
        <v>0.3</v>
      </c>
      <c r="DJ140" s="52" t="n">
        <v>0.19</v>
      </c>
      <c r="DK140" s="52" t="n">
        <v>0.36</v>
      </c>
      <c r="DL140" s="52" t="n">
        <v>0.18</v>
      </c>
      <c r="DM140" s="52" t="n">
        <v>0.23</v>
      </c>
      <c r="DN140" s="52" t="n">
        <v>0.13</v>
      </c>
      <c r="DO140" s="52" t="n">
        <v>0.49</v>
      </c>
      <c r="DP140" s="52" t="n">
        <v>0.18</v>
      </c>
      <c r="DQ140" s="52" t="n">
        <v>0.25</v>
      </c>
      <c r="DR140" s="52" t="n">
        <v>0.31</v>
      </c>
      <c r="DS140" s="52" t="n">
        <v>-0.02</v>
      </c>
      <c r="DT140" s="52" t="n">
        <v>0.22</v>
      </c>
      <c r="DU140" s="52" t="n">
        <v>0.25</v>
      </c>
      <c r="DV140" s="52" t="n">
        <v>0.11</v>
      </c>
      <c r="DW140" s="52" t="n">
        <v>0.02</v>
      </c>
      <c r="DX140" s="52" t="n">
        <v>0.6</v>
      </c>
      <c r="DY140" s="52" t="n">
        <v>0.22</v>
      </c>
      <c r="DZ140" s="52" t="n">
        <v>0.1</v>
      </c>
      <c r="EA140" s="52" t="n">
        <v>0.23</v>
      </c>
      <c r="EB140" s="52" t="n">
        <v>0.2</v>
      </c>
      <c r="EC140" s="52" t="n">
        <v>0.2</v>
      </c>
      <c r="ED140" s="52" t="n">
        <v>0.25</v>
      </c>
      <c r="EE140" s="52" t="n">
        <v>0.67</v>
      </c>
      <c r="EF140" s="52" t="n">
        <v>0.27</v>
      </c>
      <c r="EG140" s="52" t="n">
        <v>1</v>
      </c>
      <c r="EH140" s="52" t="n">
        <v>0.04</v>
      </c>
      <c r="EI140" s="52" t="n">
        <v>0.6</v>
      </c>
      <c r="EJ140" s="52" t="n">
        <v>0.21</v>
      </c>
      <c r="EK140" s="52" t="n">
        <v>0.4</v>
      </c>
      <c r="EL140" s="52" t="n">
        <v>0.44</v>
      </c>
      <c r="EM140" s="52" t="n">
        <v>0.13</v>
      </c>
      <c r="EN140" s="52" t="n">
        <v>0.11</v>
      </c>
      <c r="EO140" s="52" t="n">
        <v>0.09</v>
      </c>
    </row>
    <row r="141" customFormat="false" ht="15" hidden="false" customHeight="false" outlineLevel="0" collapsed="false">
      <c r="A141" s="51" t="s">
        <v>281</v>
      </c>
      <c r="B141" s="52" t="n">
        <v>0.07</v>
      </c>
      <c r="C141" s="52" t="n">
        <v>0</v>
      </c>
      <c r="D141" s="52" t="n">
        <v>0.07</v>
      </c>
      <c r="E141" s="52" t="n">
        <v>-0.02</v>
      </c>
      <c r="F141" s="52" t="n">
        <v>0.06</v>
      </c>
      <c r="G141" s="52" t="n">
        <v>-0.07</v>
      </c>
      <c r="H141" s="52" t="n">
        <v>-0.04</v>
      </c>
      <c r="I141" s="52" t="n">
        <v>0.14</v>
      </c>
      <c r="J141" s="52" t="n">
        <v>0.01</v>
      </c>
      <c r="K141" s="52" t="n">
        <v>0</v>
      </c>
      <c r="L141" s="52" t="n">
        <v>0</v>
      </c>
      <c r="M141" s="52" t="n">
        <v>0.14</v>
      </c>
      <c r="N141" s="52" t="n">
        <v>0.11</v>
      </c>
      <c r="O141" s="52" t="n">
        <v>-0.12</v>
      </c>
      <c r="P141" s="52" t="n">
        <v>0.08</v>
      </c>
      <c r="Q141" s="52" t="n">
        <v>0.02</v>
      </c>
      <c r="R141" s="52" t="n">
        <v>0.02</v>
      </c>
      <c r="S141" s="52" t="n">
        <v>-0.08</v>
      </c>
      <c r="T141" s="52" t="n">
        <v>0.13</v>
      </c>
      <c r="U141" s="52" t="n">
        <v>-0.03</v>
      </c>
      <c r="V141" s="52" t="n">
        <v>-0.08</v>
      </c>
      <c r="W141" s="52" t="n">
        <v>-0.03</v>
      </c>
      <c r="X141" s="52" t="n">
        <v>0.05</v>
      </c>
      <c r="Y141" s="52" t="n">
        <v>0.21</v>
      </c>
      <c r="Z141" s="52" t="n">
        <v>0.02</v>
      </c>
      <c r="AA141" s="52" t="n">
        <v>0.02</v>
      </c>
      <c r="AB141" s="52" t="n">
        <v>0.21</v>
      </c>
      <c r="AC141" s="52" t="n">
        <v>-0.1</v>
      </c>
      <c r="AD141" s="52" t="n">
        <v>-0.08</v>
      </c>
      <c r="AE141" s="52" t="n">
        <v>-0.07</v>
      </c>
      <c r="AF141" s="52" t="n">
        <v>-0.13</v>
      </c>
      <c r="AG141" s="52" t="n">
        <v>0.04</v>
      </c>
      <c r="AH141" s="52" t="n">
        <v>0</v>
      </c>
      <c r="AI141" s="52" t="n">
        <v>-0.06</v>
      </c>
      <c r="AJ141" s="52" t="n">
        <v>-0.04</v>
      </c>
      <c r="AK141" s="52" t="n">
        <v>-0.04</v>
      </c>
      <c r="AL141" s="52" t="n">
        <v>0.21</v>
      </c>
      <c r="AM141" s="52" t="n">
        <v>0.05</v>
      </c>
      <c r="AN141" s="52" t="n">
        <v>0.09</v>
      </c>
      <c r="AO141" s="52" t="n">
        <v>0.07</v>
      </c>
      <c r="AP141" s="52" t="n">
        <v>0.19</v>
      </c>
      <c r="AQ141" s="52" t="n">
        <v>-0.07</v>
      </c>
      <c r="AR141" s="52" t="n">
        <v>0.15</v>
      </c>
      <c r="AS141" s="52" t="n">
        <v>-0.03</v>
      </c>
      <c r="AT141" s="52" t="n">
        <v>0.26</v>
      </c>
      <c r="AU141" s="52" t="n">
        <v>0</v>
      </c>
      <c r="AV141" s="52" t="n">
        <v>0.04</v>
      </c>
      <c r="AW141" s="52" t="n">
        <v>-0.04</v>
      </c>
      <c r="AX141" s="52" t="n">
        <v>0.03</v>
      </c>
      <c r="AY141" s="52" t="n">
        <v>0.14</v>
      </c>
      <c r="AZ141" s="52" t="n">
        <v>-0.01</v>
      </c>
      <c r="BA141" s="52" t="n">
        <v>0.01</v>
      </c>
      <c r="BB141" s="52" t="n">
        <v>0.21</v>
      </c>
      <c r="BC141" s="52" t="n">
        <v>0.04</v>
      </c>
      <c r="BD141" s="52" t="n">
        <v>0.06</v>
      </c>
      <c r="BE141" s="52" t="n">
        <v>0.08</v>
      </c>
      <c r="BF141" s="52" t="n">
        <v>0</v>
      </c>
      <c r="BG141" s="52" t="n">
        <v>0.19</v>
      </c>
      <c r="BH141" s="52" t="n">
        <v>0.02</v>
      </c>
      <c r="BI141" s="52" t="n">
        <v>-0.07</v>
      </c>
      <c r="BJ141" s="52" t="n">
        <v>-0.11</v>
      </c>
      <c r="BK141" s="52" t="n">
        <v>-0.06</v>
      </c>
      <c r="BL141" s="52" t="n">
        <v>0.02</v>
      </c>
      <c r="BM141" s="52" t="n">
        <v>0.14</v>
      </c>
      <c r="BN141" s="52" t="n">
        <v>-0.04</v>
      </c>
      <c r="BO141" s="52" t="n">
        <v>0.22</v>
      </c>
      <c r="BP141" s="52" t="n">
        <v>0.27</v>
      </c>
      <c r="BQ141" s="52" t="n">
        <v>0.02</v>
      </c>
      <c r="BR141" s="52" t="n">
        <v>0.22</v>
      </c>
      <c r="BS141" s="52" t="n">
        <v>-0.05</v>
      </c>
      <c r="BT141" s="52" t="n">
        <v>0.1</v>
      </c>
      <c r="BU141" s="52" t="n">
        <v>-0.06</v>
      </c>
      <c r="BV141" s="52" t="n">
        <v>0.26</v>
      </c>
      <c r="BW141" s="52" t="n">
        <v>0.18</v>
      </c>
      <c r="BX141" s="52" t="n">
        <v>0.14</v>
      </c>
      <c r="BY141" s="52" t="n">
        <v>0.12</v>
      </c>
      <c r="BZ141" s="52" t="n">
        <v>0.19</v>
      </c>
      <c r="CA141" s="52" t="n">
        <v>-0.11</v>
      </c>
      <c r="CB141" s="52" t="n">
        <v>0.01</v>
      </c>
      <c r="CC141" s="52" t="n">
        <v>0.12</v>
      </c>
      <c r="CD141" s="52" t="n">
        <v>0.25</v>
      </c>
      <c r="CE141" s="52" t="n">
        <v>0.02</v>
      </c>
      <c r="CF141" s="52" t="n">
        <v>-0.04</v>
      </c>
      <c r="CG141" s="52" t="n">
        <v>0.31</v>
      </c>
      <c r="CH141" s="52" t="n">
        <v>-0.07</v>
      </c>
      <c r="CI141" s="52" t="n">
        <v>-0.11</v>
      </c>
      <c r="CJ141" s="52" t="n">
        <v>0.31</v>
      </c>
      <c r="CK141" s="52" t="n">
        <v>0.18</v>
      </c>
      <c r="CL141" s="52" t="n">
        <v>0.14</v>
      </c>
      <c r="CM141" s="52" t="n">
        <v>0.13</v>
      </c>
      <c r="CN141" s="52" t="n">
        <v>-0.08</v>
      </c>
      <c r="CO141" s="52" t="n">
        <v>0.09</v>
      </c>
      <c r="CP141" s="52" t="n">
        <v>0.16</v>
      </c>
      <c r="CQ141" s="52" t="n">
        <v>0.16</v>
      </c>
      <c r="CR141" s="52" t="n">
        <v>0.1</v>
      </c>
      <c r="CS141" s="52" t="n">
        <v>-0.06</v>
      </c>
      <c r="CT141" s="52" t="n">
        <v>0.2</v>
      </c>
      <c r="CU141" s="52" t="n">
        <v>0.13</v>
      </c>
      <c r="CV141" s="52" t="n">
        <v>0.17</v>
      </c>
      <c r="CW141" s="52" t="n">
        <v>0.32</v>
      </c>
      <c r="CX141" s="52" t="n">
        <v>0.22</v>
      </c>
      <c r="CY141" s="52" t="n">
        <v>0.15</v>
      </c>
      <c r="CZ141" s="52" t="n">
        <v>0.29</v>
      </c>
      <c r="DA141" s="52" t="n">
        <v>0.38</v>
      </c>
      <c r="DB141" s="52" t="n">
        <v>0.13</v>
      </c>
      <c r="DC141" s="52" t="n">
        <v>0</v>
      </c>
      <c r="DD141" s="52" t="n">
        <v>0.35</v>
      </c>
      <c r="DE141" s="52" t="n">
        <v>0.02</v>
      </c>
      <c r="DF141" s="52" t="n">
        <v>0.32</v>
      </c>
      <c r="DG141" s="52" t="n">
        <v>0.01</v>
      </c>
      <c r="DH141" s="52" t="n">
        <v>0.11</v>
      </c>
      <c r="DI141" s="52" t="n">
        <v>0.16</v>
      </c>
      <c r="DJ141" s="52" t="n">
        <v>0.1</v>
      </c>
      <c r="DK141" s="52" t="n">
        <v>0.14</v>
      </c>
      <c r="DL141" s="52" t="n">
        <v>-0.11</v>
      </c>
      <c r="DM141" s="52" t="n">
        <v>0.15</v>
      </c>
      <c r="DN141" s="52" t="n">
        <v>0.25</v>
      </c>
      <c r="DO141" s="52" t="n">
        <v>-0.01</v>
      </c>
      <c r="DP141" s="52" t="n">
        <v>0.18</v>
      </c>
      <c r="DQ141" s="52" t="n">
        <v>0.08</v>
      </c>
      <c r="DR141" s="52" t="n">
        <v>0.03</v>
      </c>
      <c r="DS141" s="52" t="n">
        <v>0.22</v>
      </c>
      <c r="DT141" s="52" t="n">
        <v>0.18</v>
      </c>
      <c r="DU141" s="52" t="n">
        <v>0.29</v>
      </c>
      <c r="DV141" s="52" t="n">
        <v>0.23</v>
      </c>
      <c r="DW141" s="52" t="n">
        <v>0.42</v>
      </c>
      <c r="DX141" s="52" t="n">
        <v>0</v>
      </c>
      <c r="DY141" s="52" t="n">
        <v>0.36</v>
      </c>
      <c r="DZ141" s="52" t="n">
        <v>0.26</v>
      </c>
      <c r="EA141" s="52" t="n">
        <v>0.06</v>
      </c>
      <c r="EB141" s="52" t="n">
        <v>0.36</v>
      </c>
      <c r="EC141" s="52" t="n">
        <v>-0.01</v>
      </c>
      <c r="ED141" s="52" t="n">
        <v>0.17</v>
      </c>
      <c r="EE141" s="52" t="n">
        <v>0.02</v>
      </c>
      <c r="EF141" s="52" t="n">
        <v>0.05</v>
      </c>
      <c r="EG141" s="52" t="n">
        <v>0.04</v>
      </c>
      <c r="EH141" s="52" t="n">
        <v>1</v>
      </c>
      <c r="EI141" s="52" t="n">
        <v>0.05</v>
      </c>
      <c r="EJ141" s="52" t="n">
        <v>0.2</v>
      </c>
      <c r="EK141" s="52" t="n">
        <v>0.19</v>
      </c>
      <c r="EL141" s="52" t="n">
        <v>0.12</v>
      </c>
      <c r="EM141" s="52" t="n">
        <v>0.33</v>
      </c>
      <c r="EN141" s="52" t="n">
        <v>0.11</v>
      </c>
      <c r="EO141" s="52" t="n">
        <v>0.07</v>
      </c>
    </row>
    <row r="142" customFormat="false" ht="15" hidden="false" customHeight="false" outlineLevel="0" collapsed="false">
      <c r="A142" s="51" t="s">
        <v>282</v>
      </c>
      <c r="B142" s="52" t="n">
        <v>-0.2</v>
      </c>
      <c r="C142" s="52" t="n">
        <v>0.02</v>
      </c>
      <c r="D142" s="52" t="n">
        <v>0.06</v>
      </c>
      <c r="E142" s="52" t="n">
        <v>-0.02</v>
      </c>
      <c r="F142" s="52" t="n">
        <v>-0.2</v>
      </c>
      <c r="G142" s="52" t="n">
        <v>0.01</v>
      </c>
      <c r="H142" s="52" t="n">
        <v>0.03</v>
      </c>
      <c r="I142" s="52" t="n">
        <v>-0.23</v>
      </c>
      <c r="J142" s="52" t="n">
        <v>-0.18</v>
      </c>
      <c r="K142" s="52" t="n">
        <v>-0.24</v>
      </c>
      <c r="L142" s="52" t="n">
        <v>0.08</v>
      </c>
      <c r="M142" s="52" t="n">
        <v>0.18</v>
      </c>
      <c r="N142" s="52" t="n">
        <v>-0.04</v>
      </c>
      <c r="O142" s="52" t="n">
        <v>0.01</v>
      </c>
      <c r="P142" s="52" t="n">
        <v>-0.2</v>
      </c>
      <c r="Q142" s="52" t="n">
        <v>0.01</v>
      </c>
      <c r="R142" s="52" t="n">
        <v>-0.27</v>
      </c>
      <c r="S142" s="52" t="n">
        <v>0</v>
      </c>
      <c r="T142" s="52" t="n">
        <v>0.07</v>
      </c>
      <c r="U142" s="52" t="n">
        <v>0.02</v>
      </c>
      <c r="V142" s="52" t="n">
        <v>-0.02</v>
      </c>
      <c r="W142" s="52" t="n">
        <v>0.02</v>
      </c>
      <c r="X142" s="52" t="n">
        <v>0.09</v>
      </c>
      <c r="Y142" s="52" t="n">
        <v>-0.12</v>
      </c>
      <c r="Z142" s="52" t="n">
        <v>0.1</v>
      </c>
      <c r="AA142" s="52" t="n">
        <v>0.06</v>
      </c>
      <c r="AB142" s="52" t="n">
        <v>-0.14</v>
      </c>
      <c r="AC142" s="52" t="n">
        <v>0.02</v>
      </c>
      <c r="AD142" s="52" t="n">
        <v>0.11</v>
      </c>
      <c r="AE142" s="52" t="n">
        <v>0.18</v>
      </c>
      <c r="AF142" s="52" t="n">
        <v>0.12</v>
      </c>
      <c r="AG142" s="52" t="n">
        <v>-0.23</v>
      </c>
      <c r="AH142" s="52" t="n">
        <v>-0.21</v>
      </c>
      <c r="AI142" s="52" t="n">
        <v>-0.2</v>
      </c>
      <c r="AJ142" s="52" t="n">
        <v>0.07</v>
      </c>
      <c r="AK142" s="52" t="n">
        <v>0.16</v>
      </c>
      <c r="AL142" s="52" t="n">
        <v>0</v>
      </c>
      <c r="AM142" s="52" t="n">
        <v>0.02</v>
      </c>
      <c r="AN142" s="52" t="n">
        <v>0.01</v>
      </c>
      <c r="AO142" s="52" t="n">
        <v>-0.1</v>
      </c>
      <c r="AP142" s="52" t="n">
        <v>-0.09</v>
      </c>
      <c r="AQ142" s="52" t="n">
        <v>-0.15</v>
      </c>
      <c r="AR142" s="52" t="n">
        <v>0.03</v>
      </c>
      <c r="AS142" s="52" t="n">
        <v>0.11</v>
      </c>
      <c r="AT142" s="52" t="n">
        <v>0.07</v>
      </c>
      <c r="AU142" s="52" t="n">
        <v>-0.16</v>
      </c>
      <c r="AV142" s="52" t="n">
        <v>0</v>
      </c>
      <c r="AW142" s="52" t="n">
        <v>0.14</v>
      </c>
      <c r="AX142" s="52" t="n">
        <v>-0.11</v>
      </c>
      <c r="AY142" s="52" t="n">
        <v>0.08</v>
      </c>
      <c r="AZ142" s="52" t="n">
        <v>0.28</v>
      </c>
      <c r="BA142" s="52" t="n">
        <v>0.19</v>
      </c>
      <c r="BB142" s="52" t="n">
        <v>0.27</v>
      </c>
      <c r="BC142" s="52" t="n">
        <v>0.07</v>
      </c>
      <c r="BD142" s="52" t="n">
        <v>0.09</v>
      </c>
      <c r="BE142" s="52" t="n">
        <v>-0.02</v>
      </c>
      <c r="BF142" s="52" t="n">
        <v>0.1</v>
      </c>
      <c r="BG142" s="52" t="n">
        <v>0.05</v>
      </c>
      <c r="BH142" s="52" t="n">
        <v>0.07</v>
      </c>
      <c r="BI142" s="52" t="n">
        <v>0.01</v>
      </c>
      <c r="BJ142" s="52" t="n">
        <v>0.08</v>
      </c>
      <c r="BK142" s="52" t="n">
        <v>0.16</v>
      </c>
      <c r="BL142" s="52" t="n">
        <v>0.33</v>
      </c>
      <c r="BM142" s="52" t="n">
        <v>-0.07</v>
      </c>
      <c r="BN142" s="52" t="n">
        <v>0.03</v>
      </c>
      <c r="BO142" s="52" t="n">
        <v>0.16</v>
      </c>
      <c r="BP142" s="52" t="n">
        <v>0.05</v>
      </c>
      <c r="BQ142" s="52" t="n">
        <v>0.26</v>
      </c>
      <c r="BR142" s="52" t="n">
        <v>0.15</v>
      </c>
      <c r="BS142" s="52" t="n">
        <v>-0.02</v>
      </c>
      <c r="BT142" s="52" t="n">
        <v>0.27</v>
      </c>
      <c r="BU142" s="52" t="n">
        <v>0.06</v>
      </c>
      <c r="BV142" s="52" t="n">
        <v>0.17</v>
      </c>
      <c r="BW142" s="52" t="n">
        <v>0.12</v>
      </c>
      <c r="BX142" s="52" t="n">
        <v>-0.03</v>
      </c>
      <c r="BY142" s="52" t="n">
        <v>0.16</v>
      </c>
      <c r="BZ142" s="52" t="n">
        <v>0.24</v>
      </c>
      <c r="CA142" s="52" t="n">
        <v>0.04</v>
      </c>
      <c r="CB142" s="52" t="n">
        <v>-0.02</v>
      </c>
      <c r="CC142" s="52" t="n">
        <v>0.02</v>
      </c>
      <c r="CD142" s="52" t="n">
        <v>0.11</v>
      </c>
      <c r="CE142" s="52" t="n">
        <v>0.24</v>
      </c>
      <c r="CF142" s="52" t="n">
        <v>-0.08</v>
      </c>
      <c r="CG142" s="52" t="n">
        <v>0.04</v>
      </c>
      <c r="CH142" s="52" t="n">
        <v>0.38</v>
      </c>
      <c r="CI142" s="52" t="n">
        <v>-0.12</v>
      </c>
      <c r="CJ142" s="52" t="n">
        <v>-0.11</v>
      </c>
      <c r="CK142" s="52" t="n">
        <v>-0.1</v>
      </c>
      <c r="CL142" s="52" t="n">
        <v>0.24</v>
      </c>
      <c r="CM142" s="52" t="n">
        <v>0.45</v>
      </c>
      <c r="CN142" s="52" t="n">
        <v>0.05</v>
      </c>
      <c r="CO142" s="52" t="n">
        <v>0.09</v>
      </c>
      <c r="CP142" s="52" t="n">
        <v>0.07</v>
      </c>
      <c r="CQ142" s="52" t="n">
        <v>0.3</v>
      </c>
      <c r="CR142" s="52" t="n">
        <v>0.63</v>
      </c>
      <c r="CS142" s="52" t="n">
        <v>0.55</v>
      </c>
      <c r="CT142" s="52" t="n">
        <v>0.14</v>
      </c>
      <c r="CU142" s="52" t="n">
        <v>0.17</v>
      </c>
      <c r="CV142" s="52" t="n">
        <v>0.1</v>
      </c>
      <c r="CW142" s="52" t="n">
        <v>0.03</v>
      </c>
      <c r="CX142" s="52" t="n">
        <v>0.23</v>
      </c>
      <c r="CY142" s="52" t="n">
        <v>0.23</v>
      </c>
      <c r="CZ142" s="52" t="n">
        <v>0</v>
      </c>
      <c r="DA142" s="52" t="n">
        <v>-0.01</v>
      </c>
      <c r="DB142" s="52" t="n">
        <v>0.34</v>
      </c>
      <c r="DC142" s="52" t="n">
        <v>0.26</v>
      </c>
      <c r="DD142" s="52" t="n">
        <v>0.17</v>
      </c>
      <c r="DE142" s="52" t="n">
        <v>0.49</v>
      </c>
      <c r="DF142" s="52" t="n">
        <v>-0.15</v>
      </c>
      <c r="DG142" s="52" t="n">
        <v>0.38</v>
      </c>
      <c r="DH142" s="52" t="n">
        <v>0.5</v>
      </c>
      <c r="DI142" s="52" t="n">
        <v>0.26</v>
      </c>
      <c r="DJ142" s="52" t="n">
        <v>0.17</v>
      </c>
      <c r="DK142" s="52" t="n">
        <v>0.33</v>
      </c>
      <c r="DL142" s="52" t="n">
        <v>0.27</v>
      </c>
      <c r="DM142" s="52" t="n">
        <v>0.22</v>
      </c>
      <c r="DN142" s="52" t="n">
        <v>0.08</v>
      </c>
      <c r="DO142" s="52" t="n">
        <v>0.39</v>
      </c>
      <c r="DP142" s="52" t="n">
        <v>0.17</v>
      </c>
      <c r="DQ142" s="52" t="n">
        <v>0.36</v>
      </c>
      <c r="DR142" s="52" t="n">
        <v>0.36</v>
      </c>
      <c r="DS142" s="52" t="n">
        <v>-0.05</v>
      </c>
      <c r="DT142" s="52" t="n">
        <v>0.32</v>
      </c>
      <c r="DU142" s="52" t="n">
        <v>0.29</v>
      </c>
      <c r="DV142" s="52" t="n">
        <v>0.13</v>
      </c>
      <c r="DW142" s="52" t="n">
        <v>0.05</v>
      </c>
      <c r="DX142" s="52" t="n">
        <v>0.73</v>
      </c>
      <c r="DY142" s="52" t="n">
        <v>0.22</v>
      </c>
      <c r="DZ142" s="52" t="n">
        <v>0.09</v>
      </c>
      <c r="EA142" s="52" t="n">
        <v>0.24</v>
      </c>
      <c r="EB142" s="52" t="n">
        <v>0.18</v>
      </c>
      <c r="EC142" s="52" t="n">
        <v>0.16</v>
      </c>
      <c r="ED142" s="52" t="n">
        <v>0.23</v>
      </c>
      <c r="EE142" s="52" t="n">
        <v>0.64</v>
      </c>
      <c r="EF142" s="52" t="n">
        <v>0.29</v>
      </c>
      <c r="EG142" s="52" t="n">
        <v>0.6</v>
      </c>
      <c r="EH142" s="52" t="n">
        <v>0.05</v>
      </c>
      <c r="EI142" s="52" t="n">
        <v>1</v>
      </c>
      <c r="EJ142" s="52" t="n">
        <v>0.13</v>
      </c>
      <c r="EK142" s="52" t="n">
        <v>0.45</v>
      </c>
      <c r="EL142" s="52" t="n">
        <v>0.54</v>
      </c>
      <c r="EM142" s="52" t="n">
        <v>0.19</v>
      </c>
      <c r="EN142" s="52" t="n">
        <v>0.11</v>
      </c>
      <c r="EO142" s="52" t="n">
        <v>0.07</v>
      </c>
    </row>
    <row r="143" customFormat="false" ht="15" hidden="false" customHeight="false" outlineLevel="0" collapsed="false">
      <c r="A143" s="51" t="s">
        <v>283</v>
      </c>
      <c r="B143" s="52" t="n">
        <v>0.06</v>
      </c>
      <c r="C143" s="52" t="n">
        <v>-0.02</v>
      </c>
      <c r="D143" s="52" t="n">
        <v>0.06</v>
      </c>
      <c r="E143" s="52" t="n">
        <v>0.17</v>
      </c>
      <c r="F143" s="52" t="n">
        <v>0.02</v>
      </c>
      <c r="G143" s="52" t="n">
        <v>0.11</v>
      </c>
      <c r="H143" s="52" t="n">
        <v>0.1</v>
      </c>
      <c r="I143" s="52" t="n">
        <v>0.03</v>
      </c>
      <c r="J143" s="52" t="n">
        <v>-0.04</v>
      </c>
      <c r="K143" s="52" t="n">
        <v>0.01</v>
      </c>
      <c r="L143" s="52" t="n">
        <v>0.15</v>
      </c>
      <c r="M143" s="52" t="n">
        <v>0.32</v>
      </c>
      <c r="N143" s="52" t="n">
        <v>0.25</v>
      </c>
      <c r="O143" s="52" t="n">
        <v>0.09</v>
      </c>
      <c r="P143" s="52" t="n">
        <v>0.01</v>
      </c>
      <c r="Q143" s="52" t="n">
        <v>-0.02</v>
      </c>
      <c r="R143" s="52" t="n">
        <v>0.06</v>
      </c>
      <c r="S143" s="52" t="n">
        <v>0.07</v>
      </c>
      <c r="T143" s="52" t="n">
        <v>0.2</v>
      </c>
      <c r="U143" s="52" t="n">
        <v>0.2</v>
      </c>
      <c r="V143" s="52" t="n">
        <v>0.06</v>
      </c>
      <c r="W143" s="52" t="n">
        <v>0</v>
      </c>
      <c r="X143" s="52" t="n">
        <v>0.19</v>
      </c>
      <c r="Y143" s="52" t="n">
        <v>0.07</v>
      </c>
      <c r="Z143" s="52" t="n">
        <v>0.17</v>
      </c>
      <c r="AA143" s="52" t="n">
        <v>0.1</v>
      </c>
      <c r="AB143" s="52" t="n">
        <v>0.09</v>
      </c>
      <c r="AC143" s="52" t="n">
        <v>0.1</v>
      </c>
      <c r="AD143" s="52" t="n">
        <v>0.13</v>
      </c>
      <c r="AE143" s="52" t="n">
        <v>0.23</v>
      </c>
      <c r="AF143" s="52" t="n">
        <v>0.15</v>
      </c>
      <c r="AG143" s="52" t="n">
        <v>-0.03</v>
      </c>
      <c r="AH143" s="52" t="n">
        <v>-0.02</v>
      </c>
      <c r="AI143" s="52" t="n">
        <v>-0.03</v>
      </c>
      <c r="AJ143" s="52" t="n">
        <v>0.07</v>
      </c>
      <c r="AK143" s="52" t="n">
        <v>0.14</v>
      </c>
      <c r="AL143" s="52" t="n">
        <v>0.19</v>
      </c>
      <c r="AM143" s="52" t="n">
        <v>0.22</v>
      </c>
      <c r="AN143" s="52" t="n">
        <v>0.16</v>
      </c>
      <c r="AO143" s="52" t="n">
        <v>0.1</v>
      </c>
      <c r="AP143" s="52" t="n">
        <v>0.23</v>
      </c>
      <c r="AQ143" s="52" t="n">
        <v>-0.06</v>
      </c>
      <c r="AR143" s="52" t="n">
        <v>0.23</v>
      </c>
      <c r="AS143" s="52" t="n">
        <v>0.15</v>
      </c>
      <c r="AT143" s="52" t="n">
        <v>0.3</v>
      </c>
      <c r="AU143" s="52" t="n">
        <v>-0.01</v>
      </c>
      <c r="AV143" s="52" t="n">
        <v>0.17</v>
      </c>
      <c r="AW143" s="52" t="n">
        <v>0.14</v>
      </c>
      <c r="AX143" s="52" t="n">
        <v>0.23</v>
      </c>
      <c r="AY143" s="52" t="n">
        <v>0.14</v>
      </c>
      <c r="AZ143" s="52" t="n">
        <v>0.21</v>
      </c>
      <c r="BA143" s="52" t="n">
        <v>0.16</v>
      </c>
      <c r="BB143" s="52" t="n">
        <v>0.27</v>
      </c>
      <c r="BC143" s="52" t="n">
        <v>0.14</v>
      </c>
      <c r="BD143" s="52" t="n">
        <v>0.17</v>
      </c>
      <c r="BE143" s="52" t="n">
        <v>0.18</v>
      </c>
      <c r="BF143" s="52" t="n">
        <v>0.21</v>
      </c>
      <c r="BG143" s="52" t="n">
        <v>0.22</v>
      </c>
      <c r="BH143" s="52" t="n">
        <v>0.14</v>
      </c>
      <c r="BI143" s="52" t="n">
        <v>0.11</v>
      </c>
      <c r="BJ143" s="52" t="n">
        <v>-0.01</v>
      </c>
      <c r="BK143" s="52" t="n">
        <v>0.19</v>
      </c>
      <c r="BL143" s="52" t="n">
        <v>0.15</v>
      </c>
      <c r="BM143" s="52" t="n">
        <v>0.13</v>
      </c>
      <c r="BN143" s="52" t="n">
        <v>0.02</v>
      </c>
      <c r="BO143" s="52" t="n">
        <v>0.24</v>
      </c>
      <c r="BP143" s="52" t="n">
        <v>0.18</v>
      </c>
      <c r="BQ143" s="52" t="n">
        <v>0.19</v>
      </c>
      <c r="BR143" s="52" t="n">
        <v>0.17</v>
      </c>
      <c r="BS143" s="52" t="n">
        <v>0.02</v>
      </c>
      <c r="BT143" s="52" t="n">
        <v>0.23</v>
      </c>
      <c r="BU143" s="52" t="n">
        <v>0.12</v>
      </c>
      <c r="BV143" s="52" t="n">
        <v>0.19</v>
      </c>
      <c r="BW143" s="52" t="n">
        <v>0.16</v>
      </c>
      <c r="BX143" s="52" t="n">
        <v>0.19</v>
      </c>
      <c r="BY143" s="52" t="n">
        <v>0.27</v>
      </c>
      <c r="BZ143" s="52" t="n">
        <v>0.26</v>
      </c>
      <c r="CA143" s="52" t="n">
        <v>0.16</v>
      </c>
      <c r="CB143" s="52" t="n">
        <v>0.04</v>
      </c>
      <c r="CC143" s="52" t="n">
        <v>0.11</v>
      </c>
      <c r="CD143" s="52" t="n">
        <v>0.24</v>
      </c>
      <c r="CE143" s="52" t="n">
        <v>0.09</v>
      </c>
      <c r="CF143" s="52" t="n">
        <v>-0.01</v>
      </c>
      <c r="CG143" s="52" t="n">
        <v>0.2</v>
      </c>
      <c r="CH143" s="52" t="n">
        <v>0.22</v>
      </c>
      <c r="CI143" s="52" t="n">
        <v>0</v>
      </c>
      <c r="CJ143" s="52" t="n">
        <v>0.08</v>
      </c>
      <c r="CK143" s="52" t="n">
        <v>0.19</v>
      </c>
      <c r="CL143" s="52" t="n">
        <v>0.32</v>
      </c>
      <c r="CM143" s="52" t="n">
        <v>0.15</v>
      </c>
      <c r="CN143" s="52" t="n">
        <v>0.14</v>
      </c>
      <c r="CO143" s="52" t="n">
        <v>0.18</v>
      </c>
      <c r="CP143" s="52" t="n">
        <v>0.09</v>
      </c>
      <c r="CQ143" s="52" t="n">
        <v>0.39</v>
      </c>
      <c r="CR143" s="52" t="n">
        <v>0.31</v>
      </c>
      <c r="CS143" s="52" t="n">
        <v>0.23</v>
      </c>
      <c r="CT143" s="52" t="n">
        <v>0.26</v>
      </c>
      <c r="CU143" s="52" t="n">
        <v>0.19</v>
      </c>
      <c r="CV143" s="52" t="n">
        <v>0.17</v>
      </c>
      <c r="CW143" s="52" t="n">
        <v>0.16</v>
      </c>
      <c r="CX143" s="52" t="n">
        <v>0.26</v>
      </c>
      <c r="CY143" s="52" t="n">
        <v>0.33</v>
      </c>
      <c r="CZ143" s="52" t="n">
        <v>0.2</v>
      </c>
      <c r="DA143" s="52" t="n">
        <v>0.32</v>
      </c>
      <c r="DB143" s="52" t="n">
        <v>0.32</v>
      </c>
      <c r="DC143" s="52" t="n">
        <v>0.26</v>
      </c>
      <c r="DD143" s="52" t="n">
        <v>0.31</v>
      </c>
      <c r="DE143" s="52" t="n">
        <v>0.19</v>
      </c>
      <c r="DF143" s="52" t="n">
        <v>0.16</v>
      </c>
      <c r="DG143" s="52" t="n">
        <v>0.13</v>
      </c>
      <c r="DH143" s="52" t="n">
        <v>0.21</v>
      </c>
      <c r="DI143" s="52" t="n">
        <v>0.32</v>
      </c>
      <c r="DJ143" s="52" t="n">
        <v>0.36</v>
      </c>
      <c r="DK143" s="52" t="n">
        <v>0.36</v>
      </c>
      <c r="DL143" s="52" t="n">
        <v>0.06</v>
      </c>
      <c r="DM143" s="52" t="n">
        <v>0.32</v>
      </c>
      <c r="DN143" s="52" t="n">
        <v>0.13</v>
      </c>
      <c r="DO143" s="52" t="n">
        <v>0.22</v>
      </c>
      <c r="DP143" s="52" t="n">
        <v>0.29</v>
      </c>
      <c r="DQ143" s="52" t="n">
        <v>0.21</v>
      </c>
      <c r="DR143" s="52" t="n">
        <v>0.25</v>
      </c>
      <c r="DS143" s="52" t="n">
        <v>0.16</v>
      </c>
      <c r="DT143" s="52" t="n">
        <v>0.29</v>
      </c>
      <c r="DU143" s="52" t="n">
        <v>0.34</v>
      </c>
      <c r="DV143" s="52" t="n">
        <v>0.19</v>
      </c>
      <c r="DW143" s="52" t="n">
        <v>0.23</v>
      </c>
      <c r="DX143" s="52" t="n">
        <v>0.19</v>
      </c>
      <c r="DY143" s="52" t="n">
        <v>0.22</v>
      </c>
      <c r="DZ143" s="52" t="n">
        <v>0.14</v>
      </c>
      <c r="EA143" s="52" t="n">
        <v>0.32</v>
      </c>
      <c r="EB143" s="52" t="n">
        <v>0.34</v>
      </c>
      <c r="EC143" s="52" t="n">
        <v>0.12</v>
      </c>
      <c r="ED143" s="52" t="n">
        <v>0.4</v>
      </c>
      <c r="EE143" s="52" t="n">
        <v>0.24</v>
      </c>
      <c r="EF143" s="52" t="n">
        <v>0.09</v>
      </c>
      <c r="EG143" s="52" t="n">
        <v>0.21</v>
      </c>
      <c r="EH143" s="52" t="n">
        <v>0.2</v>
      </c>
      <c r="EI143" s="52" t="n">
        <v>0.13</v>
      </c>
      <c r="EJ143" s="52" t="n">
        <v>1</v>
      </c>
      <c r="EK143" s="52" t="n">
        <v>0.35</v>
      </c>
      <c r="EL143" s="52" t="n">
        <v>0.3</v>
      </c>
      <c r="EM143" s="52" t="n">
        <v>0.32</v>
      </c>
      <c r="EN143" s="52" t="n">
        <v>0.23</v>
      </c>
      <c r="EO143" s="52" t="n">
        <v>0.08</v>
      </c>
    </row>
    <row r="144" customFormat="false" ht="15" hidden="false" customHeight="false" outlineLevel="0" collapsed="false">
      <c r="A144" s="51" t="s">
        <v>284</v>
      </c>
      <c r="B144" s="52" t="n">
        <v>-0.03</v>
      </c>
      <c r="C144" s="52" t="n">
        <v>0.04</v>
      </c>
      <c r="D144" s="52" t="n">
        <v>0.04</v>
      </c>
      <c r="E144" s="52" t="n">
        <v>0.06</v>
      </c>
      <c r="F144" s="52" t="n">
        <v>-0.05</v>
      </c>
      <c r="G144" s="52" t="n">
        <v>0.05</v>
      </c>
      <c r="H144" s="52" t="n">
        <v>0.06</v>
      </c>
      <c r="I144" s="52" t="n">
        <v>-0.01</v>
      </c>
      <c r="J144" s="52" t="n">
        <v>-0.08</v>
      </c>
      <c r="K144" s="52" t="n">
        <v>-0.07</v>
      </c>
      <c r="L144" s="52" t="n">
        <v>0.11</v>
      </c>
      <c r="M144" s="52" t="n">
        <v>0.28</v>
      </c>
      <c r="N144" s="52" t="n">
        <v>0.11</v>
      </c>
      <c r="O144" s="52" t="n">
        <v>0.08</v>
      </c>
      <c r="P144" s="52" t="n">
        <v>-0.04</v>
      </c>
      <c r="Q144" s="52" t="n">
        <v>0.01</v>
      </c>
      <c r="R144" s="52" t="n">
        <v>-0.02</v>
      </c>
      <c r="S144" s="52" t="n">
        <v>-0.05</v>
      </c>
      <c r="T144" s="52" t="n">
        <v>0.2</v>
      </c>
      <c r="U144" s="52" t="n">
        <v>0.14</v>
      </c>
      <c r="V144" s="52" t="n">
        <v>0.04</v>
      </c>
      <c r="W144" s="52" t="n">
        <v>0.12</v>
      </c>
      <c r="X144" s="52" t="n">
        <v>0.3</v>
      </c>
      <c r="Y144" s="52" t="n">
        <v>0.01</v>
      </c>
      <c r="Z144" s="52" t="n">
        <v>0.13</v>
      </c>
      <c r="AA144" s="52" t="n">
        <v>0.05</v>
      </c>
      <c r="AB144" s="52" t="n">
        <v>-0.01</v>
      </c>
      <c r="AC144" s="52" t="n">
        <v>0.14</v>
      </c>
      <c r="AD144" s="52" t="n">
        <v>0.11</v>
      </c>
      <c r="AE144" s="52" t="n">
        <v>0.1</v>
      </c>
      <c r="AF144" s="52" t="n">
        <v>0.1</v>
      </c>
      <c r="AG144" s="52" t="n">
        <v>-0.04</v>
      </c>
      <c r="AH144" s="52" t="n">
        <v>-0.03</v>
      </c>
      <c r="AI144" s="52" t="n">
        <v>0.05</v>
      </c>
      <c r="AJ144" s="52" t="n">
        <v>0.12</v>
      </c>
      <c r="AK144" s="52" t="n">
        <v>0.14</v>
      </c>
      <c r="AL144" s="52" t="n">
        <v>0.08</v>
      </c>
      <c r="AM144" s="52" t="n">
        <v>0.17</v>
      </c>
      <c r="AN144" s="52" t="n">
        <v>0.09</v>
      </c>
      <c r="AO144" s="52" t="n">
        <v>0</v>
      </c>
      <c r="AP144" s="52" t="n">
        <v>0.15</v>
      </c>
      <c r="AQ144" s="52" t="n">
        <v>0.02</v>
      </c>
      <c r="AR144" s="52" t="n">
        <v>0.2</v>
      </c>
      <c r="AS144" s="52" t="n">
        <v>0.09</v>
      </c>
      <c r="AT144" s="52" t="n">
        <v>0.21</v>
      </c>
      <c r="AU144" s="52" t="n">
        <v>-0.02</v>
      </c>
      <c r="AV144" s="52" t="n">
        <v>0.16</v>
      </c>
      <c r="AW144" s="52" t="n">
        <v>0.13</v>
      </c>
      <c r="AX144" s="52" t="n">
        <v>0.11</v>
      </c>
      <c r="AY144" s="52" t="n">
        <v>0.14</v>
      </c>
      <c r="AZ144" s="52" t="n">
        <v>0.14</v>
      </c>
      <c r="BA144" s="52" t="n">
        <v>0.17</v>
      </c>
      <c r="BB144" s="52" t="n">
        <v>0.34</v>
      </c>
      <c r="BC144" s="52" t="n">
        <v>0.18</v>
      </c>
      <c r="BD144" s="52" t="n">
        <v>0.16</v>
      </c>
      <c r="BE144" s="52" t="n">
        <v>0.09</v>
      </c>
      <c r="BF144" s="52" t="n">
        <v>0.15</v>
      </c>
      <c r="BG144" s="52" t="n">
        <v>0.2</v>
      </c>
      <c r="BH144" s="52" t="n">
        <v>0.17</v>
      </c>
      <c r="BI144" s="52" t="n">
        <v>0.02</v>
      </c>
      <c r="BJ144" s="52" t="n">
        <v>0.06</v>
      </c>
      <c r="BK144" s="52" t="n">
        <v>0.15</v>
      </c>
      <c r="BL144" s="52" t="n">
        <v>0.3</v>
      </c>
      <c r="BM144" s="52" t="n">
        <v>0.12</v>
      </c>
      <c r="BN144" s="52" t="n">
        <v>0.06</v>
      </c>
      <c r="BO144" s="52" t="n">
        <v>0.21</v>
      </c>
      <c r="BP144" s="52" t="n">
        <v>0.27</v>
      </c>
      <c r="BQ144" s="52" t="n">
        <v>0.28</v>
      </c>
      <c r="BR144" s="52" t="n">
        <v>0.24</v>
      </c>
      <c r="BS144" s="52" t="n">
        <v>0.08</v>
      </c>
      <c r="BT144" s="52" t="n">
        <v>0.27</v>
      </c>
      <c r="BU144" s="52" t="n">
        <v>0.01</v>
      </c>
      <c r="BV144" s="52" t="n">
        <v>0.24</v>
      </c>
      <c r="BW144" s="52" t="n">
        <v>0.17</v>
      </c>
      <c r="BX144" s="52" t="n">
        <v>0.07</v>
      </c>
      <c r="BY144" s="52" t="n">
        <v>0.24</v>
      </c>
      <c r="BZ144" s="52" t="n">
        <v>0.28</v>
      </c>
      <c r="CA144" s="52" t="n">
        <v>0.13</v>
      </c>
      <c r="CB144" s="52" t="n">
        <v>0.02</v>
      </c>
      <c r="CC144" s="52" t="n">
        <v>0.15</v>
      </c>
      <c r="CD144" s="52" t="n">
        <v>0.15</v>
      </c>
      <c r="CE144" s="52" t="n">
        <v>0.27</v>
      </c>
      <c r="CF144" s="52" t="n">
        <v>0.04</v>
      </c>
      <c r="CG144" s="52" t="n">
        <v>0.09</v>
      </c>
      <c r="CH144" s="52" t="n">
        <v>0.35</v>
      </c>
      <c r="CI144" s="52" t="n">
        <v>0.08</v>
      </c>
      <c r="CJ144" s="52" t="n">
        <v>0.14</v>
      </c>
      <c r="CK144" s="52" t="n">
        <v>0.02</v>
      </c>
      <c r="CL144" s="52" t="n">
        <v>0.22</v>
      </c>
      <c r="CM144" s="52" t="n">
        <v>0.4</v>
      </c>
      <c r="CN144" s="52" t="n">
        <v>0.13</v>
      </c>
      <c r="CO144" s="52" t="n">
        <v>0.05</v>
      </c>
      <c r="CP144" s="52" t="n">
        <v>0.17</v>
      </c>
      <c r="CQ144" s="52" t="n">
        <v>0.31</v>
      </c>
      <c r="CR144" s="52" t="n">
        <v>0.48</v>
      </c>
      <c r="CS144" s="52" t="n">
        <v>0.48</v>
      </c>
      <c r="CT144" s="52" t="n">
        <v>0.28</v>
      </c>
      <c r="CU144" s="52" t="n">
        <v>0.29</v>
      </c>
      <c r="CV144" s="52" t="n">
        <v>0.1</v>
      </c>
      <c r="CW144" s="52" t="n">
        <v>0.2</v>
      </c>
      <c r="CX144" s="52" t="n">
        <v>0.32</v>
      </c>
      <c r="CY144" s="52" t="n">
        <v>0.21</v>
      </c>
      <c r="CZ144" s="52" t="n">
        <v>0.13</v>
      </c>
      <c r="DA144" s="52" t="n">
        <v>0.24</v>
      </c>
      <c r="DB144" s="52" t="n">
        <v>0.39</v>
      </c>
      <c r="DC144" s="52" t="n">
        <v>0.18</v>
      </c>
      <c r="DD144" s="52" t="n">
        <v>0.35</v>
      </c>
      <c r="DE144" s="52" t="n">
        <v>0.46</v>
      </c>
      <c r="DF144" s="52" t="n">
        <v>0.05</v>
      </c>
      <c r="DG144" s="52" t="n">
        <v>0.41</v>
      </c>
      <c r="DH144" s="52" t="n">
        <v>0.41</v>
      </c>
      <c r="DI144" s="52" t="n">
        <v>0.3</v>
      </c>
      <c r="DJ144" s="52" t="n">
        <v>0.13</v>
      </c>
      <c r="DK144" s="52" t="n">
        <v>0.35</v>
      </c>
      <c r="DL144" s="52" t="n">
        <v>0.26</v>
      </c>
      <c r="DM144" s="52" t="n">
        <v>0.2</v>
      </c>
      <c r="DN144" s="52" t="n">
        <v>0.18</v>
      </c>
      <c r="DO144" s="52" t="n">
        <v>0.32</v>
      </c>
      <c r="DP144" s="52" t="n">
        <v>0.15</v>
      </c>
      <c r="DQ144" s="52" t="n">
        <v>0.24</v>
      </c>
      <c r="DR144" s="52" t="n">
        <v>0.32</v>
      </c>
      <c r="DS144" s="52" t="n">
        <v>-0.01</v>
      </c>
      <c r="DT144" s="52" t="n">
        <v>0.38</v>
      </c>
      <c r="DU144" s="52" t="n">
        <v>0.53</v>
      </c>
      <c r="DV144" s="52" t="n">
        <v>0.26</v>
      </c>
      <c r="DW144" s="52" t="n">
        <v>0.17</v>
      </c>
      <c r="DX144" s="52" t="n">
        <v>0.47</v>
      </c>
      <c r="DY144" s="52" t="n">
        <v>0.31</v>
      </c>
      <c r="DZ144" s="52" t="n">
        <v>0.13</v>
      </c>
      <c r="EA144" s="52" t="n">
        <v>0.24</v>
      </c>
      <c r="EB144" s="52" t="n">
        <v>0.4</v>
      </c>
      <c r="EC144" s="52" t="n">
        <v>0.17</v>
      </c>
      <c r="ED144" s="52" t="n">
        <v>0.36</v>
      </c>
      <c r="EE144" s="52" t="n">
        <v>0.54</v>
      </c>
      <c r="EF144" s="52" t="n">
        <v>0.28</v>
      </c>
      <c r="EG144" s="52" t="n">
        <v>0.4</v>
      </c>
      <c r="EH144" s="52" t="n">
        <v>0.19</v>
      </c>
      <c r="EI144" s="52" t="n">
        <v>0.45</v>
      </c>
      <c r="EJ144" s="52" t="n">
        <v>0.35</v>
      </c>
      <c r="EK144" s="52" t="n">
        <v>1</v>
      </c>
      <c r="EL144" s="52" t="n">
        <v>0.78</v>
      </c>
      <c r="EM144" s="52" t="n">
        <v>0.25</v>
      </c>
      <c r="EN144" s="52" t="n">
        <v>0.2</v>
      </c>
      <c r="EO144" s="52" t="n">
        <v>0.19</v>
      </c>
    </row>
    <row r="145" customFormat="false" ht="15" hidden="false" customHeight="false" outlineLevel="0" collapsed="false">
      <c r="A145" s="51" t="s">
        <v>285</v>
      </c>
      <c r="B145" s="52" t="n">
        <v>-0.11</v>
      </c>
      <c r="C145" s="52" t="n">
        <v>0.02</v>
      </c>
      <c r="D145" s="52" t="n">
        <v>0.09</v>
      </c>
      <c r="E145" s="52" t="n">
        <v>0.08</v>
      </c>
      <c r="F145" s="52" t="n">
        <v>-0.16</v>
      </c>
      <c r="G145" s="52" t="n">
        <v>0.05</v>
      </c>
      <c r="H145" s="52" t="n">
        <v>0.09</v>
      </c>
      <c r="I145" s="52" t="n">
        <v>-0.09</v>
      </c>
      <c r="J145" s="52" t="n">
        <v>-0.07</v>
      </c>
      <c r="K145" s="52" t="n">
        <v>-0.1</v>
      </c>
      <c r="L145" s="52" t="n">
        <v>0.14</v>
      </c>
      <c r="M145" s="52" t="n">
        <v>0.32</v>
      </c>
      <c r="N145" s="52" t="n">
        <v>0.02</v>
      </c>
      <c r="O145" s="52" t="n">
        <v>0.17</v>
      </c>
      <c r="P145" s="52" t="n">
        <v>-0.09</v>
      </c>
      <c r="Q145" s="52" t="n">
        <v>0.03</v>
      </c>
      <c r="R145" s="52" t="n">
        <v>-0.14</v>
      </c>
      <c r="S145" s="52" t="n">
        <v>0.01</v>
      </c>
      <c r="T145" s="52" t="n">
        <v>0.22</v>
      </c>
      <c r="U145" s="52" t="n">
        <v>0.21</v>
      </c>
      <c r="V145" s="52" t="n">
        <v>0.11</v>
      </c>
      <c r="W145" s="52" t="n">
        <v>0.12</v>
      </c>
      <c r="X145" s="52" t="n">
        <v>0.27</v>
      </c>
      <c r="Y145" s="52" t="n">
        <v>-0.05</v>
      </c>
      <c r="Z145" s="52" t="n">
        <v>0.12</v>
      </c>
      <c r="AA145" s="52" t="n">
        <v>0.11</v>
      </c>
      <c r="AB145" s="52" t="n">
        <v>-0.06</v>
      </c>
      <c r="AC145" s="52" t="n">
        <v>0.12</v>
      </c>
      <c r="AD145" s="52" t="n">
        <v>0.16</v>
      </c>
      <c r="AE145" s="52" t="n">
        <v>0.19</v>
      </c>
      <c r="AF145" s="52" t="n">
        <v>0.17</v>
      </c>
      <c r="AG145" s="52" t="n">
        <v>-0.18</v>
      </c>
      <c r="AH145" s="52" t="n">
        <v>-0.19</v>
      </c>
      <c r="AI145" s="52" t="n">
        <v>-0.17</v>
      </c>
      <c r="AJ145" s="52" t="n">
        <v>0.17</v>
      </c>
      <c r="AK145" s="52" t="n">
        <v>0.26</v>
      </c>
      <c r="AL145" s="52" t="n">
        <v>0.1</v>
      </c>
      <c r="AM145" s="52" t="n">
        <v>0.22</v>
      </c>
      <c r="AN145" s="52" t="n">
        <v>0.13</v>
      </c>
      <c r="AO145" s="52" t="n">
        <v>-0.05</v>
      </c>
      <c r="AP145" s="52" t="n">
        <v>0.1</v>
      </c>
      <c r="AQ145" s="52" t="n">
        <v>-0.14</v>
      </c>
      <c r="AR145" s="52" t="n">
        <v>0.16</v>
      </c>
      <c r="AS145" s="52" t="n">
        <v>0.16</v>
      </c>
      <c r="AT145" s="52" t="n">
        <v>0.2</v>
      </c>
      <c r="AU145" s="52" t="n">
        <v>-0.02</v>
      </c>
      <c r="AV145" s="52" t="n">
        <v>0.17</v>
      </c>
      <c r="AW145" s="52" t="n">
        <v>0.16</v>
      </c>
      <c r="AX145" s="52" t="n">
        <v>0</v>
      </c>
      <c r="AY145" s="52" t="n">
        <v>0.13</v>
      </c>
      <c r="AZ145" s="52" t="n">
        <v>0.24</v>
      </c>
      <c r="BA145" s="52" t="n">
        <v>0.16</v>
      </c>
      <c r="BB145" s="52" t="n">
        <v>0.38</v>
      </c>
      <c r="BC145" s="52" t="n">
        <v>0.15</v>
      </c>
      <c r="BD145" s="52" t="n">
        <v>0.23</v>
      </c>
      <c r="BE145" s="52" t="n">
        <v>0.06</v>
      </c>
      <c r="BF145" s="52" t="n">
        <v>0.17</v>
      </c>
      <c r="BG145" s="52" t="n">
        <v>0.17</v>
      </c>
      <c r="BH145" s="52" t="n">
        <v>0.16</v>
      </c>
      <c r="BI145" s="52" t="n">
        <v>0.1</v>
      </c>
      <c r="BJ145" s="52" t="n">
        <v>0.11</v>
      </c>
      <c r="BK145" s="52" t="n">
        <v>0.21</v>
      </c>
      <c r="BL145" s="52" t="n">
        <v>0.35</v>
      </c>
      <c r="BM145" s="52" t="n">
        <v>0.07</v>
      </c>
      <c r="BN145" s="52" t="n">
        <v>-0.02</v>
      </c>
      <c r="BO145" s="52" t="n">
        <v>0.2</v>
      </c>
      <c r="BP145" s="52" t="n">
        <v>0.23</v>
      </c>
      <c r="BQ145" s="52" t="n">
        <v>0.32</v>
      </c>
      <c r="BR145" s="52" t="n">
        <v>0.28</v>
      </c>
      <c r="BS145" s="52" t="n">
        <v>-0.09</v>
      </c>
      <c r="BT145" s="52" t="n">
        <v>0.39</v>
      </c>
      <c r="BU145" s="52" t="n">
        <v>0.1</v>
      </c>
      <c r="BV145" s="52" t="n">
        <v>0.21</v>
      </c>
      <c r="BW145" s="52" t="n">
        <v>0.18</v>
      </c>
      <c r="BX145" s="52" t="n">
        <v>0.06</v>
      </c>
      <c r="BY145" s="52" t="n">
        <v>0.22</v>
      </c>
      <c r="BZ145" s="52" t="n">
        <v>0.3</v>
      </c>
      <c r="CA145" s="52" t="n">
        <v>0.19</v>
      </c>
      <c r="CB145" s="52" t="n">
        <v>-0.08</v>
      </c>
      <c r="CC145" s="52" t="n">
        <v>0.05</v>
      </c>
      <c r="CD145" s="52" t="n">
        <v>0.17</v>
      </c>
      <c r="CE145" s="52" t="n">
        <v>0.21</v>
      </c>
      <c r="CF145" s="52" t="n">
        <v>-0.14</v>
      </c>
      <c r="CG145" s="52" t="n">
        <v>0.07</v>
      </c>
      <c r="CH145" s="52" t="n">
        <v>0.46</v>
      </c>
      <c r="CI145" s="52" t="n">
        <v>-0.13</v>
      </c>
      <c r="CJ145" s="52" t="n">
        <v>-0.03</v>
      </c>
      <c r="CK145" s="52" t="n">
        <v>-0.03</v>
      </c>
      <c r="CL145" s="52" t="n">
        <v>0.21</v>
      </c>
      <c r="CM145" s="52" t="n">
        <v>0.43</v>
      </c>
      <c r="CN145" s="52" t="n">
        <v>0.16</v>
      </c>
      <c r="CO145" s="52" t="n">
        <v>0.08</v>
      </c>
      <c r="CP145" s="52" t="n">
        <v>0.13</v>
      </c>
      <c r="CQ145" s="52" t="n">
        <v>0.37</v>
      </c>
      <c r="CR145" s="52" t="n">
        <v>0.57</v>
      </c>
      <c r="CS145" s="52" t="n">
        <v>0.51</v>
      </c>
      <c r="CT145" s="52" t="n">
        <v>0.25</v>
      </c>
      <c r="CU145" s="52" t="n">
        <v>0.29</v>
      </c>
      <c r="CV145" s="52" t="n">
        <v>0.12</v>
      </c>
      <c r="CW145" s="52" t="n">
        <v>0.22</v>
      </c>
      <c r="CX145" s="52" t="n">
        <v>0.33</v>
      </c>
      <c r="CY145" s="52" t="n">
        <v>0.28</v>
      </c>
      <c r="CZ145" s="52" t="n">
        <v>0.07</v>
      </c>
      <c r="DA145" s="52" t="n">
        <v>0.14</v>
      </c>
      <c r="DB145" s="52" t="n">
        <v>0.35</v>
      </c>
      <c r="DC145" s="52" t="n">
        <v>0.3</v>
      </c>
      <c r="DD145" s="52" t="n">
        <v>0.28</v>
      </c>
      <c r="DE145" s="52" t="n">
        <v>0.52</v>
      </c>
      <c r="DF145" s="52" t="n">
        <v>-0.06</v>
      </c>
      <c r="DG145" s="52" t="n">
        <v>0.47</v>
      </c>
      <c r="DH145" s="52" t="n">
        <v>0.43</v>
      </c>
      <c r="DI145" s="52" t="n">
        <v>0.32</v>
      </c>
      <c r="DJ145" s="52" t="n">
        <v>0.21</v>
      </c>
      <c r="DK145" s="52" t="n">
        <v>0.42</v>
      </c>
      <c r="DL145" s="52" t="n">
        <v>0.35</v>
      </c>
      <c r="DM145" s="52" t="n">
        <v>0.28</v>
      </c>
      <c r="DN145" s="52" t="n">
        <v>0.09</v>
      </c>
      <c r="DO145" s="52" t="n">
        <v>0.32</v>
      </c>
      <c r="DP145" s="52" t="n">
        <v>0.24</v>
      </c>
      <c r="DQ145" s="52" t="n">
        <v>0.27</v>
      </c>
      <c r="DR145" s="52" t="n">
        <v>0.36</v>
      </c>
      <c r="DS145" s="52" t="n">
        <v>0.02</v>
      </c>
      <c r="DT145" s="52" t="n">
        <v>0.37</v>
      </c>
      <c r="DU145" s="52" t="n">
        <v>0.5</v>
      </c>
      <c r="DV145" s="52" t="n">
        <v>0.2</v>
      </c>
      <c r="DW145" s="52" t="n">
        <v>0.18</v>
      </c>
      <c r="DX145" s="52" t="n">
        <v>0.55</v>
      </c>
      <c r="DY145" s="52" t="n">
        <v>0.31</v>
      </c>
      <c r="DZ145" s="52" t="n">
        <v>0.09</v>
      </c>
      <c r="EA145" s="52" t="n">
        <v>0.28</v>
      </c>
      <c r="EB145" s="52" t="n">
        <v>0.36</v>
      </c>
      <c r="EC145" s="52" t="n">
        <v>0.2</v>
      </c>
      <c r="ED145" s="52" t="n">
        <v>0.28</v>
      </c>
      <c r="EE145" s="52" t="n">
        <v>0.58</v>
      </c>
      <c r="EF145" s="52" t="n">
        <v>0.32</v>
      </c>
      <c r="EG145" s="52" t="n">
        <v>0.44</v>
      </c>
      <c r="EH145" s="52" t="n">
        <v>0.12</v>
      </c>
      <c r="EI145" s="52" t="n">
        <v>0.54</v>
      </c>
      <c r="EJ145" s="52" t="n">
        <v>0.3</v>
      </c>
      <c r="EK145" s="52" t="n">
        <v>0.78</v>
      </c>
      <c r="EL145" s="52" t="n">
        <v>1</v>
      </c>
      <c r="EM145" s="52" t="n">
        <v>0.28</v>
      </c>
      <c r="EN145" s="52" t="n">
        <v>0.16</v>
      </c>
      <c r="EO145" s="52" t="n">
        <v>0.14</v>
      </c>
    </row>
    <row r="146" customFormat="false" ht="15" hidden="false" customHeight="false" outlineLevel="0" collapsed="false">
      <c r="A146" s="51" t="s">
        <v>286</v>
      </c>
      <c r="B146" s="52" t="n">
        <v>-0.07</v>
      </c>
      <c r="C146" s="52" t="n">
        <v>-0.06</v>
      </c>
      <c r="D146" s="52" t="n">
        <v>0.02</v>
      </c>
      <c r="E146" s="52" t="n">
        <v>0.04</v>
      </c>
      <c r="F146" s="52" t="n">
        <v>-0.08</v>
      </c>
      <c r="G146" s="52" t="n">
        <v>-0.04</v>
      </c>
      <c r="H146" s="52" t="n">
        <v>0.02</v>
      </c>
      <c r="I146" s="52" t="n">
        <v>0</v>
      </c>
      <c r="J146" s="52" t="n">
        <v>-0.08</v>
      </c>
      <c r="K146" s="52" t="n">
        <v>-0.09</v>
      </c>
      <c r="L146" s="52" t="n">
        <v>0.02</v>
      </c>
      <c r="M146" s="52" t="n">
        <v>0.18</v>
      </c>
      <c r="N146" s="52" t="n">
        <v>0.08</v>
      </c>
      <c r="O146" s="52" t="n">
        <v>0.03</v>
      </c>
      <c r="P146" s="52" t="n">
        <v>-0.17</v>
      </c>
      <c r="Q146" s="52" t="n">
        <v>0</v>
      </c>
      <c r="R146" s="52" t="n">
        <v>-0.07</v>
      </c>
      <c r="S146" s="52" t="n">
        <v>0.03</v>
      </c>
      <c r="T146" s="52" t="n">
        <v>0.07</v>
      </c>
      <c r="U146" s="52" t="n">
        <v>0.09</v>
      </c>
      <c r="V146" s="52" t="n">
        <v>-0.1</v>
      </c>
      <c r="W146" s="52" t="n">
        <v>0.01</v>
      </c>
      <c r="X146" s="52" t="n">
        <v>0.11</v>
      </c>
      <c r="Y146" s="52" t="n">
        <v>-0.02</v>
      </c>
      <c r="Z146" s="52" t="n">
        <v>0.08</v>
      </c>
      <c r="AA146" s="52" t="n">
        <v>-0.01</v>
      </c>
      <c r="AB146" s="52" t="n">
        <v>0.05</v>
      </c>
      <c r="AC146" s="52" t="n">
        <v>-0.01</v>
      </c>
      <c r="AD146" s="52" t="n">
        <v>0.06</v>
      </c>
      <c r="AE146" s="52" t="n">
        <v>-0.06</v>
      </c>
      <c r="AF146" s="52" t="n">
        <v>0.01</v>
      </c>
      <c r="AG146" s="52" t="n">
        <v>-0.07</v>
      </c>
      <c r="AH146" s="52" t="n">
        <v>-0.03</v>
      </c>
      <c r="AI146" s="52" t="n">
        <v>-0.07</v>
      </c>
      <c r="AJ146" s="52" t="n">
        <v>0.02</v>
      </c>
      <c r="AK146" s="52" t="n">
        <v>0.01</v>
      </c>
      <c r="AL146" s="52" t="n">
        <v>0.08</v>
      </c>
      <c r="AM146" s="52" t="n">
        <v>0.11</v>
      </c>
      <c r="AN146" s="52" t="n">
        <v>0.04</v>
      </c>
      <c r="AO146" s="52" t="n">
        <v>-0.04</v>
      </c>
      <c r="AP146" s="52" t="n">
        <v>0.16</v>
      </c>
      <c r="AQ146" s="52" t="n">
        <v>-0.05</v>
      </c>
      <c r="AR146" s="52" t="n">
        <v>0.08</v>
      </c>
      <c r="AS146" s="52" t="n">
        <v>-0.03</v>
      </c>
      <c r="AT146" s="52" t="n">
        <v>0.11</v>
      </c>
      <c r="AU146" s="52" t="n">
        <v>-0.05</v>
      </c>
      <c r="AV146" s="52" t="n">
        <v>0.04</v>
      </c>
      <c r="AW146" s="52" t="n">
        <v>0.05</v>
      </c>
      <c r="AX146" s="52" t="n">
        <v>0.03</v>
      </c>
      <c r="AY146" s="52" t="n">
        <v>0.08</v>
      </c>
      <c r="AZ146" s="52" t="n">
        <v>-0.04</v>
      </c>
      <c r="BA146" s="52" t="n">
        <v>0.18</v>
      </c>
      <c r="BB146" s="52" t="n">
        <v>0.13</v>
      </c>
      <c r="BC146" s="52" t="n">
        <v>0.06</v>
      </c>
      <c r="BD146" s="52" t="n">
        <v>0.08</v>
      </c>
      <c r="BE146" s="52" t="n">
        <v>0.06</v>
      </c>
      <c r="BF146" s="52" t="n">
        <v>-0.03</v>
      </c>
      <c r="BG146" s="52" t="n">
        <v>0.15</v>
      </c>
      <c r="BH146" s="52" t="n">
        <v>0.1</v>
      </c>
      <c r="BI146" s="52" t="n">
        <v>0.08</v>
      </c>
      <c r="BJ146" s="52" t="n">
        <v>0.03</v>
      </c>
      <c r="BK146" s="52" t="n">
        <v>-0.06</v>
      </c>
      <c r="BL146" s="52" t="n">
        <v>0.09</v>
      </c>
      <c r="BM146" s="52" t="n">
        <v>0.07</v>
      </c>
      <c r="BN146" s="52" t="n">
        <v>0</v>
      </c>
      <c r="BO146" s="52" t="n">
        <v>0.15</v>
      </c>
      <c r="BP146" s="52" t="n">
        <v>0.3</v>
      </c>
      <c r="BQ146" s="52" t="n">
        <v>0.13</v>
      </c>
      <c r="BR146" s="52" t="n">
        <v>0.19</v>
      </c>
      <c r="BS146" s="52" t="n">
        <v>-0.02</v>
      </c>
      <c r="BT146" s="52" t="n">
        <v>0.18</v>
      </c>
      <c r="BU146" s="52" t="n">
        <v>0.08</v>
      </c>
      <c r="BV146" s="52" t="n">
        <v>0.18</v>
      </c>
      <c r="BW146" s="52" t="n">
        <v>0.18</v>
      </c>
      <c r="BX146" s="52" t="n">
        <v>0.1</v>
      </c>
      <c r="BY146" s="52" t="n">
        <v>0.08</v>
      </c>
      <c r="BZ146" s="52" t="n">
        <v>0.25</v>
      </c>
      <c r="CA146" s="52" t="n">
        <v>-0.04</v>
      </c>
      <c r="CB146" s="52" t="n">
        <v>0</v>
      </c>
      <c r="CC146" s="52" t="n">
        <v>0.05</v>
      </c>
      <c r="CD146" s="52" t="n">
        <v>0.22</v>
      </c>
      <c r="CE146" s="52" t="n">
        <v>0.07</v>
      </c>
      <c r="CF146" s="52" t="n">
        <v>0</v>
      </c>
      <c r="CG146" s="52" t="n">
        <v>0.12</v>
      </c>
      <c r="CH146" s="52" t="n">
        <v>0.18</v>
      </c>
      <c r="CI146" s="52" t="n">
        <v>-0.01</v>
      </c>
      <c r="CJ146" s="52" t="n">
        <v>0.09</v>
      </c>
      <c r="CK146" s="52" t="n">
        <v>0.14</v>
      </c>
      <c r="CL146" s="52" t="n">
        <v>0.22</v>
      </c>
      <c r="CM146" s="52" t="n">
        <v>0.21</v>
      </c>
      <c r="CN146" s="52" t="n">
        <v>0.11</v>
      </c>
      <c r="CO146" s="52" t="n">
        <v>0.05</v>
      </c>
      <c r="CP146" s="52" t="n">
        <v>0.14</v>
      </c>
      <c r="CQ146" s="52" t="n">
        <v>0.19</v>
      </c>
      <c r="CR146" s="52" t="n">
        <v>0.2</v>
      </c>
      <c r="CS146" s="52" t="n">
        <v>0.07</v>
      </c>
      <c r="CT146" s="52" t="n">
        <v>0.02</v>
      </c>
      <c r="CU146" s="52" t="n">
        <v>0.09</v>
      </c>
      <c r="CV146" s="52" t="n">
        <v>0.1</v>
      </c>
      <c r="CW146" s="52" t="n">
        <v>0.15</v>
      </c>
      <c r="CX146" s="52" t="n">
        <v>0.29</v>
      </c>
      <c r="CY146" s="52" t="n">
        <v>0.11</v>
      </c>
      <c r="CZ146" s="52" t="n">
        <v>0.15</v>
      </c>
      <c r="DA146" s="52" t="n">
        <v>0.11</v>
      </c>
      <c r="DB146" s="52" t="n">
        <v>0.14</v>
      </c>
      <c r="DC146" s="52" t="n">
        <v>0.07</v>
      </c>
      <c r="DD146" s="52" t="n">
        <v>0.21</v>
      </c>
      <c r="DE146" s="52" t="n">
        <v>0.16</v>
      </c>
      <c r="DF146" s="52" t="n">
        <v>0.19</v>
      </c>
      <c r="DG146" s="52" t="n">
        <v>0.14</v>
      </c>
      <c r="DH146" s="52" t="n">
        <v>0.18</v>
      </c>
      <c r="DI146" s="52" t="n">
        <v>0.16</v>
      </c>
      <c r="DJ146" s="52" t="n">
        <v>0.12</v>
      </c>
      <c r="DK146" s="52" t="n">
        <v>0.2</v>
      </c>
      <c r="DL146" s="52" t="n">
        <v>0</v>
      </c>
      <c r="DM146" s="52" t="n">
        <v>0.13</v>
      </c>
      <c r="DN146" s="52" t="n">
        <v>0.14</v>
      </c>
      <c r="DO146" s="52" t="n">
        <v>0.11</v>
      </c>
      <c r="DP146" s="52" t="n">
        <v>0.15</v>
      </c>
      <c r="DQ146" s="52" t="n">
        <v>0.22</v>
      </c>
      <c r="DR146" s="52" t="n">
        <v>0.23</v>
      </c>
      <c r="DS146" s="52" t="n">
        <v>0.16</v>
      </c>
      <c r="DT146" s="52" t="n">
        <v>0.36</v>
      </c>
      <c r="DU146" s="52" t="n">
        <v>0.35</v>
      </c>
      <c r="DV146" s="52" t="n">
        <v>0.31</v>
      </c>
      <c r="DW146" s="52" t="n">
        <v>0.23</v>
      </c>
      <c r="DX146" s="52" t="n">
        <v>0.13</v>
      </c>
      <c r="DY146" s="52" t="n">
        <v>0.21</v>
      </c>
      <c r="DZ146" s="52" t="n">
        <v>0.23</v>
      </c>
      <c r="EA146" s="52" t="n">
        <v>0.27</v>
      </c>
      <c r="EB146" s="52" t="n">
        <v>0.3</v>
      </c>
      <c r="EC146" s="52" t="n">
        <v>0</v>
      </c>
      <c r="ED146" s="52" t="n">
        <v>0.16</v>
      </c>
      <c r="EE146" s="52" t="n">
        <v>0.22</v>
      </c>
      <c r="EF146" s="52" t="n">
        <v>0.14</v>
      </c>
      <c r="EG146" s="52" t="n">
        <v>0.13</v>
      </c>
      <c r="EH146" s="52" t="n">
        <v>0.33</v>
      </c>
      <c r="EI146" s="52" t="n">
        <v>0.19</v>
      </c>
      <c r="EJ146" s="52" t="n">
        <v>0.32</v>
      </c>
      <c r="EK146" s="52" t="n">
        <v>0.25</v>
      </c>
      <c r="EL146" s="52" t="n">
        <v>0.28</v>
      </c>
      <c r="EM146" s="52" t="n">
        <v>1</v>
      </c>
      <c r="EN146" s="52" t="n">
        <v>0.13</v>
      </c>
      <c r="EO146" s="52" t="n">
        <v>0.06</v>
      </c>
    </row>
    <row r="147" customFormat="false" ht="15" hidden="false" customHeight="false" outlineLevel="0" collapsed="false">
      <c r="A147" s="51" t="s">
        <v>287</v>
      </c>
      <c r="B147" s="52" t="n">
        <v>0.02</v>
      </c>
      <c r="C147" s="52" t="n">
        <v>-0.01</v>
      </c>
      <c r="D147" s="52" t="n">
        <v>0.01</v>
      </c>
      <c r="E147" s="52" t="n">
        <v>0.03</v>
      </c>
      <c r="F147" s="52" t="n">
        <v>0.08</v>
      </c>
      <c r="G147" s="52" t="n">
        <v>0.03</v>
      </c>
      <c r="H147" s="52" t="n">
        <v>0.03</v>
      </c>
      <c r="I147" s="52" t="n">
        <v>0.09</v>
      </c>
      <c r="J147" s="52" t="n">
        <v>0.14</v>
      </c>
      <c r="K147" s="52" t="n">
        <v>0.1</v>
      </c>
      <c r="L147" s="52" t="n">
        <v>0</v>
      </c>
      <c r="M147" s="52" t="n">
        <v>0.21</v>
      </c>
      <c r="N147" s="52" t="n">
        <v>0.29</v>
      </c>
      <c r="O147" s="52" t="n">
        <v>-0.01</v>
      </c>
      <c r="P147" s="52" t="n">
        <v>0.02</v>
      </c>
      <c r="Q147" s="52" t="n">
        <v>-0.07</v>
      </c>
      <c r="R147" s="52" t="n">
        <v>0.1</v>
      </c>
      <c r="S147" s="52" t="n">
        <v>0.07</v>
      </c>
      <c r="T147" s="52" t="n">
        <v>0.07</v>
      </c>
      <c r="U147" s="52" t="n">
        <v>0.19</v>
      </c>
      <c r="V147" s="52" t="n">
        <v>-0.01</v>
      </c>
      <c r="W147" s="52" t="n">
        <v>0.11</v>
      </c>
      <c r="X147" s="52" t="n">
        <v>0.08</v>
      </c>
      <c r="Y147" s="52" t="n">
        <v>0.09</v>
      </c>
      <c r="Z147" s="52" t="n">
        <v>0.1</v>
      </c>
      <c r="AA147" s="52" t="n">
        <v>0.16</v>
      </c>
      <c r="AB147" s="52" t="n">
        <v>0.08</v>
      </c>
      <c r="AC147" s="52" t="n">
        <v>0.03</v>
      </c>
      <c r="AD147" s="52" t="n">
        <v>0.04</v>
      </c>
      <c r="AE147" s="52" t="n">
        <v>0.07</v>
      </c>
      <c r="AF147" s="52" t="n">
        <v>0.04</v>
      </c>
      <c r="AG147" s="52" t="n">
        <v>-0.05</v>
      </c>
      <c r="AH147" s="52" t="n">
        <v>-0.02</v>
      </c>
      <c r="AI147" s="52" t="n">
        <v>-0.06</v>
      </c>
      <c r="AJ147" s="52" t="n">
        <v>0.11</v>
      </c>
      <c r="AK147" s="52" t="n">
        <v>0.03</v>
      </c>
      <c r="AL147" s="52" t="n">
        <v>0.18</v>
      </c>
      <c r="AM147" s="52" t="n">
        <v>0.12</v>
      </c>
      <c r="AN147" s="52" t="n">
        <v>0.19</v>
      </c>
      <c r="AO147" s="52" t="n">
        <v>0.22</v>
      </c>
      <c r="AP147" s="52" t="n">
        <v>0.24</v>
      </c>
      <c r="AQ147" s="52" t="n">
        <v>-0.08</v>
      </c>
      <c r="AR147" s="52" t="n">
        <v>0.04</v>
      </c>
      <c r="AS147" s="52" t="n">
        <v>0.07</v>
      </c>
      <c r="AT147" s="52" t="n">
        <v>0.18</v>
      </c>
      <c r="AU147" s="52" t="n">
        <v>0.07</v>
      </c>
      <c r="AV147" s="52" t="n">
        <v>0.02</v>
      </c>
      <c r="AW147" s="52" t="n">
        <v>0.08</v>
      </c>
      <c r="AX147" s="52" t="n">
        <v>0.23</v>
      </c>
      <c r="AY147" s="52" t="n">
        <v>0.09</v>
      </c>
      <c r="AZ147" s="52" t="n">
        <v>0.11</v>
      </c>
      <c r="BA147" s="52" t="n">
        <v>0.06</v>
      </c>
      <c r="BB147" s="52" t="n">
        <v>0.08</v>
      </c>
      <c r="BC147" s="52" t="n">
        <v>0.03</v>
      </c>
      <c r="BD147" s="52" t="n">
        <v>0.06</v>
      </c>
      <c r="BE147" s="52" t="n">
        <v>0.46</v>
      </c>
      <c r="BF147" s="52" t="n">
        <v>0.09</v>
      </c>
      <c r="BG147" s="52" t="n">
        <v>0.24</v>
      </c>
      <c r="BH147" s="52" t="n">
        <v>0.06</v>
      </c>
      <c r="BI147" s="52" t="n">
        <v>0.03</v>
      </c>
      <c r="BJ147" s="52" t="n">
        <v>0.03</v>
      </c>
      <c r="BK147" s="52" t="n">
        <v>0.07</v>
      </c>
      <c r="BL147" s="52" t="n">
        <v>0.12</v>
      </c>
      <c r="BM147" s="52" t="n">
        <v>0.12</v>
      </c>
      <c r="BN147" s="52" t="n">
        <v>0.02</v>
      </c>
      <c r="BO147" s="52" t="n">
        <v>0.14</v>
      </c>
      <c r="BP147" s="52" t="n">
        <v>0.07</v>
      </c>
      <c r="BQ147" s="52" t="n">
        <v>0.06</v>
      </c>
      <c r="BR147" s="52" t="n">
        <v>0.04</v>
      </c>
      <c r="BS147" s="52" t="n">
        <v>-0.05</v>
      </c>
      <c r="BT147" s="52" t="n">
        <v>0.06</v>
      </c>
      <c r="BU147" s="52" t="n">
        <v>0.1</v>
      </c>
      <c r="BV147" s="52" t="n">
        <v>0.15</v>
      </c>
      <c r="BW147" s="52" t="n">
        <v>0.12</v>
      </c>
      <c r="BX147" s="52" t="n">
        <v>0.24</v>
      </c>
      <c r="BY147" s="52" t="n">
        <v>0.13</v>
      </c>
      <c r="BZ147" s="52" t="n">
        <v>0.15</v>
      </c>
      <c r="CA147" s="52" t="n">
        <v>0.09</v>
      </c>
      <c r="CB147" s="52" t="n">
        <v>-0.08</v>
      </c>
      <c r="CC147" s="52" t="n">
        <v>0.1</v>
      </c>
      <c r="CD147" s="52" t="n">
        <v>0.25</v>
      </c>
      <c r="CE147" s="52" t="n">
        <v>0.05</v>
      </c>
      <c r="CF147" s="52" t="n">
        <v>-0.04</v>
      </c>
      <c r="CG147" s="52" t="n">
        <v>0.24</v>
      </c>
      <c r="CH147" s="52" t="n">
        <v>0.16</v>
      </c>
      <c r="CI147" s="52" t="n">
        <v>-0.03</v>
      </c>
      <c r="CJ147" s="52" t="n">
        <v>0.16</v>
      </c>
      <c r="CK147" s="52" t="n">
        <v>0.15</v>
      </c>
      <c r="CL147" s="52" t="n">
        <v>0.18</v>
      </c>
      <c r="CM147" s="52" t="n">
        <v>0.04</v>
      </c>
      <c r="CN147" s="52" t="n">
        <v>0.01</v>
      </c>
      <c r="CO147" s="52" t="n">
        <v>0.07</v>
      </c>
      <c r="CP147" s="52" t="n">
        <v>0.14</v>
      </c>
      <c r="CQ147" s="52" t="n">
        <v>0.1</v>
      </c>
      <c r="CR147" s="52" t="n">
        <v>0.12</v>
      </c>
      <c r="CS147" s="52" t="n">
        <v>0.05</v>
      </c>
      <c r="CT147" s="52" t="n">
        <v>0.15</v>
      </c>
      <c r="CU147" s="52" t="n">
        <v>0.03</v>
      </c>
      <c r="CV147" s="52" t="n">
        <v>0.09</v>
      </c>
      <c r="CW147" s="52" t="n">
        <v>0.24</v>
      </c>
      <c r="CX147" s="52" t="n">
        <v>0.18</v>
      </c>
      <c r="CY147" s="52" t="n">
        <v>0.13</v>
      </c>
      <c r="CZ147" s="52" t="n">
        <v>0.1</v>
      </c>
      <c r="DA147" s="52" t="n">
        <v>0.12</v>
      </c>
      <c r="DB147" s="52" t="n">
        <v>0.2</v>
      </c>
      <c r="DC147" s="52" t="n">
        <v>0.1</v>
      </c>
      <c r="DD147" s="52" t="n">
        <v>0.2</v>
      </c>
      <c r="DE147" s="52" t="n">
        <v>0.22</v>
      </c>
      <c r="DF147" s="52" t="n">
        <v>0.09</v>
      </c>
      <c r="DG147" s="52" t="n">
        <v>0.28</v>
      </c>
      <c r="DH147" s="52" t="n">
        <v>0.02</v>
      </c>
      <c r="DI147" s="52" t="n">
        <v>0.13</v>
      </c>
      <c r="DJ147" s="52" t="n">
        <v>0.14</v>
      </c>
      <c r="DK147" s="52" t="n">
        <v>0.12</v>
      </c>
      <c r="DL147" s="52" t="n">
        <v>0.12</v>
      </c>
      <c r="DM147" s="52" t="n">
        <v>0.15</v>
      </c>
      <c r="DN147" s="52" t="n">
        <v>0.12</v>
      </c>
      <c r="DO147" s="52" t="n">
        <v>0.13</v>
      </c>
      <c r="DP147" s="52" t="n">
        <v>0.14</v>
      </c>
      <c r="DQ147" s="52" t="n">
        <v>0.1</v>
      </c>
      <c r="DR147" s="52" t="n">
        <v>0.16</v>
      </c>
      <c r="DS147" s="52" t="n">
        <v>0.13</v>
      </c>
      <c r="DT147" s="52" t="n">
        <v>0.11</v>
      </c>
      <c r="DU147" s="52" t="n">
        <v>0.22</v>
      </c>
      <c r="DV147" s="52" t="n">
        <v>0.16</v>
      </c>
      <c r="DW147" s="52" t="n">
        <v>0.13</v>
      </c>
      <c r="DX147" s="52" t="n">
        <v>0.07</v>
      </c>
      <c r="DY147" s="52" t="n">
        <v>0.22</v>
      </c>
      <c r="DZ147" s="52" t="n">
        <v>0.03</v>
      </c>
      <c r="EA147" s="52" t="n">
        <v>0.45</v>
      </c>
      <c r="EB147" s="52" t="n">
        <v>0.25</v>
      </c>
      <c r="EC147" s="52" t="n">
        <v>0.04</v>
      </c>
      <c r="ED147" s="52" t="n">
        <v>0.23</v>
      </c>
      <c r="EE147" s="52" t="n">
        <v>0.11</v>
      </c>
      <c r="EF147" s="52" t="n">
        <v>0</v>
      </c>
      <c r="EG147" s="52" t="n">
        <v>0.11</v>
      </c>
      <c r="EH147" s="52" t="n">
        <v>0.11</v>
      </c>
      <c r="EI147" s="52" t="n">
        <v>0.11</v>
      </c>
      <c r="EJ147" s="52" t="n">
        <v>0.23</v>
      </c>
      <c r="EK147" s="52" t="n">
        <v>0.2</v>
      </c>
      <c r="EL147" s="52" t="n">
        <v>0.16</v>
      </c>
      <c r="EM147" s="52" t="n">
        <v>0.13</v>
      </c>
      <c r="EN147" s="52" t="n">
        <v>1</v>
      </c>
      <c r="EO147" s="52" t="n">
        <v>0.11</v>
      </c>
    </row>
    <row r="148" customFormat="false" ht="15" hidden="false" customHeight="false" outlineLevel="0" collapsed="false">
      <c r="A148" s="51" t="s">
        <v>288</v>
      </c>
      <c r="B148" s="52" t="n">
        <v>0</v>
      </c>
      <c r="C148" s="52" t="n">
        <v>0.04</v>
      </c>
      <c r="D148" s="52" t="n">
        <v>-0.08</v>
      </c>
      <c r="E148" s="52" t="n">
        <v>0.02</v>
      </c>
      <c r="F148" s="52" t="n">
        <v>0.09</v>
      </c>
      <c r="G148" s="52" t="n">
        <v>0.08</v>
      </c>
      <c r="H148" s="52" t="n">
        <v>0.02</v>
      </c>
      <c r="I148" s="52" t="n">
        <v>0.03</v>
      </c>
      <c r="J148" s="52" t="n">
        <v>-0.03</v>
      </c>
      <c r="K148" s="52" t="n">
        <v>0.02</v>
      </c>
      <c r="L148" s="52" t="n">
        <v>0.04</v>
      </c>
      <c r="M148" s="52" t="n">
        <v>0.11</v>
      </c>
      <c r="N148" s="52" t="n">
        <v>0.03</v>
      </c>
      <c r="O148" s="52" t="n">
        <v>0.02</v>
      </c>
      <c r="P148" s="52" t="n">
        <v>0.02</v>
      </c>
      <c r="Q148" s="52" t="n">
        <v>0.02</v>
      </c>
      <c r="R148" s="52" t="n">
        <v>0.03</v>
      </c>
      <c r="S148" s="52" t="n">
        <v>-0.06</v>
      </c>
      <c r="T148" s="52" t="n">
        <v>0.06</v>
      </c>
      <c r="U148" s="52" t="n">
        <v>0.08</v>
      </c>
      <c r="V148" s="52" t="n">
        <v>0</v>
      </c>
      <c r="W148" s="52" t="n">
        <v>-0.01</v>
      </c>
      <c r="X148" s="52" t="n">
        <v>0.08</v>
      </c>
      <c r="Y148" s="52" t="n">
        <v>0.04</v>
      </c>
      <c r="Z148" s="52" t="n">
        <v>0.06</v>
      </c>
      <c r="AA148" s="52" t="n">
        <v>-0.02</v>
      </c>
      <c r="AB148" s="52" t="n">
        <v>0.04</v>
      </c>
      <c r="AC148" s="52" t="n">
        <v>0.02</v>
      </c>
      <c r="AD148" s="52" t="n">
        <v>-0.03</v>
      </c>
      <c r="AE148" s="52" t="n">
        <v>0.05</v>
      </c>
      <c r="AF148" s="52" t="n">
        <v>-0.06</v>
      </c>
      <c r="AG148" s="52" t="n">
        <v>-0.1</v>
      </c>
      <c r="AH148" s="52" t="n">
        <v>-0.04</v>
      </c>
      <c r="AI148" s="52" t="n">
        <v>-0.02</v>
      </c>
      <c r="AJ148" s="52" t="n">
        <v>0.02</v>
      </c>
      <c r="AK148" s="52" t="n">
        <v>0.07</v>
      </c>
      <c r="AL148" s="52" t="n">
        <v>0.12</v>
      </c>
      <c r="AM148" s="52" t="n">
        <v>0.05</v>
      </c>
      <c r="AN148" s="52" t="n">
        <v>0.14</v>
      </c>
      <c r="AO148" s="52" t="n">
        <v>0.03</v>
      </c>
      <c r="AP148" s="52" t="n">
        <v>0.19</v>
      </c>
      <c r="AQ148" s="52" t="n">
        <v>-0.01</v>
      </c>
      <c r="AR148" s="52" t="n">
        <v>0.06</v>
      </c>
      <c r="AS148" s="52" t="n">
        <v>0.12</v>
      </c>
      <c r="AT148" s="52" t="n">
        <v>0.16</v>
      </c>
      <c r="AU148" s="52" t="n">
        <v>0</v>
      </c>
      <c r="AV148" s="52" t="n">
        <v>0.09</v>
      </c>
      <c r="AW148" s="52" t="n">
        <v>0.03</v>
      </c>
      <c r="AX148" s="52" t="n">
        <v>0.07</v>
      </c>
      <c r="AY148" s="52" t="n">
        <v>0.04</v>
      </c>
      <c r="AZ148" s="52" t="n">
        <v>-0.04</v>
      </c>
      <c r="BA148" s="52" t="n">
        <v>0.11</v>
      </c>
      <c r="BB148" s="52" t="n">
        <v>0.11</v>
      </c>
      <c r="BC148" s="52" t="n">
        <v>-0.07</v>
      </c>
      <c r="BD148" s="52" t="n">
        <v>0.13</v>
      </c>
      <c r="BE148" s="52" t="n">
        <v>0.07</v>
      </c>
      <c r="BF148" s="52" t="n">
        <v>0.14</v>
      </c>
      <c r="BG148" s="52" t="n">
        <v>0.16</v>
      </c>
      <c r="BH148" s="52" t="n">
        <v>0.06</v>
      </c>
      <c r="BI148" s="52" t="n">
        <v>-0.06</v>
      </c>
      <c r="BJ148" s="52" t="n">
        <v>-0.05</v>
      </c>
      <c r="BK148" s="52" t="n">
        <v>-0.11</v>
      </c>
      <c r="BL148" s="52" t="n">
        <v>0.15</v>
      </c>
      <c r="BM148" s="52" t="n">
        <v>0.18</v>
      </c>
      <c r="BN148" s="52" t="n">
        <v>0.05</v>
      </c>
      <c r="BO148" s="52" t="n">
        <v>0.1</v>
      </c>
      <c r="BP148" s="52" t="n">
        <v>0.11</v>
      </c>
      <c r="BQ148" s="52" t="n">
        <v>-0.01</v>
      </c>
      <c r="BR148" s="52" t="n">
        <v>0.12</v>
      </c>
      <c r="BS148" s="52" t="n">
        <v>0</v>
      </c>
      <c r="BT148" s="52" t="n">
        <v>0.12</v>
      </c>
      <c r="BU148" s="52" t="n">
        <v>0.06</v>
      </c>
      <c r="BV148" s="52" t="n">
        <v>0.17</v>
      </c>
      <c r="BW148" s="52" t="n">
        <v>0.11</v>
      </c>
      <c r="BX148" s="52" t="n">
        <v>0.03</v>
      </c>
      <c r="BY148" s="52" t="n">
        <v>0.3</v>
      </c>
      <c r="BZ148" s="52" t="n">
        <v>0.15</v>
      </c>
      <c r="CA148" s="52" t="n">
        <v>-0.04</v>
      </c>
      <c r="CB148" s="52" t="n">
        <v>-0.09</v>
      </c>
      <c r="CC148" s="52" t="n">
        <v>0.09</v>
      </c>
      <c r="CD148" s="52" t="n">
        <v>0.11</v>
      </c>
      <c r="CE148" s="52" t="n">
        <v>0.1</v>
      </c>
      <c r="CF148" s="52" t="n">
        <v>-0.05</v>
      </c>
      <c r="CG148" s="52" t="n">
        <v>0.17</v>
      </c>
      <c r="CH148" s="52" t="n">
        <v>0.1</v>
      </c>
      <c r="CI148" s="52" t="n">
        <v>-0.03</v>
      </c>
      <c r="CJ148" s="52" t="n">
        <v>0.16</v>
      </c>
      <c r="CK148" s="52" t="n">
        <v>0.14</v>
      </c>
      <c r="CL148" s="52" t="n">
        <v>0.15</v>
      </c>
      <c r="CM148" s="52" t="n">
        <v>0.11</v>
      </c>
      <c r="CN148" s="52" t="n">
        <v>0.03</v>
      </c>
      <c r="CO148" s="52" t="n">
        <v>0.02</v>
      </c>
      <c r="CP148" s="52" t="n">
        <v>0.09</v>
      </c>
      <c r="CQ148" s="52" t="n">
        <v>0.14</v>
      </c>
      <c r="CR148" s="52" t="n">
        <v>0.13</v>
      </c>
      <c r="CS148" s="52" t="n">
        <v>0.09</v>
      </c>
      <c r="CT148" s="52" t="n">
        <v>0.19</v>
      </c>
      <c r="CU148" s="52" t="n">
        <v>0.13</v>
      </c>
      <c r="CV148" s="52" t="n">
        <v>0.08</v>
      </c>
      <c r="CW148" s="52" t="n">
        <v>0.15</v>
      </c>
      <c r="CX148" s="52" t="n">
        <v>0.13</v>
      </c>
      <c r="CY148" s="52" t="n">
        <v>0.13</v>
      </c>
      <c r="CZ148" s="52" t="n">
        <v>0.08</v>
      </c>
      <c r="DA148" s="52" t="n">
        <v>0.12</v>
      </c>
      <c r="DB148" s="52" t="n">
        <v>0.17</v>
      </c>
      <c r="DC148" s="52" t="n">
        <v>0.1</v>
      </c>
      <c r="DD148" s="52" t="n">
        <v>0.21</v>
      </c>
      <c r="DE148" s="52" t="n">
        <v>0.16</v>
      </c>
      <c r="DF148" s="52" t="n">
        <v>0.15</v>
      </c>
      <c r="DG148" s="52" t="n">
        <v>0.04</v>
      </c>
      <c r="DH148" s="52" t="n">
        <v>0.07</v>
      </c>
      <c r="DI148" s="52" t="n">
        <v>0.11</v>
      </c>
      <c r="DJ148" s="52" t="n">
        <v>0.17</v>
      </c>
      <c r="DK148" s="52" t="n">
        <v>0.11</v>
      </c>
      <c r="DL148" s="52" t="n">
        <v>0.02</v>
      </c>
      <c r="DM148" s="52" t="n">
        <v>0.19</v>
      </c>
      <c r="DN148" s="52" t="n">
        <v>0.17</v>
      </c>
      <c r="DO148" s="52" t="n">
        <v>0.1</v>
      </c>
      <c r="DP148" s="52" t="n">
        <v>0.17</v>
      </c>
      <c r="DQ148" s="52" t="n">
        <v>0.03</v>
      </c>
      <c r="DR148" s="52" t="n">
        <v>0.06</v>
      </c>
      <c r="DS148" s="52" t="n">
        <v>0.14</v>
      </c>
      <c r="DT148" s="52" t="n">
        <v>0.15</v>
      </c>
      <c r="DU148" s="52" t="n">
        <v>0.23</v>
      </c>
      <c r="DV148" s="52" t="n">
        <v>0.14</v>
      </c>
      <c r="DW148" s="52" t="n">
        <v>0.1</v>
      </c>
      <c r="DX148" s="52" t="n">
        <v>0.1</v>
      </c>
      <c r="DY148" s="52" t="n">
        <v>0.25</v>
      </c>
      <c r="DZ148" s="52" t="n">
        <v>0.1</v>
      </c>
      <c r="EA148" s="52" t="n">
        <v>0.1</v>
      </c>
      <c r="EB148" s="52" t="n">
        <v>0.28</v>
      </c>
      <c r="EC148" s="52" t="n">
        <v>0.03</v>
      </c>
      <c r="ED148" s="52" t="n">
        <v>0.13</v>
      </c>
      <c r="EE148" s="52" t="n">
        <v>0.14</v>
      </c>
      <c r="EF148" s="52" t="n">
        <v>0.02</v>
      </c>
      <c r="EG148" s="52" t="n">
        <v>0.09</v>
      </c>
      <c r="EH148" s="52" t="n">
        <v>0.07</v>
      </c>
      <c r="EI148" s="52" t="n">
        <v>0.07</v>
      </c>
      <c r="EJ148" s="52" t="n">
        <v>0.08</v>
      </c>
      <c r="EK148" s="52" t="n">
        <v>0.19</v>
      </c>
      <c r="EL148" s="52" t="n">
        <v>0.14</v>
      </c>
      <c r="EM148" s="52" t="n">
        <v>0.06</v>
      </c>
      <c r="EN148" s="52" t="n">
        <v>0.11</v>
      </c>
      <c r="EO148" s="52" t="n">
        <v>1</v>
      </c>
    </row>
  </sheetData>
  <conditionalFormatting sqref="B5:EO148">
    <cfRule type="colorScale" priority="2">
      <colorScale>
        <cfvo type="num" val="0"/>
        <cfvo type="num" val="0.4"/>
        <cfvo type="num" val="1"/>
        <color rgb="FFFFFFFF"/>
        <color rgb="FFFFE699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Q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sheetData>
    <row r="1" customFormat="false" ht="15" hidden="false" customHeight="false" outlineLevel="0" collapsed="false">
      <c r="A1" s="7" t="s">
        <v>293</v>
      </c>
    </row>
    <row r="2" customFormat="false" ht="15" hidden="false" customHeight="false" outlineLevel="0" collapsed="false">
      <c r="A2" s="0" t="s">
        <v>294</v>
      </c>
      <c r="B2" s="53" t="n">
        <f aca="false">SUMPRODUCT(EP6:EP149,EQ6:EQ149)</f>
        <v>0.0726926876</v>
      </c>
    </row>
    <row r="4" customFormat="false" ht="15" hidden="false" customHeight="false" outlineLevel="0" collapsed="false">
      <c r="B4" s="54" t="s">
        <v>149</v>
      </c>
      <c r="C4" s="54" t="s">
        <v>153</v>
      </c>
      <c r="D4" s="54" t="s">
        <v>155</v>
      </c>
      <c r="E4" s="54" t="s">
        <v>156</v>
      </c>
      <c r="F4" s="54" t="s">
        <v>157</v>
      </c>
      <c r="G4" s="54" t="s">
        <v>158</v>
      </c>
      <c r="H4" s="54" t="s">
        <v>159</v>
      </c>
      <c r="I4" s="54" t="s">
        <v>160</v>
      </c>
      <c r="J4" s="54" t="s">
        <v>161</v>
      </c>
      <c r="K4" s="54" t="s">
        <v>162</v>
      </c>
      <c r="L4" s="54" t="s">
        <v>163</v>
      </c>
      <c r="M4" s="54" t="s">
        <v>164</v>
      </c>
      <c r="N4" s="54" t="s">
        <v>165</v>
      </c>
      <c r="O4" s="54" t="s">
        <v>120</v>
      </c>
      <c r="P4" s="54" t="s">
        <v>166</v>
      </c>
      <c r="Q4" s="54" t="s">
        <v>167</v>
      </c>
      <c r="R4" s="54" t="s">
        <v>168</v>
      </c>
      <c r="S4" s="54" t="s">
        <v>169</v>
      </c>
      <c r="T4" s="54" t="s">
        <v>170</v>
      </c>
      <c r="U4" s="54" t="s">
        <v>171</v>
      </c>
      <c r="V4" s="54" t="s">
        <v>121</v>
      </c>
      <c r="W4" s="54" t="s">
        <v>172</v>
      </c>
      <c r="X4" s="54" t="s">
        <v>173</v>
      </c>
      <c r="Y4" s="54" t="s">
        <v>174</v>
      </c>
      <c r="Z4" s="54" t="s">
        <v>175</v>
      </c>
      <c r="AA4" s="54" t="s">
        <v>176</v>
      </c>
      <c r="AB4" s="54" t="s">
        <v>177</v>
      </c>
      <c r="AC4" s="54" t="s">
        <v>178</v>
      </c>
      <c r="AD4" s="54" t="s">
        <v>179</v>
      </c>
      <c r="AE4" s="54" t="s">
        <v>180</v>
      </c>
      <c r="AF4" s="54" t="s">
        <v>181</v>
      </c>
      <c r="AG4" s="54" t="s">
        <v>182</v>
      </c>
      <c r="AH4" s="54" t="s">
        <v>183</v>
      </c>
      <c r="AI4" s="54" t="s">
        <v>184</v>
      </c>
      <c r="AJ4" s="54" t="s">
        <v>185</v>
      </c>
      <c r="AK4" s="54" t="s">
        <v>119</v>
      </c>
      <c r="AL4" s="54" t="s">
        <v>186</v>
      </c>
      <c r="AM4" s="54" t="s">
        <v>187</v>
      </c>
      <c r="AN4" s="54" t="s">
        <v>188</v>
      </c>
      <c r="AO4" s="54" t="s">
        <v>189</v>
      </c>
      <c r="AP4" s="54" t="s">
        <v>190</v>
      </c>
      <c r="AQ4" s="54" t="s">
        <v>191</v>
      </c>
      <c r="AR4" s="54" t="s">
        <v>192</v>
      </c>
      <c r="AS4" s="54" t="s">
        <v>193</v>
      </c>
      <c r="AT4" s="54" t="s">
        <v>194</v>
      </c>
      <c r="AU4" s="54" t="s">
        <v>195</v>
      </c>
      <c r="AV4" s="54" t="s">
        <v>196</v>
      </c>
      <c r="AW4" s="54" t="s">
        <v>197</v>
      </c>
      <c r="AX4" s="54" t="s">
        <v>198</v>
      </c>
      <c r="AY4" s="54" t="s">
        <v>200</v>
      </c>
      <c r="AZ4" s="54" t="s">
        <v>124</v>
      </c>
      <c r="BA4" s="54" t="s">
        <v>201</v>
      </c>
      <c r="BB4" s="54" t="s">
        <v>202</v>
      </c>
      <c r="BC4" s="54" t="s">
        <v>203</v>
      </c>
      <c r="BD4" s="54" t="s">
        <v>204</v>
      </c>
      <c r="BE4" s="54" t="s">
        <v>205</v>
      </c>
      <c r="BF4" s="54" t="s">
        <v>206</v>
      </c>
      <c r="BG4" s="54" t="s">
        <v>207</v>
      </c>
      <c r="BH4" s="54" t="s">
        <v>208</v>
      </c>
      <c r="BI4" s="54" t="s">
        <v>209</v>
      </c>
      <c r="BJ4" s="54" t="s">
        <v>210</v>
      </c>
      <c r="BK4" s="54" t="s">
        <v>211</v>
      </c>
      <c r="BL4" s="54" t="s">
        <v>212</v>
      </c>
      <c r="BM4" s="54" t="s">
        <v>213</v>
      </c>
      <c r="BN4" s="54" t="s">
        <v>214</v>
      </c>
      <c r="BO4" s="54" t="s">
        <v>47</v>
      </c>
      <c r="BP4" s="54" t="s">
        <v>122</v>
      </c>
      <c r="BQ4" s="54" t="s">
        <v>48</v>
      </c>
      <c r="BR4" s="54" t="s">
        <v>215</v>
      </c>
      <c r="BS4" s="54" t="s">
        <v>216</v>
      </c>
      <c r="BT4" s="54" t="s">
        <v>218</v>
      </c>
      <c r="BU4" s="54" t="s">
        <v>219</v>
      </c>
      <c r="BV4" s="54" t="s">
        <v>220</v>
      </c>
      <c r="BW4" s="54" t="s">
        <v>221</v>
      </c>
      <c r="BX4" s="54" t="s">
        <v>222</v>
      </c>
      <c r="BY4" s="54" t="s">
        <v>223</v>
      </c>
      <c r="BZ4" s="54" t="s">
        <v>224</v>
      </c>
      <c r="CA4" s="54" t="s">
        <v>225</v>
      </c>
      <c r="CB4" s="54" t="s">
        <v>226</v>
      </c>
      <c r="CC4" s="54" t="s">
        <v>227</v>
      </c>
      <c r="CD4" s="54" t="s">
        <v>228</v>
      </c>
      <c r="CE4" s="54" t="s">
        <v>229</v>
      </c>
      <c r="CF4" s="54" t="s">
        <v>230</v>
      </c>
      <c r="CG4" s="54" t="s">
        <v>231</v>
      </c>
      <c r="CH4" s="54" t="s">
        <v>49</v>
      </c>
      <c r="CI4" s="54" t="s">
        <v>232</v>
      </c>
      <c r="CJ4" s="54" t="s">
        <v>233</v>
      </c>
      <c r="CK4" s="54" t="s">
        <v>234</v>
      </c>
      <c r="CL4" s="54" t="s">
        <v>235</v>
      </c>
      <c r="CM4" s="54" t="s">
        <v>123</v>
      </c>
      <c r="CN4" s="54" t="s">
        <v>236</v>
      </c>
      <c r="CO4" s="54" t="s">
        <v>237</v>
      </c>
      <c r="CP4" s="54" t="s">
        <v>238</v>
      </c>
      <c r="CQ4" s="54" t="s">
        <v>239</v>
      </c>
      <c r="CR4" s="54" t="s">
        <v>240</v>
      </c>
      <c r="CS4" s="54" t="s">
        <v>241</v>
      </c>
      <c r="CT4" s="54" t="s">
        <v>242</v>
      </c>
      <c r="CU4" s="54" t="s">
        <v>244</v>
      </c>
      <c r="CV4" s="54" t="s">
        <v>245</v>
      </c>
      <c r="CW4" s="54" t="s">
        <v>246</v>
      </c>
      <c r="CX4" s="54" t="s">
        <v>247</v>
      </c>
      <c r="CY4" s="54" t="s">
        <v>248</v>
      </c>
      <c r="CZ4" s="54" t="s">
        <v>249</v>
      </c>
      <c r="DA4" s="54" t="s">
        <v>250</v>
      </c>
      <c r="DB4" s="54" t="s">
        <v>50</v>
      </c>
      <c r="DC4" s="54" t="s">
        <v>251</v>
      </c>
      <c r="DD4" s="54" t="s">
        <v>252</v>
      </c>
      <c r="DE4" s="54" t="s">
        <v>253</v>
      </c>
      <c r="DF4" s="54" t="s">
        <v>254</v>
      </c>
      <c r="DG4" s="54" t="s">
        <v>255</v>
      </c>
      <c r="DH4" s="54" t="s">
        <v>51</v>
      </c>
      <c r="DI4" s="54" t="s">
        <v>256</v>
      </c>
      <c r="DJ4" s="54" t="s">
        <v>257</v>
      </c>
      <c r="DK4" s="54" t="s">
        <v>258</v>
      </c>
      <c r="DL4" s="54" t="s">
        <v>259</v>
      </c>
      <c r="DM4" s="54" t="s">
        <v>260</v>
      </c>
      <c r="DN4" s="54" t="s">
        <v>261</v>
      </c>
      <c r="DO4" s="54" t="s">
        <v>262</v>
      </c>
      <c r="DP4" s="54" t="s">
        <v>263</v>
      </c>
      <c r="DQ4" s="54" t="s">
        <v>264</v>
      </c>
      <c r="DR4" s="54" t="s">
        <v>265</v>
      </c>
      <c r="DS4" s="54" t="s">
        <v>266</v>
      </c>
      <c r="DT4" s="54" t="s">
        <v>267</v>
      </c>
      <c r="DU4" s="54" t="s">
        <v>268</v>
      </c>
      <c r="DV4" s="54" t="s">
        <v>269</v>
      </c>
      <c r="DW4" s="54" t="s">
        <v>270</v>
      </c>
      <c r="DX4" s="54" t="s">
        <v>271</v>
      </c>
      <c r="DY4" s="54" t="s">
        <v>272</v>
      </c>
      <c r="DZ4" s="54" t="s">
        <v>273</v>
      </c>
      <c r="EA4" s="54" t="s">
        <v>274</v>
      </c>
      <c r="EB4" s="54" t="s">
        <v>275</v>
      </c>
      <c r="EC4" s="54" t="s">
        <v>276</v>
      </c>
      <c r="ED4" s="54" t="s">
        <v>277</v>
      </c>
      <c r="EE4" s="54" t="s">
        <v>278</v>
      </c>
      <c r="EF4" s="54" t="s">
        <v>279</v>
      </c>
      <c r="EG4" s="54" t="s">
        <v>280</v>
      </c>
      <c r="EH4" s="54" t="s">
        <v>281</v>
      </c>
      <c r="EI4" s="54" t="s">
        <v>282</v>
      </c>
      <c r="EJ4" s="54" t="s">
        <v>283</v>
      </c>
      <c r="EK4" s="54" t="s">
        <v>284</v>
      </c>
      <c r="EL4" s="54" t="s">
        <v>285</v>
      </c>
      <c r="EM4" s="54" t="s">
        <v>286</v>
      </c>
      <c r="EN4" s="54" t="s">
        <v>287</v>
      </c>
      <c r="EO4" s="54" t="s">
        <v>288</v>
      </c>
      <c r="EP4" s="7" t="s">
        <v>295</v>
      </c>
      <c r="EQ4" s="7" t="s">
        <v>296</v>
      </c>
    </row>
    <row r="5" customFormat="false" ht="15" hidden="false" customHeight="false" outlineLevel="0" collapsed="false">
      <c r="A5" s="7" t="s">
        <v>297</v>
      </c>
      <c r="B5" s="55" t="n">
        <f aca="false">SUMIF('Mi portafolio'!$A$8:$A$19,B$4,'Mi portafolio'!$B$8:$B$19)</f>
        <v>0</v>
      </c>
      <c r="C5" s="55" t="n">
        <f aca="false">SUMIF('Mi portafolio'!$A$8:$A$19,C$4,'Mi portafolio'!$B$8:$B$19)</f>
        <v>0</v>
      </c>
      <c r="D5" s="55" t="n">
        <f aca="false">SUMIF('Mi portafolio'!$A$8:$A$19,D$4,'Mi portafolio'!$B$8:$B$19)</f>
        <v>0</v>
      </c>
      <c r="E5" s="55" t="n">
        <f aca="false">SUMIF('Mi portafolio'!$A$8:$A$19,E$4,'Mi portafolio'!$B$8:$B$19)</f>
        <v>0</v>
      </c>
      <c r="F5" s="55" t="n">
        <f aca="false">SUMIF('Mi portafolio'!$A$8:$A$19,F$4,'Mi portafolio'!$B$8:$B$19)</f>
        <v>0</v>
      </c>
      <c r="G5" s="55" t="n">
        <f aca="false">SUMIF('Mi portafolio'!$A$8:$A$19,G$4,'Mi portafolio'!$B$8:$B$19)</f>
        <v>0</v>
      </c>
      <c r="H5" s="55" t="n">
        <f aca="false">SUMIF('Mi portafolio'!$A$8:$A$19,H$4,'Mi portafolio'!$B$8:$B$19)</f>
        <v>0</v>
      </c>
      <c r="I5" s="55" t="n">
        <f aca="false">SUMIF('Mi portafolio'!$A$8:$A$19,I$4,'Mi portafolio'!$B$8:$B$19)</f>
        <v>0</v>
      </c>
      <c r="J5" s="55" t="n">
        <f aca="false">SUMIF('Mi portafolio'!$A$8:$A$19,J$4,'Mi portafolio'!$B$8:$B$19)</f>
        <v>0</v>
      </c>
      <c r="K5" s="55" t="n">
        <f aca="false">SUMIF('Mi portafolio'!$A$8:$A$19,K$4,'Mi portafolio'!$B$8:$B$19)</f>
        <v>0</v>
      </c>
      <c r="L5" s="55" t="n">
        <f aca="false">SUMIF('Mi portafolio'!$A$8:$A$19,L$4,'Mi portafolio'!$B$8:$B$19)</f>
        <v>0</v>
      </c>
      <c r="M5" s="55" t="n">
        <f aca="false">SUMIF('Mi portafolio'!$A$8:$A$19,M$4,'Mi portafolio'!$B$8:$B$19)</f>
        <v>0</v>
      </c>
      <c r="N5" s="55" t="n">
        <f aca="false">SUMIF('Mi portafolio'!$A$8:$A$19,N$4,'Mi portafolio'!$B$8:$B$19)</f>
        <v>0</v>
      </c>
      <c r="O5" s="55" t="n">
        <f aca="false">SUMIF('Mi portafolio'!$A$8:$A$19,O$4,'Mi portafolio'!$B$8:$B$19)</f>
        <v>0</v>
      </c>
      <c r="P5" s="55" t="n">
        <f aca="false">SUMIF('Mi portafolio'!$A$8:$A$19,P$4,'Mi portafolio'!$B$8:$B$19)</f>
        <v>0</v>
      </c>
      <c r="Q5" s="55" t="n">
        <f aca="false">SUMIF('Mi portafolio'!$A$8:$A$19,Q$4,'Mi portafolio'!$B$8:$B$19)</f>
        <v>0</v>
      </c>
      <c r="R5" s="55" t="n">
        <f aca="false">SUMIF('Mi portafolio'!$A$8:$A$19,R$4,'Mi portafolio'!$B$8:$B$19)</f>
        <v>0</v>
      </c>
      <c r="S5" s="55" t="n">
        <f aca="false">SUMIF('Mi portafolio'!$A$8:$A$19,S$4,'Mi portafolio'!$B$8:$B$19)</f>
        <v>0</v>
      </c>
      <c r="T5" s="55" t="n">
        <f aca="false">SUMIF('Mi portafolio'!$A$8:$A$19,T$4,'Mi portafolio'!$B$8:$B$19)</f>
        <v>0</v>
      </c>
      <c r="U5" s="55" t="n">
        <f aca="false">SUMIF('Mi portafolio'!$A$8:$A$19,U$4,'Mi portafolio'!$B$8:$B$19)</f>
        <v>0</v>
      </c>
      <c r="V5" s="55" t="n">
        <f aca="false">SUMIF('Mi portafolio'!$A$8:$A$19,V$4,'Mi portafolio'!$B$8:$B$19)</f>
        <v>0</v>
      </c>
      <c r="W5" s="55" t="n">
        <f aca="false">SUMIF('Mi portafolio'!$A$8:$A$19,W$4,'Mi portafolio'!$B$8:$B$19)</f>
        <v>0</v>
      </c>
      <c r="X5" s="55" t="n">
        <f aca="false">SUMIF('Mi portafolio'!$A$8:$A$19,X$4,'Mi portafolio'!$B$8:$B$19)</f>
        <v>0</v>
      </c>
      <c r="Y5" s="55" t="n">
        <f aca="false">SUMIF('Mi portafolio'!$A$8:$A$19,Y$4,'Mi portafolio'!$B$8:$B$19)</f>
        <v>0</v>
      </c>
      <c r="Z5" s="55" t="n">
        <f aca="false">SUMIF('Mi portafolio'!$A$8:$A$19,Z$4,'Mi portafolio'!$B$8:$B$19)</f>
        <v>0</v>
      </c>
      <c r="AA5" s="55" t="n">
        <f aca="false">SUMIF('Mi portafolio'!$A$8:$A$19,AA$4,'Mi portafolio'!$B$8:$B$19)</f>
        <v>0</v>
      </c>
      <c r="AB5" s="55" t="n">
        <f aca="false">SUMIF('Mi portafolio'!$A$8:$A$19,AB$4,'Mi portafolio'!$B$8:$B$19)</f>
        <v>0</v>
      </c>
      <c r="AC5" s="55" t="n">
        <f aca="false">SUMIF('Mi portafolio'!$A$8:$A$19,AC$4,'Mi portafolio'!$B$8:$B$19)</f>
        <v>0</v>
      </c>
      <c r="AD5" s="55" t="n">
        <f aca="false">SUMIF('Mi portafolio'!$A$8:$A$19,AD$4,'Mi portafolio'!$B$8:$B$19)</f>
        <v>0</v>
      </c>
      <c r="AE5" s="55" t="n">
        <f aca="false">SUMIF('Mi portafolio'!$A$8:$A$19,AE$4,'Mi portafolio'!$B$8:$B$19)</f>
        <v>0</v>
      </c>
      <c r="AF5" s="55" t="n">
        <f aca="false">SUMIF('Mi portafolio'!$A$8:$A$19,AF$4,'Mi portafolio'!$B$8:$B$19)</f>
        <v>0</v>
      </c>
      <c r="AG5" s="55" t="n">
        <f aca="false">SUMIF('Mi portafolio'!$A$8:$A$19,AG$4,'Mi portafolio'!$B$8:$B$19)</f>
        <v>0</v>
      </c>
      <c r="AH5" s="55" t="n">
        <f aca="false">SUMIF('Mi portafolio'!$A$8:$A$19,AH$4,'Mi portafolio'!$B$8:$B$19)</f>
        <v>0</v>
      </c>
      <c r="AI5" s="55" t="n">
        <f aca="false">SUMIF('Mi portafolio'!$A$8:$A$19,AI$4,'Mi portafolio'!$B$8:$B$19)</f>
        <v>0</v>
      </c>
      <c r="AJ5" s="55" t="n">
        <f aca="false">SUMIF('Mi portafolio'!$A$8:$A$19,AJ$4,'Mi portafolio'!$B$8:$B$19)</f>
        <v>0</v>
      </c>
      <c r="AK5" s="55" t="n">
        <f aca="false">SUMIF('Mi portafolio'!$A$8:$A$19,AK$4,'Mi portafolio'!$B$8:$B$19)</f>
        <v>0</v>
      </c>
      <c r="AL5" s="55" t="n">
        <f aca="false">SUMIF('Mi portafolio'!$A$8:$A$19,AL$4,'Mi portafolio'!$B$8:$B$19)</f>
        <v>0</v>
      </c>
      <c r="AM5" s="55" t="n">
        <f aca="false">SUMIF('Mi portafolio'!$A$8:$A$19,AM$4,'Mi portafolio'!$B$8:$B$19)</f>
        <v>0</v>
      </c>
      <c r="AN5" s="55" t="n">
        <f aca="false">SUMIF('Mi portafolio'!$A$8:$A$19,AN$4,'Mi portafolio'!$B$8:$B$19)</f>
        <v>0</v>
      </c>
      <c r="AO5" s="55" t="n">
        <f aca="false">SUMIF('Mi portafolio'!$A$8:$A$19,AO$4,'Mi portafolio'!$B$8:$B$19)</f>
        <v>0</v>
      </c>
      <c r="AP5" s="55" t="n">
        <f aca="false">SUMIF('Mi portafolio'!$A$8:$A$19,AP$4,'Mi portafolio'!$B$8:$B$19)</f>
        <v>0</v>
      </c>
      <c r="AQ5" s="55" t="n">
        <f aca="false">SUMIF('Mi portafolio'!$A$8:$A$19,AQ$4,'Mi portafolio'!$B$8:$B$19)</f>
        <v>0</v>
      </c>
      <c r="AR5" s="55" t="n">
        <f aca="false">SUMIF('Mi portafolio'!$A$8:$A$19,AR$4,'Mi portafolio'!$B$8:$B$19)</f>
        <v>0</v>
      </c>
      <c r="AS5" s="55" t="n">
        <f aca="false">SUMIF('Mi portafolio'!$A$8:$A$19,AS$4,'Mi portafolio'!$B$8:$B$19)</f>
        <v>0</v>
      </c>
      <c r="AT5" s="55" t="n">
        <f aca="false">SUMIF('Mi portafolio'!$A$8:$A$19,AT$4,'Mi portafolio'!$B$8:$B$19)</f>
        <v>0</v>
      </c>
      <c r="AU5" s="55" t="n">
        <f aca="false">SUMIF('Mi portafolio'!$A$8:$A$19,AU$4,'Mi portafolio'!$B$8:$B$19)</f>
        <v>0</v>
      </c>
      <c r="AV5" s="55" t="n">
        <f aca="false">SUMIF('Mi portafolio'!$A$8:$A$19,AV$4,'Mi portafolio'!$B$8:$B$19)</f>
        <v>0</v>
      </c>
      <c r="AW5" s="55" t="n">
        <f aca="false">SUMIF('Mi portafolio'!$A$8:$A$19,AW$4,'Mi portafolio'!$B$8:$B$19)</f>
        <v>0</v>
      </c>
      <c r="AX5" s="55" t="n">
        <f aca="false">SUMIF('Mi portafolio'!$A$8:$A$19,AX$4,'Mi portafolio'!$B$8:$B$19)</f>
        <v>0</v>
      </c>
      <c r="AY5" s="55" t="n">
        <f aca="false">SUMIF('Mi portafolio'!$A$8:$A$19,AY$4,'Mi portafolio'!$B$8:$B$19)</f>
        <v>0</v>
      </c>
      <c r="AZ5" s="55" t="n">
        <f aca="false">SUMIF('Mi portafolio'!$A$8:$A$19,AZ$4,'Mi portafolio'!$B$8:$B$19)</f>
        <v>0</v>
      </c>
      <c r="BA5" s="55" t="n">
        <f aca="false">SUMIF('Mi portafolio'!$A$8:$A$19,BA$4,'Mi portafolio'!$B$8:$B$19)</f>
        <v>0</v>
      </c>
      <c r="BB5" s="55" t="n">
        <f aca="false">SUMIF('Mi portafolio'!$A$8:$A$19,BB$4,'Mi portafolio'!$B$8:$B$19)</f>
        <v>0</v>
      </c>
      <c r="BC5" s="55" t="n">
        <f aca="false">SUMIF('Mi portafolio'!$A$8:$A$19,BC$4,'Mi portafolio'!$B$8:$B$19)</f>
        <v>0</v>
      </c>
      <c r="BD5" s="55" t="n">
        <f aca="false">SUMIF('Mi portafolio'!$A$8:$A$19,BD$4,'Mi portafolio'!$B$8:$B$19)</f>
        <v>0</v>
      </c>
      <c r="BE5" s="55" t="n">
        <f aca="false">SUMIF('Mi portafolio'!$A$8:$A$19,BE$4,'Mi portafolio'!$B$8:$B$19)</f>
        <v>0</v>
      </c>
      <c r="BF5" s="55" t="n">
        <f aca="false">SUMIF('Mi portafolio'!$A$8:$A$19,BF$4,'Mi portafolio'!$B$8:$B$19)</f>
        <v>0</v>
      </c>
      <c r="BG5" s="55" t="n">
        <f aca="false">SUMIF('Mi portafolio'!$A$8:$A$19,BG$4,'Mi portafolio'!$B$8:$B$19)</f>
        <v>0</v>
      </c>
      <c r="BH5" s="55" t="n">
        <f aca="false">SUMIF('Mi portafolio'!$A$8:$A$19,BH$4,'Mi portafolio'!$B$8:$B$19)</f>
        <v>0</v>
      </c>
      <c r="BI5" s="55" t="n">
        <f aca="false">SUMIF('Mi portafolio'!$A$8:$A$19,BI$4,'Mi portafolio'!$B$8:$B$19)</f>
        <v>0</v>
      </c>
      <c r="BJ5" s="55" t="n">
        <f aca="false">SUMIF('Mi portafolio'!$A$8:$A$19,BJ$4,'Mi portafolio'!$B$8:$B$19)</f>
        <v>0</v>
      </c>
      <c r="BK5" s="55" t="n">
        <f aca="false">SUMIF('Mi portafolio'!$A$8:$A$19,BK$4,'Mi portafolio'!$B$8:$B$19)</f>
        <v>0</v>
      </c>
      <c r="BL5" s="55" t="n">
        <f aca="false">SUMIF('Mi portafolio'!$A$8:$A$19,BL$4,'Mi portafolio'!$B$8:$B$19)</f>
        <v>0</v>
      </c>
      <c r="BM5" s="55" t="n">
        <f aca="false">SUMIF('Mi portafolio'!$A$8:$A$19,BM$4,'Mi portafolio'!$B$8:$B$19)</f>
        <v>0</v>
      </c>
      <c r="BN5" s="55" t="n">
        <f aca="false">SUMIF('Mi portafolio'!$A$8:$A$19,BN$4,'Mi portafolio'!$B$8:$B$19)</f>
        <v>0</v>
      </c>
      <c r="BO5" s="55" t="n">
        <f aca="false">SUMIF('Mi portafolio'!$A$8:$A$19,BO$4,'Mi portafolio'!$B$8:$B$19)</f>
        <v>0.2</v>
      </c>
      <c r="BP5" s="55" t="n">
        <f aca="false">SUMIF('Mi portafolio'!$A$8:$A$19,BP$4,'Mi portafolio'!$B$8:$B$19)</f>
        <v>0</v>
      </c>
      <c r="BQ5" s="55" t="n">
        <f aca="false">SUMIF('Mi portafolio'!$A$8:$A$19,BQ$4,'Mi portafolio'!$B$8:$B$19)</f>
        <v>0.2</v>
      </c>
      <c r="BR5" s="55" t="n">
        <f aca="false">SUMIF('Mi portafolio'!$A$8:$A$19,BR$4,'Mi portafolio'!$B$8:$B$19)</f>
        <v>0</v>
      </c>
      <c r="BS5" s="55" t="n">
        <f aca="false">SUMIF('Mi portafolio'!$A$8:$A$19,BS$4,'Mi portafolio'!$B$8:$B$19)</f>
        <v>0</v>
      </c>
      <c r="BT5" s="55" t="n">
        <f aca="false">SUMIF('Mi portafolio'!$A$8:$A$19,BT$4,'Mi portafolio'!$B$8:$B$19)</f>
        <v>0</v>
      </c>
      <c r="BU5" s="55" t="n">
        <f aca="false">SUMIF('Mi portafolio'!$A$8:$A$19,BU$4,'Mi portafolio'!$B$8:$B$19)</f>
        <v>0</v>
      </c>
      <c r="BV5" s="55" t="n">
        <f aca="false">SUMIF('Mi portafolio'!$A$8:$A$19,BV$4,'Mi portafolio'!$B$8:$B$19)</f>
        <v>0</v>
      </c>
      <c r="BW5" s="55" t="n">
        <f aca="false">SUMIF('Mi portafolio'!$A$8:$A$19,BW$4,'Mi portafolio'!$B$8:$B$19)</f>
        <v>0</v>
      </c>
      <c r="BX5" s="55" t="n">
        <f aca="false">SUMIF('Mi portafolio'!$A$8:$A$19,BX$4,'Mi portafolio'!$B$8:$B$19)</f>
        <v>0</v>
      </c>
      <c r="BY5" s="55" t="n">
        <f aca="false">SUMIF('Mi portafolio'!$A$8:$A$19,BY$4,'Mi portafolio'!$B$8:$B$19)</f>
        <v>0</v>
      </c>
      <c r="BZ5" s="55" t="n">
        <f aca="false">SUMIF('Mi portafolio'!$A$8:$A$19,BZ$4,'Mi portafolio'!$B$8:$B$19)</f>
        <v>0</v>
      </c>
      <c r="CA5" s="55" t="n">
        <f aca="false">SUMIF('Mi portafolio'!$A$8:$A$19,CA$4,'Mi portafolio'!$B$8:$B$19)</f>
        <v>0</v>
      </c>
      <c r="CB5" s="55" t="n">
        <f aca="false">SUMIF('Mi portafolio'!$A$8:$A$19,CB$4,'Mi portafolio'!$B$8:$B$19)</f>
        <v>0</v>
      </c>
      <c r="CC5" s="55" t="n">
        <f aca="false">SUMIF('Mi portafolio'!$A$8:$A$19,CC$4,'Mi portafolio'!$B$8:$B$19)</f>
        <v>0</v>
      </c>
      <c r="CD5" s="55" t="n">
        <f aca="false">SUMIF('Mi portafolio'!$A$8:$A$19,CD$4,'Mi portafolio'!$B$8:$B$19)</f>
        <v>0</v>
      </c>
      <c r="CE5" s="55" t="n">
        <f aca="false">SUMIF('Mi portafolio'!$A$8:$A$19,CE$4,'Mi portafolio'!$B$8:$B$19)</f>
        <v>0</v>
      </c>
      <c r="CF5" s="55" t="n">
        <f aca="false">SUMIF('Mi portafolio'!$A$8:$A$19,CF$4,'Mi portafolio'!$B$8:$B$19)</f>
        <v>0</v>
      </c>
      <c r="CG5" s="55" t="n">
        <f aca="false">SUMIF('Mi portafolio'!$A$8:$A$19,CG$4,'Mi portafolio'!$B$8:$B$19)</f>
        <v>0</v>
      </c>
      <c r="CH5" s="55" t="n">
        <f aca="false">SUMIF('Mi portafolio'!$A$8:$A$19,CH$4,'Mi portafolio'!$B$8:$B$19)</f>
        <v>0.2</v>
      </c>
      <c r="CI5" s="55" t="n">
        <f aca="false">SUMIF('Mi portafolio'!$A$8:$A$19,CI$4,'Mi portafolio'!$B$8:$B$19)</f>
        <v>0</v>
      </c>
      <c r="CJ5" s="55" t="n">
        <f aca="false">SUMIF('Mi portafolio'!$A$8:$A$19,CJ$4,'Mi portafolio'!$B$8:$B$19)</f>
        <v>0</v>
      </c>
      <c r="CK5" s="55" t="n">
        <f aca="false">SUMIF('Mi portafolio'!$A$8:$A$19,CK$4,'Mi portafolio'!$B$8:$B$19)</f>
        <v>0</v>
      </c>
      <c r="CL5" s="55" t="n">
        <f aca="false">SUMIF('Mi portafolio'!$A$8:$A$19,CL$4,'Mi portafolio'!$B$8:$B$19)</f>
        <v>0</v>
      </c>
      <c r="CM5" s="55" t="n">
        <f aca="false">SUMIF('Mi portafolio'!$A$8:$A$19,CM$4,'Mi portafolio'!$B$8:$B$19)</f>
        <v>0</v>
      </c>
      <c r="CN5" s="55" t="n">
        <f aca="false">SUMIF('Mi portafolio'!$A$8:$A$19,CN$4,'Mi portafolio'!$B$8:$B$19)</f>
        <v>0</v>
      </c>
      <c r="CO5" s="55" t="n">
        <f aca="false">SUMIF('Mi portafolio'!$A$8:$A$19,CO$4,'Mi portafolio'!$B$8:$B$19)</f>
        <v>0</v>
      </c>
      <c r="CP5" s="55" t="n">
        <f aca="false">SUMIF('Mi portafolio'!$A$8:$A$19,CP$4,'Mi portafolio'!$B$8:$B$19)</f>
        <v>0</v>
      </c>
      <c r="CQ5" s="55" t="n">
        <f aca="false">SUMIF('Mi portafolio'!$A$8:$A$19,CQ$4,'Mi portafolio'!$B$8:$B$19)</f>
        <v>0</v>
      </c>
      <c r="CR5" s="55" t="n">
        <f aca="false">SUMIF('Mi portafolio'!$A$8:$A$19,CR$4,'Mi portafolio'!$B$8:$B$19)</f>
        <v>0</v>
      </c>
      <c r="CS5" s="55" t="n">
        <f aca="false">SUMIF('Mi portafolio'!$A$8:$A$19,CS$4,'Mi portafolio'!$B$8:$B$19)</f>
        <v>0</v>
      </c>
      <c r="CT5" s="55" t="n">
        <f aca="false">SUMIF('Mi portafolio'!$A$8:$A$19,CT$4,'Mi portafolio'!$B$8:$B$19)</f>
        <v>0</v>
      </c>
      <c r="CU5" s="55" t="n">
        <f aca="false">SUMIF('Mi portafolio'!$A$8:$A$19,CU$4,'Mi portafolio'!$B$8:$B$19)</f>
        <v>0</v>
      </c>
      <c r="CV5" s="55" t="n">
        <f aca="false">SUMIF('Mi portafolio'!$A$8:$A$19,CV$4,'Mi portafolio'!$B$8:$B$19)</f>
        <v>0</v>
      </c>
      <c r="CW5" s="55" t="n">
        <f aca="false">SUMIF('Mi portafolio'!$A$8:$A$19,CW$4,'Mi portafolio'!$B$8:$B$19)</f>
        <v>0</v>
      </c>
      <c r="CX5" s="55" t="n">
        <f aca="false">SUMIF('Mi portafolio'!$A$8:$A$19,CX$4,'Mi portafolio'!$B$8:$B$19)</f>
        <v>0</v>
      </c>
      <c r="CY5" s="55" t="n">
        <f aca="false">SUMIF('Mi portafolio'!$A$8:$A$19,CY$4,'Mi portafolio'!$B$8:$B$19)</f>
        <v>0</v>
      </c>
      <c r="CZ5" s="55" t="n">
        <f aca="false">SUMIF('Mi portafolio'!$A$8:$A$19,CZ$4,'Mi portafolio'!$B$8:$B$19)</f>
        <v>0</v>
      </c>
      <c r="DA5" s="55" t="n">
        <f aca="false">SUMIF('Mi portafolio'!$A$8:$A$19,DA$4,'Mi portafolio'!$B$8:$B$19)</f>
        <v>0</v>
      </c>
      <c r="DB5" s="55" t="n">
        <f aca="false">SUMIF('Mi portafolio'!$A$8:$A$19,DB$4,'Mi portafolio'!$B$8:$B$19)</f>
        <v>0.2</v>
      </c>
      <c r="DC5" s="55" t="n">
        <f aca="false">SUMIF('Mi portafolio'!$A$8:$A$19,DC$4,'Mi portafolio'!$B$8:$B$19)</f>
        <v>0</v>
      </c>
      <c r="DD5" s="55" t="n">
        <f aca="false">SUMIF('Mi portafolio'!$A$8:$A$19,DD$4,'Mi portafolio'!$B$8:$B$19)</f>
        <v>0</v>
      </c>
      <c r="DE5" s="55" t="n">
        <f aca="false">SUMIF('Mi portafolio'!$A$8:$A$19,DE$4,'Mi portafolio'!$B$8:$B$19)</f>
        <v>0</v>
      </c>
      <c r="DF5" s="55" t="n">
        <f aca="false">SUMIF('Mi portafolio'!$A$8:$A$19,DF$4,'Mi portafolio'!$B$8:$B$19)</f>
        <v>0</v>
      </c>
      <c r="DG5" s="55" t="n">
        <f aca="false">SUMIF('Mi portafolio'!$A$8:$A$19,DG$4,'Mi portafolio'!$B$8:$B$19)</f>
        <v>0</v>
      </c>
      <c r="DH5" s="55" t="n">
        <f aca="false">SUMIF('Mi portafolio'!$A$8:$A$19,DH$4,'Mi portafolio'!$B$8:$B$19)</f>
        <v>0.2</v>
      </c>
      <c r="DI5" s="55" t="n">
        <f aca="false">SUMIF('Mi portafolio'!$A$8:$A$19,DI$4,'Mi portafolio'!$B$8:$B$19)</f>
        <v>0</v>
      </c>
      <c r="DJ5" s="55" t="n">
        <f aca="false">SUMIF('Mi portafolio'!$A$8:$A$19,DJ$4,'Mi portafolio'!$B$8:$B$19)</f>
        <v>0</v>
      </c>
      <c r="DK5" s="55" t="n">
        <f aca="false">SUMIF('Mi portafolio'!$A$8:$A$19,DK$4,'Mi portafolio'!$B$8:$B$19)</f>
        <v>0</v>
      </c>
      <c r="DL5" s="55" t="n">
        <f aca="false">SUMIF('Mi portafolio'!$A$8:$A$19,DL$4,'Mi portafolio'!$B$8:$B$19)</f>
        <v>0</v>
      </c>
      <c r="DM5" s="55" t="n">
        <f aca="false">SUMIF('Mi portafolio'!$A$8:$A$19,DM$4,'Mi portafolio'!$B$8:$B$19)</f>
        <v>0</v>
      </c>
      <c r="DN5" s="55" t="n">
        <f aca="false">SUMIF('Mi portafolio'!$A$8:$A$19,DN$4,'Mi portafolio'!$B$8:$B$19)</f>
        <v>0</v>
      </c>
      <c r="DO5" s="55" t="n">
        <f aca="false">SUMIF('Mi portafolio'!$A$8:$A$19,DO$4,'Mi portafolio'!$B$8:$B$19)</f>
        <v>0</v>
      </c>
      <c r="DP5" s="55" t="n">
        <f aca="false">SUMIF('Mi portafolio'!$A$8:$A$19,DP$4,'Mi portafolio'!$B$8:$B$19)</f>
        <v>0</v>
      </c>
      <c r="DQ5" s="55" t="n">
        <f aca="false">SUMIF('Mi portafolio'!$A$8:$A$19,DQ$4,'Mi portafolio'!$B$8:$B$19)</f>
        <v>0</v>
      </c>
      <c r="DR5" s="55" t="n">
        <f aca="false">SUMIF('Mi portafolio'!$A$8:$A$19,DR$4,'Mi portafolio'!$B$8:$B$19)</f>
        <v>0</v>
      </c>
      <c r="DS5" s="55" t="n">
        <f aca="false">SUMIF('Mi portafolio'!$A$8:$A$19,DS$4,'Mi portafolio'!$B$8:$B$19)</f>
        <v>0</v>
      </c>
      <c r="DT5" s="55" t="n">
        <f aca="false">SUMIF('Mi portafolio'!$A$8:$A$19,DT$4,'Mi portafolio'!$B$8:$B$19)</f>
        <v>0</v>
      </c>
      <c r="DU5" s="55" t="n">
        <f aca="false">SUMIF('Mi portafolio'!$A$8:$A$19,DU$4,'Mi portafolio'!$B$8:$B$19)</f>
        <v>0</v>
      </c>
      <c r="DV5" s="55" t="n">
        <f aca="false">SUMIF('Mi portafolio'!$A$8:$A$19,DV$4,'Mi portafolio'!$B$8:$B$19)</f>
        <v>0</v>
      </c>
      <c r="DW5" s="55" t="n">
        <f aca="false">SUMIF('Mi portafolio'!$A$8:$A$19,DW$4,'Mi portafolio'!$B$8:$B$19)</f>
        <v>0</v>
      </c>
      <c r="DX5" s="55" t="n">
        <f aca="false">SUMIF('Mi portafolio'!$A$8:$A$19,DX$4,'Mi portafolio'!$B$8:$B$19)</f>
        <v>0</v>
      </c>
      <c r="DY5" s="55" t="n">
        <f aca="false">SUMIF('Mi portafolio'!$A$8:$A$19,DY$4,'Mi portafolio'!$B$8:$B$19)</f>
        <v>0</v>
      </c>
      <c r="DZ5" s="55" t="n">
        <f aca="false">SUMIF('Mi portafolio'!$A$8:$A$19,DZ$4,'Mi portafolio'!$B$8:$B$19)</f>
        <v>0</v>
      </c>
      <c r="EA5" s="55" t="n">
        <f aca="false">SUMIF('Mi portafolio'!$A$8:$A$19,EA$4,'Mi portafolio'!$B$8:$B$19)</f>
        <v>0</v>
      </c>
      <c r="EB5" s="55" t="n">
        <f aca="false">SUMIF('Mi portafolio'!$A$8:$A$19,EB$4,'Mi portafolio'!$B$8:$B$19)</f>
        <v>0</v>
      </c>
      <c r="EC5" s="55" t="n">
        <f aca="false">SUMIF('Mi portafolio'!$A$8:$A$19,EC$4,'Mi portafolio'!$B$8:$B$19)</f>
        <v>0</v>
      </c>
      <c r="ED5" s="55" t="n">
        <f aca="false">SUMIF('Mi portafolio'!$A$8:$A$19,ED$4,'Mi portafolio'!$B$8:$B$19)</f>
        <v>0</v>
      </c>
      <c r="EE5" s="55" t="n">
        <f aca="false">SUMIF('Mi portafolio'!$A$8:$A$19,EE$4,'Mi portafolio'!$B$8:$B$19)</f>
        <v>0</v>
      </c>
      <c r="EF5" s="55" t="n">
        <f aca="false">SUMIF('Mi portafolio'!$A$8:$A$19,EF$4,'Mi portafolio'!$B$8:$B$19)</f>
        <v>0</v>
      </c>
      <c r="EG5" s="55" t="n">
        <f aca="false">SUMIF('Mi portafolio'!$A$8:$A$19,EG$4,'Mi portafolio'!$B$8:$B$19)</f>
        <v>0</v>
      </c>
      <c r="EH5" s="55" t="n">
        <f aca="false">SUMIF('Mi portafolio'!$A$8:$A$19,EH$4,'Mi portafolio'!$B$8:$B$19)</f>
        <v>0</v>
      </c>
      <c r="EI5" s="55" t="n">
        <f aca="false">SUMIF('Mi portafolio'!$A$8:$A$19,EI$4,'Mi portafolio'!$B$8:$B$19)</f>
        <v>0</v>
      </c>
      <c r="EJ5" s="55" t="n">
        <f aca="false">SUMIF('Mi portafolio'!$A$8:$A$19,EJ$4,'Mi portafolio'!$B$8:$B$19)</f>
        <v>0</v>
      </c>
      <c r="EK5" s="55" t="n">
        <f aca="false">SUMIF('Mi portafolio'!$A$8:$A$19,EK$4,'Mi portafolio'!$B$8:$B$19)</f>
        <v>0</v>
      </c>
      <c r="EL5" s="55" t="n">
        <f aca="false">SUMIF('Mi portafolio'!$A$8:$A$19,EL$4,'Mi portafolio'!$B$8:$B$19)</f>
        <v>0</v>
      </c>
      <c r="EM5" s="55" t="n">
        <f aca="false">SUMIF('Mi portafolio'!$A$8:$A$19,EM$4,'Mi portafolio'!$B$8:$B$19)</f>
        <v>0</v>
      </c>
      <c r="EN5" s="55" t="n">
        <f aca="false">SUMIF('Mi portafolio'!$A$8:$A$19,EN$4,'Mi portafolio'!$B$8:$B$19)</f>
        <v>0</v>
      </c>
      <c r="EO5" s="55" t="n">
        <f aca="false">SUMIF('Mi portafolio'!$A$8:$A$19,EO$4,'Mi portafolio'!$B$8:$B$19)</f>
        <v>0</v>
      </c>
    </row>
    <row r="6" customFormat="false" ht="15" hidden="false" customHeight="false" outlineLevel="0" collapsed="false">
      <c r="A6" s="54" t="s">
        <v>149</v>
      </c>
      <c r="B6" s="0" t="n">
        <v>0.02727092</v>
      </c>
      <c r="C6" s="0" t="n">
        <v>-0.00122523</v>
      </c>
      <c r="D6" s="0" t="n">
        <v>-0.00345012</v>
      </c>
      <c r="E6" s="0" t="n">
        <v>0.00208389</v>
      </c>
      <c r="F6" s="0" t="n">
        <v>0.01435937</v>
      </c>
      <c r="G6" s="0" t="n">
        <v>-0.00377712</v>
      </c>
      <c r="H6" s="0" t="n">
        <v>-0.00065853</v>
      </c>
      <c r="I6" s="0" t="n">
        <v>0.01596738</v>
      </c>
      <c r="J6" s="0" t="n">
        <v>0.0111789</v>
      </c>
      <c r="K6" s="0" t="n">
        <v>0.01510253</v>
      </c>
      <c r="L6" s="0" t="n">
        <v>0.00222703</v>
      </c>
      <c r="M6" s="0" t="n">
        <v>0.00904954</v>
      </c>
      <c r="N6" s="0" t="n">
        <v>0.01187081</v>
      </c>
      <c r="O6" s="0" t="n">
        <v>0.00520829</v>
      </c>
      <c r="P6" s="0" t="n">
        <v>0.01394559</v>
      </c>
      <c r="Q6" s="0" t="n">
        <v>0.00104226</v>
      </c>
      <c r="R6" s="0" t="n">
        <v>0.01346009</v>
      </c>
      <c r="S6" s="0" t="n">
        <v>-7.47E-005</v>
      </c>
      <c r="T6" s="0" t="n">
        <v>0.00931484</v>
      </c>
      <c r="U6" s="0" t="n">
        <v>0.00260089</v>
      </c>
      <c r="V6" s="0" t="n">
        <v>0.00104324</v>
      </c>
      <c r="W6" s="0" t="n">
        <v>0.00069693</v>
      </c>
      <c r="X6" s="0" t="n">
        <v>0.01272944</v>
      </c>
      <c r="Y6" s="0" t="n">
        <v>0.01775372</v>
      </c>
      <c r="Z6" s="0" t="n">
        <v>0.00161083</v>
      </c>
      <c r="AA6" s="0" t="n">
        <v>0.00213791</v>
      </c>
      <c r="AB6" s="0" t="n">
        <v>0.01952476</v>
      </c>
      <c r="AC6" s="0" t="n">
        <v>0.00140505</v>
      </c>
      <c r="AD6" s="0" t="n">
        <v>0.0025251</v>
      </c>
      <c r="AE6" s="0" t="n">
        <v>2.188E-005</v>
      </c>
      <c r="AF6" s="0" t="n">
        <v>-0.00606462</v>
      </c>
      <c r="AG6" s="0" t="n">
        <v>0.01133127</v>
      </c>
      <c r="AH6" s="0" t="n">
        <v>0.01336448</v>
      </c>
      <c r="AI6" s="0" t="n">
        <v>0.00743067</v>
      </c>
      <c r="AJ6" s="0" t="n">
        <v>0.0013282</v>
      </c>
      <c r="AK6" s="0" t="n">
        <v>-0.00121092</v>
      </c>
      <c r="AL6" s="0" t="n">
        <v>0.01229607</v>
      </c>
      <c r="AM6" s="0" t="n">
        <v>0.00161021</v>
      </c>
      <c r="AN6" s="0" t="n">
        <v>0.01604514</v>
      </c>
      <c r="AO6" s="0" t="n">
        <v>0.0116548</v>
      </c>
      <c r="AP6" s="0" t="n">
        <v>0.0105343</v>
      </c>
      <c r="AQ6" s="0" t="n">
        <v>0.00564818</v>
      </c>
      <c r="AR6" s="0" t="n">
        <v>0.01015298</v>
      </c>
      <c r="AS6" s="0" t="n">
        <v>-0.00605007</v>
      </c>
      <c r="AT6" s="0" t="n">
        <v>0.01320923</v>
      </c>
      <c r="AU6" s="0" t="n">
        <v>0.01388286</v>
      </c>
      <c r="AV6" s="0" t="n">
        <v>0.00332249</v>
      </c>
      <c r="AW6" s="0" t="n">
        <v>-0.00034858</v>
      </c>
      <c r="AX6" s="0" t="n">
        <v>0.0165345</v>
      </c>
      <c r="AY6" s="0" t="n">
        <v>0.01283902</v>
      </c>
      <c r="AZ6" s="0" t="n">
        <v>0.00131045</v>
      </c>
      <c r="BA6" s="0" t="n">
        <v>0.00930667</v>
      </c>
      <c r="BB6" s="0" t="n">
        <v>0.00772162</v>
      </c>
      <c r="BC6" s="0" t="n">
        <v>0.00514125</v>
      </c>
      <c r="BD6" s="0" t="n">
        <v>0.00029551</v>
      </c>
      <c r="BE6" s="0" t="n">
        <v>0.01498739</v>
      </c>
      <c r="BF6" s="0" t="n">
        <v>0.002049</v>
      </c>
      <c r="BG6" s="0" t="n">
        <v>0.01070841</v>
      </c>
      <c r="BH6" s="0" t="n">
        <v>0.00228696</v>
      </c>
      <c r="BI6" s="0" t="n">
        <v>0.00489387</v>
      </c>
      <c r="BJ6" s="0" t="n">
        <v>-0.00133134</v>
      </c>
      <c r="BK6" s="0" t="n">
        <v>0.00129733</v>
      </c>
      <c r="BL6" s="0" t="n">
        <v>0.00442165</v>
      </c>
      <c r="BM6" s="0" t="n">
        <v>0.00890447</v>
      </c>
      <c r="BN6" s="0" t="n">
        <v>0.015467</v>
      </c>
      <c r="BO6" s="0" t="n">
        <v>0.00770444</v>
      </c>
      <c r="BP6" s="0" t="n">
        <v>0.00672687</v>
      </c>
      <c r="BQ6" s="0" t="n">
        <v>-0.00263818</v>
      </c>
      <c r="BR6" s="0" t="n">
        <v>0.01200569</v>
      </c>
      <c r="BS6" s="0" t="n">
        <v>0.00113147</v>
      </c>
      <c r="BT6" s="0" t="n">
        <v>0.01042084</v>
      </c>
      <c r="BU6" s="0" t="n">
        <v>-0.00421387</v>
      </c>
      <c r="BV6" s="0" t="n">
        <v>0.0077107</v>
      </c>
      <c r="BW6" s="0" t="n">
        <v>0.00929915</v>
      </c>
      <c r="BX6" s="0" t="n">
        <v>0.01652023</v>
      </c>
      <c r="BY6" s="0" t="n">
        <v>0.00945363</v>
      </c>
      <c r="BZ6" s="0" t="n">
        <v>0.01251631</v>
      </c>
      <c r="CA6" s="0" t="n">
        <v>0.00216271</v>
      </c>
      <c r="CB6" s="0" t="n">
        <v>0.00278956</v>
      </c>
      <c r="CC6" s="0" t="n">
        <v>0.01329651</v>
      </c>
      <c r="CD6" s="0" t="n">
        <v>0.01065297</v>
      </c>
      <c r="CE6" s="0" t="n">
        <v>0.00415145</v>
      </c>
      <c r="CF6" s="0" t="n">
        <v>0.00466572</v>
      </c>
      <c r="CG6" s="0" t="n">
        <v>0.01482064</v>
      </c>
      <c r="CH6" s="0" t="n">
        <v>-0.00469597</v>
      </c>
      <c r="CI6" s="0" t="n">
        <v>0.00577993</v>
      </c>
      <c r="CJ6" s="0" t="n">
        <v>0.01629339</v>
      </c>
      <c r="CK6" s="0" t="n">
        <v>0.02021462</v>
      </c>
      <c r="CL6" s="0" t="n">
        <v>0.00676833</v>
      </c>
      <c r="CM6" s="0" t="n">
        <v>-0.00864228</v>
      </c>
      <c r="CN6" s="0" t="n">
        <v>-0.00195328</v>
      </c>
      <c r="CO6" s="0" t="n">
        <v>0.0008506</v>
      </c>
      <c r="CP6" s="0" t="n">
        <v>0.01115812</v>
      </c>
      <c r="CQ6" s="0" t="n">
        <v>0.0179563</v>
      </c>
      <c r="CR6" s="0" t="n">
        <v>-0.00372367</v>
      </c>
      <c r="CS6" s="0" t="n">
        <v>0.00020566</v>
      </c>
      <c r="CT6" s="0" t="n">
        <v>0.00669597</v>
      </c>
      <c r="CU6" s="0" t="n">
        <v>-0.00021047</v>
      </c>
      <c r="CV6" s="0" t="n">
        <v>0.00455955</v>
      </c>
      <c r="CW6" s="0" t="n">
        <v>0.00744613</v>
      </c>
      <c r="CX6" s="0" t="n">
        <v>0.00469308</v>
      </c>
      <c r="CY6" s="0" t="n">
        <v>0.01588571</v>
      </c>
      <c r="CZ6" s="0" t="n">
        <v>0.00759817</v>
      </c>
      <c r="DA6" s="0" t="n">
        <v>0.00864992</v>
      </c>
      <c r="DB6" s="0" t="n">
        <v>-7.552E-005</v>
      </c>
      <c r="DC6" s="0" t="n">
        <v>-0.0014991</v>
      </c>
      <c r="DD6" s="0" t="n">
        <v>0.0110526</v>
      </c>
      <c r="DE6" s="0" t="n">
        <v>-0.00701858</v>
      </c>
      <c r="DF6" s="0" t="n">
        <v>0.01346945</v>
      </c>
      <c r="DG6" s="0" t="n">
        <v>0.00069811</v>
      </c>
      <c r="DH6" s="0" t="n">
        <v>-0.00376747</v>
      </c>
      <c r="DI6" s="0" t="n">
        <v>0.02166132</v>
      </c>
      <c r="DJ6" s="0" t="n">
        <v>0.01805063</v>
      </c>
      <c r="DK6" s="0" t="n">
        <v>0.0190478</v>
      </c>
      <c r="DL6" s="0" t="n">
        <v>-0.01004149</v>
      </c>
      <c r="DM6" s="0" t="n">
        <v>0.02245357</v>
      </c>
      <c r="DN6" s="0" t="n">
        <v>0.01629239</v>
      </c>
      <c r="DO6" s="0" t="n">
        <v>0.00568335</v>
      </c>
      <c r="DP6" s="0" t="n">
        <v>0.02336596</v>
      </c>
      <c r="DQ6" s="0" t="n">
        <v>0.00071706</v>
      </c>
      <c r="DR6" s="0" t="n">
        <v>-0.00545215</v>
      </c>
      <c r="DS6" s="0" t="n">
        <v>0.00977369</v>
      </c>
      <c r="DT6" s="0" t="n">
        <v>-0.01180086</v>
      </c>
      <c r="DU6" s="0" t="n">
        <v>-0.00094387</v>
      </c>
      <c r="DV6" s="0" t="n">
        <v>-0.00172778</v>
      </c>
      <c r="DW6" s="0" t="n">
        <v>0.01018744</v>
      </c>
      <c r="DX6" s="0" t="n">
        <v>-0.01485884</v>
      </c>
      <c r="DY6" s="0" t="n">
        <v>0.01469509</v>
      </c>
      <c r="DZ6" s="0" t="n">
        <v>0.00209805</v>
      </c>
      <c r="EA6" s="0" t="n">
        <v>0.00019128</v>
      </c>
      <c r="EB6" s="0" t="n">
        <v>0.00553558</v>
      </c>
      <c r="EC6" s="0" t="n">
        <v>-0.01282979</v>
      </c>
      <c r="ED6" s="0" t="n">
        <v>0.00603948</v>
      </c>
      <c r="EE6" s="0" t="n">
        <v>-0.01042106</v>
      </c>
      <c r="EF6" s="0" t="n">
        <v>0.00635184</v>
      </c>
      <c r="EG6" s="0" t="n">
        <v>-0.00826232</v>
      </c>
      <c r="EH6" s="0" t="n">
        <v>0.00854188</v>
      </c>
      <c r="EI6" s="0" t="n">
        <v>-0.02635167</v>
      </c>
      <c r="EJ6" s="0" t="n">
        <v>0.00840899</v>
      </c>
      <c r="EK6" s="0" t="n">
        <v>-0.0042044</v>
      </c>
      <c r="EL6" s="0" t="n">
        <v>-0.01566089</v>
      </c>
      <c r="EM6" s="0" t="n">
        <v>-0.01379308</v>
      </c>
      <c r="EN6" s="0" t="n">
        <v>0.00375763</v>
      </c>
      <c r="EO6" s="0" t="n">
        <v>-0.00095233</v>
      </c>
      <c r="EP6" s="55" t="n">
        <f aca="false">SUMPRODUCT(B6:EO6,$B$5:$EO$5)</f>
        <v>-0.00069454</v>
      </c>
      <c r="EQ6" s="55" t="n">
        <f aca="false">SUMIF('Mi portafolio'!$A$8:$A$19,$A6,'Mi portafolio'!$B$8:$B$19)</f>
        <v>0</v>
      </c>
    </row>
    <row r="7" customFormat="false" ht="15" hidden="false" customHeight="false" outlineLevel="0" collapsed="false">
      <c r="A7" s="54" t="s">
        <v>153</v>
      </c>
      <c r="B7" s="0" t="n">
        <v>-0.00122523</v>
      </c>
      <c r="C7" s="0" t="n">
        <v>0.03032129</v>
      </c>
      <c r="D7" s="0" t="n">
        <v>0.0028041</v>
      </c>
      <c r="E7" s="0" t="n">
        <v>0.00319255</v>
      </c>
      <c r="F7" s="0" t="n">
        <v>0.00040299</v>
      </c>
      <c r="G7" s="0" t="n">
        <v>0.00083876</v>
      </c>
      <c r="H7" s="0" t="n">
        <v>0.0051104</v>
      </c>
      <c r="I7" s="0" t="n">
        <v>0.00273161</v>
      </c>
      <c r="J7" s="0" t="n">
        <v>0.00151001</v>
      </c>
      <c r="K7" s="0" t="n">
        <v>-0.00293126</v>
      </c>
      <c r="L7" s="0" t="n">
        <v>0.0111274</v>
      </c>
      <c r="M7" s="0" t="n">
        <v>0.00254736</v>
      </c>
      <c r="N7" s="0" t="n">
        <v>-0.00029034</v>
      </c>
      <c r="O7" s="0" t="n">
        <v>0.00696736</v>
      </c>
      <c r="P7" s="0" t="n">
        <v>0.00258493</v>
      </c>
      <c r="Q7" s="0" t="n">
        <v>-5.552E-005</v>
      </c>
      <c r="R7" s="0" t="n">
        <v>0.00099835</v>
      </c>
      <c r="S7" s="0" t="n">
        <v>0.0025064</v>
      </c>
      <c r="T7" s="0" t="n">
        <v>-0.00033098</v>
      </c>
      <c r="U7" s="0" t="n">
        <v>0.00495596</v>
      </c>
      <c r="V7" s="0" t="n">
        <v>0.0062495</v>
      </c>
      <c r="W7" s="0" t="n">
        <v>0.0055248</v>
      </c>
      <c r="X7" s="0" t="n">
        <v>0.0013091</v>
      </c>
      <c r="Y7" s="0" t="n">
        <v>0.00422577</v>
      </c>
      <c r="Z7" s="0" t="n">
        <v>0.00861616</v>
      </c>
      <c r="AA7" s="0" t="n">
        <v>0.00365925</v>
      </c>
      <c r="AB7" s="0" t="n">
        <v>0.00138272</v>
      </c>
      <c r="AC7" s="0" t="n">
        <v>0.00186414</v>
      </c>
      <c r="AD7" s="0" t="n">
        <v>0.00840785</v>
      </c>
      <c r="AE7" s="0" t="n">
        <v>0.00869148</v>
      </c>
      <c r="AF7" s="0" t="n">
        <v>0.01049109</v>
      </c>
      <c r="AG7" s="0" t="n">
        <v>-0.00079844</v>
      </c>
      <c r="AH7" s="0" t="n">
        <v>-0.00011662</v>
      </c>
      <c r="AI7" s="0" t="n">
        <v>-0.00085768</v>
      </c>
      <c r="AJ7" s="0" t="n">
        <v>0.00479885</v>
      </c>
      <c r="AK7" s="0" t="n">
        <v>0.01016849</v>
      </c>
      <c r="AL7" s="0" t="n">
        <v>-0.00049695</v>
      </c>
      <c r="AM7" s="0" t="n">
        <v>0.00397934</v>
      </c>
      <c r="AN7" s="0" t="n">
        <v>0.00063756</v>
      </c>
      <c r="AO7" s="0" t="n">
        <v>0.00137315</v>
      </c>
      <c r="AP7" s="0" t="n">
        <v>-0.00289754</v>
      </c>
      <c r="AQ7" s="0" t="n">
        <v>0.00054645</v>
      </c>
      <c r="AR7" s="0" t="n">
        <v>-0.00018836</v>
      </c>
      <c r="AS7" s="0" t="n">
        <v>0.00603443</v>
      </c>
      <c r="AT7" s="0" t="n">
        <v>-0.00017084</v>
      </c>
      <c r="AU7" s="0" t="n">
        <v>0.00235576</v>
      </c>
      <c r="AV7" s="0" t="n">
        <v>0.01377895</v>
      </c>
      <c r="AW7" s="0" t="n">
        <v>0.00953833</v>
      </c>
      <c r="AX7" s="0" t="n">
        <v>-0.00038886</v>
      </c>
      <c r="AY7" s="0" t="n">
        <v>0.00597089</v>
      </c>
      <c r="AZ7" s="0" t="n">
        <v>0.00428279</v>
      </c>
      <c r="BA7" s="0" t="n">
        <v>0.00311471</v>
      </c>
      <c r="BB7" s="0" t="n">
        <v>-0.00387509</v>
      </c>
      <c r="BC7" s="0" t="n">
        <v>0.0013779</v>
      </c>
      <c r="BD7" s="0" t="n">
        <v>0.0088567</v>
      </c>
      <c r="BE7" s="0" t="n">
        <v>0.00377277</v>
      </c>
      <c r="BF7" s="0" t="n">
        <v>-0.00020252</v>
      </c>
      <c r="BG7" s="0" t="n">
        <v>0.00048506</v>
      </c>
      <c r="BH7" s="0" t="n">
        <v>0.0029318</v>
      </c>
      <c r="BI7" s="0" t="n">
        <v>-0.000783</v>
      </c>
      <c r="BJ7" s="0" t="n">
        <v>0.0014544</v>
      </c>
      <c r="BK7" s="0" t="n">
        <v>0.00318421</v>
      </c>
      <c r="BL7" s="0" t="n">
        <v>-0.00037767</v>
      </c>
      <c r="BM7" s="0" t="n">
        <v>0.00173707</v>
      </c>
      <c r="BN7" s="0" t="n">
        <v>0.00151278</v>
      </c>
      <c r="BO7" s="0" t="n">
        <v>-0.00127893</v>
      </c>
      <c r="BP7" s="0" t="n">
        <v>-0.00411902</v>
      </c>
      <c r="BQ7" s="0" t="n">
        <v>0.0111429</v>
      </c>
      <c r="BR7" s="0" t="n">
        <v>-0.00431267</v>
      </c>
      <c r="BS7" s="0" t="n">
        <v>-0.00175069</v>
      </c>
      <c r="BT7" s="0" t="n">
        <v>0.00217495</v>
      </c>
      <c r="BU7" s="0" t="n">
        <v>0.00375029</v>
      </c>
      <c r="BV7" s="0" t="n">
        <v>-0.00137376</v>
      </c>
      <c r="BW7" s="0" t="n">
        <v>-0.00238158</v>
      </c>
      <c r="BX7" s="0" t="n">
        <v>-0.00411719</v>
      </c>
      <c r="BY7" s="0" t="n">
        <v>-0.00184464</v>
      </c>
      <c r="BZ7" s="0" t="n">
        <v>0.00715094</v>
      </c>
      <c r="CA7" s="0" t="n">
        <v>0.00978303</v>
      </c>
      <c r="CB7" s="0" t="n">
        <v>0.00624498</v>
      </c>
      <c r="CC7" s="0" t="n">
        <v>-0.00151424</v>
      </c>
      <c r="CD7" s="0" t="n">
        <v>-0.00278</v>
      </c>
      <c r="CE7" s="0" t="n">
        <v>-0.00217653</v>
      </c>
      <c r="CF7" s="0" t="n">
        <v>-0.0027256</v>
      </c>
      <c r="CG7" s="0" t="n">
        <v>-0.00169831</v>
      </c>
      <c r="CH7" s="0" t="n">
        <v>0.00817224</v>
      </c>
      <c r="CI7" s="0" t="n">
        <v>-0.00359012</v>
      </c>
      <c r="CJ7" s="0" t="n">
        <v>-0.00090146</v>
      </c>
      <c r="CK7" s="0" t="n">
        <v>-0.00481241</v>
      </c>
      <c r="CL7" s="0" t="n">
        <v>0.00032232</v>
      </c>
      <c r="CM7" s="0" t="n">
        <v>-0.00497712</v>
      </c>
      <c r="CN7" s="0" t="n">
        <v>0.0108791</v>
      </c>
      <c r="CO7" s="0" t="n">
        <v>0.00488416</v>
      </c>
      <c r="CP7" s="0" t="n">
        <v>0.0012104</v>
      </c>
      <c r="CQ7" s="0" t="n">
        <v>-0.00179559</v>
      </c>
      <c r="CR7" s="0" t="n">
        <v>-0.00416143</v>
      </c>
      <c r="CS7" s="0" t="n">
        <v>0.00344661</v>
      </c>
      <c r="CT7" s="0" t="n">
        <v>0.00209848</v>
      </c>
      <c r="CU7" s="0" t="n">
        <v>0.00021929</v>
      </c>
      <c r="CV7" s="0" t="n">
        <v>-0.00477694</v>
      </c>
      <c r="CW7" s="0" t="n">
        <v>0.00157196</v>
      </c>
      <c r="CX7" s="0" t="n">
        <v>0.00105104</v>
      </c>
      <c r="CY7" s="0" t="n">
        <v>-0.00052126</v>
      </c>
      <c r="CZ7" s="0" t="n">
        <v>-0.01084357</v>
      </c>
      <c r="DA7" s="0" t="n">
        <v>-0.00115133</v>
      </c>
      <c r="DB7" s="0" t="n">
        <v>0.0037139</v>
      </c>
      <c r="DC7" s="0" t="n">
        <v>0.00345748</v>
      </c>
      <c r="DD7" s="0" t="n">
        <v>-0.00357027</v>
      </c>
      <c r="DE7" s="0" t="n">
        <v>0.00579657</v>
      </c>
      <c r="DF7" s="0" t="n">
        <v>-0.00723146</v>
      </c>
      <c r="DG7" s="0" t="n">
        <v>0.00539804</v>
      </c>
      <c r="DH7" s="0" t="n">
        <v>0.0046066</v>
      </c>
      <c r="DI7" s="0" t="n">
        <v>-0.00293393</v>
      </c>
      <c r="DJ7" s="0" t="n">
        <v>-0.00517432</v>
      </c>
      <c r="DK7" s="0" t="n">
        <v>-0.0001148</v>
      </c>
      <c r="DL7" s="0" t="n">
        <v>0.01540398</v>
      </c>
      <c r="DM7" s="0" t="n">
        <v>-0.00118511</v>
      </c>
      <c r="DN7" s="0" t="n">
        <v>0.00845742</v>
      </c>
      <c r="DO7" s="0" t="n">
        <v>0.01505694</v>
      </c>
      <c r="DP7" s="0" t="n">
        <v>-0.00192691</v>
      </c>
      <c r="DQ7" s="0" t="n">
        <v>0.00209114</v>
      </c>
      <c r="DR7" s="0" t="n">
        <v>0.00580278</v>
      </c>
      <c r="DS7" s="0" t="n">
        <v>-0.00703607</v>
      </c>
      <c r="DT7" s="0" t="n">
        <v>-0.00319304</v>
      </c>
      <c r="DU7" s="0" t="n">
        <v>-0.0061412</v>
      </c>
      <c r="DV7" s="0" t="n">
        <v>-0.00594828</v>
      </c>
      <c r="DW7" s="0" t="n">
        <v>-0.01236489</v>
      </c>
      <c r="DX7" s="0" t="n">
        <v>0.0031151</v>
      </c>
      <c r="DY7" s="0" t="n">
        <v>0.00099009</v>
      </c>
      <c r="DZ7" s="0" t="n">
        <v>-0.01166729</v>
      </c>
      <c r="EA7" s="0" t="n">
        <v>0.00248178</v>
      </c>
      <c r="EB7" s="0" t="n">
        <v>-0.00901807</v>
      </c>
      <c r="EC7" s="0" t="n">
        <v>0.0040421</v>
      </c>
      <c r="ED7" s="0" t="n">
        <v>0.01577662</v>
      </c>
      <c r="EE7" s="0" t="n">
        <v>0.0037962</v>
      </c>
      <c r="EF7" s="0" t="n">
        <v>0.01376206</v>
      </c>
      <c r="EG7" s="0" t="n">
        <v>0.00987041</v>
      </c>
      <c r="EH7" s="0" t="n">
        <v>-0.00029547</v>
      </c>
      <c r="EI7" s="0" t="n">
        <v>0.00271397</v>
      </c>
      <c r="EJ7" s="0" t="n">
        <v>-0.00303432</v>
      </c>
      <c r="EK7" s="0" t="n">
        <v>0.00594633</v>
      </c>
      <c r="EL7" s="0" t="n">
        <v>0.00245528</v>
      </c>
      <c r="EM7" s="0" t="n">
        <v>-0.0110707</v>
      </c>
      <c r="EN7" s="0" t="n">
        <v>-0.00315498</v>
      </c>
      <c r="EO7" s="0" t="n">
        <v>0.01246263</v>
      </c>
      <c r="EP7" s="55" t="n">
        <f aca="false">SUMPRODUCT(B7:EO7,$B$5:$EO$5)</f>
        <v>0.005271342</v>
      </c>
      <c r="EQ7" s="55" t="n">
        <f aca="false">SUMIF('Mi portafolio'!$A$8:$A$19,$A7,'Mi portafolio'!$B$8:$B$19)</f>
        <v>0</v>
      </c>
    </row>
    <row r="8" customFormat="false" ht="15" hidden="false" customHeight="false" outlineLevel="0" collapsed="false">
      <c r="A8" s="54" t="s">
        <v>155</v>
      </c>
      <c r="B8" s="0" t="n">
        <v>-0.00345012</v>
      </c>
      <c r="C8" s="0" t="n">
        <v>0.0028041</v>
      </c>
      <c r="D8" s="0" t="n">
        <v>0.03818172</v>
      </c>
      <c r="E8" s="0" t="n">
        <v>0.00486979</v>
      </c>
      <c r="F8" s="0" t="n">
        <v>-0.00344298</v>
      </c>
      <c r="G8" s="0" t="n">
        <v>0.00483089</v>
      </c>
      <c r="H8" s="0" t="n">
        <v>0.00590904</v>
      </c>
      <c r="I8" s="0" t="n">
        <v>-0.0008363</v>
      </c>
      <c r="J8" s="0" t="n">
        <v>-0.00138601</v>
      </c>
      <c r="K8" s="0" t="n">
        <v>-0.00225645</v>
      </c>
      <c r="L8" s="0" t="n">
        <v>0.00424757</v>
      </c>
      <c r="M8" s="0" t="n">
        <v>-0.00300205</v>
      </c>
      <c r="N8" s="0" t="n">
        <v>0.00791372</v>
      </c>
      <c r="O8" s="0" t="n">
        <v>0.00150504</v>
      </c>
      <c r="P8" s="0" t="n">
        <v>1.642E-005</v>
      </c>
      <c r="Q8" s="0" t="n">
        <v>0.0008388</v>
      </c>
      <c r="R8" s="0" t="n">
        <v>-0.00710034</v>
      </c>
      <c r="S8" s="0" t="n">
        <v>0.00469729</v>
      </c>
      <c r="T8" s="0" t="n">
        <v>0.00260544</v>
      </c>
      <c r="U8" s="0" t="n">
        <v>0.00539696</v>
      </c>
      <c r="V8" s="0" t="n">
        <v>0.00163058</v>
      </c>
      <c r="W8" s="0" t="n">
        <v>-0.00170753</v>
      </c>
      <c r="X8" s="0" t="n">
        <v>0.00076785</v>
      </c>
      <c r="Y8" s="0" t="n">
        <v>2.188E-005</v>
      </c>
      <c r="Z8" s="0" t="n">
        <v>0.00432243</v>
      </c>
      <c r="AA8" s="0" t="n">
        <v>0.00412536</v>
      </c>
      <c r="AB8" s="0" t="n">
        <v>0.00149827</v>
      </c>
      <c r="AC8" s="0" t="n">
        <v>0.00372571</v>
      </c>
      <c r="AD8" s="0" t="n">
        <v>0.00086387</v>
      </c>
      <c r="AE8" s="0" t="n">
        <v>0.00900713</v>
      </c>
      <c r="AF8" s="0" t="n">
        <v>0.00863475</v>
      </c>
      <c r="AG8" s="0" t="n">
        <v>-0.00095644</v>
      </c>
      <c r="AH8" s="0" t="n">
        <v>-0.00155692</v>
      </c>
      <c r="AI8" s="0" t="n">
        <v>-0.00549058</v>
      </c>
      <c r="AJ8" s="0" t="n">
        <v>0.01052179</v>
      </c>
      <c r="AK8" s="0" t="n">
        <v>0.00130726</v>
      </c>
      <c r="AL8" s="0" t="n">
        <v>0.00236023</v>
      </c>
      <c r="AM8" s="0" t="n">
        <v>0.0046754</v>
      </c>
      <c r="AN8" s="0" t="n">
        <v>-0.00256398</v>
      </c>
      <c r="AO8" s="0" t="n">
        <v>0.00113424</v>
      </c>
      <c r="AP8" s="0" t="n">
        <v>0.00154307</v>
      </c>
      <c r="AQ8" s="0" t="n">
        <v>-0.00536562</v>
      </c>
      <c r="AR8" s="0" t="n">
        <v>0.00341161</v>
      </c>
      <c r="AS8" s="0" t="n">
        <v>0.00682551</v>
      </c>
      <c r="AT8" s="0" t="n">
        <v>0.00059434</v>
      </c>
      <c r="AU8" s="0" t="n">
        <v>-0.0019981</v>
      </c>
      <c r="AV8" s="0" t="n">
        <v>0.00523993</v>
      </c>
      <c r="AW8" s="0" t="n">
        <v>0.00238212</v>
      </c>
      <c r="AX8" s="0" t="n">
        <v>0.0055289</v>
      </c>
      <c r="AY8" s="0" t="n">
        <v>-0.00149166</v>
      </c>
      <c r="AZ8" s="0" t="n">
        <v>0.01181537</v>
      </c>
      <c r="BA8" s="0" t="n">
        <v>-0.00155177</v>
      </c>
      <c r="BB8" s="0" t="n">
        <v>0.00285483</v>
      </c>
      <c r="BC8" s="0" t="n">
        <v>0.00351633</v>
      </c>
      <c r="BD8" s="0" t="n">
        <v>0.00951312</v>
      </c>
      <c r="BE8" s="0" t="n">
        <v>-0.00097629</v>
      </c>
      <c r="BF8" s="0" t="n">
        <v>0.00801804</v>
      </c>
      <c r="BG8" s="0" t="n">
        <v>0.00260399</v>
      </c>
      <c r="BH8" s="0" t="n">
        <v>0.00654886</v>
      </c>
      <c r="BI8" s="0" t="n">
        <v>0.00687869</v>
      </c>
      <c r="BJ8" s="0" t="n">
        <v>0.00413724</v>
      </c>
      <c r="BK8" s="0" t="n">
        <v>0.0136883</v>
      </c>
      <c r="BL8" s="0" t="n">
        <v>-0.00330593</v>
      </c>
      <c r="BM8" s="0" t="n">
        <v>0.00320417</v>
      </c>
      <c r="BN8" s="0" t="n">
        <v>-0.00754291</v>
      </c>
      <c r="BO8" s="0" t="n">
        <v>0.0054213</v>
      </c>
      <c r="BP8" s="0" t="n">
        <v>0.00536654</v>
      </c>
      <c r="BQ8" s="0" t="n">
        <v>0.00652126</v>
      </c>
      <c r="BR8" s="0" t="n">
        <v>0.0023243</v>
      </c>
      <c r="BS8" s="0" t="n">
        <v>-0.00416384</v>
      </c>
      <c r="BT8" s="0" t="n">
        <v>0.00342756</v>
      </c>
      <c r="BU8" s="0" t="n">
        <v>0.00679149</v>
      </c>
      <c r="BV8" s="0" t="n">
        <v>0.00265936</v>
      </c>
      <c r="BW8" s="0" t="n">
        <v>0.00217028</v>
      </c>
      <c r="BX8" s="0" t="n">
        <v>0.00615904</v>
      </c>
      <c r="BY8" s="0" t="n">
        <v>-0.00333839</v>
      </c>
      <c r="BZ8" s="0" t="n">
        <v>-0.00058199</v>
      </c>
      <c r="CA8" s="0" t="n">
        <v>0.01037798</v>
      </c>
      <c r="CB8" s="0" t="n">
        <v>-0.00427998</v>
      </c>
      <c r="CC8" s="0" t="n">
        <v>-0.00052022</v>
      </c>
      <c r="CD8" s="0" t="n">
        <v>0.00324413</v>
      </c>
      <c r="CE8" s="0" t="n">
        <v>0.00350955</v>
      </c>
      <c r="CF8" s="0" t="n">
        <v>-0.00286491</v>
      </c>
      <c r="CG8" s="0" t="n">
        <v>0.00787098</v>
      </c>
      <c r="CH8" s="0" t="n">
        <v>0.00303513</v>
      </c>
      <c r="CI8" s="0" t="n">
        <v>-0.00514366</v>
      </c>
      <c r="CJ8" s="0" t="n">
        <v>0.00357402</v>
      </c>
      <c r="CK8" s="0" t="n">
        <v>0.00080288</v>
      </c>
      <c r="CL8" s="0" t="n">
        <v>-3.159E-005</v>
      </c>
      <c r="CM8" s="0" t="n">
        <v>0.00417129</v>
      </c>
      <c r="CN8" s="0" t="n">
        <v>0.01300302</v>
      </c>
      <c r="CO8" s="0" t="n">
        <v>-2.057E-005</v>
      </c>
      <c r="CP8" s="0" t="n">
        <v>0.00397387</v>
      </c>
      <c r="CQ8" s="0" t="n">
        <v>0.00356368</v>
      </c>
      <c r="CR8" s="0" t="n">
        <v>-0.00038902</v>
      </c>
      <c r="CS8" s="0" t="n">
        <v>0.00223139</v>
      </c>
      <c r="CT8" s="0" t="n">
        <v>0.00597897</v>
      </c>
      <c r="CU8" s="0" t="n">
        <v>0.00629838</v>
      </c>
      <c r="CV8" s="0" t="n">
        <v>0.0015</v>
      </c>
      <c r="CW8" s="0" t="n">
        <v>-0.00078702</v>
      </c>
      <c r="CX8" s="0" t="n">
        <v>-0.00033434</v>
      </c>
      <c r="CY8" s="0" t="n">
        <v>0.00184252</v>
      </c>
      <c r="CZ8" s="0" t="n">
        <v>0.01064417</v>
      </c>
      <c r="DA8" s="0" t="n">
        <v>0.01554343</v>
      </c>
      <c r="DB8" s="0" t="n">
        <v>0.00872036</v>
      </c>
      <c r="DC8" s="0" t="n">
        <v>0.01657596</v>
      </c>
      <c r="DD8" s="0" t="n">
        <v>0.01759043</v>
      </c>
      <c r="DE8" s="0" t="n">
        <v>0.0044292</v>
      </c>
      <c r="DF8" s="0" t="n">
        <v>0.00763947</v>
      </c>
      <c r="DG8" s="0" t="n">
        <v>0.00804325</v>
      </c>
      <c r="DH8" s="0" t="n">
        <v>0.00444537</v>
      </c>
      <c r="DI8" s="0" t="n">
        <v>0.00271137</v>
      </c>
      <c r="DJ8" s="0" t="n">
        <v>0.00019447</v>
      </c>
      <c r="DK8" s="0" t="n">
        <v>0.00207271</v>
      </c>
      <c r="DL8" s="0" t="n">
        <v>0.01968375</v>
      </c>
      <c r="DM8" s="0" t="n">
        <v>0.00214395</v>
      </c>
      <c r="DN8" s="0" t="n">
        <v>-0.00624314</v>
      </c>
      <c r="DO8" s="0" t="n">
        <v>0.00800728</v>
      </c>
      <c r="DP8" s="0" t="n">
        <v>0.00189505</v>
      </c>
      <c r="DQ8" s="0" t="n">
        <v>-0.00067901</v>
      </c>
      <c r="DR8" s="0" t="n">
        <v>-0.00181712</v>
      </c>
      <c r="DS8" s="0" t="n">
        <v>0.00386071</v>
      </c>
      <c r="DT8" s="0" t="n">
        <v>0.00457224</v>
      </c>
      <c r="DU8" s="0" t="n">
        <v>0.01255917</v>
      </c>
      <c r="DV8" s="0" t="n">
        <v>0.00685318</v>
      </c>
      <c r="DW8" s="0" t="n">
        <v>0.00894236</v>
      </c>
      <c r="DX8" s="0" t="n">
        <v>0.007655</v>
      </c>
      <c r="DY8" s="0" t="n">
        <v>0.00415934</v>
      </c>
      <c r="DZ8" s="0" t="n">
        <v>0.0159911</v>
      </c>
      <c r="EA8" s="0" t="n">
        <v>0.00606714</v>
      </c>
      <c r="EB8" s="0" t="n">
        <v>0.00690536</v>
      </c>
      <c r="EC8" s="0" t="n">
        <v>-0.00026084</v>
      </c>
      <c r="ED8" s="0" t="n">
        <v>0.01353387</v>
      </c>
      <c r="EE8" s="0" t="n">
        <v>0.00558363</v>
      </c>
      <c r="EF8" s="0" t="n">
        <v>0.0121654</v>
      </c>
      <c r="EG8" s="0" t="n">
        <v>-0.00164508</v>
      </c>
      <c r="EH8" s="0" t="n">
        <v>0.0107868</v>
      </c>
      <c r="EI8" s="0" t="n">
        <v>0.00929717</v>
      </c>
      <c r="EJ8" s="0" t="n">
        <v>0.00944369</v>
      </c>
      <c r="EK8" s="0" t="n">
        <v>0.00667017</v>
      </c>
      <c r="EL8" s="0" t="n">
        <v>0.01516864</v>
      </c>
      <c r="EM8" s="0" t="n">
        <v>0.0047183</v>
      </c>
      <c r="EN8" s="0" t="n">
        <v>0.00249078</v>
      </c>
      <c r="EO8" s="0" t="n">
        <v>-0.02773732</v>
      </c>
      <c r="EP8" s="55" t="n">
        <f aca="false">SUMPRODUCT(B8:EO8,$B$5:$EO$5)</f>
        <v>0.005628684</v>
      </c>
      <c r="EQ8" s="55" t="n">
        <f aca="false">SUMIF('Mi portafolio'!$A$8:$A$19,$A8,'Mi portafolio'!$B$8:$B$19)</f>
        <v>0</v>
      </c>
    </row>
    <row r="9" customFormat="false" ht="15" hidden="false" customHeight="false" outlineLevel="0" collapsed="false">
      <c r="A9" s="54" t="s">
        <v>156</v>
      </c>
      <c r="B9" s="0" t="n">
        <v>0.00208389</v>
      </c>
      <c r="C9" s="0" t="n">
        <v>0.00319255</v>
      </c>
      <c r="D9" s="0" t="n">
        <v>0.00486979</v>
      </c>
      <c r="E9" s="0" t="n">
        <v>0.03954808</v>
      </c>
      <c r="F9" s="0" t="n">
        <v>0.00525363</v>
      </c>
      <c r="G9" s="0" t="n">
        <v>0.00199572</v>
      </c>
      <c r="H9" s="0" t="n">
        <v>0.0091222</v>
      </c>
      <c r="I9" s="0" t="n">
        <v>0.00643985</v>
      </c>
      <c r="J9" s="0" t="n">
        <v>0.00220829</v>
      </c>
      <c r="K9" s="0" t="n">
        <v>0.00329236</v>
      </c>
      <c r="L9" s="0" t="n">
        <v>0.01255593</v>
      </c>
      <c r="M9" s="0" t="n">
        <v>0.00831472</v>
      </c>
      <c r="N9" s="0" t="n">
        <v>0.00785472</v>
      </c>
      <c r="O9" s="0" t="n">
        <v>0.01565921</v>
      </c>
      <c r="P9" s="0" t="n">
        <v>0.00675916</v>
      </c>
      <c r="Q9" s="0" t="n">
        <v>0.003285</v>
      </c>
      <c r="R9" s="0" t="n">
        <v>0.00382824</v>
      </c>
      <c r="S9" s="0" t="n">
        <v>0.01088201</v>
      </c>
      <c r="T9" s="0" t="n">
        <v>0.0057931</v>
      </c>
      <c r="U9" s="0" t="n">
        <v>0.01420965</v>
      </c>
      <c r="V9" s="0" t="n">
        <v>0.01434758</v>
      </c>
      <c r="W9" s="0" t="n">
        <v>0.01247923</v>
      </c>
      <c r="X9" s="0" t="n">
        <v>0.00655885</v>
      </c>
      <c r="Y9" s="0" t="n">
        <v>0.00187749</v>
      </c>
      <c r="Z9" s="0" t="n">
        <v>0.00859558</v>
      </c>
      <c r="AA9" s="0" t="n">
        <v>0.00969927</v>
      </c>
      <c r="AB9" s="0" t="n">
        <v>0.00257294</v>
      </c>
      <c r="AC9" s="0" t="n">
        <v>0.01484684</v>
      </c>
      <c r="AD9" s="0" t="n">
        <v>0.0117208</v>
      </c>
      <c r="AE9" s="0" t="n">
        <v>0.00932528</v>
      </c>
      <c r="AF9" s="0" t="n">
        <v>0.01705141</v>
      </c>
      <c r="AG9" s="0" t="n">
        <v>0.00394391</v>
      </c>
      <c r="AH9" s="0" t="n">
        <v>0.00430752</v>
      </c>
      <c r="AI9" s="0" t="n">
        <v>0.00332339</v>
      </c>
      <c r="AJ9" s="0" t="n">
        <v>0.00511019</v>
      </c>
      <c r="AK9" s="0" t="n">
        <v>0.0157621</v>
      </c>
      <c r="AL9" s="0" t="n">
        <v>0.00733595</v>
      </c>
      <c r="AM9" s="0" t="n">
        <v>0.00856475</v>
      </c>
      <c r="AN9" s="0" t="n">
        <v>0.00657424</v>
      </c>
      <c r="AO9" s="0" t="n">
        <v>0.00530805</v>
      </c>
      <c r="AP9" s="0" t="n">
        <v>0.00730996</v>
      </c>
      <c r="AQ9" s="0" t="n">
        <v>0.00580882</v>
      </c>
      <c r="AR9" s="0" t="n">
        <v>0.00403897</v>
      </c>
      <c r="AS9" s="0" t="n">
        <v>0.01044574</v>
      </c>
      <c r="AT9" s="0" t="n">
        <v>0.00662622</v>
      </c>
      <c r="AU9" s="0" t="n">
        <v>0.00464582</v>
      </c>
      <c r="AV9" s="0" t="n">
        <v>0.02495021</v>
      </c>
      <c r="AW9" s="0" t="n">
        <v>0.0093577</v>
      </c>
      <c r="AX9" s="0" t="n">
        <v>0.0073234</v>
      </c>
      <c r="AY9" s="0" t="n">
        <v>0.00564242</v>
      </c>
      <c r="AZ9" s="0" t="n">
        <v>0.01368433</v>
      </c>
      <c r="BA9" s="0" t="n">
        <v>0.01035729</v>
      </c>
      <c r="BB9" s="0" t="n">
        <v>0.00706098</v>
      </c>
      <c r="BC9" s="0" t="n">
        <v>0.01322894</v>
      </c>
      <c r="BD9" s="0" t="n">
        <v>0.01343117</v>
      </c>
      <c r="BE9" s="0" t="n">
        <v>0.00504326</v>
      </c>
      <c r="BF9" s="0" t="n">
        <v>0.01970007</v>
      </c>
      <c r="BG9" s="0" t="n">
        <v>-0.00061454</v>
      </c>
      <c r="BH9" s="0" t="n">
        <v>0.01328334</v>
      </c>
      <c r="BI9" s="0" t="n">
        <v>0.01238584</v>
      </c>
      <c r="BJ9" s="0" t="n">
        <v>0.00390189</v>
      </c>
      <c r="BK9" s="0" t="n">
        <v>0.011569</v>
      </c>
      <c r="BL9" s="0" t="n">
        <v>0.00656173</v>
      </c>
      <c r="BM9" s="0" t="n">
        <v>0.01428878</v>
      </c>
      <c r="BN9" s="0" t="n">
        <v>0.00516102</v>
      </c>
      <c r="BO9" s="0" t="n">
        <v>0.0049761</v>
      </c>
      <c r="BP9" s="0" t="n">
        <v>0.00495531</v>
      </c>
      <c r="BQ9" s="0" t="n">
        <v>0.00963522</v>
      </c>
      <c r="BR9" s="0" t="n">
        <v>0.00457323</v>
      </c>
      <c r="BS9" s="0" t="n">
        <v>0.00210584</v>
      </c>
      <c r="BT9" s="0" t="n">
        <v>0.00360265</v>
      </c>
      <c r="BU9" s="0" t="n">
        <v>0.01184999</v>
      </c>
      <c r="BV9" s="0" t="n">
        <v>-0.00216532</v>
      </c>
      <c r="BW9" s="0" t="n">
        <v>0.00869344</v>
      </c>
      <c r="BX9" s="0" t="n">
        <v>0.00120393</v>
      </c>
      <c r="BY9" s="0" t="n">
        <v>0.00386879</v>
      </c>
      <c r="BZ9" s="0" t="n">
        <v>0.00894561</v>
      </c>
      <c r="CA9" s="0" t="n">
        <v>0.01847556</v>
      </c>
      <c r="CB9" s="0" t="n">
        <v>0.00137994</v>
      </c>
      <c r="CC9" s="0" t="n">
        <v>0.00433987</v>
      </c>
      <c r="CD9" s="0" t="n">
        <v>0.00385731</v>
      </c>
      <c r="CE9" s="0" t="n">
        <v>0.00030032</v>
      </c>
      <c r="CF9" s="0" t="n">
        <v>0.00217398</v>
      </c>
      <c r="CG9" s="0" t="n">
        <v>0.00201842</v>
      </c>
      <c r="CH9" s="0" t="n">
        <v>0.01362353</v>
      </c>
      <c r="CI9" s="0" t="n">
        <v>-0.00394937</v>
      </c>
      <c r="CJ9" s="0" t="n">
        <v>0.00455424</v>
      </c>
      <c r="CK9" s="0" t="n">
        <v>0.00920464</v>
      </c>
      <c r="CL9" s="0" t="n">
        <v>-0.00037437</v>
      </c>
      <c r="CM9" s="0" t="n">
        <v>-0.0026444</v>
      </c>
      <c r="CN9" s="0" t="n">
        <v>0.01041868</v>
      </c>
      <c r="CO9" s="0" t="n">
        <v>0.01117033</v>
      </c>
      <c r="CP9" s="0" t="n">
        <v>0.00203295</v>
      </c>
      <c r="CQ9" s="0" t="n">
        <v>0.01398693</v>
      </c>
      <c r="CR9" s="0" t="n">
        <v>0.0061675</v>
      </c>
      <c r="CS9" s="0" t="n">
        <v>0.00605735</v>
      </c>
      <c r="CT9" s="0" t="n">
        <v>0.01240931</v>
      </c>
      <c r="CU9" s="0" t="n">
        <v>0.00063741</v>
      </c>
      <c r="CV9" s="0" t="n">
        <v>-0.00077305</v>
      </c>
      <c r="CW9" s="0" t="n">
        <v>0.00839736</v>
      </c>
      <c r="CX9" s="0" t="n">
        <v>0.00531726</v>
      </c>
      <c r="CY9" s="0" t="n">
        <v>0.0171903</v>
      </c>
      <c r="CZ9" s="0" t="n">
        <v>0.00467179</v>
      </c>
      <c r="DA9" s="0" t="n">
        <v>-0.00262581</v>
      </c>
      <c r="DB9" s="0" t="n">
        <v>0.0178448</v>
      </c>
      <c r="DC9" s="0" t="n">
        <v>0.01641426</v>
      </c>
      <c r="DD9" s="0" t="n">
        <v>0.01177642</v>
      </c>
      <c r="DE9" s="0" t="n">
        <v>0.0139035</v>
      </c>
      <c r="DF9" s="0" t="n">
        <v>0.00376027</v>
      </c>
      <c r="DG9" s="0" t="n">
        <v>0.00855278</v>
      </c>
      <c r="DH9" s="0" t="n">
        <v>0.00922587</v>
      </c>
      <c r="DI9" s="0" t="n">
        <v>0.01974728</v>
      </c>
      <c r="DJ9" s="0" t="n">
        <v>0.00756526</v>
      </c>
      <c r="DK9" s="0" t="n">
        <v>0.01314835</v>
      </c>
      <c r="DL9" s="0" t="n">
        <v>0.01074302</v>
      </c>
      <c r="DM9" s="0" t="n">
        <v>0.01263659</v>
      </c>
      <c r="DN9" s="0" t="n">
        <v>-0.00186445</v>
      </c>
      <c r="DO9" s="0" t="n">
        <v>0.01572688</v>
      </c>
      <c r="DP9" s="0" t="n">
        <v>0.00585715</v>
      </c>
      <c r="DQ9" s="0" t="n">
        <v>0.0092311</v>
      </c>
      <c r="DR9" s="0" t="n">
        <v>0.01312534</v>
      </c>
      <c r="DS9" s="0" t="n">
        <v>-0.00177684</v>
      </c>
      <c r="DT9" s="0" t="n">
        <v>0.00549678</v>
      </c>
      <c r="DU9" s="0" t="n">
        <v>0.01558919</v>
      </c>
      <c r="DV9" s="0" t="n">
        <v>0.01137692</v>
      </c>
      <c r="DW9" s="0" t="n">
        <v>0.00228732</v>
      </c>
      <c r="DX9" s="0" t="n">
        <v>0.00565996</v>
      </c>
      <c r="DY9" s="0" t="n">
        <v>0.01132972</v>
      </c>
      <c r="DZ9" s="0" t="n">
        <v>0.00334653</v>
      </c>
      <c r="EA9" s="0" t="n">
        <v>0.00612084</v>
      </c>
      <c r="EB9" s="0" t="n">
        <v>0.01546898</v>
      </c>
      <c r="EC9" s="0" t="n">
        <v>0.01150355</v>
      </c>
      <c r="ED9" s="0" t="n">
        <v>0.02591968</v>
      </c>
      <c r="EE9" s="0" t="n">
        <v>0.01000647</v>
      </c>
      <c r="EF9" s="0" t="n">
        <v>0.00094322</v>
      </c>
      <c r="EG9" s="0" t="n">
        <v>0.00788364</v>
      </c>
      <c r="EH9" s="0" t="n">
        <v>-0.00351256</v>
      </c>
      <c r="EI9" s="0" t="n">
        <v>-0.0033923</v>
      </c>
      <c r="EJ9" s="0" t="n">
        <v>0.02925947</v>
      </c>
      <c r="EK9" s="0" t="n">
        <v>0.0098461</v>
      </c>
      <c r="EL9" s="0" t="n">
        <v>0.01479324</v>
      </c>
      <c r="EM9" s="0" t="n">
        <v>0.00872733</v>
      </c>
      <c r="EN9" s="0" t="n">
        <v>0.00805959</v>
      </c>
      <c r="EO9" s="0" t="n">
        <v>0.00835102</v>
      </c>
      <c r="EP9" s="55" t="n">
        <f aca="false">SUMPRODUCT(B9:EO9,$B$5:$EO$5)</f>
        <v>0.011061104</v>
      </c>
      <c r="EQ9" s="55" t="n">
        <f aca="false">SUMIF('Mi portafolio'!$A$8:$A$19,$A9,'Mi portafolio'!$B$8:$B$19)</f>
        <v>0</v>
      </c>
    </row>
    <row r="10" customFormat="false" ht="15" hidden="false" customHeight="false" outlineLevel="0" collapsed="false">
      <c r="A10" s="54" t="s">
        <v>157</v>
      </c>
      <c r="B10" s="0" t="n">
        <v>0.01435937</v>
      </c>
      <c r="C10" s="0" t="n">
        <v>0.00040299</v>
      </c>
      <c r="D10" s="0" t="n">
        <v>-0.00344298</v>
      </c>
      <c r="E10" s="0" t="n">
        <v>0.00525363</v>
      </c>
      <c r="F10" s="0" t="n">
        <v>0.04159741</v>
      </c>
      <c r="G10" s="0" t="n">
        <v>-0.00112116</v>
      </c>
      <c r="H10" s="0" t="n">
        <v>0.00336541</v>
      </c>
      <c r="I10" s="0" t="n">
        <v>0.02422692</v>
      </c>
      <c r="J10" s="0" t="n">
        <v>0.01982494</v>
      </c>
      <c r="K10" s="0" t="n">
        <v>0.02480373</v>
      </c>
      <c r="L10" s="0" t="n">
        <v>0.00673445</v>
      </c>
      <c r="M10" s="0" t="n">
        <v>0.01274004</v>
      </c>
      <c r="N10" s="0" t="n">
        <v>0.01357076</v>
      </c>
      <c r="O10" s="0" t="n">
        <v>0.00341218</v>
      </c>
      <c r="P10" s="0" t="n">
        <v>0.0216253</v>
      </c>
      <c r="Q10" s="0" t="n">
        <v>-0.00483679</v>
      </c>
      <c r="R10" s="0" t="n">
        <v>0.02910072</v>
      </c>
      <c r="S10" s="0" t="n">
        <v>0.00474202</v>
      </c>
      <c r="T10" s="0" t="n">
        <v>0.00234678</v>
      </c>
      <c r="U10" s="0" t="n">
        <v>0.00271308</v>
      </c>
      <c r="V10" s="0" t="n">
        <v>0.00196288</v>
      </c>
      <c r="W10" s="0" t="n">
        <v>0.00604588</v>
      </c>
      <c r="X10" s="0" t="n">
        <v>0.00127387</v>
      </c>
      <c r="Y10" s="0" t="n">
        <v>0.0147335</v>
      </c>
      <c r="Z10" s="0" t="n">
        <v>0.00471116</v>
      </c>
      <c r="AA10" s="0" t="n">
        <v>0.01314017</v>
      </c>
      <c r="AB10" s="0" t="n">
        <v>0.01587104</v>
      </c>
      <c r="AC10" s="0" t="n">
        <v>-0.00141898</v>
      </c>
      <c r="AD10" s="0" t="n">
        <v>0.00671765</v>
      </c>
      <c r="AE10" s="0" t="n">
        <v>-0.0036952</v>
      </c>
      <c r="AF10" s="0" t="n">
        <v>-0.00508529</v>
      </c>
      <c r="AG10" s="0" t="n">
        <v>0.02087926</v>
      </c>
      <c r="AH10" s="0" t="n">
        <v>0.02189856</v>
      </c>
      <c r="AI10" s="0" t="n">
        <v>0.01207886</v>
      </c>
      <c r="AJ10" s="0" t="n">
        <v>-0.00172554</v>
      </c>
      <c r="AK10" s="0" t="n">
        <v>-0.00200963</v>
      </c>
      <c r="AL10" s="0" t="n">
        <v>0.01404468</v>
      </c>
      <c r="AM10" s="0" t="n">
        <v>-0.00020037</v>
      </c>
      <c r="AN10" s="0" t="n">
        <v>0.02137466</v>
      </c>
      <c r="AO10" s="0" t="n">
        <v>0.02178134</v>
      </c>
      <c r="AP10" s="0" t="n">
        <v>0.01570783</v>
      </c>
      <c r="AQ10" s="0" t="n">
        <v>0.0139507</v>
      </c>
      <c r="AR10" s="0" t="n">
        <v>0.00272403</v>
      </c>
      <c r="AS10" s="0" t="n">
        <v>0.00013546</v>
      </c>
      <c r="AT10" s="0" t="n">
        <v>0.0047021</v>
      </c>
      <c r="AU10" s="0" t="n">
        <v>0.02305117</v>
      </c>
      <c r="AV10" s="0" t="n">
        <v>0.00454007</v>
      </c>
      <c r="AW10" s="0" t="n">
        <v>-0.00221128</v>
      </c>
      <c r="AX10" s="0" t="n">
        <v>0.02136442</v>
      </c>
      <c r="AY10" s="0" t="n">
        <v>0.01982331</v>
      </c>
      <c r="AZ10" s="0" t="n">
        <v>-0.00120245</v>
      </c>
      <c r="BA10" s="0" t="n">
        <v>0.01267519</v>
      </c>
      <c r="BB10" s="0" t="n">
        <v>-0.00485133</v>
      </c>
      <c r="BC10" s="0" t="n">
        <v>0.00425659</v>
      </c>
      <c r="BD10" s="0" t="n">
        <v>0.00036671</v>
      </c>
      <c r="BE10" s="0" t="n">
        <v>0.02562431</v>
      </c>
      <c r="BF10" s="0" t="n">
        <v>0.00215993</v>
      </c>
      <c r="BG10" s="0" t="n">
        <v>0.00657499</v>
      </c>
      <c r="BH10" s="0" t="n">
        <v>-0.0005096</v>
      </c>
      <c r="BI10" s="0" t="n">
        <v>-0.00474962</v>
      </c>
      <c r="BJ10" s="0" t="n">
        <v>-0.00560393</v>
      </c>
      <c r="BK10" s="0" t="n">
        <v>-0.00322694</v>
      </c>
      <c r="BL10" s="0" t="n">
        <v>0.0068588</v>
      </c>
      <c r="BM10" s="0" t="n">
        <v>0.02335831</v>
      </c>
      <c r="BN10" s="0" t="n">
        <v>0.0137495</v>
      </c>
      <c r="BO10" s="0" t="n">
        <v>0.00504666</v>
      </c>
      <c r="BP10" s="0" t="n">
        <v>-0.00094121</v>
      </c>
      <c r="BQ10" s="0" t="n">
        <v>-0.00278453</v>
      </c>
      <c r="BR10" s="0" t="n">
        <v>0.00977853</v>
      </c>
      <c r="BS10" s="0" t="n">
        <v>0.00968033</v>
      </c>
      <c r="BT10" s="0" t="n">
        <v>0.00543176</v>
      </c>
      <c r="BU10" s="0" t="n">
        <v>-0.00442593</v>
      </c>
      <c r="BV10" s="0" t="n">
        <v>0.00135227</v>
      </c>
      <c r="BW10" s="0" t="n">
        <v>0.01125965</v>
      </c>
      <c r="BX10" s="0" t="n">
        <v>0.01603075</v>
      </c>
      <c r="BY10" s="0" t="n">
        <v>0.01790619</v>
      </c>
      <c r="BZ10" s="0" t="n">
        <v>0.00603307</v>
      </c>
      <c r="CA10" s="0" t="n">
        <v>0.0022389</v>
      </c>
      <c r="CB10" s="0" t="n">
        <v>0.00516925</v>
      </c>
      <c r="CC10" s="0" t="n">
        <v>0.00544573</v>
      </c>
      <c r="CD10" s="0" t="n">
        <v>0.01211176</v>
      </c>
      <c r="CE10" s="0" t="n">
        <v>-0.00573734</v>
      </c>
      <c r="CF10" s="0" t="n">
        <v>0.01694872</v>
      </c>
      <c r="CG10" s="0" t="n">
        <v>0.01242371</v>
      </c>
      <c r="CH10" s="0" t="n">
        <v>-0.00544608</v>
      </c>
      <c r="CI10" s="0" t="n">
        <v>0.01387304</v>
      </c>
      <c r="CJ10" s="0" t="n">
        <v>0.02280624</v>
      </c>
      <c r="CK10" s="0" t="n">
        <v>0.02008286</v>
      </c>
      <c r="CL10" s="0" t="n">
        <v>0.01072329</v>
      </c>
      <c r="CM10" s="0" t="n">
        <v>-0.01415489</v>
      </c>
      <c r="CN10" s="0" t="n">
        <v>-0.00647769</v>
      </c>
      <c r="CO10" s="0" t="n">
        <v>-0.00161627</v>
      </c>
      <c r="CP10" s="0" t="n">
        <v>0.00907223</v>
      </c>
      <c r="CQ10" s="0" t="n">
        <v>0.00842832</v>
      </c>
      <c r="CR10" s="0" t="n">
        <v>-0.01076343</v>
      </c>
      <c r="CS10" s="0" t="n">
        <v>-0.01162654</v>
      </c>
      <c r="CT10" s="0" t="n">
        <v>-0.00150391</v>
      </c>
      <c r="CU10" s="0" t="n">
        <v>-0.00012399</v>
      </c>
      <c r="CV10" s="0" t="n">
        <v>-0.00533342</v>
      </c>
      <c r="CW10" s="0" t="n">
        <v>0.0080125</v>
      </c>
      <c r="CX10" s="0" t="n">
        <v>0.00443856</v>
      </c>
      <c r="CY10" s="0" t="n">
        <v>0.01241834</v>
      </c>
      <c r="CZ10" s="0" t="n">
        <v>0.00198541</v>
      </c>
      <c r="DA10" s="0" t="n">
        <v>0.00581329</v>
      </c>
      <c r="DB10" s="0" t="n">
        <v>-0.00736626</v>
      </c>
      <c r="DC10" s="0" t="n">
        <v>-0.00908898</v>
      </c>
      <c r="DD10" s="0" t="n">
        <v>0.00269837</v>
      </c>
      <c r="DE10" s="0" t="n">
        <v>-0.0110377</v>
      </c>
      <c r="DF10" s="0" t="n">
        <v>0.00718114</v>
      </c>
      <c r="DG10" s="0" t="n">
        <v>-0.00723015</v>
      </c>
      <c r="DH10" s="0" t="n">
        <v>-0.01556222</v>
      </c>
      <c r="DI10" s="0" t="n">
        <v>0.01033509</v>
      </c>
      <c r="DJ10" s="0" t="n">
        <v>0.01446685</v>
      </c>
      <c r="DK10" s="0" t="n">
        <v>0.00713605</v>
      </c>
      <c r="DL10" s="0" t="n">
        <v>-0.01184804</v>
      </c>
      <c r="DM10" s="0" t="n">
        <v>0.0162758</v>
      </c>
      <c r="DN10" s="0" t="n">
        <v>0.01658363</v>
      </c>
      <c r="DO10" s="0" t="n">
        <v>-0.01391401</v>
      </c>
      <c r="DP10" s="0" t="n">
        <v>0.01433876</v>
      </c>
      <c r="DQ10" s="0" t="n">
        <v>-0.01221845</v>
      </c>
      <c r="DR10" s="0" t="n">
        <v>-0.01036639</v>
      </c>
      <c r="DS10" s="0" t="n">
        <v>0.00420063</v>
      </c>
      <c r="DT10" s="0" t="n">
        <v>-0.0296932</v>
      </c>
      <c r="DU10" s="0" t="n">
        <v>-0.01427731</v>
      </c>
      <c r="DV10" s="0" t="n">
        <v>-0.0108048</v>
      </c>
      <c r="DW10" s="0" t="n">
        <v>-0.00497464</v>
      </c>
      <c r="DX10" s="0" t="n">
        <v>-0.02365387</v>
      </c>
      <c r="DY10" s="0" t="n">
        <v>3.656E-005</v>
      </c>
      <c r="DZ10" s="0" t="n">
        <v>-0.00697185</v>
      </c>
      <c r="EA10" s="0" t="n">
        <v>0.00169816</v>
      </c>
      <c r="EB10" s="0" t="n">
        <v>-0.00762956</v>
      </c>
      <c r="EC10" s="0" t="n">
        <v>-0.01731597</v>
      </c>
      <c r="ED10" s="0" t="n">
        <v>-0.00388905</v>
      </c>
      <c r="EE10" s="0" t="n">
        <v>-0.02505806</v>
      </c>
      <c r="EF10" s="0" t="n">
        <v>-0.00975874</v>
      </c>
      <c r="EG10" s="0" t="n">
        <v>-0.01471092</v>
      </c>
      <c r="EH10" s="0" t="n">
        <v>0.00911485</v>
      </c>
      <c r="EI10" s="0" t="n">
        <v>-0.03352807</v>
      </c>
      <c r="EJ10" s="0" t="n">
        <v>0.00351804</v>
      </c>
      <c r="EK10" s="0" t="n">
        <v>-0.00839449</v>
      </c>
      <c r="EL10" s="0" t="n">
        <v>-0.02838287</v>
      </c>
      <c r="EM10" s="0" t="n">
        <v>-0.01905225</v>
      </c>
      <c r="EN10" s="0" t="n">
        <v>0.02124483</v>
      </c>
      <c r="EO10" s="0" t="n">
        <v>0.03186527</v>
      </c>
      <c r="EP10" s="55" t="n">
        <f aca="false">SUMPRODUCT(B10:EO10,$B$5:$EO$5)</f>
        <v>-0.005222486</v>
      </c>
      <c r="EQ10" s="55" t="n">
        <f aca="false">SUMIF('Mi portafolio'!$A$8:$A$19,$A10,'Mi portafolio'!$B$8:$B$19)</f>
        <v>0</v>
      </c>
    </row>
    <row r="11" customFormat="false" ht="15" hidden="false" customHeight="false" outlineLevel="0" collapsed="false">
      <c r="A11" s="54" t="s">
        <v>158</v>
      </c>
      <c r="B11" s="0" t="n">
        <v>-0.00377712</v>
      </c>
      <c r="C11" s="0" t="n">
        <v>0.00083876</v>
      </c>
      <c r="D11" s="0" t="n">
        <v>0.00483089</v>
      </c>
      <c r="E11" s="0" t="n">
        <v>0.00199572</v>
      </c>
      <c r="F11" s="0" t="n">
        <v>-0.00112116</v>
      </c>
      <c r="G11" s="0" t="n">
        <v>0.04238486</v>
      </c>
      <c r="H11" s="0" t="n">
        <v>0.00772304</v>
      </c>
      <c r="I11" s="0" t="n">
        <v>0.00053497</v>
      </c>
      <c r="J11" s="0" t="n">
        <v>-0.00052102</v>
      </c>
      <c r="K11" s="0" t="n">
        <v>0.00035695</v>
      </c>
      <c r="L11" s="0" t="n">
        <v>-0.00038852</v>
      </c>
      <c r="M11" s="0" t="n">
        <v>0.00252403</v>
      </c>
      <c r="N11" s="0" t="n">
        <v>0.00217289</v>
      </c>
      <c r="O11" s="0" t="n">
        <v>0.00544039</v>
      </c>
      <c r="P11" s="0" t="n">
        <v>-0.00481995</v>
      </c>
      <c r="Q11" s="0" t="n">
        <v>0.00224291</v>
      </c>
      <c r="R11" s="0" t="n">
        <v>-0.00120195</v>
      </c>
      <c r="S11" s="0" t="n">
        <v>-0.00209972</v>
      </c>
      <c r="T11" s="0" t="n">
        <v>0.00063411</v>
      </c>
      <c r="U11" s="0" t="n">
        <v>0.00392877</v>
      </c>
      <c r="V11" s="0" t="n">
        <v>0.00684009</v>
      </c>
      <c r="W11" s="0" t="n">
        <v>0.00205237</v>
      </c>
      <c r="X11" s="0" t="n">
        <v>-0.00129375</v>
      </c>
      <c r="Y11" s="0" t="n">
        <v>-0.00259395</v>
      </c>
      <c r="Z11" s="0" t="n">
        <v>0.01080398</v>
      </c>
      <c r="AA11" s="0" t="n">
        <v>0.00405911</v>
      </c>
      <c r="AB11" s="0" t="n">
        <v>-0.00067087</v>
      </c>
      <c r="AC11" s="0" t="n">
        <v>0.00784244</v>
      </c>
      <c r="AD11" s="0" t="n">
        <v>0.0019474</v>
      </c>
      <c r="AE11" s="0" t="n">
        <v>0.01111195</v>
      </c>
      <c r="AF11" s="0" t="n">
        <v>0.0101251</v>
      </c>
      <c r="AG11" s="0" t="n">
        <v>-0.00458736</v>
      </c>
      <c r="AH11" s="0" t="n">
        <v>-0.00467322</v>
      </c>
      <c r="AI11" s="0" t="n">
        <v>-0.00349116</v>
      </c>
      <c r="AJ11" s="0" t="n">
        <v>0.00451253</v>
      </c>
      <c r="AK11" s="0" t="n">
        <v>0.00741403</v>
      </c>
      <c r="AL11" s="0" t="n">
        <v>-0.00350662</v>
      </c>
      <c r="AM11" s="0" t="n">
        <v>0.00954598</v>
      </c>
      <c r="AN11" s="0" t="n">
        <v>-0.00155489</v>
      </c>
      <c r="AO11" s="0" t="n">
        <v>0.00137482</v>
      </c>
      <c r="AP11" s="0" t="n">
        <v>0.00269024</v>
      </c>
      <c r="AQ11" s="0" t="n">
        <v>-0.00108836</v>
      </c>
      <c r="AR11" s="0" t="n">
        <v>-7.978E-005</v>
      </c>
      <c r="AS11" s="0" t="n">
        <v>0.00904246</v>
      </c>
      <c r="AT11" s="0" t="n">
        <v>-0.00263419</v>
      </c>
      <c r="AU11" s="0" t="n">
        <v>-0.00120312</v>
      </c>
      <c r="AV11" s="0" t="n">
        <v>0.00312411</v>
      </c>
      <c r="AW11" s="0" t="n">
        <v>0.00662541</v>
      </c>
      <c r="AX11" s="0" t="n">
        <v>0.0029562</v>
      </c>
      <c r="AY11" s="0" t="n">
        <v>0.0020027</v>
      </c>
      <c r="AZ11" s="0" t="n">
        <v>0.00672791</v>
      </c>
      <c r="BA11" s="0" t="n">
        <v>0.00067001</v>
      </c>
      <c r="BB11" s="0" t="n">
        <v>0.00501843</v>
      </c>
      <c r="BC11" s="0" t="n">
        <v>0.00237183</v>
      </c>
      <c r="BD11" s="0" t="n">
        <v>0.01013158</v>
      </c>
      <c r="BE11" s="0" t="n">
        <v>-0.00153582</v>
      </c>
      <c r="BF11" s="0" t="n">
        <v>0.01407899</v>
      </c>
      <c r="BG11" s="0" t="n">
        <v>-0.00109137</v>
      </c>
      <c r="BH11" s="0" t="n">
        <v>0.00213929</v>
      </c>
      <c r="BI11" s="0" t="n">
        <v>0.00609027</v>
      </c>
      <c r="BJ11" s="0" t="n">
        <v>0.00415905</v>
      </c>
      <c r="BK11" s="0" t="n">
        <v>0.01105173</v>
      </c>
      <c r="BL11" s="0" t="n">
        <v>0.00535743</v>
      </c>
      <c r="BM11" s="0" t="n">
        <v>-0.00511926</v>
      </c>
      <c r="BN11" s="0" t="n">
        <v>0.00095609</v>
      </c>
      <c r="BO11" s="0" t="n">
        <v>0.00504008</v>
      </c>
      <c r="BP11" s="0" t="n">
        <v>-0.00198397</v>
      </c>
      <c r="BQ11" s="0" t="n">
        <v>0.00643059</v>
      </c>
      <c r="BR11" s="0" t="n">
        <v>-4.436E-005</v>
      </c>
      <c r="BS11" s="0" t="n">
        <v>-0.00013294</v>
      </c>
      <c r="BT11" s="0" t="n">
        <v>0.00092061</v>
      </c>
      <c r="BU11" s="0" t="n">
        <v>-0.00058941</v>
      </c>
      <c r="BV11" s="0" t="n">
        <v>0.00147494</v>
      </c>
      <c r="BW11" s="0" t="n">
        <v>0.0063329</v>
      </c>
      <c r="BX11" s="0" t="n">
        <v>-8.027E-005</v>
      </c>
      <c r="BY11" s="0" t="n">
        <v>0.00213435</v>
      </c>
      <c r="BZ11" s="0" t="n">
        <v>-0.00634488</v>
      </c>
      <c r="CA11" s="0" t="n">
        <v>0.00930746</v>
      </c>
      <c r="CB11" s="0" t="n">
        <v>-0.00084262</v>
      </c>
      <c r="CC11" s="0" t="n">
        <v>0.00260176</v>
      </c>
      <c r="CD11" s="0" t="n">
        <v>0.00171329</v>
      </c>
      <c r="CE11" s="0" t="n">
        <v>-0.00115136</v>
      </c>
      <c r="CF11" s="0" t="n">
        <v>0.00141923</v>
      </c>
      <c r="CG11" s="0" t="n">
        <v>0.00422488</v>
      </c>
      <c r="CH11" s="0" t="n">
        <v>0.01315572</v>
      </c>
      <c r="CI11" s="0" t="n">
        <v>-0.0017067</v>
      </c>
      <c r="CJ11" s="0" t="n">
        <v>0.00537917</v>
      </c>
      <c r="CK11" s="0" t="n">
        <v>-0.00793622</v>
      </c>
      <c r="CL11" s="0" t="n">
        <v>0.00567951</v>
      </c>
      <c r="CM11" s="0" t="n">
        <v>-0.00135747</v>
      </c>
      <c r="CN11" s="0" t="n">
        <v>0.00900185</v>
      </c>
      <c r="CO11" s="0" t="n">
        <v>-0.00334744</v>
      </c>
      <c r="CP11" s="0" t="n">
        <v>0.00471924</v>
      </c>
      <c r="CQ11" s="0" t="n">
        <v>-0.00419865</v>
      </c>
      <c r="CR11" s="0" t="n">
        <v>-0.00052388</v>
      </c>
      <c r="CS11" s="0" t="n">
        <v>0.00037315</v>
      </c>
      <c r="CT11" s="0" t="n">
        <v>0.01286769</v>
      </c>
      <c r="CU11" s="0" t="n">
        <v>-0.00257065</v>
      </c>
      <c r="CV11" s="0" t="n">
        <v>0.00109918</v>
      </c>
      <c r="CW11" s="0" t="n">
        <v>-0.00213631</v>
      </c>
      <c r="CX11" s="0" t="n">
        <v>0.00716268</v>
      </c>
      <c r="CY11" s="0" t="n">
        <v>0.00035742</v>
      </c>
      <c r="CZ11" s="0" t="n">
        <v>-0.01040935</v>
      </c>
      <c r="DA11" s="0" t="n">
        <v>-0.00908306</v>
      </c>
      <c r="DB11" s="0" t="n">
        <v>0.00749292</v>
      </c>
      <c r="DC11" s="0" t="n">
        <v>0.00962857</v>
      </c>
      <c r="DD11" s="0" t="n">
        <v>0.00502284</v>
      </c>
      <c r="DE11" s="0" t="n">
        <v>0.00294371</v>
      </c>
      <c r="DF11" s="0" t="n">
        <v>0.00070898</v>
      </c>
      <c r="DG11" s="0" t="n">
        <v>0.00368666</v>
      </c>
      <c r="DH11" s="0" t="n">
        <v>-0.00248419</v>
      </c>
      <c r="DI11" s="0" t="n">
        <v>-0.0003422</v>
      </c>
      <c r="DJ11" s="0" t="n">
        <v>-0.00421225</v>
      </c>
      <c r="DK11" s="0" t="n">
        <v>-0.00560207</v>
      </c>
      <c r="DL11" s="0" t="n">
        <v>0.0169968</v>
      </c>
      <c r="DM11" s="0" t="n">
        <v>0.00437931</v>
      </c>
      <c r="DN11" s="0" t="n">
        <v>0.00304927</v>
      </c>
      <c r="DO11" s="0" t="n">
        <v>-0.00425352</v>
      </c>
      <c r="DP11" s="0" t="n">
        <v>0.00071968</v>
      </c>
      <c r="DQ11" s="0" t="n">
        <v>-0.02074624</v>
      </c>
      <c r="DR11" s="0" t="n">
        <v>0.00869077</v>
      </c>
      <c r="DS11" s="0" t="n">
        <v>-0.00276242</v>
      </c>
      <c r="DT11" s="0" t="n">
        <v>-0.0043683</v>
      </c>
      <c r="DU11" s="0" t="n">
        <v>0.00425018</v>
      </c>
      <c r="DV11" s="0" t="n">
        <v>0.0053253</v>
      </c>
      <c r="DW11" s="0" t="n">
        <v>-0.009535</v>
      </c>
      <c r="DX11" s="0" t="n">
        <v>0.00162204</v>
      </c>
      <c r="DY11" s="0" t="n">
        <v>-0.00505002</v>
      </c>
      <c r="DZ11" s="0" t="n">
        <v>0.0053241</v>
      </c>
      <c r="EA11" s="0" t="n">
        <v>0.00511627</v>
      </c>
      <c r="EB11" s="0" t="n">
        <v>0.00251396</v>
      </c>
      <c r="EC11" s="0" t="n">
        <v>0.02025952</v>
      </c>
      <c r="ED11" s="0" t="n">
        <v>0.01004484</v>
      </c>
      <c r="EE11" s="0" t="n">
        <v>0.00448051</v>
      </c>
      <c r="EF11" s="0" t="n">
        <v>0.01125018</v>
      </c>
      <c r="EG11" s="0" t="n">
        <v>0.00865559</v>
      </c>
      <c r="EH11" s="0" t="n">
        <v>-0.01110691</v>
      </c>
      <c r="EI11" s="0" t="n">
        <v>0.00148677</v>
      </c>
      <c r="EJ11" s="0" t="n">
        <v>0.01934711</v>
      </c>
      <c r="EK11" s="0" t="n">
        <v>0.00856928</v>
      </c>
      <c r="EL11" s="0" t="n">
        <v>0.00862281</v>
      </c>
      <c r="EM11" s="0" t="n">
        <v>-0.00965449</v>
      </c>
      <c r="EN11" s="0" t="n">
        <v>0.00943361</v>
      </c>
      <c r="EO11" s="0" t="n">
        <v>0.02878523</v>
      </c>
      <c r="EP11" s="55" t="n">
        <f aca="false">SUMPRODUCT(B11:EO11,$B$5:$EO$5)</f>
        <v>0.005927024</v>
      </c>
      <c r="EQ11" s="55" t="n">
        <f aca="false">SUMIF('Mi portafolio'!$A$8:$A$19,$A11,'Mi portafolio'!$B$8:$B$19)</f>
        <v>0</v>
      </c>
    </row>
    <row r="12" customFormat="false" ht="15" hidden="false" customHeight="false" outlineLevel="0" collapsed="false">
      <c r="A12" s="54" t="s">
        <v>159</v>
      </c>
      <c r="B12" s="0" t="n">
        <v>-0.00065853</v>
      </c>
      <c r="C12" s="0" t="n">
        <v>0.0051104</v>
      </c>
      <c r="D12" s="0" t="n">
        <v>0.00590904</v>
      </c>
      <c r="E12" s="0" t="n">
        <v>0.0091222</v>
      </c>
      <c r="F12" s="0" t="n">
        <v>0.00336541</v>
      </c>
      <c r="G12" s="0" t="n">
        <v>0.00772304</v>
      </c>
      <c r="H12" s="0" t="n">
        <v>0.04327684</v>
      </c>
      <c r="I12" s="0" t="n">
        <v>0.00370453</v>
      </c>
      <c r="J12" s="0" t="n">
        <v>-0.00014956</v>
      </c>
      <c r="K12" s="0" t="n">
        <v>0.00432872</v>
      </c>
      <c r="L12" s="0" t="n">
        <v>0.00881585</v>
      </c>
      <c r="M12" s="0" t="n">
        <v>0.00809796</v>
      </c>
      <c r="N12" s="0" t="n">
        <v>0.00491034</v>
      </c>
      <c r="O12" s="0" t="n">
        <v>0.00988057</v>
      </c>
      <c r="P12" s="0" t="n">
        <v>0.00067978</v>
      </c>
      <c r="Q12" s="0" t="n">
        <v>-0.00074276</v>
      </c>
      <c r="R12" s="0" t="n">
        <v>0.00241434</v>
      </c>
      <c r="S12" s="0" t="n">
        <v>0.01171668</v>
      </c>
      <c r="T12" s="0" t="n">
        <v>0.00133321</v>
      </c>
      <c r="U12" s="0" t="n">
        <v>0.01403214</v>
      </c>
      <c r="V12" s="0" t="n">
        <v>0.0175549</v>
      </c>
      <c r="W12" s="0" t="n">
        <v>0.00700271</v>
      </c>
      <c r="X12" s="0" t="n">
        <v>0.00310612</v>
      </c>
      <c r="Y12" s="0" t="n">
        <v>-0.00421346</v>
      </c>
      <c r="Z12" s="0" t="n">
        <v>0.01404121</v>
      </c>
      <c r="AA12" s="0" t="n">
        <v>0.0105219</v>
      </c>
      <c r="AB12" s="0" t="n">
        <v>-0.0047864</v>
      </c>
      <c r="AC12" s="0" t="n">
        <v>0.01182163</v>
      </c>
      <c r="AD12" s="0" t="n">
        <v>0.01093609</v>
      </c>
      <c r="AE12" s="0" t="n">
        <v>0.0109847</v>
      </c>
      <c r="AF12" s="0" t="n">
        <v>0.01356655</v>
      </c>
      <c r="AG12" s="0" t="n">
        <v>-0.00174375</v>
      </c>
      <c r="AH12" s="0" t="n">
        <v>0.00013361</v>
      </c>
      <c r="AI12" s="0" t="n">
        <v>-0.00664142</v>
      </c>
      <c r="AJ12" s="0" t="n">
        <v>0.01464745</v>
      </c>
      <c r="AK12" s="0" t="n">
        <v>0.01435652</v>
      </c>
      <c r="AL12" s="0" t="n">
        <v>0.00054983</v>
      </c>
      <c r="AM12" s="0" t="n">
        <v>0.0094761</v>
      </c>
      <c r="AN12" s="0" t="n">
        <v>0.00788738</v>
      </c>
      <c r="AO12" s="0" t="n">
        <v>-0.00025417</v>
      </c>
      <c r="AP12" s="0" t="n">
        <v>0.00112281</v>
      </c>
      <c r="AQ12" s="0" t="n">
        <v>-0.00496954</v>
      </c>
      <c r="AR12" s="0" t="n">
        <v>-0.00120766</v>
      </c>
      <c r="AS12" s="0" t="n">
        <v>0.01833238</v>
      </c>
      <c r="AT12" s="0" t="n">
        <v>-0.00024454</v>
      </c>
      <c r="AU12" s="0" t="n">
        <v>0.00116207</v>
      </c>
      <c r="AV12" s="0" t="n">
        <v>0.01096084</v>
      </c>
      <c r="AW12" s="0" t="n">
        <v>0.02103142</v>
      </c>
      <c r="AX12" s="0" t="n">
        <v>0.00345848</v>
      </c>
      <c r="AY12" s="0" t="n">
        <v>9.942E-005</v>
      </c>
      <c r="AZ12" s="0" t="n">
        <v>0.01715755</v>
      </c>
      <c r="BA12" s="0" t="n">
        <v>0.0046022</v>
      </c>
      <c r="BB12" s="0" t="n">
        <v>0.00173462</v>
      </c>
      <c r="BC12" s="0" t="n">
        <v>0.0097085</v>
      </c>
      <c r="BD12" s="0" t="n">
        <v>0.01463981</v>
      </c>
      <c r="BE12" s="0" t="n">
        <v>0.00551454</v>
      </c>
      <c r="BF12" s="0" t="n">
        <v>0.01502121</v>
      </c>
      <c r="BG12" s="0" t="n">
        <v>0.00210478</v>
      </c>
      <c r="BH12" s="0" t="n">
        <v>0.01923574</v>
      </c>
      <c r="BI12" s="0" t="n">
        <v>0.00911047</v>
      </c>
      <c r="BJ12" s="0" t="n">
        <v>-0.00530151</v>
      </c>
      <c r="BK12" s="0" t="n">
        <v>0.01279523</v>
      </c>
      <c r="BL12" s="0" t="n">
        <v>0.00851506</v>
      </c>
      <c r="BM12" s="0" t="n">
        <v>0.00332429</v>
      </c>
      <c r="BN12" s="0" t="n">
        <v>-0.0057762</v>
      </c>
      <c r="BO12" s="0" t="n">
        <v>0.01263265</v>
      </c>
      <c r="BP12" s="0" t="n">
        <v>0.00204108</v>
      </c>
      <c r="BQ12" s="0" t="n">
        <v>0.01898963</v>
      </c>
      <c r="BR12" s="0" t="n">
        <v>0.00820067</v>
      </c>
      <c r="BS12" s="0" t="n">
        <v>-0.0070304</v>
      </c>
      <c r="BT12" s="0" t="n">
        <v>0.01335619</v>
      </c>
      <c r="BU12" s="0" t="n">
        <v>0.01327164</v>
      </c>
      <c r="BV12" s="0" t="n">
        <v>0.00468989</v>
      </c>
      <c r="BW12" s="0" t="n">
        <v>0.0071703</v>
      </c>
      <c r="BX12" s="0" t="n">
        <v>0.00406663</v>
      </c>
      <c r="BY12" s="0" t="n">
        <v>0.00927031</v>
      </c>
      <c r="BZ12" s="0" t="n">
        <v>0.00944441</v>
      </c>
      <c r="CA12" s="0" t="n">
        <v>0.02031178</v>
      </c>
      <c r="CB12" s="0" t="n">
        <v>-0.00747469</v>
      </c>
      <c r="CC12" s="0" t="n">
        <v>-0.00439009</v>
      </c>
      <c r="CD12" s="0" t="n">
        <v>0.00393227</v>
      </c>
      <c r="CE12" s="0" t="n">
        <v>0.00134444</v>
      </c>
      <c r="CF12" s="0" t="n">
        <v>-0.0094657</v>
      </c>
      <c r="CG12" s="0" t="n">
        <v>0.0084661</v>
      </c>
      <c r="CH12" s="0" t="n">
        <v>0.0205275</v>
      </c>
      <c r="CI12" s="0" t="n">
        <v>-0.00977827</v>
      </c>
      <c r="CJ12" s="0" t="n">
        <v>-0.0011613</v>
      </c>
      <c r="CK12" s="0" t="n">
        <v>0.00093981</v>
      </c>
      <c r="CL12" s="0" t="n">
        <v>0.0179428</v>
      </c>
      <c r="CM12" s="0" t="n">
        <v>0.00275339</v>
      </c>
      <c r="CN12" s="0" t="n">
        <v>0.01557705</v>
      </c>
      <c r="CO12" s="0" t="n">
        <v>0.01115813</v>
      </c>
      <c r="CP12" s="0" t="n">
        <v>0.00438073</v>
      </c>
      <c r="CQ12" s="0" t="n">
        <v>0.00695298</v>
      </c>
      <c r="CR12" s="0" t="n">
        <v>0.00869925</v>
      </c>
      <c r="CS12" s="0" t="n">
        <v>0.00929731</v>
      </c>
      <c r="CT12" s="0" t="n">
        <v>0.01253143</v>
      </c>
      <c r="CU12" s="0" t="n">
        <v>0.00345227</v>
      </c>
      <c r="CV12" s="0" t="n">
        <v>0.001979</v>
      </c>
      <c r="CW12" s="0" t="n">
        <v>0.00644528</v>
      </c>
      <c r="CX12" s="0" t="n">
        <v>0.00562384</v>
      </c>
      <c r="CY12" s="0" t="n">
        <v>0.0033188</v>
      </c>
      <c r="CZ12" s="0" t="n">
        <v>0.01009375</v>
      </c>
      <c r="DA12" s="0" t="n">
        <v>0.00486373</v>
      </c>
      <c r="DB12" s="0" t="n">
        <v>0.01201632</v>
      </c>
      <c r="DC12" s="0" t="n">
        <v>0.01618012</v>
      </c>
      <c r="DD12" s="0" t="n">
        <v>0.00629406</v>
      </c>
      <c r="DE12" s="0" t="n">
        <v>0.01035165</v>
      </c>
      <c r="DF12" s="0" t="n">
        <v>0.00271221</v>
      </c>
      <c r="DG12" s="0" t="n">
        <v>0.01121652</v>
      </c>
      <c r="DH12" s="0" t="n">
        <v>0.00913543</v>
      </c>
      <c r="DI12" s="0" t="n">
        <v>0.01094207</v>
      </c>
      <c r="DJ12" s="0" t="n">
        <v>0.00638194</v>
      </c>
      <c r="DK12" s="0" t="n">
        <v>0.00898867</v>
      </c>
      <c r="DL12" s="0" t="n">
        <v>0.02277917</v>
      </c>
      <c r="DM12" s="0" t="n">
        <v>0.0150002</v>
      </c>
      <c r="DN12" s="0" t="n">
        <v>0.0094924</v>
      </c>
      <c r="DO12" s="0" t="n">
        <v>0.01570752</v>
      </c>
      <c r="DP12" s="0" t="n">
        <v>0.01316528</v>
      </c>
      <c r="DQ12" s="0" t="n">
        <v>0.01519021</v>
      </c>
      <c r="DR12" s="0" t="n">
        <v>0.00385567</v>
      </c>
      <c r="DS12" s="0" t="n">
        <v>0.00103859</v>
      </c>
      <c r="DT12" s="0" t="n">
        <v>0.00187616</v>
      </c>
      <c r="DU12" s="0" t="n">
        <v>0.00566158</v>
      </c>
      <c r="DV12" s="0" t="n">
        <v>0.00223946</v>
      </c>
      <c r="DW12" s="0" t="n">
        <v>0.00358142</v>
      </c>
      <c r="DX12" s="0" t="n">
        <v>0.01280905</v>
      </c>
      <c r="DY12" s="0" t="n">
        <v>-0.00640499</v>
      </c>
      <c r="DZ12" s="0" t="n">
        <v>0.00510969</v>
      </c>
      <c r="EA12" s="0" t="n">
        <v>0.0133476</v>
      </c>
      <c r="EB12" s="0" t="n">
        <v>-0.00098844</v>
      </c>
      <c r="EC12" s="0" t="n">
        <v>0.00539968</v>
      </c>
      <c r="ED12" s="0" t="n">
        <v>0.032012</v>
      </c>
      <c r="EE12" s="0" t="n">
        <v>0.01395396</v>
      </c>
      <c r="EF12" s="0" t="n">
        <v>-0.00060282</v>
      </c>
      <c r="EG12" s="0" t="n">
        <v>0.01447763</v>
      </c>
      <c r="EH12" s="0" t="n">
        <v>-0.00704909</v>
      </c>
      <c r="EI12" s="0" t="n">
        <v>0.00507915</v>
      </c>
      <c r="EJ12" s="0" t="n">
        <v>0.01793195</v>
      </c>
      <c r="EK12" s="0" t="n">
        <v>0.009993</v>
      </c>
      <c r="EL12" s="0" t="n">
        <v>0.01731297</v>
      </c>
      <c r="EM12" s="0" t="n">
        <v>0.00540652</v>
      </c>
      <c r="EN12" s="0" t="n">
        <v>0.00747765</v>
      </c>
      <c r="EO12" s="0" t="n">
        <v>0.00828206</v>
      </c>
      <c r="EP12" s="55" t="n">
        <f aca="false">SUMPRODUCT(B12:EO12,$B$5:$EO$5)</f>
        <v>0.014660306</v>
      </c>
      <c r="EQ12" s="55" t="n">
        <f aca="false">SUMIF('Mi portafolio'!$A$8:$A$19,$A12,'Mi portafolio'!$B$8:$B$19)</f>
        <v>0</v>
      </c>
    </row>
    <row r="13" customFormat="false" ht="15" hidden="false" customHeight="false" outlineLevel="0" collapsed="false">
      <c r="A13" s="54" t="s">
        <v>160</v>
      </c>
      <c r="B13" s="0" t="n">
        <v>0.01596738</v>
      </c>
      <c r="C13" s="0" t="n">
        <v>0.00273161</v>
      </c>
      <c r="D13" s="0" t="n">
        <v>-0.0008363</v>
      </c>
      <c r="E13" s="0" t="n">
        <v>0.00643985</v>
      </c>
      <c r="F13" s="0" t="n">
        <v>0.02422692</v>
      </c>
      <c r="G13" s="0" t="n">
        <v>0.00053497</v>
      </c>
      <c r="H13" s="0" t="n">
        <v>0.00370453</v>
      </c>
      <c r="I13" s="0" t="n">
        <v>0.04372578</v>
      </c>
      <c r="J13" s="0" t="n">
        <v>0.01872629</v>
      </c>
      <c r="K13" s="0" t="n">
        <v>0.02422535</v>
      </c>
      <c r="L13" s="0" t="n">
        <v>0.00603547</v>
      </c>
      <c r="M13" s="0" t="n">
        <v>0.01375139</v>
      </c>
      <c r="N13" s="0" t="n">
        <v>0.01693988</v>
      </c>
      <c r="O13" s="0" t="n">
        <v>0.00489844</v>
      </c>
      <c r="P13" s="0" t="n">
        <v>0.02216726</v>
      </c>
      <c r="Q13" s="0" t="n">
        <v>-0.00149903</v>
      </c>
      <c r="R13" s="0" t="n">
        <v>0.02485324</v>
      </c>
      <c r="S13" s="0" t="n">
        <v>0.00474109</v>
      </c>
      <c r="T13" s="0" t="n">
        <v>0.00710635</v>
      </c>
      <c r="U13" s="0" t="n">
        <v>0.00297963</v>
      </c>
      <c r="V13" s="0" t="n">
        <v>0.00541199</v>
      </c>
      <c r="W13" s="0" t="n">
        <v>0.00882794</v>
      </c>
      <c r="X13" s="0" t="n">
        <v>0.00781761</v>
      </c>
      <c r="Y13" s="0" t="n">
        <v>0.01984507</v>
      </c>
      <c r="Z13" s="0" t="n">
        <v>0.00547979</v>
      </c>
      <c r="AA13" s="0" t="n">
        <v>0.0104038</v>
      </c>
      <c r="AB13" s="0" t="n">
        <v>0.02061142</v>
      </c>
      <c r="AC13" s="0" t="n">
        <v>0.00137444</v>
      </c>
      <c r="AD13" s="0" t="n">
        <v>0.00358947</v>
      </c>
      <c r="AE13" s="0" t="n">
        <v>0.00247061</v>
      </c>
      <c r="AF13" s="0" t="n">
        <v>-0.00070628</v>
      </c>
      <c r="AG13" s="0" t="n">
        <v>0.01651206</v>
      </c>
      <c r="AH13" s="0" t="n">
        <v>0.01633895</v>
      </c>
      <c r="AI13" s="0" t="n">
        <v>0.00548696</v>
      </c>
      <c r="AJ13" s="0" t="n">
        <v>0.00214169</v>
      </c>
      <c r="AK13" s="0" t="n">
        <v>0.00257997</v>
      </c>
      <c r="AL13" s="0" t="n">
        <v>0.01591877</v>
      </c>
      <c r="AM13" s="0" t="n">
        <v>0.00237123</v>
      </c>
      <c r="AN13" s="0" t="n">
        <v>0.02684591</v>
      </c>
      <c r="AO13" s="0" t="n">
        <v>0.02029382</v>
      </c>
      <c r="AP13" s="0" t="n">
        <v>0.01671202</v>
      </c>
      <c r="AQ13" s="0" t="n">
        <v>0.0075377</v>
      </c>
      <c r="AR13" s="0" t="n">
        <v>0.01024946</v>
      </c>
      <c r="AS13" s="0" t="n">
        <v>-0.00073387</v>
      </c>
      <c r="AT13" s="0" t="n">
        <v>0.01344628</v>
      </c>
      <c r="AU13" s="0" t="n">
        <v>0.02379349</v>
      </c>
      <c r="AV13" s="0" t="n">
        <v>0.00759153</v>
      </c>
      <c r="AW13" s="0" t="n">
        <v>0.00177252</v>
      </c>
      <c r="AX13" s="0" t="n">
        <v>0.0250038</v>
      </c>
      <c r="AY13" s="0" t="n">
        <v>0.02227183</v>
      </c>
      <c r="AZ13" s="0" t="n">
        <v>0.00516943</v>
      </c>
      <c r="BA13" s="0" t="n">
        <v>0.0132103</v>
      </c>
      <c r="BB13" s="0" t="n">
        <v>0.00501321</v>
      </c>
      <c r="BC13" s="0" t="n">
        <v>0.00718558</v>
      </c>
      <c r="BD13" s="0" t="n">
        <v>0.00215778</v>
      </c>
      <c r="BE13" s="0" t="n">
        <v>0.02252455</v>
      </c>
      <c r="BF13" s="0" t="n">
        <v>0.00578643</v>
      </c>
      <c r="BG13" s="0" t="n">
        <v>0.00962053</v>
      </c>
      <c r="BH13" s="0" t="n">
        <v>0.00195159</v>
      </c>
      <c r="BI13" s="0" t="n">
        <v>0.00194568</v>
      </c>
      <c r="BJ13" s="0" t="n">
        <v>0.00078433</v>
      </c>
      <c r="BK13" s="0" t="n">
        <v>0.00050874</v>
      </c>
      <c r="BL13" s="0" t="n">
        <v>0.00772175</v>
      </c>
      <c r="BM13" s="0" t="n">
        <v>0.02254832</v>
      </c>
      <c r="BN13" s="0" t="n">
        <v>0.00902005</v>
      </c>
      <c r="BO13" s="0" t="n">
        <v>0.01399695</v>
      </c>
      <c r="BP13" s="0" t="n">
        <v>0.00788444</v>
      </c>
      <c r="BQ13" s="0" t="n">
        <v>0.00143799</v>
      </c>
      <c r="BR13" s="0" t="n">
        <v>0.01657242</v>
      </c>
      <c r="BS13" s="0" t="n">
        <v>0.00057686</v>
      </c>
      <c r="BT13" s="0" t="n">
        <v>0.01296513</v>
      </c>
      <c r="BU13" s="0" t="n">
        <v>-0.00428642</v>
      </c>
      <c r="BV13" s="0" t="n">
        <v>0.01023536</v>
      </c>
      <c r="BW13" s="0" t="n">
        <v>0.01377074</v>
      </c>
      <c r="BX13" s="0" t="n">
        <v>0.02433108</v>
      </c>
      <c r="BY13" s="0" t="n">
        <v>0.01690575</v>
      </c>
      <c r="BZ13" s="0" t="n">
        <v>0.01467013</v>
      </c>
      <c r="CA13" s="0" t="n">
        <v>0.00367942</v>
      </c>
      <c r="CB13" s="0" t="n">
        <v>0.00105348</v>
      </c>
      <c r="CC13" s="0" t="n">
        <v>0.00865101</v>
      </c>
      <c r="CD13" s="0" t="n">
        <v>0.01663835</v>
      </c>
      <c r="CE13" s="0" t="n">
        <v>-0.00057481</v>
      </c>
      <c r="CF13" s="0" t="n">
        <v>0.0042472</v>
      </c>
      <c r="CG13" s="0" t="n">
        <v>0.02218093</v>
      </c>
      <c r="CH13" s="0" t="n">
        <v>0.00127206</v>
      </c>
      <c r="CI13" s="0" t="n">
        <v>0.00883662</v>
      </c>
      <c r="CJ13" s="0" t="n">
        <v>0.01906588</v>
      </c>
      <c r="CK13" s="0" t="n">
        <v>0.02591794</v>
      </c>
      <c r="CL13" s="0" t="n">
        <v>0.00776132</v>
      </c>
      <c r="CM13" s="0" t="n">
        <v>-0.01209305</v>
      </c>
      <c r="CN13" s="0" t="n">
        <v>-0.00385689</v>
      </c>
      <c r="CO13" s="0" t="n">
        <v>0.00918991</v>
      </c>
      <c r="CP13" s="0" t="n">
        <v>0.01502634</v>
      </c>
      <c r="CQ13" s="0" t="n">
        <v>0.01869162</v>
      </c>
      <c r="CR13" s="0" t="n">
        <v>-0.0049393</v>
      </c>
      <c r="CS13" s="0" t="n">
        <v>-0.00293093</v>
      </c>
      <c r="CT13" s="0" t="n">
        <v>0.00503134</v>
      </c>
      <c r="CU13" s="0" t="n">
        <v>0.00627539</v>
      </c>
      <c r="CV13" s="0" t="n">
        <v>0.00486215</v>
      </c>
      <c r="CW13" s="0" t="n">
        <v>0.02126213</v>
      </c>
      <c r="CX13" s="0" t="n">
        <v>0.01471329</v>
      </c>
      <c r="CY13" s="0" t="n">
        <v>0.0223299</v>
      </c>
      <c r="CZ13" s="0" t="n">
        <v>0.00851895</v>
      </c>
      <c r="DA13" s="0" t="n">
        <v>0.01116933</v>
      </c>
      <c r="DB13" s="0" t="n">
        <v>-0.0030704</v>
      </c>
      <c r="DC13" s="0" t="n">
        <v>0.00314685</v>
      </c>
      <c r="DD13" s="0" t="n">
        <v>0.01650964</v>
      </c>
      <c r="DE13" s="0" t="n">
        <v>-0.0012254</v>
      </c>
      <c r="DF13" s="0" t="n">
        <v>0.0118489</v>
      </c>
      <c r="DG13" s="0" t="n">
        <v>0.00678222</v>
      </c>
      <c r="DH13" s="0" t="n">
        <v>-0.00647435</v>
      </c>
      <c r="DI13" s="0" t="n">
        <v>0.02310529</v>
      </c>
      <c r="DJ13" s="0" t="n">
        <v>0.02651733</v>
      </c>
      <c r="DK13" s="0" t="n">
        <v>0.01879838</v>
      </c>
      <c r="DL13" s="0" t="n">
        <v>-0.00424537</v>
      </c>
      <c r="DM13" s="0" t="n">
        <v>0.02928171</v>
      </c>
      <c r="DN13" s="0" t="n">
        <v>0.0274625</v>
      </c>
      <c r="DO13" s="0" t="n">
        <v>0.00375134</v>
      </c>
      <c r="DP13" s="0" t="n">
        <v>0.02865083</v>
      </c>
      <c r="DQ13" s="0" t="n">
        <v>-0.0044363</v>
      </c>
      <c r="DR13" s="0" t="n">
        <v>-0.00636163</v>
      </c>
      <c r="DS13" s="0" t="n">
        <v>0.0071396</v>
      </c>
      <c r="DT13" s="0" t="n">
        <v>-0.01437245</v>
      </c>
      <c r="DU13" s="0" t="n">
        <v>0.00031489</v>
      </c>
      <c r="DV13" s="0" t="n">
        <v>0.00843206</v>
      </c>
      <c r="DW13" s="0" t="n">
        <v>0.02176845</v>
      </c>
      <c r="DX13" s="0" t="n">
        <v>-0.02026219</v>
      </c>
      <c r="DY13" s="0" t="n">
        <v>0.01551117</v>
      </c>
      <c r="DZ13" s="0" t="n">
        <v>-0.00064487</v>
      </c>
      <c r="EA13" s="0" t="n">
        <v>0.01431021</v>
      </c>
      <c r="EB13" s="0" t="n">
        <v>0.01256741</v>
      </c>
      <c r="EC13" s="0" t="n">
        <v>-0.01129311</v>
      </c>
      <c r="ED13" s="0" t="n">
        <v>0.01432567</v>
      </c>
      <c r="EE13" s="0" t="n">
        <v>-0.02011413</v>
      </c>
      <c r="EF13" s="0" t="n">
        <v>-0.00074043</v>
      </c>
      <c r="EG13" s="0" t="n">
        <v>-0.02575104</v>
      </c>
      <c r="EH13" s="0" t="n">
        <v>0.02269546</v>
      </c>
      <c r="EI13" s="0" t="n">
        <v>-0.0380175</v>
      </c>
      <c r="EJ13" s="0" t="n">
        <v>0.00513758</v>
      </c>
      <c r="EK13" s="0" t="n">
        <v>-0.00176889</v>
      </c>
      <c r="EL13" s="0" t="n">
        <v>-0.01720774</v>
      </c>
      <c r="EM13" s="0" t="n">
        <v>-0.0002314</v>
      </c>
      <c r="EN13" s="0" t="n">
        <v>0.02481304</v>
      </c>
      <c r="EO13" s="0" t="n">
        <v>0.00899503</v>
      </c>
      <c r="EP13" s="55" t="n">
        <f aca="false">SUMPRODUCT(B13:EO13,$B$5:$EO$5)</f>
        <v>0.00143245</v>
      </c>
      <c r="EQ13" s="55" t="n">
        <f aca="false">SUMIF('Mi portafolio'!$A$8:$A$19,$A13,'Mi portafolio'!$B$8:$B$19)</f>
        <v>0</v>
      </c>
    </row>
    <row r="14" customFormat="false" ht="15" hidden="false" customHeight="false" outlineLevel="0" collapsed="false">
      <c r="A14" s="54" t="s">
        <v>161</v>
      </c>
      <c r="B14" s="0" t="n">
        <v>0.0111789</v>
      </c>
      <c r="C14" s="0" t="n">
        <v>0.00151001</v>
      </c>
      <c r="D14" s="0" t="n">
        <v>-0.00138601</v>
      </c>
      <c r="E14" s="0" t="n">
        <v>0.00220829</v>
      </c>
      <c r="F14" s="0" t="n">
        <v>0.01982494</v>
      </c>
      <c r="G14" s="0" t="n">
        <v>-0.00052102</v>
      </c>
      <c r="H14" s="0" t="n">
        <v>-0.00014956</v>
      </c>
      <c r="I14" s="0" t="n">
        <v>0.01872629</v>
      </c>
      <c r="J14" s="0" t="n">
        <v>0.04448445</v>
      </c>
      <c r="K14" s="0" t="n">
        <v>0.02011908</v>
      </c>
      <c r="L14" s="0" t="n">
        <v>0.00411102</v>
      </c>
      <c r="M14" s="0" t="n">
        <v>0.00925262</v>
      </c>
      <c r="N14" s="0" t="n">
        <v>0.01959258</v>
      </c>
      <c r="O14" s="0" t="n">
        <v>0.00485312</v>
      </c>
      <c r="P14" s="0" t="n">
        <v>0.0193031</v>
      </c>
      <c r="Q14" s="0" t="n">
        <v>0.00045245</v>
      </c>
      <c r="R14" s="0" t="n">
        <v>0.02281184</v>
      </c>
      <c r="S14" s="0" t="n">
        <v>0.00633133</v>
      </c>
      <c r="T14" s="0" t="n">
        <v>0.00630623</v>
      </c>
      <c r="U14" s="0" t="n">
        <v>0.00442855</v>
      </c>
      <c r="V14" s="0" t="n">
        <v>-0.00147531</v>
      </c>
      <c r="W14" s="0" t="n">
        <v>0.00742013</v>
      </c>
      <c r="X14" s="0" t="n">
        <v>0.00806466</v>
      </c>
      <c r="Y14" s="0" t="n">
        <v>0.01299216</v>
      </c>
      <c r="Z14" s="0" t="n">
        <v>0.00295666</v>
      </c>
      <c r="AA14" s="0" t="n">
        <v>0.00846556</v>
      </c>
      <c r="AB14" s="0" t="n">
        <v>0.01142703</v>
      </c>
      <c r="AC14" s="0" t="n">
        <v>-0.00764499</v>
      </c>
      <c r="AD14" s="0" t="n">
        <v>0.00594008</v>
      </c>
      <c r="AE14" s="0" t="n">
        <v>-0.0046543</v>
      </c>
      <c r="AF14" s="0" t="n">
        <v>-0.00045646</v>
      </c>
      <c r="AG14" s="0" t="n">
        <v>0.01637675</v>
      </c>
      <c r="AH14" s="0" t="n">
        <v>0.0157523</v>
      </c>
      <c r="AI14" s="0" t="n">
        <v>0.01146589</v>
      </c>
      <c r="AJ14" s="0" t="n">
        <v>0.00026272</v>
      </c>
      <c r="AK14" s="0" t="n">
        <v>0.00448598</v>
      </c>
      <c r="AL14" s="0" t="n">
        <v>0.01118178</v>
      </c>
      <c r="AM14" s="0" t="n">
        <v>0.00489484</v>
      </c>
      <c r="AN14" s="0" t="n">
        <v>0.01623677</v>
      </c>
      <c r="AO14" s="0" t="n">
        <v>0.0323775</v>
      </c>
      <c r="AP14" s="0" t="n">
        <v>0.0068249</v>
      </c>
      <c r="AQ14" s="0" t="n">
        <v>0.0119821</v>
      </c>
      <c r="AR14" s="0" t="n">
        <v>0.0051887</v>
      </c>
      <c r="AS14" s="0" t="n">
        <v>0.00344497</v>
      </c>
      <c r="AT14" s="0" t="n">
        <v>0.00221519</v>
      </c>
      <c r="AU14" s="0" t="n">
        <v>0.02500074</v>
      </c>
      <c r="AV14" s="0" t="n">
        <v>0.00144456</v>
      </c>
      <c r="AW14" s="0" t="n">
        <v>0.00139491</v>
      </c>
      <c r="AX14" s="0" t="n">
        <v>0.03194463</v>
      </c>
      <c r="AY14" s="0" t="n">
        <v>0.01292355</v>
      </c>
      <c r="AZ14" s="0" t="n">
        <v>-0.00258227</v>
      </c>
      <c r="BA14" s="0" t="n">
        <v>0.01249254</v>
      </c>
      <c r="BB14" s="0" t="n">
        <v>0.00113025</v>
      </c>
      <c r="BC14" s="0" t="n">
        <v>-0.00066968</v>
      </c>
      <c r="BD14" s="0" t="n">
        <v>0.00248974</v>
      </c>
      <c r="BE14" s="0" t="n">
        <v>0.03616812</v>
      </c>
      <c r="BF14" s="0" t="n">
        <v>0.00253802</v>
      </c>
      <c r="BG14" s="0" t="n">
        <v>0.0129524</v>
      </c>
      <c r="BH14" s="0" t="n">
        <v>-0.00237982</v>
      </c>
      <c r="BI14" s="0" t="n">
        <v>-0.00085692</v>
      </c>
      <c r="BJ14" s="0" t="n">
        <v>-0.00192021</v>
      </c>
      <c r="BK14" s="0" t="n">
        <v>-0.00394757</v>
      </c>
      <c r="BL14" s="0" t="n">
        <v>0.0117177</v>
      </c>
      <c r="BM14" s="0" t="n">
        <v>0.01350627</v>
      </c>
      <c r="BN14" s="0" t="n">
        <v>0.01430579</v>
      </c>
      <c r="BO14" s="0" t="n">
        <v>0.00964694</v>
      </c>
      <c r="BP14" s="0" t="n">
        <v>-0.01004072</v>
      </c>
      <c r="BQ14" s="0" t="n">
        <v>-0.00185642</v>
      </c>
      <c r="BR14" s="0" t="n">
        <v>0.00641354</v>
      </c>
      <c r="BS14" s="0" t="n">
        <v>0.00795787</v>
      </c>
      <c r="BT14" s="0" t="n">
        <v>0.0143336</v>
      </c>
      <c r="BU14" s="0" t="n">
        <v>0.00211086</v>
      </c>
      <c r="BV14" s="0" t="n">
        <v>-0.00113191</v>
      </c>
      <c r="BW14" s="0" t="n">
        <v>0.01078559</v>
      </c>
      <c r="BX14" s="0" t="n">
        <v>0.03809078</v>
      </c>
      <c r="BY14" s="0" t="n">
        <v>0.00614769</v>
      </c>
      <c r="BZ14" s="0" t="n">
        <v>0.00802027</v>
      </c>
      <c r="CA14" s="0" t="n">
        <v>0.00071745</v>
      </c>
      <c r="CB14" s="0" t="n">
        <v>0.00877396</v>
      </c>
      <c r="CC14" s="0" t="n">
        <v>0.00845185</v>
      </c>
      <c r="CD14" s="0" t="n">
        <v>0.00673066</v>
      </c>
      <c r="CE14" s="0" t="n">
        <v>0.00088535</v>
      </c>
      <c r="CF14" s="0" t="n">
        <v>0.0123356</v>
      </c>
      <c r="CG14" s="0" t="n">
        <v>0.00720601</v>
      </c>
      <c r="CH14" s="0" t="n">
        <v>0.0003153</v>
      </c>
      <c r="CI14" s="0" t="n">
        <v>0.01164142</v>
      </c>
      <c r="CJ14" s="0" t="n">
        <v>0.01625079</v>
      </c>
      <c r="CK14" s="0" t="n">
        <v>0.0170351</v>
      </c>
      <c r="CL14" s="0" t="n">
        <v>0.00938823</v>
      </c>
      <c r="CM14" s="0" t="n">
        <v>-0.01028048</v>
      </c>
      <c r="CN14" s="0" t="n">
        <v>0.00271802</v>
      </c>
      <c r="CO14" s="0" t="n">
        <v>-0.00539319</v>
      </c>
      <c r="CP14" s="0" t="n">
        <v>0.00922072</v>
      </c>
      <c r="CQ14" s="0" t="n">
        <v>0.008111</v>
      </c>
      <c r="CR14" s="0" t="n">
        <v>-0.00929549</v>
      </c>
      <c r="CS14" s="0" t="n">
        <v>0.00345334</v>
      </c>
      <c r="CT14" s="0" t="n">
        <v>0.00013404</v>
      </c>
      <c r="CU14" s="0" t="n">
        <v>0.00110497</v>
      </c>
      <c r="CV14" s="0" t="n">
        <v>-0.00719367</v>
      </c>
      <c r="CW14" s="0" t="n">
        <v>0.00652324</v>
      </c>
      <c r="CX14" s="0" t="n">
        <v>0.00524567</v>
      </c>
      <c r="CY14" s="0" t="n">
        <v>0.00722125</v>
      </c>
      <c r="CZ14" s="0" t="n">
        <v>0.00406127</v>
      </c>
      <c r="DA14" s="0" t="n">
        <v>0.00055547</v>
      </c>
      <c r="DB14" s="0" t="n">
        <v>-0.00840364</v>
      </c>
      <c r="DC14" s="0" t="n">
        <v>-0.00621576</v>
      </c>
      <c r="DD14" s="0" t="n">
        <v>0.00111405</v>
      </c>
      <c r="DE14" s="0" t="n">
        <v>-0.00333527</v>
      </c>
      <c r="DF14" s="0" t="n">
        <v>-0.00013672</v>
      </c>
      <c r="DG14" s="0" t="n">
        <v>0.0097027</v>
      </c>
      <c r="DH14" s="0" t="n">
        <v>-0.01499759</v>
      </c>
      <c r="DI14" s="0" t="n">
        <v>0.0037941</v>
      </c>
      <c r="DJ14" s="0" t="n">
        <v>0.01424279</v>
      </c>
      <c r="DK14" s="0" t="n">
        <v>0.00699819</v>
      </c>
      <c r="DL14" s="0" t="n">
        <v>-0.00054627</v>
      </c>
      <c r="DM14" s="0" t="n">
        <v>0.01280253</v>
      </c>
      <c r="DN14" s="0" t="n">
        <v>0.00736784</v>
      </c>
      <c r="DO14" s="0" t="n">
        <v>-0.00866548</v>
      </c>
      <c r="DP14" s="0" t="n">
        <v>0.01778092</v>
      </c>
      <c r="DQ14" s="0" t="n">
        <v>-0.00299466</v>
      </c>
      <c r="DR14" s="0" t="n">
        <v>0.00038698</v>
      </c>
      <c r="DS14" s="0" t="n">
        <v>0.00049745</v>
      </c>
      <c r="DT14" s="0" t="n">
        <v>-0.02692577</v>
      </c>
      <c r="DU14" s="0" t="n">
        <v>-0.01344458</v>
      </c>
      <c r="DV14" s="0" t="n">
        <v>-0.00607965</v>
      </c>
      <c r="DW14" s="0" t="n">
        <v>-0.00151006</v>
      </c>
      <c r="DX14" s="0" t="n">
        <v>-0.01666051</v>
      </c>
      <c r="DY14" s="0" t="n">
        <v>-0.01595066</v>
      </c>
      <c r="DZ14" s="0" t="n">
        <v>0.00044909</v>
      </c>
      <c r="EA14" s="0" t="n">
        <v>0.00287835</v>
      </c>
      <c r="EB14" s="0" t="n">
        <v>-0.00911566</v>
      </c>
      <c r="EC14" s="0" t="n">
        <v>0.00401406</v>
      </c>
      <c r="ED14" s="0" t="n">
        <v>-0.00904521</v>
      </c>
      <c r="EE14" s="0" t="n">
        <v>-0.02169005</v>
      </c>
      <c r="EF14" s="0" t="n">
        <v>0.00753609</v>
      </c>
      <c r="EG14" s="0" t="n">
        <v>-0.01629556</v>
      </c>
      <c r="EH14" s="0" t="n">
        <v>0.0023186</v>
      </c>
      <c r="EI14" s="0" t="n">
        <v>-0.03056313</v>
      </c>
      <c r="EJ14" s="0" t="n">
        <v>-0.00661737</v>
      </c>
      <c r="EK14" s="0" t="n">
        <v>-0.01469069</v>
      </c>
      <c r="EL14" s="0" t="n">
        <v>-0.0136148</v>
      </c>
      <c r="EM14" s="0" t="n">
        <v>-0.01899272</v>
      </c>
      <c r="EN14" s="0" t="n">
        <v>0.03818362</v>
      </c>
      <c r="EO14" s="0" t="n">
        <v>-0.0105521</v>
      </c>
      <c r="EP14" s="55" t="n">
        <f aca="false">SUMPRODUCT(B14:EO14,$B$5:$EO$5)</f>
        <v>-0.003059082</v>
      </c>
      <c r="EQ14" s="55" t="n">
        <f aca="false">SUMIF('Mi portafolio'!$A$8:$A$19,$A14,'Mi portafolio'!$B$8:$B$19)</f>
        <v>0</v>
      </c>
    </row>
    <row r="15" customFormat="false" ht="15" hidden="false" customHeight="false" outlineLevel="0" collapsed="false">
      <c r="A15" s="54" t="s">
        <v>162</v>
      </c>
      <c r="B15" s="0" t="n">
        <v>0.01510253</v>
      </c>
      <c r="C15" s="0" t="n">
        <v>-0.00293126</v>
      </c>
      <c r="D15" s="0" t="n">
        <v>-0.00225645</v>
      </c>
      <c r="E15" s="0" t="n">
        <v>0.00329236</v>
      </c>
      <c r="F15" s="0" t="n">
        <v>0.02480373</v>
      </c>
      <c r="G15" s="0" t="n">
        <v>0.00035695</v>
      </c>
      <c r="H15" s="0" t="n">
        <v>0.00432872</v>
      </c>
      <c r="I15" s="0" t="n">
        <v>0.02422535</v>
      </c>
      <c r="J15" s="0" t="n">
        <v>0.02011908</v>
      </c>
      <c r="K15" s="0" t="n">
        <v>0.04417693</v>
      </c>
      <c r="L15" s="0" t="n">
        <v>0.00404204</v>
      </c>
      <c r="M15" s="0" t="n">
        <v>0.0139636</v>
      </c>
      <c r="N15" s="0" t="n">
        <v>0.01610438</v>
      </c>
      <c r="O15" s="0" t="n">
        <v>0.00817321</v>
      </c>
      <c r="P15" s="0" t="n">
        <v>0.01925167</v>
      </c>
      <c r="Q15" s="0" t="n">
        <v>-0.00205262</v>
      </c>
      <c r="R15" s="0" t="n">
        <v>0.02757052</v>
      </c>
      <c r="S15" s="0" t="n">
        <v>0.00818469</v>
      </c>
      <c r="T15" s="0" t="n">
        <v>0.00624162</v>
      </c>
      <c r="U15" s="0" t="n">
        <v>0.00469265</v>
      </c>
      <c r="V15" s="0" t="n">
        <v>0.00712647</v>
      </c>
      <c r="W15" s="0" t="n">
        <v>0.00948235</v>
      </c>
      <c r="X15" s="0" t="n">
        <v>0.00643635</v>
      </c>
      <c r="Y15" s="0" t="n">
        <v>0.0149697</v>
      </c>
      <c r="Z15" s="0" t="n">
        <v>0.00679438</v>
      </c>
      <c r="AA15" s="0" t="n">
        <v>0.01058127</v>
      </c>
      <c r="AB15" s="0" t="n">
        <v>0.01578851</v>
      </c>
      <c r="AC15" s="0" t="n">
        <v>0.00202663</v>
      </c>
      <c r="AD15" s="0" t="n">
        <v>0.00740029</v>
      </c>
      <c r="AE15" s="0" t="n">
        <v>0.0021812</v>
      </c>
      <c r="AF15" s="0" t="n">
        <v>-0.00338277</v>
      </c>
      <c r="AG15" s="0" t="n">
        <v>0.01937033</v>
      </c>
      <c r="AH15" s="0" t="n">
        <v>0.01989525</v>
      </c>
      <c r="AI15" s="0" t="n">
        <v>0.00381277</v>
      </c>
      <c r="AJ15" s="0" t="n">
        <v>0.00193212</v>
      </c>
      <c r="AK15" s="0" t="n">
        <v>0.00133686</v>
      </c>
      <c r="AL15" s="0" t="n">
        <v>0.0151128</v>
      </c>
      <c r="AM15" s="0" t="n">
        <v>0.00131558</v>
      </c>
      <c r="AN15" s="0" t="n">
        <v>0.02909479</v>
      </c>
      <c r="AO15" s="0" t="n">
        <v>0.01866313</v>
      </c>
      <c r="AP15" s="0" t="n">
        <v>0.01789072</v>
      </c>
      <c r="AQ15" s="0" t="n">
        <v>0.0040785</v>
      </c>
      <c r="AR15" s="0" t="n">
        <v>0.00740378</v>
      </c>
      <c r="AS15" s="0" t="n">
        <v>0.00012693</v>
      </c>
      <c r="AT15" s="0" t="n">
        <v>0.00988645</v>
      </c>
      <c r="AU15" s="0" t="n">
        <v>0.02507528</v>
      </c>
      <c r="AV15" s="0" t="n">
        <v>0.00473789</v>
      </c>
      <c r="AW15" s="0" t="n">
        <v>0.00186835</v>
      </c>
      <c r="AX15" s="0" t="n">
        <v>0.02428333</v>
      </c>
      <c r="AY15" s="0" t="n">
        <v>0.01673025</v>
      </c>
      <c r="AZ15" s="0" t="n">
        <v>0.00331329</v>
      </c>
      <c r="BA15" s="0" t="n">
        <v>0.01820126</v>
      </c>
      <c r="BB15" s="0" t="n">
        <v>-2.569E-005</v>
      </c>
      <c r="BC15" s="0" t="n">
        <v>0.00097063</v>
      </c>
      <c r="BD15" s="0" t="n">
        <v>0.00617009</v>
      </c>
      <c r="BE15" s="0" t="n">
        <v>0.02597812</v>
      </c>
      <c r="BF15" s="0" t="n">
        <v>0.00633642</v>
      </c>
      <c r="BG15" s="0" t="n">
        <v>0.00898177</v>
      </c>
      <c r="BH15" s="0" t="n">
        <v>0.00180077</v>
      </c>
      <c r="BI15" s="0" t="n">
        <v>0.00261884</v>
      </c>
      <c r="BJ15" s="0" t="n">
        <v>-0.00318908</v>
      </c>
      <c r="BK15" s="0" t="n">
        <v>0.00199857</v>
      </c>
      <c r="BL15" s="0" t="n">
        <v>0.01352556</v>
      </c>
      <c r="BM15" s="0" t="n">
        <v>0.02262687</v>
      </c>
      <c r="BN15" s="0" t="n">
        <v>0.01607794</v>
      </c>
      <c r="BO15" s="0" t="n">
        <v>0.01432747</v>
      </c>
      <c r="BP15" s="0" t="n">
        <v>-0.00294611</v>
      </c>
      <c r="BQ15" s="0" t="n">
        <v>0.00721394</v>
      </c>
      <c r="BR15" s="0" t="n">
        <v>0.00989478</v>
      </c>
      <c r="BS15" s="0" t="n">
        <v>-0.00433789</v>
      </c>
      <c r="BT15" s="0" t="n">
        <v>0.01263532</v>
      </c>
      <c r="BU15" s="0" t="n">
        <v>-0.0030179</v>
      </c>
      <c r="BV15" s="0" t="n">
        <v>0.01036089</v>
      </c>
      <c r="BW15" s="0" t="n">
        <v>0.0076121</v>
      </c>
      <c r="BX15" s="0" t="n">
        <v>0.01873184</v>
      </c>
      <c r="BY15" s="0" t="n">
        <v>0.01599443</v>
      </c>
      <c r="BZ15" s="0" t="n">
        <v>0.01287191</v>
      </c>
      <c r="CA15" s="0" t="n">
        <v>0.00994713</v>
      </c>
      <c r="CB15" s="0" t="n">
        <v>-0.00164803</v>
      </c>
      <c r="CC15" s="0" t="n">
        <v>0.01138202</v>
      </c>
      <c r="CD15" s="0" t="n">
        <v>0.00893133</v>
      </c>
      <c r="CE15" s="0" t="n">
        <v>-0.00329396</v>
      </c>
      <c r="CF15" s="0" t="n">
        <v>0.00103909</v>
      </c>
      <c r="CG15" s="0" t="n">
        <v>0.01381842</v>
      </c>
      <c r="CH15" s="0" t="n">
        <v>0.00121988</v>
      </c>
      <c r="CI15" s="0" t="n">
        <v>0.000236</v>
      </c>
      <c r="CJ15" s="0" t="n">
        <v>0.0137169</v>
      </c>
      <c r="CK15" s="0" t="n">
        <v>0.02716775</v>
      </c>
      <c r="CL15" s="0" t="n">
        <v>0.01297621</v>
      </c>
      <c r="CM15" s="0" t="n">
        <v>-0.01116343</v>
      </c>
      <c r="CN15" s="0" t="n">
        <v>-0.00224728</v>
      </c>
      <c r="CO15" s="0" t="n">
        <v>0.00478032</v>
      </c>
      <c r="CP15" s="0" t="n">
        <v>0.01438519</v>
      </c>
      <c r="CQ15" s="0" t="n">
        <v>0.01599381</v>
      </c>
      <c r="CR15" s="0" t="n">
        <v>-0.00338302</v>
      </c>
      <c r="CS15" s="0" t="n">
        <v>0.00468282</v>
      </c>
      <c r="CT15" s="0" t="n">
        <v>0.00727064</v>
      </c>
      <c r="CU15" s="0" t="n">
        <v>0.00426388</v>
      </c>
      <c r="CV15" s="0" t="n">
        <v>0.00720907</v>
      </c>
      <c r="CW15" s="0" t="n">
        <v>0.01171417</v>
      </c>
      <c r="CX15" s="0" t="n">
        <v>0.01017057</v>
      </c>
      <c r="CY15" s="0" t="n">
        <v>0.02672956</v>
      </c>
      <c r="CZ15" s="0" t="n">
        <v>0.00086876</v>
      </c>
      <c r="DA15" s="0" t="n">
        <v>0.01220086</v>
      </c>
      <c r="DB15" s="0" t="n">
        <v>-0.00208334</v>
      </c>
      <c r="DC15" s="0" t="n">
        <v>0.01309189</v>
      </c>
      <c r="DD15" s="0" t="n">
        <v>0.01136603</v>
      </c>
      <c r="DE15" s="0" t="n">
        <v>-0.00161098</v>
      </c>
      <c r="DF15" s="0" t="n">
        <v>-0.00311765</v>
      </c>
      <c r="DG15" s="0" t="n">
        <v>0.00394762</v>
      </c>
      <c r="DH15" s="0" t="n">
        <v>-0.01533487</v>
      </c>
      <c r="DI15" s="0" t="n">
        <v>0.02343126</v>
      </c>
      <c r="DJ15" s="0" t="n">
        <v>0.02826861</v>
      </c>
      <c r="DK15" s="0" t="n">
        <v>0.02082379</v>
      </c>
      <c r="DL15" s="0" t="n">
        <v>0.00167786</v>
      </c>
      <c r="DM15" s="0" t="n">
        <v>0.03571413</v>
      </c>
      <c r="DN15" s="0" t="n">
        <v>0.0201165</v>
      </c>
      <c r="DO15" s="0" t="n">
        <v>0.00124912</v>
      </c>
      <c r="DP15" s="0" t="n">
        <v>0.03362238</v>
      </c>
      <c r="DQ15" s="0" t="n">
        <v>-0.00171426</v>
      </c>
      <c r="DR15" s="0" t="n">
        <v>-0.01342982</v>
      </c>
      <c r="DS15" s="0" t="n">
        <v>0.00823774</v>
      </c>
      <c r="DT15" s="0" t="n">
        <v>-0.02696275</v>
      </c>
      <c r="DU15" s="0" t="n">
        <v>-0.00708227</v>
      </c>
      <c r="DV15" s="0" t="n">
        <v>-0.00552601</v>
      </c>
      <c r="DW15" s="0" t="n">
        <v>0.00132954</v>
      </c>
      <c r="DX15" s="0" t="n">
        <v>-0.02137134</v>
      </c>
      <c r="DY15" s="0" t="n">
        <v>0.00112357</v>
      </c>
      <c r="DZ15" s="0" t="n">
        <v>-0.01206948</v>
      </c>
      <c r="EA15" s="0" t="n">
        <v>0.0151927</v>
      </c>
      <c r="EB15" s="0" t="n">
        <v>-0.00071521</v>
      </c>
      <c r="EC15" s="0" t="n">
        <v>-0.01928214</v>
      </c>
      <c r="ED15" s="0" t="n">
        <v>-0.0103679</v>
      </c>
      <c r="EE15" s="0" t="n">
        <v>-0.01125572</v>
      </c>
      <c r="EF15" s="0" t="n">
        <v>0.0172945</v>
      </c>
      <c r="EG15" s="0" t="n">
        <v>-0.01339493</v>
      </c>
      <c r="EH15" s="0" t="n">
        <v>-0.00069278</v>
      </c>
      <c r="EI15" s="0" t="n">
        <v>-0.04083101</v>
      </c>
      <c r="EJ15" s="0" t="n">
        <v>0.00137945</v>
      </c>
      <c r="EK15" s="0" t="n">
        <v>-0.01315408</v>
      </c>
      <c r="EL15" s="0" t="n">
        <v>-0.01756233</v>
      </c>
      <c r="EM15" s="0" t="n">
        <v>-0.02091744</v>
      </c>
      <c r="EN15" s="0" t="n">
        <v>0.02734232</v>
      </c>
      <c r="EO15" s="0" t="n">
        <v>0.0074068</v>
      </c>
      <c r="EP15" s="55" t="n">
        <f aca="false">SUMPRODUCT(B15:EO15,$B$5:$EO$5)</f>
        <v>0.001068616</v>
      </c>
      <c r="EQ15" s="55" t="n">
        <f aca="false">SUMIF('Mi portafolio'!$A$8:$A$19,$A15,'Mi portafolio'!$B$8:$B$19)</f>
        <v>0</v>
      </c>
    </row>
    <row r="16" customFormat="false" ht="15" hidden="false" customHeight="false" outlineLevel="0" collapsed="false">
      <c r="A16" s="54" t="s">
        <v>163</v>
      </c>
      <c r="B16" s="0" t="n">
        <v>0.00222703</v>
      </c>
      <c r="C16" s="0" t="n">
        <v>0.0111274</v>
      </c>
      <c r="D16" s="0" t="n">
        <v>0.00424757</v>
      </c>
      <c r="E16" s="0" t="n">
        <v>0.01255593</v>
      </c>
      <c r="F16" s="0" t="n">
        <v>0.00673445</v>
      </c>
      <c r="G16" s="0" t="n">
        <v>-0.00038852</v>
      </c>
      <c r="H16" s="0" t="n">
        <v>0.00881585</v>
      </c>
      <c r="I16" s="0" t="n">
        <v>0.00603547</v>
      </c>
      <c r="J16" s="0" t="n">
        <v>0.00411102</v>
      </c>
      <c r="K16" s="0" t="n">
        <v>0.00404204</v>
      </c>
      <c r="L16" s="0" t="n">
        <v>0.04260152</v>
      </c>
      <c r="M16" s="0" t="n">
        <v>0.00800707</v>
      </c>
      <c r="N16" s="0" t="n">
        <v>0.00658767</v>
      </c>
      <c r="O16" s="0" t="n">
        <v>0.01708847</v>
      </c>
      <c r="P16" s="0" t="n">
        <v>0.00659166</v>
      </c>
      <c r="Q16" s="0" t="n">
        <v>0.00421604</v>
      </c>
      <c r="R16" s="0" t="n">
        <v>0.00460498</v>
      </c>
      <c r="S16" s="0" t="n">
        <v>0.01629616</v>
      </c>
      <c r="T16" s="0" t="n">
        <v>0.00118901</v>
      </c>
      <c r="U16" s="0" t="n">
        <v>0.01498826</v>
      </c>
      <c r="V16" s="0" t="n">
        <v>0.01412436</v>
      </c>
      <c r="W16" s="0" t="n">
        <v>0.00898561</v>
      </c>
      <c r="X16" s="0" t="n">
        <v>0.00237946</v>
      </c>
      <c r="Y16" s="0" t="n">
        <v>0.00832832</v>
      </c>
      <c r="Z16" s="0" t="n">
        <v>0.01499674</v>
      </c>
      <c r="AA16" s="0" t="n">
        <v>0.01509801</v>
      </c>
      <c r="AB16" s="0" t="n">
        <v>0.00600511</v>
      </c>
      <c r="AC16" s="0" t="n">
        <v>0.00610116</v>
      </c>
      <c r="AD16" s="0" t="n">
        <v>0.01112977</v>
      </c>
      <c r="AE16" s="0" t="n">
        <v>0.01276506</v>
      </c>
      <c r="AF16" s="0" t="n">
        <v>0.0153432</v>
      </c>
      <c r="AG16" s="0" t="n">
        <v>-0.0011417</v>
      </c>
      <c r="AH16" s="0" t="n">
        <v>0.00050456</v>
      </c>
      <c r="AI16" s="0" t="n">
        <v>-0.00120752</v>
      </c>
      <c r="AJ16" s="0" t="n">
        <v>0.01233162</v>
      </c>
      <c r="AK16" s="0" t="n">
        <v>0.01476316</v>
      </c>
      <c r="AL16" s="0" t="n">
        <v>0.00578587</v>
      </c>
      <c r="AM16" s="0" t="n">
        <v>0.00913972</v>
      </c>
      <c r="AN16" s="0" t="n">
        <v>0.00772693</v>
      </c>
      <c r="AO16" s="0" t="n">
        <v>0.00303348</v>
      </c>
      <c r="AP16" s="0" t="n">
        <v>0.00502899</v>
      </c>
      <c r="AQ16" s="0" t="n">
        <v>-0.0004051</v>
      </c>
      <c r="AR16" s="0" t="n">
        <v>-0.0005809</v>
      </c>
      <c r="AS16" s="0" t="n">
        <v>0.01186637</v>
      </c>
      <c r="AT16" s="0" t="n">
        <v>0.00253206</v>
      </c>
      <c r="AU16" s="0" t="n">
        <v>0.00570988</v>
      </c>
      <c r="AV16" s="0" t="n">
        <v>0.01719625</v>
      </c>
      <c r="AW16" s="0" t="n">
        <v>0.00973612</v>
      </c>
      <c r="AX16" s="0" t="n">
        <v>0.00927435</v>
      </c>
      <c r="AY16" s="0" t="n">
        <v>0.01625588</v>
      </c>
      <c r="AZ16" s="0" t="n">
        <v>0.01590209</v>
      </c>
      <c r="BA16" s="0" t="n">
        <v>0.01503869</v>
      </c>
      <c r="BB16" s="0" t="n">
        <v>0.00287525</v>
      </c>
      <c r="BC16" s="0" t="n">
        <v>0.0072046</v>
      </c>
      <c r="BD16" s="0" t="n">
        <v>0.01349416</v>
      </c>
      <c r="BE16" s="0" t="n">
        <v>0.00710341</v>
      </c>
      <c r="BF16" s="0" t="n">
        <v>0.0107585</v>
      </c>
      <c r="BG16" s="0" t="n">
        <v>0.00068612</v>
      </c>
      <c r="BH16" s="0" t="n">
        <v>0.01654455</v>
      </c>
      <c r="BI16" s="0" t="n">
        <v>0.01144558</v>
      </c>
      <c r="BJ16" s="0" t="n">
        <v>0.00125893</v>
      </c>
      <c r="BK16" s="0" t="n">
        <v>0.01350454</v>
      </c>
      <c r="BL16" s="0" t="n">
        <v>0.00586817</v>
      </c>
      <c r="BM16" s="0" t="n">
        <v>0.00886946</v>
      </c>
      <c r="BN16" s="0" t="n">
        <v>0.0065925</v>
      </c>
      <c r="BO16" s="0" t="n">
        <v>0.00632306</v>
      </c>
      <c r="BP16" s="0" t="n">
        <v>0.01284106</v>
      </c>
      <c r="BQ16" s="0" t="n">
        <v>0.01580461</v>
      </c>
      <c r="BR16" s="0" t="n">
        <v>0.00696023</v>
      </c>
      <c r="BS16" s="0" t="n">
        <v>-0.00465218</v>
      </c>
      <c r="BT16" s="0" t="n">
        <v>0.00954885</v>
      </c>
      <c r="BU16" s="0" t="n">
        <v>0.00568427</v>
      </c>
      <c r="BV16" s="0" t="n">
        <v>0.00852307</v>
      </c>
      <c r="BW16" s="0" t="n">
        <v>0.0109441</v>
      </c>
      <c r="BX16" s="0" t="n">
        <v>-0.00296204</v>
      </c>
      <c r="BY16" s="0" t="n">
        <v>0.00387745</v>
      </c>
      <c r="BZ16" s="0" t="n">
        <v>0.01076094</v>
      </c>
      <c r="CA16" s="0" t="n">
        <v>0.01350769</v>
      </c>
      <c r="CB16" s="0" t="n">
        <v>-0.00550608</v>
      </c>
      <c r="CC16" s="0" t="n">
        <v>0.00018168</v>
      </c>
      <c r="CD16" s="0" t="n">
        <v>0.0113889</v>
      </c>
      <c r="CE16" s="0" t="n">
        <v>0.00436369</v>
      </c>
      <c r="CF16" s="0" t="n">
        <v>-0.00017761</v>
      </c>
      <c r="CG16" s="0" t="n">
        <v>0.00797957</v>
      </c>
      <c r="CH16" s="0" t="n">
        <v>0.01305188</v>
      </c>
      <c r="CI16" s="0" t="n">
        <v>-0.00122345</v>
      </c>
      <c r="CJ16" s="0" t="n">
        <v>-0.00141625</v>
      </c>
      <c r="CK16" s="0" t="n">
        <v>0.00273565</v>
      </c>
      <c r="CL16" s="0" t="n">
        <v>0.00370376</v>
      </c>
      <c r="CM16" s="0" t="n">
        <v>0.00368501</v>
      </c>
      <c r="CN16" s="0" t="n">
        <v>0.01095375</v>
      </c>
      <c r="CO16" s="0" t="n">
        <v>0.00735241</v>
      </c>
      <c r="CP16" s="0" t="n">
        <v>0.00370393</v>
      </c>
      <c r="CQ16" s="0" t="n">
        <v>0.0107617</v>
      </c>
      <c r="CR16" s="0" t="n">
        <v>0.0105665</v>
      </c>
      <c r="CS16" s="0" t="n">
        <v>0.00684604</v>
      </c>
      <c r="CT16" s="0" t="n">
        <v>0.00820153</v>
      </c>
      <c r="CU16" s="0" t="n">
        <v>0.00961282</v>
      </c>
      <c r="CV16" s="0" t="n">
        <v>0.00018304</v>
      </c>
      <c r="CW16" s="0" t="n">
        <v>0.01314022</v>
      </c>
      <c r="CX16" s="0" t="n">
        <v>0.00598863</v>
      </c>
      <c r="CY16" s="0" t="n">
        <v>0.00821652</v>
      </c>
      <c r="CZ16" s="0" t="n">
        <v>0.01328026</v>
      </c>
      <c r="DA16" s="0" t="n">
        <v>0.01035284</v>
      </c>
      <c r="DB16" s="0" t="n">
        <v>0.01244333</v>
      </c>
      <c r="DC16" s="0" t="n">
        <v>0.01438898</v>
      </c>
      <c r="DD16" s="0" t="n">
        <v>0.00574722</v>
      </c>
      <c r="DE16" s="0" t="n">
        <v>0.00929143</v>
      </c>
      <c r="DF16" s="0" t="n">
        <v>0.00658502</v>
      </c>
      <c r="DG16" s="0" t="n">
        <v>0.01219659</v>
      </c>
      <c r="DH16" s="0" t="n">
        <v>0.00812649</v>
      </c>
      <c r="DI16" s="0" t="n">
        <v>0.01379848</v>
      </c>
      <c r="DJ16" s="0" t="n">
        <v>0.00852083</v>
      </c>
      <c r="DK16" s="0" t="n">
        <v>0.01514883</v>
      </c>
      <c r="DL16" s="0" t="n">
        <v>0.01598397</v>
      </c>
      <c r="DM16" s="0" t="n">
        <v>0.01597591</v>
      </c>
      <c r="DN16" s="0" t="n">
        <v>0.02256145</v>
      </c>
      <c r="DO16" s="0" t="n">
        <v>0.01731109</v>
      </c>
      <c r="DP16" s="0" t="n">
        <v>0.01142615</v>
      </c>
      <c r="DQ16" s="0" t="n">
        <v>0.01283838</v>
      </c>
      <c r="DR16" s="0" t="n">
        <v>0.00505835</v>
      </c>
      <c r="DS16" s="0" t="n">
        <v>0.00439381</v>
      </c>
      <c r="DT16" s="0" t="n">
        <v>0.00333709</v>
      </c>
      <c r="DU16" s="0" t="n">
        <v>-0.0024631</v>
      </c>
      <c r="DV16" s="0" t="n">
        <v>0.00871781</v>
      </c>
      <c r="DW16" s="0" t="n">
        <v>-0.00085732</v>
      </c>
      <c r="DX16" s="0" t="n">
        <v>0.01486524</v>
      </c>
      <c r="DY16" s="0" t="n">
        <v>0.00854534</v>
      </c>
      <c r="DZ16" s="0" t="n">
        <v>0.01302081</v>
      </c>
      <c r="EA16" s="0" t="n">
        <v>0.01601374</v>
      </c>
      <c r="EB16" s="0" t="n">
        <v>0.00476632</v>
      </c>
      <c r="EC16" s="0" t="n">
        <v>0.00457626</v>
      </c>
      <c r="ED16" s="0" t="n">
        <v>0.01080112</v>
      </c>
      <c r="EE16" s="0" t="n">
        <v>0.01620792</v>
      </c>
      <c r="EF16" s="0" t="n">
        <v>0.01063272</v>
      </c>
      <c r="EG16" s="0" t="n">
        <v>0.03199725</v>
      </c>
      <c r="EH16" s="0" t="n">
        <v>-1.235E-005</v>
      </c>
      <c r="EI16" s="0" t="n">
        <v>0.01346183</v>
      </c>
      <c r="EJ16" s="0" t="n">
        <v>0.02548051</v>
      </c>
      <c r="EK16" s="0" t="n">
        <v>0.01985655</v>
      </c>
      <c r="EL16" s="0" t="n">
        <v>0.02565909</v>
      </c>
      <c r="EM16" s="0" t="n">
        <v>0.00391131</v>
      </c>
      <c r="EN16" s="0" t="n">
        <v>0.00038957</v>
      </c>
      <c r="EO16" s="0" t="n">
        <v>0.01418798</v>
      </c>
      <c r="EP16" s="55" t="n">
        <f aca="false">SUMPRODUCT(B16:EO16,$B$5:$EO$5)</f>
        <v>0.011149874</v>
      </c>
      <c r="EQ16" s="55" t="n">
        <f aca="false">SUMIF('Mi portafolio'!$A$8:$A$19,$A16,'Mi portafolio'!$B$8:$B$19)</f>
        <v>0</v>
      </c>
    </row>
    <row r="17" customFormat="false" ht="15" hidden="false" customHeight="false" outlineLevel="0" collapsed="false">
      <c r="A17" s="54" t="s">
        <v>164</v>
      </c>
      <c r="B17" s="0" t="n">
        <v>0.00904954</v>
      </c>
      <c r="C17" s="0" t="n">
        <v>0.00254736</v>
      </c>
      <c r="D17" s="0" t="n">
        <v>-0.00300205</v>
      </c>
      <c r="E17" s="0" t="n">
        <v>0.00831472</v>
      </c>
      <c r="F17" s="0" t="n">
        <v>0.01274004</v>
      </c>
      <c r="G17" s="0" t="n">
        <v>0.00252403</v>
      </c>
      <c r="H17" s="0" t="n">
        <v>0.00809796</v>
      </c>
      <c r="I17" s="0" t="n">
        <v>0.01375139</v>
      </c>
      <c r="J17" s="0" t="n">
        <v>0.00925262</v>
      </c>
      <c r="K17" s="0" t="n">
        <v>0.0139636</v>
      </c>
      <c r="L17" s="0" t="n">
        <v>0.00800707</v>
      </c>
      <c r="M17" s="0" t="n">
        <v>0.04788925</v>
      </c>
      <c r="N17" s="0" t="n">
        <v>0.01423832</v>
      </c>
      <c r="O17" s="0" t="n">
        <v>0.01091463</v>
      </c>
      <c r="P17" s="0" t="n">
        <v>0.00985537</v>
      </c>
      <c r="Q17" s="0" t="n">
        <v>0.00012863</v>
      </c>
      <c r="R17" s="0" t="n">
        <v>0.01445608</v>
      </c>
      <c r="S17" s="0" t="n">
        <v>0.00583393</v>
      </c>
      <c r="T17" s="0" t="n">
        <v>0.0173936</v>
      </c>
      <c r="U17" s="0" t="n">
        <v>0.0145359</v>
      </c>
      <c r="V17" s="0" t="n">
        <v>0.014704</v>
      </c>
      <c r="W17" s="0" t="n">
        <v>0.00834589</v>
      </c>
      <c r="X17" s="0" t="n">
        <v>0.01724701</v>
      </c>
      <c r="Y17" s="0" t="n">
        <v>0.01200583</v>
      </c>
      <c r="Z17" s="0" t="n">
        <v>0.01510871</v>
      </c>
      <c r="AA17" s="0" t="n">
        <v>0.01088669</v>
      </c>
      <c r="AB17" s="0" t="n">
        <v>0.01263046</v>
      </c>
      <c r="AC17" s="0" t="n">
        <v>0.00545008</v>
      </c>
      <c r="AD17" s="0" t="n">
        <v>0.00886763</v>
      </c>
      <c r="AE17" s="0" t="n">
        <v>0.01306234</v>
      </c>
      <c r="AF17" s="0" t="n">
        <v>0.00682845</v>
      </c>
      <c r="AG17" s="0" t="n">
        <v>0.00156908</v>
      </c>
      <c r="AH17" s="0" t="n">
        <v>0.00269521</v>
      </c>
      <c r="AI17" s="0" t="n">
        <v>-0.00396349</v>
      </c>
      <c r="AJ17" s="0" t="n">
        <v>0.00092219</v>
      </c>
      <c r="AK17" s="0" t="n">
        <v>0.01375459</v>
      </c>
      <c r="AL17" s="0" t="n">
        <v>0.01513362</v>
      </c>
      <c r="AM17" s="0" t="n">
        <v>0.01170799</v>
      </c>
      <c r="AN17" s="0" t="n">
        <v>0.03151653</v>
      </c>
      <c r="AO17" s="0" t="n">
        <v>0.00929572</v>
      </c>
      <c r="AP17" s="0" t="n">
        <v>0.01559957</v>
      </c>
      <c r="AQ17" s="0" t="n">
        <v>-0.00712329</v>
      </c>
      <c r="AR17" s="0" t="n">
        <v>0.01426059</v>
      </c>
      <c r="AS17" s="0" t="n">
        <v>0.01470829</v>
      </c>
      <c r="AT17" s="0" t="n">
        <v>0.02248026</v>
      </c>
      <c r="AU17" s="0" t="n">
        <v>0.01456864</v>
      </c>
      <c r="AV17" s="0" t="n">
        <v>0.01124704</v>
      </c>
      <c r="AW17" s="0" t="n">
        <v>0.01550294</v>
      </c>
      <c r="AX17" s="0" t="n">
        <v>0.01741065</v>
      </c>
      <c r="AY17" s="0" t="n">
        <v>0.02344326</v>
      </c>
      <c r="AZ17" s="0" t="n">
        <v>0.01775875</v>
      </c>
      <c r="BA17" s="0" t="n">
        <v>0.02346163</v>
      </c>
      <c r="BB17" s="0" t="n">
        <v>0.02144789</v>
      </c>
      <c r="BC17" s="0" t="n">
        <v>0.00909247</v>
      </c>
      <c r="BD17" s="0" t="n">
        <v>0.01147123</v>
      </c>
      <c r="BE17" s="0" t="n">
        <v>0.01924293</v>
      </c>
      <c r="BF17" s="0" t="n">
        <v>0.01817222</v>
      </c>
      <c r="BG17" s="0" t="n">
        <v>0.02262153</v>
      </c>
      <c r="BH17" s="0" t="n">
        <v>0.01095756</v>
      </c>
      <c r="BI17" s="0" t="n">
        <v>0.00899272</v>
      </c>
      <c r="BJ17" s="0" t="n">
        <v>-0.00742092</v>
      </c>
      <c r="BK17" s="0" t="n">
        <v>0.01274334</v>
      </c>
      <c r="BL17" s="0" t="n">
        <v>0.02551765</v>
      </c>
      <c r="BM17" s="0" t="n">
        <v>0.02242369</v>
      </c>
      <c r="BN17" s="0" t="n">
        <v>0.00184246</v>
      </c>
      <c r="BO17" s="0" t="n">
        <v>0.02268732</v>
      </c>
      <c r="BP17" s="0" t="n">
        <v>0.01188479</v>
      </c>
      <c r="BQ17" s="0" t="n">
        <v>0.02447954</v>
      </c>
      <c r="BR17" s="0" t="n">
        <v>0.02531713</v>
      </c>
      <c r="BS17" s="0" t="n">
        <v>-0.00708717</v>
      </c>
      <c r="BT17" s="0" t="n">
        <v>0.02631856</v>
      </c>
      <c r="BU17" s="0" t="n">
        <v>0.00969861</v>
      </c>
      <c r="BV17" s="0" t="n">
        <v>0.02470715</v>
      </c>
      <c r="BW17" s="0" t="n">
        <v>0.02052352</v>
      </c>
      <c r="BX17" s="0" t="n">
        <v>0.01102078</v>
      </c>
      <c r="BY17" s="0" t="n">
        <v>0.03136347</v>
      </c>
      <c r="BZ17" s="0" t="n">
        <v>0.03222832</v>
      </c>
      <c r="CA17" s="0" t="n">
        <v>0.01763904</v>
      </c>
      <c r="CB17" s="0" t="n">
        <v>-0.00299739</v>
      </c>
      <c r="CC17" s="0" t="n">
        <v>0.00566985</v>
      </c>
      <c r="CD17" s="0" t="n">
        <v>0.0221284</v>
      </c>
      <c r="CE17" s="0" t="n">
        <v>0.00759494</v>
      </c>
      <c r="CF17" s="0" t="n">
        <v>-0.0067143</v>
      </c>
      <c r="CG17" s="0" t="n">
        <v>0.02802523</v>
      </c>
      <c r="CH17" s="0" t="n">
        <v>0.02819871</v>
      </c>
      <c r="CI17" s="0" t="n">
        <v>-0.00939215</v>
      </c>
      <c r="CJ17" s="0" t="n">
        <v>0.00703909</v>
      </c>
      <c r="CK17" s="0" t="n">
        <v>0.02533465</v>
      </c>
      <c r="CL17" s="0" t="n">
        <v>0.02803263</v>
      </c>
      <c r="CM17" s="0" t="n">
        <v>0.01864061</v>
      </c>
      <c r="CN17" s="0" t="n">
        <v>0.00255536</v>
      </c>
      <c r="CO17" s="0" t="n">
        <v>0.00804702</v>
      </c>
      <c r="CP17" s="0" t="n">
        <v>0.01242985</v>
      </c>
      <c r="CQ17" s="0" t="n">
        <v>0.03828738</v>
      </c>
      <c r="CR17" s="0" t="n">
        <v>0.0271101</v>
      </c>
      <c r="CS17" s="0" t="n">
        <v>0.02522405</v>
      </c>
      <c r="CT17" s="0" t="n">
        <v>0.02385789</v>
      </c>
      <c r="CU17" s="0" t="n">
        <v>0.01342694</v>
      </c>
      <c r="CV17" s="0" t="n">
        <v>0.02505149</v>
      </c>
      <c r="CW17" s="0" t="n">
        <v>0.02793492</v>
      </c>
      <c r="CX17" s="0" t="n">
        <v>0.03289541</v>
      </c>
      <c r="CY17" s="0" t="n">
        <v>0.04057679</v>
      </c>
      <c r="CZ17" s="0" t="n">
        <v>0.0106513</v>
      </c>
      <c r="DA17" s="0" t="n">
        <v>0.01589625</v>
      </c>
      <c r="DB17" s="0" t="n">
        <v>0.03058433</v>
      </c>
      <c r="DC17" s="0" t="n">
        <v>0.03417738</v>
      </c>
      <c r="DD17" s="0" t="n">
        <v>0.03245177</v>
      </c>
      <c r="DE17" s="0" t="n">
        <v>0.03595385</v>
      </c>
      <c r="DF17" s="0" t="n">
        <v>0.01079915</v>
      </c>
      <c r="DG17" s="0" t="n">
        <v>0.03766362</v>
      </c>
      <c r="DH17" s="0" t="n">
        <v>0.01820335</v>
      </c>
      <c r="DI17" s="0" t="n">
        <v>0.04349325</v>
      </c>
      <c r="DJ17" s="0" t="n">
        <v>0.03957391</v>
      </c>
      <c r="DK17" s="0" t="n">
        <v>0.04689587</v>
      </c>
      <c r="DL17" s="0" t="n">
        <v>0.0208865</v>
      </c>
      <c r="DM17" s="0" t="n">
        <v>0.04976982</v>
      </c>
      <c r="DN17" s="0" t="n">
        <v>0.03591859</v>
      </c>
      <c r="DO17" s="0" t="n">
        <v>0.03116209</v>
      </c>
      <c r="DP17" s="0" t="n">
        <v>0.04788833</v>
      </c>
      <c r="DQ17" s="0" t="n">
        <v>0.03172236</v>
      </c>
      <c r="DR17" s="0" t="n">
        <v>0.02747959</v>
      </c>
      <c r="DS17" s="0" t="n">
        <v>0.0143415</v>
      </c>
      <c r="DT17" s="0" t="n">
        <v>0.01787569</v>
      </c>
      <c r="DU17" s="0" t="n">
        <v>0.03737027</v>
      </c>
      <c r="DV17" s="0" t="n">
        <v>0.02081125</v>
      </c>
      <c r="DW17" s="0" t="n">
        <v>0.03049897</v>
      </c>
      <c r="DX17" s="0" t="n">
        <v>0.03253574</v>
      </c>
      <c r="DY17" s="0" t="n">
        <v>0.047629</v>
      </c>
      <c r="DZ17" s="0" t="n">
        <v>0.0132137</v>
      </c>
      <c r="EA17" s="0" t="n">
        <v>0.0309905</v>
      </c>
      <c r="EB17" s="0" t="n">
        <v>0.052568</v>
      </c>
      <c r="EC17" s="0" t="n">
        <v>0.00674971</v>
      </c>
      <c r="ED17" s="0" t="n">
        <v>0.04443664</v>
      </c>
      <c r="EE17" s="0" t="n">
        <v>0.03315695</v>
      </c>
      <c r="EF17" s="0" t="n">
        <v>0.03823844</v>
      </c>
      <c r="EG17" s="0" t="n">
        <v>0.03877139</v>
      </c>
      <c r="EH17" s="0" t="n">
        <v>0.0239783</v>
      </c>
      <c r="EI17" s="0" t="n">
        <v>0.0325448</v>
      </c>
      <c r="EJ17" s="0" t="n">
        <v>0.05934779</v>
      </c>
      <c r="EK17" s="0" t="n">
        <v>0.05277512</v>
      </c>
      <c r="EL17" s="0" t="n">
        <v>0.06097023</v>
      </c>
      <c r="EM17" s="0" t="n">
        <v>0.04306573</v>
      </c>
      <c r="EN17" s="0" t="n">
        <v>0.05827071</v>
      </c>
      <c r="EO17" s="0" t="n">
        <v>0.04263591</v>
      </c>
      <c r="EP17" s="55" t="n">
        <f aca="false">SUMPRODUCT(B17:EO17,$B$5:$EO$5)</f>
        <v>0.02483065</v>
      </c>
      <c r="EQ17" s="55" t="n">
        <f aca="false">SUMIF('Mi portafolio'!$A$8:$A$19,$A17,'Mi portafolio'!$B$8:$B$19)</f>
        <v>0</v>
      </c>
    </row>
    <row r="18" customFormat="false" ht="15" hidden="false" customHeight="false" outlineLevel="0" collapsed="false">
      <c r="A18" s="54" t="s">
        <v>165</v>
      </c>
      <c r="B18" s="0" t="n">
        <v>0.01187081</v>
      </c>
      <c r="C18" s="0" t="n">
        <v>-0.00029034</v>
      </c>
      <c r="D18" s="0" t="n">
        <v>0.00791372</v>
      </c>
      <c r="E18" s="0" t="n">
        <v>0.00785472</v>
      </c>
      <c r="F18" s="0" t="n">
        <v>0.01357076</v>
      </c>
      <c r="G18" s="0" t="n">
        <v>0.00217289</v>
      </c>
      <c r="H18" s="0" t="n">
        <v>0.00491034</v>
      </c>
      <c r="I18" s="0" t="n">
        <v>0.01693988</v>
      </c>
      <c r="J18" s="0" t="n">
        <v>0.01959258</v>
      </c>
      <c r="K18" s="0" t="n">
        <v>0.01610438</v>
      </c>
      <c r="L18" s="0" t="n">
        <v>0.00658767</v>
      </c>
      <c r="M18" s="0" t="n">
        <v>0.01423832</v>
      </c>
      <c r="N18" s="0" t="n">
        <v>0.04886906</v>
      </c>
      <c r="O18" s="0" t="n">
        <v>0.00362541</v>
      </c>
      <c r="P18" s="0" t="n">
        <v>0.01111613</v>
      </c>
      <c r="Q18" s="0" t="n">
        <v>-0.00176924</v>
      </c>
      <c r="R18" s="0" t="n">
        <v>0.01577964</v>
      </c>
      <c r="S18" s="0" t="n">
        <v>0.00553802</v>
      </c>
      <c r="T18" s="0" t="n">
        <v>0.01139705</v>
      </c>
      <c r="U18" s="0" t="n">
        <v>0.00668382</v>
      </c>
      <c r="V18" s="0" t="n">
        <v>0.00125277</v>
      </c>
      <c r="W18" s="0" t="n">
        <v>0.00357992</v>
      </c>
      <c r="X18" s="0" t="n">
        <v>0.01196092</v>
      </c>
      <c r="Y18" s="0" t="n">
        <v>0.0137383</v>
      </c>
      <c r="Z18" s="0" t="n">
        <v>0.00633864</v>
      </c>
      <c r="AA18" s="0" t="n">
        <v>0.00914824</v>
      </c>
      <c r="AB18" s="0" t="n">
        <v>0.01422937</v>
      </c>
      <c r="AC18" s="0" t="n">
        <v>0.00157708</v>
      </c>
      <c r="AD18" s="0" t="n">
        <v>0.00096022</v>
      </c>
      <c r="AE18" s="0" t="n">
        <v>1.671E-005</v>
      </c>
      <c r="AF18" s="0" t="n">
        <v>-0.00029141</v>
      </c>
      <c r="AG18" s="0" t="n">
        <v>0.0110225</v>
      </c>
      <c r="AH18" s="0" t="n">
        <v>0.01421974</v>
      </c>
      <c r="AI18" s="0" t="n">
        <v>0.00703102</v>
      </c>
      <c r="AJ18" s="0" t="n">
        <v>0.00887273</v>
      </c>
      <c r="AK18" s="0" t="n">
        <v>0.0025657</v>
      </c>
      <c r="AL18" s="0" t="n">
        <v>0.01780377</v>
      </c>
      <c r="AM18" s="0" t="n">
        <v>0.00662218</v>
      </c>
      <c r="AN18" s="0" t="n">
        <v>0.02083882</v>
      </c>
      <c r="AO18" s="0" t="n">
        <v>0.02515501</v>
      </c>
      <c r="AP18" s="0" t="n">
        <v>0.02356603</v>
      </c>
      <c r="AQ18" s="0" t="n">
        <v>0.00539787</v>
      </c>
      <c r="AR18" s="0" t="n">
        <v>0.01176977</v>
      </c>
      <c r="AS18" s="0" t="n">
        <v>0.00316552</v>
      </c>
      <c r="AT18" s="0" t="n">
        <v>0.01468695</v>
      </c>
      <c r="AU18" s="0" t="n">
        <v>0.01338784</v>
      </c>
      <c r="AV18" s="0" t="n">
        <v>0.01003669</v>
      </c>
      <c r="AW18" s="0" t="n">
        <v>0.00370865</v>
      </c>
      <c r="AX18" s="0" t="n">
        <v>0.04046852</v>
      </c>
      <c r="AY18" s="0" t="n">
        <v>0.01774693</v>
      </c>
      <c r="AZ18" s="0" t="n">
        <v>0.0081349</v>
      </c>
      <c r="BA18" s="0" t="n">
        <v>0.0185494</v>
      </c>
      <c r="BB18" s="0" t="n">
        <v>0.01229411</v>
      </c>
      <c r="BC18" s="0" t="n">
        <v>0.00398386</v>
      </c>
      <c r="BD18" s="0" t="n">
        <v>0.00503222</v>
      </c>
      <c r="BE18" s="0" t="n">
        <v>0.03428431</v>
      </c>
      <c r="BF18" s="0" t="n">
        <v>0.01119034</v>
      </c>
      <c r="BG18" s="0" t="n">
        <v>0.02367001</v>
      </c>
      <c r="BH18" s="0" t="n">
        <v>0.01034856</v>
      </c>
      <c r="BI18" s="0" t="n">
        <v>0.00384183</v>
      </c>
      <c r="BJ18" s="0" t="n">
        <v>-0.00134799</v>
      </c>
      <c r="BK18" s="0" t="n">
        <v>0.00127753</v>
      </c>
      <c r="BL18" s="0" t="n">
        <v>0.01431266</v>
      </c>
      <c r="BM18" s="0" t="n">
        <v>0.0174211</v>
      </c>
      <c r="BN18" s="0" t="n">
        <v>0.00486881</v>
      </c>
      <c r="BO18" s="0" t="n">
        <v>0.01299869</v>
      </c>
      <c r="BP18" s="0" t="n">
        <v>0.00503553</v>
      </c>
      <c r="BQ18" s="0" t="n">
        <v>0.0029039</v>
      </c>
      <c r="BR18" s="0" t="n">
        <v>0.02008197</v>
      </c>
      <c r="BS18" s="0" t="n">
        <v>0.0029316</v>
      </c>
      <c r="BT18" s="0" t="n">
        <v>0.01506571</v>
      </c>
      <c r="BU18" s="0" t="n">
        <v>0.00336551</v>
      </c>
      <c r="BV18" s="0" t="n">
        <v>0.01202013</v>
      </c>
      <c r="BW18" s="0" t="n">
        <v>0.01503658</v>
      </c>
      <c r="BX18" s="0" t="n">
        <v>0.03549383</v>
      </c>
      <c r="BY18" s="0" t="n">
        <v>0.01982763</v>
      </c>
      <c r="BZ18" s="0" t="n">
        <v>0.01752291</v>
      </c>
      <c r="CA18" s="0" t="n">
        <v>0.00378107</v>
      </c>
      <c r="CB18" s="0" t="n">
        <v>0.00635675</v>
      </c>
      <c r="CC18" s="0" t="n">
        <v>0.00497601</v>
      </c>
      <c r="CD18" s="0" t="n">
        <v>0.01931162</v>
      </c>
      <c r="CE18" s="0" t="n">
        <v>0.00417248</v>
      </c>
      <c r="CF18" s="0" t="n">
        <v>0.00622938</v>
      </c>
      <c r="CG18" s="0" t="n">
        <v>0.02455154</v>
      </c>
      <c r="CH18" s="0" t="n">
        <v>0.00805842</v>
      </c>
      <c r="CI18" s="0" t="n">
        <v>0.00641862</v>
      </c>
      <c r="CJ18" s="0" t="n">
        <v>0.0210836</v>
      </c>
      <c r="CK18" s="0" t="n">
        <v>0.02473603</v>
      </c>
      <c r="CL18" s="0" t="n">
        <v>0.02253401</v>
      </c>
      <c r="CM18" s="0" t="n">
        <v>-0.00089523</v>
      </c>
      <c r="CN18" s="0" t="n">
        <v>0.01043311</v>
      </c>
      <c r="CO18" s="0" t="n">
        <v>0.00482465</v>
      </c>
      <c r="CP18" s="0" t="n">
        <v>0.01724075</v>
      </c>
      <c r="CQ18" s="0" t="n">
        <v>0.0257005</v>
      </c>
      <c r="CR18" s="0" t="n">
        <v>0.00292874</v>
      </c>
      <c r="CS18" s="0" t="n">
        <v>0.0087289</v>
      </c>
      <c r="CT18" s="0" t="n">
        <v>0.01812075</v>
      </c>
      <c r="CU18" s="0" t="n">
        <v>0.01129662</v>
      </c>
      <c r="CV18" s="0" t="n">
        <v>0.00599126</v>
      </c>
      <c r="CW18" s="0" t="n">
        <v>0.0179961</v>
      </c>
      <c r="CX18" s="0" t="n">
        <v>0.01477005</v>
      </c>
      <c r="CY18" s="0" t="n">
        <v>0.02441486</v>
      </c>
      <c r="CZ18" s="0" t="n">
        <v>0.01965434</v>
      </c>
      <c r="DA18" s="0" t="n">
        <v>0.03599171</v>
      </c>
      <c r="DB18" s="0" t="n">
        <v>0.0138079</v>
      </c>
      <c r="DC18" s="0" t="n">
        <v>0.01127507</v>
      </c>
      <c r="DD18" s="0" t="n">
        <v>0.02618864</v>
      </c>
      <c r="DE18" s="0" t="n">
        <v>0.01058448</v>
      </c>
      <c r="DF18" s="0" t="n">
        <v>0.02012776</v>
      </c>
      <c r="DG18" s="0" t="n">
        <v>0.02156184</v>
      </c>
      <c r="DH18" s="0" t="n">
        <v>-0.00224731</v>
      </c>
      <c r="DI18" s="0" t="n">
        <v>0.02351227</v>
      </c>
      <c r="DJ18" s="0" t="n">
        <v>0.03137721</v>
      </c>
      <c r="DK18" s="0" t="n">
        <v>0.02554655</v>
      </c>
      <c r="DL18" s="0" t="n">
        <v>0.00435243</v>
      </c>
      <c r="DM18" s="0" t="n">
        <v>0.03892903</v>
      </c>
      <c r="DN18" s="0" t="n">
        <v>0.02102922</v>
      </c>
      <c r="DO18" s="0" t="n">
        <v>0.02468521</v>
      </c>
      <c r="DP18" s="0" t="n">
        <v>0.03687796</v>
      </c>
      <c r="DQ18" s="0" t="n">
        <v>0.00678596</v>
      </c>
      <c r="DR18" s="0" t="n">
        <v>0.01778947</v>
      </c>
      <c r="DS18" s="0" t="n">
        <v>0.00704607</v>
      </c>
      <c r="DT18" s="0" t="n">
        <v>0.00055819</v>
      </c>
      <c r="DU18" s="0" t="n">
        <v>0.01515319</v>
      </c>
      <c r="DV18" s="0" t="n">
        <v>0.012275</v>
      </c>
      <c r="DW18" s="0" t="n">
        <v>0.01868746</v>
      </c>
      <c r="DX18" s="0" t="n">
        <v>-0.00080831</v>
      </c>
      <c r="DY18" s="0" t="n">
        <v>0.01498585</v>
      </c>
      <c r="DZ18" s="0" t="n">
        <v>0.01682118</v>
      </c>
      <c r="EA18" s="0" t="n">
        <v>0.03211652</v>
      </c>
      <c r="EB18" s="0" t="n">
        <v>0.02445371</v>
      </c>
      <c r="EC18" s="0" t="n">
        <v>-0.00946217</v>
      </c>
      <c r="ED18" s="0" t="n">
        <v>0.03576149</v>
      </c>
      <c r="EE18" s="0" t="n">
        <v>-0.00559406</v>
      </c>
      <c r="EF18" s="0" t="n">
        <v>0.02412424</v>
      </c>
      <c r="EG18" s="0" t="n">
        <v>0.00274379</v>
      </c>
      <c r="EH18" s="0" t="n">
        <v>0.01947464</v>
      </c>
      <c r="EI18" s="0" t="n">
        <v>-0.00664164</v>
      </c>
      <c r="EJ18" s="0" t="n">
        <v>0.04645848</v>
      </c>
      <c r="EK18" s="0" t="n">
        <v>0.02043957</v>
      </c>
      <c r="EL18" s="0" t="n">
        <v>0.00352495</v>
      </c>
      <c r="EM18" s="0" t="n">
        <v>0.01865286</v>
      </c>
      <c r="EN18" s="0" t="n">
        <v>0.08273842</v>
      </c>
      <c r="EO18" s="0" t="n">
        <v>0.01273964</v>
      </c>
      <c r="EP18" s="55" t="n">
        <f aca="false">SUMPRODUCT(B18:EO18,$B$5:$EO$5)</f>
        <v>0.00710432</v>
      </c>
      <c r="EQ18" s="55" t="n">
        <f aca="false">SUMIF('Mi portafolio'!$A$8:$A$19,$A18,'Mi portafolio'!$B$8:$B$19)</f>
        <v>0</v>
      </c>
    </row>
    <row r="19" customFormat="false" ht="15" hidden="false" customHeight="false" outlineLevel="0" collapsed="false">
      <c r="A19" s="54" t="s">
        <v>120</v>
      </c>
      <c r="B19" s="0" t="n">
        <v>0.00520829</v>
      </c>
      <c r="C19" s="0" t="n">
        <v>0.00696736</v>
      </c>
      <c r="D19" s="0" t="n">
        <v>0.00150504</v>
      </c>
      <c r="E19" s="0" t="n">
        <v>0.01565921</v>
      </c>
      <c r="F19" s="0" t="n">
        <v>0.00341218</v>
      </c>
      <c r="G19" s="0" t="n">
        <v>0.00544039</v>
      </c>
      <c r="H19" s="0" t="n">
        <v>0.00988057</v>
      </c>
      <c r="I19" s="0" t="n">
        <v>0.00489844</v>
      </c>
      <c r="J19" s="0" t="n">
        <v>0.00485312</v>
      </c>
      <c r="K19" s="0" t="n">
        <v>0.00817321</v>
      </c>
      <c r="L19" s="0" t="n">
        <v>0.01708847</v>
      </c>
      <c r="M19" s="0" t="n">
        <v>0.01091463</v>
      </c>
      <c r="N19" s="0" t="n">
        <v>0.00362541</v>
      </c>
      <c r="O19" s="0" t="n">
        <v>0.04902603</v>
      </c>
      <c r="P19" s="0" t="n">
        <v>0.0063819</v>
      </c>
      <c r="Q19" s="0" t="n">
        <v>0.00485876</v>
      </c>
      <c r="R19" s="0" t="n">
        <v>0.00587182</v>
      </c>
      <c r="S19" s="0" t="n">
        <v>0.01252883</v>
      </c>
      <c r="T19" s="0" t="n">
        <v>0.00316391</v>
      </c>
      <c r="U19" s="0" t="n">
        <v>0.02148036</v>
      </c>
      <c r="V19" s="0" t="n">
        <v>0.02123771</v>
      </c>
      <c r="W19" s="0" t="n">
        <v>0.01666927</v>
      </c>
      <c r="X19" s="0" t="n">
        <v>0.01011726</v>
      </c>
      <c r="Y19" s="0" t="n">
        <v>0.00255303</v>
      </c>
      <c r="Z19" s="0" t="n">
        <v>0.02053829</v>
      </c>
      <c r="AA19" s="0" t="n">
        <v>0.01927351</v>
      </c>
      <c r="AB19" s="0" t="n">
        <v>0.00148909</v>
      </c>
      <c r="AC19" s="0" t="n">
        <v>0.01706793</v>
      </c>
      <c r="AD19" s="0" t="n">
        <v>0.01574224</v>
      </c>
      <c r="AE19" s="0" t="n">
        <v>0.01769983</v>
      </c>
      <c r="AF19" s="0" t="n">
        <v>0.02508361</v>
      </c>
      <c r="AG19" s="0" t="n">
        <v>0.00262122</v>
      </c>
      <c r="AH19" s="0" t="n">
        <v>0.00421102</v>
      </c>
      <c r="AI19" s="0" t="n">
        <v>-0.00231923</v>
      </c>
      <c r="AJ19" s="0" t="n">
        <v>0.01489999</v>
      </c>
      <c r="AK19" s="0" t="n">
        <v>0.0268368</v>
      </c>
      <c r="AL19" s="0" t="n">
        <v>0.00621855</v>
      </c>
      <c r="AM19" s="0" t="n">
        <v>0.01592929</v>
      </c>
      <c r="AN19" s="0" t="n">
        <v>0.00808856</v>
      </c>
      <c r="AO19" s="0" t="n">
        <v>-0.0006418</v>
      </c>
      <c r="AP19" s="0" t="n">
        <v>0.00826838</v>
      </c>
      <c r="AQ19" s="0" t="n">
        <v>-0.00127742</v>
      </c>
      <c r="AR19" s="0" t="n">
        <v>0.00383402</v>
      </c>
      <c r="AS19" s="0" t="n">
        <v>0.01547448</v>
      </c>
      <c r="AT19" s="0" t="n">
        <v>0.00148943</v>
      </c>
      <c r="AU19" s="0" t="n">
        <v>0.00553062</v>
      </c>
      <c r="AV19" s="0" t="n">
        <v>0.02127919</v>
      </c>
      <c r="AW19" s="0" t="n">
        <v>0.01656515</v>
      </c>
      <c r="AX19" s="0" t="n">
        <v>0.00579894</v>
      </c>
      <c r="AY19" s="0" t="n">
        <v>0.00093589</v>
      </c>
      <c r="AZ19" s="0" t="n">
        <v>0.01783064</v>
      </c>
      <c r="BA19" s="0" t="n">
        <v>0.01389917</v>
      </c>
      <c r="BB19" s="0" t="n">
        <v>0.00540799</v>
      </c>
      <c r="BC19" s="0" t="n">
        <v>0.01872965</v>
      </c>
      <c r="BD19" s="0" t="n">
        <v>0.02227489</v>
      </c>
      <c r="BE19" s="0" t="n">
        <v>0.0075551</v>
      </c>
      <c r="BF19" s="0" t="n">
        <v>0.01774407</v>
      </c>
      <c r="BG19" s="0" t="n">
        <v>-0.00847809</v>
      </c>
      <c r="BH19" s="0" t="n">
        <v>0.01252028</v>
      </c>
      <c r="BI19" s="0" t="n">
        <v>0.01680454</v>
      </c>
      <c r="BJ19" s="0" t="n">
        <v>0.00072849</v>
      </c>
      <c r="BK19" s="0" t="n">
        <v>0.017216</v>
      </c>
      <c r="BL19" s="0" t="n">
        <v>0.01105175</v>
      </c>
      <c r="BM19" s="0" t="n">
        <v>0.00350185</v>
      </c>
      <c r="BN19" s="0" t="n">
        <v>0.00861579</v>
      </c>
      <c r="BO19" s="0" t="n">
        <v>0.00515498</v>
      </c>
      <c r="BP19" s="0" t="n">
        <v>0.00054045</v>
      </c>
      <c r="BQ19" s="0" t="n">
        <v>0.02617392</v>
      </c>
      <c r="BR19" s="0" t="n">
        <v>0.00345359</v>
      </c>
      <c r="BS19" s="0" t="n">
        <v>-0.00482029</v>
      </c>
      <c r="BT19" s="0" t="n">
        <v>0.0145388</v>
      </c>
      <c r="BU19" s="0" t="n">
        <v>0.01405944</v>
      </c>
      <c r="BV19" s="0" t="n">
        <v>0.00821126</v>
      </c>
      <c r="BW19" s="0" t="n">
        <v>0.00261617</v>
      </c>
      <c r="BX19" s="0" t="n">
        <v>-0.00232311</v>
      </c>
      <c r="BY19" s="0" t="n">
        <v>0.00604988</v>
      </c>
      <c r="BZ19" s="0" t="n">
        <v>0.01398686</v>
      </c>
      <c r="CA19" s="0" t="n">
        <v>0.02615742</v>
      </c>
      <c r="CB19" s="0" t="n">
        <v>-0.00024458</v>
      </c>
      <c r="CC19" s="0" t="n">
        <v>0.00352105</v>
      </c>
      <c r="CD19" s="0" t="n">
        <v>0.00264936</v>
      </c>
      <c r="CE19" s="0" t="n">
        <v>-0.00324125</v>
      </c>
      <c r="CF19" s="0" t="n">
        <v>-0.00139959</v>
      </c>
      <c r="CG19" s="0" t="n">
        <v>0.00185542</v>
      </c>
      <c r="CH19" s="0" t="n">
        <v>0.02976012</v>
      </c>
      <c r="CI19" s="0" t="n">
        <v>-0.00366736</v>
      </c>
      <c r="CJ19" s="0" t="n">
        <v>-0.00292783</v>
      </c>
      <c r="CK19" s="0" t="n">
        <v>-0.0039527</v>
      </c>
      <c r="CL19" s="0" t="n">
        <v>0.00320347</v>
      </c>
      <c r="CM19" s="0" t="n">
        <v>-0.00358146</v>
      </c>
      <c r="CN19" s="0" t="n">
        <v>0.01637833</v>
      </c>
      <c r="CO19" s="0" t="n">
        <v>0.00446556</v>
      </c>
      <c r="CP19" s="0" t="n">
        <v>0.00262985</v>
      </c>
      <c r="CQ19" s="0" t="n">
        <v>0.0093727</v>
      </c>
      <c r="CR19" s="0" t="n">
        <v>0.00465266</v>
      </c>
      <c r="CS19" s="0" t="n">
        <v>0.01056053</v>
      </c>
      <c r="CT19" s="0" t="n">
        <v>0.01324409</v>
      </c>
      <c r="CU19" s="0" t="n">
        <v>0.00075307</v>
      </c>
      <c r="CV19" s="0" t="n">
        <v>0.00245233</v>
      </c>
      <c r="CW19" s="0" t="n">
        <v>0.00649008</v>
      </c>
      <c r="CX19" s="0" t="n">
        <v>0.00543836</v>
      </c>
      <c r="CY19" s="0" t="n">
        <v>0.01252013</v>
      </c>
      <c r="CZ19" s="0" t="n">
        <v>-0.00074415</v>
      </c>
      <c r="DA19" s="0" t="n">
        <v>-0.01392653</v>
      </c>
      <c r="DB19" s="0" t="n">
        <v>0.01273136</v>
      </c>
      <c r="DC19" s="0" t="n">
        <v>0.02221399</v>
      </c>
      <c r="DD19" s="0" t="n">
        <v>0.00235251</v>
      </c>
      <c r="DE19" s="0" t="n">
        <v>0.01152848</v>
      </c>
      <c r="DF19" s="0" t="n">
        <v>-0.00488012</v>
      </c>
      <c r="DG19" s="0" t="n">
        <v>0.02217443</v>
      </c>
      <c r="DH19" s="0" t="n">
        <v>0.00236944</v>
      </c>
      <c r="DI19" s="0" t="n">
        <v>0.02113186</v>
      </c>
      <c r="DJ19" s="0" t="n">
        <v>0.00679393</v>
      </c>
      <c r="DK19" s="0" t="n">
        <v>0.01491098</v>
      </c>
      <c r="DL19" s="0" t="n">
        <v>0.02963935</v>
      </c>
      <c r="DM19" s="0" t="n">
        <v>0.01958861</v>
      </c>
      <c r="DN19" s="0" t="n">
        <v>0.00620156</v>
      </c>
      <c r="DO19" s="0" t="n">
        <v>0.01470356</v>
      </c>
      <c r="DP19" s="0" t="n">
        <v>0.01264094</v>
      </c>
      <c r="DQ19" s="0" t="n">
        <v>0.01007636</v>
      </c>
      <c r="DR19" s="0" t="n">
        <v>0.01104784</v>
      </c>
      <c r="DS19" s="0" t="n">
        <v>-0.01032258</v>
      </c>
      <c r="DT19" s="0" t="n">
        <v>-0.00125508</v>
      </c>
      <c r="DU19" s="0" t="n">
        <v>0.01071939</v>
      </c>
      <c r="DV19" s="0" t="n">
        <v>0.0025023</v>
      </c>
      <c r="DW19" s="0" t="n">
        <v>-0.0054024</v>
      </c>
      <c r="DX19" s="0" t="n">
        <v>0.00486743</v>
      </c>
      <c r="DY19" s="0" t="n">
        <v>0.00399091</v>
      </c>
      <c r="DZ19" s="0" t="n">
        <v>-0.01139309</v>
      </c>
      <c r="EA19" s="0" t="n">
        <v>0.00808634</v>
      </c>
      <c r="EB19" s="0" t="n">
        <v>0.00107013</v>
      </c>
      <c r="EC19" s="0" t="n">
        <v>0.00221067</v>
      </c>
      <c r="ED19" s="0" t="n">
        <v>0.01383168</v>
      </c>
      <c r="EE19" s="0" t="n">
        <v>0.01547967</v>
      </c>
      <c r="EF19" s="0" t="n">
        <v>0.01165044</v>
      </c>
      <c r="EG19" s="0" t="n">
        <v>0.01821143</v>
      </c>
      <c r="EH19" s="0" t="n">
        <v>-0.02073194</v>
      </c>
      <c r="EI19" s="0" t="n">
        <v>0.00194297</v>
      </c>
      <c r="EJ19" s="0" t="n">
        <v>0.01690757</v>
      </c>
      <c r="EK19" s="0" t="n">
        <v>0.01576573</v>
      </c>
      <c r="EL19" s="0" t="n">
        <v>0.0335106</v>
      </c>
      <c r="EM19" s="0" t="n">
        <v>0.0085647</v>
      </c>
      <c r="EN19" s="0" t="n">
        <v>-0.00348883</v>
      </c>
      <c r="EO19" s="0" t="n">
        <v>0.00826922</v>
      </c>
      <c r="EP19" s="55" t="n">
        <f aca="false">SUMPRODUCT(B19:EO19,$B$5:$EO$5)</f>
        <v>0.015237964</v>
      </c>
      <c r="EQ19" s="55" t="n">
        <f aca="false">SUMIF('Mi portafolio'!$A$8:$A$19,$A19,'Mi portafolio'!$B$8:$B$19)</f>
        <v>0</v>
      </c>
    </row>
    <row r="20" customFormat="false" ht="15" hidden="false" customHeight="false" outlineLevel="0" collapsed="false">
      <c r="A20" s="54" t="s">
        <v>166</v>
      </c>
      <c r="B20" s="0" t="n">
        <v>0.01394559</v>
      </c>
      <c r="C20" s="0" t="n">
        <v>0.00258493</v>
      </c>
      <c r="D20" s="0" t="n">
        <v>1.642E-005</v>
      </c>
      <c r="E20" s="0" t="n">
        <v>0.00675916</v>
      </c>
      <c r="F20" s="0" t="n">
        <v>0.0216253</v>
      </c>
      <c r="G20" s="0" t="n">
        <v>-0.00481995</v>
      </c>
      <c r="H20" s="0" t="n">
        <v>0.00067978</v>
      </c>
      <c r="I20" s="0" t="n">
        <v>0.02216726</v>
      </c>
      <c r="J20" s="0" t="n">
        <v>0.0193031</v>
      </c>
      <c r="K20" s="0" t="n">
        <v>0.01925167</v>
      </c>
      <c r="L20" s="0" t="n">
        <v>0.00659166</v>
      </c>
      <c r="M20" s="0" t="n">
        <v>0.00985537</v>
      </c>
      <c r="N20" s="0" t="n">
        <v>0.01111613</v>
      </c>
      <c r="O20" s="0" t="n">
        <v>0.0063819</v>
      </c>
      <c r="P20" s="0" t="n">
        <v>0.04877643</v>
      </c>
      <c r="Q20" s="0" t="n">
        <v>0.00668485</v>
      </c>
      <c r="R20" s="0" t="n">
        <v>0.02320554</v>
      </c>
      <c r="S20" s="0" t="n">
        <v>0.00503377</v>
      </c>
      <c r="T20" s="0" t="n">
        <v>0.00471378</v>
      </c>
      <c r="U20" s="0" t="n">
        <v>0.00595486</v>
      </c>
      <c r="V20" s="0" t="n">
        <v>0.00123448</v>
      </c>
      <c r="W20" s="0" t="n">
        <v>0.00959685</v>
      </c>
      <c r="X20" s="0" t="n">
        <v>0.00473683</v>
      </c>
      <c r="Y20" s="0" t="n">
        <v>0.01979842</v>
      </c>
      <c r="Z20" s="0" t="n">
        <v>0.0035343</v>
      </c>
      <c r="AA20" s="0" t="n">
        <v>0.00995224</v>
      </c>
      <c r="AB20" s="0" t="n">
        <v>0.01800235</v>
      </c>
      <c r="AC20" s="0" t="n">
        <v>0.00058977</v>
      </c>
      <c r="AD20" s="0" t="n">
        <v>0.00591723</v>
      </c>
      <c r="AE20" s="0" t="n">
        <v>0.00145693</v>
      </c>
      <c r="AF20" s="0" t="n">
        <v>0.00034954</v>
      </c>
      <c r="AG20" s="0" t="n">
        <v>0.01773229</v>
      </c>
      <c r="AH20" s="0" t="n">
        <v>0.01655382</v>
      </c>
      <c r="AI20" s="0" t="n">
        <v>0.015031</v>
      </c>
      <c r="AJ20" s="0" t="n">
        <v>-0.00164231</v>
      </c>
      <c r="AK20" s="0" t="n">
        <v>0.00134934</v>
      </c>
      <c r="AL20" s="0" t="n">
        <v>0.01359927</v>
      </c>
      <c r="AM20" s="0" t="n">
        <v>0.00443065</v>
      </c>
      <c r="AN20" s="0" t="n">
        <v>0.02089689</v>
      </c>
      <c r="AO20" s="0" t="n">
        <v>0.01970389</v>
      </c>
      <c r="AP20" s="0" t="n">
        <v>0.01024597</v>
      </c>
      <c r="AQ20" s="0" t="n">
        <v>0.01658483</v>
      </c>
      <c r="AR20" s="0" t="n">
        <v>0.00579793</v>
      </c>
      <c r="AS20" s="0" t="n">
        <v>0.00249581</v>
      </c>
      <c r="AT20" s="0" t="n">
        <v>0.00705704</v>
      </c>
      <c r="AU20" s="0" t="n">
        <v>0.04099181</v>
      </c>
      <c r="AV20" s="0" t="n">
        <v>0.01107754</v>
      </c>
      <c r="AW20" s="0" t="n">
        <v>0.00753643</v>
      </c>
      <c r="AX20" s="0" t="n">
        <v>0.02048844</v>
      </c>
      <c r="AY20" s="0" t="n">
        <v>0.01967678</v>
      </c>
      <c r="AZ20" s="0" t="n">
        <v>0.00451267</v>
      </c>
      <c r="BA20" s="0" t="n">
        <v>0.01057133</v>
      </c>
      <c r="BB20" s="0" t="n">
        <v>-0.00011151</v>
      </c>
      <c r="BC20" s="0" t="n">
        <v>0.00326887</v>
      </c>
      <c r="BD20" s="0" t="n">
        <v>0.00244418</v>
      </c>
      <c r="BE20" s="0" t="n">
        <v>0.01983199</v>
      </c>
      <c r="BF20" s="0" t="n">
        <v>0.00560225</v>
      </c>
      <c r="BG20" s="0" t="n">
        <v>0.00445866</v>
      </c>
      <c r="BH20" s="0" t="n">
        <v>-0.00213274</v>
      </c>
      <c r="BI20" s="0" t="n">
        <v>-0.0016513</v>
      </c>
      <c r="BJ20" s="0" t="n">
        <v>-0.00390606</v>
      </c>
      <c r="BK20" s="0" t="n">
        <v>0.0047091</v>
      </c>
      <c r="BL20" s="0" t="n">
        <v>-0.00151013</v>
      </c>
      <c r="BM20" s="0" t="n">
        <v>0.02895787</v>
      </c>
      <c r="BN20" s="0" t="n">
        <v>0.0182794</v>
      </c>
      <c r="BO20" s="0" t="n">
        <v>0.01065804</v>
      </c>
      <c r="BP20" s="0" t="n">
        <v>0.00443471</v>
      </c>
      <c r="BQ20" s="0" t="n">
        <v>-0.00108306</v>
      </c>
      <c r="BR20" s="0" t="n">
        <v>0.01112425</v>
      </c>
      <c r="BS20" s="0" t="n">
        <v>0.01270078</v>
      </c>
      <c r="BT20" s="0" t="n">
        <v>0.00186891</v>
      </c>
      <c r="BU20" s="0" t="n">
        <v>0.00276968</v>
      </c>
      <c r="BV20" s="0" t="n">
        <v>0.00813995</v>
      </c>
      <c r="BW20" s="0" t="n">
        <v>0.01327922</v>
      </c>
      <c r="BX20" s="0" t="n">
        <v>0.01809203</v>
      </c>
      <c r="BY20" s="0" t="n">
        <v>0.01026116</v>
      </c>
      <c r="BZ20" s="0" t="n">
        <v>0.01445979</v>
      </c>
      <c r="CA20" s="0" t="n">
        <v>0.00796304</v>
      </c>
      <c r="CB20" s="0" t="n">
        <v>0.00524313</v>
      </c>
      <c r="CC20" s="0" t="n">
        <v>0.01655516</v>
      </c>
      <c r="CD20" s="0" t="n">
        <v>0.01545447</v>
      </c>
      <c r="CE20" s="0" t="n">
        <v>0.00707033</v>
      </c>
      <c r="CF20" s="0" t="n">
        <v>0.0169744</v>
      </c>
      <c r="CG20" s="0" t="n">
        <v>0.01342164</v>
      </c>
      <c r="CH20" s="0" t="n">
        <v>-0.00221761</v>
      </c>
      <c r="CI20" s="0" t="n">
        <v>0.01773718</v>
      </c>
      <c r="CJ20" s="0" t="n">
        <v>0.01905344</v>
      </c>
      <c r="CK20" s="0" t="n">
        <v>0.02120416</v>
      </c>
      <c r="CL20" s="0" t="n">
        <v>0.00387045</v>
      </c>
      <c r="CM20" s="0" t="n">
        <v>-0.01169273</v>
      </c>
      <c r="CN20" s="0" t="n">
        <v>0.00368991</v>
      </c>
      <c r="CO20" s="0" t="n">
        <v>0.00223197</v>
      </c>
      <c r="CP20" s="0" t="n">
        <v>0.00733372</v>
      </c>
      <c r="CQ20" s="0" t="n">
        <v>0.00764646</v>
      </c>
      <c r="CR20" s="0" t="n">
        <v>-0.00482238</v>
      </c>
      <c r="CS20" s="0" t="n">
        <v>0.00322485</v>
      </c>
      <c r="CT20" s="0" t="n">
        <v>0.00723391</v>
      </c>
      <c r="CU20" s="0" t="n">
        <v>0.00417555</v>
      </c>
      <c r="CV20" s="0" t="n">
        <v>-0.00412182</v>
      </c>
      <c r="CW20" s="0" t="n">
        <v>0.01508503</v>
      </c>
      <c r="CX20" s="0" t="n">
        <v>0.00577544</v>
      </c>
      <c r="CY20" s="0" t="n">
        <v>0.00553091</v>
      </c>
      <c r="CZ20" s="0" t="n">
        <v>0.01334876</v>
      </c>
      <c r="DA20" s="0" t="n">
        <v>0.0110012</v>
      </c>
      <c r="DB20" s="0" t="n">
        <v>-0.00716265</v>
      </c>
      <c r="DC20" s="0" t="n">
        <v>-0.01021576</v>
      </c>
      <c r="DD20" s="0" t="n">
        <v>0.00870102</v>
      </c>
      <c r="DE20" s="0" t="n">
        <v>-0.00995935</v>
      </c>
      <c r="DF20" s="0" t="n">
        <v>0.00980578</v>
      </c>
      <c r="DG20" s="0" t="n">
        <v>-0.00599388</v>
      </c>
      <c r="DH20" s="0" t="n">
        <v>-0.01218276</v>
      </c>
      <c r="DI20" s="0" t="n">
        <v>0.00491595</v>
      </c>
      <c r="DJ20" s="0" t="n">
        <v>0.00900602</v>
      </c>
      <c r="DK20" s="0" t="n">
        <v>0.00508514</v>
      </c>
      <c r="DL20" s="0" t="n">
        <v>-0.00408521</v>
      </c>
      <c r="DM20" s="0" t="n">
        <v>0.0110393</v>
      </c>
      <c r="DN20" s="0" t="n">
        <v>0.01877375</v>
      </c>
      <c r="DO20" s="0" t="n">
        <v>-0.00467188</v>
      </c>
      <c r="DP20" s="0" t="n">
        <v>0.00442069</v>
      </c>
      <c r="DQ20" s="0" t="n">
        <v>-0.00552092</v>
      </c>
      <c r="DR20" s="0" t="n">
        <v>-0.0043775</v>
      </c>
      <c r="DS20" s="0" t="n">
        <v>0.00784339</v>
      </c>
      <c r="DT20" s="0" t="n">
        <v>-0.02127926</v>
      </c>
      <c r="DU20" s="0" t="n">
        <v>-0.01183285</v>
      </c>
      <c r="DV20" s="0" t="n">
        <v>0.00567734</v>
      </c>
      <c r="DW20" s="0" t="n">
        <v>0.00351728</v>
      </c>
      <c r="DX20" s="0" t="n">
        <v>-0.01165533</v>
      </c>
      <c r="DY20" s="0" t="n">
        <v>0.00250041</v>
      </c>
      <c r="DZ20" s="0" t="n">
        <v>0.00119075</v>
      </c>
      <c r="EA20" s="0" t="n">
        <v>-0.01005129</v>
      </c>
      <c r="EB20" s="0" t="n">
        <v>0.00010578</v>
      </c>
      <c r="EC20" s="0" t="n">
        <v>-0.02083531</v>
      </c>
      <c r="ED20" s="0" t="n">
        <v>-0.00695483</v>
      </c>
      <c r="EE20" s="0" t="n">
        <v>-0.01513796</v>
      </c>
      <c r="EF20" s="0" t="n">
        <v>-0.01049624</v>
      </c>
      <c r="EG20" s="0" t="n">
        <v>-0.01048813</v>
      </c>
      <c r="EH20" s="0" t="n">
        <v>0.01420983</v>
      </c>
      <c r="EI20" s="0" t="n">
        <v>-0.03549058</v>
      </c>
      <c r="EJ20" s="0" t="n">
        <v>0.00242089</v>
      </c>
      <c r="EK20" s="0" t="n">
        <v>-0.00752886</v>
      </c>
      <c r="EL20" s="0" t="n">
        <v>-0.01793577</v>
      </c>
      <c r="EM20" s="0" t="n">
        <v>-0.04239034</v>
      </c>
      <c r="EN20" s="0" t="n">
        <v>0.0061983</v>
      </c>
      <c r="EO20" s="0" t="n">
        <v>0.00605119</v>
      </c>
      <c r="EP20" s="55" t="n">
        <f aca="false">SUMPRODUCT(B20:EO20,$B$5:$EO$5)</f>
        <v>-0.002397608</v>
      </c>
      <c r="EQ20" s="55" t="n">
        <f aca="false">SUMIF('Mi portafolio'!$A$8:$A$19,$A20,'Mi portafolio'!$B$8:$B$19)</f>
        <v>0</v>
      </c>
    </row>
    <row r="21" customFormat="false" ht="15" hidden="false" customHeight="false" outlineLevel="0" collapsed="false">
      <c r="A21" s="54" t="s">
        <v>167</v>
      </c>
      <c r="B21" s="0" t="n">
        <v>0.00104226</v>
      </c>
      <c r="C21" s="0" t="n">
        <v>-5.552E-005</v>
      </c>
      <c r="D21" s="0" t="n">
        <v>0.0008388</v>
      </c>
      <c r="E21" s="0" t="n">
        <v>0.003285</v>
      </c>
      <c r="F21" s="0" t="n">
        <v>-0.00483679</v>
      </c>
      <c r="G21" s="0" t="n">
        <v>0.00224291</v>
      </c>
      <c r="H21" s="0" t="n">
        <v>-0.00074276</v>
      </c>
      <c r="I21" s="0" t="n">
        <v>-0.00149903</v>
      </c>
      <c r="J21" s="0" t="n">
        <v>0.00045245</v>
      </c>
      <c r="K21" s="0" t="n">
        <v>-0.00205262</v>
      </c>
      <c r="L21" s="0" t="n">
        <v>0.00421604</v>
      </c>
      <c r="M21" s="0" t="n">
        <v>0.00012863</v>
      </c>
      <c r="N21" s="0" t="n">
        <v>-0.00176924</v>
      </c>
      <c r="O21" s="0" t="n">
        <v>0.00485876</v>
      </c>
      <c r="P21" s="0" t="n">
        <v>0.00668485</v>
      </c>
      <c r="Q21" s="0" t="n">
        <v>0.04979876</v>
      </c>
      <c r="R21" s="0" t="n">
        <v>-0.00220232</v>
      </c>
      <c r="S21" s="0" t="n">
        <v>0.00510382</v>
      </c>
      <c r="T21" s="0" t="n">
        <v>0.00359217</v>
      </c>
      <c r="U21" s="0" t="n">
        <v>-0.00270678</v>
      </c>
      <c r="V21" s="0" t="n">
        <v>-0.00118505</v>
      </c>
      <c r="W21" s="0" t="n">
        <v>0.00116792</v>
      </c>
      <c r="X21" s="0" t="n">
        <v>0.00156339</v>
      </c>
      <c r="Y21" s="0" t="n">
        <v>0.00244186</v>
      </c>
      <c r="Z21" s="0" t="n">
        <v>0.00663692</v>
      </c>
      <c r="AA21" s="0" t="n">
        <v>6.273E-005</v>
      </c>
      <c r="AB21" s="0" t="n">
        <v>0.00018726</v>
      </c>
      <c r="AC21" s="0" t="n">
        <v>0.0007009</v>
      </c>
      <c r="AD21" s="0" t="n">
        <v>0.00167912</v>
      </c>
      <c r="AE21" s="0" t="n">
        <v>0.00398143</v>
      </c>
      <c r="AF21" s="0" t="n">
        <v>0.00257139</v>
      </c>
      <c r="AG21" s="0" t="n">
        <v>0.00087271</v>
      </c>
      <c r="AH21" s="0" t="n">
        <v>0.00082541</v>
      </c>
      <c r="AI21" s="0" t="n">
        <v>0.00026943</v>
      </c>
      <c r="AJ21" s="0" t="n">
        <v>0.00087588</v>
      </c>
      <c r="AK21" s="0" t="n">
        <v>-0.00101059</v>
      </c>
      <c r="AL21" s="0" t="n">
        <v>0.00562467</v>
      </c>
      <c r="AM21" s="0" t="n">
        <v>0.00367121</v>
      </c>
      <c r="AN21" s="0" t="n">
        <v>0.00467787</v>
      </c>
      <c r="AO21" s="0" t="n">
        <v>-0.00019827</v>
      </c>
      <c r="AP21" s="0" t="n">
        <v>0.00522865</v>
      </c>
      <c r="AQ21" s="0" t="n">
        <v>-0.00307275</v>
      </c>
      <c r="AR21" s="0" t="n">
        <v>0.0016871</v>
      </c>
      <c r="AS21" s="0" t="n">
        <v>0.00147045</v>
      </c>
      <c r="AT21" s="0" t="n">
        <v>-0.00414677</v>
      </c>
      <c r="AU21" s="0" t="n">
        <v>0.00086948</v>
      </c>
      <c r="AV21" s="0" t="n">
        <v>0.00342617</v>
      </c>
      <c r="AW21" s="0" t="n">
        <v>0.00806495</v>
      </c>
      <c r="AX21" s="0" t="n">
        <v>-0.00052112</v>
      </c>
      <c r="AY21" s="0" t="n">
        <v>-0.00427992</v>
      </c>
      <c r="AZ21" s="0" t="n">
        <v>0.0063078</v>
      </c>
      <c r="BA21" s="0" t="n">
        <v>0.0020604</v>
      </c>
      <c r="BB21" s="0" t="n">
        <v>0.0036249</v>
      </c>
      <c r="BC21" s="0" t="n">
        <v>-0.00586403</v>
      </c>
      <c r="BD21" s="0" t="n">
        <v>0.0033225</v>
      </c>
      <c r="BE21" s="0" t="n">
        <v>-0.00542719</v>
      </c>
      <c r="BF21" s="0" t="n">
        <v>0.00470767</v>
      </c>
      <c r="BG21" s="0" t="n">
        <v>0.00190233</v>
      </c>
      <c r="BH21" s="0" t="n">
        <v>-0.00347937</v>
      </c>
      <c r="BI21" s="0" t="n">
        <v>0.00450004</v>
      </c>
      <c r="BJ21" s="0" t="n">
        <v>-0.0004308</v>
      </c>
      <c r="BK21" s="0" t="n">
        <v>0.01210163</v>
      </c>
      <c r="BL21" s="0" t="n">
        <v>0.00285981</v>
      </c>
      <c r="BM21" s="0" t="n">
        <v>0.00036593</v>
      </c>
      <c r="BN21" s="0" t="n">
        <v>0.00225458</v>
      </c>
      <c r="BO21" s="0" t="n">
        <v>0.00536505</v>
      </c>
      <c r="BP21" s="0" t="n">
        <v>-0.00187263</v>
      </c>
      <c r="BQ21" s="0" t="n">
        <v>0.0078586</v>
      </c>
      <c r="BR21" s="0" t="n">
        <v>0.00367484</v>
      </c>
      <c r="BS21" s="0" t="n">
        <v>-0.00403351</v>
      </c>
      <c r="BT21" s="0" t="n">
        <v>0.00141411</v>
      </c>
      <c r="BU21" s="0" t="n">
        <v>-0.00177778</v>
      </c>
      <c r="BV21" s="0" t="n">
        <v>0.00176488</v>
      </c>
      <c r="BW21" s="0" t="n">
        <v>0.00310125</v>
      </c>
      <c r="BX21" s="0" t="n">
        <v>0.00602175</v>
      </c>
      <c r="BY21" s="0" t="n">
        <v>-0.00544023</v>
      </c>
      <c r="BZ21" s="0" t="n">
        <v>0.00267422</v>
      </c>
      <c r="CA21" s="0" t="n">
        <v>-0.00441956</v>
      </c>
      <c r="CB21" s="0" t="n">
        <v>-0.0018954</v>
      </c>
      <c r="CC21" s="0" t="n">
        <v>0.00457473</v>
      </c>
      <c r="CD21" s="0" t="n">
        <v>0.00352891</v>
      </c>
      <c r="CE21" s="0" t="n">
        <v>0.00201108</v>
      </c>
      <c r="CF21" s="0" t="n">
        <v>-0.00512554</v>
      </c>
      <c r="CG21" s="0" t="n">
        <v>0.00085604</v>
      </c>
      <c r="CH21" s="0" t="n">
        <v>0.00948755</v>
      </c>
      <c r="CI21" s="0" t="n">
        <v>-0.00444385</v>
      </c>
      <c r="CJ21" s="0" t="n">
        <v>0.00279284</v>
      </c>
      <c r="CK21" s="0" t="n">
        <v>-9.11E-005</v>
      </c>
      <c r="CL21" s="0" t="n">
        <v>-0.00113153</v>
      </c>
      <c r="CM21" s="0" t="n">
        <v>0.00585661</v>
      </c>
      <c r="CN21" s="0" t="n">
        <v>0.00605375</v>
      </c>
      <c r="CO21" s="0" t="n">
        <v>-0.00411178</v>
      </c>
      <c r="CP21" s="0" t="n">
        <v>0.00928124</v>
      </c>
      <c r="CQ21" s="0" t="n">
        <v>0.00155254</v>
      </c>
      <c r="CR21" s="0" t="n">
        <v>0.00780655</v>
      </c>
      <c r="CS21" s="0" t="n">
        <v>0.00868052</v>
      </c>
      <c r="CT21" s="0" t="n">
        <v>0.0090405</v>
      </c>
      <c r="CU21" s="0" t="n">
        <v>0.00960082</v>
      </c>
      <c r="CV21" s="0" t="n">
        <v>-0.00996217</v>
      </c>
      <c r="CW21" s="0" t="n">
        <v>0.01810081</v>
      </c>
      <c r="CX21" s="0" t="n">
        <v>0.01051874</v>
      </c>
      <c r="CY21" s="0" t="n">
        <v>0.00116318</v>
      </c>
      <c r="CZ21" s="0" t="n">
        <v>0.00044996</v>
      </c>
      <c r="DA21" s="0" t="n">
        <v>0.00014251</v>
      </c>
      <c r="DB21" s="0" t="n">
        <v>0.0077903</v>
      </c>
      <c r="DC21" s="0" t="n">
        <v>0.00908282</v>
      </c>
      <c r="DD21" s="0" t="n">
        <v>0.00642642</v>
      </c>
      <c r="DE21" s="0" t="n">
        <v>0.00595905</v>
      </c>
      <c r="DF21" s="0" t="n">
        <v>-0.00666525</v>
      </c>
      <c r="DG21" s="0" t="n">
        <v>0.00794877</v>
      </c>
      <c r="DH21" s="0" t="n">
        <v>0.01225389</v>
      </c>
      <c r="DI21" s="0" t="n">
        <v>0.00732809</v>
      </c>
      <c r="DJ21" s="0" t="n">
        <v>-0.00102053</v>
      </c>
      <c r="DK21" s="0" t="n">
        <v>0.00445238</v>
      </c>
      <c r="DL21" s="0" t="n">
        <v>0.00490194</v>
      </c>
      <c r="DM21" s="0" t="n">
        <v>-0.00105046</v>
      </c>
      <c r="DN21" s="0" t="n">
        <v>-0.01325544</v>
      </c>
      <c r="DO21" s="0" t="n">
        <v>0.01074089</v>
      </c>
      <c r="DP21" s="0" t="n">
        <v>-0.00198799</v>
      </c>
      <c r="DQ21" s="0" t="n">
        <v>0.005284</v>
      </c>
      <c r="DR21" s="0" t="n">
        <v>0.01861618</v>
      </c>
      <c r="DS21" s="0" t="n">
        <v>0.00130962</v>
      </c>
      <c r="DT21" s="0" t="n">
        <v>-0.01236447</v>
      </c>
      <c r="DU21" s="0" t="n">
        <v>0.00043024</v>
      </c>
      <c r="DV21" s="0" t="n">
        <v>-0.00301358</v>
      </c>
      <c r="DW21" s="0" t="n">
        <v>-0.00565221</v>
      </c>
      <c r="DX21" s="0" t="n">
        <v>0.00522061</v>
      </c>
      <c r="DY21" s="0" t="n">
        <v>0.00549681</v>
      </c>
      <c r="DZ21" s="0" t="n">
        <v>0.00647404</v>
      </c>
      <c r="EA21" s="0" t="n">
        <v>0.00703748</v>
      </c>
      <c r="EB21" s="0" t="n">
        <v>0.00557614</v>
      </c>
      <c r="EC21" s="0" t="n">
        <v>0.00742845</v>
      </c>
      <c r="ED21" s="0" t="n">
        <v>-0.01337054</v>
      </c>
      <c r="EE21" s="0" t="n">
        <v>0.00912277</v>
      </c>
      <c r="EF21" s="0" t="n">
        <v>0.0107949</v>
      </c>
      <c r="EG21" s="0" t="n">
        <v>0.01741298</v>
      </c>
      <c r="EH21" s="0" t="n">
        <v>0.00275603</v>
      </c>
      <c r="EI21" s="0" t="n">
        <v>0.00131066</v>
      </c>
      <c r="EJ21" s="0" t="n">
        <v>-0.00285042</v>
      </c>
      <c r="EK21" s="0" t="n">
        <v>0.00268797</v>
      </c>
      <c r="EL21" s="0" t="n">
        <v>0.00510985</v>
      </c>
      <c r="EM21" s="0" t="n">
        <v>0.0006974</v>
      </c>
      <c r="EN21" s="0" t="n">
        <v>-0.01924474</v>
      </c>
      <c r="EO21" s="0" t="n">
        <v>0.00844686</v>
      </c>
      <c r="EP21" s="55" t="n">
        <f aca="false">SUMPRODUCT(B21:EO21,$B$5:$EO$5)</f>
        <v>0.008551078</v>
      </c>
      <c r="EQ21" s="55" t="n">
        <f aca="false">SUMIF('Mi portafolio'!$A$8:$A$19,$A21,'Mi portafolio'!$B$8:$B$19)</f>
        <v>0</v>
      </c>
    </row>
    <row r="22" customFormat="false" ht="15" hidden="false" customHeight="false" outlineLevel="0" collapsed="false">
      <c r="A22" s="54" t="s">
        <v>168</v>
      </c>
      <c r="B22" s="0" t="n">
        <v>0.01346009</v>
      </c>
      <c r="C22" s="0" t="n">
        <v>0.00099835</v>
      </c>
      <c r="D22" s="0" t="n">
        <v>-0.00710034</v>
      </c>
      <c r="E22" s="0" t="n">
        <v>0.00382824</v>
      </c>
      <c r="F22" s="0" t="n">
        <v>0.02910072</v>
      </c>
      <c r="G22" s="0" t="n">
        <v>-0.00120195</v>
      </c>
      <c r="H22" s="0" t="n">
        <v>0.00241434</v>
      </c>
      <c r="I22" s="0" t="n">
        <v>0.02485324</v>
      </c>
      <c r="J22" s="0" t="n">
        <v>0.02281184</v>
      </c>
      <c r="K22" s="0" t="n">
        <v>0.02757052</v>
      </c>
      <c r="L22" s="0" t="n">
        <v>0.00460498</v>
      </c>
      <c r="M22" s="0" t="n">
        <v>0.01445608</v>
      </c>
      <c r="N22" s="0" t="n">
        <v>0.01577964</v>
      </c>
      <c r="O22" s="0" t="n">
        <v>0.00587182</v>
      </c>
      <c r="P22" s="0" t="n">
        <v>0.02320554</v>
      </c>
      <c r="Q22" s="0" t="n">
        <v>-0.00220232</v>
      </c>
      <c r="R22" s="0" t="n">
        <v>0.04882881</v>
      </c>
      <c r="S22" s="0" t="n">
        <v>0.00508528</v>
      </c>
      <c r="T22" s="0" t="n">
        <v>0.00631234</v>
      </c>
      <c r="U22" s="0" t="n">
        <v>0.0036449</v>
      </c>
      <c r="V22" s="0" t="n">
        <v>0.0045158</v>
      </c>
      <c r="W22" s="0" t="n">
        <v>0.00875675</v>
      </c>
      <c r="X22" s="0" t="n">
        <v>0.00630002</v>
      </c>
      <c r="Y22" s="0" t="n">
        <v>0.01145149</v>
      </c>
      <c r="Z22" s="0" t="n">
        <v>0.00718501</v>
      </c>
      <c r="AA22" s="0" t="n">
        <v>0.01200542</v>
      </c>
      <c r="AB22" s="0" t="n">
        <v>0.01137416</v>
      </c>
      <c r="AC22" s="0" t="n">
        <v>0.00215899</v>
      </c>
      <c r="AD22" s="0" t="n">
        <v>0.00377207</v>
      </c>
      <c r="AE22" s="0" t="n">
        <v>0.0011453</v>
      </c>
      <c r="AF22" s="0" t="n">
        <v>-0.00155542</v>
      </c>
      <c r="AG22" s="0" t="n">
        <v>0.02163953</v>
      </c>
      <c r="AH22" s="0" t="n">
        <v>0.02546929</v>
      </c>
      <c r="AI22" s="0" t="n">
        <v>0.01487461</v>
      </c>
      <c r="AJ22" s="0" t="n">
        <v>-0.00711144</v>
      </c>
      <c r="AK22" s="0" t="n">
        <v>0.00439329</v>
      </c>
      <c r="AL22" s="0" t="n">
        <v>0.01722927</v>
      </c>
      <c r="AM22" s="0" t="n">
        <v>0.00619143</v>
      </c>
      <c r="AN22" s="0" t="n">
        <v>0.02485457</v>
      </c>
      <c r="AO22" s="0" t="n">
        <v>0.01746138</v>
      </c>
      <c r="AP22" s="0" t="n">
        <v>0.02114</v>
      </c>
      <c r="AQ22" s="0" t="n">
        <v>0.01485792</v>
      </c>
      <c r="AR22" s="0" t="n">
        <v>0.00897738</v>
      </c>
      <c r="AS22" s="0" t="n">
        <v>0.00128709</v>
      </c>
      <c r="AT22" s="0" t="n">
        <v>0.00664149</v>
      </c>
      <c r="AU22" s="0" t="n">
        <v>0.02725278</v>
      </c>
      <c r="AV22" s="0" t="n">
        <v>0.00916387</v>
      </c>
      <c r="AW22" s="0" t="n">
        <v>0.0028351</v>
      </c>
      <c r="AX22" s="0" t="n">
        <v>0.02466542</v>
      </c>
      <c r="AY22" s="0" t="n">
        <v>0.01951457</v>
      </c>
      <c r="AZ22" s="0" t="n">
        <v>0.00041974</v>
      </c>
      <c r="BA22" s="0" t="n">
        <v>0.01905014</v>
      </c>
      <c r="BB22" s="0" t="n">
        <v>-0.00052042</v>
      </c>
      <c r="BC22" s="0" t="n">
        <v>0.00317582</v>
      </c>
      <c r="BD22" s="0" t="n">
        <v>0.00324279</v>
      </c>
      <c r="BE22" s="0" t="n">
        <v>0.02502943</v>
      </c>
      <c r="BF22" s="0" t="n">
        <v>0.00461137</v>
      </c>
      <c r="BG22" s="0" t="n">
        <v>0.00928127</v>
      </c>
      <c r="BH22" s="0" t="n">
        <v>0.00499682</v>
      </c>
      <c r="BI22" s="0" t="n">
        <v>0.00435429</v>
      </c>
      <c r="BJ22" s="0" t="n">
        <v>-0.0068599</v>
      </c>
      <c r="BK22" s="0" t="n">
        <v>0.0022152</v>
      </c>
      <c r="BL22" s="0" t="n">
        <v>0.00903431</v>
      </c>
      <c r="BM22" s="0" t="n">
        <v>0.030221</v>
      </c>
      <c r="BN22" s="0" t="n">
        <v>0.0125442</v>
      </c>
      <c r="BO22" s="0" t="n">
        <v>0.00894088</v>
      </c>
      <c r="BP22" s="0" t="n">
        <v>0.00070814</v>
      </c>
      <c r="BQ22" s="0" t="n">
        <v>0.00049923</v>
      </c>
      <c r="BR22" s="0" t="n">
        <v>0.01556383</v>
      </c>
      <c r="BS22" s="0" t="n">
        <v>0.01048733</v>
      </c>
      <c r="BT22" s="0" t="n">
        <v>0.00654308</v>
      </c>
      <c r="BU22" s="0" t="n">
        <v>0.00110214</v>
      </c>
      <c r="BV22" s="0" t="n">
        <v>0.00287125</v>
      </c>
      <c r="BW22" s="0" t="n">
        <v>0.01742651</v>
      </c>
      <c r="BX22" s="0" t="n">
        <v>0.01715201</v>
      </c>
      <c r="BY22" s="0" t="n">
        <v>0.01881128</v>
      </c>
      <c r="BZ22" s="0" t="n">
        <v>0.01181873</v>
      </c>
      <c r="CA22" s="0" t="n">
        <v>0.00121891</v>
      </c>
      <c r="CB22" s="0" t="n">
        <v>0.00572071</v>
      </c>
      <c r="CC22" s="0" t="n">
        <v>0.0028954</v>
      </c>
      <c r="CD22" s="0" t="n">
        <v>0.01215639</v>
      </c>
      <c r="CE22" s="0" t="n">
        <v>0.0011052</v>
      </c>
      <c r="CF22" s="0" t="n">
        <v>0.01546738</v>
      </c>
      <c r="CG22" s="0" t="n">
        <v>0.01149111</v>
      </c>
      <c r="CH22" s="0" t="n">
        <v>0.00223607</v>
      </c>
      <c r="CI22" s="0" t="n">
        <v>0.01435096</v>
      </c>
      <c r="CJ22" s="0" t="n">
        <v>0.02549211</v>
      </c>
      <c r="CK22" s="0" t="n">
        <v>0.02808308</v>
      </c>
      <c r="CL22" s="0" t="n">
        <v>0.00923162</v>
      </c>
      <c r="CM22" s="0" t="n">
        <v>-0.01506393</v>
      </c>
      <c r="CN22" s="0" t="n">
        <v>-0.00780455</v>
      </c>
      <c r="CO22" s="0" t="n">
        <v>0.00403066</v>
      </c>
      <c r="CP22" s="0" t="n">
        <v>0.01436053</v>
      </c>
      <c r="CQ22" s="0" t="n">
        <v>0.01069037</v>
      </c>
      <c r="CR22" s="0" t="n">
        <v>-0.00979961</v>
      </c>
      <c r="CS22" s="0" t="n">
        <v>-0.00341111</v>
      </c>
      <c r="CT22" s="0" t="n">
        <v>0.00118875</v>
      </c>
      <c r="CU22" s="0" t="n">
        <v>0.00460019</v>
      </c>
      <c r="CV22" s="0" t="n">
        <v>0.00221421</v>
      </c>
      <c r="CW22" s="0" t="n">
        <v>0.01201259</v>
      </c>
      <c r="CX22" s="0" t="n">
        <v>0.00491762</v>
      </c>
      <c r="CY22" s="0" t="n">
        <v>0.01249084</v>
      </c>
      <c r="CZ22" s="0" t="n">
        <v>0.01075233</v>
      </c>
      <c r="DA22" s="0" t="n">
        <v>0.00308586</v>
      </c>
      <c r="DB22" s="0" t="n">
        <v>-0.00381206</v>
      </c>
      <c r="DC22" s="0" t="n">
        <v>-0.00293064</v>
      </c>
      <c r="DD22" s="0" t="n">
        <v>0.00668574</v>
      </c>
      <c r="DE22" s="0" t="n">
        <v>-0.00611916</v>
      </c>
      <c r="DF22" s="0" t="n">
        <v>0.0063311</v>
      </c>
      <c r="DG22" s="0" t="n">
        <v>0.00235997</v>
      </c>
      <c r="DH22" s="0" t="n">
        <v>-0.01458909</v>
      </c>
      <c r="DI22" s="0" t="n">
        <v>0.01247127</v>
      </c>
      <c r="DJ22" s="0" t="n">
        <v>0.01583287</v>
      </c>
      <c r="DK22" s="0" t="n">
        <v>0.01084815</v>
      </c>
      <c r="DL22" s="0" t="n">
        <v>-0.00504</v>
      </c>
      <c r="DM22" s="0" t="n">
        <v>0.02079161</v>
      </c>
      <c r="DN22" s="0" t="n">
        <v>0.01851425</v>
      </c>
      <c r="DO22" s="0" t="n">
        <v>0.00360079</v>
      </c>
      <c r="DP22" s="0" t="n">
        <v>0.01461128</v>
      </c>
      <c r="DQ22" s="0" t="n">
        <v>0.00426799</v>
      </c>
      <c r="DR22" s="0" t="n">
        <v>-0.0070907</v>
      </c>
      <c r="DS22" s="0" t="n">
        <v>0.00605691</v>
      </c>
      <c r="DT22" s="0" t="n">
        <v>-0.01755452</v>
      </c>
      <c r="DU22" s="0" t="n">
        <v>-0.00925664</v>
      </c>
      <c r="DV22" s="0" t="n">
        <v>0.00177145</v>
      </c>
      <c r="DW22" s="0" t="n">
        <v>0.00234302</v>
      </c>
      <c r="DX22" s="0" t="n">
        <v>-0.02998607</v>
      </c>
      <c r="DY22" s="0" t="n">
        <v>0.00099563</v>
      </c>
      <c r="DZ22" s="0" t="n">
        <v>-0.00730146</v>
      </c>
      <c r="EA22" s="0" t="n">
        <v>0.00084525</v>
      </c>
      <c r="EB22" s="0" t="n">
        <v>-0.00247942</v>
      </c>
      <c r="EC22" s="0" t="n">
        <v>-0.0174137</v>
      </c>
      <c r="ED22" s="0" t="n">
        <v>-0.00190704</v>
      </c>
      <c r="EE22" s="0" t="n">
        <v>-0.02164671</v>
      </c>
      <c r="EF22" s="0" t="n">
        <v>0.01131066</v>
      </c>
      <c r="EG22" s="0" t="n">
        <v>-0.01802118</v>
      </c>
      <c r="EH22" s="0" t="n">
        <v>0.00266597</v>
      </c>
      <c r="EI22" s="0" t="n">
        <v>-0.04757093</v>
      </c>
      <c r="EJ22" s="0" t="n">
        <v>0.01032313</v>
      </c>
      <c r="EK22" s="0" t="n">
        <v>-0.00387414</v>
      </c>
      <c r="EL22" s="0" t="n">
        <v>-0.02673107</v>
      </c>
      <c r="EM22" s="0" t="n">
        <v>-0.0180729</v>
      </c>
      <c r="EN22" s="0" t="n">
        <v>0.02972886</v>
      </c>
      <c r="EO22" s="0" t="n">
        <v>0.01226688</v>
      </c>
      <c r="EP22" s="55" t="n">
        <f aca="false">SUMPRODUCT(B22:EO22,$B$5:$EO$5)</f>
        <v>-0.001344994</v>
      </c>
      <c r="EQ22" s="55" t="n">
        <f aca="false">SUMIF('Mi portafolio'!$A$8:$A$19,$A22,'Mi portafolio'!$B$8:$B$19)</f>
        <v>0</v>
      </c>
    </row>
    <row r="23" customFormat="false" ht="15" hidden="false" customHeight="false" outlineLevel="0" collapsed="false">
      <c r="A23" s="54" t="s">
        <v>169</v>
      </c>
      <c r="B23" s="0" t="n">
        <v>-7.47E-005</v>
      </c>
      <c r="C23" s="0" t="n">
        <v>0.0025064</v>
      </c>
      <c r="D23" s="0" t="n">
        <v>0.00469729</v>
      </c>
      <c r="E23" s="0" t="n">
        <v>0.01088201</v>
      </c>
      <c r="F23" s="0" t="n">
        <v>0.00474202</v>
      </c>
      <c r="G23" s="0" t="n">
        <v>-0.00209972</v>
      </c>
      <c r="H23" s="0" t="n">
        <v>0.01171668</v>
      </c>
      <c r="I23" s="0" t="n">
        <v>0.00474109</v>
      </c>
      <c r="J23" s="0" t="n">
        <v>0.00633133</v>
      </c>
      <c r="K23" s="0" t="n">
        <v>0.00818469</v>
      </c>
      <c r="L23" s="0" t="n">
        <v>0.01629616</v>
      </c>
      <c r="M23" s="0" t="n">
        <v>0.00583393</v>
      </c>
      <c r="N23" s="0" t="n">
        <v>0.00553802</v>
      </c>
      <c r="O23" s="0" t="n">
        <v>0.01252883</v>
      </c>
      <c r="P23" s="0" t="n">
        <v>0.00503377</v>
      </c>
      <c r="Q23" s="0" t="n">
        <v>0.00510382</v>
      </c>
      <c r="R23" s="0" t="n">
        <v>0.00508528</v>
      </c>
      <c r="S23" s="0" t="n">
        <v>0.05016049</v>
      </c>
      <c r="T23" s="0" t="n">
        <v>-0.00119167</v>
      </c>
      <c r="U23" s="0" t="n">
        <v>0.01778426</v>
      </c>
      <c r="V23" s="0" t="n">
        <v>0.01196901</v>
      </c>
      <c r="W23" s="0" t="n">
        <v>0.01149596</v>
      </c>
      <c r="X23" s="0" t="n">
        <v>0.0003233</v>
      </c>
      <c r="Y23" s="0" t="n">
        <v>0.00777432</v>
      </c>
      <c r="Z23" s="0" t="n">
        <v>0.01443556</v>
      </c>
      <c r="AA23" s="0" t="n">
        <v>0.0118933</v>
      </c>
      <c r="AB23" s="0" t="n">
        <v>0.0043021</v>
      </c>
      <c r="AC23" s="0" t="n">
        <v>0.00598682</v>
      </c>
      <c r="AD23" s="0" t="n">
        <v>0.01527879</v>
      </c>
      <c r="AE23" s="0" t="n">
        <v>0.01307177</v>
      </c>
      <c r="AF23" s="0" t="n">
        <v>0.01700623</v>
      </c>
      <c r="AG23" s="0" t="n">
        <v>0.00660103</v>
      </c>
      <c r="AH23" s="0" t="n">
        <v>0.00478839</v>
      </c>
      <c r="AI23" s="0" t="n">
        <v>-0.00563085</v>
      </c>
      <c r="AJ23" s="0" t="n">
        <v>0.00989546</v>
      </c>
      <c r="AK23" s="0" t="n">
        <v>0.0122231</v>
      </c>
      <c r="AL23" s="0" t="n">
        <v>0.00149677</v>
      </c>
      <c r="AM23" s="0" t="n">
        <v>0.00897126</v>
      </c>
      <c r="AN23" s="0" t="n">
        <v>0.01096023</v>
      </c>
      <c r="AO23" s="0" t="n">
        <v>0.00584744</v>
      </c>
      <c r="AP23" s="0" t="n">
        <v>0.00593663</v>
      </c>
      <c r="AQ23" s="0" t="n">
        <v>-0.00838471</v>
      </c>
      <c r="AR23" s="0" t="n">
        <v>0.00051994</v>
      </c>
      <c r="AS23" s="0" t="n">
        <v>0.01301085</v>
      </c>
      <c r="AT23" s="0" t="n">
        <v>0.00093121</v>
      </c>
      <c r="AU23" s="0" t="n">
        <v>0.00470905</v>
      </c>
      <c r="AV23" s="0" t="n">
        <v>0.01780882</v>
      </c>
      <c r="AW23" s="0" t="n">
        <v>0.02072725</v>
      </c>
      <c r="AX23" s="0" t="n">
        <v>0.0104392</v>
      </c>
      <c r="AY23" s="0" t="n">
        <v>0.0024452</v>
      </c>
      <c r="AZ23" s="0" t="n">
        <v>0.0183175</v>
      </c>
      <c r="BA23" s="0" t="n">
        <v>0.00738592</v>
      </c>
      <c r="BB23" s="0" t="n">
        <v>-0.00165786</v>
      </c>
      <c r="BC23" s="0" t="n">
        <v>0.0124417</v>
      </c>
      <c r="BD23" s="0" t="n">
        <v>0.0219132</v>
      </c>
      <c r="BE23" s="0" t="n">
        <v>0.01053699</v>
      </c>
      <c r="BF23" s="0" t="n">
        <v>0.01492834</v>
      </c>
      <c r="BG23" s="0" t="n">
        <v>0.00510378</v>
      </c>
      <c r="BH23" s="0" t="n">
        <v>0.01633115</v>
      </c>
      <c r="BI23" s="0" t="n">
        <v>0.01230048</v>
      </c>
      <c r="BJ23" s="0" t="n">
        <v>0.0067399</v>
      </c>
      <c r="BK23" s="0" t="n">
        <v>0.01576936</v>
      </c>
      <c r="BL23" s="0" t="n">
        <v>0.00489775</v>
      </c>
      <c r="BM23" s="0" t="n">
        <v>0.00807985</v>
      </c>
      <c r="BN23" s="0" t="n">
        <v>0.00805657</v>
      </c>
      <c r="BO23" s="0" t="n">
        <v>0.00949419</v>
      </c>
      <c r="BP23" s="0" t="n">
        <v>0.00716597</v>
      </c>
      <c r="BQ23" s="0" t="n">
        <v>0.02235889</v>
      </c>
      <c r="BR23" s="0" t="n">
        <v>0.00672516</v>
      </c>
      <c r="BS23" s="0" t="n">
        <v>-0.00956598</v>
      </c>
      <c r="BT23" s="0" t="n">
        <v>0.01311754</v>
      </c>
      <c r="BU23" s="0" t="n">
        <v>0.01534957</v>
      </c>
      <c r="BV23" s="0" t="n">
        <v>0.00531743</v>
      </c>
      <c r="BW23" s="0" t="n">
        <v>0.00786613</v>
      </c>
      <c r="BX23" s="0" t="n">
        <v>0.01359464</v>
      </c>
      <c r="BY23" s="0" t="n">
        <v>-0.00040231</v>
      </c>
      <c r="BZ23" s="0" t="n">
        <v>0.00841741</v>
      </c>
      <c r="CA23" s="0" t="n">
        <v>0.01834094</v>
      </c>
      <c r="CB23" s="0" t="n">
        <v>-0.00726</v>
      </c>
      <c r="CC23" s="0" t="n">
        <v>0.00862513</v>
      </c>
      <c r="CD23" s="0" t="n">
        <v>0.00927883</v>
      </c>
      <c r="CE23" s="0" t="n">
        <v>-0.00248985</v>
      </c>
      <c r="CF23" s="0" t="n">
        <v>-0.0081476</v>
      </c>
      <c r="CG23" s="0" t="n">
        <v>0.01143427</v>
      </c>
      <c r="CH23" s="0" t="n">
        <v>0.01215972</v>
      </c>
      <c r="CI23" s="0" t="n">
        <v>-0.01276712</v>
      </c>
      <c r="CJ23" s="0" t="n">
        <v>0.00655163</v>
      </c>
      <c r="CK23" s="0" t="n">
        <v>0.00722408</v>
      </c>
      <c r="CL23" s="0" t="n">
        <v>-0.00304389</v>
      </c>
      <c r="CM23" s="0" t="n">
        <v>-0.00072747</v>
      </c>
      <c r="CN23" s="0" t="n">
        <v>0.00480684</v>
      </c>
      <c r="CO23" s="0" t="n">
        <v>0.01232854</v>
      </c>
      <c r="CP23" s="0" t="n">
        <v>-0.00128088</v>
      </c>
      <c r="CQ23" s="0" t="n">
        <v>0.00683457</v>
      </c>
      <c r="CR23" s="0" t="n">
        <v>0.00062219</v>
      </c>
      <c r="CS23" s="0" t="n">
        <v>0.00300928</v>
      </c>
      <c r="CT23" s="0" t="n">
        <v>0.00477895</v>
      </c>
      <c r="CU23" s="0" t="n">
        <v>0.00411724</v>
      </c>
      <c r="CV23" s="0" t="n">
        <v>0.00466898</v>
      </c>
      <c r="CW23" s="0" t="n">
        <v>0.01397334</v>
      </c>
      <c r="CX23" s="0" t="n">
        <v>0.01164146</v>
      </c>
      <c r="CY23" s="0" t="n">
        <v>0.00425077</v>
      </c>
      <c r="CZ23" s="0" t="n">
        <v>0.01060143</v>
      </c>
      <c r="DA23" s="0" t="n">
        <v>0.0098788</v>
      </c>
      <c r="DB23" s="0" t="n">
        <v>0.0029979</v>
      </c>
      <c r="DC23" s="0" t="n">
        <v>0.00987725</v>
      </c>
      <c r="DD23" s="0" t="n">
        <v>0.01371257</v>
      </c>
      <c r="DE23" s="0" t="n">
        <v>-0.00401461</v>
      </c>
      <c r="DF23" s="0" t="n">
        <v>-0.00382003</v>
      </c>
      <c r="DG23" s="0" t="n">
        <v>0.01505786</v>
      </c>
      <c r="DH23" s="0" t="n">
        <v>-0.00061436</v>
      </c>
      <c r="DI23" s="0" t="n">
        <v>0.01155752</v>
      </c>
      <c r="DJ23" s="0" t="n">
        <v>0.00701873</v>
      </c>
      <c r="DK23" s="0" t="n">
        <v>0.01200241</v>
      </c>
      <c r="DL23" s="0" t="n">
        <v>0.01882495</v>
      </c>
      <c r="DM23" s="0" t="n">
        <v>0.01023126</v>
      </c>
      <c r="DN23" s="0" t="n">
        <v>-0.00084783</v>
      </c>
      <c r="DO23" s="0" t="n">
        <v>0.01077664</v>
      </c>
      <c r="DP23" s="0" t="n">
        <v>0.00628073</v>
      </c>
      <c r="DQ23" s="0" t="n">
        <v>0.01077298</v>
      </c>
      <c r="DR23" s="0" t="n">
        <v>-0.00938126</v>
      </c>
      <c r="DS23" s="0" t="n">
        <v>0.00273436</v>
      </c>
      <c r="DT23" s="0" t="n">
        <v>-0.00291406</v>
      </c>
      <c r="DU23" s="0" t="n">
        <v>0.00728398</v>
      </c>
      <c r="DV23" s="0" t="n">
        <v>0.0016892</v>
      </c>
      <c r="DW23" s="0" t="n">
        <v>0.00767599</v>
      </c>
      <c r="DX23" s="0" t="n">
        <v>-0.00960449</v>
      </c>
      <c r="DY23" s="0" t="n">
        <v>0.00498354</v>
      </c>
      <c r="DZ23" s="0" t="n">
        <v>0.00797906</v>
      </c>
      <c r="EA23" s="0" t="n">
        <v>0.00956436</v>
      </c>
      <c r="EB23" s="0" t="n">
        <v>-0.00053739</v>
      </c>
      <c r="EC23" s="0" t="n">
        <v>0.01253541</v>
      </c>
      <c r="ED23" s="0" t="n">
        <v>0.00770863</v>
      </c>
      <c r="EE23" s="0" t="n">
        <v>0.00621778</v>
      </c>
      <c r="EF23" s="0" t="n">
        <v>0.00174185</v>
      </c>
      <c r="EG23" s="0" t="n">
        <v>0.01705318</v>
      </c>
      <c r="EH23" s="0" t="n">
        <v>-0.01408137</v>
      </c>
      <c r="EI23" s="0" t="n">
        <v>0.0006482</v>
      </c>
      <c r="EJ23" s="0" t="n">
        <v>0.01263043</v>
      </c>
      <c r="EK23" s="0" t="n">
        <v>-0.00944358</v>
      </c>
      <c r="EL23" s="0" t="n">
        <v>0.00180536</v>
      </c>
      <c r="EM23" s="0" t="n">
        <v>0.00745848</v>
      </c>
      <c r="EN23" s="0" t="n">
        <v>0.02136311</v>
      </c>
      <c r="EO23" s="0" t="n">
        <v>-0.02238558</v>
      </c>
      <c r="EP23" s="55" t="n">
        <f aca="false">SUMPRODUCT(B23:EO23,$B$5:$EO$5)</f>
        <v>0.009279268</v>
      </c>
      <c r="EQ23" s="55" t="n">
        <f aca="false">SUMIF('Mi portafolio'!$A$8:$A$19,$A23,'Mi portafolio'!$B$8:$B$19)</f>
        <v>0</v>
      </c>
    </row>
    <row r="24" customFormat="false" ht="15" hidden="false" customHeight="false" outlineLevel="0" collapsed="false">
      <c r="A24" s="54" t="s">
        <v>170</v>
      </c>
      <c r="B24" s="0" t="n">
        <v>0.00931484</v>
      </c>
      <c r="C24" s="0" t="n">
        <v>-0.00033098</v>
      </c>
      <c r="D24" s="0" t="n">
        <v>0.00260544</v>
      </c>
      <c r="E24" s="0" t="n">
        <v>0.0057931</v>
      </c>
      <c r="F24" s="0" t="n">
        <v>0.00234678</v>
      </c>
      <c r="G24" s="0" t="n">
        <v>0.00063411</v>
      </c>
      <c r="H24" s="0" t="n">
        <v>0.00133321</v>
      </c>
      <c r="I24" s="0" t="n">
        <v>0.00710635</v>
      </c>
      <c r="J24" s="0" t="n">
        <v>0.00630623</v>
      </c>
      <c r="K24" s="0" t="n">
        <v>0.00624162</v>
      </c>
      <c r="L24" s="0" t="n">
        <v>0.00118901</v>
      </c>
      <c r="M24" s="0" t="n">
        <v>0.0173936</v>
      </c>
      <c r="N24" s="0" t="n">
        <v>0.01139705</v>
      </c>
      <c r="O24" s="0" t="n">
        <v>0.00316391</v>
      </c>
      <c r="P24" s="0" t="n">
        <v>0.00471378</v>
      </c>
      <c r="Q24" s="0" t="n">
        <v>0.00359217</v>
      </c>
      <c r="R24" s="0" t="n">
        <v>0.00631234</v>
      </c>
      <c r="S24" s="0" t="n">
        <v>-0.00119167</v>
      </c>
      <c r="T24" s="0" t="n">
        <v>0.04997737</v>
      </c>
      <c r="U24" s="0" t="n">
        <v>0.00766628</v>
      </c>
      <c r="V24" s="0" t="n">
        <v>0.00082606</v>
      </c>
      <c r="W24" s="0" t="n">
        <v>0.00449225</v>
      </c>
      <c r="X24" s="0" t="n">
        <v>0.04140888</v>
      </c>
      <c r="Y24" s="0" t="n">
        <v>0.01963073</v>
      </c>
      <c r="Z24" s="0" t="n">
        <v>0.00356735</v>
      </c>
      <c r="AA24" s="0" t="n">
        <v>0.00653023</v>
      </c>
      <c r="AB24" s="0" t="n">
        <v>0.02172289</v>
      </c>
      <c r="AC24" s="0" t="n">
        <v>0.00277424</v>
      </c>
      <c r="AD24" s="0" t="n">
        <v>-0.00246945</v>
      </c>
      <c r="AE24" s="0" t="n">
        <v>0.00921686</v>
      </c>
      <c r="AF24" s="0" t="n">
        <v>0.00460311</v>
      </c>
      <c r="AG24" s="0" t="n">
        <v>0.00416205</v>
      </c>
      <c r="AH24" s="0" t="n">
        <v>0.0044899</v>
      </c>
      <c r="AI24" s="0" t="n">
        <v>0.00242098</v>
      </c>
      <c r="AJ24" s="0" t="n">
        <v>-0.00273347</v>
      </c>
      <c r="AK24" s="0" t="n">
        <v>0.00873306</v>
      </c>
      <c r="AL24" s="0" t="n">
        <v>0.01813523</v>
      </c>
      <c r="AM24" s="0" t="n">
        <v>0.01190186</v>
      </c>
      <c r="AN24" s="0" t="n">
        <v>0.01769207</v>
      </c>
      <c r="AO24" s="0" t="n">
        <v>0.00867031</v>
      </c>
      <c r="AP24" s="0" t="n">
        <v>0.01602624</v>
      </c>
      <c r="AQ24" s="0" t="n">
        <v>-0.00044959</v>
      </c>
      <c r="AR24" s="0" t="n">
        <v>0.04849391</v>
      </c>
      <c r="AS24" s="0" t="n">
        <v>0.00635366</v>
      </c>
      <c r="AT24" s="0" t="n">
        <v>0.03918889</v>
      </c>
      <c r="AU24" s="0" t="n">
        <v>0.00470924</v>
      </c>
      <c r="AV24" s="0" t="n">
        <v>0.0085973</v>
      </c>
      <c r="AW24" s="0" t="n">
        <v>0.00493311</v>
      </c>
      <c r="AX24" s="0" t="n">
        <v>0.01539724</v>
      </c>
      <c r="AY24" s="0" t="n">
        <v>0.01694366</v>
      </c>
      <c r="AZ24" s="0" t="n">
        <v>0.00940954</v>
      </c>
      <c r="BA24" s="0" t="n">
        <v>0.02130714</v>
      </c>
      <c r="BB24" s="0" t="n">
        <v>0.04957243</v>
      </c>
      <c r="BC24" s="0" t="n">
        <v>0.00362539</v>
      </c>
      <c r="BD24" s="0" t="n">
        <v>0.00554122</v>
      </c>
      <c r="BE24" s="0" t="n">
        <v>0.01185799</v>
      </c>
      <c r="BF24" s="0" t="n">
        <v>0.01069707</v>
      </c>
      <c r="BG24" s="0" t="n">
        <v>0.02136056</v>
      </c>
      <c r="BH24" s="0" t="n">
        <v>0.00671349</v>
      </c>
      <c r="BI24" s="0" t="n">
        <v>0.00944192</v>
      </c>
      <c r="BJ24" s="0" t="n">
        <v>0.0025277</v>
      </c>
      <c r="BK24" s="0" t="n">
        <v>0.01386309</v>
      </c>
      <c r="BL24" s="0" t="n">
        <v>0.0219255</v>
      </c>
      <c r="BM24" s="0" t="n">
        <v>0.01559583</v>
      </c>
      <c r="BN24" s="0" t="n">
        <v>0.0099972</v>
      </c>
      <c r="BO24" s="0" t="n">
        <v>0.0173687</v>
      </c>
      <c r="BP24" s="0" t="n">
        <v>0.01096216</v>
      </c>
      <c r="BQ24" s="0" t="n">
        <v>0.02009666</v>
      </c>
      <c r="BR24" s="0" t="n">
        <v>0.02775364</v>
      </c>
      <c r="BS24" s="0" t="n">
        <v>-0.00060382</v>
      </c>
      <c r="BT24" s="0" t="n">
        <v>0.03582946</v>
      </c>
      <c r="BU24" s="0" t="n">
        <v>0.01283974</v>
      </c>
      <c r="BV24" s="0" t="n">
        <v>0.01949771</v>
      </c>
      <c r="BW24" s="0" t="n">
        <v>0.01736272</v>
      </c>
      <c r="BX24" s="0" t="n">
        <v>0.01092013</v>
      </c>
      <c r="BY24" s="0" t="n">
        <v>0.02329488</v>
      </c>
      <c r="BZ24" s="0" t="n">
        <v>0.02522505</v>
      </c>
      <c r="CA24" s="0" t="n">
        <v>0.00325536</v>
      </c>
      <c r="CB24" s="0" t="n">
        <v>0.0009891</v>
      </c>
      <c r="CC24" s="0" t="n">
        <v>0.01275097</v>
      </c>
      <c r="CD24" s="0" t="n">
        <v>0.02033319</v>
      </c>
      <c r="CE24" s="0" t="n">
        <v>0.02317473</v>
      </c>
      <c r="CF24" s="0" t="n">
        <v>0.00048599</v>
      </c>
      <c r="CG24" s="0" t="n">
        <v>0.03110022</v>
      </c>
      <c r="CH24" s="0" t="n">
        <v>0.01612229</v>
      </c>
      <c r="CI24" s="0" t="n">
        <v>-0.00245989</v>
      </c>
      <c r="CJ24" s="0" t="n">
        <v>0.00729427</v>
      </c>
      <c r="CK24" s="0" t="n">
        <v>0.01851149</v>
      </c>
      <c r="CL24" s="0" t="n">
        <v>0.01846829</v>
      </c>
      <c r="CM24" s="0" t="n">
        <v>0.01449163</v>
      </c>
      <c r="CN24" s="0" t="n">
        <v>0.0055742</v>
      </c>
      <c r="CO24" s="0" t="n">
        <v>0.0069466</v>
      </c>
      <c r="CP24" s="0" t="n">
        <v>0.01234232</v>
      </c>
      <c r="CQ24" s="0" t="n">
        <v>0.04252923</v>
      </c>
      <c r="CR24" s="0" t="n">
        <v>0.0168765</v>
      </c>
      <c r="CS24" s="0" t="n">
        <v>0.03063581</v>
      </c>
      <c r="CT24" s="0" t="n">
        <v>0.02341597</v>
      </c>
      <c r="CU24" s="0" t="n">
        <v>0.01185535</v>
      </c>
      <c r="CV24" s="0" t="n">
        <v>0.02093431</v>
      </c>
      <c r="CW24" s="0" t="n">
        <v>0.02363589</v>
      </c>
      <c r="CX24" s="0" t="n">
        <v>0.03463178</v>
      </c>
      <c r="CY24" s="0" t="n">
        <v>0.04336524</v>
      </c>
      <c r="CZ24" s="0" t="n">
        <v>0.01600599</v>
      </c>
      <c r="DA24" s="0" t="n">
        <v>0.01434481</v>
      </c>
      <c r="DB24" s="0" t="n">
        <v>0.01977069</v>
      </c>
      <c r="DC24" s="0" t="n">
        <v>0.03370465</v>
      </c>
      <c r="DD24" s="0" t="n">
        <v>0.0278727</v>
      </c>
      <c r="DE24" s="0" t="n">
        <v>0.02459892</v>
      </c>
      <c r="DF24" s="0" t="n">
        <v>0.00820196</v>
      </c>
      <c r="DG24" s="0" t="n">
        <v>0.01834032</v>
      </c>
      <c r="DH24" s="0" t="n">
        <v>0.01832644</v>
      </c>
      <c r="DI24" s="0" t="n">
        <v>0.04286518</v>
      </c>
      <c r="DJ24" s="0" t="n">
        <v>0.04357278</v>
      </c>
      <c r="DK24" s="0" t="n">
        <v>0.0481049</v>
      </c>
      <c r="DL24" s="0" t="n">
        <v>0.00262314</v>
      </c>
      <c r="DM24" s="0" t="n">
        <v>0.05102629</v>
      </c>
      <c r="DN24" s="0" t="n">
        <v>0.02509628</v>
      </c>
      <c r="DO24" s="0" t="n">
        <v>0.02986126</v>
      </c>
      <c r="DP24" s="0" t="n">
        <v>0.04585322</v>
      </c>
      <c r="DQ24" s="0" t="n">
        <v>0.01668019</v>
      </c>
      <c r="DR24" s="0" t="n">
        <v>0.02786993</v>
      </c>
      <c r="DS24" s="0" t="n">
        <v>0.03137869</v>
      </c>
      <c r="DT24" s="0" t="n">
        <v>0.01956916</v>
      </c>
      <c r="DU24" s="0" t="n">
        <v>0.04136073</v>
      </c>
      <c r="DV24" s="0" t="n">
        <v>0.01450958</v>
      </c>
      <c r="DW24" s="0" t="n">
        <v>0.03046302</v>
      </c>
      <c r="DX24" s="0" t="n">
        <v>0.02857567</v>
      </c>
      <c r="DY24" s="0" t="n">
        <v>0.04642075</v>
      </c>
      <c r="DZ24" s="0" t="n">
        <v>0.0158665</v>
      </c>
      <c r="EA24" s="0" t="n">
        <v>0.01973518</v>
      </c>
      <c r="EB24" s="0" t="n">
        <v>0.05577184</v>
      </c>
      <c r="EC24" s="0" t="n">
        <v>0.00803402</v>
      </c>
      <c r="ED24" s="0" t="n">
        <v>0.03005703</v>
      </c>
      <c r="EE24" s="0" t="n">
        <v>0.02416877</v>
      </c>
      <c r="EF24" s="0" t="n">
        <v>0.04407395</v>
      </c>
      <c r="EG24" s="0" t="n">
        <v>0.02385194</v>
      </c>
      <c r="EH24" s="0" t="n">
        <v>0.02320303</v>
      </c>
      <c r="EI24" s="0" t="n">
        <v>0.01324784</v>
      </c>
      <c r="EJ24" s="0" t="n">
        <v>0.03675445</v>
      </c>
      <c r="EK24" s="0" t="n">
        <v>0.03770941</v>
      </c>
      <c r="EL24" s="0" t="n">
        <v>0.0437672</v>
      </c>
      <c r="EM24" s="0" t="n">
        <v>0.01797549</v>
      </c>
      <c r="EN24" s="0" t="n">
        <v>0.01893377</v>
      </c>
      <c r="EO24" s="0" t="n">
        <v>0.02216444</v>
      </c>
      <c r="EP24" s="55" t="n">
        <f aca="false">SUMPRODUCT(B24:EO24,$B$5:$EO$5)</f>
        <v>0.018336956</v>
      </c>
      <c r="EQ24" s="55" t="n">
        <f aca="false">SUMIF('Mi portafolio'!$A$8:$A$19,$A24,'Mi portafolio'!$B$8:$B$19)</f>
        <v>0</v>
      </c>
    </row>
    <row r="25" customFormat="false" ht="15" hidden="false" customHeight="false" outlineLevel="0" collapsed="false">
      <c r="A25" s="54" t="s">
        <v>171</v>
      </c>
      <c r="B25" s="0" t="n">
        <v>0.00260089</v>
      </c>
      <c r="C25" s="0" t="n">
        <v>0.00495596</v>
      </c>
      <c r="D25" s="0" t="n">
        <v>0.00539696</v>
      </c>
      <c r="E25" s="0" t="n">
        <v>0.01420965</v>
      </c>
      <c r="F25" s="0" t="n">
        <v>0.00271308</v>
      </c>
      <c r="G25" s="0" t="n">
        <v>0.00392877</v>
      </c>
      <c r="H25" s="0" t="n">
        <v>0.01403214</v>
      </c>
      <c r="I25" s="0" t="n">
        <v>0.00297963</v>
      </c>
      <c r="J25" s="0" t="n">
        <v>0.00442855</v>
      </c>
      <c r="K25" s="0" t="n">
        <v>0.00469265</v>
      </c>
      <c r="L25" s="0" t="n">
        <v>0.01498826</v>
      </c>
      <c r="M25" s="0" t="n">
        <v>0.0145359</v>
      </c>
      <c r="N25" s="0" t="n">
        <v>0.00668382</v>
      </c>
      <c r="O25" s="0" t="n">
        <v>0.02148036</v>
      </c>
      <c r="P25" s="0" t="n">
        <v>0.00595486</v>
      </c>
      <c r="Q25" s="0" t="n">
        <v>-0.00270678</v>
      </c>
      <c r="R25" s="0" t="n">
        <v>0.0036449</v>
      </c>
      <c r="S25" s="0" t="n">
        <v>0.01778426</v>
      </c>
      <c r="T25" s="0" t="n">
        <v>0.00766628</v>
      </c>
      <c r="U25" s="0" t="n">
        <v>0.05167183</v>
      </c>
      <c r="V25" s="0" t="n">
        <v>0.01592093</v>
      </c>
      <c r="W25" s="0" t="n">
        <v>0.0148144</v>
      </c>
      <c r="X25" s="0" t="n">
        <v>0.01125473</v>
      </c>
      <c r="Y25" s="0" t="n">
        <v>0.00270295</v>
      </c>
      <c r="Z25" s="0" t="n">
        <v>0.01652418</v>
      </c>
      <c r="AA25" s="0" t="n">
        <v>0.01550171</v>
      </c>
      <c r="AB25" s="0" t="n">
        <v>0.0021394</v>
      </c>
      <c r="AC25" s="0" t="n">
        <v>0.01364703</v>
      </c>
      <c r="AD25" s="0" t="n">
        <v>0.01521144</v>
      </c>
      <c r="AE25" s="0" t="n">
        <v>0.01889483</v>
      </c>
      <c r="AF25" s="0" t="n">
        <v>0.02417019</v>
      </c>
      <c r="AG25" s="0" t="n">
        <v>0.0040222</v>
      </c>
      <c r="AH25" s="0" t="n">
        <v>0.00559477</v>
      </c>
      <c r="AI25" s="0" t="n">
        <v>-0.00521629</v>
      </c>
      <c r="AJ25" s="0" t="n">
        <v>0.01795885</v>
      </c>
      <c r="AK25" s="0" t="n">
        <v>0.03226145</v>
      </c>
      <c r="AL25" s="0" t="n">
        <v>0.00642344</v>
      </c>
      <c r="AM25" s="0" t="n">
        <v>0.01781895</v>
      </c>
      <c r="AN25" s="0" t="n">
        <v>0.01427126</v>
      </c>
      <c r="AO25" s="0" t="n">
        <v>0.00542298</v>
      </c>
      <c r="AP25" s="0" t="n">
        <v>0.01178422</v>
      </c>
      <c r="AQ25" s="0" t="n">
        <v>-0.00746931</v>
      </c>
      <c r="AR25" s="0" t="n">
        <v>0.00658577</v>
      </c>
      <c r="AS25" s="0" t="n">
        <v>0.03090332</v>
      </c>
      <c r="AT25" s="0" t="n">
        <v>0.00571965</v>
      </c>
      <c r="AU25" s="0" t="n">
        <v>0.0050626</v>
      </c>
      <c r="AV25" s="0" t="n">
        <v>0.02331517</v>
      </c>
      <c r="AW25" s="0" t="n">
        <v>0.02292133</v>
      </c>
      <c r="AX25" s="0" t="n">
        <v>0.00949582</v>
      </c>
      <c r="AY25" s="0" t="n">
        <v>0.0022651</v>
      </c>
      <c r="AZ25" s="0" t="n">
        <v>0.0194625</v>
      </c>
      <c r="BA25" s="0" t="n">
        <v>0.01400533</v>
      </c>
      <c r="BB25" s="0" t="n">
        <v>0.01194469</v>
      </c>
      <c r="BC25" s="0" t="n">
        <v>0.01204091</v>
      </c>
      <c r="BD25" s="0" t="n">
        <v>0.03370423</v>
      </c>
      <c r="BE25" s="0" t="n">
        <v>0.01508095</v>
      </c>
      <c r="BF25" s="0" t="n">
        <v>0.02213588</v>
      </c>
      <c r="BG25" s="0" t="n">
        <v>0.00410938</v>
      </c>
      <c r="BH25" s="0" t="n">
        <v>0.02470268</v>
      </c>
      <c r="BI25" s="0" t="n">
        <v>0.00978726</v>
      </c>
      <c r="BJ25" s="0" t="n">
        <v>0.00564222</v>
      </c>
      <c r="BK25" s="0" t="n">
        <v>0.01774988</v>
      </c>
      <c r="BL25" s="0" t="n">
        <v>0.01378564</v>
      </c>
      <c r="BM25" s="0" t="n">
        <v>0.01200352</v>
      </c>
      <c r="BN25" s="0" t="n">
        <v>0.00338748</v>
      </c>
      <c r="BO25" s="0" t="n">
        <v>0.0121374</v>
      </c>
      <c r="BP25" s="0" t="n">
        <v>0.00952939</v>
      </c>
      <c r="BQ25" s="0" t="n">
        <v>0.02566555</v>
      </c>
      <c r="BR25" s="0" t="n">
        <v>0.00955126</v>
      </c>
      <c r="BS25" s="0" t="n">
        <v>-0.00768606</v>
      </c>
      <c r="BT25" s="0" t="n">
        <v>0.0154075</v>
      </c>
      <c r="BU25" s="0" t="n">
        <v>0.0230204</v>
      </c>
      <c r="BV25" s="0" t="n">
        <v>0.01321455</v>
      </c>
      <c r="BW25" s="0" t="n">
        <v>0.01098595</v>
      </c>
      <c r="BX25" s="0" t="n">
        <v>0.00461429</v>
      </c>
      <c r="BY25" s="0" t="n">
        <v>0.01161519</v>
      </c>
      <c r="BZ25" s="0" t="n">
        <v>0.01618078</v>
      </c>
      <c r="CA25" s="0" t="n">
        <v>0.03617598</v>
      </c>
      <c r="CB25" s="0" t="n">
        <v>0.00196524</v>
      </c>
      <c r="CC25" s="0" t="n">
        <v>0.00546367</v>
      </c>
      <c r="CD25" s="0" t="n">
        <v>0.00813532</v>
      </c>
      <c r="CE25" s="0" t="n">
        <v>0.00844954</v>
      </c>
      <c r="CF25" s="0" t="n">
        <v>-0.00761909</v>
      </c>
      <c r="CG25" s="0" t="n">
        <v>0.01024497</v>
      </c>
      <c r="CH25" s="0" t="n">
        <v>0.03439034</v>
      </c>
      <c r="CI25" s="0" t="n">
        <v>-0.00698839</v>
      </c>
      <c r="CJ25" s="0" t="n">
        <v>0.0113785</v>
      </c>
      <c r="CK25" s="0" t="n">
        <v>0.01071458</v>
      </c>
      <c r="CL25" s="0" t="n">
        <v>0.01234413</v>
      </c>
      <c r="CM25" s="0" t="n">
        <v>0.01155532</v>
      </c>
      <c r="CN25" s="0" t="n">
        <v>0.02594465</v>
      </c>
      <c r="CO25" s="0" t="n">
        <v>0.01935938</v>
      </c>
      <c r="CP25" s="0" t="n">
        <v>0.00734861</v>
      </c>
      <c r="CQ25" s="0" t="n">
        <v>0.01564837</v>
      </c>
      <c r="CR25" s="0" t="n">
        <v>0.01598484</v>
      </c>
      <c r="CS25" s="0" t="n">
        <v>0.01775222</v>
      </c>
      <c r="CT25" s="0" t="n">
        <v>0.0255029</v>
      </c>
      <c r="CU25" s="0" t="n">
        <v>0.01099622</v>
      </c>
      <c r="CV25" s="0" t="n">
        <v>0.01302132</v>
      </c>
      <c r="CW25" s="0" t="n">
        <v>0.01954511</v>
      </c>
      <c r="CX25" s="0" t="n">
        <v>0.0209062</v>
      </c>
      <c r="CY25" s="0" t="n">
        <v>0.01006104</v>
      </c>
      <c r="CZ25" s="0" t="n">
        <v>0.01754881</v>
      </c>
      <c r="DA25" s="0" t="n">
        <v>0.00170628</v>
      </c>
      <c r="DB25" s="0" t="n">
        <v>0.02818989</v>
      </c>
      <c r="DC25" s="0" t="n">
        <v>0.02185235</v>
      </c>
      <c r="DD25" s="0" t="n">
        <v>0.01705969</v>
      </c>
      <c r="DE25" s="0" t="n">
        <v>0.02424521</v>
      </c>
      <c r="DF25" s="0" t="n">
        <v>0.00609155</v>
      </c>
      <c r="DG25" s="0" t="n">
        <v>0.02226566</v>
      </c>
      <c r="DH25" s="0" t="n">
        <v>0.01248608</v>
      </c>
      <c r="DI25" s="0" t="n">
        <v>0.01665461</v>
      </c>
      <c r="DJ25" s="0" t="n">
        <v>0.00790295</v>
      </c>
      <c r="DK25" s="0" t="n">
        <v>0.01596349</v>
      </c>
      <c r="DL25" s="0" t="n">
        <v>0.03520449</v>
      </c>
      <c r="DM25" s="0" t="n">
        <v>0.01840869</v>
      </c>
      <c r="DN25" s="0" t="n">
        <v>0.00706173</v>
      </c>
      <c r="DO25" s="0" t="n">
        <v>0.01267003</v>
      </c>
      <c r="DP25" s="0" t="n">
        <v>0.01579556</v>
      </c>
      <c r="DQ25" s="0" t="n">
        <v>0.01484369</v>
      </c>
      <c r="DR25" s="0" t="n">
        <v>0.01887745</v>
      </c>
      <c r="DS25" s="0" t="n">
        <v>0.00230538</v>
      </c>
      <c r="DT25" s="0" t="n">
        <v>0.01667542</v>
      </c>
      <c r="DU25" s="0" t="n">
        <v>0.02860624</v>
      </c>
      <c r="DV25" s="0" t="n">
        <v>0.01695746</v>
      </c>
      <c r="DW25" s="0" t="n">
        <v>0.01533957</v>
      </c>
      <c r="DX25" s="0" t="n">
        <v>0.01751238</v>
      </c>
      <c r="DY25" s="0" t="n">
        <v>0.01870882</v>
      </c>
      <c r="DZ25" s="0" t="n">
        <v>0.00975423</v>
      </c>
      <c r="EA25" s="0" t="n">
        <v>0.01468782</v>
      </c>
      <c r="EB25" s="0" t="n">
        <v>0.02821807</v>
      </c>
      <c r="EC25" s="0" t="n">
        <v>0.01732562</v>
      </c>
      <c r="ED25" s="0" t="n">
        <v>0.03356483</v>
      </c>
      <c r="EE25" s="0" t="n">
        <v>0.01968407</v>
      </c>
      <c r="EF25" s="0" t="n">
        <v>0.01293398</v>
      </c>
      <c r="EG25" s="0" t="n">
        <v>0.01608403</v>
      </c>
      <c r="EH25" s="0" t="n">
        <v>-0.00567567</v>
      </c>
      <c r="EI25" s="0" t="n">
        <v>0.00330865</v>
      </c>
      <c r="EJ25" s="0" t="n">
        <v>0.03763547</v>
      </c>
      <c r="EK25" s="0" t="n">
        <v>0.02751942</v>
      </c>
      <c r="EL25" s="0" t="n">
        <v>0.04297756</v>
      </c>
      <c r="EM25" s="0" t="n">
        <v>0.02347707</v>
      </c>
      <c r="EN25" s="0" t="n">
        <v>0.05558462</v>
      </c>
      <c r="EO25" s="0" t="n">
        <v>0.03031846</v>
      </c>
      <c r="EP25" s="55" t="n">
        <f aca="false">SUMPRODUCT(B25:EO25,$B$5:$EO$5)</f>
        <v>0.022573852</v>
      </c>
      <c r="EQ25" s="55" t="n">
        <f aca="false">SUMIF('Mi portafolio'!$A$8:$A$19,$A25,'Mi portafolio'!$B$8:$B$19)</f>
        <v>0</v>
      </c>
    </row>
    <row r="26" customFormat="false" ht="15" hidden="false" customHeight="false" outlineLevel="0" collapsed="false">
      <c r="A26" s="54" t="s">
        <v>121</v>
      </c>
      <c r="B26" s="0" t="n">
        <v>0.00104324</v>
      </c>
      <c r="C26" s="0" t="n">
        <v>0.0062495</v>
      </c>
      <c r="D26" s="0" t="n">
        <v>0.00163058</v>
      </c>
      <c r="E26" s="0" t="n">
        <v>0.01434758</v>
      </c>
      <c r="F26" s="0" t="n">
        <v>0.00196288</v>
      </c>
      <c r="G26" s="0" t="n">
        <v>0.00684009</v>
      </c>
      <c r="H26" s="0" t="n">
        <v>0.0175549</v>
      </c>
      <c r="I26" s="0" t="n">
        <v>0.00541199</v>
      </c>
      <c r="J26" s="0" t="n">
        <v>-0.00147531</v>
      </c>
      <c r="K26" s="0" t="n">
        <v>0.00712647</v>
      </c>
      <c r="L26" s="0" t="n">
        <v>0.01412436</v>
      </c>
      <c r="M26" s="0" t="n">
        <v>0.014704</v>
      </c>
      <c r="N26" s="0" t="n">
        <v>0.00125277</v>
      </c>
      <c r="O26" s="0" t="n">
        <v>0.02123771</v>
      </c>
      <c r="P26" s="0" t="n">
        <v>0.00123448</v>
      </c>
      <c r="Q26" s="0" t="n">
        <v>-0.00118505</v>
      </c>
      <c r="R26" s="0" t="n">
        <v>0.0045158</v>
      </c>
      <c r="S26" s="0" t="n">
        <v>0.01196901</v>
      </c>
      <c r="T26" s="0" t="n">
        <v>0.00082606</v>
      </c>
      <c r="U26" s="0" t="n">
        <v>0.01592093</v>
      </c>
      <c r="V26" s="0" t="n">
        <v>0.05306774</v>
      </c>
      <c r="W26" s="0" t="n">
        <v>0.00997768</v>
      </c>
      <c r="X26" s="0" t="n">
        <v>0.00242992</v>
      </c>
      <c r="Y26" s="0" t="n">
        <v>0.00387229</v>
      </c>
      <c r="Z26" s="0" t="n">
        <v>0.01852499</v>
      </c>
      <c r="AA26" s="0" t="n">
        <v>0.0140323</v>
      </c>
      <c r="AB26" s="0" t="n">
        <v>0.00173755</v>
      </c>
      <c r="AC26" s="0" t="n">
        <v>0.01655059</v>
      </c>
      <c r="AD26" s="0" t="n">
        <v>0.01554362</v>
      </c>
      <c r="AE26" s="0" t="n">
        <v>0.01489888</v>
      </c>
      <c r="AF26" s="0" t="n">
        <v>0.02473732</v>
      </c>
      <c r="AG26" s="0" t="n">
        <v>0.00015294</v>
      </c>
      <c r="AH26" s="0" t="n">
        <v>-0.0057386</v>
      </c>
      <c r="AI26" s="0" t="n">
        <v>-0.01102614</v>
      </c>
      <c r="AJ26" s="0" t="n">
        <v>0.0112706</v>
      </c>
      <c r="AK26" s="0" t="n">
        <v>0.02312937</v>
      </c>
      <c r="AL26" s="0" t="n">
        <v>0.00255712</v>
      </c>
      <c r="AM26" s="0" t="n">
        <v>0.01018578</v>
      </c>
      <c r="AN26" s="0" t="n">
        <v>0.01081769</v>
      </c>
      <c r="AO26" s="0" t="n">
        <v>-0.00207938</v>
      </c>
      <c r="AP26" s="0" t="n">
        <v>0.00812797</v>
      </c>
      <c r="AQ26" s="0" t="n">
        <v>-0.00486964</v>
      </c>
      <c r="AR26" s="0" t="n">
        <v>-0.00314488</v>
      </c>
      <c r="AS26" s="0" t="n">
        <v>0.01977237</v>
      </c>
      <c r="AT26" s="0" t="n">
        <v>0.00250387</v>
      </c>
      <c r="AU26" s="0" t="n">
        <v>0.00117634</v>
      </c>
      <c r="AV26" s="0" t="n">
        <v>0.01614228</v>
      </c>
      <c r="AW26" s="0" t="n">
        <v>0.02312316</v>
      </c>
      <c r="AX26" s="0" t="n">
        <v>0.0018946</v>
      </c>
      <c r="AY26" s="0" t="n">
        <v>0.00526581</v>
      </c>
      <c r="AZ26" s="0" t="n">
        <v>0.01866566</v>
      </c>
      <c r="BA26" s="0" t="n">
        <v>0.00586895</v>
      </c>
      <c r="BB26" s="0" t="n">
        <v>0.00300754</v>
      </c>
      <c r="BC26" s="0" t="n">
        <v>0.0090266</v>
      </c>
      <c r="BD26" s="0" t="n">
        <v>0.01550424</v>
      </c>
      <c r="BE26" s="0" t="n">
        <v>0.00190413</v>
      </c>
      <c r="BF26" s="0" t="n">
        <v>0.01944465</v>
      </c>
      <c r="BG26" s="0" t="n">
        <v>-0.00231339</v>
      </c>
      <c r="BH26" s="0" t="n">
        <v>0.01687111</v>
      </c>
      <c r="BI26" s="0" t="n">
        <v>0.01583592</v>
      </c>
      <c r="BJ26" s="0" t="n">
        <v>0.00028096</v>
      </c>
      <c r="BK26" s="0" t="n">
        <v>0.01363118</v>
      </c>
      <c r="BL26" s="0" t="n">
        <v>0.01133937</v>
      </c>
      <c r="BM26" s="0" t="n">
        <v>0.00862792</v>
      </c>
      <c r="BN26" s="0" t="n">
        <v>0.00056813</v>
      </c>
      <c r="BO26" s="0" t="n">
        <v>-0.00310119</v>
      </c>
      <c r="BP26" s="0" t="n">
        <v>0.00202317</v>
      </c>
      <c r="BQ26" s="0" t="n">
        <v>0.02142756</v>
      </c>
      <c r="BR26" s="0" t="n">
        <v>0.00664904</v>
      </c>
      <c r="BS26" s="0" t="n">
        <v>-0.00720078</v>
      </c>
      <c r="BT26" s="0" t="n">
        <v>0.00462707</v>
      </c>
      <c r="BU26" s="0" t="n">
        <v>0.00903784</v>
      </c>
      <c r="BV26" s="0" t="n">
        <v>0.00409892</v>
      </c>
      <c r="BW26" s="0" t="n">
        <v>0.00311757</v>
      </c>
      <c r="BX26" s="0" t="n">
        <v>-0.00775234</v>
      </c>
      <c r="BY26" s="0" t="n">
        <v>0.01234278</v>
      </c>
      <c r="BZ26" s="0" t="n">
        <v>0.006188</v>
      </c>
      <c r="CA26" s="0" t="n">
        <v>0.03588891</v>
      </c>
      <c r="CB26" s="0" t="n">
        <v>-0.00948494</v>
      </c>
      <c r="CC26" s="0" t="n">
        <v>-0.00265909</v>
      </c>
      <c r="CD26" s="0" t="n">
        <v>8.969E-005</v>
      </c>
      <c r="CE26" s="0" t="n">
        <v>0.00402291</v>
      </c>
      <c r="CF26" s="0" t="n">
        <v>-0.0081635</v>
      </c>
      <c r="CG26" s="0" t="n">
        <v>0.00032094</v>
      </c>
      <c r="CH26" s="0" t="n">
        <v>0.03330884</v>
      </c>
      <c r="CI26" s="0" t="n">
        <v>-0.01173987</v>
      </c>
      <c r="CJ26" s="0" t="n">
        <v>-0.00472174</v>
      </c>
      <c r="CK26" s="0" t="n">
        <v>0.0084797</v>
      </c>
      <c r="CL26" s="0" t="n">
        <v>0.00892491</v>
      </c>
      <c r="CM26" s="0" t="n">
        <v>-0.00195153</v>
      </c>
      <c r="CN26" s="0" t="n">
        <v>0.01479502</v>
      </c>
      <c r="CO26" s="0" t="n">
        <v>0.01653275</v>
      </c>
      <c r="CP26" s="0" t="n">
        <v>-0.00966688</v>
      </c>
      <c r="CQ26" s="0" t="n">
        <v>0.00811534</v>
      </c>
      <c r="CR26" s="0" t="n">
        <v>0.00636115</v>
      </c>
      <c r="CS26" s="0" t="n">
        <v>0.00229906</v>
      </c>
      <c r="CT26" s="0" t="n">
        <v>0.01757306</v>
      </c>
      <c r="CU26" s="0" t="n">
        <v>0.00617986</v>
      </c>
      <c r="CV26" s="0" t="n">
        <v>0.01288378</v>
      </c>
      <c r="CW26" s="0" t="n">
        <v>0.00700138</v>
      </c>
      <c r="CX26" s="0" t="n">
        <v>0.00222818</v>
      </c>
      <c r="CY26" s="0" t="n">
        <v>0.01208123</v>
      </c>
      <c r="CZ26" s="0" t="n">
        <v>-0.00324071</v>
      </c>
      <c r="DA26" s="0" t="n">
        <v>-0.00027808</v>
      </c>
      <c r="DB26" s="0" t="n">
        <v>0.0141629</v>
      </c>
      <c r="DC26" s="0" t="n">
        <v>0.02376663</v>
      </c>
      <c r="DD26" s="0" t="n">
        <v>0.0173262</v>
      </c>
      <c r="DE26" s="0" t="n">
        <v>0.01695108</v>
      </c>
      <c r="DF26" s="0" t="n">
        <v>-0.00606315</v>
      </c>
      <c r="DG26" s="0" t="n">
        <v>0.02641163</v>
      </c>
      <c r="DH26" s="0" t="n">
        <v>-0.00042555</v>
      </c>
      <c r="DI26" s="0" t="n">
        <v>0.01180102</v>
      </c>
      <c r="DJ26" s="0" t="n">
        <v>0.01129091</v>
      </c>
      <c r="DK26" s="0" t="n">
        <v>0.01258541</v>
      </c>
      <c r="DL26" s="0" t="n">
        <v>0.03726672</v>
      </c>
      <c r="DM26" s="0" t="n">
        <v>0.02290847</v>
      </c>
      <c r="DN26" s="0" t="n">
        <v>0.01867459</v>
      </c>
      <c r="DO26" s="0" t="n">
        <v>0.01025113</v>
      </c>
      <c r="DP26" s="0" t="n">
        <v>0.01175607</v>
      </c>
      <c r="DQ26" s="0" t="n">
        <v>0.00791327</v>
      </c>
      <c r="DR26" s="0" t="n">
        <v>0.00679284</v>
      </c>
      <c r="DS26" s="0" t="n">
        <v>-0.00912587</v>
      </c>
      <c r="DT26" s="0" t="n">
        <v>0.00209619</v>
      </c>
      <c r="DU26" s="0" t="n">
        <v>0.00654573</v>
      </c>
      <c r="DV26" s="0" t="n">
        <v>0.00063578</v>
      </c>
      <c r="DW26" s="0" t="n">
        <v>-0.00436919</v>
      </c>
      <c r="DX26" s="0" t="n">
        <v>0.0048514</v>
      </c>
      <c r="DY26" s="0" t="n">
        <v>0.01344437</v>
      </c>
      <c r="DZ26" s="0" t="n">
        <v>-0.01288164</v>
      </c>
      <c r="EA26" s="0" t="n">
        <v>0.00901279</v>
      </c>
      <c r="EB26" s="0" t="n">
        <v>0.00818056</v>
      </c>
      <c r="EC26" s="0" t="n">
        <v>0.024331</v>
      </c>
      <c r="ED26" s="0" t="n">
        <v>0.02541067</v>
      </c>
      <c r="EE26" s="0" t="n">
        <v>0.00694923</v>
      </c>
      <c r="EF26" s="0" t="n">
        <v>0.01122341</v>
      </c>
      <c r="EG26" s="0" t="n">
        <v>-0.00027717</v>
      </c>
      <c r="EH26" s="0" t="n">
        <v>-0.01488545</v>
      </c>
      <c r="EI26" s="0" t="n">
        <v>-0.00464752</v>
      </c>
      <c r="EJ26" s="0" t="n">
        <v>0.01184556</v>
      </c>
      <c r="EK26" s="0" t="n">
        <v>0.00771875</v>
      </c>
      <c r="EL26" s="0" t="n">
        <v>0.02318572</v>
      </c>
      <c r="EM26" s="0" t="n">
        <v>-0.02580805</v>
      </c>
      <c r="EN26" s="0" t="n">
        <v>-0.00394932</v>
      </c>
      <c r="EO26" s="0" t="n">
        <v>0.00137488</v>
      </c>
      <c r="EP26" s="55" t="n">
        <f aca="false">SUMPRODUCT(B26:EO26,$B$5:$EO$5)</f>
        <v>0.013074512</v>
      </c>
      <c r="EQ26" s="55" t="n">
        <f aca="false">SUMIF('Mi portafolio'!$A$8:$A$19,$A26,'Mi portafolio'!$B$8:$B$19)</f>
        <v>0</v>
      </c>
    </row>
    <row r="27" customFormat="false" ht="15" hidden="false" customHeight="false" outlineLevel="0" collapsed="false">
      <c r="A27" s="54" t="s">
        <v>172</v>
      </c>
      <c r="B27" s="0" t="n">
        <v>0.00069693</v>
      </c>
      <c r="C27" s="0" t="n">
        <v>0.0055248</v>
      </c>
      <c r="D27" s="0" t="n">
        <v>-0.00170753</v>
      </c>
      <c r="E27" s="0" t="n">
        <v>0.01247923</v>
      </c>
      <c r="F27" s="0" t="n">
        <v>0.00604588</v>
      </c>
      <c r="G27" s="0" t="n">
        <v>0.00205237</v>
      </c>
      <c r="H27" s="0" t="n">
        <v>0.00700271</v>
      </c>
      <c r="I27" s="0" t="n">
        <v>0.00882794</v>
      </c>
      <c r="J27" s="0" t="n">
        <v>0.00742013</v>
      </c>
      <c r="K27" s="0" t="n">
        <v>0.00948235</v>
      </c>
      <c r="L27" s="0" t="n">
        <v>0.00898561</v>
      </c>
      <c r="M27" s="0" t="n">
        <v>0.00834589</v>
      </c>
      <c r="N27" s="0" t="n">
        <v>0.00357992</v>
      </c>
      <c r="O27" s="0" t="n">
        <v>0.01666927</v>
      </c>
      <c r="P27" s="0" t="n">
        <v>0.00959685</v>
      </c>
      <c r="Q27" s="0" t="n">
        <v>0.00116792</v>
      </c>
      <c r="R27" s="0" t="n">
        <v>0.00875675</v>
      </c>
      <c r="S27" s="0" t="n">
        <v>0.01149596</v>
      </c>
      <c r="T27" s="0" t="n">
        <v>0.00449225</v>
      </c>
      <c r="U27" s="0" t="n">
        <v>0.0148144</v>
      </c>
      <c r="V27" s="0" t="n">
        <v>0.00997768</v>
      </c>
      <c r="W27" s="0" t="n">
        <v>0.05335276</v>
      </c>
      <c r="X27" s="0" t="n">
        <v>0.00664034</v>
      </c>
      <c r="Y27" s="0" t="n">
        <v>0.00153569</v>
      </c>
      <c r="Z27" s="0" t="n">
        <v>0.01217125</v>
      </c>
      <c r="AA27" s="0" t="n">
        <v>0.02550179</v>
      </c>
      <c r="AB27" s="0" t="n">
        <v>0.00171012</v>
      </c>
      <c r="AC27" s="0" t="n">
        <v>0.00784636</v>
      </c>
      <c r="AD27" s="0" t="n">
        <v>0.02030847</v>
      </c>
      <c r="AE27" s="0" t="n">
        <v>0.0085275</v>
      </c>
      <c r="AF27" s="0" t="n">
        <v>0.01929815</v>
      </c>
      <c r="AG27" s="0" t="n">
        <v>0.0050254</v>
      </c>
      <c r="AH27" s="0" t="n">
        <v>0.00610286</v>
      </c>
      <c r="AI27" s="0" t="n">
        <v>0.00203885</v>
      </c>
      <c r="AJ27" s="0" t="n">
        <v>0.00764676</v>
      </c>
      <c r="AK27" s="0" t="n">
        <v>0.01966731</v>
      </c>
      <c r="AL27" s="0" t="n">
        <v>0.00138893</v>
      </c>
      <c r="AM27" s="0" t="n">
        <v>0.00724309</v>
      </c>
      <c r="AN27" s="0" t="n">
        <v>0.00454169</v>
      </c>
      <c r="AO27" s="0" t="n">
        <v>0.00642201</v>
      </c>
      <c r="AP27" s="0" t="n">
        <v>0.00634083</v>
      </c>
      <c r="AQ27" s="0" t="n">
        <v>0.00348401</v>
      </c>
      <c r="AR27" s="0" t="n">
        <v>0.00617597</v>
      </c>
      <c r="AS27" s="0" t="n">
        <v>0.01439341</v>
      </c>
      <c r="AT27" s="0" t="n">
        <v>0.00716088</v>
      </c>
      <c r="AU27" s="0" t="n">
        <v>0.00936926</v>
      </c>
      <c r="AV27" s="0" t="n">
        <v>0.02476408</v>
      </c>
      <c r="AW27" s="0" t="n">
        <v>0.01601129</v>
      </c>
      <c r="AX27" s="0" t="n">
        <v>0.00932857</v>
      </c>
      <c r="AY27" s="0" t="n">
        <v>0.00999056</v>
      </c>
      <c r="AZ27" s="0" t="n">
        <v>0.00871057</v>
      </c>
      <c r="BA27" s="0" t="n">
        <v>0.00419431</v>
      </c>
      <c r="BB27" s="0" t="n">
        <v>0.00599082</v>
      </c>
      <c r="BC27" s="0" t="n">
        <v>0.00788742</v>
      </c>
      <c r="BD27" s="0" t="n">
        <v>0.01789282</v>
      </c>
      <c r="BE27" s="0" t="n">
        <v>0.00721307</v>
      </c>
      <c r="BF27" s="0" t="n">
        <v>0.01575125</v>
      </c>
      <c r="BG27" s="0" t="n">
        <v>-0.00706632</v>
      </c>
      <c r="BH27" s="0" t="n">
        <v>0.01207019</v>
      </c>
      <c r="BI27" s="0" t="n">
        <v>0.00430416</v>
      </c>
      <c r="BJ27" s="0" t="n">
        <v>0.00039874</v>
      </c>
      <c r="BK27" s="0" t="n">
        <v>0.01176662</v>
      </c>
      <c r="BL27" s="0" t="n">
        <v>0.00366417</v>
      </c>
      <c r="BM27" s="0" t="n">
        <v>0.00624143</v>
      </c>
      <c r="BN27" s="0" t="n">
        <v>0.01301752</v>
      </c>
      <c r="BO27" s="0" t="n">
        <v>0.01030074</v>
      </c>
      <c r="BP27" s="0" t="n">
        <v>0.00391238</v>
      </c>
      <c r="BQ27" s="0" t="n">
        <v>0.02381398</v>
      </c>
      <c r="BR27" s="0" t="n">
        <v>0.00631603</v>
      </c>
      <c r="BS27" s="0" t="n">
        <v>-0.00344419</v>
      </c>
      <c r="BT27" s="0" t="n">
        <v>0.00501928</v>
      </c>
      <c r="BU27" s="0" t="n">
        <v>0.01092265</v>
      </c>
      <c r="BV27" s="0" t="n">
        <v>0.00168229</v>
      </c>
      <c r="BW27" s="0" t="n">
        <v>0.00935958</v>
      </c>
      <c r="BX27" s="0" t="n">
        <v>0.00269152</v>
      </c>
      <c r="BY27" s="0" t="n">
        <v>0.00158197</v>
      </c>
      <c r="BZ27" s="0" t="n">
        <v>0.00939621</v>
      </c>
      <c r="CA27" s="0" t="n">
        <v>0.01432887</v>
      </c>
      <c r="CB27" s="0" t="n">
        <v>0.00124634</v>
      </c>
      <c r="CC27" s="0" t="n">
        <v>0.01277463</v>
      </c>
      <c r="CD27" s="0" t="n">
        <v>0.001596</v>
      </c>
      <c r="CE27" s="0" t="n">
        <v>0.00479272</v>
      </c>
      <c r="CF27" s="0" t="n">
        <v>-0.00085737</v>
      </c>
      <c r="CG27" s="0" t="n">
        <v>-0.00266311</v>
      </c>
      <c r="CH27" s="0" t="n">
        <v>0.02121773</v>
      </c>
      <c r="CI27" s="0" t="n">
        <v>-0.00261021</v>
      </c>
      <c r="CJ27" s="0" t="n">
        <v>0.00154355</v>
      </c>
      <c r="CK27" s="0" t="n">
        <v>0.00189015</v>
      </c>
      <c r="CL27" s="0" t="n">
        <v>-0.00650028</v>
      </c>
      <c r="CM27" s="0" t="n">
        <v>-0.01071668</v>
      </c>
      <c r="CN27" s="0" t="n">
        <v>0.01069109</v>
      </c>
      <c r="CO27" s="0" t="n">
        <v>0.01220137</v>
      </c>
      <c r="CP27" s="0" t="n">
        <v>0.01050775</v>
      </c>
      <c r="CQ27" s="0" t="n">
        <v>0.00627713</v>
      </c>
      <c r="CR27" s="0" t="n">
        <v>0.00154004</v>
      </c>
      <c r="CS27" s="0" t="n">
        <v>0.01544964</v>
      </c>
      <c r="CT27" s="0" t="n">
        <v>0.01326311</v>
      </c>
      <c r="CU27" s="0" t="n">
        <v>0.00136923</v>
      </c>
      <c r="CV27" s="0" t="n">
        <v>-0.00365184</v>
      </c>
      <c r="CW27" s="0" t="n">
        <v>0.00774066</v>
      </c>
      <c r="CX27" s="0" t="n">
        <v>0.01970426</v>
      </c>
      <c r="CY27" s="0" t="n">
        <v>0.00476802</v>
      </c>
      <c r="CZ27" s="0" t="n">
        <v>-0.00409443</v>
      </c>
      <c r="DA27" s="0" t="n">
        <v>-0.01280918</v>
      </c>
      <c r="DB27" s="0" t="n">
        <v>0.01752483</v>
      </c>
      <c r="DC27" s="0" t="n">
        <v>0.01535577</v>
      </c>
      <c r="DD27" s="0" t="n">
        <v>-0.00493776</v>
      </c>
      <c r="DE27" s="0" t="n">
        <v>0.01484854</v>
      </c>
      <c r="DF27" s="0" t="n">
        <v>-0.01423267</v>
      </c>
      <c r="DG27" s="0" t="n">
        <v>0.01486494</v>
      </c>
      <c r="DH27" s="0" t="n">
        <v>-0.00248788</v>
      </c>
      <c r="DI27" s="0" t="n">
        <v>0.01297953</v>
      </c>
      <c r="DJ27" s="0" t="n">
        <v>-0.00376728</v>
      </c>
      <c r="DK27" s="0" t="n">
        <v>0.0085774</v>
      </c>
      <c r="DL27" s="0" t="n">
        <v>0.00974767</v>
      </c>
      <c r="DM27" s="0" t="n">
        <v>0.00970505</v>
      </c>
      <c r="DN27" s="0" t="n">
        <v>0.00451107</v>
      </c>
      <c r="DO27" s="0" t="n">
        <v>0.01129122</v>
      </c>
      <c r="DP27" s="0" t="n">
        <v>-0.00379562</v>
      </c>
      <c r="DQ27" s="0" t="n">
        <v>0.00444477</v>
      </c>
      <c r="DR27" s="0" t="n">
        <v>0.01176518</v>
      </c>
      <c r="DS27" s="0" t="n">
        <v>0.00305496</v>
      </c>
      <c r="DT27" s="0" t="n">
        <v>-0.00854177</v>
      </c>
      <c r="DU27" s="0" t="n">
        <v>0.01955592</v>
      </c>
      <c r="DV27" s="0" t="n">
        <v>0.01181526</v>
      </c>
      <c r="DW27" s="0" t="n">
        <v>0.00367951</v>
      </c>
      <c r="DX27" s="0" t="n">
        <v>0.01400045</v>
      </c>
      <c r="DY27" s="0" t="n">
        <v>0.00870001</v>
      </c>
      <c r="DZ27" s="0" t="n">
        <v>0.00337178</v>
      </c>
      <c r="EA27" s="0" t="n">
        <v>0.00986564</v>
      </c>
      <c r="EB27" s="0" t="n">
        <v>0.00677125</v>
      </c>
      <c r="EC27" s="0" t="n">
        <v>-0.00285491</v>
      </c>
      <c r="ED27" s="0" t="n">
        <v>0.02323436</v>
      </c>
      <c r="EE27" s="0" t="n">
        <v>0.00932807</v>
      </c>
      <c r="EF27" s="0" t="n">
        <v>0.00769833</v>
      </c>
      <c r="EG27" s="0" t="n">
        <v>0.01689835</v>
      </c>
      <c r="EH27" s="0" t="n">
        <v>-0.00491323</v>
      </c>
      <c r="EI27" s="0" t="n">
        <v>0.00361595</v>
      </c>
      <c r="EJ27" s="0" t="n">
        <v>0.00035193</v>
      </c>
      <c r="EK27" s="0" t="n">
        <v>0.02414732</v>
      </c>
      <c r="EL27" s="0" t="n">
        <v>0.02510324</v>
      </c>
      <c r="EM27" s="0" t="n">
        <v>0.00390304</v>
      </c>
      <c r="EN27" s="0" t="n">
        <v>0.03290677</v>
      </c>
      <c r="EO27" s="0" t="n">
        <v>-0.00394154</v>
      </c>
      <c r="EP27" s="55" t="n">
        <f aca="false">SUMPRODUCT(B27:EO27,$B$5:$EO$5)</f>
        <v>0.01407388</v>
      </c>
      <c r="EQ27" s="55" t="n">
        <f aca="false">SUMIF('Mi portafolio'!$A$8:$A$19,$A27,'Mi portafolio'!$B$8:$B$19)</f>
        <v>0</v>
      </c>
    </row>
    <row r="28" customFormat="false" ht="15" hidden="false" customHeight="false" outlineLevel="0" collapsed="false">
      <c r="A28" s="54" t="s">
        <v>173</v>
      </c>
      <c r="B28" s="0" t="n">
        <v>0.01272944</v>
      </c>
      <c r="C28" s="0" t="n">
        <v>0.0013091</v>
      </c>
      <c r="D28" s="0" t="n">
        <v>0.00076785</v>
      </c>
      <c r="E28" s="0" t="n">
        <v>0.00655885</v>
      </c>
      <c r="F28" s="0" t="n">
        <v>0.00127387</v>
      </c>
      <c r="G28" s="0" t="n">
        <v>-0.00129375</v>
      </c>
      <c r="H28" s="0" t="n">
        <v>0.00310612</v>
      </c>
      <c r="I28" s="0" t="n">
        <v>0.00781761</v>
      </c>
      <c r="J28" s="0" t="n">
        <v>0.00806466</v>
      </c>
      <c r="K28" s="0" t="n">
        <v>0.00643635</v>
      </c>
      <c r="L28" s="0" t="n">
        <v>0.00237946</v>
      </c>
      <c r="M28" s="0" t="n">
        <v>0.01724701</v>
      </c>
      <c r="N28" s="0" t="n">
        <v>0.01196092</v>
      </c>
      <c r="O28" s="0" t="n">
        <v>0.01011726</v>
      </c>
      <c r="P28" s="0" t="n">
        <v>0.00473683</v>
      </c>
      <c r="Q28" s="0" t="n">
        <v>0.00156339</v>
      </c>
      <c r="R28" s="0" t="n">
        <v>0.00630002</v>
      </c>
      <c r="S28" s="0" t="n">
        <v>0.0003233</v>
      </c>
      <c r="T28" s="0" t="n">
        <v>0.04140888</v>
      </c>
      <c r="U28" s="0" t="n">
        <v>0.01125473</v>
      </c>
      <c r="V28" s="0" t="n">
        <v>0.00242992</v>
      </c>
      <c r="W28" s="0" t="n">
        <v>0.00664034</v>
      </c>
      <c r="X28" s="0" t="n">
        <v>0.05498651</v>
      </c>
      <c r="Y28" s="0" t="n">
        <v>0.02236418</v>
      </c>
      <c r="Z28" s="0" t="n">
        <v>0.00538418</v>
      </c>
      <c r="AA28" s="0" t="n">
        <v>0.00836798</v>
      </c>
      <c r="AB28" s="0" t="n">
        <v>0.02264819</v>
      </c>
      <c r="AC28" s="0" t="n">
        <v>0.00571809</v>
      </c>
      <c r="AD28" s="0" t="n">
        <v>0.00173695</v>
      </c>
      <c r="AE28" s="0" t="n">
        <v>0.00845025</v>
      </c>
      <c r="AF28" s="0" t="n">
        <v>0.00889924</v>
      </c>
      <c r="AG28" s="0" t="n">
        <v>0.00746816</v>
      </c>
      <c r="AH28" s="0" t="n">
        <v>0.00950952</v>
      </c>
      <c r="AI28" s="0" t="n">
        <v>0.00399486</v>
      </c>
      <c r="AJ28" s="0" t="n">
        <v>0.00254807</v>
      </c>
      <c r="AK28" s="0" t="n">
        <v>0.01255765</v>
      </c>
      <c r="AL28" s="0" t="n">
        <v>0.01561598</v>
      </c>
      <c r="AM28" s="0" t="n">
        <v>0.01649927</v>
      </c>
      <c r="AN28" s="0" t="n">
        <v>0.01893408</v>
      </c>
      <c r="AO28" s="0" t="n">
        <v>0.00836541</v>
      </c>
      <c r="AP28" s="0" t="n">
        <v>0.0190985</v>
      </c>
      <c r="AQ28" s="0" t="n">
        <v>-0.00046394</v>
      </c>
      <c r="AR28" s="0" t="n">
        <v>0.04685303</v>
      </c>
      <c r="AS28" s="0" t="n">
        <v>0.00815081</v>
      </c>
      <c r="AT28" s="0" t="n">
        <v>0.0376641</v>
      </c>
      <c r="AU28" s="0" t="n">
        <v>0.00529464</v>
      </c>
      <c r="AV28" s="0" t="n">
        <v>0.00987883</v>
      </c>
      <c r="AW28" s="0" t="n">
        <v>0.00662749</v>
      </c>
      <c r="AX28" s="0" t="n">
        <v>0.01950718</v>
      </c>
      <c r="AY28" s="0" t="n">
        <v>0.01826879</v>
      </c>
      <c r="AZ28" s="0" t="n">
        <v>0.01073952</v>
      </c>
      <c r="BA28" s="0" t="n">
        <v>0.02630258</v>
      </c>
      <c r="BB28" s="0" t="n">
        <v>0.04858617</v>
      </c>
      <c r="BC28" s="0" t="n">
        <v>0.01006741</v>
      </c>
      <c r="BD28" s="0" t="n">
        <v>0.0114772</v>
      </c>
      <c r="BE28" s="0" t="n">
        <v>0.01543895</v>
      </c>
      <c r="BF28" s="0" t="n">
        <v>0.00833434</v>
      </c>
      <c r="BG28" s="0" t="n">
        <v>0.01931554</v>
      </c>
      <c r="BH28" s="0" t="n">
        <v>0.0104654</v>
      </c>
      <c r="BI28" s="0" t="n">
        <v>0.00899163</v>
      </c>
      <c r="BJ28" s="0" t="n">
        <v>0.00053661</v>
      </c>
      <c r="BK28" s="0" t="n">
        <v>0.01069146</v>
      </c>
      <c r="BL28" s="0" t="n">
        <v>0.02498026</v>
      </c>
      <c r="BM28" s="0" t="n">
        <v>0.01445822</v>
      </c>
      <c r="BN28" s="0" t="n">
        <v>0.01527366</v>
      </c>
      <c r="BO28" s="0" t="n">
        <v>0.01973491</v>
      </c>
      <c r="BP28" s="0" t="n">
        <v>0.00955569</v>
      </c>
      <c r="BQ28" s="0" t="n">
        <v>0.0247767</v>
      </c>
      <c r="BR28" s="0" t="n">
        <v>0.023924</v>
      </c>
      <c r="BS28" s="0" t="n">
        <v>-0.0013424</v>
      </c>
      <c r="BT28" s="0" t="n">
        <v>0.03766616</v>
      </c>
      <c r="BU28" s="0" t="n">
        <v>0.01518805</v>
      </c>
      <c r="BV28" s="0" t="n">
        <v>0.0185851</v>
      </c>
      <c r="BW28" s="0" t="n">
        <v>0.0135027</v>
      </c>
      <c r="BX28" s="0" t="n">
        <v>0.01409277</v>
      </c>
      <c r="BY28" s="0" t="n">
        <v>0.02567342</v>
      </c>
      <c r="BZ28" s="0" t="n">
        <v>0.02687825</v>
      </c>
      <c r="CA28" s="0" t="n">
        <v>0.00408179</v>
      </c>
      <c r="CB28" s="0" t="n">
        <v>0.00091206</v>
      </c>
      <c r="CC28" s="0" t="n">
        <v>0.017186</v>
      </c>
      <c r="CD28" s="0" t="n">
        <v>0.01665197</v>
      </c>
      <c r="CE28" s="0" t="n">
        <v>0.02286998</v>
      </c>
      <c r="CF28" s="0" t="n">
        <v>-0.00193723</v>
      </c>
      <c r="CG28" s="0" t="n">
        <v>0.02711581</v>
      </c>
      <c r="CH28" s="0" t="n">
        <v>0.02147926</v>
      </c>
      <c r="CI28" s="0" t="n">
        <v>-8.71E-005</v>
      </c>
      <c r="CJ28" s="0" t="n">
        <v>0.00855195</v>
      </c>
      <c r="CK28" s="0" t="n">
        <v>0.01669939</v>
      </c>
      <c r="CL28" s="0" t="n">
        <v>0.01817478</v>
      </c>
      <c r="CM28" s="0" t="n">
        <v>0.01718868</v>
      </c>
      <c r="CN28" s="0" t="n">
        <v>0.0078233</v>
      </c>
      <c r="CO28" s="0" t="n">
        <v>0.0086343</v>
      </c>
      <c r="CP28" s="0" t="n">
        <v>0.01226911</v>
      </c>
      <c r="CQ28" s="0" t="n">
        <v>0.04714303</v>
      </c>
      <c r="CR28" s="0" t="n">
        <v>0.01955618</v>
      </c>
      <c r="CS28" s="0" t="n">
        <v>0.04225105</v>
      </c>
      <c r="CT28" s="0" t="n">
        <v>0.02638269</v>
      </c>
      <c r="CU28" s="0" t="n">
        <v>0.0121538</v>
      </c>
      <c r="CV28" s="0" t="n">
        <v>0.0199525</v>
      </c>
      <c r="CW28" s="0" t="n">
        <v>0.02262758</v>
      </c>
      <c r="CX28" s="0" t="n">
        <v>0.03775472</v>
      </c>
      <c r="CY28" s="0" t="n">
        <v>0.04564849</v>
      </c>
      <c r="CZ28" s="0" t="n">
        <v>0.01443571</v>
      </c>
      <c r="DA28" s="0" t="n">
        <v>0.01480404</v>
      </c>
      <c r="DB28" s="0" t="n">
        <v>0.01973489</v>
      </c>
      <c r="DC28" s="0" t="n">
        <v>0.02906024</v>
      </c>
      <c r="DD28" s="0" t="n">
        <v>0.03631456</v>
      </c>
      <c r="DE28" s="0" t="n">
        <v>0.03128636</v>
      </c>
      <c r="DF28" s="0" t="n">
        <v>0.01035151</v>
      </c>
      <c r="DG28" s="0" t="n">
        <v>0.02591993</v>
      </c>
      <c r="DH28" s="0" t="n">
        <v>0.02126737</v>
      </c>
      <c r="DI28" s="0" t="n">
        <v>0.0462403</v>
      </c>
      <c r="DJ28" s="0" t="n">
        <v>0.04506312</v>
      </c>
      <c r="DK28" s="0" t="n">
        <v>0.05445473</v>
      </c>
      <c r="DL28" s="0" t="n">
        <v>0.00794981</v>
      </c>
      <c r="DM28" s="0" t="n">
        <v>0.05542692</v>
      </c>
      <c r="DN28" s="0" t="n">
        <v>0.02914537</v>
      </c>
      <c r="DO28" s="0" t="n">
        <v>0.0337131</v>
      </c>
      <c r="DP28" s="0" t="n">
        <v>0.04831847</v>
      </c>
      <c r="DQ28" s="0" t="n">
        <v>0.02417177</v>
      </c>
      <c r="DR28" s="0" t="n">
        <v>0.03327542</v>
      </c>
      <c r="DS28" s="0" t="n">
        <v>0.01672332</v>
      </c>
      <c r="DT28" s="0" t="n">
        <v>0.01941976</v>
      </c>
      <c r="DU28" s="0" t="n">
        <v>0.04954299</v>
      </c>
      <c r="DV28" s="0" t="n">
        <v>0.02602651</v>
      </c>
      <c r="DW28" s="0" t="n">
        <v>0.03002255</v>
      </c>
      <c r="DX28" s="0" t="n">
        <v>0.03762006</v>
      </c>
      <c r="DY28" s="0" t="n">
        <v>0.0441222</v>
      </c>
      <c r="DZ28" s="0" t="n">
        <v>0.01516301</v>
      </c>
      <c r="EA28" s="0" t="n">
        <v>0.01421112</v>
      </c>
      <c r="EB28" s="0" t="n">
        <v>0.04763378</v>
      </c>
      <c r="EC28" s="0" t="n">
        <v>0.01106627</v>
      </c>
      <c r="ED28" s="0" t="n">
        <v>0.03269783</v>
      </c>
      <c r="EE28" s="0" t="n">
        <v>0.03239627</v>
      </c>
      <c r="EF28" s="0" t="n">
        <v>0.04842869</v>
      </c>
      <c r="EG28" s="0" t="n">
        <v>0.02546477</v>
      </c>
      <c r="EH28" s="0" t="n">
        <v>0.00900596</v>
      </c>
      <c r="EI28" s="0" t="n">
        <v>0.01759309</v>
      </c>
      <c r="EJ28" s="0" t="n">
        <v>0.03757344</v>
      </c>
      <c r="EK28" s="0" t="n">
        <v>0.05957476</v>
      </c>
      <c r="EL28" s="0" t="n">
        <v>0.05543854</v>
      </c>
      <c r="EM28" s="0" t="n">
        <v>0.03023444</v>
      </c>
      <c r="EN28" s="0" t="n">
        <v>0.02403627</v>
      </c>
      <c r="EO28" s="0" t="n">
        <v>0.03084343</v>
      </c>
      <c r="EP28" s="55" t="n">
        <f aca="false">SUMPRODUCT(B28:EO28,$B$5:$EO$5)</f>
        <v>0.021398626</v>
      </c>
      <c r="EQ28" s="55" t="n">
        <f aca="false">SUMIF('Mi portafolio'!$A$8:$A$19,$A28,'Mi portafolio'!$B$8:$B$19)</f>
        <v>0</v>
      </c>
    </row>
    <row r="29" customFormat="false" ht="15" hidden="false" customHeight="false" outlineLevel="0" collapsed="false">
      <c r="A29" s="54" t="s">
        <v>174</v>
      </c>
      <c r="B29" s="0" t="n">
        <v>0.01775372</v>
      </c>
      <c r="C29" s="0" t="n">
        <v>0.00422577</v>
      </c>
      <c r="D29" s="0" t="n">
        <v>2.188E-005</v>
      </c>
      <c r="E29" s="0" t="n">
        <v>0.00187749</v>
      </c>
      <c r="F29" s="0" t="n">
        <v>0.0147335</v>
      </c>
      <c r="G29" s="0" t="n">
        <v>-0.00259395</v>
      </c>
      <c r="H29" s="0" t="n">
        <v>-0.00421346</v>
      </c>
      <c r="I29" s="0" t="n">
        <v>0.01984507</v>
      </c>
      <c r="J29" s="0" t="n">
        <v>0.01299216</v>
      </c>
      <c r="K29" s="0" t="n">
        <v>0.0149697</v>
      </c>
      <c r="L29" s="0" t="n">
        <v>0.00832832</v>
      </c>
      <c r="M29" s="0" t="n">
        <v>0.01200583</v>
      </c>
      <c r="N29" s="0" t="n">
        <v>0.0137383</v>
      </c>
      <c r="O29" s="0" t="n">
        <v>0.00255303</v>
      </c>
      <c r="P29" s="0" t="n">
        <v>0.01979842</v>
      </c>
      <c r="Q29" s="0" t="n">
        <v>0.00244186</v>
      </c>
      <c r="R29" s="0" t="n">
        <v>0.01145149</v>
      </c>
      <c r="S29" s="0" t="n">
        <v>0.00777432</v>
      </c>
      <c r="T29" s="0" t="n">
        <v>0.01963073</v>
      </c>
      <c r="U29" s="0" t="n">
        <v>0.00270295</v>
      </c>
      <c r="V29" s="0" t="n">
        <v>0.00387229</v>
      </c>
      <c r="W29" s="0" t="n">
        <v>0.00153569</v>
      </c>
      <c r="X29" s="0" t="n">
        <v>0.02236418</v>
      </c>
      <c r="Y29" s="0" t="n">
        <v>0.05684366</v>
      </c>
      <c r="Z29" s="0" t="n">
        <v>0.00011887</v>
      </c>
      <c r="AA29" s="0" t="n">
        <v>0.00667577</v>
      </c>
      <c r="AB29" s="0" t="n">
        <v>0.05100598</v>
      </c>
      <c r="AC29" s="0" t="n">
        <v>0.00264062</v>
      </c>
      <c r="AD29" s="0" t="n">
        <v>0.00111819</v>
      </c>
      <c r="AE29" s="0" t="n">
        <v>0.00843801</v>
      </c>
      <c r="AF29" s="0" t="n">
        <v>-0.00137388</v>
      </c>
      <c r="AG29" s="0" t="n">
        <v>0.01149197</v>
      </c>
      <c r="AH29" s="0" t="n">
        <v>0.00808692</v>
      </c>
      <c r="AI29" s="0" t="n">
        <v>0.00542883</v>
      </c>
      <c r="AJ29" s="0" t="n">
        <v>-0.00392647</v>
      </c>
      <c r="AK29" s="0" t="n">
        <v>-0.0009656</v>
      </c>
      <c r="AL29" s="0" t="n">
        <v>0.01870581</v>
      </c>
      <c r="AM29" s="0" t="n">
        <v>0.00730766</v>
      </c>
      <c r="AN29" s="0" t="n">
        <v>0.02075557</v>
      </c>
      <c r="AO29" s="0" t="n">
        <v>0.02170254</v>
      </c>
      <c r="AP29" s="0" t="n">
        <v>0.01912408</v>
      </c>
      <c r="AQ29" s="0" t="n">
        <v>0.00518751</v>
      </c>
      <c r="AR29" s="0" t="n">
        <v>0.02155838</v>
      </c>
      <c r="AS29" s="0" t="n">
        <v>0.00272496</v>
      </c>
      <c r="AT29" s="0" t="n">
        <v>0.03456271</v>
      </c>
      <c r="AU29" s="0" t="n">
        <v>0.01278993</v>
      </c>
      <c r="AV29" s="0" t="n">
        <v>0.00753751</v>
      </c>
      <c r="AW29" s="0" t="n">
        <v>0.00321034</v>
      </c>
      <c r="AX29" s="0" t="n">
        <v>0.01916636</v>
      </c>
      <c r="AY29" s="0" t="n">
        <v>0.03092562</v>
      </c>
      <c r="AZ29" s="0" t="n">
        <v>0.01092711</v>
      </c>
      <c r="BA29" s="0" t="n">
        <v>0.01210313</v>
      </c>
      <c r="BB29" s="0" t="n">
        <v>0.02030397</v>
      </c>
      <c r="BC29" s="0" t="n">
        <v>0.00389359</v>
      </c>
      <c r="BD29" s="0" t="n">
        <v>0.00544406</v>
      </c>
      <c r="BE29" s="0" t="n">
        <v>0.0190681</v>
      </c>
      <c r="BF29" s="0" t="n">
        <v>-0.00215758</v>
      </c>
      <c r="BG29" s="0" t="n">
        <v>0.02345804</v>
      </c>
      <c r="BH29" s="0" t="n">
        <v>0.00201256</v>
      </c>
      <c r="BI29" s="0" t="n">
        <v>0.00260872</v>
      </c>
      <c r="BJ29" s="0" t="n">
        <v>0.00207234</v>
      </c>
      <c r="BK29" s="0" t="n">
        <v>0.00784405</v>
      </c>
      <c r="BL29" s="0" t="n">
        <v>0.00184152</v>
      </c>
      <c r="BM29" s="0" t="n">
        <v>0.01531333</v>
      </c>
      <c r="BN29" s="0" t="n">
        <v>0.01688684</v>
      </c>
      <c r="BO29" s="0" t="n">
        <v>0.01569797</v>
      </c>
      <c r="BP29" s="0" t="n">
        <v>0.02009323</v>
      </c>
      <c r="BQ29" s="0" t="n">
        <v>0.0034838</v>
      </c>
      <c r="BR29" s="0" t="n">
        <v>0.01417493</v>
      </c>
      <c r="BS29" s="0" t="n">
        <v>-0.00126819</v>
      </c>
      <c r="BT29" s="0" t="n">
        <v>0.0134994</v>
      </c>
      <c r="BU29" s="0" t="n">
        <v>-0.00154284</v>
      </c>
      <c r="BV29" s="0" t="n">
        <v>0.01995767</v>
      </c>
      <c r="BW29" s="0" t="n">
        <v>0.01661216</v>
      </c>
      <c r="BX29" s="0" t="n">
        <v>0.00932941</v>
      </c>
      <c r="BY29" s="0" t="n">
        <v>0.01496747</v>
      </c>
      <c r="BZ29" s="0" t="n">
        <v>0.00954371</v>
      </c>
      <c r="CA29" s="0" t="n">
        <v>0.00110651</v>
      </c>
      <c r="CB29" s="0" t="n">
        <v>0.00809109</v>
      </c>
      <c r="CC29" s="0" t="n">
        <v>0.02129353</v>
      </c>
      <c r="CD29" s="0" t="n">
        <v>0.02654534</v>
      </c>
      <c r="CE29" s="0" t="n">
        <v>0.01083477</v>
      </c>
      <c r="CF29" s="0" t="n">
        <v>0.00223736</v>
      </c>
      <c r="CG29" s="0" t="n">
        <v>0.03016404</v>
      </c>
      <c r="CH29" s="0" t="n">
        <v>0.00493929</v>
      </c>
      <c r="CI29" s="0" t="n">
        <v>0.00383805</v>
      </c>
      <c r="CJ29" s="0" t="n">
        <v>0.02912441</v>
      </c>
      <c r="CK29" s="0" t="n">
        <v>0.0289051</v>
      </c>
      <c r="CL29" s="0" t="n">
        <v>0.00655606</v>
      </c>
      <c r="CM29" s="0" t="n">
        <v>-0.00322445</v>
      </c>
      <c r="CN29" s="0" t="n">
        <v>0.00027834</v>
      </c>
      <c r="CO29" s="0" t="n">
        <v>0.00391617</v>
      </c>
      <c r="CP29" s="0" t="n">
        <v>0.01269718</v>
      </c>
      <c r="CQ29" s="0" t="n">
        <v>0.02688095</v>
      </c>
      <c r="CR29" s="0" t="n">
        <v>0.00016784</v>
      </c>
      <c r="CS29" s="0" t="n">
        <v>0.00041574</v>
      </c>
      <c r="CT29" s="0" t="n">
        <v>0.02449453</v>
      </c>
      <c r="CU29" s="0" t="n">
        <v>0.00123764</v>
      </c>
      <c r="CV29" s="0" t="n">
        <v>0.02313382</v>
      </c>
      <c r="CW29" s="0" t="n">
        <v>0.03411036</v>
      </c>
      <c r="CX29" s="0" t="n">
        <v>0.0311038</v>
      </c>
      <c r="CY29" s="0" t="n">
        <v>0.02953021</v>
      </c>
      <c r="CZ29" s="0" t="n">
        <v>0.02681948</v>
      </c>
      <c r="DA29" s="0" t="n">
        <v>0.03556796</v>
      </c>
      <c r="DB29" s="0" t="n">
        <v>0.00347966</v>
      </c>
      <c r="DC29" s="0" t="n">
        <v>0.00540917</v>
      </c>
      <c r="DD29" s="0" t="n">
        <v>0.04557646</v>
      </c>
      <c r="DE29" s="0" t="n">
        <v>0.00027129</v>
      </c>
      <c r="DF29" s="0" t="n">
        <v>0.03451363</v>
      </c>
      <c r="DG29" s="0" t="n">
        <v>0.00568117</v>
      </c>
      <c r="DH29" s="0" t="n">
        <v>-0.00250362</v>
      </c>
      <c r="DI29" s="0" t="n">
        <v>0.02826849</v>
      </c>
      <c r="DJ29" s="0" t="n">
        <v>0.03890067</v>
      </c>
      <c r="DK29" s="0" t="n">
        <v>0.02661744</v>
      </c>
      <c r="DL29" s="0" t="n">
        <v>-0.00774961</v>
      </c>
      <c r="DM29" s="0" t="n">
        <v>0.04247187</v>
      </c>
      <c r="DN29" s="0" t="n">
        <v>0.03694137</v>
      </c>
      <c r="DO29" s="0" t="n">
        <v>0.00747444</v>
      </c>
      <c r="DP29" s="0" t="n">
        <v>0.04540568</v>
      </c>
      <c r="DQ29" s="0" t="n">
        <v>-0.01293103</v>
      </c>
      <c r="DR29" s="0" t="n">
        <v>-0.00201888</v>
      </c>
      <c r="DS29" s="0" t="n">
        <v>0.03273519</v>
      </c>
      <c r="DT29" s="0" t="n">
        <v>-0.01108754</v>
      </c>
      <c r="DU29" s="0" t="n">
        <v>0.01228191</v>
      </c>
      <c r="DV29" s="0" t="n">
        <v>0.02735755</v>
      </c>
      <c r="DW29" s="0" t="n">
        <v>0.04747004</v>
      </c>
      <c r="DX29" s="0" t="n">
        <v>-0.01209657</v>
      </c>
      <c r="DY29" s="0" t="n">
        <v>0.05173846</v>
      </c>
      <c r="DZ29" s="0" t="n">
        <v>0.01361917</v>
      </c>
      <c r="EA29" s="0" t="n">
        <v>0.00993422</v>
      </c>
      <c r="EB29" s="0" t="n">
        <v>0.03625402</v>
      </c>
      <c r="EC29" s="0" t="n">
        <v>0.00539067</v>
      </c>
      <c r="ED29" s="0" t="n">
        <v>0.00922452</v>
      </c>
      <c r="EE29" s="0" t="n">
        <v>-0.00949826</v>
      </c>
      <c r="EF29" s="0" t="n">
        <v>0.0186129</v>
      </c>
      <c r="EG29" s="0" t="n">
        <v>-0.00584427</v>
      </c>
      <c r="EH29" s="0" t="n">
        <v>0.04050042</v>
      </c>
      <c r="EI29" s="0" t="n">
        <v>-0.02361686</v>
      </c>
      <c r="EJ29" s="0" t="n">
        <v>0.01388543</v>
      </c>
      <c r="EK29" s="0" t="n">
        <v>0.00169673</v>
      </c>
      <c r="EL29" s="0" t="n">
        <v>-0.01112472</v>
      </c>
      <c r="EM29" s="0" t="n">
        <v>-0.00442806</v>
      </c>
      <c r="EN29" s="0" t="n">
        <v>0.0263261</v>
      </c>
      <c r="EO29" s="0" t="n">
        <v>0.01646911</v>
      </c>
      <c r="EP29" s="55" t="n">
        <f aca="false">SUMPRODUCT(B29:EO29,$B$5:$EO$5)</f>
        <v>0.00501942</v>
      </c>
      <c r="EQ29" s="55" t="n">
        <f aca="false">SUMIF('Mi portafolio'!$A$8:$A$19,$A29,'Mi portafolio'!$B$8:$B$19)</f>
        <v>0</v>
      </c>
    </row>
    <row r="30" customFormat="false" ht="15" hidden="false" customHeight="false" outlineLevel="0" collapsed="false">
      <c r="A30" s="54" t="s">
        <v>175</v>
      </c>
      <c r="B30" s="0" t="n">
        <v>0.00161083</v>
      </c>
      <c r="C30" s="0" t="n">
        <v>0.00861616</v>
      </c>
      <c r="D30" s="0" t="n">
        <v>0.00432243</v>
      </c>
      <c r="E30" s="0" t="n">
        <v>0.00859558</v>
      </c>
      <c r="F30" s="0" t="n">
        <v>0.00471116</v>
      </c>
      <c r="G30" s="0" t="n">
        <v>0.01080398</v>
      </c>
      <c r="H30" s="0" t="n">
        <v>0.01404121</v>
      </c>
      <c r="I30" s="0" t="n">
        <v>0.00547979</v>
      </c>
      <c r="J30" s="0" t="n">
        <v>0.00295666</v>
      </c>
      <c r="K30" s="0" t="n">
        <v>0.00679438</v>
      </c>
      <c r="L30" s="0" t="n">
        <v>0.01499674</v>
      </c>
      <c r="M30" s="0" t="n">
        <v>0.01510871</v>
      </c>
      <c r="N30" s="0" t="n">
        <v>0.00633864</v>
      </c>
      <c r="O30" s="0" t="n">
        <v>0.02053829</v>
      </c>
      <c r="P30" s="0" t="n">
        <v>0.0035343</v>
      </c>
      <c r="Q30" s="0" t="n">
        <v>0.00663692</v>
      </c>
      <c r="R30" s="0" t="n">
        <v>0.00718501</v>
      </c>
      <c r="S30" s="0" t="n">
        <v>0.01443556</v>
      </c>
      <c r="T30" s="0" t="n">
        <v>0.00356735</v>
      </c>
      <c r="U30" s="0" t="n">
        <v>0.01652418</v>
      </c>
      <c r="V30" s="0" t="n">
        <v>0.01852499</v>
      </c>
      <c r="W30" s="0" t="n">
        <v>0.01217125</v>
      </c>
      <c r="X30" s="0" t="n">
        <v>0.00538418</v>
      </c>
      <c r="Y30" s="0" t="n">
        <v>0.00011887</v>
      </c>
      <c r="Z30" s="0" t="n">
        <v>0.05820118</v>
      </c>
      <c r="AA30" s="0" t="n">
        <v>0.01089394</v>
      </c>
      <c r="AB30" s="0" t="n">
        <v>0.00053502</v>
      </c>
      <c r="AC30" s="0" t="n">
        <v>0.01218565</v>
      </c>
      <c r="AD30" s="0" t="n">
        <v>0.01586426</v>
      </c>
      <c r="AE30" s="0" t="n">
        <v>0.01869894</v>
      </c>
      <c r="AF30" s="0" t="n">
        <v>0.01777879</v>
      </c>
      <c r="AG30" s="0" t="n">
        <v>0.00080232</v>
      </c>
      <c r="AH30" s="0" t="n">
        <v>-0.00188432</v>
      </c>
      <c r="AI30" s="0" t="n">
        <v>-0.0040248</v>
      </c>
      <c r="AJ30" s="0" t="n">
        <v>0.01104832</v>
      </c>
      <c r="AK30" s="0" t="n">
        <v>0.02534633</v>
      </c>
      <c r="AL30" s="0" t="n">
        <v>0.0022104</v>
      </c>
      <c r="AM30" s="0" t="n">
        <v>0.02006367</v>
      </c>
      <c r="AN30" s="0" t="n">
        <v>0.01124193</v>
      </c>
      <c r="AO30" s="0" t="n">
        <v>0.00048714</v>
      </c>
      <c r="AP30" s="0" t="n">
        <v>0.00373143</v>
      </c>
      <c r="AQ30" s="0" t="n">
        <v>-0.0015364</v>
      </c>
      <c r="AR30" s="0" t="n">
        <v>0.00144263</v>
      </c>
      <c r="AS30" s="0" t="n">
        <v>0.02106449</v>
      </c>
      <c r="AT30" s="0" t="n">
        <v>0.00367412</v>
      </c>
      <c r="AU30" s="0" t="n">
        <v>0.00735634</v>
      </c>
      <c r="AV30" s="0" t="n">
        <v>0.01751563</v>
      </c>
      <c r="AW30" s="0" t="n">
        <v>0.02569848</v>
      </c>
      <c r="AX30" s="0" t="n">
        <v>0.0068416</v>
      </c>
      <c r="AY30" s="0" t="n">
        <v>0.00133073</v>
      </c>
      <c r="AZ30" s="0" t="n">
        <v>0.01742477</v>
      </c>
      <c r="BA30" s="0" t="n">
        <v>0.0131792</v>
      </c>
      <c r="BB30" s="0" t="n">
        <v>0.00526594</v>
      </c>
      <c r="BC30" s="0" t="n">
        <v>0.01396095</v>
      </c>
      <c r="BD30" s="0" t="n">
        <v>0.02338756</v>
      </c>
      <c r="BE30" s="0" t="n">
        <v>0.00644427</v>
      </c>
      <c r="BF30" s="0" t="n">
        <v>0.03341924</v>
      </c>
      <c r="BG30" s="0" t="n">
        <v>0.00387109</v>
      </c>
      <c r="BH30" s="0" t="n">
        <v>0.02442536</v>
      </c>
      <c r="BI30" s="0" t="n">
        <v>0.00953632</v>
      </c>
      <c r="BJ30" s="0" t="n">
        <v>-0.00696595</v>
      </c>
      <c r="BK30" s="0" t="n">
        <v>0.02252846</v>
      </c>
      <c r="BL30" s="0" t="n">
        <v>0.01402609</v>
      </c>
      <c r="BM30" s="0" t="n">
        <v>0.00236075</v>
      </c>
      <c r="BN30" s="0" t="n">
        <v>-0.00015048</v>
      </c>
      <c r="BO30" s="0" t="n">
        <v>0.00407693</v>
      </c>
      <c r="BP30" s="0" t="n">
        <v>0.00181287</v>
      </c>
      <c r="BQ30" s="0" t="n">
        <v>0.03008332</v>
      </c>
      <c r="BR30" s="0" t="n">
        <v>0.00253925</v>
      </c>
      <c r="BS30" s="0" t="n">
        <v>-0.00908671</v>
      </c>
      <c r="BT30" s="0" t="n">
        <v>0.00992295</v>
      </c>
      <c r="BU30" s="0" t="n">
        <v>0.02347202</v>
      </c>
      <c r="BV30" s="0" t="n">
        <v>0.00076979</v>
      </c>
      <c r="BW30" s="0" t="n">
        <v>0.00667321</v>
      </c>
      <c r="BX30" s="0" t="n">
        <v>-0.00063311</v>
      </c>
      <c r="BY30" s="0" t="n">
        <v>0.01197379</v>
      </c>
      <c r="BZ30" s="0" t="n">
        <v>0.00928849</v>
      </c>
      <c r="CA30" s="0" t="n">
        <v>0.0187487</v>
      </c>
      <c r="CB30" s="0" t="n">
        <v>-0.00809287</v>
      </c>
      <c r="CC30" s="0" t="n">
        <v>0.00102079</v>
      </c>
      <c r="CD30" s="0" t="n">
        <v>0.00926359</v>
      </c>
      <c r="CE30" s="0" t="n">
        <v>-0.00134844</v>
      </c>
      <c r="CF30" s="0" t="n">
        <v>-0.00549174</v>
      </c>
      <c r="CG30" s="0" t="n">
        <v>0.00683482</v>
      </c>
      <c r="CH30" s="0" t="n">
        <v>0.03057902</v>
      </c>
      <c r="CI30" s="0" t="n">
        <v>-0.00905268</v>
      </c>
      <c r="CJ30" s="0" t="n">
        <v>0.00156964</v>
      </c>
      <c r="CK30" s="0" t="n">
        <v>0.00410409</v>
      </c>
      <c r="CL30" s="0" t="n">
        <v>0.01049873</v>
      </c>
      <c r="CM30" s="0" t="n">
        <v>0.00656404</v>
      </c>
      <c r="CN30" s="0" t="n">
        <v>0.02151567</v>
      </c>
      <c r="CO30" s="0" t="n">
        <v>0.01085606</v>
      </c>
      <c r="CP30" s="0" t="n">
        <v>0.00741091</v>
      </c>
      <c r="CQ30" s="0" t="n">
        <v>0.01052882</v>
      </c>
      <c r="CR30" s="0" t="n">
        <v>0.01003954</v>
      </c>
      <c r="CS30" s="0" t="n">
        <v>0.01323673</v>
      </c>
      <c r="CT30" s="0" t="n">
        <v>0.01458111</v>
      </c>
      <c r="CU30" s="0" t="n">
        <v>0.01471712</v>
      </c>
      <c r="CV30" s="0" t="n">
        <v>0.00975319</v>
      </c>
      <c r="CW30" s="0" t="n">
        <v>0.01097959</v>
      </c>
      <c r="CX30" s="0" t="n">
        <v>0.01362293</v>
      </c>
      <c r="CY30" s="0" t="n">
        <v>0.01318426</v>
      </c>
      <c r="CZ30" s="0" t="n">
        <v>0.00431973</v>
      </c>
      <c r="DA30" s="0" t="n">
        <v>0.00054026</v>
      </c>
      <c r="DB30" s="0" t="n">
        <v>0.01553596</v>
      </c>
      <c r="DC30" s="0" t="n">
        <v>0.02610285</v>
      </c>
      <c r="DD30" s="0" t="n">
        <v>0.00831632</v>
      </c>
      <c r="DE30" s="0" t="n">
        <v>0.02292845</v>
      </c>
      <c r="DF30" s="0" t="n">
        <v>-0.00043293</v>
      </c>
      <c r="DG30" s="0" t="n">
        <v>0.02700141</v>
      </c>
      <c r="DH30" s="0" t="n">
        <v>0.01123815</v>
      </c>
      <c r="DI30" s="0" t="n">
        <v>0.01105111</v>
      </c>
      <c r="DJ30" s="0" t="n">
        <v>0.01310055</v>
      </c>
      <c r="DK30" s="0" t="n">
        <v>0.01036471</v>
      </c>
      <c r="DL30" s="0" t="n">
        <v>0.03979596</v>
      </c>
      <c r="DM30" s="0" t="n">
        <v>0.02355809</v>
      </c>
      <c r="DN30" s="0" t="n">
        <v>0.00976774</v>
      </c>
      <c r="DO30" s="0" t="n">
        <v>-0.0040393</v>
      </c>
      <c r="DP30" s="0" t="n">
        <v>0.01921788</v>
      </c>
      <c r="DQ30" s="0" t="n">
        <v>0.00594275</v>
      </c>
      <c r="DR30" s="0" t="n">
        <v>0.01966654</v>
      </c>
      <c r="DS30" s="0" t="n">
        <v>0.00045337</v>
      </c>
      <c r="DT30" s="0" t="n">
        <v>0.01036284</v>
      </c>
      <c r="DU30" s="0" t="n">
        <v>0.01982713</v>
      </c>
      <c r="DV30" s="0" t="n">
        <v>0.00761708</v>
      </c>
      <c r="DW30" s="0" t="n">
        <v>0.00589679</v>
      </c>
      <c r="DX30" s="0" t="n">
        <v>0.00835037</v>
      </c>
      <c r="DY30" s="0" t="n">
        <v>0.01370322</v>
      </c>
      <c r="DZ30" s="0" t="n">
        <v>0.00509594</v>
      </c>
      <c r="EA30" s="0" t="n">
        <v>0.02527629</v>
      </c>
      <c r="EB30" s="0" t="n">
        <v>0.02251753</v>
      </c>
      <c r="EC30" s="0" t="n">
        <v>0.01471199</v>
      </c>
      <c r="ED30" s="0" t="n">
        <v>0.02625616</v>
      </c>
      <c r="EE30" s="0" t="n">
        <v>0.01204687</v>
      </c>
      <c r="EF30" s="0" t="n">
        <v>0.02639974</v>
      </c>
      <c r="EG30" s="0" t="n">
        <v>0.00911624</v>
      </c>
      <c r="EH30" s="0" t="n">
        <v>0.00434878</v>
      </c>
      <c r="EI30" s="0" t="n">
        <v>0.01840209</v>
      </c>
      <c r="EJ30" s="0" t="n">
        <v>0.03495149</v>
      </c>
      <c r="EK30" s="0" t="n">
        <v>0.02578423</v>
      </c>
      <c r="EL30" s="0" t="n">
        <v>0.02480104</v>
      </c>
      <c r="EM30" s="0" t="n">
        <v>0.02101852</v>
      </c>
      <c r="EN30" s="0" t="n">
        <v>0.03217869</v>
      </c>
      <c r="EO30" s="0" t="n">
        <v>0.02345912</v>
      </c>
      <c r="EP30" s="55" t="n">
        <f aca="false">SUMPRODUCT(B30:EO30,$B$5:$EO$5)</f>
        <v>0.018302676</v>
      </c>
      <c r="EQ30" s="55" t="n">
        <f aca="false">SUMIF('Mi portafolio'!$A$8:$A$19,$A30,'Mi portafolio'!$B$8:$B$19)</f>
        <v>0</v>
      </c>
    </row>
    <row r="31" customFormat="false" ht="15" hidden="false" customHeight="false" outlineLevel="0" collapsed="false">
      <c r="A31" s="54" t="s">
        <v>176</v>
      </c>
      <c r="B31" s="0" t="n">
        <v>0.00213791</v>
      </c>
      <c r="C31" s="0" t="n">
        <v>0.00365925</v>
      </c>
      <c r="D31" s="0" t="n">
        <v>0.00412536</v>
      </c>
      <c r="E31" s="0" t="n">
        <v>0.00969927</v>
      </c>
      <c r="F31" s="0" t="n">
        <v>0.01314017</v>
      </c>
      <c r="G31" s="0" t="n">
        <v>0.00405911</v>
      </c>
      <c r="H31" s="0" t="n">
        <v>0.0105219</v>
      </c>
      <c r="I31" s="0" t="n">
        <v>0.0104038</v>
      </c>
      <c r="J31" s="0" t="n">
        <v>0.00846556</v>
      </c>
      <c r="K31" s="0" t="n">
        <v>0.01058127</v>
      </c>
      <c r="L31" s="0" t="n">
        <v>0.01509801</v>
      </c>
      <c r="M31" s="0" t="n">
        <v>0.01088669</v>
      </c>
      <c r="N31" s="0" t="n">
        <v>0.00914824</v>
      </c>
      <c r="O31" s="0" t="n">
        <v>0.01927351</v>
      </c>
      <c r="P31" s="0" t="n">
        <v>0.00995224</v>
      </c>
      <c r="Q31" s="0" t="n">
        <v>6.273E-005</v>
      </c>
      <c r="R31" s="0" t="n">
        <v>0.01200542</v>
      </c>
      <c r="S31" s="0" t="n">
        <v>0.0118933</v>
      </c>
      <c r="T31" s="0" t="n">
        <v>0.00653023</v>
      </c>
      <c r="U31" s="0" t="n">
        <v>0.01550171</v>
      </c>
      <c r="V31" s="0" t="n">
        <v>0.0140323</v>
      </c>
      <c r="W31" s="0" t="n">
        <v>0.02550179</v>
      </c>
      <c r="X31" s="0" t="n">
        <v>0.00836798</v>
      </c>
      <c r="Y31" s="0" t="n">
        <v>0.00667577</v>
      </c>
      <c r="Z31" s="0" t="n">
        <v>0.01089394</v>
      </c>
      <c r="AA31" s="0" t="n">
        <v>0.05638849</v>
      </c>
      <c r="AB31" s="0" t="n">
        <v>0.00714554</v>
      </c>
      <c r="AC31" s="0" t="n">
        <v>0.00820074</v>
      </c>
      <c r="AD31" s="0" t="n">
        <v>0.0114588</v>
      </c>
      <c r="AE31" s="0" t="n">
        <v>0.01704773</v>
      </c>
      <c r="AF31" s="0" t="n">
        <v>0.01906732</v>
      </c>
      <c r="AG31" s="0" t="n">
        <v>0.00489963</v>
      </c>
      <c r="AH31" s="0" t="n">
        <v>0.00916579</v>
      </c>
      <c r="AI31" s="0" t="n">
        <v>-0.00640418</v>
      </c>
      <c r="AJ31" s="0" t="n">
        <v>0.01289732</v>
      </c>
      <c r="AK31" s="0" t="n">
        <v>0.01372493</v>
      </c>
      <c r="AL31" s="0" t="n">
        <v>0.00977382</v>
      </c>
      <c r="AM31" s="0" t="n">
        <v>0.01548994</v>
      </c>
      <c r="AN31" s="0" t="n">
        <v>0.01458327</v>
      </c>
      <c r="AO31" s="0" t="n">
        <v>0.0115302</v>
      </c>
      <c r="AP31" s="0" t="n">
        <v>0.01408137</v>
      </c>
      <c r="AQ31" s="0" t="n">
        <v>-0.00585015</v>
      </c>
      <c r="AR31" s="0" t="n">
        <v>0.00989556</v>
      </c>
      <c r="AS31" s="0" t="n">
        <v>0.01625637</v>
      </c>
      <c r="AT31" s="0" t="n">
        <v>0.00790173</v>
      </c>
      <c r="AU31" s="0" t="n">
        <v>0.01010481</v>
      </c>
      <c r="AV31" s="0" t="n">
        <v>0.01169509</v>
      </c>
      <c r="AW31" s="0" t="n">
        <v>0.00385668</v>
      </c>
      <c r="AX31" s="0" t="n">
        <v>0.01615665</v>
      </c>
      <c r="AY31" s="0" t="n">
        <v>0.00906051</v>
      </c>
      <c r="AZ31" s="0" t="n">
        <v>0.0212851</v>
      </c>
      <c r="BA31" s="0" t="n">
        <v>0.01487545</v>
      </c>
      <c r="BB31" s="0" t="n">
        <v>0.0092685</v>
      </c>
      <c r="BC31" s="0" t="n">
        <v>0.0113682</v>
      </c>
      <c r="BD31" s="0" t="n">
        <v>0.01768956</v>
      </c>
      <c r="BE31" s="0" t="n">
        <v>0.01175724</v>
      </c>
      <c r="BF31" s="0" t="n">
        <v>0.01494721</v>
      </c>
      <c r="BG31" s="0" t="n">
        <v>-0.00134562</v>
      </c>
      <c r="BH31" s="0" t="n">
        <v>0.00507078</v>
      </c>
      <c r="BI31" s="0" t="n">
        <v>0.00162514</v>
      </c>
      <c r="BJ31" s="0" t="n">
        <v>-0.00063454</v>
      </c>
      <c r="BK31" s="0" t="n">
        <v>0.01870925</v>
      </c>
      <c r="BL31" s="0" t="n">
        <v>0.00894186</v>
      </c>
      <c r="BM31" s="0" t="n">
        <v>0.01365439</v>
      </c>
      <c r="BN31" s="0" t="n">
        <v>0.00113546</v>
      </c>
      <c r="BO31" s="0" t="n">
        <v>0.00464549</v>
      </c>
      <c r="BP31" s="0" t="n">
        <v>0.0070709</v>
      </c>
      <c r="BQ31" s="0" t="n">
        <v>0.02088129</v>
      </c>
      <c r="BR31" s="0" t="n">
        <v>0.01486824</v>
      </c>
      <c r="BS31" s="0" t="n">
        <v>-0.01121015</v>
      </c>
      <c r="BT31" s="0" t="n">
        <v>0.0119174</v>
      </c>
      <c r="BU31" s="0" t="n">
        <v>0.0097487</v>
      </c>
      <c r="BV31" s="0" t="n">
        <v>0.00220568</v>
      </c>
      <c r="BW31" s="0" t="n">
        <v>0.01251961</v>
      </c>
      <c r="BX31" s="0" t="n">
        <v>0.00182024</v>
      </c>
      <c r="BY31" s="0" t="n">
        <v>0.01741167</v>
      </c>
      <c r="BZ31" s="0" t="n">
        <v>0.01497278</v>
      </c>
      <c r="CA31" s="0" t="n">
        <v>0.01815346</v>
      </c>
      <c r="CB31" s="0" t="n">
        <v>-0.00714818</v>
      </c>
      <c r="CC31" s="0" t="n">
        <v>-0.00030441</v>
      </c>
      <c r="CD31" s="0" t="n">
        <v>0.00709201</v>
      </c>
      <c r="CE31" s="0" t="n">
        <v>0.00655781</v>
      </c>
      <c r="CF31" s="0" t="n">
        <v>-0.00558242</v>
      </c>
      <c r="CG31" s="0" t="n">
        <v>0.00598815</v>
      </c>
      <c r="CH31" s="0" t="n">
        <v>0.01698134</v>
      </c>
      <c r="CI31" s="0" t="n">
        <v>-0.01289775</v>
      </c>
      <c r="CJ31" s="0" t="n">
        <v>0.00165402</v>
      </c>
      <c r="CK31" s="0" t="n">
        <v>-0.00046367</v>
      </c>
      <c r="CL31" s="0" t="n">
        <v>0.01907645</v>
      </c>
      <c r="CM31" s="0" t="n">
        <v>-0.00630622</v>
      </c>
      <c r="CN31" s="0" t="n">
        <v>0.01144595</v>
      </c>
      <c r="CO31" s="0" t="n">
        <v>0.00257358</v>
      </c>
      <c r="CP31" s="0" t="n">
        <v>0.00398793</v>
      </c>
      <c r="CQ31" s="0" t="n">
        <v>0.01523185</v>
      </c>
      <c r="CR31" s="0" t="n">
        <v>0.00968957</v>
      </c>
      <c r="CS31" s="0" t="n">
        <v>0.00999212</v>
      </c>
      <c r="CT31" s="0" t="n">
        <v>0.01252252</v>
      </c>
      <c r="CU31" s="0" t="n">
        <v>0.00437741</v>
      </c>
      <c r="CV31" s="0" t="n">
        <v>-0.00326868</v>
      </c>
      <c r="CW31" s="0" t="n">
        <v>0.02257775</v>
      </c>
      <c r="CX31" s="0" t="n">
        <v>0.01891189</v>
      </c>
      <c r="CY31" s="0" t="n">
        <v>0.01262598</v>
      </c>
      <c r="CZ31" s="0" t="n">
        <v>0.00927096</v>
      </c>
      <c r="DA31" s="0" t="n">
        <v>-0.0052064</v>
      </c>
      <c r="DB31" s="0" t="n">
        <v>0.00620768</v>
      </c>
      <c r="DC31" s="0" t="n">
        <v>0.03187227</v>
      </c>
      <c r="DD31" s="0" t="n">
        <v>0.00539213</v>
      </c>
      <c r="DE31" s="0" t="n">
        <v>0.01024314</v>
      </c>
      <c r="DF31" s="0" t="n">
        <v>0.00238551</v>
      </c>
      <c r="DG31" s="0" t="n">
        <v>0.00757119</v>
      </c>
      <c r="DH31" s="0" t="n">
        <v>0.00181258</v>
      </c>
      <c r="DI31" s="0" t="n">
        <v>0.02154629</v>
      </c>
      <c r="DJ31" s="0" t="n">
        <v>0.01128919</v>
      </c>
      <c r="DK31" s="0" t="n">
        <v>0.01953122</v>
      </c>
      <c r="DL31" s="0" t="n">
        <v>0.01512972</v>
      </c>
      <c r="DM31" s="0" t="n">
        <v>0.02952632</v>
      </c>
      <c r="DN31" s="0" t="n">
        <v>0.01100711</v>
      </c>
      <c r="DO31" s="0" t="n">
        <v>0.01608369</v>
      </c>
      <c r="DP31" s="0" t="n">
        <v>0.01372706</v>
      </c>
      <c r="DQ31" s="0" t="n">
        <v>0.00851105</v>
      </c>
      <c r="DR31" s="0" t="n">
        <v>0.00817755</v>
      </c>
      <c r="DS31" s="0" t="n">
        <v>0.00637613</v>
      </c>
      <c r="DT31" s="0" t="n">
        <v>0.00015997</v>
      </c>
      <c r="DU31" s="0" t="n">
        <v>0.0050177</v>
      </c>
      <c r="DV31" s="0" t="n">
        <v>-0.00133984</v>
      </c>
      <c r="DW31" s="0" t="n">
        <v>-0.00223177</v>
      </c>
      <c r="DX31" s="0" t="n">
        <v>0.00986721</v>
      </c>
      <c r="DY31" s="0" t="n">
        <v>0.00263349</v>
      </c>
      <c r="DZ31" s="0" t="n">
        <v>0.00426169</v>
      </c>
      <c r="EA31" s="0" t="n">
        <v>0.01030519</v>
      </c>
      <c r="EB31" s="0" t="n">
        <v>-0.0012219</v>
      </c>
      <c r="EC31" s="0" t="n">
        <v>0.00365291</v>
      </c>
      <c r="ED31" s="0" t="n">
        <v>0.01922855</v>
      </c>
      <c r="EE31" s="0" t="n">
        <v>0.01288583</v>
      </c>
      <c r="EF31" s="0" t="n">
        <v>0.00070302</v>
      </c>
      <c r="EG31" s="0" t="n">
        <v>0.02123026</v>
      </c>
      <c r="EH31" s="0" t="n">
        <v>0.00340189</v>
      </c>
      <c r="EI31" s="0" t="n">
        <v>0.01165461</v>
      </c>
      <c r="EJ31" s="0" t="n">
        <v>0.02005306</v>
      </c>
      <c r="EK31" s="0" t="n">
        <v>0.01053286</v>
      </c>
      <c r="EL31" s="0" t="n">
        <v>0.02302835</v>
      </c>
      <c r="EM31" s="0" t="n">
        <v>-0.00344385</v>
      </c>
      <c r="EN31" s="0" t="n">
        <v>0.04774075</v>
      </c>
      <c r="EO31" s="0" t="n">
        <v>-0.00816772</v>
      </c>
      <c r="EP31" s="55" t="n">
        <f aca="false">SUMPRODUCT(B31:EO31,$B$5:$EO$5)</f>
        <v>0.010105676</v>
      </c>
      <c r="EQ31" s="55" t="n">
        <f aca="false">SUMIF('Mi portafolio'!$A$8:$A$19,$A31,'Mi portafolio'!$B$8:$B$19)</f>
        <v>0</v>
      </c>
    </row>
    <row r="32" customFormat="false" ht="15" hidden="false" customHeight="false" outlineLevel="0" collapsed="false">
      <c r="A32" s="54" t="s">
        <v>177</v>
      </c>
      <c r="B32" s="0" t="n">
        <v>0.01952476</v>
      </c>
      <c r="C32" s="0" t="n">
        <v>0.00138272</v>
      </c>
      <c r="D32" s="0" t="n">
        <v>0.00149827</v>
      </c>
      <c r="E32" s="0" t="n">
        <v>0.00257294</v>
      </c>
      <c r="F32" s="0" t="n">
        <v>0.01587104</v>
      </c>
      <c r="G32" s="0" t="n">
        <v>-0.00067087</v>
      </c>
      <c r="H32" s="0" t="n">
        <v>-0.0047864</v>
      </c>
      <c r="I32" s="0" t="n">
        <v>0.02061142</v>
      </c>
      <c r="J32" s="0" t="n">
        <v>0.01142703</v>
      </c>
      <c r="K32" s="0" t="n">
        <v>0.01578851</v>
      </c>
      <c r="L32" s="0" t="n">
        <v>0.00600511</v>
      </c>
      <c r="M32" s="0" t="n">
        <v>0.01263046</v>
      </c>
      <c r="N32" s="0" t="n">
        <v>0.01422937</v>
      </c>
      <c r="O32" s="0" t="n">
        <v>0.00148909</v>
      </c>
      <c r="P32" s="0" t="n">
        <v>0.01800235</v>
      </c>
      <c r="Q32" s="0" t="n">
        <v>0.00018726</v>
      </c>
      <c r="R32" s="0" t="n">
        <v>0.01137416</v>
      </c>
      <c r="S32" s="0" t="n">
        <v>0.0043021</v>
      </c>
      <c r="T32" s="0" t="n">
        <v>0.02172289</v>
      </c>
      <c r="U32" s="0" t="n">
        <v>0.0021394</v>
      </c>
      <c r="V32" s="0" t="n">
        <v>0.00173755</v>
      </c>
      <c r="W32" s="0" t="n">
        <v>0.00171012</v>
      </c>
      <c r="X32" s="0" t="n">
        <v>0.02264819</v>
      </c>
      <c r="Y32" s="0" t="n">
        <v>0.05100598</v>
      </c>
      <c r="Z32" s="0" t="n">
        <v>0.00053502</v>
      </c>
      <c r="AA32" s="0" t="n">
        <v>0.00714554</v>
      </c>
      <c r="AB32" s="0" t="n">
        <v>0.05868006</v>
      </c>
      <c r="AC32" s="0" t="n">
        <v>0.00106831</v>
      </c>
      <c r="AD32" s="0" t="n">
        <v>-0.00198351</v>
      </c>
      <c r="AE32" s="0" t="n">
        <v>0.00619459</v>
      </c>
      <c r="AF32" s="0" t="n">
        <v>-0.00384326</v>
      </c>
      <c r="AG32" s="0" t="n">
        <v>0.01170986</v>
      </c>
      <c r="AH32" s="0" t="n">
        <v>0.00907377</v>
      </c>
      <c r="AI32" s="0" t="n">
        <v>0.00555049</v>
      </c>
      <c r="AJ32" s="0" t="n">
        <v>-0.00505276</v>
      </c>
      <c r="AK32" s="0" t="n">
        <v>-0.00089508</v>
      </c>
      <c r="AL32" s="0" t="n">
        <v>0.01771644</v>
      </c>
      <c r="AM32" s="0" t="n">
        <v>0.00661278</v>
      </c>
      <c r="AN32" s="0" t="n">
        <v>0.02181965</v>
      </c>
      <c r="AO32" s="0" t="n">
        <v>0.01913964</v>
      </c>
      <c r="AP32" s="0" t="n">
        <v>0.02137472</v>
      </c>
      <c r="AQ32" s="0" t="n">
        <v>0.0052505</v>
      </c>
      <c r="AR32" s="0" t="n">
        <v>0.02318598</v>
      </c>
      <c r="AS32" s="0" t="n">
        <v>-0.00248121</v>
      </c>
      <c r="AT32" s="0" t="n">
        <v>0.03561893</v>
      </c>
      <c r="AU32" s="0" t="n">
        <v>0.0113849</v>
      </c>
      <c r="AV32" s="0" t="n">
        <v>0.00193644</v>
      </c>
      <c r="AW32" s="0" t="n">
        <v>-0.00074134</v>
      </c>
      <c r="AX32" s="0" t="n">
        <v>0.01949823</v>
      </c>
      <c r="AY32" s="0" t="n">
        <v>0.02721721</v>
      </c>
      <c r="AZ32" s="0" t="n">
        <v>0.0060553</v>
      </c>
      <c r="BA32" s="0" t="n">
        <v>0.01146997</v>
      </c>
      <c r="BB32" s="0" t="n">
        <v>0.02157964</v>
      </c>
      <c r="BC32" s="0" t="n">
        <v>-0.00105979</v>
      </c>
      <c r="BD32" s="0" t="n">
        <v>0.00331725</v>
      </c>
      <c r="BE32" s="0" t="n">
        <v>0.01896742</v>
      </c>
      <c r="BF32" s="0" t="n">
        <v>-0.00215919</v>
      </c>
      <c r="BG32" s="0" t="n">
        <v>0.02444092</v>
      </c>
      <c r="BH32" s="0" t="n">
        <v>0.00023766</v>
      </c>
      <c r="BI32" s="0" t="n">
        <v>0.00602135</v>
      </c>
      <c r="BJ32" s="0" t="n">
        <v>0.00150011</v>
      </c>
      <c r="BK32" s="0" t="n">
        <v>0.00568047</v>
      </c>
      <c r="BL32" s="0" t="n">
        <v>0.00042376</v>
      </c>
      <c r="BM32" s="0" t="n">
        <v>0.01774207</v>
      </c>
      <c r="BN32" s="0" t="n">
        <v>0.01584306</v>
      </c>
      <c r="BO32" s="0" t="n">
        <v>0.01404824</v>
      </c>
      <c r="BP32" s="0" t="n">
        <v>0.02480201</v>
      </c>
      <c r="BQ32" s="0" t="n">
        <v>-0.00120152</v>
      </c>
      <c r="BR32" s="0" t="n">
        <v>0.01889103</v>
      </c>
      <c r="BS32" s="0" t="n">
        <v>-0.00039724</v>
      </c>
      <c r="BT32" s="0" t="n">
        <v>0.01425769</v>
      </c>
      <c r="BU32" s="0" t="n">
        <v>-0.00180171</v>
      </c>
      <c r="BV32" s="0" t="n">
        <v>0.02290701</v>
      </c>
      <c r="BW32" s="0" t="n">
        <v>0.01694846</v>
      </c>
      <c r="BX32" s="0" t="n">
        <v>0.00654674</v>
      </c>
      <c r="BY32" s="0" t="n">
        <v>0.01855252</v>
      </c>
      <c r="BZ32" s="0" t="n">
        <v>0.01257623</v>
      </c>
      <c r="CA32" s="0" t="n">
        <v>-0.00547717</v>
      </c>
      <c r="CB32" s="0" t="n">
        <v>0.00314277</v>
      </c>
      <c r="CC32" s="0" t="n">
        <v>0.02348786</v>
      </c>
      <c r="CD32" s="0" t="n">
        <v>0.02933885</v>
      </c>
      <c r="CE32" s="0" t="n">
        <v>0.00683033</v>
      </c>
      <c r="CF32" s="0" t="n">
        <v>0.00157852</v>
      </c>
      <c r="CG32" s="0" t="n">
        <v>0.03205042</v>
      </c>
      <c r="CH32" s="0" t="n">
        <v>0.00072703</v>
      </c>
      <c r="CI32" s="0" t="n">
        <v>0.00291323</v>
      </c>
      <c r="CJ32" s="0" t="n">
        <v>0.02808579</v>
      </c>
      <c r="CK32" s="0" t="n">
        <v>0.03409501</v>
      </c>
      <c r="CL32" s="0" t="n">
        <v>0.00725742</v>
      </c>
      <c r="CM32" s="0" t="n">
        <v>-0.00349438</v>
      </c>
      <c r="CN32" s="0" t="n">
        <v>0.00109797</v>
      </c>
      <c r="CO32" s="0" t="n">
        <v>0.00631577</v>
      </c>
      <c r="CP32" s="0" t="n">
        <v>0.01132891</v>
      </c>
      <c r="CQ32" s="0" t="n">
        <v>0.02935379</v>
      </c>
      <c r="CR32" s="0" t="n">
        <v>-0.00234138</v>
      </c>
      <c r="CS32" s="0" t="n">
        <v>-0.00739416</v>
      </c>
      <c r="CT32" s="0" t="n">
        <v>0.0239392</v>
      </c>
      <c r="CU32" s="0" t="n">
        <v>0.00030453</v>
      </c>
      <c r="CV32" s="0" t="n">
        <v>0.02484841</v>
      </c>
      <c r="CW32" s="0" t="n">
        <v>0.0336766</v>
      </c>
      <c r="CX32" s="0" t="n">
        <v>0.03246224</v>
      </c>
      <c r="CY32" s="0" t="n">
        <v>0.03590883</v>
      </c>
      <c r="CZ32" s="0" t="n">
        <v>0.02479894</v>
      </c>
      <c r="DA32" s="0" t="n">
        <v>0.03344336</v>
      </c>
      <c r="DB32" s="0" t="n">
        <v>0.00181308</v>
      </c>
      <c r="DC32" s="0" t="n">
        <v>0.00700148</v>
      </c>
      <c r="DD32" s="0" t="n">
        <v>0.04345555</v>
      </c>
      <c r="DE32" s="0" t="n">
        <v>-0.0024946</v>
      </c>
      <c r="DF32" s="0" t="n">
        <v>0.03654651</v>
      </c>
      <c r="DG32" s="0" t="n">
        <v>-0.0016732</v>
      </c>
      <c r="DH32" s="0" t="n">
        <v>-0.00945758</v>
      </c>
      <c r="DI32" s="0" t="n">
        <v>0.03176876</v>
      </c>
      <c r="DJ32" s="0" t="n">
        <v>0.0430289</v>
      </c>
      <c r="DK32" s="0" t="n">
        <v>0.02894677</v>
      </c>
      <c r="DL32" s="0" t="n">
        <v>-0.01560626</v>
      </c>
      <c r="DM32" s="0" t="n">
        <v>0.04343951</v>
      </c>
      <c r="DN32" s="0" t="n">
        <v>0.03900001</v>
      </c>
      <c r="DO32" s="0" t="n">
        <v>-0.00257873</v>
      </c>
      <c r="DP32" s="0" t="n">
        <v>0.03933318</v>
      </c>
      <c r="DQ32" s="0" t="n">
        <v>-0.01759228</v>
      </c>
      <c r="DR32" s="0" t="n">
        <v>-0.00242759</v>
      </c>
      <c r="DS32" s="0" t="n">
        <v>0.04013352</v>
      </c>
      <c r="DT32" s="0" t="n">
        <v>-0.00571459</v>
      </c>
      <c r="DU32" s="0" t="n">
        <v>0.01930096</v>
      </c>
      <c r="DV32" s="0" t="n">
        <v>0.02581162</v>
      </c>
      <c r="DW32" s="0" t="n">
        <v>0.05085625</v>
      </c>
      <c r="DX32" s="0" t="n">
        <v>-0.01636109</v>
      </c>
      <c r="DY32" s="0" t="n">
        <v>0.05358078</v>
      </c>
      <c r="DZ32" s="0" t="n">
        <v>0.01371675</v>
      </c>
      <c r="EA32" s="0" t="n">
        <v>0.00482041</v>
      </c>
      <c r="EB32" s="0" t="n">
        <v>0.03859258</v>
      </c>
      <c r="EC32" s="0" t="n">
        <v>0.00252141</v>
      </c>
      <c r="ED32" s="0" t="n">
        <v>0.01526384</v>
      </c>
      <c r="EE32" s="0" t="n">
        <v>-0.01862735</v>
      </c>
      <c r="EF32" s="0" t="n">
        <v>0.01608978</v>
      </c>
      <c r="EG32" s="0" t="n">
        <v>-0.01203021</v>
      </c>
      <c r="EH32" s="0" t="n">
        <v>0.03994523</v>
      </c>
      <c r="EI32" s="0" t="n">
        <v>-0.02778092</v>
      </c>
      <c r="EJ32" s="0" t="n">
        <v>0.01817623</v>
      </c>
      <c r="EK32" s="0" t="n">
        <v>-0.00200389</v>
      </c>
      <c r="EL32" s="0" t="n">
        <v>-0.01374073</v>
      </c>
      <c r="EM32" s="0" t="n">
        <v>0.01426435</v>
      </c>
      <c r="EN32" s="0" t="n">
        <v>0.02397002</v>
      </c>
      <c r="EO32" s="0" t="n">
        <v>0.01788787</v>
      </c>
      <c r="EP32" s="55" t="n">
        <f aca="false">SUMPRODUCT(B32:EO32,$B$5:$EO$5)</f>
        <v>0.00118585</v>
      </c>
      <c r="EQ32" s="55" t="n">
        <f aca="false">SUMIF('Mi portafolio'!$A$8:$A$19,$A32,'Mi portafolio'!$B$8:$B$19)</f>
        <v>0</v>
      </c>
    </row>
    <row r="33" customFormat="false" ht="15" hidden="false" customHeight="false" outlineLevel="0" collapsed="false">
      <c r="A33" s="54" t="s">
        <v>178</v>
      </c>
      <c r="B33" s="0" t="n">
        <v>0.00140505</v>
      </c>
      <c r="C33" s="0" t="n">
        <v>0.00186414</v>
      </c>
      <c r="D33" s="0" t="n">
        <v>0.00372571</v>
      </c>
      <c r="E33" s="0" t="n">
        <v>0.01484684</v>
      </c>
      <c r="F33" s="0" t="n">
        <v>-0.00141898</v>
      </c>
      <c r="G33" s="0" t="n">
        <v>0.00784244</v>
      </c>
      <c r="H33" s="0" t="n">
        <v>0.01182163</v>
      </c>
      <c r="I33" s="0" t="n">
        <v>0.00137444</v>
      </c>
      <c r="J33" s="0" t="n">
        <v>-0.00764499</v>
      </c>
      <c r="K33" s="0" t="n">
        <v>0.00202663</v>
      </c>
      <c r="L33" s="0" t="n">
        <v>0.00610116</v>
      </c>
      <c r="M33" s="0" t="n">
        <v>0.00545008</v>
      </c>
      <c r="N33" s="0" t="n">
        <v>0.00157708</v>
      </c>
      <c r="O33" s="0" t="n">
        <v>0.01706793</v>
      </c>
      <c r="P33" s="0" t="n">
        <v>0.00058977</v>
      </c>
      <c r="Q33" s="0" t="n">
        <v>0.0007009</v>
      </c>
      <c r="R33" s="0" t="n">
        <v>0.00215899</v>
      </c>
      <c r="S33" s="0" t="n">
        <v>0.00598682</v>
      </c>
      <c r="T33" s="0" t="n">
        <v>0.00277424</v>
      </c>
      <c r="U33" s="0" t="n">
        <v>0.01364703</v>
      </c>
      <c r="V33" s="0" t="n">
        <v>0.01655059</v>
      </c>
      <c r="W33" s="0" t="n">
        <v>0.00784636</v>
      </c>
      <c r="X33" s="0" t="n">
        <v>0.00571809</v>
      </c>
      <c r="Y33" s="0" t="n">
        <v>0.00264062</v>
      </c>
      <c r="Z33" s="0" t="n">
        <v>0.01218565</v>
      </c>
      <c r="AA33" s="0" t="n">
        <v>0.00820074</v>
      </c>
      <c r="AB33" s="0" t="n">
        <v>0.00106831</v>
      </c>
      <c r="AC33" s="0" t="n">
        <v>0.05931772</v>
      </c>
      <c r="AD33" s="0" t="n">
        <v>0.011772</v>
      </c>
      <c r="AE33" s="0" t="n">
        <v>0.01139848</v>
      </c>
      <c r="AF33" s="0" t="n">
        <v>0.01019174</v>
      </c>
      <c r="AG33" s="0" t="n">
        <v>-0.00283874</v>
      </c>
      <c r="AH33" s="0" t="n">
        <v>-0.00396514</v>
      </c>
      <c r="AI33" s="0" t="n">
        <v>0.00421223</v>
      </c>
      <c r="AJ33" s="0" t="n">
        <v>0.00682912</v>
      </c>
      <c r="AK33" s="0" t="n">
        <v>0.01353776</v>
      </c>
      <c r="AL33" s="0" t="n">
        <v>-0.00447879</v>
      </c>
      <c r="AM33" s="0" t="n">
        <v>0.01034898</v>
      </c>
      <c r="AN33" s="0" t="n">
        <v>0.00041697</v>
      </c>
      <c r="AO33" s="0" t="n">
        <v>-0.00926677</v>
      </c>
      <c r="AP33" s="0" t="n">
        <v>0.00125596</v>
      </c>
      <c r="AQ33" s="0" t="n">
        <v>0.00482251</v>
      </c>
      <c r="AR33" s="0" t="n">
        <v>-0.00113504</v>
      </c>
      <c r="AS33" s="0" t="n">
        <v>0.00531133</v>
      </c>
      <c r="AT33" s="0" t="n">
        <v>0.00143103</v>
      </c>
      <c r="AU33" s="0" t="n">
        <v>-0.00239113</v>
      </c>
      <c r="AV33" s="0" t="n">
        <v>0.01778815</v>
      </c>
      <c r="AW33" s="0" t="n">
        <v>0.01483849</v>
      </c>
      <c r="AX33" s="0" t="n">
        <v>-0.00492073</v>
      </c>
      <c r="AY33" s="0" t="n">
        <v>-0.00121208</v>
      </c>
      <c r="AZ33" s="0" t="n">
        <v>0.00930869</v>
      </c>
      <c r="BA33" s="0" t="n">
        <v>0.00437206</v>
      </c>
      <c r="BB33" s="0" t="n">
        <v>0.00412549</v>
      </c>
      <c r="BC33" s="0" t="n">
        <v>0.01618459</v>
      </c>
      <c r="BD33" s="0" t="n">
        <v>0.01010397</v>
      </c>
      <c r="BE33" s="0" t="n">
        <v>-0.00035254</v>
      </c>
      <c r="BF33" s="0" t="n">
        <v>0.01327461</v>
      </c>
      <c r="BG33" s="0" t="n">
        <v>0.00089209</v>
      </c>
      <c r="BH33" s="0" t="n">
        <v>0.01953602</v>
      </c>
      <c r="BI33" s="0" t="n">
        <v>0.01394246</v>
      </c>
      <c r="BJ33" s="0" t="n">
        <v>0.00337635</v>
      </c>
      <c r="BK33" s="0" t="n">
        <v>0.01066373</v>
      </c>
      <c r="BL33" s="0" t="n">
        <v>-0.00052982</v>
      </c>
      <c r="BM33" s="0" t="n">
        <v>-0.00202906</v>
      </c>
      <c r="BN33" s="0" t="n">
        <v>-0.00182646</v>
      </c>
      <c r="BO33" s="0" t="n">
        <v>0.0032934</v>
      </c>
      <c r="BP33" s="0" t="n">
        <v>0.00606441</v>
      </c>
      <c r="BQ33" s="0" t="n">
        <v>0.00938766</v>
      </c>
      <c r="BR33" s="0" t="n">
        <v>-0.00557255</v>
      </c>
      <c r="BS33" s="0" t="n">
        <v>0.00058727</v>
      </c>
      <c r="BT33" s="0" t="n">
        <v>0.00896176</v>
      </c>
      <c r="BU33" s="0" t="n">
        <v>0.00656994</v>
      </c>
      <c r="BV33" s="0" t="n">
        <v>0.00082845</v>
      </c>
      <c r="BW33" s="0" t="n">
        <v>0.00091324</v>
      </c>
      <c r="BX33" s="0" t="n">
        <v>-0.00919364</v>
      </c>
      <c r="BY33" s="0" t="n">
        <v>0.00869865</v>
      </c>
      <c r="BZ33" s="0" t="n">
        <v>0.00296264</v>
      </c>
      <c r="CA33" s="0" t="n">
        <v>0.02484728</v>
      </c>
      <c r="CB33" s="0" t="n">
        <v>-0.00342812</v>
      </c>
      <c r="CC33" s="0" t="n">
        <v>-0.00726224</v>
      </c>
      <c r="CD33" s="0" t="n">
        <v>-0.00458751</v>
      </c>
      <c r="CE33" s="0" t="n">
        <v>0.00643798</v>
      </c>
      <c r="CF33" s="0" t="n">
        <v>-0.00435689</v>
      </c>
      <c r="CG33" s="0" t="n">
        <v>-0.00805221</v>
      </c>
      <c r="CH33" s="0" t="n">
        <v>0.01993175</v>
      </c>
      <c r="CI33" s="0" t="n">
        <v>-0.00022385</v>
      </c>
      <c r="CJ33" s="0" t="n">
        <v>0.00670883</v>
      </c>
      <c r="CK33" s="0" t="n">
        <v>-0.00334537</v>
      </c>
      <c r="CL33" s="0" t="n">
        <v>0.00414759</v>
      </c>
      <c r="CM33" s="0" t="n">
        <v>-0.00146002</v>
      </c>
      <c r="CN33" s="0" t="n">
        <v>0.01604498</v>
      </c>
      <c r="CO33" s="0" t="n">
        <v>-0.0049181</v>
      </c>
      <c r="CP33" s="0" t="n">
        <v>-0.00303765</v>
      </c>
      <c r="CQ33" s="0" t="n">
        <v>0.00471939</v>
      </c>
      <c r="CR33" s="0" t="n">
        <v>0.0060725</v>
      </c>
      <c r="CS33" s="0" t="n">
        <v>0.01051678</v>
      </c>
      <c r="CT33" s="0" t="n">
        <v>0.01352356</v>
      </c>
      <c r="CU33" s="0" t="n">
        <v>0.00275347</v>
      </c>
      <c r="CV33" s="0" t="n">
        <v>0.01132886</v>
      </c>
      <c r="CW33" s="0" t="n">
        <v>0.01081389</v>
      </c>
      <c r="CX33" s="0" t="n">
        <v>0.00486574</v>
      </c>
      <c r="CY33" s="0" t="n">
        <v>0.00870074</v>
      </c>
      <c r="CZ33" s="0" t="n">
        <v>-0.00522354</v>
      </c>
      <c r="DA33" s="0" t="n">
        <v>-0.01110153</v>
      </c>
      <c r="DB33" s="0" t="n">
        <v>0.0176417</v>
      </c>
      <c r="DC33" s="0" t="n">
        <v>0.0134607</v>
      </c>
      <c r="DD33" s="0" t="n">
        <v>0.00811902</v>
      </c>
      <c r="DE33" s="0" t="n">
        <v>0.00872394</v>
      </c>
      <c r="DF33" s="0" t="n">
        <v>-0.00342879</v>
      </c>
      <c r="DG33" s="0" t="n">
        <v>0.01453304</v>
      </c>
      <c r="DH33" s="0" t="n">
        <v>0.01219371</v>
      </c>
      <c r="DI33" s="0" t="n">
        <v>0.01453301</v>
      </c>
      <c r="DJ33" s="0" t="n">
        <v>-0.00082634</v>
      </c>
      <c r="DK33" s="0" t="n">
        <v>0.00441466</v>
      </c>
      <c r="DL33" s="0" t="n">
        <v>0.02702938</v>
      </c>
      <c r="DM33" s="0" t="n">
        <v>0.01364004</v>
      </c>
      <c r="DN33" s="0" t="n">
        <v>-0.00182691</v>
      </c>
      <c r="DO33" s="0" t="n">
        <v>0.01941815</v>
      </c>
      <c r="DP33" s="0" t="n">
        <v>0.00646835</v>
      </c>
      <c r="DQ33" s="0" t="n">
        <v>0.01035469</v>
      </c>
      <c r="DR33" s="0" t="n">
        <v>0.00850185</v>
      </c>
      <c r="DS33" s="0" t="n">
        <v>-0.01013772</v>
      </c>
      <c r="DT33" s="0" t="n">
        <v>0.01718974</v>
      </c>
      <c r="DU33" s="0" t="n">
        <v>0.01578893</v>
      </c>
      <c r="DV33" s="0" t="n">
        <v>0.00774477</v>
      </c>
      <c r="DW33" s="0" t="n">
        <v>-0.00634548</v>
      </c>
      <c r="DX33" s="0" t="n">
        <v>0.00657809</v>
      </c>
      <c r="DY33" s="0" t="n">
        <v>0.00058694</v>
      </c>
      <c r="DZ33" s="0" t="n">
        <v>-0.01106177</v>
      </c>
      <c r="EA33" s="0" t="n">
        <v>-0.01001694</v>
      </c>
      <c r="EB33" s="0" t="n">
        <v>0.00590923</v>
      </c>
      <c r="EC33" s="0" t="n">
        <v>0.02334425</v>
      </c>
      <c r="ED33" s="0" t="n">
        <v>0.00946206</v>
      </c>
      <c r="EE33" s="0" t="n">
        <v>0.01882331</v>
      </c>
      <c r="EF33" s="0" t="n">
        <v>-0.00544582</v>
      </c>
      <c r="EG33" s="0" t="n">
        <v>0.00340642</v>
      </c>
      <c r="EH33" s="0" t="n">
        <v>-0.01948956</v>
      </c>
      <c r="EI33" s="0" t="n">
        <v>0.00430975</v>
      </c>
      <c r="EJ33" s="0" t="n">
        <v>0.0201001</v>
      </c>
      <c r="EK33" s="0" t="n">
        <v>0.02982845</v>
      </c>
      <c r="EL33" s="0" t="n">
        <v>0.02667435</v>
      </c>
      <c r="EM33" s="0" t="n">
        <v>-0.00222096</v>
      </c>
      <c r="EN33" s="0" t="n">
        <v>0.0081668</v>
      </c>
      <c r="EO33" s="0" t="n">
        <v>0.00909789</v>
      </c>
      <c r="EP33" s="55" t="n">
        <f aca="false">SUMPRODUCT(B33:EO33,$B$5:$EO$5)</f>
        <v>0.012489644</v>
      </c>
      <c r="EQ33" s="55" t="n">
        <f aca="false">SUMIF('Mi portafolio'!$A$8:$A$19,$A33,'Mi portafolio'!$B$8:$B$19)</f>
        <v>0</v>
      </c>
    </row>
    <row r="34" customFormat="false" ht="15" hidden="false" customHeight="false" outlineLevel="0" collapsed="false">
      <c r="A34" s="54" t="s">
        <v>179</v>
      </c>
      <c r="B34" s="0" t="n">
        <v>0.0025251</v>
      </c>
      <c r="C34" s="0" t="n">
        <v>0.00840785</v>
      </c>
      <c r="D34" s="0" t="n">
        <v>0.00086387</v>
      </c>
      <c r="E34" s="0" t="n">
        <v>0.0117208</v>
      </c>
      <c r="F34" s="0" t="n">
        <v>0.00671765</v>
      </c>
      <c r="G34" s="0" t="n">
        <v>0.0019474</v>
      </c>
      <c r="H34" s="0" t="n">
        <v>0.01093609</v>
      </c>
      <c r="I34" s="0" t="n">
        <v>0.00358947</v>
      </c>
      <c r="J34" s="0" t="n">
        <v>0.00594008</v>
      </c>
      <c r="K34" s="0" t="n">
        <v>0.00740029</v>
      </c>
      <c r="L34" s="0" t="n">
        <v>0.01112977</v>
      </c>
      <c r="M34" s="0" t="n">
        <v>0.00886763</v>
      </c>
      <c r="N34" s="0" t="n">
        <v>0.00096022</v>
      </c>
      <c r="O34" s="0" t="n">
        <v>0.01574224</v>
      </c>
      <c r="P34" s="0" t="n">
        <v>0.00591723</v>
      </c>
      <c r="Q34" s="0" t="n">
        <v>0.00167912</v>
      </c>
      <c r="R34" s="0" t="n">
        <v>0.00377207</v>
      </c>
      <c r="S34" s="0" t="n">
        <v>0.01527879</v>
      </c>
      <c r="T34" s="0" t="n">
        <v>-0.00246945</v>
      </c>
      <c r="U34" s="0" t="n">
        <v>0.01521144</v>
      </c>
      <c r="V34" s="0" t="n">
        <v>0.01554362</v>
      </c>
      <c r="W34" s="0" t="n">
        <v>0.02030847</v>
      </c>
      <c r="X34" s="0" t="n">
        <v>0.00173695</v>
      </c>
      <c r="Y34" s="0" t="n">
        <v>0.00111819</v>
      </c>
      <c r="Z34" s="0" t="n">
        <v>0.01586426</v>
      </c>
      <c r="AA34" s="0" t="n">
        <v>0.0114588</v>
      </c>
      <c r="AB34" s="0" t="n">
        <v>-0.00198351</v>
      </c>
      <c r="AC34" s="0" t="n">
        <v>0.011772</v>
      </c>
      <c r="AD34" s="0" t="n">
        <v>0.05965724</v>
      </c>
      <c r="AE34" s="0" t="n">
        <v>0.01745939</v>
      </c>
      <c r="AF34" s="0" t="n">
        <v>0.0191174</v>
      </c>
      <c r="AG34" s="0" t="n">
        <v>0.00801672</v>
      </c>
      <c r="AH34" s="0" t="n">
        <v>0.00473612</v>
      </c>
      <c r="AI34" s="0" t="n">
        <v>0.00197583</v>
      </c>
      <c r="AJ34" s="0" t="n">
        <v>0.00979073</v>
      </c>
      <c r="AK34" s="0" t="n">
        <v>0.01848217</v>
      </c>
      <c r="AL34" s="0" t="n">
        <v>0.00296703</v>
      </c>
      <c r="AM34" s="0" t="n">
        <v>0.00858786</v>
      </c>
      <c r="AN34" s="0" t="n">
        <v>0.00428966</v>
      </c>
      <c r="AO34" s="0" t="n">
        <v>0.00066141</v>
      </c>
      <c r="AP34" s="0" t="n">
        <v>-0.00250006</v>
      </c>
      <c r="AQ34" s="0" t="n">
        <v>0.00325255</v>
      </c>
      <c r="AR34" s="0" t="n">
        <v>-0.00171051</v>
      </c>
      <c r="AS34" s="0" t="n">
        <v>0.0108278</v>
      </c>
      <c r="AT34" s="0" t="n">
        <v>-0.00415776</v>
      </c>
      <c r="AU34" s="0" t="n">
        <v>0.00341429</v>
      </c>
      <c r="AV34" s="0" t="n">
        <v>0.0183734</v>
      </c>
      <c r="AW34" s="0" t="n">
        <v>0.02276471</v>
      </c>
      <c r="AX34" s="0" t="n">
        <v>0.00249125</v>
      </c>
      <c r="AY34" s="0" t="n">
        <v>0.00606538</v>
      </c>
      <c r="AZ34" s="0" t="n">
        <v>0.01236478</v>
      </c>
      <c r="BA34" s="0" t="n">
        <v>0.01333077</v>
      </c>
      <c r="BB34" s="0" t="n">
        <v>-4.751E-005</v>
      </c>
      <c r="BC34" s="0" t="n">
        <v>0.01714863</v>
      </c>
      <c r="BD34" s="0" t="n">
        <v>0.02029922</v>
      </c>
      <c r="BE34" s="0" t="n">
        <v>0.00918597</v>
      </c>
      <c r="BF34" s="0" t="n">
        <v>0.01508535</v>
      </c>
      <c r="BG34" s="0" t="n">
        <v>-0.00057254</v>
      </c>
      <c r="BH34" s="0" t="n">
        <v>0.01510972</v>
      </c>
      <c r="BI34" s="0" t="n">
        <v>0.00176343</v>
      </c>
      <c r="BJ34" s="0" t="n">
        <v>0.00288433</v>
      </c>
      <c r="BK34" s="0" t="n">
        <v>0.01654496</v>
      </c>
      <c r="BL34" s="0" t="n">
        <v>0.0130637</v>
      </c>
      <c r="BM34" s="0" t="n">
        <v>0.00176542</v>
      </c>
      <c r="BN34" s="0" t="n">
        <v>0.00827653</v>
      </c>
      <c r="BO34" s="0" t="n">
        <v>0.00577286</v>
      </c>
      <c r="BP34" s="0" t="n">
        <v>-0.00550995</v>
      </c>
      <c r="BQ34" s="0" t="n">
        <v>0.02652715</v>
      </c>
      <c r="BR34" s="0" t="n">
        <v>0.00286935</v>
      </c>
      <c r="BS34" s="0" t="n">
        <v>0.00563965</v>
      </c>
      <c r="BT34" s="0" t="n">
        <v>0.01441166</v>
      </c>
      <c r="BU34" s="0" t="n">
        <v>0.01721579</v>
      </c>
      <c r="BV34" s="0" t="n">
        <v>0.00950603</v>
      </c>
      <c r="BW34" s="0" t="n">
        <v>0.00472899</v>
      </c>
      <c r="BX34" s="0" t="n">
        <v>0.0025047</v>
      </c>
      <c r="BY34" s="0" t="n">
        <v>0.00672164</v>
      </c>
      <c r="BZ34" s="0" t="n">
        <v>0.00844853</v>
      </c>
      <c r="CA34" s="0" t="n">
        <v>0.0279043</v>
      </c>
      <c r="CB34" s="0" t="n">
        <v>-0.00644294</v>
      </c>
      <c r="CC34" s="0" t="n">
        <v>0.00092301</v>
      </c>
      <c r="CD34" s="0" t="n">
        <v>-0.00361663</v>
      </c>
      <c r="CE34" s="0" t="n">
        <v>0.00609815</v>
      </c>
      <c r="CF34" s="0" t="n">
        <v>0.0077414</v>
      </c>
      <c r="CG34" s="0" t="n">
        <v>-0.00668652</v>
      </c>
      <c r="CH34" s="0" t="n">
        <v>0.02289059</v>
      </c>
      <c r="CI34" s="0" t="n">
        <v>0.00042754</v>
      </c>
      <c r="CJ34" s="0" t="n">
        <v>0.00518666</v>
      </c>
      <c r="CK34" s="0" t="n">
        <v>0.00329469</v>
      </c>
      <c r="CL34" s="0" t="n">
        <v>0.00894791</v>
      </c>
      <c r="CM34" s="0" t="n">
        <v>-7.648E-005</v>
      </c>
      <c r="CN34" s="0" t="n">
        <v>0.01471407</v>
      </c>
      <c r="CO34" s="0" t="n">
        <v>0.01263519</v>
      </c>
      <c r="CP34" s="0" t="n">
        <v>-0.00463824</v>
      </c>
      <c r="CQ34" s="0" t="n">
        <v>0.00552014</v>
      </c>
      <c r="CR34" s="0" t="n">
        <v>0.01624463</v>
      </c>
      <c r="CS34" s="0" t="n">
        <v>0.02041552</v>
      </c>
      <c r="CT34" s="0" t="n">
        <v>0.01013178</v>
      </c>
      <c r="CU34" s="0" t="n">
        <v>0.00564309</v>
      </c>
      <c r="CV34" s="0" t="n">
        <v>0.00438356</v>
      </c>
      <c r="CW34" s="0" t="n">
        <v>0.01215086</v>
      </c>
      <c r="CX34" s="0" t="n">
        <v>0.01440114</v>
      </c>
      <c r="CY34" s="0" t="n">
        <v>0.00960657</v>
      </c>
      <c r="CZ34" s="0" t="n">
        <v>-0.0054499</v>
      </c>
      <c r="DA34" s="0" t="n">
        <v>-0.00232259</v>
      </c>
      <c r="DB34" s="0" t="n">
        <v>0.01355614</v>
      </c>
      <c r="DC34" s="0" t="n">
        <v>0.00567069</v>
      </c>
      <c r="DD34" s="0" t="n">
        <v>0.00410226</v>
      </c>
      <c r="DE34" s="0" t="n">
        <v>0.01976092</v>
      </c>
      <c r="DF34" s="0" t="n">
        <v>-0.02371306</v>
      </c>
      <c r="DG34" s="0" t="n">
        <v>0.01322698</v>
      </c>
      <c r="DH34" s="0" t="n">
        <v>0.01377539</v>
      </c>
      <c r="DI34" s="0" t="n">
        <v>0.00746353</v>
      </c>
      <c r="DJ34" s="0" t="n">
        <v>0.00652001</v>
      </c>
      <c r="DK34" s="0" t="n">
        <v>0.0104918</v>
      </c>
      <c r="DL34" s="0" t="n">
        <v>0.01469859</v>
      </c>
      <c r="DM34" s="0" t="n">
        <v>0.01511087</v>
      </c>
      <c r="DN34" s="0" t="n">
        <v>-0.0138767</v>
      </c>
      <c r="DO34" s="0" t="n">
        <v>0.01512549</v>
      </c>
      <c r="DP34" s="0" t="n">
        <v>0.00636647</v>
      </c>
      <c r="DQ34" s="0" t="n">
        <v>0.01727649</v>
      </c>
      <c r="DR34" s="0" t="n">
        <v>0.01016411</v>
      </c>
      <c r="DS34" s="0" t="n">
        <v>-0.00964514</v>
      </c>
      <c r="DT34" s="0" t="n">
        <v>-0.01542967</v>
      </c>
      <c r="DU34" s="0" t="n">
        <v>0.01202599</v>
      </c>
      <c r="DV34" s="0" t="n">
        <v>-0.00757233</v>
      </c>
      <c r="DW34" s="0" t="n">
        <v>-0.01678672</v>
      </c>
      <c r="DX34" s="0" t="n">
        <v>0.02431689</v>
      </c>
      <c r="DY34" s="0" t="n">
        <v>0.00644618</v>
      </c>
      <c r="DZ34" s="0" t="n">
        <v>-0.00586418</v>
      </c>
      <c r="EA34" s="0" t="n">
        <v>0.01591471</v>
      </c>
      <c r="EB34" s="0" t="n">
        <v>-0.00016083</v>
      </c>
      <c r="EC34" s="0" t="n">
        <v>0.00716054</v>
      </c>
      <c r="ED34" s="0" t="n">
        <v>0.00961894</v>
      </c>
      <c r="EE34" s="0" t="n">
        <v>0.02972162</v>
      </c>
      <c r="EF34" s="0" t="n">
        <v>0.01356182</v>
      </c>
      <c r="EG34" s="0" t="n">
        <v>0.03712533</v>
      </c>
      <c r="EH34" s="0" t="n">
        <v>-0.01524344</v>
      </c>
      <c r="EI34" s="0" t="n">
        <v>0.02263014</v>
      </c>
      <c r="EJ34" s="0" t="n">
        <v>0.02742037</v>
      </c>
      <c r="EK34" s="0" t="n">
        <v>0.02355741</v>
      </c>
      <c r="EL34" s="0" t="n">
        <v>0.03459695</v>
      </c>
      <c r="EM34" s="0" t="n">
        <v>0.01640183</v>
      </c>
      <c r="EN34" s="0" t="n">
        <v>0.012883</v>
      </c>
      <c r="EO34" s="0" t="n">
        <v>-0.01401747</v>
      </c>
      <c r="EP34" s="55" t="n">
        <f aca="false">SUMPRODUCT(B34:EO34,$B$5:$EO$5)</f>
        <v>0.016504426</v>
      </c>
      <c r="EQ34" s="55" t="n">
        <f aca="false">SUMIF('Mi portafolio'!$A$8:$A$19,$A34,'Mi portafolio'!$B$8:$B$19)</f>
        <v>0</v>
      </c>
    </row>
    <row r="35" customFormat="false" ht="15" hidden="false" customHeight="false" outlineLevel="0" collapsed="false">
      <c r="A35" s="54" t="s">
        <v>180</v>
      </c>
      <c r="B35" s="0" t="n">
        <v>2.188E-005</v>
      </c>
      <c r="C35" s="0" t="n">
        <v>0.00869148</v>
      </c>
      <c r="D35" s="0" t="n">
        <v>0.00900713</v>
      </c>
      <c r="E35" s="0" t="n">
        <v>0.00932528</v>
      </c>
      <c r="F35" s="0" t="n">
        <v>-0.0036952</v>
      </c>
      <c r="G35" s="0" t="n">
        <v>0.01111195</v>
      </c>
      <c r="H35" s="0" t="n">
        <v>0.0109847</v>
      </c>
      <c r="I35" s="0" t="n">
        <v>0.00247061</v>
      </c>
      <c r="J35" s="0" t="n">
        <v>-0.0046543</v>
      </c>
      <c r="K35" s="0" t="n">
        <v>0.0021812</v>
      </c>
      <c r="L35" s="0" t="n">
        <v>0.01276506</v>
      </c>
      <c r="M35" s="0" t="n">
        <v>0.01306234</v>
      </c>
      <c r="N35" s="0" t="n">
        <v>1.671E-005</v>
      </c>
      <c r="O35" s="0" t="n">
        <v>0.01769983</v>
      </c>
      <c r="P35" s="0" t="n">
        <v>0.00145693</v>
      </c>
      <c r="Q35" s="0" t="n">
        <v>0.00398143</v>
      </c>
      <c r="R35" s="0" t="n">
        <v>0.0011453</v>
      </c>
      <c r="S35" s="0" t="n">
        <v>0.01307177</v>
      </c>
      <c r="T35" s="0" t="n">
        <v>0.00921686</v>
      </c>
      <c r="U35" s="0" t="n">
        <v>0.01889483</v>
      </c>
      <c r="V35" s="0" t="n">
        <v>0.01489888</v>
      </c>
      <c r="W35" s="0" t="n">
        <v>0.0085275</v>
      </c>
      <c r="X35" s="0" t="n">
        <v>0.00845025</v>
      </c>
      <c r="Y35" s="0" t="n">
        <v>0.00843801</v>
      </c>
      <c r="Z35" s="0" t="n">
        <v>0.01869894</v>
      </c>
      <c r="AA35" s="0" t="n">
        <v>0.01704773</v>
      </c>
      <c r="AB35" s="0" t="n">
        <v>0.00619459</v>
      </c>
      <c r="AC35" s="0" t="n">
        <v>0.01139848</v>
      </c>
      <c r="AD35" s="0" t="n">
        <v>0.01745939</v>
      </c>
      <c r="AE35" s="0" t="n">
        <v>0.0620318</v>
      </c>
      <c r="AF35" s="0" t="n">
        <v>0.02810591</v>
      </c>
      <c r="AG35" s="0" t="n">
        <v>-0.00522958</v>
      </c>
      <c r="AH35" s="0" t="n">
        <v>-0.00352167</v>
      </c>
      <c r="AI35" s="0" t="n">
        <v>-0.01821592</v>
      </c>
      <c r="AJ35" s="0" t="n">
        <v>0.01511253</v>
      </c>
      <c r="AK35" s="0" t="n">
        <v>0.02454775</v>
      </c>
      <c r="AL35" s="0" t="n">
        <v>0.00709234</v>
      </c>
      <c r="AM35" s="0" t="n">
        <v>0.01624081</v>
      </c>
      <c r="AN35" s="0" t="n">
        <v>0.01472842</v>
      </c>
      <c r="AO35" s="0" t="n">
        <v>-0.0022</v>
      </c>
      <c r="AP35" s="0" t="n">
        <v>0.00552196</v>
      </c>
      <c r="AQ35" s="0" t="n">
        <v>-0.01657861</v>
      </c>
      <c r="AR35" s="0" t="n">
        <v>0.01043976</v>
      </c>
      <c r="AS35" s="0" t="n">
        <v>0.02538055</v>
      </c>
      <c r="AT35" s="0" t="n">
        <v>0.01507971</v>
      </c>
      <c r="AU35" s="0" t="n">
        <v>-0.00247392</v>
      </c>
      <c r="AV35" s="0" t="n">
        <v>0.02249318</v>
      </c>
      <c r="AW35" s="0" t="n">
        <v>0.021717</v>
      </c>
      <c r="AX35" s="0" t="n">
        <v>0.00398078</v>
      </c>
      <c r="AY35" s="0" t="n">
        <v>0.00568232</v>
      </c>
      <c r="AZ35" s="0" t="n">
        <v>0.04798193</v>
      </c>
      <c r="BA35" s="0" t="n">
        <v>0.01605032</v>
      </c>
      <c r="BB35" s="0" t="n">
        <v>0.01904686</v>
      </c>
      <c r="BC35" s="0" t="n">
        <v>0.01563954</v>
      </c>
      <c r="BD35" s="0" t="n">
        <v>0.03086974</v>
      </c>
      <c r="BE35" s="0" t="n">
        <v>0.00380364</v>
      </c>
      <c r="BF35" s="0" t="n">
        <v>0.02406052</v>
      </c>
      <c r="BG35" s="0" t="n">
        <v>0.00898105</v>
      </c>
      <c r="BH35" s="0" t="n">
        <v>0.01902526</v>
      </c>
      <c r="BI35" s="0" t="n">
        <v>0.01047322</v>
      </c>
      <c r="BJ35" s="0" t="n">
        <v>0.00647157</v>
      </c>
      <c r="BK35" s="0" t="n">
        <v>0.05332012</v>
      </c>
      <c r="BL35" s="0" t="n">
        <v>0.01229602</v>
      </c>
      <c r="BM35" s="0" t="n">
        <v>0.00260543</v>
      </c>
      <c r="BN35" s="0" t="n">
        <v>-0.00408423</v>
      </c>
      <c r="BO35" s="0" t="n">
        <v>0.01173044</v>
      </c>
      <c r="BP35" s="0" t="n">
        <v>0.0034212</v>
      </c>
      <c r="BQ35" s="0" t="n">
        <v>0.02850271</v>
      </c>
      <c r="BR35" s="0" t="n">
        <v>0.01307944</v>
      </c>
      <c r="BS35" s="0" t="n">
        <v>-0.01931233</v>
      </c>
      <c r="BT35" s="0" t="n">
        <v>0.02492337</v>
      </c>
      <c r="BU35" s="0" t="n">
        <v>0.02342158</v>
      </c>
      <c r="BV35" s="0" t="n">
        <v>0.00955499</v>
      </c>
      <c r="BW35" s="0" t="n">
        <v>0.01249</v>
      </c>
      <c r="BX35" s="0" t="n">
        <v>-0.00295182</v>
      </c>
      <c r="BY35" s="0" t="n">
        <v>0.01593325</v>
      </c>
      <c r="BZ35" s="0" t="n">
        <v>0.01388297</v>
      </c>
      <c r="CA35" s="0" t="n">
        <v>0.02535797</v>
      </c>
      <c r="CB35" s="0" t="n">
        <v>-0.00639683</v>
      </c>
      <c r="CC35" s="0" t="n">
        <v>-0.00348573</v>
      </c>
      <c r="CD35" s="0" t="n">
        <v>0.00981716</v>
      </c>
      <c r="CE35" s="0" t="n">
        <v>0.01306183</v>
      </c>
      <c r="CF35" s="0" t="n">
        <v>-0.01973101</v>
      </c>
      <c r="CG35" s="0" t="n">
        <v>0.01145507</v>
      </c>
      <c r="CH35" s="0" t="n">
        <v>0.03402406</v>
      </c>
      <c r="CI35" s="0" t="n">
        <v>-0.02313527</v>
      </c>
      <c r="CJ35" s="0" t="n">
        <v>-0.00086874</v>
      </c>
      <c r="CK35" s="0" t="n">
        <v>0.00450311</v>
      </c>
      <c r="CL35" s="0" t="n">
        <v>0.01054624</v>
      </c>
      <c r="CM35" s="0" t="n">
        <v>0.01053367</v>
      </c>
      <c r="CN35" s="0" t="n">
        <v>0.01306485</v>
      </c>
      <c r="CO35" s="0" t="n">
        <v>0.01174387</v>
      </c>
      <c r="CP35" s="0" t="n">
        <v>-0.00157549</v>
      </c>
      <c r="CQ35" s="0" t="n">
        <v>0.02264734</v>
      </c>
      <c r="CR35" s="0" t="n">
        <v>0.02193988</v>
      </c>
      <c r="CS35" s="0" t="n">
        <v>0.02570329</v>
      </c>
      <c r="CT35" s="0" t="n">
        <v>0.01104258</v>
      </c>
      <c r="CU35" s="0" t="n">
        <v>0.01357166</v>
      </c>
      <c r="CV35" s="0" t="n">
        <v>0.01421608</v>
      </c>
      <c r="CW35" s="0" t="n">
        <v>0.01545696</v>
      </c>
      <c r="CX35" s="0" t="n">
        <v>0.0221693</v>
      </c>
      <c r="CY35" s="0" t="n">
        <v>0.02942467</v>
      </c>
      <c r="CZ35" s="0" t="n">
        <v>0.00324006</v>
      </c>
      <c r="DA35" s="0" t="n">
        <v>0.00074811</v>
      </c>
      <c r="DB35" s="0" t="n">
        <v>0.01489198</v>
      </c>
      <c r="DC35" s="0" t="n">
        <v>0.04920199</v>
      </c>
      <c r="DD35" s="0" t="n">
        <v>0.02205212</v>
      </c>
      <c r="DE35" s="0" t="n">
        <v>0.0354483</v>
      </c>
      <c r="DF35" s="0" t="n">
        <v>-0.01616377</v>
      </c>
      <c r="DG35" s="0" t="n">
        <v>0.0266879</v>
      </c>
      <c r="DH35" s="0" t="n">
        <v>0.01934891</v>
      </c>
      <c r="DI35" s="0" t="n">
        <v>0.02917311</v>
      </c>
      <c r="DJ35" s="0" t="n">
        <v>0.02178486</v>
      </c>
      <c r="DK35" s="0" t="n">
        <v>0.03316295</v>
      </c>
      <c r="DL35" s="0" t="n">
        <v>0.0367903</v>
      </c>
      <c r="DM35" s="0" t="n">
        <v>0.03864533</v>
      </c>
      <c r="DN35" s="0" t="n">
        <v>-0.00876091</v>
      </c>
      <c r="DO35" s="0" t="n">
        <v>0.01966413</v>
      </c>
      <c r="DP35" s="0" t="n">
        <v>0.02996752</v>
      </c>
      <c r="DQ35" s="0" t="n">
        <v>0.01565545</v>
      </c>
      <c r="DR35" s="0" t="n">
        <v>0.00618629</v>
      </c>
      <c r="DS35" s="0" t="n">
        <v>-0.00413978</v>
      </c>
      <c r="DT35" s="0" t="n">
        <v>0.0060303</v>
      </c>
      <c r="DU35" s="0" t="n">
        <v>0.02263371</v>
      </c>
      <c r="DV35" s="0" t="n">
        <v>0.00021707</v>
      </c>
      <c r="DW35" s="0" t="n">
        <v>0.00911383</v>
      </c>
      <c r="DX35" s="0" t="n">
        <v>0.03489605</v>
      </c>
      <c r="DY35" s="0" t="n">
        <v>0.02455278</v>
      </c>
      <c r="DZ35" s="0" t="n">
        <v>-0.00505538</v>
      </c>
      <c r="EA35" s="0" t="n">
        <v>0.02535736</v>
      </c>
      <c r="EB35" s="0" t="n">
        <v>0.02293098</v>
      </c>
      <c r="EC35" s="0" t="n">
        <v>0.02121983</v>
      </c>
      <c r="ED35" s="0" t="n">
        <v>0.04147151</v>
      </c>
      <c r="EE35" s="0" t="n">
        <v>0.03012913</v>
      </c>
      <c r="EF35" s="0" t="n">
        <v>0.01705503</v>
      </c>
      <c r="EG35" s="0" t="n">
        <v>0.02601776</v>
      </c>
      <c r="EH35" s="0" t="n">
        <v>-0.01294044</v>
      </c>
      <c r="EI35" s="0" t="n">
        <v>0.03531663</v>
      </c>
      <c r="EJ35" s="0" t="n">
        <v>0.04919902</v>
      </c>
      <c r="EK35" s="0" t="n">
        <v>0.02251795</v>
      </c>
      <c r="EL35" s="0" t="n">
        <v>0.04157183</v>
      </c>
      <c r="EM35" s="0" t="n">
        <v>-0.01550345</v>
      </c>
      <c r="EN35" s="0" t="n">
        <v>0.0228172</v>
      </c>
      <c r="EO35" s="0" t="n">
        <v>0.0214593</v>
      </c>
      <c r="EP35" s="55" t="n">
        <f aca="false">SUMPRODUCT(B35:EO35,$B$5:$EO$5)</f>
        <v>0.02169962</v>
      </c>
      <c r="EQ35" s="55" t="n">
        <f aca="false">SUMIF('Mi portafolio'!$A$8:$A$19,$A35,'Mi portafolio'!$B$8:$B$19)</f>
        <v>0</v>
      </c>
    </row>
    <row r="36" customFormat="false" ht="15" hidden="false" customHeight="false" outlineLevel="0" collapsed="false">
      <c r="A36" s="54" t="s">
        <v>181</v>
      </c>
      <c r="B36" s="0" t="n">
        <v>-0.00606462</v>
      </c>
      <c r="C36" s="0" t="n">
        <v>0.01049109</v>
      </c>
      <c r="D36" s="0" t="n">
        <v>0.00863475</v>
      </c>
      <c r="E36" s="0" t="n">
        <v>0.01705141</v>
      </c>
      <c r="F36" s="0" t="n">
        <v>-0.00508529</v>
      </c>
      <c r="G36" s="0" t="n">
        <v>0.0101251</v>
      </c>
      <c r="H36" s="0" t="n">
        <v>0.01356655</v>
      </c>
      <c r="I36" s="0" t="n">
        <v>-0.00070628</v>
      </c>
      <c r="J36" s="0" t="n">
        <v>-0.00045646</v>
      </c>
      <c r="K36" s="0" t="n">
        <v>-0.00338277</v>
      </c>
      <c r="L36" s="0" t="n">
        <v>0.0153432</v>
      </c>
      <c r="M36" s="0" t="n">
        <v>0.00682845</v>
      </c>
      <c r="N36" s="0" t="n">
        <v>-0.00029141</v>
      </c>
      <c r="O36" s="0" t="n">
        <v>0.02508361</v>
      </c>
      <c r="P36" s="0" t="n">
        <v>0.00034954</v>
      </c>
      <c r="Q36" s="0" t="n">
        <v>0.00257139</v>
      </c>
      <c r="R36" s="0" t="n">
        <v>-0.00155542</v>
      </c>
      <c r="S36" s="0" t="n">
        <v>0.01700623</v>
      </c>
      <c r="T36" s="0" t="n">
        <v>0.00460311</v>
      </c>
      <c r="U36" s="0" t="n">
        <v>0.02417019</v>
      </c>
      <c r="V36" s="0" t="n">
        <v>0.02473732</v>
      </c>
      <c r="W36" s="0" t="n">
        <v>0.01929815</v>
      </c>
      <c r="X36" s="0" t="n">
        <v>0.00889924</v>
      </c>
      <c r="Y36" s="0" t="n">
        <v>-0.00137388</v>
      </c>
      <c r="Z36" s="0" t="n">
        <v>0.01777879</v>
      </c>
      <c r="AA36" s="0" t="n">
        <v>0.01906732</v>
      </c>
      <c r="AB36" s="0" t="n">
        <v>-0.00384326</v>
      </c>
      <c r="AC36" s="0" t="n">
        <v>0.01019174</v>
      </c>
      <c r="AD36" s="0" t="n">
        <v>0.0191174</v>
      </c>
      <c r="AE36" s="0" t="n">
        <v>0.02810591</v>
      </c>
      <c r="AF36" s="0" t="n">
        <v>0.06533929</v>
      </c>
      <c r="AG36" s="0" t="n">
        <v>-0.00381784</v>
      </c>
      <c r="AH36" s="0" t="n">
        <v>-0.00326844</v>
      </c>
      <c r="AI36" s="0" t="n">
        <v>-0.01065376</v>
      </c>
      <c r="AJ36" s="0" t="n">
        <v>0.01609076</v>
      </c>
      <c r="AK36" s="0" t="n">
        <v>0.03257099</v>
      </c>
      <c r="AL36" s="0" t="n">
        <v>0.0014022</v>
      </c>
      <c r="AM36" s="0" t="n">
        <v>0.01933089</v>
      </c>
      <c r="AN36" s="0" t="n">
        <v>-0.00019073</v>
      </c>
      <c r="AO36" s="0" t="n">
        <v>-0.00346875</v>
      </c>
      <c r="AP36" s="0" t="n">
        <v>0.00280257</v>
      </c>
      <c r="AQ36" s="0" t="n">
        <v>-0.00576379</v>
      </c>
      <c r="AR36" s="0" t="n">
        <v>0.00599945</v>
      </c>
      <c r="AS36" s="0" t="n">
        <v>0.02932547</v>
      </c>
      <c r="AT36" s="0" t="n">
        <v>0.00072457</v>
      </c>
      <c r="AU36" s="0" t="n">
        <v>8.653E-005</v>
      </c>
      <c r="AV36" s="0" t="n">
        <v>0.02304343</v>
      </c>
      <c r="AW36" s="0" t="n">
        <v>0.02405465</v>
      </c>
      <c r="AX36" s="0" t="n">
        <v>-4.381E-005</v>
      </c>
      <c r="AY36" s="0" t="n">
        <v>0.00272937</v>
      </c>
      <c r="AZ36" s="0" t="n">
        <v>0.03122408</v>
      </c>
      <c r="BA36" s="0" t="n">
        <v>0.00538848</v>
      </c>
      <c r="BB36" s="0" t="n">
        <v>0.01214585</v>
      </c>
      <c r="BC36" s="0" t="n">
        <v>0.01773723</v>
      </c>
      <c r="BD36" s="0" t="n">
        <v>0.02681149</v>
      </c>
      <c r="BE36" s="0" t="n">
        <v>0.00395675</v>
      </c>
      <c r="BF36" s="0" t="n">
        <v>0.02277853</v>
      </c>
      <c r="BG36" s="0" t="n">
        <v>0.00033697</v>
      </c>
      <c r="BH36" s="0" t="n">
        <v>0.01863631</v>
      </c>
      <c r="BI36" s="0" t="n">
        <v>0.01621241</v>
      </c>
      <c r="BJ36" s="0" t="n">
        <v>0.01130475</v>
      </c>
      <c r="BK36" s="0" t="n">
        <v>0.03420751</v>
      </c>
      <c r="BL36" s="0" t="n">
        <v>0.01048733</v>
      </c>
      <c r="BM36" s="0" t="n">
        <v>0.00071886</v>
      </c>
      <c r="BN36" s="0" t="n">
        <v>0.00102881</v>
      </c>
      <c r="BO36" s="0" t="n">
        <v>0.00560397</v>
      </c>
      <c r="BP36" s="0" t="n">
        <v>0.00311602</v>
      </c>
      <c r="BQ36" s="0" t="n">
        <v>0.03536481</v>
      </c>
      <c r="BR36" s="0" t="n">
        <v>0.00976318</v>
      </c>
      <c r="BS36" s="0" t="n">
        <v>-0.00908403</v>
      </c>
      <c r="BT36" s="0" t="n">
        <v>0.01623867</v>
      </c>
      <c r="BU36" s="0" t="n">
        <v>0.02295162</v>
      </c>
      <c r="BV36" s="0" t="n">
        <v>0.00177691</v>
      </c>
      <c r="BW36" s="0" t="n">
        <v>0.01498527</v>
      </c>
      <c r="BX36" s="0" t="n">
        <v>-0.0038244</v>
      </c>
      <c r="BY36" s="0" t="n">
        <v>0.00193961</v>
      </c>
      <c r="BZ36" s="0" t="n">
        <v>0.00972453</v>
      </c>
      <c r="CA36" s="0" t="n">
        <v>0.03544583</v>
      </c>
      <c r="CB36" s="0" t="n">
        <v>-0.00337376</v>
      </c>
      <c r="CC36" s="0" t="n">
        <v>0.00154383</v>
      </c>
      <c r="CD36" s="0" t="n">
        <v>-0.0043772</v>
      </c>
      <c r="CE36" s="0" t="n">
        <v>0.00773083</v>
      </c>
      <c r="CF36" s="0" t="n">
        <v>-0.00756876</v>
      </c>
      <c r="CG36" s="0" t="n">
        <v>-0.00410078</v>
      </c>
      <c r="CH36" s="0" t="n">
        <v>0.04826573</v>
      </c>
      <c r="CI36" s="0" t="n">
        <v>-0.01014724</v>
      </c>
      <c r="CJ36" s="0" t="n">
        <v>-0.00976023</v>
      </c>
      <c r="CK36" s="0" t="n">
        <v>-0.00549527</v>
      </c>
      <c r="CL36" s="0" t="n">
        <v>0.00101268</v>
      </c>
      <c r="CM36" s="0" t="n">
        <v>0.01303793</v>
      </c>
      <c r="CN36" s="0" t="n">
        <v>0.03088628</v>
      </c>
      <c r="CO36" s="0" t="n">
        <v>0.02258132</v>
      </c>
      <c r="CP36" s="0" t="n">
        <v>0.00141955</v>
      </c>
      <c r="CQ36" s="0" t="n">
        <v>0.01262719</v>
      </c>
      <c r="CR36" s="0" t="n">
        <v>0.01436438</v>
      </c>
      <c r="CS36" s="0" t="n">
        <v>0.0260704</v>
      </c>
      <c r="CT36" s="0" t="n">
        <v>0.01620315</v>
      </c>
      <c r="CU36" s="0" t="n">
        <v>0.00841927</v>
      </c>
      <c r="CV36" s="0" t="n">
        <v>0.01906467</v>
      </c>
      <c r="CW36" s="0" t="n">
        <v>0.01404134</v>
      </c>
      <c r="CX36" s="0" t="n">
        <v>0.0190185</v>
      </c>
      <c r="CY36" s="0" t="n">
        <v>0.00775094</v>
      </c>
      <c r="CZ36" s="0" t="n">
        <v>0.01082137</v>
      </c>
      <c r="DA36" s="0" t="n">
        <v>-0.01543045</v>
      </c>
      <c r="DB36" s="0" t="n">
        <v>0.03064956</v>
      </c>
      <c r="DC36" s="0" t="n">
        <v>0.03375564</v>
      </c>
      <c r="DD36" s="0" t="n">
        <v>0.00839093</v>
      </c>
      <c r="DE36" s="0" t="n">
        <v>0.03879142</v>
      </c>
      <c r="DF36" s="0" t="n">
        <v>-0.00790918</v>
      </c>
      <c r="DG36" s="0" t="n">
        <v>0.03237113</v>
      </c>
      <c r="DH36" s="0" t="n">
        <v>0.01532024</v>
      </c>
      <c r="DI36" s="0" t="n">
        <v>0.01369352</v>
      </c>
      <c r="DJ36" s="0" t="n">
        <v>-0.00083273</v>
      </c>
      <c r="DK36" s="0" t="n">
        <v>0.01620259</v>
      </c>
      <c r="DL36" s="0" t="n">
        <v>0.04635427</v>
      </c>
      <c r="DM36" s="0" t="n">
        <v>0.01214491</v>
      </c>
      <c r="DN36" s="0" t="n">
        <v>-0.00149915</v>
      </c>
      <c r="DO36" s="0" t="n">
        <v>0.02380813</v>
      </c>
      <c r="DP36" s="0" t="n">
        <v>0.00116175</v>
      </c>
      <c r="DQ36" s="0" t="n">
        <v>0.01314823</v>
      </c>
      <c r="DR36" s="0" t="n">
        <v>0.02891326</v>
      </c>
      <c r="DS36" s="0" t="n">
        <v>-0.00697681</v>
      </c>
      <c r="DT36" s="0" t="n">
        <v>0.0084178</v>
      </c>
      <c r="DU36" s="0" t="n">
        <v>0.0240477</v>
      </c>
      <c r="DV36" s="0" t="n">
        <v>0.02279863</v>
      </c>
      <c r="DW36" s="0" t="n">
        <v>-0.00291005</v>
      </c>
      <c r="DX36" s="0" t="n">
        <v>0.03445711</v>
      </c>
      <c r="DY36" s="0" t="n">
        <v>0.01300356</v>
      </c>
      <c r="DZ36" s="0" t="n">
        <v>7.678E-005</v>
      </c>
      <c r="EA36" s="0" t="n">
        <v>0.02029761</v>
      </c>
      <c r="EB36" s="0" t="n">
        <v>0.01359827</v>
      </c>
      <c r="EC36" s="0" t="n">
        <v>0.02161746</v>
      </c>
      <c r="ED36" s="0" t="n">
        <v>0.03152112</v>
      </c>
      <c r="EE36" s="0" t="n">
        <v>0.02847906</v>
      </c>
      <c r="EF36" s="0" t="n">
        <v>0.02869065</v>
      </c>
      <c r="EG36" s="0" t="n">
        <v>0.04131371</v>
      </c>
      <c r="EH36" s="0" t="n">
        <v>-0.02538038</v>
      </c>
      <c r="EI36" s="0" t="n">
        <v>0.02429339</v>
      </c>
      <c r="EJ36" s="0" t="n">
        <v>0.03187968</v>
      </c>
      <c r="EK36" s="0" t="n">
        <v>0.02189203</v>
      </c>
      <c r="EL36" s="0" t="n">
        <v>0.0378102</v>
      </c>
      <c r="EM36" s="0" t="n">
        <v>0.00312404</v>
      </c>
      <c r="EN36" s="0" t="n">
        <v>0.01386033</v>
      </c>
      <c r="EO36" s="0" t="n">
        <v>-0.02617925</v>
      </c>
      <c r="EP36" s="55" t="n">
        <f aca="false">SUMPRODUCT(B36:EO36,$B$5:$EO$5)</f>
        <v>0.027040862</v>
      </c>
      <c r="EQ36" s="55" t="n">
        <f aca="false">SUMIF('Mi portafolio'!$A$8:$A$19,$A36,'Mi portafolio'!$B$8:$B$19)</f>
        <v>0</v>
      </c>
    </row>
    <row r="37" customFormat="false" ht="15" hidden="false" customHeight="false" outlineLevel="0" collapsed="false">
      <c r="A37" s="54" t="s">
        <v>182</v>
      </c>
      <c r="B37" s="0" t="n">
        <v>0.01133127</v>
      </c>
      <c r="C37" s="0" t="n">
        <v>-0.00079844</v>
      </c>
      <c r="D37" s="0" t="n">
        <v>-0.00095644</v>
      </c>
      <c r="E37" s="0" t="n">
        <v>0.00394391</v>
      </c>
      <c r="F37" s="0" t="n">
        <v>0.02087926</v>
      </c>
      <c r="G37" s="0" t="n">
        <v>-0.00458736</v>
      </c>
      <c r="H37" s="0" t="n">
        <v>-0.00174375</v>
      </c>
      <c r="I37" s="0" t="n">
        <v>0.01651206</v>
      </c>
      <c r="J37" s="0" t="n">
        <v>0.01637675</v>
      </c>
      <c r="K37" s="0" t="n">
        <v>0.01937033</v>
      </c>
      <c r="L37" s="0" t="n">
        <v>-0.0011417</v>
      </c>
      <c r="M37" s="0" t="n">
        <v>0.00156908</v>
      </c>
      <c r="N37" s="0" t="n">
        <v>0.0110225</v>
      </c>
      <c r="O37" s="0" t="n">
        <v>0.00262122</v>
      </c>
      <c r="P37" s="0" t="n">
        <v>0.01773229</v>
      </c>
      <c r="Q37" s="0" t="n">
        <v>0.00087271</v>
      </c>
      <c r="R37" s="0" t="n">
        <v>0.02163953</v>
      </c>
      <c r="S37" s="0" t="n">
        <v>0.00660103</v>
      </c>
      <c r="T37" s="0" t="n">
        <v>0.00416205</v>
      </c>
      <c r="U37" s="0" t="n">
        <v>0.0040222</v>
      </c>
      <c r="V37" s="0" t="n">
        <v>0.00015294</v>
      </c>
      <c r="W37" s="0" t="n">
        <v>0.0050254</v>
      </c>
      <c r="X37" s="0" t="n">
        <v>0.00746816</v>
      </c>
      <c r="Y37" s="0" t="n">
        <v>0.01149197</v>
      </c>
      <c r="Z37" s="0" t="n">
        <v>0.00080232</v>
      </c>
      <c r="AA37" s="0" t="n">
        <v>0.00489963</v>
      </c>
      <c r="AB37" s="0" t="n">
        <v>0.01170986</v>
      </c>
      <c r="AC37" s="0" t="n">
        <v>-0.00283874</v>
      </c>
      <c r="AD37" s="0" t="n">
        <v>0.00801672</v>
      </c>
      <c r="AE37" s="0" t="n">
        <v>-0.00522958</v>
      </c>
      <c r="AF37" s="0" t="n">
        <v>-0.00381784</v>
      </c>
      <c r="AG37" s="0" t="n">
        <v>0.06751619</v>
      </c>
      <c r="AH37" s="0" t="n">
        <v>0.05310217</v>
      </c>
      <c r="AI37" s="0" t="n">
        <v>0.02366436</v>
      </c>
      <c r="AJ37" s="0" t="n">
        <v>-0.00103595</v>
      </c>
      <c r="AK37" s="0" t="n">
        <v>-0.00146801</v>
      </c>
      <c r="AL37" s="0" t="n">
        <v>0.00958578</v>
      </c>
      <c r="AM37" s="0" t="n">
        <v>0.00434588</v>
      </c>
      <c r="AN37" s="0" t="n">
        <v>0.01200708</v>
      </c>
      <c r="AO37" s="0" t="n">
        <v>0.01653755</v>
      </c>
      <c r="AP37" s="0" t="n">
        <v>0.01198082</v>
      </c>
      <c r="AQ37" s="0" t="n">
        <v>0.01999554</v>
      </c>
      <c r="AR37" s="0" t="n">
        <v>0.00722927</v>
      </c>
      <c r="AS37" s="0" t="n">
        <v>-0.0067588</v>
      </c>
      <c r="AT37" s="0" t="n">
        <v>-0.00114145</v>
      </c>
      <c r="AU37" s="0" t="n">
        <v>0.01796413</v>
      </c>
      <c r="AV37" s="0" t="n">
        <v>0.00366703</v>
      </c>
      <c r="AW37" s="0" t="n">
        <v>-0.00198336</v>
      </c>
      <c r="AX37" s="0" t="n">
        <v>0.01563366</v>
      </c>
      <c r="AY37" s="0" t="n">
        <v>0.00845053</v>
      </c>
      <c r="AZ37" s="0" t="n">
        <v>-0.00197074</v>
      </c>
      <c r="BA37" s="0" t="n">
        <v>0.01433295</v>
      </c>
      <c r="BB37" s="0" t="n">
        <v>-0.00336406</v>
      </c>
      <c r="BC37" s="0" t="n">
        <v>0.00035031</v>
      </c>
      <c r="BD37" s="0" t="n">
        <v>0.00285653</v>
      </c>
      <c r="BE37" s="0" t="n">
        <v>0.0221252</v>
      </c>
      <c r="BF37" s="0" t="n">
        <v>-0.0025029</v>
      </c>
      <c r="BG37" s="0" t="n">
        <v>-0.00051303</v>
      </c>
      <c r="BH37" s="0" t="n">
        <v>-0.00228831</v>
      </c>
      <c r="BI37" s="0" t="n">
        <v>-0.00494952</v>
      </c>
      <c r="BJ37" s="0" t="n">
        <v>-0.00154078</v>
      </c>
      <c r="BK37" s="0" t="n">
        <v>-0.00218345</v>
      </c>
      <c r="BL37" s="0" t="n">
        <v>0.00436875</v>
      </c>
      <c r="BM37" s="0" t="n">
        <v>0.02541746</v>
      </c>
      <c r="BN37" s="0" t="n">
        <v>0.01934161</v>
      </c>
      <c r="BO37" s="0" t="n">
        <v>-0.00296626</v>
      </c>
      <c r="BP37" s="0" t="n">
        <v>-0.00462659</v>
      </c>
      <c r="BQ37" s="0" t="n">
        <v>-0.00438291</v>
      </c>
      <c r="BR37" s="0" t="n">
        <v>0.00220641</v>
      </c>
      <c r="BS37" s="0" t="n">
        <v>0.01908757</v>
      </c>
      <c r="BT37" s="0" t="n">
        <v>-0.00578738</v>
      </c>
      <c r="BU37" s="0" t="n">
        <v>-0.00324077</v>
      </c>
      <c r="BV37" s="0" t="n">
        <v>0.00117925</v>
      </c>
      <c r="BW37" s="0" t="n">
        <v>-0.00537479</v>
      </c>
      <c r="BX37" s="0" t="n">
        <v>0.01004816</v>
      </c>
      <c r="BY37" s="0" t="n">
        <v>0.00843087</v>
      </c>
      <c r="BZ37" s="0" t="n">
        <v>0.00358113</v>
      </c>
      <c r="CA37" s="0" t="n">
        <v>-0.0033925</v>
      </c>
      <c r="CB37" s="0" t="n">
        <v>0.00389936</v>
      </c>
      <c r="CC37" s="0" t="n">
        <v>0.01143407</v>
      </c>
      <c r="CD37" s="0" t="n">
        <v>0.00013525</v>
      </c>
      <c r="CE37" s="0" t="n">
        <v>-0.00183343</v>
      </c>
      <c r="CF37" s="0" t="n">
        <v>0.02372344</v>
      </c>
      <c r="CG37" s="0" t="n">
        <v>0.0041958</v>
      </c>
      <c r="CH37" s="0" t="n">
        <v>-0.01229071</v>
      </c>
      <c r="CI37" s="0" t="n">
        <v>0.02470673</v>
      </c>
      <c r="CJ37" s="0" t="n">
        <v>0.02149478</v>
      </c>
      <c r="CK37" s="0" t="n">
        <v>0.01414175</v>
      </c>
      <c r="CL37" s="0" t="n">
        <v>0.00690576</v>
      </c>
      <c r="CM37" s="0" t="n">
        <v>-0.01850547</v>
      </c>
      <c r="CN37" s="0" t="n">
        <v>-0.00086672</v>
      </c>
      <c r="CO37" s="0" t="n">
        <v>0.00014776</v>
      </c>
      <c r="CP37" s="0" t="n">
        <v>-0.00733368</v>
      </c>
      <c r="CQ37" s="0" t="n">
        <v>0.00464444</v>
      </c>
      <c r="CR37" s="0" t="n">
        <v>-0.02306807</v>
      </c>
      <c r="CS37" s="0" t="n">
        <v>-0.00768528</v>
      </c>
      <c r="CT37" s="0" t="n">
        <v>-0.00054055</v>
      </c>
      <c r="CU37" s="0" t="n">
        <v>-0.00113975</v>
      </c>
      <c r="CV37" s="0" t="n">
        <v>0.00065794</v>
      </c>
      <c r="CW37" s="0" t="n">
        <v>0.00162487</v>
      </c>
      <c r="CX37" s="0" t="n">
        <v>0.0044371</v>
      </c>
      <c r="CY37" s="0" t="n">
        <v>0.01015428</v>
      </c>
      <c r="CZ37" s="0" t="n">
        <v>0.00714279</v>
      </c>
      <c r="DA37" s="0" t="n">
        <v>0.01047786</v>
      </c>
      <c r="DB37" s="0" t="n">
        <v>-0.00984068</v>
      </c>
      <c r="DC37" s="0" t="n">
        <v>-0.01546276</v>
      </c>
      <c r="DD37" s="0" t="n">
        <v>-3.942E-005</v>
      </c>
      <c r="DE37" s="0" t="n">
        <v>-0.01814086</v>
      </c>
      <c r="DF37" s="0" t="n">
        <v>0.00871328</v>
      </c>
      <c r="DG37" s="0" t="n">
        <v>-0.01471305</v>
      </c>
      <c r="DH37" s="0" t="n">
        <v>-0.01715442</v>
      </c>
      <c r="DI37" s="0" t="n">
        <v>0.00361359</v>
      </c>
      <c r="DJ37" s="0" t="n">
        <v>0.00439802</v>
      </c>
      <c r="DK37" s="0" t="n">
        <v>0.00045716</v>
      </c>
      <c r="DL37" s="0" t="n">
        <v>-0.02059124</v>
      </c>
      <c r="DM37" s="0" t="n">
        <v>0.00244809</v>
      </c>
      <c r="DN37" s="0" t="n">
        <v>0.00695929</v>
      </c>
      <c r="DO37" s="0" t="n">
        <v>-0.00169068</v>
      </c>
      <c r="DP37" s="0" t="n">
        <v>0.00335544</v>
      </c>
      <c r="DQ37" s="0" t="n">
        <v>0.00138365</v>
      </c>
      <c r="DR37" s="0" t="n">
        <v>-0.01342179</v>
      </c>
      <c r="DS37" s="0" t="n">
        <v>-0.00056636</v>
      </c>
      <c r="DT37" s="0" t="n">
        <v>-0.02722058</v>
      </c>
      <c r="DU37" s="0" t="n">
        <v>-0.00595469</v>
      </c>
      <c r="DV37" s="0" t="n">
        <v>-0.00370243</v>
      </c>
      <c r="DW37" s="0" t="n">
        <v>-0.00556176</v>
      </c>
      <c r="DX37" s="0" t="n">
        <v>-0.04139692</v>
      </c>
      <c r="DY37" s="0" t="n">
        <v>-0.00873625</v>
      </c>
      <c r="DZ37" s="0" t="n">
        <v>-0.01312943</v>
      </c>
      <c r="EA37" s="0" t="n">
        <v>-0.02841605</v>
      </c>
      <c r="EB37" s="0" t="n">
        <v>-0.01480874</v>
      </c>
      <c r="EC37" s="0" t="n">
        <v>-0.02610611</v>
      </c>
      <c r="ED37" s="0" t="n">
        <v>-0.01311884</v>
      </c>
      <c r="EE37" s="0" t="n">
        <v>-0.02714407</v>
      </c>
      <c r="EF37" s="0" t="n">
        <v>0.0017598</v>
      </c>
      <c r="EG37" s="0" t="n">
        <v>-0.04161221</v>
      </c>
      <c r="EH37" s="0" t="n">
        <v>0.00789492</v>
      </c>
      <c r="EI37" s="0" t="n">
        <v>-0.04792572</v>
      </c>
      <c r="EJ37" s="0" t="n">
        <v>-0.00652696</v>
      </c>
      <c r="EK37" s="0" t="n">
        <v>-0.00982167</v>
      </c>
      <c r="EL37" s="0" t="n">
        <v>-0.04072835</v>
      </c>
      <c r="EM37" s="0" t="n">
        <v>-0.02184462</v>
      </c>
      <c r="EN37" s="0" t="n">
        <v>-0.01550809</v>
      </c>
      <c r="EO37" s="0" t="n">
        <v>-0.04368124</v>
      </c>
      <c r="EP37" s="55" t="n">
        <f aca="false">SUMPRODUCT(B37:EO37,$B$5:$EO$5)</f>
        <v>-0.009326996</v>
      </c>
      <c r="EQ37" s="55" t="n">
        <f aca="false">SUMIF('Mi portafolio'!$A$8:$A$19,$A37,'Mi portafolio'!$B$8:$B$19)</f>
        <v>0</v>
      </c>
    </row>
    <row r="38" customFormat="false" ht="15" hidden="false" customHeight="false" outlineLevel="0" collapsed="false">
      <c r="A38" s="54" t="s">
        <v>183</v>
      </c>
      <c r="B38" s="0" t="n">
        <v>0.01336448</v>
      </c>
      <c r="C38" s="0" t="n">
        <v>-0.00011662</v>
      </c>
      <c r="D38" s="0" t="n">
        <v>-0.00155692</v>
      </c>
      <c r="E38" s="0" t="n">
        <v>0.00430752</v>
      </c>
      <c r="F38" s="0" t="n">
        <v>0.02189856</v>
      </c>
      <c r="G38" s="0" t="n">
        <v>-0.00467322</v>
      </c>
      <c r="H38" s="0" t="n">
        <v>0.00013361</v>
      </c>
      <c r="I38" s="0" t="n">
        <v>0.01633895</v>
      </c>
      <c r="J38" s="0" t="n">
        <v>0.0157523</v>
      </c>
      <c r="K38" s="0" t="n">
        <v>0.01989525</v>
      </c>
      <c r="L38" s="0" t="n">
        <v>0.00050456</v>
      </c>
      <c r="M38" s="0" t="n">
        <v>0.00269521</v>
      </c>
      <c r="N38" s="0" t="n">
        <v>0.01421974</v>
      </c>
      <c r="O38" s="0" t="n">
        <v>0.00421102</v>
      </c>
      <c r="P38" s="0" t="n">
        <v>0.01655382</v>
      </c>
      <c r="Q38" s="0" t="n">
        <v>0.00082541</v>
      </c>
      <c r="R38" s="0" t="n">
        <v>0.02546929</v>
      </c>
      <c r="S38" s="0" t="n">
        <v>0.00478839</v>
      </c>
      <c r="T38" s="0" t="n">
        <v>0.0044899</v>
      </c>
      <c r="U38" s="0" t="n">
        <v>0.00559477</v>
      </c>
      <c r="V38" s="0" t="n">
        <v>-0.0057386</v>
      </c>
      <c r="W38" s="0" t="n">
        <v>0.00610286</v>
      </c>
      <c r="X38" s="0" t="n">
        <v>0.00950952</v>
      </c>
      <c r="Y38" s="0" t="n">
        <v>0.00808692</v>
      </c>
      <c r="Z38" s="0" t="n">
        <v>-0.00188432</v>
      </c>
      <c r="AA38" s="0" t="n">
        <v>0.00916579</v>
      </c>
      <c r="AB38" s="0" t="n">
        <v>0.00907377</v>
      </c>
      <c r="AC38" s="0" t="n">
        <v>-0.00396514</v>
      </c>
      <c r="AD38" s="0" t="n">
        <v>0.00473612</v>
      </c>
      <c r="AE38" s="0" t="n">
        <v>-0.00352167</v>
      </c>
      <c r="AF38" s="0" t="n">
        <v>-0.00326844</v>
      </c>
      <c r="AG38" s="0" t="n">
        <v>0.05310217</v>
      </c>
      <c r="AH38" s="0" t="n">
        <v>0.06834404</v>
      </c>
      <c r="AI38" s="0" t="n">
        <v>0.02461912</v>
      </c>
      <c r="AJ38" s="0" t="n">
        <v>0.00074989</v>
      </c>
      <c r="AK38" s="0" t="n">
        <v>-0.00718328</v>
      </c>
      <c r="AL38" s="0" t="n">
        <v>0.00792005</v>
      </c>
      <c r="AM38" s="0" t="n">
        <v>-0.00052727</v>
      </c>
      <c r="AN38" s="0" t="n">
        <v>0.01555101</v>
      </c>
      <c r="AO38" s="0" t="n">
        <v>0.01786632</v>
      </c>
      <c r="AP38" s="0" t="n">
        <v>0.01527409</v>
      </c>
      <c r="AQ38" s="0" t="n">
        <v>0.01758426</v>
      </c>
      <c r="AR38" s="0" t="n">
        <v>0.00757452</v>
      </c>
      <c r="AS38" s="0" t="n">
        <v>-0.00488625</v>
      </c>
      <c r="AT38" s="0" t="n">
        <v>0.00069864</v>
      </c>
      <c r="AU38" s="0" t="n">
        <v>0.01878952</v>
      </c>
      <c r="AV38" s="0" t="n">
        <v>0.00488609</v>
      </c>
      <c r="AW38" s="0" t="n">
        <v>-0.00529483</v>
      </c>
      <c r="AX38" s="0" t="n">
        <v>0.01875517</v>
      </c>
      <c r="AY38" s="0" t="n">
        <v>0.00938876</v>
      </c>
      <c r="AZ38" s="0" t="n">
        <v>-0.00362581</v>
      </c>
      <c r="BA38" s="0" t="n">
        <v>0.0184555</v>
      </c>
      <c r="BB38" s="0" t="n">
        <v>-0.00383659</v>
      </c>
      <c r="BC38" s="0" t="n">
        <v>-0.00161418</v>
      </c>
      <c r="BD38" s="0" t="n">
        <v>0.00296388</v>
      </c>
      <c r="BE38" s="0" t="n">
        <v>0.02082084</v>
      </c>
      <c r="BF38" s="0" t="n">
        <v>-0.00189083</v>
      </c>
      <c r="BG38" s="0" t="n">
        <v>-0.00014541</v>
      </c>
      <c r="BH38" s="0" t="n">
        <v>0.00066395</v>
      </c>
      <c r="BI38" s="0" t="n">
        <v>-0.00349073</v>
      </c>
      <c r="BJ38" s="0" t="n">
        <v>-0.00817809</v>
      </c>
      <c r="BK38" s="0" t="n">
        <v>-0.00351591</v>
      </c>
      <c r="BL38" s="0" t="n">
        <v>0.00319413</v>
      </c>
      <c r="BM38" s="0" t="n">
        <v>0.02824072</v>
      </c>
      <c r="BN38" s="0" t="n">
        <v>0.01759782</v>
      </c>
      <c r="BO38" s="0" t="n">
        <v>0.00245195</v>
      </c>
      <c r="BP38" s="0" t="n">
        <v>-0.00123713</v>
      </c>
      <c r="BQ38" s="0" t="n">
        <v>-0.00264008</v>
      </c>
      <c r="BR38" s="0" t="n">
        <v>0.00526491</v>
      </c>
      <c r="BS38" s="0" t="n">
        <v>0.01840998</v>
      </c>
      <c r="BT38" s="0" t="n">
        <v>0.0001128</v>
      </c>
      <c r="BU38" s="0" t="n">
        <v>-0.00852405</v>
      </c>
      <c r="BV38" s="0" t="n">
        <v>0.00245105</v>
      </c>
      <c r="BW38" s="0" t="n">
        <v>0.00536371</v>
      </c>
      <c r="BX38" s="0" t="n">
        <v>0.01383672</v>
      </c>
      <c r="BY38" s="0" t="n">
        <v>0.00253958</v>
      </c>
      <c r="BZ38" s="0" t="n">
        <v>0.00708755</v>
      </c>
      <c r="CA38" s="0" t="n">
        <v>-0.00293098</v>
      </c>
      <c r="CB38" s="0" t="n">
        <v>0.00464812</v>
      </c>
      <c r="CC38" s="0" t="n">
        <v>0.00631562</v>
      </c>
      <c r="CD38" s="0" t="n">
        <v>0.00471425</v>
      </c>
      <c r="CE38" s="0" t="n">
        <v>-0.00305915</v>
      </c>
      <c r="CF38" s="0" t="n">
        <v>0.02099308</v>
      </c>
      <c r="CG38" s="0" t="n">
        <v>0.00455751</v>
      </c>
      <c r="CH38" s="0" t="n">
        <v>-0.01309576</v>
      </c>
      <c r="CI38" s="0" t="n">
        <v>0.02369886</v>
      </c>
      <c r="CJ38" s="0" t="n">
        <v>0.02271143</v>
      </c>
      <c r="CK38" s="0" t="n">
        <v>0.01743586</v>
      </c>
      <c r="CL38" s="0" t="n">
        <v>0.00847163</v>
      </c>
      <c r="CM38" s="0" t="n">
        <v>-0.01840016</v>
      </c>
      <c r="CN38" s="0" t="n">
        <v>0.00252323</v>
      </c>
      <c r="CO38" s="0" t="n">
        <v>-0.00082215</v>
      </c>
      <c r="CP38" s="0" t="n">
        <v>0.00477315</v>
      </c>
      <c r="CQ38" s="0" t="n">
        <v>0.00509997</v>
      </c>
      <c r="CR38" s="0" t="n">
        <v>-0.02538736</v>
      </c>
      <c r="CS38" s="0" t="n">
        <v>-0.00115943</v>
      </c>
      <c r="CT38" s="0" t="n">
        <v>-0.00099236</v>
      </c>
      <c r="CU38" s="0" t="n">
        <v>-0.00347922</v>
      </c>
      <c r="CV38" s="0" t="n">
        <v>-0.00458152</v>
      </c>
      <c r="CW38" s="0" t="n">
        <v>0.00155252</v>
      </c>
      <c r="CX38" s="0" t="n">
        <v>0.00039856</v>
      </c>
      <c r="CY38" s="0" t="n">
        <v>0.00540369</v>
      </c>
      <c r="CZ38" s="0" t="n">
        <v>0.0097914</v>
      </c>
      <c r="DA38" s="0" t="n">
        <v>0.00542988</v>
      </c>
      <c r="DB38" s="0" t="n">
        <v>-0.00300556</v>
      </c>
      <c r="DC38" s="0" t="n">
        <v>-0.01258581</v>
      </c>
      <c r="DD38" s="0" t="n">
        <v>0.00136962</v>
      </c>
      <c r="DE38" s="0" t="n">
        <v>-0.01722895</v>
      </c>
      <c r="DF38" s="0" t="n">
        <v>0.01400505</v>
      </c>
      <c r="DG38" s="0" t="n">
        <v>-0.01991282</v>
      </c>
      <c r="DH38" s="0" t="n">
        <v>-0.01676468</v>
      </c>
      <c r="DI38" s="0" t="n">
        <v>0.00628569</v>
      </c>
      <c r="DJ38" s="0" t="n">
        <v>-0.00043652</v>
      </c>
      <c r="DK38" s="0" t="n">
        <v>0.00251589</v>
      </c>
      <c r="DL38" s="0" t="n">
        <v>-0.02873578</v>
      </c>
      <c r="DM38" s="0" t="n">
        <v>0.00225529</v>
      </c>
      <c r="DN38" s="0" t="n">
        <v>0.00262217</v>
      </c>
      <c r="DO38" s="0" t="n">
        <v>0.00222183</v>
      </c>
      <c r="DP38" s="0" t="n">
        <v>0.00268473</v>
      </c>
      <c r="DQ38" s="0" t="n">
        <v>0.00471489</v>
      </c>
      <c r="DR38" s="0" t="n">
        <v>-0.00888422</v>
      </c>
      <c r="DS38" s="0" t="n">
        <v>9.263E-005</v>
      </c>
      <c r="DT38" s="0" t="n">
        <v>-0.0206291</v>
      </c>
      <c r="DU38" s="0" t="n">
        <v>-0.0082619</v>
      </c>
      <c r="DV38" s="0" t="n">
        <v>-0.00295675</v>
      </c>
      <c r="DW38" s="0" t="n">
        <v>-0.01712028</v>
      </c>
      <c r="DX38" s="0" t="n">
        <v>-0.03885101</v>
      </c>
      <c r="DY38" s="0" t="n">
        <v>-0.0072139</v>
      </c>
      <c r="DZ38" s="0" t="n">
        <v>-0.00781438</v>
      </c>
      <c r="EA38" s="0" t="n">
        <v>-0.02098532</v>
      </c>
      <c r="EB38" s="0" t="n">
        <v>-0.01781802</v>
      </c>
      <c r="EC38" s="0" t="n">
        <v>-0.04141651</v>
      </c>
      <c r="ED38" s="0" t="n">
        <v>-0.00934601</v>
      </c>
      <c r="EE38" s="0" t="n">
        <v>-0.03191924</v>
      </c>
      <c r="EF38" s="0" t="n">
        <v>0.00378496</v>
      </c>
      <c r="EG38" s="0" t="n">
        <v>-0.03668277</v>
      </c>
      <c r="EH38" s="0" t="n">
        <v>0.0006156</v>
      </c>
      <c r="EI38" s="0" t="n">
        <v>-0.04482424</v>
      </c>
      <c r="EJ38" s="0" t="n">
        <v>-0.00464752</v>
      </c>
      <c r="EK38" s="0" t="n">
        <v>-0.00728761</v>
      </c>
      <c r="EL38" s="0" t="n">
        <v>-0.0446618</v>
      </c>
      <c r="EM38" s="0" t="n">
        <v>-0.00988824</v>
      </c>
      <c r="EN38" s="0" t="n">
        <v>-0.00681391</v>
      </c>
      <c r="EO38" s="0" t="n">
        <v>-0.01559984</v>
      </c>
      <c r="EP38" s="55" t="n">
        <f aca="false">SUMPRODUCT(B38:EO38,$B$5:$EO$5)</f>
        <v>-0.006610826</v>
      </c>
      <c r="EQ38" s="55" t="n">
        <f aca="false">SUMIF('Mi portafolio'!$A$8:$A$19,$A38,'Mi portafolio'!$B$8:$B$19)</f>
        <v>0</v>
      </c>
    </row>
    <row r="39" customFormat="false" ht="15" hidden="false" customHeight="false" outlineLevel="0" collapsed="false">
      <c r="A39" s="54" t="s">
        <v>184</v>
      </c>
      <c r="B39" s="0" t="n">
        <v>0.00743067</v>
      </c>
      <c r="C39" s="0" t="n">
        <v>-0.00085768</v>
      </c>
      <c r="D39" s="0" t="n">
        <v>-0.00549058</v>
      </c>
      <c r="E39" s="0" t="n">
        <v>0.00332339</v>
      </c>
      <c r="F39" s="0" t="n">
        <v>0.01207886</v>
      </c>
      <c r="G39" s="0" t="n">
        <v>-0.00349116</v>
      </c>
      <c r="H39" s="0" t="n">
        <v>-0.00664142</v>
      </c>
      <c r="I39" s="0" t="n">
        <v>0.00548696</v>
      </c>
      <c r="J39" s="0" t="n">
        <v>0.01146589</v>
      </c>
      <c r="K39" s="0" t="n">
        <v>0.00381277</v>
      </c>
      <c r="L39" s="0" t="n">
        <v>-0.00120752</v>
      </c>
      <c r="M39" s="0" t="n">
        <v>-0.00396349</v>
      </c>
      <c r="N39" s="0" t="n">
        <v>0.00703102</v>
      </c>
      <c r="O39" s="0" t="n">
        <v>-0.00231923</v>
      </c>
      <c r="P39" s="0" t="n">
        <v>0.015031</v>
      </c>
      <c r="Q39" s="0" t="n">
        <v>0.00026943</v>
      </c>
      <c r="R39" s="0" t="n">
        <v>0.01487461</v>
      </c>
      <c r="S39" s="0" t="n">
        <v>-0.00563085</v>
      </c>
      <c r="T39" s="0" t="n">
        <v>0.00242098</v>
      </c>
      <c r="U39" s="0" t="n">
        <v>-0.00521629</v>
      </c>
      <c r="V39" s="0" t="n">
        <v>-0.01102614</v>
      </c>
      <c r="W39" s="0" t="n">
        <v>0.00203885</v>
      </c>
      <c r="X39" s="0" t="n">
        <v>0.00399486</v>
      </c>
      <c r="Y39" s="0" t="n">
        <v>0.00542883</v>
      </c>
      <c r="Z39" s="0" t="n">
        <v>-0.0040248</v>
      </c>
      <c r="AA39" s="0" t="n">
        <v>-0.00640418</v>
      </c>
      <c r="AB39" s="0" t="n">
        <v>0.00555049</v>
      </c>
      <c r="AC39" s="0" t="n">
        <v>0.00421223</v>
      </c>
      <c r="AD39" s="0" t="n">
        <v>0.00197583</v>
      </c>
      <c r="AE39" s="0" t="n">
        <v>-0.01821592</v>
      </c>
      <c r="AF39" s="0" t="n">
        <v>-0.01065376</v>
      </c>
      <c r="AG39" s="0" t="n">
        <v>0.02366436</v>
      </c>
      <c r="AH39" s="0" t="n">
        <v>0.02461912</v>
      </c>
      <c r="AI39" s="0" t="n">
        <v>0.06775976</v>
      </c>
      <c r="AJ39" s="0" t="n">
        <v>-0.0039681</v>
      </c>
      <c r="AK39" s="0" t="n">
        <v>-0.01173583</v>
      </c>
      <c r="AL39" s="0" t="n">
        <v>-0.00012776</v>
      </c>
      <c r="AM39" s="0" t="n">
        <v>-0.00916635</v>
      </c>
      <c r="AN39" s="0" t="n">
        <v>-0.00842913</v>
      </c>
      <c r="AO39" s="0" t="n">
        <v>0.00752351</v>
      </c>
      <c r="AP39" s="0" t="n">
        <v>-0.00382095</v>
      </c>
      <c r="AQ39" s="0" t="n">
        <v>0.06206646</v>
      </c>
      <c r="AR39" s="0" t="n">
        <v>0.00692035</v>
      </c>
      <c r="AS39" s="0" t="n">
        <v>-0.01609882</v>
      </c>
      <c r="AT39" s="0" t="n">
        <v>-0.00191302</v>
      </c>
      <c r="AU39" s="0" t="n">
        <v>0.01151635</v>
      </c>
      <c r="AV39" s="0" t="n">
        <v>0.00206181</v>
      </c>
      <c r="AW39" s="0" t="n">
        <v>-0.00828327</v>
      </c>
      <c r="AX39" s="0" t="n">
        <v>0.00814631</v>
      </c>
      <c r="AY39" s="0" t="n">
        <v>0.00435083</v>
      </c>
      <c r="AZ39" s="0" t="n">
        <v>-0.01880943</v>
      </c>
      <c r="BA39" s="0" t="n">
        <v>0.00047653</v>
      </c>
      <c r="BB39" s="0" t="n">
        <v>-0.00681046</v>
      </c>
      <c r="BC39" s="0" t="n">
        <v>-0.00214054</v>
      </c>
      <c r="BD39" s="0" t="n">
        <v>-0.01452917</v>
      </c>
      <c r="BE39" s="0" t="n">
        <v>0.01214797</v>
      </c>
      <c r="BF39" s="0" t="n">
        <v>-0.00520228</v>
      </c>
      <c r="BG39" s="0" t="n">
        <v>0.00284978</v>
      </c>
      <c r="BH39" s="0" t="n">
        <v>-0.01108973</v>
      </c>
      <c r="BI39" s="0" t="n">
        <v>3.541E-005</v>
      </c>
      <c r="BJ39" s="0" t="n">
        <v>-0.00207751</v>
      </c>
      <c r="BK39" s="0" t="n">
        <v>-0.0156912</v>
      </c>
      <c r="BL39" s="0" t="n">
        <v>-0.00385295</v>
      </c>
      <c r="BM39" s="0" t="n">
        <v>0.00877359</v>
      </c>
      <c r="BN39" s="0" t="n">
        <v>0.01116178</v>
      </c>
      <c r="BO39" s="0" t="n">
        <v>-0.01114812</v>
      </c>
      <c r="BP39" s="0" t="n">
        <v>-0.00041078</v>
      </c>
      <c r="BQ39" s="0" t="n">
        <v>-0.01232394</v>
      </c>
      <c r="BR39" s="0" t="n">
        <v>-0.00387852</v>
      </c>
      <c r="BS39" s="0" t="n">
        <v>0.06351142</v>
      </c>
      <c r="BT39" s="0" t="n">
        <v>-0.02013485</v>
      </c>
      <c r="BU39" s="0" t="n">
        <v>-0.01038198</v>
      </c>
      <c r="BV39" s="0" t="n">
        <v>-0.00438937</v>
      </c>
      <c r="BW39" s="0" t="n">
        <v>0.00244515</v>
      </c>
      <c r="BX39" s="0" t="n">
        <v>-0.0020054</v>
      </c>
      <c r="BY39" s="0" t="n">
        <v>-0.00872829</v>
      </c>
      <c r="BZ39" s="0" t="n">
        <v>-0.01703793</v>
      </c>
      <c r="CA39" s="0" t="n">
        <v>-0.00973283</v>
      </c>
      <c r="CB39" s="0" t="n">
        <v>0.01598328</v>
      </c>
      <c r="CC39" s="0" t="n">
        <v>0.00284382</v>
      </c>
      <c r="CD39" s="0" t="n">
        <v>-0.00766675</v>
      </c>
      <c r="CE39" s="0" t="n">
        <v>0.01029689</v>
      </c>
      <c r="CF39" s="0" t="n">
        <v>0.07048393</v>
      </c>
      <c r="CG39" s="0" t="n">
        <v>-0.0094847</v>
      </c>
      <c r="CH39" s="0" t="n">
        <v>-0.02009872</v>
      </c>
      <c r="CI39" s="0" t="n">
        <v>0.07372623</v>
      </c>
      <c r="CJ39" s="0" t="n">
        <v>0.01058473</v>
      </c>
      <c r="CK39" s="0" t="n">
        <v>0.01139356</v>
      </c>
      <c r="CL39" s="0" t="n">
        <v>-0.01178917</v>
      </c>
      <c r="CM39" s="0" t="n">
        <v>-0.01281462</v>
      </c>
      <c r="CN39" s="0" t="n">
        <v>-4.509E-005</v>
      </c>
      <c r="CO39" s="0" t="n">
        <v>-0.01101469</v>
      </c>
      <c r="CP39" s="0" t="n">
        <v>0.01083413</v>
      </c>
      <c r="CQ39" s="0" t="n">
        <v>-0.02321022</v>
      </c>
      <c r="CR39" s="0" t="n">
        <v>-0.02088262</v>
      </c>
      <c r="CS39" s="0" t="n">
        <v>-0.00402274</v>
      </c>
      <c r="CT39" s="0" t="n">
        <v>-0.00504021</v>
      </c>
      <c r="CU39" s="0" t="n">
        <v>-9.966E-005</v>
      </c>
      <c r="CV39" s="0" t="n">
        <v>-0.01703516</v>
      </c>
      <c r="CW39" s="0" t="n">
        <v>-0.0060909</v>
      </c>
      <c r="CX39" s="0" t="n">
        <v>-0.01065993</v>
      </c>
      <c r="CY39" s="0" t="n">
        <v>-0.03090154</v>
      </c>
      <c r="CZ39" s="0" t="n">
        <v>0.01186092</v>
      </c>
      <c r="DA39" s="0" t="n">
        <v>0.00140235</v>
      </c>
      <c r="DB39" s="0" t="n">
        <v>-0.00917704</v>
      </c>
      <c r="DC39" s="0" t="n">
        <v>-0.0455977</v>
      </c>
      <c r="DD39" s="0" t="n">
        <v>-0.01305007</v>
      </c>
      <c r="DE39" s="0" t="n">
        <v>-0.01731912</v>
      </c>
      <c r="DF39" s="0" t="n">
        <v>0.01586973</v>
      </c>
      <c r="DG39" s="0" t="n">
        <v>-0.01861338</v>
      </c>
      <c r="DH39" s="0" t="n">
        <v>-0.0101659</v>
      </c>
      <c r="DI39" s="0" t="n">
        <v>-0.03880505</v>
      </c>
      <c r="DJ39" s="0" t="n">
        <v>-0.02636953</v>
      </c>
      <c r="DK39" s="0" t="n">
        <v>-0.03963991</v>
      </c>
      <c r="DL39" s="0" t="n">
        <v>-0.03253515</v>
      </c>
      <c r="DM39" s="0" t="n">
        <v>-0.03485999</v>
      </c>
      <c r="DN39" s="0" t="n">
        <v>-0.00351652</v>
      </c>
      <c r="DO39" s="0" t="n">
        <v>-0.00310983</v>
      </c>
      <c r="DP39" s="0" t="n">
        <v>-0.03759292</v>
      </c>
      <c r="DQ39" s="0" t="n">
        <v>-0.00494121</v>
      </c>
      <c r="DR39" s="0" t="n">
        <v>0.01113769</v>
      </c>
      <c r="DS39" s="0" t="n">
        <v>-0.00500794</v>
      </c>
      <c r="DT39" s="0" t="n">
        <v>-0.00423196</v>
      </c>
      <c r="DU39" s="0" t="n">
        <v>-0.01660172</v>
      </c>
      <c r="DV39" s="0" t="n">
        <v>0.00351554</v>
      </c>
      <c r="DW39" s="0" t="n">
        <v>-0.02530924</v>
      </c>
      <c r="DX39" s="0" t="n">
        <v>-0.02377578</v>
      </c>
      <c r="DY39" s="0" t="n">
        <v>-0.02422063</v>
      </c>
      <c r="DZ39" s="0" t="n">
        <v>0.00456666</v>
      </c>
      <c r="EA39" s="0" t="n">
        <v>-0.02826272</v>
      </c>
      <c r="EB39" s="0" t="n">
        <v>-0.01842082</v>
      </c>
      <c r="EC39" s="0" t="n">
        <v>-0.0214708</v>
      </c>
      <c r="ED39" s="0" t="n">
        <v>-0.01326802</v>
      </c>
      <c r="EE39" s="0" t="n">
        <v>-0.02841971</v>
      </c>
      <c r="EF39" s="0" t="n">
        <v>0.00268146</v>
      </c>
      <c r="EG39" s="0" t="n">
        <v>-0.03049621</v>
      </c>
      <c r="EH39" s="0" t="n">
        <v>-0.01174901</v>
      </c>
      <c r="EI39" s="0" t="n">
        <v>-0.04140804</v>
      </c>
      <c r="EJ39" s="0" t="n">
        <v>-0.00652846</v>
      </c>
      <c r="EK39" s="0" t="n">
        <v>0.01041972</v>
      </c>
      <c r="EL39" s="0" t="n">
        <v>-0.03931948</v>
      </c>
      <c r="EM39" s="0" t="n">
        <v>-0.01942743</v>
      </c>
      <c r="EN39" s="0" t="n">
        <v>-0.01984622</v>
      </c>
      <c r="EO39" s="0" t="n">
        <v>-0.00733392</v>
      </c>
      <c r="EP39" s="55" t="n">
        <f aca="false">SUMPRODUCT(B39:EO39,$B$5:$EO$5)</f>
        <v>-0.012582744</v>
      </c>
      <c r="EQ39" s="55" t="n">
        <f aca="false">SUMIF('Mi portafolio'!$A$8:$A$19,$A39,'Mi portafolio'!$B$8:$B$19)</f>
        <v>0</v>
      </c>
    </row>
    <row r="40" customFormat="false" ht="15" hidden="false" customHeight="false" outlineLevel="0" collapsed="false">
      <c r="A40" s="54" t="s">
        <v>185</v>
      </c>
      <c r="B40" s="0" t="n">
        <v>0.0013282</v>
      </c>
      <c r="C40" s="0" t="n">
        <v>0.00479885</v>
      </c>
      <c r="D40" s="0" t="n">
        <v>0.01052179</v>
      </c>
      <c r="E40" s="0" t="n">
        <v>0.00511019</v>
      </c>
      <c r="F40" s="0" t="n">
        <v>-0.00172554</v>
      </c>
      <c r="G40" s="0" t="n">
        <v>0.00451253</v>
      </c>
      <c r="H40" s="0" t="n">
        <v>0.01464745</v>
      </c>
      <c r="I40" s="0" t="n">
        <v>0.00214169</v>
      </c>
      <c r="J40" s="0" t="n">
        <v>0.00026272</v>
      </c>
      <c r="K40" s="0" t="n">
        <v>0.00193212</v>
      </c>
      <c r="L40" s="0" t="n">
        <v>0.01233162</v>
      </c>
      <c r="M40" s="0" t="n">
        <v>0.00092219</v>
      </c>
      <c r="N40" s="0" t="n">
        <v>0.00887273</v>
      </c>
      <c r="O40" s="0" t="n">
        <v>0.01489999</v>
      </c>
      <c r="P40" s="0" t="n">
        <v>-0.00164231</v>
      </c>
      <c r="Q40" s="0" t="n">
        <v>0.00087588</v>
      </c>
      <c r="R40" s="0" t="n">
        <v>-0.00711144</v>
      </c>
      <c r="S40" s="0" t="n">
        <v>0.00989546</v>
      </c>
      <c r="T40" s="0" t="n">
        <v>-0.00273347</v>
      </c>
      <c r="U40" s="0" t="n">
        <v>0.01795885</v>
      </c>
      <c r="V40" s="0" t="n">
        <v>0.0112706</v>
      </c>
      <c r="W40" s="0" t="n">
        <v>0.00764676</v>
      </c>
      <c r="X40" s="0" t="n">
        <v>0.00254807</v>
      </c>
      <c r="Y40" s="0" t="n">
        <v>-0.00392647</v>
      </c>
      <c r="Z40" s="0" t="n">
        <v>0.01104832</v>
      </c>
      <c r="AA40" s="0" t="n">
        <v>0.01289732</v>
      </c>
      <c r="AB40" s="0" t="n">
        <v>-0.00505276</v>
      </c>
      <c r="AC40" s="0" t="n">
        <v>0.00682912</v>
      </c>
      <c r="AD40" s="0" t="n">
        <v>0.00979073</v>
      </c>
      <c r="AE40" s="0" t="n">
        <v>0.01511253</v>
      </c>
      <c r="AF40" s="0" t="n">
        <v>0.01609076</v>
      </c>
      <c r="AG40" s="0" t="n">
        <v>-0.00103595</v>
      </c>
      <c r="AH40" s="0" t="n">
        <v>0.00074989</v>
      </c>
      <c r="AI40" s="0" t="n">
        <v>-0.0039681</v>
      </c>
      <c r="AJ40" s="0" t="n">
        <v>0.06616429</v>
      </c>
      <c r="AK40" s="0" t="n">
        <v>0.01102296</v>
      </c>
      <c r="AL40" s="0" t="n">
        <v>0.00509976</v>
      </c>
      <c r="AM40" s="0" t="n">
        <v>0.01058194</v>
      </c>
      <c r="AN40" s="0" t="n">
        <v>-0.00102214</v>
      </c>
      <c r="AO40" s="0" t="n">
        <v>-0.00263255</v>
      </c>
      <c r="AP40" s="0" t="n">
        <v>0.00591598</v>
      </c>
      <c r="AQ40" s="0" t="n">
        <v>-0.00338714</v>
      </c>
      <c r="AR40" s="0" t="n">
        <v>0.00106921</v>
      </c>
      <c r="AS40" s="0" t="n">
        <v>0.02008667</v>
      </c>
      <c r="AT40" s="0" t="n">
        <v>-0.00287902</v>
      </c>
      <c r="AU40" s="0" t="n">
        <v>-0.00484041</v>
      </c>
      <c r="AV40" s="0" t="n">
        <v>0.01566647</v>
      </c>
      <c r="AW40" s="0" t="n">
        <v>0.0066499</v>
      </c>
      <c r="AX40" s="0" t="n">
        <v>0.00571403</v>
      </c>
      <c r="AY40" s="0" t="n">
        <v>-0.00287151</v>
      </c>
      <c r="AZ40" s="0" t="n">
        <v>0.01584239</v>
      </c>
      <c r="BA40" s="0" t="n">
        <v>0.00732538</v>
      </c>
      <c r="BB40" s="0" t="n">
        <v>0.00653504</v>
      </c>
      <c r="BC40" s="0" t="n">
        <v>0.01082479</v>
      </c>
      <c r="BD40" s="0" t="n">
        <v>0.02249701</v>
      </c>
      <c r="BE40" s="0" t="n">
        <v>0.00451078</v>
      </c>
      <c r="BF40" s="0" t="n">
        <v>0.01771522</v>
      </c>
      <c r="BG40" s="0" t="n">
        <v>0.00126848</v>
      </c>
      <c r="BH40" s="0" t="n">
        <v>0.01262042</v>
      </c>
      <c r="BI40" s="0" t="n">
        <v>0.0025048</v>
      </c>
      <c r="BJ40" s="0" t="n">
        <v>0.01297101</v>
      </c>
      <c r="BK40" s="0" t="n">
        <v>0.01625997</v>
      </c>
      <c r="BL40" s="0" t="n">
        <v>0.01034059</v>
      </c>
      <c r="BM40" s="0" t="n">
        <v>-0.00724202</v>
      </c>
      <c r="BN40" s="0" t="n">
        <v>0.00046725</v>
      </c>
      <c r="BO40" s="0" t="n">
        <v>0.00108061</v>
      </c>
      <c r="BP40" s="0" t="n">
        <v>0.00602214</v>
      </c>
      <c r="BQ40" s="0" t="n">
        <v>0.01440269</v>
      </c>
      <c r="BR40" s="0" t="n">
        <v>0.01014834</v>
      </c>
      <c r="BS40" s="0" t="n">
        <v>-0.00589899</v>
      </c>
      <c r="BT40" s="0" t="n">
        <v>0.00501107</v>
      </c>
      <c r="BU40" s="0" t="n">
        <v>0.01406096</v>
      </c>
      <c r="BV40" s="0" t="n">
        <v>0.00179619</v>
      </c>
      <c r="BW40" s="0" t="n">
        <v>0.00440399</v>
      </c>
      <c r="BX40" s="0" t="n">
        <v>0.00293334</v>
      </c>
      <c r="BY40" s="0" t="n">
        <v>-0.00190151</v>
      </c>
      <c r="BZ40" s="0" t="n">
        <v>0.00961028</v>
      </c>
      <c r="CA40" s="0" t="n">
        <v>0.0203553</v>
      </c>
      <c r="CB40" s="0" t="n">
        <v>-0.0011192</v>
      </c>
      <c r="CC40" s="0" t="n">
        <v>-0.00314158</v>
      </c>
      <c r="CD40" s="0" t="n">
        <v>-0.00683536</v>
      </c>
      <c r="CE40" s="0" t="n">
        <v>0.00736345</v>
      </c>
      <c r="CF40" s="0" t="n">
        <v>-0.00291653</v>
      </c>
      <c r="CG40" s="0" t="n">
        <v>0.00565063</v>
      </c>
      <c r="CH40" s="0" t="n">
        <v>0.0192356</v>
      </c>
      <c r="CI40" s="0" t="n">
        <v>-0.00015058</v>
      </c>
      <c r="CJ40" s="0" t="n">
        <v>-0.00584247</v>
      </c>
      <c r="CK40" s="0" t="n">
        <v>0.00352292</v>
      </c>
      <c r="CL40" s="0" t="n">
        <v>0.00441667</v>
      </c>
      <c r="CM40" s="0" t="n">
        <v>0.00155432</v>
      </c>
      <c r="CN40" s="0" t="n">
        <v>0.02082647</v>
      </c>
      <c r="CO40" s="0" t="n">
        <v>0.0049941</v>
      </c>
      <c r="CP40" s="0" t="n">
        <v>0.00344449</v>
      </c>
      <c r="CQ40" s="0" t="n">
        <v>0.01145577</v>
      </c>
      <c r="CR40" s="0" t="n">
        <v>0.00753195</v>
      </c>
      <c r="CS40" s="0" t="n">
        <v>0.00866402</v>
      </c>
      <c r="CT40" s="0" t="n">
        <v>0.01307312</v>
      </c>
      <c r="CU40" s="0" t="n">
        <v>0.00763481</v>
      </c>
      <c r="CV40" s="0" t="n">
        <v>-0.00855468</v>
      </c>
      <c r="CW40" s="0" t="n">
        <v>0.00496898</v>
      </c>
      <c r="CX40" s="0" t="n">
        <v>0.00050839</v>
      </c>
      <c r="CY40" s="0" t="n">
        <v>0.00627298</v>
      </c>
      <c r="CZ40" s="0" t="n">
        <v>0.00464341</v>
      </c>
      <c r="DA40" s="0" t="n">
        <v>0.00066632</v>
      </c>
      <c r="DB40" s="0" t="n">
        <v>0.01174241</v>
      </c>
      <c r="DC40" s="0" t="n">
        <v>0.03390429</v>
      </c>
      <c r="DD40" s="0" t="n">
        <v>0.00470009</v>
      </c>
      <c r="DE40" s="0" t="n">
        <v>0.01459845</v>
      </c>
      <c r="DF40" s="0" t="n">
        <v>0.00120855</v>
      </c>
      <c r="DG40" s="0" t="n">
        <v>0.02675541</v>
      </c>
      <c r="DH40" s="0" t="n">
        <v>0.00659811</v>
      </c>
      <c r="DI40" s="0" t="n">
        <v>0.00511568</v>
      </c>
      <c r="DJ40" s="0" t="n">
        <v>0.00197485</v>
      </c>
      <c r="DK40" s="0" t="n">
        <v>0.00908715</v>
      </c>
      <c r="DL40" s="0" t="n">
        <v>0.03736624</v>
      </c>
      <c r="DM40" s="0" t="n">
        <v>0.0153105</v>
      </c>
      <c r="DN40" s="0" t="n">
        <v>0.00268064</v>
      </c>
      <c r="DO40" s="0" t="n">
        <v>0.01935927</v>
      </c>
      <c r="DP40" s="0" t="n">
        <v>0.01096482</v>
      </c>
      <c r="DQ40" s="0" t="n">
        <v>0.02101433</v>
      </c>
      <c r="DR40" s="0" t="n">
        <v>0.01157041</v>
      </c>
      <c r="DS40" s="0" t="n">
        <v>-0.01893339</v>
      </c>
      <c r="DT40" s="0" t="n">
        <v>0.007072</v>
      </c>
      <c r="DU40" s="0" t="n">
        <v>0.0124031</v>
      </c>
      <c r="DV40" s="0" t="n">
        <v>-0.0077684</v>
      </c>
      <c r="DW40" s="0" t="n">
        <v>0.00316076</v>
      </c>
      <c r="DX40" s="0" t="n">
        <v>0.0206853</v>
      </c>
      <c r="DY40" s="0" t="n">
        <v>-0.00250505</v>
      </c>
      <c r="DZ40" s="0" t="n">
        <v>0.00637009</v>
      </c>
      <c r="EA40" s="0" t="n">
        <v>0.03075335</v>
      </c>
      <c r="EB40" s="0" t="n">
        <v>-0.00152925</v>
      </c>
      <c r="EC40" s="0" t="n">
        <v>0.00431305</v>
      </c>
      <c r="ED40" s="0" t="n">
        <v>0.03063313</v>
      </c>
      <c r="EE40" s="0" t="n">
        <v>0.01344833</v>
      </c>
      <c r="EF40" s="0" t="n">
        <v>0.01799425</v>
      </c>
      <c r="EG40" s="0" t="n">
        <v>0.00815597</v>
      </c>
      <c r="EH40" s="0" t="n">
        <v>-0.00740722</v>
      </c>
      <c r="EI40" s="0" t="n">
        <v>0.01518238</v>
      </c>
      <c r="EJ40" s="0" t="n">
        <v>0.01481608</v>
      </c>
      <c r="EK40" s="0" t="n">
        <v>0.02722046</v>
      </c>
      <c r="EL40" s="0" t="n">
        <v>0.03918947</v>
      </c>
      <c r="EM40" s="0" t="n">
        <v>0.00710611</v>
      </c>
      <c r="EN40" s="0" t="n">
        <v>0.03832315</v>
      </c>
      <c r="EO40" s="0" t="n">
        <v>0.01015752</v>
      </c>
      <c r="EP40" s="55" t="n">
        <f aca="false">SUMPRODUCT(B40:EO40,$B$5:$EO$5)</f>
        <v>0.010611884</v>
      </c>
      <c r="EQ40" s="55" t="n">
        <f aca="false">SUMIF('Mi portafolio'!$A$8:$A$19,$A40,'Mi portafolio'!$B$8:$B$19)</f>
        <v>0</v>
      </c>
    </row>
    <row r="41" customFormat="false" ht="15" hidden="false" customHeight="false" outlineLevel="0" collapsed="false">
      <c r="A41" s="54" t="s">
        <v>119</v>
      </c>
      <c r="B41" s="0" t="n">
        <v>-0.00121092</v>
      </c>
      <c r="C41" s="0" t="n">
        <v>0.01016849</v>
      </c>
      <c r="D41" s="0" t="n">
        <v>0.00130726</v>
      </c>
      <c r="E41" s="0" t="n">
        <v>0.0157621</v>
      </c>
      <c r="F41" s="0" t="n">
        <v>-0.00200963</v>
      </c>
      <c r="G41" s="0" t="n">
        <v>0.00741403</v>
      </c>
      <c r="H41" s="0" t="n">
        <v>0.01435652</v>
      </c>
      <c r="I41" s="0" t="n">
        <v>0.00257997</v>
      </c>
      <c r="J41" s="0" t="n">
        <v>0.00448598</v>
      </c>
      <c r="K41" s="0" t="n">
        <v>0.00133686</v>
      </c>
      <c r="L41" s="0" t="n">
        <v>0.01476316</v>
      </c>
      <c r="M41" s="0" t="n">
        <v>0.01375459</v>
      </c>
      <c r="N41" s="0" t="n">
        <v>0.0025657</v>
      </c>
      <c r="O41" s="0" t="n">
        <v>0.0268368</v>
      </c>
      <c r="P41" s="0" t="n">
        <v>0.00134934</v>
      </c>
      <c r="Q41" s="0" t="n">
        <v>-0.00101059</v>
      </c>
      <c r="R41" s="0" t="n">
        <v>0.00439329</v>
      </c>
      <c r="S41" s="0" t="n">
        <v>0.0122231</v>
      </c>
      <c r="T41" s="0" t="n">
        <v>0.00873306</v>
      </c>
      <c r="U41" s="0" t="n">
        <v>0.03226145</v>
      </c>
      <c r="V41" s="0" t="n">
        <v>0.02312937</v>
      </c>
      <c r="W41" s="0" t="n">
        <v>0.01966731</v>
      </c>
      <c r="X41" s="0" t="n">
        <v>0.01255765</v>
      </c>
      <c r="Y41" s="0" t="n">
        <v>-0.0009656</v>
      </c>
      <c r="Z41" s="0" t="n">
        <v>0.02534633</v>
      </c>
      <c r="AA41" s="0" t="n">
        <v>0.01372493</v>
      </c>
      <c r="AB41" s="0" t="n">
        <v>-0.00089508</v>
      </c>
      <c r="AC41" s="0" t="n">
        <v>0.01353776</v>
      </c>
      <c r="AD41" s="0" t="n">
        <v>0.01848217</v>
      </c>
      <c r="AE41" s="0" t="n">
        <v>0.02454775</v>
      </c>
      <c r="AF41" s="0" t="n">
        <v>0.03257099</v>
      </c>
      <c r="AG41" s="0" t="n">
        <v>-0.00146801</v>
      </c>
      <c r="AH41" s="0" t="n">
        <v>-0.00718328</v>
      </c>
      <c r="AI41" s="0" t="n">
        <v>-0.01173583</v>
      </c>
      <c r="AJ41" s="0" t="n">
        <v>0.01102296</v>
      </c>
      <c r="AK41" s="0" t="n">
        <v>0.069066</v>
      </c>
      <c r="AL41" s="0" t="n">
        <v>0.00302745</v>
      </c>
      <c r="AM41" s="0" t="n">
        <v>0.02455522</v>
      </c>
      <c r="AN41" s="0" t="n">
        <v>0.01237399</v>
      </c>
      <c r="AO41" s="0" t="n">
        <v>-0.00523899</v>
      </c>
      <c r="AP41" s="0" t="n">
        <v>0.00945137</v>
      </c>
      <c r="AQ41" s="0" t="n">
        <v>-0.00557479</v>
      </c>
      <c r="AR41" s="0" t="n">
        <v>0.00530095</v>
      </c>
      <c r="AS41" s="0" t="n">
        <v>0.03657004</v>
      </c>
      <c r="AT41" s="0" t="n">
        <v>0.0060097</v>
      </c>
      <c r="AU41" s="0" t="n">
        <v>0.0044701</v>
      </c>
      <c r="AV41" s="0" t="n">
        <v>0.02368496</v>
      </c>
      <c r="AW41" s="0" t="n">
        <v>0.02855056</v>
      </c>
      <c r="AX41" s="0" t="n">
        <v>0.00031181</v>
      </c>
      <c r="AY41" s="0" t="n">
        <v>0.00628504</v>
      </c>
      <c r="AZ41" s="0" t="n">
        <v>0.02636559</v>
      </c>
      <c r="BA41" s="0" t="n">
        <v>0.01727732</v>
      </c>
      <c r="BB41" s="0" t="n">
        <v>0.01554854</v>
      </c>
      <c r="BC41" s="0" t="n">
        <v>0.01400607</v>
      </c>
      <c r="BD41" s="0" t="n">
        <v>0.04285617</v>
      </c>
      <c r="BE41" s="0" t="n">
        <v>0.00641206</v>
      </c>
      <c r="BF41" s="0" t="n">
        <v>0.02019535</v>
      </c>
      <c r="BG41" s="0" t="n">
        <v>0.00081139</v>
      </c>
      <c r="BH41" s="0" t="n">
        <v>0.02445553</v>
      </c>
      <c r="BI41" s="0" t="n">
        <v>0.00337466</v>
      </c>
      <c r="BJ41" s="0" t="n">
        <v>0.00633237</v>
      </c>
      <c r="BK41" s="0" t="n">
        <v>0.02458835</v>
      </c>
      <c r="BL41" s="0" t="n">
        <v>0.01761602</v>
      </c>
      <c r="BM41" s="0" t="n">
        <v>0.00374839</v>
      </c>
      <c r="BN41" s="0" t="n">
        <v>0.00521288</v>
      </c>
      <c r="BO41" s="0" t="n">
        <v>0.00984784</v>
      </c>
      <c r="BP41" s="0" t="n">
        <v>-0.00572819</v>
      </c>
      <c r="BQ41" s="0" t="n">
        <v>0.0339488</v>
      </c>
      <c r="BR41" s="0" t="n">
        <v>0.00921713</v>
      </c>
      <c r="BS41" s="0" t="n">
        <v>-0.01327377</v>
      </c>
      <c r="BT41" s="0" t="n">
        <v>0.02424121</v>
      </c>
      <c r="BU41" s="0" t="n">
        <v>0.03344534</v>
      </c>
      <c r="BV41" s="0" t="n">
        <v>0.00435042</v>
      </c>
      <c r="BW41" s="0" t="n">
        <v>0.00787329</v>
      </c>
      <c r="BX41" s="0" t="n">
        <v>-0.00314667</v>
      </c>
      <c r="BY41" s="0" t="n">
        <v>0.01847727</v>
      </c>
      <c r="BZ41" s="0" t="n">
        <v>0.01607269</v>
      </c>
      <c r="CA41" s="0" t="n">
        <v>0.03145457</v>
      </c>
      <c r="CB41" s="0" t="n">
        <v>0.0032378</v>
      </c>
      <c r="CC41" s="0" t="n">
        <v>0.00467637</v>
      </c>
      <c r="CD41" s="0" t="n">
        <v>-0.00223386</v>
      </c>
      <c r="CE41" s="0" t="n">
        <v>0.00441186</v>
      </c>
      <c r="CF41" s="0" t="n">
        <v>-0.0182615</v>
      </c>
      <c r="CG41" s="0" t="n">
        <v>-0.00146753</v>
      </c>
      <c r="CH41" s="0" t="n">
        <v>0.04933789</v>
      </c>
      <c r="CI41" s="0" t="n">
        <v>-0.0178598</v>
      </c>
      <c r="CJ41" s="0" t="n">
        <v>-0.00262187</v>
      </c>
      <c r="CK41" s="0" t="n">
        <v>0.00667782</v>
      </c>
      <c r="CL41" s="0" t="n">
        <v>0.00888245</v>
      </c>
      <c r="CM41" s="0" t="n">
        <v>0.01268988</v>
      </c>
      <c r="CN41" s="0" t="n">
        <v>0.02682985</v>
      </c>
      <c r="CO41" s="0" t="n">
        <v>0.01605155</v>
      </c>
      <c r="CP41" s="0" t="n">
        <v>-0.0041571</v>
      </c>
      <c r="CQ41" s="0" t="n">
        <v>0.01931211</v>
      </c>
      <c r="CR41" s="0" t="n">
        <v>0.02098004</v>
      </c>
      <c r="CS41" s="0" t="n">
        <v>0.02679318</v>
      </c>
      <c r="CT41" s="0" t="n">
        <v>0.02217065</v>
      </c>
      <c r="CU41" s="0" t="n">
        <v>0.01049369</v>
      </c>
      <c r="CV41" s="0" t="n">
        <v>0.01332433</v>
      </c>
      <c r="CW41" s="0" t="n">
        <v>0.00837382</v>
      </c>
      <c r="CX41" s="0" t="n">
        <v>0.02342482</v>
      </c>
      <c r="CY41" s="0" t="n">
        <v>0.02707427</v>
      </c>
      <c r="CZ41" s="0" t="n">
        <v>0.00131893</v>
      </c>
      <c r="DA41" s="0" t="n">
        <v>-0.01161868</v>
      </c>
      <c r="DB41" s="0" t="n">
        <v>0.02222914</v>
      </c>
      <c r="DC41" s="0" t="n">
        <v>0.04202987</v>
      </c>
      <c r="DD41" s="0" t="n">
        <v>0.00442343</v>
      </c>
      <c r="DE41" s="0" t="n">
        <v>0.04167686</v>
      </c>
      <c r="DF41" s="0" t="n">
        <v>-0.02112669</v>
      </c>
      <c r="DG41" s="0" t="n">
        <v>0.02974572</v>
      </c>
      <c r="DH41" s="0" t="n">
        <v>0.01028729</v>
      </c>
      <c r="DI41" s="0" t="n">
        <v>0.02329724</v>
      </c>
      <c r="DJ41" s="0" t="n">
        <v>0.02453586</v>
      </c>
      <c r="DK41" s="0" t="n">
        <v>0.02410399</v>
      </c>
      <c r="DL41" s="0" t="n">
        <v>0.04392337</v>
      </c>
      <c r="DM41" s="0" t="n">
        <v>0.03627684</v>
      </c>
      <c r="DN41" s="0" t="n">
        <v>0.00478197</v>
      </c>
      <c r="DO41" s="0" t="n">
        <v>0.02001724</v>
      </c>
      <c r="DP41" s="0" t="n">
        <v>0.02371441</v>
      </c>
      <c r="DQ41" s="0" t="n">
        <v>0.01984281</v>
      </c>
      <c r="DR41" s="0" t="n">
        <v>0.01941682</v>
      </c>
      <c r="DS41" s="0" t="n">
        <v>-0.00586916</v>
      </c>
      <c r="DT41" s="0" t="n">
        <v>0.00456492</v>
      </c>
      <c r="DU41" s="0" t="n">
        <v>0.0236524</v>
      </c>
      <c r="DV41" s="0" t="n">
        <v>-0.00097283</v>
      </c>
      <c r="DW41" s="0" t="n">
        <v>0.01056199</v>
      </c>
      <c r="DX41" s="0" t="n">
        <v>0.03383887</v>
      </c>
      <c r="DY41" s="0" t="n">
        <v>0.00682236</v>
      </c>
      <c r="DZ41" s="0" t="n">
        <v>-0.01195982</v>
      </c>
      <c r="EA41" s="0" t="n">
        <v>0.01791799</v>
      </c>
      <c r="EB41" s="0" t="n">
        <v>0.01932736</v>
      </c>
      <c r="EC41" s="0" t="n">
        <v>0.03878847</v>
      </c>
      <c r="ED41" s="0" t="n">
        <v>0.02602368</v>
      </c>
      <c r="EE41" s="0" t="n">
        <v>0.03622093</v>
      </c>
      <c r="EF41" s="0" t="n">
        <v>0.02577079</v>
      </c>
      <c r="EG41" s="0" t="n">
        <v>0.04098026</v>
      </c>
      <c r="EH41" s="0" t="n">
        <v>-0.00778944</v>
      </c>
      <c r="EI41" s="0" t="n">
        <v>0.03496602</v>
      </c>
      <c r="EJ41" s="0" t="n">
        <v>0.03177808</v>
      </c>
      <c r="EK41" s="0" t="n">
        <v>0.0314168</v>
      </c>
      <c r="EL41" s="0" t="n">
        <v>0.06161566</v>
      </c>
      <c r="EM41" s="0" t="n">
        <v>0.00381124</v>
      </c>
      <c r="EN41" s="0" t="n">
        <v>0.01102593</v>
      </c>
      <c r="EO41" s="0" t="n">
        <v>0.03199953</v>
      </c>
      <c r="EP41" s="55" t="n">
        <f aca="false">SUMPRODUCT(B41:EO41,$B$5:$EO$5)</f>
        <v>0.025130192</v>
      </c>
      <c r="EQ41" s="55" t="n">
        <f aca="false">SUMIF('Mi portafolio'!$A$8:$A$19,$A41,'Mi portafolio'!$B$8:$B$19)</f>
        <v>0</v>
      </c>
    </row>
    <row r="42" customFormat="false" ht="15" hidden="false" customHeight="false" outlineLevel="0" collapsed="false">
      <c r="A42" s="54" t="s">
        <v>186</v>
      </c>
      <c r="B42" s="0" t="n">
        <v>0.01229607</v>
      </c>
      <c r="C42" s="0" t="n">
        <v>-0.00049695</v>
      </c>
      <c r="D42" s="0" t="n">
        <v>0.00236023</v>
      </c>
      <c r="E42" s="0" t="n">
        <v>0.00733595</v>
      </c>
      <c r="F42" s="0" t="n">
        <v>0.01404468</v>
      </c>
      <c r="G42" s="0" t="n">
        <v>-0.00350662</v>
      </c>
      <c r="H42" s="0" t="n">
        <v>0.00054983</v>
      </c>
      <c r="I42" s="0" t="n">
        <v>0.01591877</v>
      </c>
      <c r="J42" s="0" t="n">
        <v>0.01118178</v>
      </c>
      <c r="K42" s="0" t="n">
        <v>0.0151128</v>
      </c>
      <c r="L42" s="0" t="n">
        <v>0.00578587</v>
      </c>
      <c r="M42" s="0" t="n">
        <v>0.01513362</v>
      </c>
      <c r="N42" s="0" t="n">
        <v>0.01780377</v>
      </c>
      <c r="O42" s="0" t="n">
        <v>0.00621855</v>
      </c>
      <c r="P42" s="0" t="n">
        <v>0.01359927</v>
      </c>
      <c r="Q42" s="0" t="n">
        <v>0.00562467</v>
      </c>
      <c r="R42" s="0" t="n">
        <v>0.01722927</v>
      </c>
      <c r="S42" s="0" t="n">
        <v>0.00149677</v>
      </c>
      <c r="T42" s="0" t="n">
        <v>0.01813523</v>
      </c>
      <c r="U42" s="0" t="n">
        <v>0.00642344</v>
      </c>
      <c r="V42" s="0" t="n">
        <v>0.00255712</v>
      </c>
      <c r="W42" s="0" t="n">
        <v>0.00138893</v>
      </c>
      <c r="X42" s="0" t="n">
        <v>0.01561598</v>
      </c>
      <c r="Y42" s="0" t="n">
        <v>0.01870581</v>
      </c>
      <c r="Z42" s="0" t="n">
        <v>0.0022104</v>
      </c>
      <c r="AA42" s="0" t="n">
        <v>0.00977382</v>
      </c>
      <c r="AB42" s="0" t="n">
        <v>0.01771644</v>
      </c>
      <c r="AC42" s="0" t="n">
        <v>-0.00447879</v>
      </c>
      <c r="AD42" s="0" t="n">
        <v>0.00296703</v>
      </c>
      <c r="AE42" s="0" t="n">
        <v>0.00709234</v>
      </c>
      <c r="AF42" s="0" t="n">
        <v>0.0014022</v>
      </c>
      <c r="AG42" s="0" t="n">
        <v>0.00958578</v>
      </c>
      <c r="AH42" s="0" t="n">
        <v>0.00792005</v>
      </c>
      <c r="AI42" s="0" t="n">
        <v>-0.00012776</v>
      </c>
      <c r="AJ42" s="0" t="n">
        <v>0.00509976</v>
      </c>
      <c r="AK42" s="0" t="n">
        <v>0.00302745</v>
      </c>
      <c r="AL42" s="0" t="n">
        <v>0.06830853</v>
      </c>
      <c r="AM42" s="0" t="n">
        <v>0.00677738</v>
      </c>
      <c r="AN42" s="0" t="n">
        <v>0.01940116</v>
      </c>
      <c r="AO42" s="0" t="n">
        <v>0.01515471</v>
      </c>
      <c r="AP42" s="0" t="n">
        <v>0.02075941</v>
      </c>
      <c r="AQ42" s="0" t="n">
        <v>0.00040625</v>
      </c>
      <c r="AR42" s="0" t="n">
        <v>0.02000165</v>
      </c>
      <c r="AS42" s="0" t="n">
        <v>0.00847611</v>
      </c>
      <c r="AT42" s="0" t="n">
        <v>0.02216158</v>
      </c>
      <c r="AU42" s="0" t="n">
        <v>0.01349953</v>
      </c>
      <c r="AV42" s="0" t="n">
        <v>0.00851135</v>
      </c>
      <c r="AW42" s="0" t="n">
        <v>0.00252871</v>
      </c>
      <c r="AX42" s="0" t="n">
        <v>0.01793952</v>
      </c>
      <c r="AY42" s="0" t="n">
        <v>0.01743471</v>
      </c>
      <c r="AZ42" s="0" t="n">
        <v>0.00961845</v>
      </c>
      <c r="BA42" s="0" t="n">
        <v>0.01417368</v>
      </c>
      <c r="BB42" s="0" t="n">
        <v>0.02207314</v>
      </c>
      <c r="BC42" s="0" t="n">
        <v>0.00707281</v>
      </c>
      <c r="BD42" s="0" t="n">
        <v>-0.00029708</v>
      </c>
      <c r="BE42" s="0" t="n">
        <v>0.02081839</v>
      </c>
      <c r="BF42" s="0" t="n">
        <v>0.01126368</v>
      </c>
      <c r="BG42" s="0" t="n">
        <v>0.0109837</v>
      </c>
      <c r="BH42" s="0" t="n">
        <v>0.00438998</v>
      </c>
      <c r="BI42" s="0" t="n">
        <v>0.00167501</v>
      </c>
      <c r="BJ42" s="0" t="n">
        <v>-0.0071944</v>
      </c>
      <c r="BK42" s="0" t="n">
        <v>0.0040033</v>
      </c>
      <c r="BL42" s="0" t="n">
        <v>0.01568995</v>
      </c>
      <c r="BM42" s="0" t="n">
        <v>0.0204852</v>
      </c>
      <c r="BN42" s="0" t="n">
        <v>0.00380754</v>
      </c>
      <c r="BO42" s="0" t="n">
        <v>0.01939004</v>
      </c>
      <c r="BP42" s="0" t="n">
        <v>0.01596735</v>
      </c>
      <c r="BQ42" s="0" t="n">
        <v>0.00801117</v>
      </c>
      <c r="BR42" s="0" t="n">
        <v>0.02586422</v>
      </c>
      <c r="BS42" s="0" t="n">
        <v>-0.00108591</v>
      </c>
      <c r="BT42" s="0" t="n">
        <v>0.02040807</v>
      </c>
      <c r="BU42" s="0" t="n">
        <v>0.00748281</v>
      </c>
      <c r="BV42" s="0" t="n">
        <v>0.01419302</v>
      </c>
      <c r="BW42" s="0" t="n">
        <v>0.02107087</v>
      </c>
      <c r="BX42" s="0" t="n">
        <v>0.02193324</v>
      </c>
      <c r="BY42" s="0" t="n">
        <v>0.02500495</v>
      </c>
      <c r="BZ42" s="0" t="n">
        <v>0.02454923</v>
      </c>
      <c r="CA42" s="0" t="n">
        <v>0.0070775</v>
      </c>
      <c r="CB42" s="0" t="n">
        <v>-0.00414555</v>
      </c>
      <c r="CC42" s="0" t="n">
        <v>-0.00246744</v>
      </c>
      <c r="CD42" s="0" t="n">
        <v>0.01761039</v>
      </c>
      <c r="CE42" s="0" t="n">
        <v>0.01966864</v>
      </c>
      <c r="CF42" s="0" t="n">
        <v>0.00081102</v>
      </c>
      <c r="CG42" s="0" t="n">
        <v>0.03210794</v>
      </c>
      <c r="CH42" s="0" t="n">
        <v>0.01169606</v>
      </c>
      <c r="CI42" s="0" t="n">
        <v>-0.00505194</v>
      </c>
      <c r="CJ42" s="0" t="n">
        <v>0.0222845</v>
      </c>
      <c r="CK42" s="0" t="n">
        <v>0.02651074</v>
      </c>
      <c r="CL42" s="0" t="n">
        <v>0.0251498</v>
      </c>
      <c r="CM42" s="0" t="n">
        <v>0.01321431</v>
      </c>
      <c r="CN42" s="0" t="n">
        <v>-0.00250197</v>
      </c>
      <c r="CO42" s="0" t="n">
        <v>0.00487029</v>
      </c>
      <c r="CP42" s="0" t="n">
        <v>0.03318124</v>
      </c>
      <c r="CQ42" s="0" t="n">
        <v>0.03369298</v>
      </c>
      <c r="CR42" s="0" t="n">
        <v>0.01782012</v>
      </c>
      <c r="CS42" s="0" t="n">
        <v>0.01334381</v>
      </c>
      <c r="CT42" s="0" t="n">
        <v>0.02310157</v>
      </c>
      <c r="CU42" s="0" t="n">
        <v>0.02284963</v>
      </c>
      <c r="CV42" s="0" t="n">
        <v>0.01725297</v>
      </c>
      <c r="CW42" s="0" t="n">
        <v>0.02464059</v>
      </c>
      <c r="CX42" s="0" t="n">
        <v>0.01990795</v>
      </c>
      <c r="CY42" s="0" t="n">
        <v>0.03282962</v>
      </c>
      <c r="CZ42" s="0" t="n">
        <v>0.0263665</v>
      </c>
      <c r="DA42" s="0" t="n">
        <v>0.03139949</v>
      </c>
      <c r="DB42" s="0" t="n">
        <v>0.02568147</v>
      </c>
      <c r="DC42" s="0" t="n">
        <v>0.01073371</v>
      </c>
      <c r="DD42" s="0" t="n">
        <v>0.03170597</v>
      </c>
      <c r="DE42" s="0" t="n">
        <v>0.01855462</v>
      </c>
      <c r="DF42" s="0" t="n">
        <v>0.02309914</v>
      </c>
      <c r="DG42" s="0" t="n">
        <v>0.0199349</v>
      </c>
      <c r="DH42" s="0" t="n">
        <v>0.02435951</v>
      </c>
      <c r="DI42" s="0" t="n">
        <v>0.03714476</v>
      </c>
      <c r="DJ42" s="0" t="n">
        <v>0.03479388</v>
      </c>
      <c r="DK42" s="0" t="n">
        <v>0.03809685</v>
      </c>
      <c r="DL42" s="0" t="n">
        <v>-0.00129401</v>
      </c>
      <c r="DM42" s="0" t="n">
        <v>0.04121633</v>
      </c>
      <c r="DN42" s="0" t="n">
        <v>0.03147651</v>
      </c>
      <c r="DO42" s="0" t="n">
        <v>0.03743985</v>
      </c>
      <c r="DP42" s="0" t="n">
        <v>0.04112722</v>
      </c>
      <c r="DQ42" s="0" t="n">
        <v>0.02593022</v>
      </c>
      <c r="DR42" s="0" t="n">
        <v>0.00923342</v>
      </c>
      <c r="DS42" s="0" t="n">
        <v>0.0350262</v>
      </c>
      <c r="DT42" s="0" t="n">
        <v>0.00561116</v>
      </c>
      <c r="DU42" s="0" t="n">
        <v>0.0304757</v>
      </c>
      <c r="DV42" s="0" t="n">
        <v>0.03372567</v>
      </c>
      <c r="DW42" s="0" t="n">
        <v>0.03936586</v>
      </c>
      <c r="DX42" s="0" t="n">
        <v>-0.00428053</v>
      </c>
      <c r="DY42" s="0" t="n">
        <v>0.04387283</v>
      </c>
      <c r="DZ42" s="0" t="n">
        <v>0.02331147</v>
      </c>
      <c r="EA42" s="0" t="n">
        <v>0.03637403</v>
      </c>
      <c r="EB42" s="0" t="n">
        <v>0.04441141</v>
      </c>
      <c r="EC42" s="0" t="n">
        <v>0.00036207</v>
      </c>
      <c r="ED42" s="0" t="n">
        <v>0.03604747</v>
      </c>
      <c r="EE42" s="0" t="n">
        <v>0.01971421</v>
      </c>
      <c r="EF42" s="0" t="n">
        <v>0.04919864</v>
      </c>
      <c r="EG42" s="0" t="n">
        <v>0.01852959</v>
      </c>
      <c r="EH42" s="0" t="n">
        <v>0.04408717</v>
      </c>
      <c r="EI42" s="0" t="n">
        <v>-3.292E-005</v>
      </c>
      <c r="EJ42" s="0" t="n">
        <v>0.04226554</v>
      </c>
      <c r="EK42" s="0" t="n">
        <v>0.01709196</v>
      </c>
      <c r="EL42" s="0" t="n">
        <v>0.02343258</v>
      </c>
      <c r="EM42" s="0" t="n">
        <v>0.0220917</v>
      </c>
      <c r="EN42" s="0" t="n">
        <v>0.06000346</v>
      </c>
      <c r="EO42" s="0" t="n">
        <v>0.05546246</v>
      </c>
      <c r="EP42" s="55" t="n">
        <f aca="false">SUMPRODUCT(B42:EO42,$B$5:$EO$5)</f>
        <v>0.01782765</v>
      </c>
      <c r="EQ42" s="55" t="n">
        <f aca="false">SUMIF('Mi portafolio'!$A$8:$A$19,$A42,'Mi portafolio'!$B$8:$B$19)</f>
        <v>0</v>
      </c>
    </row>
    <row r="43" customFormat="false" ht="15" hidden="false" customHeight="false" outlineLevel="0" collapsed="false">
      <c r="A43" s="54" t="s">
        <v>187</v>
      </c>
      <c r="B43" s="0" t="n">
        <v>0.00161021</v>
      </c>
      <c r="C43" s="0" t="n">
        <v>0.00397934</v>
      </c>
      <c r="D43" s="0" t="n">
        <v>0.0046754</v>
      </c>
      <c r="E43" s="0" t="n">
        <v>0.00856475</v>
      </c>
      <c r="F43" s="0" t="n">
        <v>-0.00020037</v>
      </c>
      <c r="G43" s="0" t="n">
        <v>0.00954598</v>
      </c>
      <c r="H43" s="0" t="n">
        <v>0.0094761</v>
      </c>
      <c r="I43" s="0" t="n">
        <v>0.00237123</v>
      </c>
      <c r="J43" s="0" t="n">
        <v>0.00489484</v>
      </c>
      <c r="K43" s="0" t="n">
        <v>0.00131558</v>
      </c>
      <c r="L43" s="0" t="n">
        <v>0.00913972</v>
      </c>
      <c r="M43" s="0" t="n">
        <v>0.01170799</v>
      </c>
      <c r="N43" s="0" t="n">
        <v>0.00662218</v>
      </c>
      <c r="O43" s="0" t="n">
        <v>0.01592929</v>
      </c>
      <c r="P43" s="0" t="n">
        <v>0.00443065</v>
      </c>
      <c r="Q43" s="0" t="n">
        <v>0.00367121</v>
      </c>
      <c r="R43" s="0" t="n">
        <v>0.00619143</v>
      </c>
      <c r="S43" s="0" t="n">
        <v>0.00897126</v>
      </c>
      <c r="T43" s="0" t="n">
        <v>0.01190186</v>
      </c>
      <c r="U43" s="0" t="n">
        <v>0.01781895</v>
      </c>
      <c r="V43" s="0" t="n">
        <v>0.01018578</v>
      </c>
      <c r="W43" s="0" t="n">
        <v>0.00724309</v>
      </c>
      <c r="X43" s="0" t="n">
        <v>0.01649927</v>
      </c>
      <c r="Y43" s="0" t="n">
        <v>0.00730766</v>
      </c>
      <c r="Z43" s="0" t="n">
        <v>0.02006367</v>
      </c>
      <c r="AA43" s="0" t="n">
        <v>0.01548994</v>
      </c>
      <c r="AB43" s="0" t="n">
        <v>0.00661278</v>
      </c>
      <c r="AC43" s="0" t="n">
        <v>0.01034898</v>
      </c>
      <c r="AD43" s="0" t="n">
        <v>0.00858786</v>
      </c>
      <c r="AE43" s="0" t="n">
        <v>0.01624081</v>
      </c>
      <c r="AF43" s="0" t="n">
        <v>0.01933089</v>
      </c>
      <c r="AG43" s="0" t="n">
        <v>0.00434588</v>
      </c>
      <c r="AH43" s="0" t="n">
        <v>-0.00052727</v>
      </c>
      <c r="AI43" s="0" t="n">
        <v>-0.00916635</v>
      </c>
      <c r="AJ43" s="0" t="n">
        <v>0.01058194</v>
      </c>
      <c r="AK43" s="0" t="n">
        <v>0.02455522</v>
      </c>
      <c r="AL43" s="0" t="n">
        <v>0.00677738</v>
      </c>
      <c r="AM43" s="0" t="n">
        <v>0.07302321</v>
      </c>
      <c r="AN43" s="0" t="n">
        <v>0.00739224</v>
      </c>
      <c r="AO43" s="0" t="n">
        <v>0.00781742</v>
      </c>
      <c r="AP43" s="0" t="n">
        <v>0.00906604</v>
      </c>
      <c r="AQ43" s="0" t="n">
        <v>-0.01158669</v>
      </c>
      <c r="AR43" s="0" t="n">
        <v>0.01104115</v>
      </c>
      <c r="AS43" s="0" t="n">
        <v>0.01544017</v>
      </c>
      <c r="AT43" s="0" t="n">
        <v>0.00767291</v>
      </c>
      <c r="AU43" s="0" t="n">
        <v>0.00457385</v>
      </c>
      <c r="AV43" s="0" t="n">
        <v>0.00971336</v>
      </c>
      <c r="AW43" s="0" t="n">
        <v>0.01363542</v>
      </c>
      <c r="AX43" s="0" t="n">
        <v>0.01361322</v>
      </c>
      <c r="AY43" s="0" t="n">
        <v>0.00562739</v>
      </c>
      <c r="AZ43" s="0" t="n">
        <v>0.01587624</v>
      </c>
      <c r="BA43" s="0" t="n">
        <v>0.01500157</v>
      </c>
      <c r="BB43" s="0" t="n">
        <v>0.01713744</v>
      </c>
      <c r="BC43" s="0" t="n">
        <v>0.01767941</v>
      </c>
      <c r="BD43" s="0" t="n">
        <v>0.02566546</v>
      </c>
      <c r="BE43" s="0" t="n">
        <v>0.00947167</v>
      </c>
      <c r="BF43" s="0" t="n">
        <v>0.01922278</v>
      </c>
      <c r="BG43" s="0" t="n">
        <v>0.00722043</v>
      </c>
      <c r="BH43" s="0" t="n">
        <v>0.01387545</v>
      </c>
      <c r="BI43" s="0" t="n">
        <v>0.00890396</v>
      </c>
      <c r="BJ43" s="0" t="n">
        <v>0.00308953</v>
      </c>
      <c r="BK43" s="0" t="n">
        <v>0.02461195</v>
      </c>
      <c r="BL43" s="0" t="n">
        <v>0.00837067</v>
      </c>
      <c r="BM43" s="0" t="n">
        <v>0.00636917</v>
      </c>
      <c r="BN43" s="0" t="n">
        <v>0.01275349</v>
      </c>
      <c r="BO43" s="0" t="n">
        <v>0.01406163</v>
      </c>
      <c r="BP43" s="0" t="n">
        <v>0.00506906</v>
      </c>
      <c r="BQ43" s="0" t="n">
        <v>0.02520065</v>
      </c>
      <c r="BR43" s="0" t="n">
        <v>0.01494265</v>
      </c>
      <c r="BS43" s="0" t="n">
        <v>-0.01115172</v>
      </c>
      <c r="BT43" s="0" t="n">
        <v>0.02502761</v>
      </c>
      <c r="BU43" s="0" t="n">
        <v>0.02662205</v>
      </c>
      <c r="BV43" s="0" t="n">
        <v>0.00840124</v>
      </c>
      <c r="BW43" s="0" t="n">
        <v>0.01552706</v>
      </c>
      <c r="BX43" s="0" t="n">
        <v>0.00452733</v>
      </c>
      <c r="BY43" s="0" t="n">
        <v>0.0177516</v>
      </c>
      <c r="BZ43" s="0" t="n">
        <v>0.02355557</v>
      </c>
      <c r="CA43" s="0" t="n">
        <v>0.0247246</v>
      </c>
      <c r="CB43" s="0" t="n">
        <v>-0.00429076</v>
      </c>
      <c r="CC43" s="0" t="n">
        <v>0.00897435</v>
      </c>
      <c r="CD43" s="0" t="n">
        <v>0.02030702</v>
      </c>
      <c r="CE43" s="0" t="n">
        <v>0.01288947</v>
      </c>
      <c r="CF43" s="0" t="n">
        <v>-0.01081584</v>
      </c>
      <c r="CG43" s="0" t="n">
        <v>0.01100773</v>
      </c>
      <c r="CH43" s="0" t="n">
        <v>0.02011194</v>
      </c>
      <c r="CI43" s="0" t="n">
        <v>-0.01305642</v>
      </c>
      <c r="CJ43" s="0" t="n">
        <v>0.00821767</v>
      </c>
      <c r="CK43" s="0" t="n">
        <v>-0.00463052</v>
      </c>
      <c r="CL43" s="0" t="n">
        <v>0.01667866</v>
      </c>
      <c r="CM43" s="0" t="n">
        <v>0.00799614</v>
      </c>
      <c r="CN43" s="0" t="n">
        <v>0.01205054</v>
      </c>
      <c r="CO43" s="0" t="n">
        <v>0.0066772</v>
      </c>
      <c r="CP43" s="0" t="n">
        <v>0.00450753</v>
      </c>
      <c r="CQ43" s="0" t="n">
        <v>0.02034286</v>
      </c>
      <c r="CR43" s="0" t="n">
        <v>0.01603188</v>
      </c>
      <c r="CS43" s="0" t="n">
        <v>0.01782548</v>
      </c>
      <c r="CT43" s="0" t="n">
        <v>0.02313641</v>
      </c>
      <c r="CU43" s="0" t="n">
        <v>0.01849548</v>
      </c>
      <c r="CV43" s="0" t="n">
        <v>0.00997266</v>
      </c>
      <c r="CW43" s="0" t="n">
        <v>0.01546477</v>
      </c>
      <c r="CX43" s="0" t="n">
        <v>0.01809314</v>
      </c>
      <c r="CY43" s="0" t="n">
        <v>0.01539181</v>
      </c>
      <c r="CZ43" s="0" t="n">
        <v>0.02030414</v>
      </c>
      <c r="DA43" s="0" t="n">
        <v>0.01182215</v>
      </c>
      <c r="DB43" s="0" t="n">
        <v>0.02024205</v>
      </c>
      <c r="DC43" s="0" t="n">
        <v>0.04258068</v>
      </c>
      <c r="DD43" s="0" t="n">
        <v>0.03503299</v>
      </c>
      <c r="DE43" s="0" t="n">
        <v>0.01794129</v>
      </c>
      <c r="DF43" s="0" t="n">
        <v>0.00824037</v>
      </c>
      <c r="DG43" s="0" t="n">
        <v>0.01636844</v>
      </c>
      <c r="DH43" s="0" t="n">
        <v>0.01696576</v>
      </c>
      <c r="DI43" s="0" t="n">
        <v>0.02262684</v>
      </c>
      <c r="DJ43" s="0" t="n">
        <v>0.01652638</v>
      </c>
      <c r="DK43" s="0" t="n">
        <v>0.02418905</v>
      </c>
      <c r="DL43" s="0" t="n">
        <v>0.01685965</v>
      </c>
      <c r="DM43" s="0" t="n">
        <v>0.03245109</v>
      </c>
      <c r="DN43" s="0" t="n">
        <v>0.01351214</v>
      </c>
      <c r="DO43" s="0" t="n">
        <v>0.02482397</v>
      </c>
      <c r="DP43" s="0" t="n">
        <v>0.02664073</v>
      </c>
      <c r="DQ43" s="0" t="n">
        <v>0.03794642</v>
      </c>
      <c r="DR43" s="0" t="n">
        <v>0.02861456</v>
      </c>
      <c r="DS43" s="0" t="n">
        <v>0.01852421</v>
      </c>
      <c r="DT43" s="0" t="n">
        <v>0.01561281</v>
      </c>
      <c r="DU43" s="0" t="n">
        <v>0.0327574</v>
      </c>
      <c r="DV43" s="0" t="n">
        <v>0.0218093</v>
      </c>
      <c r="DW43" s="0" t="n">
        <v>0.02392955</v>
      </c>
      <c r="DX43" s="0" t="n">
        <v>0.01338202</v>
      </c>
      <c r="DY43" s="0" t="n">
        <v>0.0224892</v>
      </c>
      <c r="DZ43" s="0" t="n">
        <v>0.02831926</v>
      </c>
      <c r="EA43" s="0" t="n">
        <v>0.00715759</v>
      </c>
      <c r="EB43" s="0" t="n">
        <v>0.03666689</v>
      </c>
      <c r="EC43" s="0" t="n">
        <v>0.0069641</v>
      </c>
      <c r="ED43" s="0" t="n">
        <v>0.03754982</v>
      </c>
      <c r="EE43" s="0" t="n">
        <v>0.03560794</v>
      </c>
      <c r="EF43" s="0" t="n">
        <v>0.0260946</v>
      </c>
      <c r="EG43" s="0" t="n">
        <v>0.02294405</v>
      </c>
      <c r="EH43" s="0" t="n">
        <v>0.00999422</v>
      </c>
      <c r="EI43" s="0" t="n">
        <v>0.00510303</v>
      </c>
      <c r="EJ43" s="0" t="n">
        <v>0.050793</v>
      </c>
      <c r="EK43" s="0" t="n">
        <v>0.03852638</v>
      </c>
      <c r="EL43" s="0" t="n">
        <v>0.05214932</v>
      </c>
      <c r="EM43" s="0" t="n">
        <v>0.03277786</v>
      </c>
      <c r="EN43" s="0" t="n">
        <v>0.0419976</v>
      </c>
      <c r="EO43" s="0" t="n">
        <v>0.02523232</v>
      </c>
      <c r="EP43" s="55" t="n">
        <f aca="false">SUMPRODUCT(B43:EO43,$B$5:$EO$5)</f>
        <v>0.019316406</v>
      </c>
      <c r="EQ43" s="55" t="n">
        <f aca="false">SUMIF('Mi portafolio'!$A$8:$A$19,$A43,'Mi portafolio'!$B$8:$B$19)</f>
        <v>0</v>
      </c>
    </row>
    <row r="44" customFormat="false" ht="15" hidden="false" customHeight="false" outlineLevel="0" collapsed="false">
      <c r="A44" s="54" t="s">
        <v>188</v>
      </c>
      <c r="B44" s="0" t="n">
        <v>0.01604514</v>
      </c>
      <c r="C44" s="0" t="n">
        <v>0.00063756</v>
      </c>
      <c r="D44" s="0" t="n">
        <v>-0.00256398</v>
      </c>
      <c r="E44" s="0" t="n">
        <v>0.00657424</v>
      </c>
      <c r="F44" s="0" t="n">
        <v>0.02137466</v>
      </c>
      <c r="G44" s="0" t="n">
        <v>-0.00155489</v>
      </c>
      <c r="H44" s="0" t="n">
        <v>0.00788738</v>
      </c>
      <c r="I44" s="0" t="n">
        <v>0.02684591</v>
      </c>
      <c r="J44" s="0" t="n">
        <v>0.01623677</v>
      </c>
      <c r="K44" s="0" t="n">
        <v>0.02909479</v>
      </c>
      <c r="L44" s="0" t="n">
        <v>0.00772693</v>
      </c>
      <c r="M44" s="0" t="n">
        <v>0.03151653</v>
      </c>
      <c r="N44" s="0" t="n">
        <v>0.02083882</v>
      </c>
      <c r="O44" s="0" t="n">
        <v>0.00808856</v>
      </c>
      <c r="P44" s="0" t="n">
        <v>0.02089689</v>
      </c>
      <c r="Q44" s="0" t="n">
        <v>0.00467787</v>
      </c>
      <c r="R44" s="0" t="n">
        <v>0.02485457</v>
      </c>
      <c r="S44" s="0" t="n">
        <v>0.01096023</v>
      </c>
      <c r="T44" s="0" t="n">
        <v>0.01769207</v>
      </c>
      <c r="U44" s="0" t="n">
        <v>0.01427126</v>
      </c>
      <c r="V44" s="0" t="n">
        <v>0.01081769</v>
      </c>
      <c r="W44" s="0" t="n">
        <v>0.00454169</v>
      </c>
      <c r="X44" s="0" t="n">
        <v>0.01893408</v>
      </c>
      <c r="Y44" s="0" t="n">
        <v>0.02075557</v>
      </c>
      <c r="Z44" s="0" t="n">
        <v>0.01124193</v>
      </c>
      <c r="AA44" s="0" t="n">
        <v>0.01458327</v>
      </c>
      <c r="AB44" s="0" t="n">
        <v>0.02181965</v>
      </c>
      <c r="AC44" s="0" t="n">
        <v>0.00041697</v>
      </c>
      <c r="AD44" s="0" t="n">
        <v>0.00428966</v>
      </c>
      <c r="AE44" s="0" t="n">
        <v>0.01472842</v>
      </c>
      <c r="AF44" s="0" t="n">
        <v>-0.00019073</v>
      </c>
      <c r="AG44" s="0" t="n">
        <v>0.01200708</v>
      </c>
      <c r="AH44" s="0" t="n">
        <v>0.01555101</v>
      </c>
      <c r="AI44" s="0" t="n">
        <v>-0.00842913</v>
      </c>
      <c r="AJ44" s="0" t="n">
        <v>-0.00102214</v>
      </c>
      <c r="AK44" s="0" t="n">
        <v>0.01237399</v>
      </c>
      <c r="AL44" s="0" t="n">
        <v>0.01940116</v>
      </c>
      <c r="AM44" s="0" t="n">
        <v>0.00739224</v>
      </c>
      <c r="AN44" s="0" t="n">
        <v>0.07272777</v>
      </c>
      <c r="AO44" s="0" t="n">
        <v>0.01826369</v>
      </c>
      <c r="AP44" s="0" t="n">
        <v>0.0303956</v>
      </c>
      <c r="AQ44" s="0" t="n">
        <v>-0.01014645</v>
      </c>
      <c r="AR44" s="0" t="n">
        <v>0.01853511</v>
      </c>
      <c r="AS44" s="0" t="n">
        <v>0.01714695</v>
      </c>
      <c r="AT44" s="0" t="n">
        <v>0.02565619</v>
      </c>
      <c r="AU44" s="0" t="n">
        <v>0.02865237</v>
      </c>
      <c r="AV44" s="0" t="n">
        <v>0.01300085</v>
      </c>
      <c r="AW44" s="0" t="n">
        <v>0.01807345</v>
      </c>
      <c r="AX44" s="0" t="n">
        <v>0.02685148</v>
      </c>
      <c r="AY44" s="0" t="n">
        <v>0.02947739</v>
      </c>
      <c r="AZ44" s="0" t="n">
        <v>0.02055251</v>
      </c>
      <c r="BA44" s="0" t="n">
        <v>0.03359172</v>
      </c>
      <c r="BB44" s="0" t="n">
        <v>0.01992381</v>
      </c>
      <c r="BC44" s="0" t="n">
        <v>0.00793005</v>
      </c>
      <c r="BD44" s="0" t="n">
        <v>0.01442285</v>
      </c>
      <c r="BE44" s="0" t="n">
        <v>0.02723553</v>
      </c>
      <c r="BF44" s="0" t="n">
        <v>0.0156606</v>
      </c>
      <c r="BG44" s="0" t="n">
        <v>0.02791346</v>
      </c>
      <c r="BH44" s="0" t="n">
        <v>0.0165664</v>
      </c>
      <c r="BI44" s="0" t="n">
        <v>0.00850728</v>
      </c>
      <c r="BJ44" s="0" t="n">
        <v>-0.00470876</v>
      </c>
      <c r="BK44" s="0" t="n">
        <v>0.01149092</v>
      </c>
      <c r="BL44" s="0" t="n">
        <v>0.02544213</v>
      </c>
      <c r="BM44" s="0" t="n">
        <v>0.03750742</v>
      </c>
      <c r="BN44" s="0" t="n">
        <v>0.01189442</v>
      </c>
      <c r="BO44" s="0" t="n">
        <v>0.02376629</v>
      </c>
      <c r="BP44" s="0" t="n">
        <v>0.00803166</v>
      </c>
      <c r="BQ44" s="0" t="n">
        <v>0.02361577</v>
      </c>
      <c r="BR44" s="0" t="n">
        <v>0.03166494</v>
      </c>
      <c r="BS44" s="0" t="n">
        <v>-0.01761192</v>
      </c>
      <c r="BT44" s="0" t="n">
        <v>0.03931063</v>
      </c>
      <c r="BU44" s="0" t="n">
        <v>0.01279427</v>
      </c>
      <c r="BV44" s="0" t="n">
        <v>0.02875556</v>
      </c>
      <c r="BW44" s="0" t="n">
        <v>0.0202</v>
      </c>
      <c r="BX44" s="0" t="n">
        <v>0.02524891</v>
      </c>
      <c r="BY44" s="0" t="n">
        <v>0.03838075</v>
      </c>
      <c r="BZ44" s="0" t="n">
        <v>0.03666695</v>
      </c>
      <c r="CA44" s="0" t="n">
        <v>0.0134277</v>
      </c>
      <c r="CB44" s="0" t="n">
        <v>0.00126022</v>
      </c>
      <c r="CC44" s="0" t="n">
        <v>0.01318929</v>
      </c>
      <c r="CD44" s="0" t="n">
        <v>0.02883255</v>
      </c>
      <c r="CE44" s="0" t="n">
        <v>0.00907615</v>
      </c>
      <c r="CF44" s="0" t="n">
        <v>-0.01696302</v>
      </c>
      <c r="CG44" s="0" t="n">
        <v>0.04207232</v>
      </c>
      <c r="CH44" s="0" t="n">
        <v>0.01929809</v>
      </c>
      <c r="CI44" s="0" t="n">
        <v>-0.01818425</v>
      </c>
      <c r="CJ44" s="0" t="n">
        <v>0.01254198</v>
      </c>
      <c r="CK44" s="0" t="n">
        <v>0.04588021</v>
      </c>
      <c r="CL44" s="0" t="n">
        <v>0.03163215</v>
      </c>
      <c r="CM44" s="0" t="n">
        <v>0.00648686</v>
      </c>
      <c r="CN44" s="0" t="n">
        <v>0.00314132</v>
      </c>
      <c r="CO44" s="0" t="n">
        <v>0.01393509</v>
      </c>
      <c r="CP44" s="0" t="n">
        <v>0.01782949</v>
      </c>
      <c r="CQ44" s="0" t="n">
        <v>0.04678792</v>
      </c>
      <c r="CR44" s="0" t="n">
        <v>0.02077786</v>
      </c>
      <c r="CS44" s="0" t="n">
        <v>0.02702212</v>
      </c>
      <c r="CT44" s="0" t="n">
        <v>0.02675833</v>
      </c>
      <c r="CU44" s="0" t="n">
        <v>0.01013104</v>
      </c>
      <c r="CV44" s="0" t="n">
        <v>0.01890986</v>
      </c>
      <c r="CW44" s="0" t="n">
        <v>0.03841414</v>
      </c>
      <c r="CX44" s="0" t="n">
        <v>0.03138813</v>
      </c>
      <c r="CY44" s="0" t="n">
        <v>0.05402393</v>
      </c>
      <c r="CZ44" s="0" t="n">
        <v>0.01716621</v>
      </c>
      <c r="DA44" s="0" t="n">
        <v>0.02539887</v>
      </c>
      <c r="DB44" s="0" t="n">
        <v>0.02218026</v>
      </c>
      <c r="DC44" s="0" t="n">
        <v>0.03826697</v>
      </c>
      <c r="DD44" s="0" t="n">
        <v>0.0431331</v>
      </c>
      <c r="DE44" s="0" t="n">
        <v>0.02808119</v>
      </c>
      <c r="DF44" s="0" t="n">
        <v>0.00823529</v>
      </c>
      <c r="DG44" s="0" t="n">
        <v>0.02432232</v>
      </c>
      <c r="DH44" s="0" t="n">
        <v>0.00740984</v>
      </c>
      <c r="DI44" s="0" t="n">
        <v>0.06021183</v>
      </c>
      <c r="DJ44" s="0" t="n">
        <v>0.05668647</v>
      </c>
      <c r="DK44" s="0" t="n">
        <v>0.06251066</v>
      </c>
      <c r="DL44" s="0" t="n">
        <v>0.01044936</v>
      </c>
      <c r="DM44" s="0" t="n">
        <v>0.0685356</v>
      </c>
      <c r="DN44" s="0" t="n">
        <v>0.04134913</v>
      </c>
      <c r="DO44" s="0" t="n">
        <v>0.02170402</v>
      </c>
      <c r="DP44" s="0" t="n">
        <v>0.06625109</v>
      </c>
      <c r="DQ44" s="0" t="n">
        <v>0.03044639</v>
      </c>
      <c r="DR44" s="0" t="n">
        <v>0.00544933</v>
      </c>
      <c r="DS44" s="0" t="n">
        <v>0.02288649</v>
      </c>
      <c r="DT44" s="0" t="n">
        <v>-0.00123406</v>
      </c>
      <c r="DU44" s="0" t="n">
        <v>0.03301894</v>
      </c>
      <c r="DV44" s="0" t="n">
        <v>0.01256937</v>
      </c>
      <c r="DW44" s="0" t="n">
        <v>0.03593352</v>
      </c>
      <c r="DX44" s="0" t="n">
        <v>0.0211898</v>
      </c>
      <c r="DY44" s="0" t="n">
        <v>0.05721828</v>
      </c>
      <c r="DZ44" s="0" t="n">
        <v>0.00437077</v>
      </c>
      <c r="EA44" s="0" t="n">
        <v>0.0310637</v>
      </c>
      <c r="EB44" s="0" t="n">
        <v>0.05558478</v>
      </c>
      <c r="EC44" s="0" t="n">
        <v>-0.00831337</v>
      </c>
      <c r="ED44" s="0" t="n">
        <v>0.02837395</v>
      </c>
      <c r="EE44" s="0" t="n">
        <v>0.01428184</v>
      </c>
      <c r="EF44" s="0" t="n">
        <v>0.0242608</v>
      </c>
      <c r="EG44" s="0" t="n">
        <v>0.01682907</v>
      </c>
      <c r="EH44" s="0" t="n">
        <v>0.01895372</v>
      </c>
      <c r="EI44" s="0" t="n">
        <v>0.00263487</v>
      </c>
      <c r="EJ44" s="0" t="n">
        <v>0.03719141</v>
      </c>
      <c r="EK44" s="0" t="n">
        <v>0.02000734</v>
      </c>
      <c r="EL44" s="0" t="n">
        <v>0.03011008</v>
      </c>
      <c r="EM44" s="0" t="n">
        <v>0.01088081</v>
      </c>
      <c r="EN44" s="0" t="n">
        <v>0.06773574</v>
      </c>
      <c r="EO44" s="0" t="n">
        <v>0.06208187</v>
      </c>
      <c r="EP44" s="55" t="n">
        <f aca="false">SUMPRODUCT(B44:EO44,$B$5:$EO$5)</f>
        <v>0.01925405</v>
      </c>
      <c r="EQ44" s="55" t="n">
        <f aca="false">SUMIF('Mi portafolio'!$A$8:$A$19,$A44,'Mi portafolio'!$B$8:$B$19)</f>
        <v>0</v>
      </c>
    </row>
    <row r="45" customFormat="false" ht="15" hidden="false" customHeight="false" outlineLevel="0" collapsed="false">
      <c r="A45" s="54" t="s">
        <v>189</v>
      </c>
      <c r="B45" s="0" t="n">
        <v>0.0116548</v>
      </c>
      <c r="C45" s="0" t="n">
        <v>0.00137315</v>
      </c>
      <c r="D45" s="0" t="n">
        <v>0.00113424</v>
      </c>
      <c r="E45" s="0" t="n">
        <v>0.00530805</v>
      </c>
      <c r="F45" s="0" t="n">
        <v>0.02178134</v>
      </c>
      <c r="G45" s="0" t="n">
        <v>0.00137482</v>
      </c>
      <c r="H45" s="0" t="n">
        <v>-0.00025417</v>
      </c>
      <c r="I45" s="0" t="n">
        <v>0.02029382</v>
      </c>
      <c r="J45" s="0" t="n">
        <v>0.0323775</v>
      </c>
      <c r="K45" s="0" t="n">
        <v>0.01866313</v>
      </c>
      <c r="L45" s="0" t="n">
        <v>0.00303348</v>
      </c>
      <c r="M45" s="0" t="n">
        <v>0.00929572</v>
      </c>
      <c r="N45" s="0" t="n">
        <v>0.02515501</v>
      </c>
      <c r="O45" s="0" t="n">
        <v>-0.0006418</v>
      </c>
      <c r="P45" s="0" t="n">
        <v>0.01970389</v>
      </c>
      <c r="Q45" s="0" t="n">
        <v>-0.00019827</v>
      </c>
      <c r="R45" s="0" t="n">
        <v>0.01746138</v>
      </c>
      <c r="S45" s="0" t="n">
        <v>0.00584744</v>
      </c>
      <c r="T45" s="0" t="n">
        <v>0.00867031</v>
      </c>
      <c r="U45" s="0" t="n">
        <v>0.00542298</v>
      </c>
      <c r="V45" s="0" t="n">
        <v>-0.00207938</v>
      </c>
      <c r="W45" s="0" t="n">
        <v>0.00642201</v>
      </c>
      <c r="X45" s="0" t="n">
        <v>0.00836541</v>
      </c>
      <c r="Y45" s="0" t="n">
        <v>0.02170254</v>
      </c>
      <c r="Z45" s="0" t="n">
        <v>0.00048714</v>
      </c>
      <c r="AA45" s="0" t="n">
        <v>0.0115302</v>
      </c>
      <c r="AB45" s="0" t="n">
        <v>0.01913964</v>
      </c>
      <c r="AC45" s="0" t="n">
        <v>-0.00926677</v>
      </c>
      <c r="AD45" s="0" t="n">
        <v>0.00066141</v>
      </c>
      <c r="AE45" s="0" t="n">
        <v>-0.0022</v>
      </c>
      <c r="AF45" s="0" t="n">
        <v>-0.00346875</v>
      </c>
      <c r="AG45" s="0" t="n">
        <v>0.01653755</v>
      </c>
      <c r="AH45" s="0" t="n">
        <v>0.01786632</v>
      </c>
      <c r="AI45" s="0" t="n">
        <v>0.00752351</v>
      </c>
      <c r="AJ45" s="0" t="n">
        <v>-0.00263255</v>
      </c>
      <c r="AK45" s="0" t="n">
        <v>-0.00523899</v>
      </c>
      <c r="AL45" s="0" t="n">
        <v>0.01515471</v>
      </c>
      <c r="AM45" s="0" t="n">
        <v>0.00781742</v>
      </c>
      <c r="AN45" s="0" t="n">
        <v>0.01826369</v>
      </c>
      <c r="AO45" s="0" t="n">
        <v>0.07406339</v>
      </c>
      <c r="AP45" s="0" t="n">
        <v>0.00980616</v>
      </c>
      <c r="AQ45" s="0" t="n">
        <v>0.00901342</v>
      </c>
      <c r="AR45" s="0" t="n">
        <v>0.01038847</v>
      </c>
      <c r="AS45" s="0" t="n">
        <v>-0.0034264</v>
      </c>
      <c r="AT45" s="0" t="n">
        <v>0.00931667</v>
      </c>
      <c r="AU45" s="0" t="n">
        <v>0.02367847</v>
      </c>
      <c r="AV45" s="0" t="n">
        <v>0.00695978</v>
      </c>
      <c r="AW45" s="0" t="n">
        <v>-0.00440388</v>
      </c>
      <c r="AX45" s="0" t="n">
        <v>0.04256424</v>
      </c>
      <c r="AY45" s="0" t="n">
        <v>0.01575305</v>
      </c>
      <c r="AZ45" s="0" t="n">
        <v>8.264E-005</v>
      </c>
      <c r="BA45" s="0" t="n">
        <v>0.0155062</v>
      </c>
      <c r="BB45" s="0" t="n">
        <v>0.00393812</v>
      </c>
      <c r="BC45" s="0" t="n">
        <v>0.00010222</v>
      </c>
      <c r="BD45" s="0" t="n">
        <v>0.00188319</v>
      </c>
      <c r="BE45" s="0" t="n">
        <v>0.0390026</v>
      </c>
      <c r="BF45" s="0" t="n">
        <v>0.00587772</v>
      </c>
      <c r="BG45" s="0" t="n">
        <v>0.02464218</v>
      </c>
      <c r="BH45" s="0" t="n">
        <v>-0.00133138</v>
      </c>
      <c r="BI45" s="0" t="n">
        <v>-0.00449903</v>
      </c>
      <c r="BJ45" s="0" t="n">
        <v>-0.0055833</v>
      </c>
      <c r="BK45" s="0" t="n">
        <v>-0.00141441</v>
      </c>
      <c r="BL45" s="0" t="n">
        <v>0.01317245</v>
      </c>
      <c r="BM45" s="0" t="n">
        <v>0.01857294</v>
      </c>
      <c r="BN45" s="0" t="n">
        <v>0.01908022</v>
      </c>
      <c r="BO45" s="0" t="n">
        <v>0.00519501</v>
      </c>
      <c r="BP45" s="0" t="n">
        <v>-0.0045192</v>
      </c>
      <c r="BQ45" s="0" t="n">
        <v>-0.00624344</v>
      </c>
      <c r="BR45" s="0" t="n">
        <v>-0.00106335</v>
      </c>
      <c r="BS45" s="0" t="n">
        <v>0.00555506</v>
      </c>
      <c r="BT45" s="0" t="n">
        <v>0.01114157</v>
      </c>
      <c r="BU45" s="0" t="n">
        <v>-0.01028448</v>
      </c>
      <c r="BV45" s="0" t="n">
        <v>-0.00865047</v>
      </c>
      <c r="BW45" s="0" t="n">
        <v>0.00645967</v>
      </c>
      <c r="BX45" s="0" t="n">
        <v>0.04095826</v>
      </c>
      <c r="BY45" s="0" t="n">
        <v>0.01318996</v>
      </c>
      <c r="BZ45" s="0" t="n">
        <v>0.00422085</v>
      </c>
      <c r="CA45" s="0" t="n">
        <v>-0.00381132</v>
      </c>
      <c r="CB45" s="0" t="n">
        <v>-0.0015435</v>
      </c>
      <c r="CC45" s="0" t="n">
        <v>0.01792632</v>
      </c>
      <c r="CD45" s="0" t="n">
        <v>0.01675332</v>
      </c>
      <c r="CE45" s="0" t="n">
        <v>0.0084591</v>
      </c>
      <c r="CF45" s="0" t="n">
        <v>0.00710495</v>
      </c>
      <c r="CG45" s="0" t="n">
        <v>0.01130709</v>
      </c>
      <c r="CH45" s="0" t="n">
        <v>-7.26E-005</v>
      </c>
      <c r="CI45" s="0" t="n">
        <v>0.00994532</v>
      </c>
      <c r="CJ45" s="0" t="n">
        <v>0.01829131</v>
      </c>
      <c r="CK45" s="0" t="n">
        <v>0.01215853</v>
      </c>
      <c r="CL45" s="0" t="n">
        <v>0.01537341</v>
      </c>
      <c r="CM45" s="0" t="n">
        <v>-0.00991627</v>
      </c>
      <c r="CN45" s="0" t="n">
        <v>-0.0014154</v>
      </c>
      <c r="CO45" s="0" t="n">
        <v>-0.01062641</v>
      </c>
      <c r="CP45" s="0" t="n">
        <v>0.01307417</v>
      </c>
      <c r="CQ45" s="0" t="n">
        <v>0.01314557</v>
      </c>
      <c r="CR45" s="0" t="n">
        <v>-0.00769871</v>
      </c>
      <c r="CS45" s="0" t="n">
        <v>0.00456881</v>
      </c>
      <c r="CT45" s="0" t="n">
        <v>0.00097453</v>
      </c>
      <c r="CU45" s="0" t="n">
        <v>-0.00785391</v>
      </c>
      <c r="CV45" s="0" t="n">
        <v>-0.00451723</v>
      </c>
      <c r="CW45" s="0" t="n">
        <v>0.01488697</v>
      </c>
      <c r="CX45" s="0" t="n">
        <v>0.01406635</v>
      </c>
      <c r="CY45" s="0" t="n">
        <v>0.01471347</v>
      </c>
      <c r="CZ45" s="0" t="n">
        <v>0.00332398</v>
      </c>
      <c r="DA45" s="0" t="n">
        <v>0.02232999</v>
      </c>
      <c r="DB45" s="0" t="n">
        <v>-0.00545305</v>
      </c>
      <c r="DC45" s="0" t="n">
        <v>-0.00061539</v>
      </c>
      <c r="DD45" s="0" t="n">
        <v>0.01273057</v>
      </c>
      <c r="DE45" s="0" t="n">
        <v>-0.00042692</v>
      </c>
      <c r="DF45" s="0" t="n">
        <v>0.00810877</v>
      </c>
      <c r="DG45" s="0" t="n">
        <v>0.00481745</v>
      </c>
      <c r="DH45" s="0" t="n">
        <v>-0.01633623</v>
      </c>
      <c r="DI45" s="0" t="n">
        <v>0.00797456</v>
      </c>
      <c r="DJ45" s="0" t="n">
        <v>0.02013346</v>
      </c>
      <c r="DK45" s="0" t="n">
        <v>0.01131285</v>
      </c>
      <c r="DL45" s="0" t="n">
        <v>-0.01107879</v>
      </c>
      <c r="DM45" s="0" t="n">
        <v>0.02041847</v>
      </c>
      <c r="DN45" s="0" t="n">
        <v>0.01587107</v>
      </c>
      <c r="DO45" s="0" t="n">
        <v>-0.00167878</v>
      </c>
      <c r="DP45" s="0" t="n">
        <v>0.02052614</v>
      </c>
      <c r="DQ45" s="0" t="n">
        <v>-0.02092077</v>
      </c>
      <c r="DR45" s="0" t="n">
        <v>0.00571137</v>
      </c>
      <c r="DS45" s="0" t="n">
        <v>-0.00143</v>
      </c>
      <c r="DT45" s="0" t="n">
        <v>-0.02479047</v>
      </c>
      <c r="DU45" s="0" t="n">
        <v>-0.01423516</v>
      </c>
      <c r="DV45" s="0" t="n">
        <v>-0.00335582</v>
      </c>
      <c r="DW45" s="0" t="n">
        <v>0.00466214</v>
      </c>
      <c r="DX45" s="0" t="n">
        <v>-0.00918771</v>
      </c>
      <c r="DY45" s="0" t="n">
        <v>-0.00268049</v>
      </c>
      <c r="DZ45" s="0" t="n">
        <v>-0.00206878</v>
      </c>
      <c r="EA45" s="0" t="n">
        <v>0.01942091</v>
      </c>
      <c r="EB45" s="0" t="n">
        <v>1.167E-005</v>
      </c>
      <c r="EC45" s="0" t="n">
        <v>-0.0073764</v>
      </c>
      <c r="ED45" s="0" t="n">
        <v>0.0143445</v>
      </c>
      <c r="EE45" s="0" t="n">
        <v>-0.00928667</v>
      </c>
      <c r="EF45" s="0" t="n">
        <v>0.0013966</v>
      </c>
      <c r="EG45" s="0" t="n">
        <v>-0.01599851</v>
      </c>
      <c r="EH45" s="0" t="n">
        <v>0.01565104</v>
      </c>
      <c r="EI45" s="0" t="n">
        <v>-0.02165318</v>
      </c>
      <c r="EJ45" s="0" t="n">
        <v>0.02369583</v>
      </c>
      <c r="EK45" s="0" t="n">
        <v>-8.876E-005</v>
      </c>
      <c r="EL45" s="0" t="n">
        <v>-0.01151326</v>
      </c>
      <c r="EM45" s="0" t="n">
        <v>-0.01229629</v>
      </c>
      <c r="EN45" s="0" t="n">
        <v>0.07635118</v>
      </c>
      <c r="EO45" s="0" t="n">
        <v>0.01459787</v>
      </c>
      <c r="EP45" s="55" t="n">
        <f aca="false">SUMPRODUCT(B45:EO45,$B$5:$EO$5)</f>
        <v>-0.004582062</v>
      </c>
      <c r="EQ45" s="55" t="n">
        <f aca="false">SUMIF('Mi portafolio'!$A$8:$A$19,$A45,'Mi portafolio'!$B$8:$B$19)</f>
        <v>0</v>
      </c>
    </row>
    <row r="46" customFormat="false" ht="15" hidden="false" customHeight="false" outlineLevel="0" collapsed="false">
      <c r="A46" s="54" t="s">
        <v>190</v>
      </c>
      <c r="B46" s="0" t="n">
        <v>0.0105343</v>
      </c>
      <c r="C46" s="0" t="n">
        <v>-0.00289754</v>
      </c>
      <c r="D46" s="0" t="n">
        <v>0.00154307</v>
      </c>
      <c r="E46" s="0" t="n">
        <v>0.00730996</v>
      </c>
      <c r="F46" s="0" t="n">
        <v>0.01570783</v>
      </c>
      <c r="G46" s="0" t="n">
        <v>0.00269024</v>
      </c>
      <c r="H46" s="0" t="n">
        <v>0.00112281</v>
      </c>
      <c r="I46" s="0" t="n">
        <v>0.01671202</v>
      </c>
      <c r="J46" s="0" t="n">
        <v>0.0068249</v>
      </c>
      <c r="K46" s="0" t="n">
        <v>0.01789072</v>
      </c>
      <c r="L46" s="0" t="n">
        <v>0.00502899</v>
      </c>
      <c r="M46" s="0" t="n">
        <v>0.01559957</v>
      </c>
      <c r="N46" s="0" t="n">
        <v>0.02356603</v>
      </c>
      <c r="O46" s="0" t="n">
        <v>0.00826838</v>
      </c>
      <c r="P46" s="0" t="n">
        <v>0.01024597</v>
      </c>
      <c r="Q46" s="0" t="n">
        <v>0.00522865</v>
      </c>
      <c r="R46" s="0" t="n">
        <v>0.02114</v>
      </c>
      <c r="S46" s="0" t="n">
        <v>0.00593663</v>
      </c>
      <c r="T46" s="0" t="n">
        <v>0.01602624</v>
      </c>
      <c r="U46" s="0" t="n">
        <v>0.01178422</v>
      </c>
      <c r="V46" s="0" t="n">
        <v>0.00812797</v>
      </c>
      <c r="W46" s="0" t="n">
        <v>0.00634083</v>
      </c>
      <c r="X46" s="0" t="n">
        <v>0.0190985</v>
      </c>
      <c r="Y46" s="0" t="n">
        <v>0.01912408</v>
      </c>
      <c r="Z46" s="0" t="n">
        <v>0.00373143</v>
      </c>
      <c r="AA46" s="0" t="n">
        <v>0.01408137</v>
      </c>
      <c r="AB46" s="0" t="n">
        <v>0.02137472</v>
      </c>
      <c r="AC46" s="0" t="n">
        <v>0.00125596</v>
      </c>
      <c r="AD46" s="0" t="n">
        <v>-0.00250006</v>
      </c>
      <c r="AE46" s="0" t="n">
        <v>0.00552196</v>
      </c>
      <c r="AF46" s="0" t="n">
        <v>0.00280257</v>
      </c>
      <c r="AG46" s="0" t="n">
        <v>0.01198082</v>
      </c>
      <c r="AH46" s="0" t="n">
        <v>0.01527409</v>
      </c>
      <c r="AI46" s="0" t="n">
        <v>-0.00382095</v>
      </c>
      <c r="AJ46" s="0" t="n">
        <v>0.00591598</v>
      </c>
      <c r="AK46" s="0" t="n">
        <v>0.00945137</v>
      </c>
      <c r="AL46" s="0" t="n">
        <v>0.02075941</v>
      </c>
      <c r="AM46" s="0" t="n">
        <v>0.00906604</v>
      </c>
      <c r="AN46" s="0" t="n">
        <v>0.0303956</v>
      </c>
      <c r="AO46" s="0" t="n">
        <v>0.00980616</v>
      </c>
      <c r="AP46" s="0" t="n">
        <v>0.07602882</v>
      </c>
      <c r="AQ46" s="0" t="n">
        <v>-0.00498378</v>
      </c>
      <c r="AR46" s="0" t="n">
        <v>0.01484234</v>
      </c>
      <c r="AS46" s="0" t="n">
        <v>0.0093465</v>
      </c>
      <c r="AT46" s="0" t="n">
        <v>0.0279888</v>
      </c>
      <c r="AU46" s="0" t="n">
        <v>0.0103738</v>
      </c>
      <c r="AV46" s="0" t="n">
        <v>0.01285504</v>
      </c>
      <c r="AW46" s="0" t="n">
        <v>0.01043739</v>
      </c>
      <c r="AX46" s="0" t="n">
        <v>0.02163782</v>
      </c>
      <c r="AY46" s="0" t="n">
        <v>0.02112494</v>
      </c>
      <c r="AZ46" s="0" t="n">
        <v>0.00692743</v>
      </c>
      <c r="BA46" s="0" t="n">
        <v>0.02273239</v>
      </c>
      <c r="BB46" s="0" t="n">
        <v>0.02126213</v>
      </c>
      <c r="BC46" s="0" t="n">
        <v>0.01113741</v>
      </c>
      <c r="BD46" s="0" t="n">
        <v>0.01080794</v>
      </c>
      <c r="BE46" s="0" t="n">
        <v>0.01751124</v>
      </c>
      <c r="BF46" s="0" t="n">
        <v>0.01035107</v>
      </c>
      <c r="BG46" s="0" t="n">
        <v>0.025872</v>
      </c>
      <c r="BH46" s="0" t="n">
        <v>0.01025113</v>
      </c>
      <c r="BI46" s="0" t="n">
        <v>0.00945492</v>
      </c>
      <c r="BJ46" s="0" t="n">
        <v>-0.00066286</v>
      </c>
      <c r="BK46" s="0" t="n">
        <v>0.00535482</v>
      </c>
      <c r="BL46" s="0" t="n">
        <v>0.01492869</v>
      </c>
      <c r="BM46" s="0" t="n">
        <v>0.02472861</v>
      </c>
      <c r="BN46" s="0" t="n">
        <v>0.01269101</v>
      </c>
      <c r="BO46" s="0" t="n">
        <v>0.02439837</v>
      </c>
      <c r="BP46" s="0" t="n">
        <v>0.01480918</v>
      </c>
      <c r="BQ46" s="0" t="n">
        <v>0.01488432</v>
      </c>
      <c r="BR46" s="0" t="n">
        <v>0.03719213</v>
      </c>
      <c r="BS46" s="0" t="n">
        <v>-0.00697856</v>
      </c>
      <c r="BT46" s="0" t="n">
        <v>0.02318202</v>
      </c>
      <c r="BU46" s="0" t="n">
        <v>0.00929669</v>
      </c>
      <c r="BV46" s="0" t="n">
        <v>0.02185688</v>
      </c>
      <c r="BW46" s="0" t="n">
        <v>0.02117806</v>
      </c>
      <c r="BX46" s="0" t="n">
        <v>0.02011019</v>
      </c>
      <c r="BY46" s="0" t="n">
        <v>0.03129278</v>
      </c>
      <c r="BZ46" s="0" t="n">
        <v>0.02041746</v>
      </c>
      <c r="CA46" s="0" t="n">
        <v>0.00547</v>
      </c>
      <c r="CB46" s="0" t="n">
        <v>0.00038034</v>
      </c>
      <c r="CC46" s="0" t="n">
        <v>0.01505408</v>
      </c>
      <c r="CD46" s="0" t="n">
        <v>0.03261085</v>
      </c>
      <c r="CE46" s="0" t="n">
        <v>0.0006826</v>
      </c>
      <c r="CF46" s="0" t="n">
        <v>-0.0101116</v>
      </c>
      <c r="CG46" s="0" t="n">
        <v>0.03790331</v>
      </c>
      <c r="CH46" s="0" t="n">
        <v>0.01870304</v>
      </c>
      <c r="CI46" s="0" t="n">
        <v>-0.00741066</v>
      </c>
      <c r="CJ46" s="0" t="n">
        <v>0.03571879</v>
      </c>
      <c r="CK46" s="0" t="n">
        <v>0.04192457</v>
      </c>
      <c r="CL46" s="0" t="n">
        <v>0.02324788</v>
      </c>
      <c r="CM46" s="0" t="n">
        <v>0.01419806</v>
      </c>
      <c r="CN46" s="0" t="n">
        <v>0.00434871</v>
      </c>
      <c r="CO46" s="0" t="n">
        <v>0.01819553</v>
      </c>
      <c r="CP46" s="0" t="n">
        <v>0.01668135</v>
      </c>
      <c r="CQ46" s="0" t="n">
        <v>0.03649521</v>
      </c>
      <c r="CR46" s="0" t="n">
        <v>0.01088896</v>
      </c>
      <c r="CS46" s="0" t="n">
        <v>0.00670228</v>
      </c>
      <c r="CT46" s="0" t="n">
        <v>0.0420233</v>
      </c>
      <c r="CU46" s="0" t="n">
        <v>0.01430633</v>
      </c>
      <c r="CV46" s="0" t="n">
        <v>0.01933111</v>
      </c>
      <c r="CW46" s="0" t="n">
        <v>0.03950983</v>
      </c>
      <c r="CX46" s="0" t="n">
        <v>0.03036915</v>
      </c>
      <c r="CY46" s="0" t="n">
        <v>0.0398305</v>
      </c>
      <c r="CZ46" s="0" t="n">
        <v>0.01828677</v>
      </c>
      <c r="DA46" s="0" t="n">
        <v>0.03682763</v>
      </c>
      <c r="DB46" s="0" t="n">
        <v>0.02427902</v>
      </c>
      <c r="DC46" s="0" t="n">
        <v>0.02333807</v>
      </c>
      <c r="DD46" s="0" t="n">
        <v>0.04862213</v>
      </c>
      <c r="DE46" s="0" t="n">
        <v>0.01857246</v>
      </c>
      <c r="DF46" s="0" t="n">
        <v>0.02437533</v>
      </c>
      <c r="DG46" s="0" t="n">
        <v>0.02464735</v>
      </c>
      <c r="DH46" s="0" t="n">
        <v>0.0051943</v>
      </c>
      <c r="DI46" s="0" t="n">
        <v>0.0458057</v>
      </c>
      <c r="DJ46" s="0" t="n">
        <v>0.05212442</v>
      </c>
      <c r="DK46" s="0" t="n">
        <v>0.04463619</v>
      </c>
      <c r="DL46" s="0" t="n">
        <v>0.01288682</v>
      </c>
      <c r="DM46" s="0" t="n">
        <v>0.0566979</v>
      </c>
      <c r="DN46" s="0" t="n">
        <v>0.05153987</v>
      </c>
      <c r="DO46" s="0" t="n">
        <v>0.02486049</v>
      </c>
      <c r="DP46" s="0" t="n">
        <v>0.05074825</v>
      </c>
      <c r="DQ46" s="0" t="n">
        <v>0.00859346</v>
      </c>
      <c r="DR46" s="0" t="n">
        <v>0.01048564</v>
      </c>
      <c r="DS46" s="0" t="n">
        <v>0.02304232</v>
      </c>
      <c r="DT46" s="0" t="n">
        <v>0.01187572</v>
      </c>
      <c r="DU46" s="0" t="n">
        <v>0.04667946</v>
      </c>
      <c r="DV46" s="0" t="n">
        <v>0.02286819</v>
      </c>
      <c r="DW46" s="0" t="n">
        <v>0.04933205</v>
      </c>
      <c r="DX46" s="0" t="n">
        <v>-0.00575062</v>
      </c>
      <c r="DY46" s="0" t="n">
        <v>0.05857733</v>
      </c>
      <c r="DZ46" s="0" t="n">
        <v>0.01546807</v>
      </c>
      <c r="EA46" s="0" t="n">
        <v>0.04588883</v>
      </c>
      <c r="EB46" s="0" t="n">
        <v>0.05537595</v>
      </c>
      <c r="EC46" s="0" t="n">
        <v>-0.00104663</v>
      </c>
      <c r="ED46" s="0" t="n">
        <v>0.04606793</v>
      </c>
      <c r="EE46" s="0" t="n">
        <v>0.01442784</v>
      </c>
      <c r="EF46" s="0" t="n">
        <v>0.02454085</v>
      </c>
      <c r="EG46" s="0" t="n">
        <v>0.00688064</v>
      </c>
      <c r="EH46" s="0" t="n">
        <v>0.04184568</v>
      </c>
      <c r="EI46" s="0" t="n">
        <v>-0.02000396</v>
      </c>
      <c r="EJ46" s="0" t="n">
        <v>0.05261252</v>
      </c>
      <c r="EK46" s="0" t="n">
        <v>0.03553151</v>
      </c>
      <c r="EL46" s="0" t="n">
        <v>0.02533111</v>
      </c>
      <c r="EM46" s="0" t="n">
        <v>0.04823076</v>
      </c>
      <c r="EN46" s="0" t="n">
        <v>0.08674418</v>
      </c>
      <c r="EO46" s="0" t="n">
        <v>0.08992734</v>
      </c>
      <c r="EP46" s="55" t="n">
        <f aca="false">SUMPRODUCT(B46:EO46,$B$5:$EO$5)</f>
        <v>0.01749181</v>
      </c>
      <c r="EQ46" s="55" t="n">
        <f aca="false">SUMIF('Mi portafolio'!$A$8:$A$19,$A46,'Mi portafolio'!$B$8:$B$19)</f>
        <v>0</v>
      </c>
    </row>
    <row r="47" customFormat="false" ht="15" hidden="false" customHeight="false" outlineLevel="0" collapsed="false">
      <c r="A47" s="54" t="s">
        <v>191</v>
      </c>
      <c r="B47" s="0" t="n">
        <v>0.00564818</v>
      </c>
      <c r="C47" s="0" t="n">
        <v>0.00054645</v>
      </c>
      <c r="D47" s="0" t="n">
        <v>-0.00536562</v>
      </c>
      <c r="E47" s="0" t="n">
        <v>0.00580882</v>
      </c>
      <c r="F47" s="0" t="n">
        <v>0.0139507</v>
      </c>
      <c r="G47" s="0" t="n">
        <v>-0.00108836</v>
      </c>
      <c r="H47" s="0" t="n">
        <v>-0.00496954</v>
      </c>
      <c r="I47" s="0" t="n">
        <v>0.0075377</v>
      </c>
      <c r="J47" s="0" t="n">
        <v>0.0119821</v>
      </c>
      <c r="K47" s="0" t="n">
        <v>0.0040785</v>
      </c>
      <c r="L47" s="0" t="n">
        <v>-0.0004051</v>
      </c>
      <c r="M47" s="0" t="n">
        <v>-0.00712329</v>
      </c>
      <c r="N47" s="0" t="n">
        <v>0.00539787</v>
      </c>
      <c r="O47" s="0" t="n">
        <v>-0.00127742</v>
      </c>
      <c r="P47" s="0" t="n">
        <v>0.01658483</v>
      </c>
      <c r="Q47" s="0" t="n">
        <v>-0.00307275</v>
      </c>
      <c r="R47" s="0" t="n">
        <v>0.01485792</v>
      </c>
      <c r="S47" s="0" t="n">
        <v>-0.00838471</v>
      </c>
      <c r="T47" s="0" t="n">
        <v>-0.00044959</v>
      </c>
      <c r="U47" s="0" t="n">
        <v>-0.00746931</v>
      </c>
      <c r="V47" s="0" t="n">
        <v>-0.00486964</v>
      </c>
      <c r="W47" s="0" t="n">
        <v>0.00348401</v>
      </c>
      <c r="X47" s="0" t="n">
        <v>-0.00046394</v>
      </c>
      <c r="Y47" s="0" t="n">
        <v>0.00518751</v>
      </c>
      <c r="Z47" s="0" t="n">
        <v>-0.0015364</v>
      </c>
      <c r="AA47" s="0" t="n">
        <v>-0.00585015</v>
      </c>
      <c r="AB47" s="0" t="n">
        <v>0.0052505</v>
      </c>
      <c r="AC47" s="0" t="n">
        <v>0.00482251</v>
      </c>
      <c r="AD47" s="0" t="n">
        <v>0.00325255</v>
      </c>
      <c r="AE47" s="0" t="n">
        <v>-0.01657861</v>
      </c>
      <c r="AF47" s="0" t="n">
        <v>-0.00576379</v>
      </c>
      <c r="AG47" s="0" t="n">
        <v>0.01999554</v>
      </c>
      <c r="AH47" s="0" t="n">
        <v>0.01758426</v>
      </c>
      <c r="AI47" s="0" t="n">
        <v>0.06206646</v>
      </c>
      <c r="AJ47" s="0" t="n">
        <v>-0.00338714</v>
      </c>
      <c r="AK47" s="0" t="n">
        <v>-0.00557479</v>
      </c>
      <c r="AL47" s="0" t="n">
        <v>0.00040625</v>
      </c>
      <c r="AM47" s="0" t="n">
        <v>-0.01158669</v>
      </c>
      <c r="AN47" s="0" t="n">
        <v>-0.01014645</v>
      </c>
      <c r="AO47" s="0" t="n">
        <v>0.00901342</v>
      </c>
      <c r="AP47" s="0" t="n">
        <v>-0.00498378</v>
      </c>
      <c r="AQ47" s="0" t="n">
        <v>0.0763432</v>
      </c>
      <c r="AR47" s="0" t="n">
        <v>0.00118258</v>
      </c>
      <c r="AS47" s="0" t="n">
        <v>-0.00915497</v>
      </c>
      <c r="AT47" s="0" t="n">
        <v>-0.00536422</v>
      </c>
      <c r="AU47" s="0" t="n">
        <v>0.01320906</v>
      </c>
      <c r="AV47" s="0" t="n">
        <v>0.0027341</v>
      </c>
      <c r="AW47" s="0" t="n">
        <v>-0.00496633</v>
      </c>
      <c r="AX47" s="0" t="n">
        <v>0.00387209</v>
      </c>
      <c r="AY47" s="0" t="n">
        <v>0.00425247</v>
      </c>
      <c r="AZ47" s="0" t="n">
        <v>-0.01568523</v>
      </c>
      <c r="BA47" s="0" t="n">
        <v>-0.00195564</v>
      </c>
      <c r="BB47" s="0" t="n">
        <v>-0.0104943</v>
      </c>
      <c r="BC47" s="0" t="n">
        <v>-0.00347078</v>
      </c>
      <c r="BD47" s="0" t="n">
        <v>-0.01030303</v>
      </c>
      <c r="BE47" s="0" t="n">
        <v>0.00995916</v>
      </c>
      <c r="BF47" s="0" t="n">
        <v>0.00087131</v>
      </c>
      <c r="BG47" s="0" t="n">
        <v>-0.00090755</v>
      </c>
      <c r="BH47" s="0" t="n">
        <v>-0.01293243</v>
      </c>
      <c r="BI47" s="0" t="n">
        <v>-0.0031286</v>
      </c>
      <c r="BJ47" s="0" t="n">
        <v>-0.00200086</v>
      </c>
      <c r="BK47" s="0" t="n">
        <v>-0.01253425</v>
      </c>
      <c r="BL47" s="0" t="n">
        <v>-0.0041866</v>
      </c>
      <c r="BM47" s="0" t="n">
        <v>0.00441761</v>
      </c>
      <c r="BN47" s="0" t="n">
        <v>0.01033218</v>
      </c>
      <c r="BO47" s="0" t="n">
        <v>-0.01545182</v>
      </c>
      <c r="BP47" s="0" t="n">
        <v>-0.00607379</v>
      </c>
      <c r="BQ47" s="0" t="n">
        <v>-0.01368309</v>
      </c>
      <c r="BR47" s="0" t="n">
        <v>-0.00471118</v>
      </c>
      <c r="BS47" s="0" t="n">
        <v>0.06948066</v>
      </c>
      <c r="BT47" s="0" t="n">
        <v>-0.02326231</v>
      </c>
      <c r="BU47" s="0" t="n">
        <v>-0.00606705</v>
      </c>
      <c r="BV47" s="0" t="n">
        <v>-0.01675222</v>
      </c>
      <c r="BW47" s="0" t="n">
        <v>0.0002199</v>
      </c>
      <c r="BX47" s="0" t="n">
        <v>-0.00077197</v>
      </c>
      <c r="BY47" s="0" t="n">
        <v>-0.01328554</v>
      </c>
      <c r="BZ47" s="0" t="n">
        <v>-0.01951416</v>
      </c>
      <c r="CA47" s="0" t="n">
        <v>-0.01154271</v>
      </c>
      <c r="CB47" s="0" t="n">
        <v>0.01578914</v>
      </c>
      <c r="CC47" s="0" t="n">
        <v>0.00102231</v>
      </c>
      <c r="CD47" s="0" t="n">
        <v>-0.00851072</v>
      </c>
      <c r="CE47" s="0" t="n">
        <v>0.01155412</v>
      </c>
      <c r="CF47" s="0" t="n">
        <v>0.07734632</v>
      </c>
      <c r="CG47" s="0" t="n">
        <v>-0.01565445</v>
      </c>
      <c r="CH47" s="0" t="n">
        <v>-0.01316211</v>
      </c>
      <c r="CI47" s="0" t="n">
        <v>0.07942369</v>
      </c>
      <c r="CJ47" s="0" t="n">
        <v>0.0075967</v>
      </c>
      <c r="CK47" s="0" t="n">
        <v>0.00904016</v>
      </c>
      <c r="CL47" s="0" t="n">
        <v>-0.01880243</v>
      </c>
      <c r="CM47" s="0" t="n">
        <v>-0.0144966</v>
      </c>
      <c r="CN47" s="0" t="n">
        <v>0.00501776</v>
      </c>
      <c r="CO47" s="0" t="n">
        <v>-0.00916098</v>
      </c>
      <c r="CP47" s="0" t="n">
        <v>0.00765246</v>
      </c>
      <c r="CQ47" s="0" t="n">
        <v>-0.02890272</v>
      </c>
      <c r="CR47" s="0" t="n">
        <v>-0.01999897</v>
      </c>
      <c r="CS47" s="0" t="n">
        <v>-0.0037318</v>
      </c>
      <c r="CT47" s="0" t="n">
        <v>-0.00979631</v>
      </c>
      <c r="CU47" s="0" t="n">
        <v>-0.00204877</v>
      </c>
      <c r="CV47" s="0" t="n">
        <v>-0.020936</v>
      </c>
      <c r="CW47" s="0" t="n">
        <v>-0.01219762</v>
      </c>
      <c r="CX47" s="0" t="n">
        <v>-0.01531468</v>
      </c>
      <c r="CY47" s="0" t="n">
        <v>-0.03308814</v>
      </c>
      <c r="CZ47" s="0" t="n">
        <v>0.00276496</v>
      </c>
      <c r="DA47" s="0" t="n">
        <v>-0.007273</v>
      </c>
      <c r="DB47" s="0" t="n">
        <v>-0.01534805</v>
      </c>
      <c r="DC47" s="0" t="n">
        <v>-0.04842881</v>
      </c>
      <c r="DD47" s="0" t="n">
        <v>-0.02078835</v>
      </c>
      <c r="DE47" s="0" t="n">
        <v>-0.01296374</v>
      </c>
      <c r="DF47" s="0" t="n">
        <v>0.00353024</v>
      </c>
      <c r="DG47" s="0" t="n">
        <v>-0.01384288</v>
      </c>
      <c r="DH47" s="0" t="n">
        <v>-0.01474432</v>
      </c>
      <c r="DI47" s="0" t="n">
        <v>-0.04784466</v>
      </c>
      <c r="DJ47" s="0" t="n">
        <v>-0.02828954</v>
      </c>
      <c r="DK47" s="0" t="n">
        <v>-0.04703265</v>
      </c>
      <c r="DL47" s="0" t="n">
        <v>-0.03040597</v>
      </c>
      <c r="DM47" s="0" t="n">
        <v>-0.03978441</v>
      </c>
      <c r="DN47" s="0" t="n">
        <v>-0.00864551</v>
      </c>
      <c r="DO47" s="0" t="n">
        <v>-0.00917866</v>
      </c>
      <c r="DP47" s="0" t="n">
        <v>-0.04432471</v>
      </c>
      <c r="DQ47" s="0" t="n">
        <v>-0.01091268</v>
      </c>
      <c r="DR47" s="0" t="n">
        <v>0.00931694</v>
      </c>
      <c r="DS47" s="0" t="n">
        <v>-0.00626606</v>
      </c>
      <c r="DT47" s="0" t="n">
        <v>-0.01579986</v>
      </c>
      <c r="DU47" s="0" t="n">
        <v>-0.02397464</v>
      </c>
      <c r="DV47" s="0" t="n">
        <v>-0.00388938</v>
      </c>
      <c r="DW47" s="0" t="n">
        <v>-0.03074116</v>
      </c>
      <c r="DX47" s="0" t="n">
        <v>-0.02125968</v>
      </c>
      <c r="DY47" s="0" t="n">
        <v>-0.02863428</v>
      </c>
      <c r="DZ47" s="0" t="n">
        <v>-0.00681019</v>
      </c>
      <c r="EA47" s="0" t="n">
        <v>-0.03196921</v>
      </c>
      <c r="EB47" s="0" t="n">
        <v>-0.02378113</v>
      </c>
      <c r="EC47" s="0" t="n">
        <v>-0.00015838</v>
      </c>
      <c r="ED47" s="0" t="n">
        <v>-0.01864611</v>
      </c>
      <c r="EE47" s="0" t="n">
        <v>-0.03004586</v>
      </c>
      <c r="EF47" s="0" t="n">
        <v>0.00272368</v>
      </c>
      <c r="EG47" s="0" t="n">
        <v>-0.03098021</v>
      </c>
      <c r="EH47" s="0" t="n">
        <v>-0.01494733</v>
      </c>
      <c r="EI47" s="0" t="n">
        <v>-0.0345382</v>
      </c>
      <c r="EJ47" s="0" t="n">
        <v>-0.01356216</v>
      </c>
      <c r="EK47" s="0" t="n">
        <v>0.00400097</v>
      </c>
      <c r="EL47" s="0" t="n">
        <v>-0.03308729</v>
      </c>
      <c r="EM47" s="0" t="n">
        <v>-0.01668665</v>
      </c>
      <c r="EN47" s="0" t="n">
        <v>-0.02801417</v>
      </c>
      <c r="EO47" s="0" t="n">
        <v>-0.00567913</v>
      </c>
      <c r="EP47" s="55" t="n">
        <f aca="false">SUMPRODUCT(B47:EO47,$B$5:$EO$5)</f>
        <v>-0.014477878</v>
      </c>
      <c r="EQ47" s="55" t="n">
        <f aca="false">SUMIF('Mi portafolio'!$A$8:$A$19,$A47,'Mi portafolio'!$B$8:$B$19)</f>
        <v>0</v>
      </c>
    </row>
    <row r="48" customFormat="false" ht="15" hidden="false" customHeight="false" outlineLevel="0" collapsed="false">
      <c r="A48" s="54" t="s">
        <v>192</v>
      </c>
      <c r="B48" s="0" t="n">
        <v>0.01015298</v>
      </c>
      <c r="C48" s="0" t="n">
        <v>-0.00018836</v>
      </c>
      <c r="D48" s="0" t="n">
        <v>0.00341161</v>
      </c>
      <c r="E48" s="0" t="n">
        <v>0.00403897</v>
      </c>
      <c r="F48" s="0" t="n">
        <v>0.00272403</v>
      </c>
      <c r="G48" s="0" t="n">
        <v>-7.978E-005</v>
      </c>
      <c r="H48" s="0" t="n">
        <v>-0.00120766</v>
      </c>
      <c r="I48" s="0" t="n">
        <v>0.01024946</v>
      </c>
      <c r="J48" s="0" t="n">
        <v>0.0051887</v>
      </c>
      <c r="K48" s="0" t="n">
        <v>0.00740378</v>
      </c>
      <c r="L48" s="0" t="n">
        <v>-0.0005809</v>
      </c>
      <c r="M48" s="0" t="n">
        <v>0.01426059</v>
      </c>
      <c r="N48" s="0" t="n">
        <v>0.01176977</v>
      </c>
      <c r="O48" s="0" t="n">
        <v>0.00383402</v>
      </c>
      <c r="P48" s="0" t="n">
        <v>0.00579793</v>
      </c>
      <c r="Q48" s="0" t="n">
        <v>0.0016871</v>
      </c>
      <c r="R48" s="0" t="n">
        <v>0.00897738</v>
      </c>
      <c r="S48" s="0" t="n">
        <v>0.00051994</v>
      </c>
      <c r="T48" s="0" t="n">
        <v>0.04849391</v>
      </c>
      <c r="U48" s="0" t="n">
        <v>0.00658577</v>
      </c>
      <c r="V48" s="0" t="n">
        <v>-0.00314488</v>
      </c>
      <c r="W48" s="0" t="n">
        <v>0.00617597</v>
      </c>
      <c r="X48" s="0" t="n">
        <v>0.04685303</v>
      </c>
      <c r="Y48" s="0" t="n">
        <v>0.02155838</v>
      </c>
      <c r="Z48" s="0" t="n">
        <v>0.00144263</v>
      </c>
      <c r="AA48" s="0" t="n">
        <v>0.00989556</v>
      </c>
      <c r="AB48" s="0" t="n">
        <v>0.02318598</v>
      </c>
      <c r="AC48" s="0" t="n">
        <v>-0.00113504</v>
      </c>
      <c r="AD48" s="0" t="n">
        <v>-0.00171051</v>
      </c>
      <c r="AE48" s="0" t="n">
        <v>0.01043976</v>
      </c>
      <c r="AF48" s="0" t="n">
        <v>0.00599945</v>
      </c>
      <c r="AG48" s="0" t="n">
        <v>0.00722927</v>
      </c>
      <c r="AH48" s="0" t="n">
        <v>0.00757452</v>
      </c>
      <c r="AI48" s="0" t="n">
        <v>0.00692035</v>
      </c>
      <c r="AJ48" s="0" t="n">
        <v>0.00106921</v>
      </c>
      <c r="AK48" s="0" t="n">
        <v>0.00530095</v>
      </c>
      <c r="AL48" s="0" t="n">
        <v>0.02000165</v>
      </c>
      <c r="AM48" s="0" t="n">
        <v>0.01104115</v>
      </c>
      <c r="AN48" s="0" t="n">
        <v>0.01853511</v>
      </c>
      <c r="AO48" s="0" t="n">
        <v>0.01038847</v>
      </c>
      <c r="AP48" s="0" t="n">
        <v>0.01484234</v>
      </c>
      <c r="AQ48" s="0" t="n">
        <v>0.00118258</v>
      </c>
      <c r="AR48" s="0" t="n">
        <v>0.07157602</v>
      </c>
      <c r="AS48" s="0" t="n">
        <v>0.00568893</v>
      </c>
      <c r="AT48" s="0" t="n">
        <v>0.04152502</v>
      </c>
      <c r="AU48" s="0" t="n">
        <v>0.0058099</v>
      </c>
      <c r="AV48" s="0" t="n">
        <v>0.00817087</v>
      </c>
      <c r="AW48" s="0" t="n">
        <v>0.00042854</v>
      </c>
      <c r="AX48" s="0" t="n">
        <v>0.02064746</v>
      </c>
      <c r="AY48" s="0" t="n">
        <v>0.01455933</v>
      </c>
      <c r="AZ48" s="0" t="n">
        <v>0.00879846</v>
      </c>
      <c r="BA48" s="0" t="n">
        <v>0.02503766</v>
      </c>
      <c r="BB48" s="0" t="n">
        <v>0.05559888</v>
      </c>
      <c r="BC48" s="0" t="n">
        <v>0.00496886</v>
      </c>
      <c r="BD48" s="0" t="n">
        <v>0.01302164</v>
      </c>
      <c r="BE48" s="0" t="n">
        <v>0.01283172</v>
      </c>
      <c r="BF48" s="0" t="n">
        <v>0.00969459</v>
      </c>
      <c r="BG48" s="0" t="n">
        <v>0.02067637</v>
      </c>
      <c r="BH48" s="0" t="n">
        <v>0.0074974</v>
      </c>
      <c r="BI48" s="0" t="n">
        <v>0.00841141</v>
      </c>
      <c r="BJ48" s="0" t="n">
        <v>0.00746325</v>
      </c>
      <c r="BK48" s="0" t="n">
        <v>0.01748781</v>
      </c>
      <c r="BL48" s="0" t="n">
        <v>0.02663909</v>
      </c>
      <c r="BM48" s="0" t="n">
        <v>0.01878245</v>
      </c>
      <c r="BN48" s="0" t="n">
        <v>0.01515646</v>
      </c>
      <c r="BO48" s="0" t="n">
        <v>0.01803941</v>
      </c>
      <c r="BP48" s="0" t="n">
        <v>0.01418449</v>
      </c>
      <c r="BQ48" s="0" t="n">
        <v>0.02265322</v>
      </c>
      <c r="BR48" s="0" t="n">
        <v>0.02782968</v>
      </c>
      <c r="BS48" s="0" t="n">
        <v>0.00245016</v>
      </c>
      <c r="BT48" s="0" t="n">
        <v>0.03502684</v>
      </c>
      <c r="BU48" s="0" t="n">
        <v>0.02046755</v>
      </c>
      <c r="BV48" s="0" t="n">
        <v>0.02291698</v>
      </c>
      <c r="BW48" s="0" t="n">
        <v>0.0149527</v>
      </c>
      <c r="BX48" s="0" t="n">
        <v>0.01082771</v>
      </c>
      <c r="BY48" s="0" t="n">
        <v>0.02701579</v>
      </c>
      <c r="BZ48" s="0" t="n">
        <v>0.02981783</v>
      </c>
      <c r="CA48" s="0" t="n">
        <v>-0.00386942</v>
      </c>
      <c r="CB48" s="0" t="n">
        <v>0.00720054</v>
      </c>
      <c r="CC48" s="0" t="n">
        <v>0.01507421</v>
      </c>
      <c r="CD48" s="0" t="n">
        <v>0.01951813</v>
      </c>
      <c r="CE48" s="0" t="n">
        <v>0.0272914</v>
      </c>
      <c r="CF48" s="0" t="n">
        <v>0.0043931</v>
      </c>
      <c r="CG48" s="0" t="n">
        <v>0.03190069</v>
      </c>
      <c r="CH48" s="0" t="n">
        <v>0.01386607</v>
      </c>
      <c r="CI48" s="0" t="n">
        <v>0.00348776</v>
      </c>
      <c r="CJ48" s="0" t="n">
        <v>0.00746206</v>
      </c>
      <c r="CK48" s="0" t="n">
        <v>0.0180556</v>
      </c>
      <c r="CL48" s="0" t="n">
        <v>0.01970141</v>
      </c>
      <c r="CM48" s="0" t="n">
        <v>0.01478756</v>
      </c>
      <c r="CN48" s="0" t="n">
        <v>0.00390738</v>
      </c>
      <c r="CO48" s="0" t="n">
        <v>0.00282213</v>
      </c>
      <c r="CP48" s="0" t="n">
        <v>0.01213168</v>
      </c>
      <c r="CQ48" s="0" t="n">
        <v>0.04634581</v>
      </c>
      <c r="CR48" s="0" t="n">
        <v>0.01758857</v>
      </c>
      <c r="CS48" s="0" t="n">
        <v>0.03649631</v>
      </c>
      <c r="CT48" s="0" t="n">
        <v>0.0231137</v>
      </c>
      <c r="CU48" s="0" t="n">
        <v>0.01636295</v>
      </c>
      <c r="CV48" s="0" t="n">
        <v>0.03091441</v>
      </c>
      <c r="CW48" s="0" t="n">
        <v>0.03087324</v>
      </c>
      <c r="CX48" s="0" t="n">
        <v>0.04166033</v>
      </c>
      <c r="CY48" s="0" t="n">
        <v>0.04751008</v>
      </c>
      <c r="CZ48" s="0" t="n">
        <v>0.02295806</v>
      </c>
      <c r="DA48" s="0" t="n">
        <v>0.0189309</v>
      </c>
      <c r="DB48" s="0" t="n">
        <v>0.01658077</v>
      </c>
      <c r="DC48" s="0" t="n">
        <v>0.03002093</v>
      </c>
      <c r="DD48" s="0" t="n">
        <v>0.0278857</v>
      </c>
      <c r="DE48" s="0" t="n">
        <v>0.02537707</v>
      </c>
      <c r="DF48" s="0" t="n">
        <v>0.01883364</v>
      </c>
      <c r="DG48" s="0" t="n">
        <v>0.02003075</v>
      </c>
      <c r="DH48" s="0" t="n">
        <v>0.01569778</v>
      </c>
      <c r="DI48" s="0" t="n">
        <v>0.04523496</v>
      </c>
      <c r="DJ48" s="0" t="n">
        <v>0.04608547</v>
      </c>
      <c r="DK48" s="0" t="n">
        <v>0.05671929</v>
      </c>
      <c r="DL48" s="0" t="n">
        <v>-0.00159465</v>
      </c>
      <c r="DM48" s="0" t="n">
        <v>0.05169721</v>
      </c>
      <c r="DN48" s="0" t="n">
        <v>0.0283079</v>
      </c>
      <c r="DO48" s="0" t="n">
        <v>0.03022837</v>
      </c>
      <c r="DP48" s="0" t="n">
        <v>0.04451131</v>
      </c>
      <c r="DQ48" s="0" t="n">
        <v>0.02094747</v>
      </c>
      <c r="DR48" s="0" t="n">
        <v>0.0325187</v>
      </c>
      <c r="DS48" s="0" t="n">
        <v>0.02389951</v>
      </c>
      <c r="DT48" s="0" t="n">
        <v>0.02328405</v>
      </c>
      <c r="DU48" s="0" t="n">
        <v>0.04878701</v>
      </c>
      <c r="DV48" s="0" t="n">
        <v>0.02222825</v>
      </c>
      <c r="DW48" s="0" t="n">
        <v>0.03901451</v>
      </c>
      <c r="DX48" s="0" t="n">
        <v>0.03087943</v>
      </c>
      <c r="DY48" s="0" t="n">
        <v>0.04740437</v>
      </c>
      <c r="DZ48" s="0" t="n">
        <v>0.01859806</v>
      </c>
      <c r="EA48" s="0" t="n">
        <v>0.0223974</v>
      </c>
      <c r="EB48" s="0" t="n">
        <v>0.05902522</v>
      </c>
      <c r="EC48" s="0" t="n">
        <v>0.00070475</v>
      </c>
      <c r="ED48" s="0" t="n">
        <v>0.02812439</v>
      </c>
      <c r="EE48" s="0" t="n">
        <v>0.02573302</v>
      </c>
      <c r="EF48" s="0" t="n">
        <v>0.05258384</v>
      </c>
      <c r="EG48" s="0" t="n">
        <v>0.01820599</v>
      </c>
      <c r="EH48" s="0" t="n">
        <v>0.03147575</v>
      </c>
      <c r="EI48" s="0" t="n">
        <v>0.00634701</v>
      </c>
      <c r="EJ48" s="0" t="n">
        <v>0.05102931</v>
      </c>
      <c r="EK48" s="0" t="n">
        <v>0.0446266</v>
      </c>
      <c r="EL48" s="0" t="n">
        <v>0.03803791</v>
      </c>
      <c r="EM48" s="0" t="n">
        <v>0.02423518</v>
      </c>
      <c r="EN48" s="0" t="n">
        <v>0.01496567</v>
      </c>
      <c r="EO48" s="0" t="n">
        <v>0.02772947</v>
      </c>
      <c r="EP48" s="55" t="n">
        <f aca="false">SUMPRODUCT(B48:EO48,$B$5:$EO$5)</f>
        <v>0.01736745</v>
      </c>
      <c r="EQ48" s="55" t="n">
        <f aca="false">SUMIF('Mi portafolio'!$A$8:$A$19,$A48,'Mi portafolio'!$B$8:$B$19)</f>
        <v>0</v>
      </c>
    </row>
    <row r="49" customFormat="false" ht="15" hidden="false" customHeight="false" outlineLevel="0" collapsed="false">
      <c r="A49" s="54" t="s">
        <v>193</v>
      </c>
      <c r="B49" s="0" t="n">
        <v>-0.00605007</v>
      </c>
      <c r="C49" s="0" t="n">
        <v>0.00603443</v>
      </c>
      <c r="D49" s="0" t="n">
        <v>0.00682551</v>
      </c>
      <c r="E49" s="0" t="n">
        <v>0.01044574</v>
      </c>
      <c r="F49" s="0" t="n">
        <v>0.00013546</v>
      </c>
      <c r="G49" s="0" t="n">
        <v>0.00904246</v>
      </c>
      <c r="H49" s="0" t="n">
        <v>0.01833238</v>
      </c>
      <c r="I49" s="0" t="n">
        <v>-0.00073387</v>
      </c>
      <c r="J49" s="0" t="n">
        <v>0.00344497</v>
      </c>
      <c r="K49" s="0" t="n">
        <v>0.00012693</v>
      </c>
      <c r="L49" s="0" t="n">
        <v>0.01186637</v>
      </c>
      <c r="M49" s="0" t="n">
        <v>0.01470829</v>
      </c>
      <c r="N49" s="0" t="n">
        <v>0.00316552</v>
      </c>
      <c r="O49" s="0" t="n">
        <v>0.01547448</v>
      </c>
      <c r="P49" s="0" t="n">
        <v>0.00249581</v>
      </c>
      <c r="Q49" s="0" t="n">
        <v>0.00147045</v>
      </c>
      <c r="R49" s="0" t="n">
        <v>0.00128709</v>
      </c>
      <c r="S49" s="0" t="n">
        <v>0.01301085</v>
      </c>
      <c r="T49" s="0" t="n">
        <v>0.00635366</v>
      </c>
      <c r="U49" s="0" t="n">
        <v>0.03090332</v>
      </c>
      <c r="V49" s="0" t="n">
        <v>0.01977237</v>
      </c>
      <c r="W49" s="0" t="n">
        <v>0.01439341</v>
      </c>
      <c r="X49" s="0" t="n">
        <v>0.00815081</v>
      </c>
      <c r="Y49" s="0" t="n">
        <v>0.00272496</v>
      </c>
      <c r="Z49" s="0" t="n">
        <v>0.02106449</v>
      </c>
      <c r="AA49" s="0" t="n">
        <v>0.01625637</v>
      </c>
      <c r="AB49" s="0" t="n">
        <v>-0.00248121</v>
      </c>
      <c r="AC49" s="0" t="n">
        <v>0.00531133</v>
      </c>
      <c r="AD49" s="0" t="n">
        <v>0.0108278</v>
      </c>
      <c r="AE49" s="0" t="n">
        <v>0.02538055</v>
      </c>
      <c r="AF49" s="0" t="n">
        <v>0.02932547</v>
      </c>
      <c r="AG49" s="0" t="n">
        <v>-0.0067588</v>
      </c>
      <c r="AH49" s="0" t="n">
        <v>-0.00488625</v>
      </c>
      <c r="AI49" s="0" t="n">
        <v>-0.01609882</v>
      </c>
      <c r="AJ49" s="0" t="n">
        <v>0.02008667</v>
      </c>
      <c r="AK49" s="0" t="n">
        <v>0.03657004</v>
      </c>
      <c r="AL49" s="0" t="n">
        <v>0.00847611</v>
      </c>
      <c r="AM49" s="0" t="n">
        <v>0.01544017</v>
      </c>
      <c r="AN49" s="0" t="n">
        <v>0.01714695</v>
      </c>
      <c r="AO49" s="0" t="n">
        <v>-0.0034264</v>
      </c>
      <c r="AP49" s="0" t="n">
        <v>0.0093465</v>
      </c>
      <c r="AQ49" s="0" t="n">
        <v>-0.00915497</v>
      </c>
      <c r="AR49" s="0" t="n">
        <v>0.00568893</v>
      </c>
      <c r="AS49" s="0" t="n">
        <v>0.07981703</v>
      </c>
      <c r="AT49" s="0" t="n">
        <v>0.00762951</v>
      </c>
      <c r="AU49" s="0" t="n">
        <v>-0.0001012</v>
      </c>
      <c r="AV49" s="0" t="n">
        <v>0.01763011</v>
      </c>
      <c r="AW49" s="0" t="n">
        <v>0.0232863</v>
      </c>
      <c r="AX49" s="0" t="n">
        <v>0.00306995</v>
      </c>
      <c r="AY49" s="0" t="n">
        <v>0.00086388</v>
      </c>
      <c r="AZ49" s="0" t="n">
        <v>0.02291028</v>
      </c>
      <c r="BA49" s="0" t="n">
        <v>0.01203269</v>
      </c>
      <c r="BB49" s="0" t="n">
        <v>0.01266643</v>
      </c>
      <c r="BC49" s="0" t="n">
        <v>0.01248275</v>
      </c>
      <c r="BD49" s="0" t="n">
        <v>0.04362796</v>
      </c>
      <c r="BE49" s="0" t="n">
        <v>0.00395981</v>
      </c>
      <c r="BF49" s="0" t="n">
        <v>0.02685954</v>
      </c>
      <c r="BG49" s="0" t="n">
        <v>0.00856109</v>
      </c>
      <c r="BH49" s="0" t="n">
        <v>0.02896854</v>
      </c>
      <c r="BI49" s="0" t="n">
        <v>0.00357615</v>
      </c>
      <c r="BJ49" s="0" t="n">
        <v>0.00719555</v>
      </c>
      <c r="BK49" s="0" t="n">
        <v>0.01665225</v>
      </c>
      <c r="BL49" s="0" t="n">
        <v>0.02288051</v>
      </c>
      <c r="BM49" s="0" t="n">
        <v>0.00322416</v>
      </c>
      <c r="BN49" s="0" t="n">
        <v>-0.0030668</v>
      </c>
      <c r="BO49" s="0" t="n">
        <v>0.01736192</v>
      </c>
      <c r="BP49" s="0" t="n">
        <v>0.00459922</v>
      </c>
      <c r="BQ49" s="0" t="n">
        <v>0.02753836</v>
      </c>
      <c r="BR49" s="0" t="n">
        <v>0.01203336</v>
      </c>
      <c r="BS49" s="0" t="n">
        <v>-0.0143611</v>
      </c>
      <c r="BT49" s="0" t="n">
        <v>0.01447585</v>
      </c>
      <c r="BU49" s="0" t="n">
        <v>0.02681154</v>
      </c>
      <c r="BV49" s="0" t="n">
        <v>0.00665179</v>
      </c>
      <c r="BW49" s="0" t="n">
        <v>0.0280463</v>
      </c>
      <c r="BX49" s="0" t="n">
        <v>-0.00062908</v>
      </c>
      <c r="BY49" s="0" t="n">
        <v>0.01755246</v>
      </c>
      <c r="BZ49" s="0" t="n">
        <v>0.01459802</v>
      </c>
      <c r="CA49" s="0" t="n">
        <v>0.034681</v>
      </c>
      <c r="CB49" s="0" t="n">
        <v>0.01101521</v>
      </c>
      <c r="CC49" s="0" t="n">
        <v>0.00107353</v>
      </c>
      <c r="CD49" s="0" t="n">
        <v>0.00989006</v>
      </c>
      <c r="CE49" s="0" t="n">
        <v>0.00749265</v>
      </c>
      <c r="CF49" s="0" t="n">
        <v>-0.01634631</v>
      </c>
      <c r="CG49" s="0" t="n">
        <v>0.00676735</v>
      </c>
      <c r="CH49" s="0" t="n">
        <v>0.04431172</v>
      </c>
      <c r="CI49" s="0" t="n">
        <v>-0.02175184</v>
      </c>
      <c r="CJ49" s="0" t="n">
        <v>0.00681017</v>
      </c>
      <c r="CK49" s="0" t="n">
        <v>0.00408065</v>
      </c>
      <c r="CL49" s="0" t="n">
        <v>0.01266155</v>
      </c>
      <c r="CM49" s="0" t="n">
        <v>0.01582471</v>
      </c>
      <c r="CN49" s="0" t="n">
        <v>0.02313851</v>
      </c>
      <c r="CO49" s="0" t="n">
        <v>0.02346971</v>
      </c>
      <c r="CP49" s="0" t="n">
        <v>0.01202808</v>
      </c>
      <c r="CQ49" s="0" t="n">
        <v>0.01553961</v>
      </c>
      <c r="CR49" s="0" t="n">
        <v>0.02181277</v>
      </c>
      <c r="CS49" s="0" t="n">
        <v>0.01689541</v>
      </c>
      <c r="CT49" s="0" t="n">
        <v>0.03022994</v>
      </c>
      <c r="CU49" s="0" t="n">
        <v>0.02106807</v>
      </c>
      <c r="CV49" s="0" t="n">
        <v>0.00820416</v>
      </c>
      <c r="CW49" s="0" t="n">
        <v>0.02088784</v>
      </c>
      <c r="CX49" s="0" t="n">
        <v>0.02205419</v>
      </c>
      <c r="CY49" s="0" t="n">
        <v>0.01238756</v>
      </c>
      <c r="CZ49" s="0" t="n">
        <v>0.00886724</v>
      </c>
      <c r="DA49" s="0" t="n">
        <v>0.00792859</v>
      </c>
      <c r="DB49" s="0" t="n">
        <v>0.02611452</v>
      </c>
      <c r="DC49" s="0" t="n">
        <v>0.03656403</v>
      </c>
      <c r="DD49" s="0" t="n">
        <v>0.01995802</v>
      </c>
      <c r="DE49" s="0" t="n">
        <v>0.03499816</v>
      </c>
      <c r="DF49" s="0" t="n">
        <v>0.00013209</v>
      </c>
      <c r="DG49" s="0" t="n">
        <v>0.03046854</v>
      </c>
      <c r="DH49" s="0" t="n">
        <v>0.00782705</v>
      </c>
      <c r="DI49" s="0" t="n">
        <v>0.00989089</v>
      </c>
      <c r="DJ49" s="0" t="n">
        <v>0.0138807</v>
      </c>
      <c r="DK49" s="0" t="n">
        <v>0.01938924</v>
      </c>
      <c r="DL49" s="0" t="n">
        <v>0.04340887</v>
      </c>
      <c r="DM49" s="0" t="n">
        <v>0.01975683</v>
      </c>
      <c r="DN49" s="0" t="n">
        <v>0.01328362</v>
      </c>
      <c r="DO49" s="0" t="n">
        <v>0.01433358</v>
      </c>
      <c r="DP49" s="0" t="n">
        <v>0.02438905</v>
      </c>
      <c r="DQ49" s="0" t="n">
        <v>0.01320212</v>
      </c>
      <c r="DR49" s="0" t="n">
        <v>0.01544427</v>
      </c>
      <c r="DS49" s="0" t="n">
        <v>0.00227364</v>
      </c>
      <c r="DT49" s="0" t="n">
        <v>0.00645776</v>
      </c>
      <c r="DU49" s="0" t="n">
        <v>0.02221663</v>
      </c>
      <c r="DV49" s="0" t="n">
        <v>0.00739149</v>
      </c>
      <c r="DW49" s="0" t="n">
        <v>0.01068232</v>
      </c>
      <c r="DX49" s="0" t="n">
        <v>0.01960689</v>
      </c>
      <c r="DY49" s="0" t="n">
        <v>0.0136621</v>
      </c>
      <c r="DZ49" s="0" t="n">
        <v>0.00507538</v>
      </c>
      <c r="EA49" s="0" t="n">
        <v>0.01843669</v>
      </c>
      <c r="EB49" s="0" t="n">
        <v>0.01831557</v>
      </c>
      <c r="EC49" s="0" t="n">
        <v>0.02806572</v>
      </c>
      <c r="ED49" s="0" t="n">
        <v>0.02595643</v>
      </c>
      <c r="EE49" s="0" t="n">
        <v>0.02230027</v>
      </c>
      <c r="EF49" s="0" t="n">
        <v>0.017239</v>
      </c>
      <c r="EG49" s="0" t="n">
        <v>0.02653402</v>
      </c>
      <c r="EH49" s="0" t="n">
        <v>-0.00690119</v>
      </c>
      <c r="EI49" s="0" t="n">
        <v>0.02473507</v>
      </c>
      <c r="EJ49" s="0" t="n">
        <v>0.03596264</v>
      </c>
      <c r="EK49" s="0" t="n">
        <v>0.02261131</v>
      </c>
      <c r="EL49" s="0" t="n">
        <v>0.04061304</v>
      </c>
      <c r="EM49" s="0" t="n">
        <v>-0.00872213</v>
      </c>
      <c r="EN49" s="0" t="n">
        <v>0.02447237</v>
      </c>
      <c r="EO49" s="0" t="n">
        <v>0.05970901</v>
      </c>
      <c r="EP49" s="55" t="n">
        <f aca="false">SUMPRODUCT(B49:EO49,$B$5:$EO$5)</f>
        <v>0.024630714</v>
      </c>
      <c r="EQ49" s="55" t="n">
        <f aca="false">SUMIF('Mi portafolio'!$A$8:$A$19,$A49,'Mi portafolio'!$B$8:$B$19)</f>
        <v>0</v>
      </c>
    </row>
    <row r="50" customFormat="false" ht="15" hidden="false" customHeight="false" outlineLevel="0" collapsed="false">
      <c r="A50" s="54" t="s">
        <v>194</v>
      </c>
      <c r="B50" s="0" t="n">
        <v>0.01320923</v>
      </c>
      <c r="C50" s="0" t="n">
        <v>-0.00017084</v>
      </c>
      <c r="D50" s="0" t="n">
        <v>0.00059434</v>
      </c>
      <c r="E50" s="0" t="n">
        <v>0.00662622</v>
      </c>
      <c r="F50" s="0" t="n">
        <v>0.0047021</v>
      </c>
      <c r="G50" s="0" t="n">
        <v>-0.00263419</v>
      </c>
      <c r="H50" s="0" t="n">
        <v>-0.00024454</v>
      </c>
      <c r="I50" s="0" t="n">
        <v>0.01344628</v>
      </c>
      <c r="J50" s="0" t="n">
        <v>0.00221519</v>
      </c>
      <c r="K50" s="0" t="n">
        <v>0.00988645</v>
      </c>
      <c r="L50" s="0" t="n">
        <v>0.00253206</v>
      </c>
      <c r="M50" s="0" t="n">
        <v>0.02248026</v>
      </c>
      <c r="N50" s="0" t="n">
        <v>0.01468695</v>
      </c>
      <c r="O50" s="0" t="n">
        <v>0.00148943</v>
      </c>
      <c r="P50" s="0" t="n">
        <v>0.00705704</v>
      </c>
      <c r="Q50" s="0" t="n">
        <v>-0.00414677</v>
      </c>
      <c r="R50" s="0" t="n">
        <v>0.00664149</v>
      </c>
      <c r="S50" s="0" t="n">
        <v>0.00093121</v>
      </c>
      <c r="T50" s="0" t="n">
        <v>0.03918889</v>
      </c>
      <c r="U50" s="0" t="n">
        <v>0.00571965</v>
      </c>
      <c r="V50" s="0" t="n">
        <v>0.00250387</v>
      </c>
      <c r="W50" s="0" t="n">
        <v>0.00716088</v>
      </c>
      <c r="X50" s="0" t="n">
        <v>0.0376641</v>
      </c>
      <c r="Y50" s="0" t="n">
        <v>0.03456271</v>
      </c>
      <c r="Z50" s="0" t="n">
        <v>0.00367412</v>
      </c>
      <c r="AA50" s="0" t="n">
        <v>0.00790173</v>
      </c>
      <c r="AB50" s="0" t="n">
        <v>0.03561893</v>
      </c>
      <c r="AC50" s="0" t="n">
        <v>0.00143103</v>
      </c>
      <c r="AD50" s="0" t="n">
        <v>-0.00415776</v>
      </c>
      <c r="AE50" s="0" t="n">
        <v>0.01507971</v>
      </c>
      <c r="AF50" s="0" t="n">
        <v>0.00072457</v>
      </c>
      <c r="AG50" s="0" t="n">
        <v>-0.00114145</v>
      </c>
      <c r="AH50" s="0" t="n">
        <v>0.00069864</v>
      </c>
      <c r="AI50" s="0" t="n">
        <v>-0.00191302</v>
      </c>
      <c r="AJ50" s="0" t="n">
        <v>-0.00287902</v>
      </c>
      <c r="AK50" s="0" t="n">
        <v>0.0060097</v>
      </c>
      <c r="AL50" s="0" t="n">
        <v>0.02216158</v>
      </c>
      <c r="AM50" s="0" t="n">
        <v>0.00767291</v>
      </c>
      <c r="AN50" s="0" t="n">
        <v>0.02565619</v>
      </c>
      <c r="AO50" s="0" t="n">
        <v>0.00931667</v>
      </c>
      <c r="AP50" s="0" t="n">
        <v>0.0279888</v>
      </c>
      <c r="AQ50" s="0" t="n">
        <v>-0.00536422</v>
      </c>
      <c r="AR50" s="0" t="n">
        <v>0.04152502</v>
      </c>
      <c r="AS50" s="0" t="n">
        <v>0.00762951</v>
      </c>
      <c r="AT50" s="0" t="n">
        <v>0.07870852</v>
      </c>
      <c r="AU50" s="0" t="n">
        <v>0.00285604</v>
      </c>
      <c r="AV50" s="0" t="n">
        <v>0.01239611</v>
      </c>
      <c r="AW50" s="0" t="n">
        <v>0.00690178</v>
      </c>
      <c r="AX50" s="0" t="n">
        <v>0.02012282</v>
      </c>
      <c r="AY50" s="0" t="n">
        <v>0.02939472</v>
      </c>
      <c r="AZ50" s="0" t="n">
        <v>0.01647208</v>
      </c>
      <c r="BA50" s="0" t="n">
        <v>0.02513067</v>
      </c>
      <c r="BB50" s="0" t="n">
        <v>0.05043912</v>
      </c>
      <c r="BC50" s="0" t="n">
        <v>0.00519974</v>
      </c>
      <c r="BD50" s="0" t="n">
        <v>0.00598672</v>
      </c>
      <c r="BE50" s="0" t="n">
        <v>0.0121051</v>
      </c>
      <c r="BF50" s="0" t="n">
        <v>0.00802718</v>
      </c>
      <c r="BG50" s="0" t="n">
        <v>0.03439844</v>
      </c>
      <c r="BH50" s="0" t="n">
        <v>0.01096726</v>
      </c>
      <c r="BI50" s="0" t="n">
        <v>0.01136163</v>
      </c>
      <c r="BJ50" s="0" t="n">
        <v>-0.00468387</v>
      </c>
      <c r="BK50" s="0" t="n">
        <v>0.01503558</v>
      </c>
      <c r="BL50" s="0" t="n">
        <v>0.02282499</v>
      </c>
      <c r="BM50" s="0" t="n">
        <v>0.02318802</v>
      </c>
      <c r="BN50" s="0" t="n">
        <v>0.01297053</v>
      </c>
      <c r="BO50" s="0" t="n">
        <v>0.03138893</v>
      </c>
      <c r="BP50" s="0" t="n">
        <v>0.02527755</v>
      </c>
      <c r="BQ50" s="0" t="n">
        <v>0.01985117</v>
      </c>
      <c r="BR50" s="0" t="n">
        <v>0.0337024</v>
      </c>
      <c r="BS50" s="0" t="n">
        <v>-0.00833744</v>
      </c>
      <c r="BT50" s="0" t="n">
        <v>0.02930487</v>
      </c>
      <c r="BU50" s="0" t="n">
        <v>0.00780144</v>
      </c>
      <c r="BV50" s="0" t="n">
        <v>0.03052166</v>
      </c>
      <c r="BW50" s="0" t="n">
        <v>0.02778981</v>
      </c>
      <c r="BX50" s="0" t="n">
        <v>0.00927333</v>
      </c>
      <c r="BY50" s="0" t="n">
        <v>0.0401026</v>
      </c>
      <c r="BZ50" s="0" t="n">
        <v>0.0315353</v>
      </c>
      <c r="CA50" s="0" t="n">
        <v>-0.00217365</v>
      </c>
      <c r="CB50" s="0" t="n">
        <v>0.00163986</v>
      </c>
      <c r="CC50" s="0" t="n">
        <v>0.02451113</v>
      </c>
      <c r="CD50" s="0" t="n">
        <v>0.03266587</v>
      </c>
      <c r="CE50" s="0" t="n">
        <v>0.02281806</v>
      </c>
      <c r="CF50" s="0" t="n">
        <v>-0.00681064</v>
      </c>
      <c r="CG50" s="0" t="n">
        <v>0.04474859</v>
      </c>
      <c r="CH50" s="0" t="n">
        <v>0.01475612</v>
      </c>
      <c r="CI50" s="0" t="n">
        <v>-0.00619925</v>
      </c>
      <c r="CJ50" s="0" t="n">
        <v>0.01202382</v>
      </c>
      <c r="CK50" s="0" t="n">
        <v>0.03907777</v>
      </c>
      <c r="CL50" s="0" t="n">
        <v>0.03162133</v>
      </c>
      <c r="CM50" s="0" t="n">
        <v>0.01973557</v>
      </c>
      <c r="CN50" s="0" t="n">
        <v>0.00169573</v>
      </c>
      <c r="CO50" s="0" t="n">
        <v>0.02395299</v>
      </c>
      <c r="CP50" s="0" t="n">
        <v>0.01392615</v>
      </c>
      <c r="CQ50" s="0" t="n">
        <v>0.05763523</v>
      </c>
      <c r="CR50" s="0" t="n">
        <v>0.02388212</v>
      </c>
      <c r="CS50" s="0" t="n">
        <v>0.02690841</v>
      </c>
      <c r="CT50" s="0" t="n">
        <v>0.03450215</v>
      </c>
      <c r="CU50" s="0" t="n">
        <v>0.01416035</v>
      </c>
      <c r="CV50" s="0" t="n">
        <v>0.03206999</v>
      </c>
      <c r="CW50" s="0" t="n">
        <v>0.03644282</v>
      </c>
      <c r="CX50" s="0" t="n">
        <v>0.04808586</v>
      </c>
      <c r="CY50" s="0" t="n">
        <v>0.05664771</v>
      </c>
      <c r="CZ50" s="0" t="n">
        <v>0.02445375</v>
      </c>
      <c r="DA50" s="0" t="n">
        <v>0.03689239</v>
      </c>
      <c r="DB50" s="0" t="n">
        <v>0.0389539</v>
      </c>
      <c r="DC50" s="0" t="n">
        <v>0.0375119</v>
      </c>
      <c r="DD50" s="0" t="n">
        <v>0.0508819</v>
      </c>
      <c r="DE50" s="0" t="n">
        <v>0.02961692</v>
      </c>
      <c r="DF50" s="0" t="n">
        <v>0.02981651</v>
      </c>
      <c r="DG50" s="0" t="n">
        <v>0.01394593</v>
      </c>
      <c r="DH50" s="0" t="n">
        <v>0.02040247</v>
      </c>
      <c r="DI50" s="0" t="n">
        <v>0.06187903</v>
      </c>
      <c r="DJ50" s="0" t="n">
        <v>0.06057369</v>
      </c>
      <c r="DK50" s="0" t="n">
        <v>0.06879059</v>
      </c>
      <c r="DL50" s="0" t="n">
        <v>-0.00663636</v>
      </c>
      <c r="DM50" s="0" t="n">
        <v>0.06564529</v>
      </c>
      <c r="DN50" s="0" t="n">
        <v>0.04562359</v>
      </c>
      <c r="DO50" s="0" t="n">
        <v>0.03922162</v>
      </c>
      <c r="DP50" s="0" t="n">
        <v>0.06424232</v>
      </c>
      <c r="DQ50" s="0" t="n">
        <v>0.02393249</v>
      </c>
      <c r="DR50" s="0" t="n">
        <v>0.0210816</v>
      </c>
      <c r="DS50" s="0" t="n">
        <v>0.04389697</v>
      </c>
      <c r="DT50" s="0" t="n">
        <v>0.0300879</v>
      </c>
      <c r="DU50" s="0" t="n">
        <v>0.07275164</v>
      </c>
      <c r="DV50" s="0" t="n">
        <v>0.0392236</v>
      </c>
      <c r="DW50" s="0" t="n">
        <v>0.06960588</v>
      </c>
      <c r="DX50" s="0" t="n">
        <v>0.02811204</v>
      </c>
      <c r="DY50" s="0" t="n">
        <v>0.09414425</v>
      </c>
      <c r="DZ50" s="0" t="n">
        <v>0.02414892</v>
      </c>
      <c r="EA50" s="0" t="n">
        <v>0.04247</v>
      </c>
      <c r="EB50" s="0" t="n">
        <v>0.09485423</v>
      </c>
      <c r="EC50" s="0" t="n">
        <v>0.00468849</v>
      </c>
      <c r="ED50" s="0" t="n">
        <v>0.04966866</v>
      </c>
      <c r="EE50" s="0" t="n">
        <v>0.02699846</v>
      </c>
      <c r="EF50" s="0" t="n">
        <v>0.02837922</v>
      </c>
      <c r="EG50" s="0" t="n">
        <v>0.0233938</v>
      </c>
      <c r="EH50" s="0" t="n">
        <v>0.05828242</v>
      </c>
      <c r="EI50" s="0" t="n">
        <v>0.01657744</v>
      </c>
      <c r="EJ50" s="0" t="n">
        <v>0.07130341</v>
      </c>
      <c r="EK50" s="0" t="n">
        <v>0.04997776</v>
      </c>
      <c r="EL50" s="0" t="n">
        <v>0.04810219</v>
      </c>
      <c r="EM50" s="0" t="n">
        <v>0.03532807</v>
      </c>
      <c r="EN50" s="0" t="n">
        <v>0.0656267</v>
      </c>
      <c r="EO50" s="0" t="n">
        <v>0.0764706</v>
      </c>
      <c r="EP50" s="55" t="n">
        <f aca="false">SUMPRODUCT(B50:EO50,$B$5:$EO$5)</f>
        <v>0.025070518</v>
      </c>
      <c r="EQ50" s="55" t="n">
        <f aca="false">SUMIF('Mi portafolio'!$A$8:$A$19,$A50,'Mi portafolio'!$B$8:$B$19)</f>
        <v>0</v>
      </c>
    </row>
    <row r="51" customFormat="false" ht="15" hidden="false" customHeight="false" outlineLevel="0" collapsed="false">
      <c r="A51" s="54" t="s">
        <v>195</v>
      </c>
      <c r="B51" s="0" t="n">
        <v>0.01388286</v>
      </c>
      <c r="C51" s="0" t="n">
        <v>0.00235576</v>
      </c>
      <c r="D51" s="0" t="n">
        <v>-0.0019981</v>
      </c>
      <c r="E51" s="0" t="n">
        <v>0.00464582</v>
      </c>
      <c r="F51" s="0" t="n">
        <v>0.02305117</v>
      </c>
      <c r="G51" s="0" t="n">
        <v>-0.00120312</v>
      </c>
      <c r="H51" s="0" t="n">
        <v>0.00116207</v>
      </c>
      <c r="I51" s="0" t="n">
        <v>0.02379349</v>
      </c>
      <c r="J51" s="0" t="n">
        <v>0.02500074</v>
      </c>
      <c r="K51" s="0" t="n">
        <v>0.02507528</v>
      </c>
      <c r="L51" s="0" t="n">
        <v>0.00570988</v>
      </c>
      <c r="M51" s="0" t="n">
        <v>0.01456864</v>
      </c>
      <c r="N51" s="0" t="n">
        <v>0.01338784</v>
      </c>
      <c r="O51" s="0" t="n">
        <v>0.00553062</v>
      </c>
      <c r="P51" s="0" t="n">
        <v>0.04099181</v>
      </c>
      <c r="Q51" s="0" t="n">
        <v>0.00086948</v>
      </c>
      <c r="R51" s="0" t="n">
        <v>0.02725278</v>
      </c>
      <c r="S51" s="0" t="n">
        <v>0.00470905</v>
      </c>
      <c r="T51" s="0" t="n">
        <v>0.00470924</v>
      </c>
      <c r="U51" s="0" t="n">
        <v>0.0050626</v>
      </c>
      <c r="V51" s="0" t="n">
        <v>0.00117634</v>
      </c>
      <c r="W51" s="0" t="n">
        <v>0.00936926</v>
      </c>
      <c r="X51" s="0" t="n">
        <v>0.00529464</v>
      </c>
      <c r="Y51" s="0" t="n">
        <v>0.01278993</v>
      </c>
      <c r="Z51" s="0" t="n">
        <v>0.00735634</v>
      </c>
      <c r="AA51" s="0" t="n">
        <v>0.01010481</v>
      </c>
      <c r="AB51" s="0" t="n">
        <v>0.0113849</v>
      </c>
      <c r="AC51" s="0" t="n">
        <v>-0.00239113</v>
      </c>
      <c r="AD51" s="0" t="n">
        <v>0.00341429</v>
      </c>
      <c r="AE51" s="0" t="n">
        <v>-0.00247392</v>
      </c>
      <c r="AF51" s="0" t="n">
        <v>8.653E-005</v>
      </c>
      <c r="AG51" s="0" t="n">
        <v>0.01796413</v>
      </c>
      <c r="AH51" s="0" t="n">
        <v>0.01878952</v>
      </c>
      <c r="AI51" s="0" t="n">
        <v>0.01151635</v>
      </c>
      <c r="AJ51" s="0" t="n">
        <v>-0.00484041</v>
      </c>
      <c r="AK51" s="0" t="n">
        <v>0.0044701</v>
      </c>
      <c r="AL51" s="0" t="n">
        <v>0.01349953</v>
      </c>
      <c r="AM51" s="0" t="n">
        <v>0.00457385</v>
      </c>
      <c r="AN51" s="0" t="n">
        <v>0.02865237</v>
      </c>
      <c r="AO51" s="0" t="n">
        <v>0.02367847</v>
      </c>
      <c r="AP51" s="0" t="n">
        <v>0.0103738</v>
      </c>
      <c r="AQ51" s="0" t="n">
        <v>0.01320906</v>
      </c>
      <c r="AR51" s="0" t="n">
        <v>0.0058099</v>
      </c>
      <c r="AS51" s="0" t="n">
        <v>-0.0001012</v>
      </c>
      <c r="AT51" s="0" t="n">
        <v>0.00285604</v>
      </c>
      <c r="AU51" s="0" t="n">
        <v>0.07803078</v>
      </c>
      <c r="AV51" s="0" t="n">
        <v>0.01113203</v>
      </c>
      <c r="AW51" s="0" t="n">
        <v>0.01082799</v>
      </c>
      <c r="AX51" s="0" t="n">
        <v>0.02748013</v>
      </c>
      <c r="AY51" s="0" t="n">
        <v>0.01964988</v>
      </c>
      <c r="AZ51" s="0" t="n">
        <v>0.00181712</v>
      </c>
      <c r="BA51" s="0" t="n">
        <v>0.01638017</v>
      </c>
      <c r="BB51" s="0" t="n">
        <v>4.33E-006</v>
      </c>
      <c r="BC51" s="0" t="n">
        <v>0.00271637</v>
      </c>
      <c r="BD51" s="0" t="n">
        <v>-0.0049174</v>
      </c>
      <c r="BE51" s="0" t="n">
        <v>0.02301692</v>
      </c>
      <c r="BF51" s="0" t="n">
        <v>0.00201985</v>
      </c>
      <c r="BG51" s="0" t="n">
        <v>0.00143726</v>
      </c>
      <c r="BH51" s="0" t="n">
        <v>-0.00157183</v>
      </c>
      <c r="BI51" s="0" t="n">
        <v>-0.0030502</v>
      </c>
      <c r="BJ51" s="0" t="n">
        <v>-0.00606292</v>
      </c>
      <c r="BK51" s="0" t="n">
        <v>-0.00063179</v>
      </c>
      <c r="BL51" s="0" t="n">
        <v>0.0064301</v>
      </c>
      <c r="BM51" s="0" t="n">
        <v>0.03115237</v>
      </c>
      <c r="BN51" s="0" t="n">
        <v>0.01873717</v>
      </c>
      <c r="BO51" s="0" t="n">
        <v>0.01140912</v>
      </c>
      <c r="BP51" s="0" t="n">
        <v>-0.00401384</v>
      </c>
      <c r="BQ51" s="0" t="n">
        <v>0.00248315</v>
      </c>
      <c r="BR51" s="0" t="n">
        <v>0.01182559</v>
      </c>
      <c r="BS51" s="0" t="n">
        <v>0.01063324</v>
      </c>
      <c r="BT51" s="0" t="n">
        <v>0.01021441</v>
      </c>
      <c r="BU51" s="0" t="n">
        <v>-0.00109077</v>
      </c>
      <c r="BV51" s="0" t="n">
        <v>0.00104576</v>
      </c>
      <c r="BW51" s="0" t="n">
        <v>0.01324582</v>
      </c>
      <c r="BX51" s="0" t="n">
        <v>0.02709165</v>
      </c>
      <c r="BY51" s="0" t="n">
        <v>0.01351539</v>
      </c>
      <c r="BZ51" s="0" t="n">
        <v>0.01751652</v>
      </c>
      <c r="CA51" s="0" t="n">
        <v>0.00914471</v>
      </c>
      <c r="CB51" s="0" t="n">
        <v>0.00064456</v>
      </c>
      <c r="CC51" s="0" t="n">
        <v>0.01295166</v>
      </c>
      <c r="CD51" s="0" t="n">
        <v>0.00516706</v>
      </c>
      <c r="CE51" s="0" t="n">
        <v>0.00325541</v>
      </c>
      <c r="CF51" s="0" t="n">
        <v>0.01341092</v>
      </c>
      <c r="CG51" s="0" t="n">
        <v>0.0080753</v>
      </c>
      <c r="CH51" s="0" t="n">
        <v>0.00040844</v>
      </c>
      <c r="CI51" s="0" t="n">
        <v>0.01025281</v>
      </c>
      <c r="CJ51" s="0" t="n">
        <v>0.00937065</v>
      </c>
      <c r="CK51" s="0" t="n">
        <v>0.02040634</v>
      </c>
      <c r="CL51" s="0" t="n">
        <v>0.00953355</v>
      </c>
      <c r="CM51" s="0" t="n">
        <v>-0.00776619</v>
      </c>
      <c r="CN51" s="0" t="n">
        <v>0.00071504</v>
      </c>
      <c r="CO51" s="0" t="n">
        <v>-0.00559874</v>
      </c>
      <c r="CP51" s="0" t="n">
        <v>0.01519558</v>
      </c>
      <c r="CQ51" s="0" t="n">
        <v>0.01098458</v>
      </c>
      <c r="CR51" s="0" t="n">
        <v>-0.00354525</v>
      </c>
      <c r="CS51" s="0" t="n">
        <v>0.0161609</v>
      </c>
      <c r="CT51" s="0" t="n">
        <v>0.00124563</v>
      </c>
      <c r="CU51" s="0" t="n">
        <v>0.00366855</v>
      </c>
      <c r="CV51" s="0" t="n">
        <v>-0.00192462</v>
      </c>
      <c r="CW51" s="0" t="n">
        <v>-0.00335281</v>
      </c>
      <c r="CX51" s="0" t="n">
        <v>0.00399191</v>
      </c>
      <c r="CY51" s="0" t="n">
        <v>0.01055608</v>
      </c>
      <c r="CZ51" s="0" t="n">
        <v>0.00833174</v>
      </c>
      <c r="DA51" s="0" t="n">
        <v>-0.00183367</v>
      </c>
      <c r="DB51" s="0" t="n">
        <v>-0.00235654</v>
      </c>
      <c r="DC51" s="0" t="n">
        <v>-0.00145404</v>
      </c>
      <c r="DD51" s="0" t="n">
        <v>0.0057413</v>
      </c>
      <c r="DE51" s="0" t="n">
        <v>-0.00691705</v>
      </c>
      <c r="DF51" s="0" t="n">
        <v>-0.0010122</v>
      </c>
      <c r="DG51" s="0" t="n">
        <v>-0.00567337</v>
      </c>
      <c r="DH51" s="0" t="n">
        <v>-0.00916107</v>
      </c>
      <c r="DI51" s="0" t="n">
        <v>0.0080855</v>
      </c>
      <c r="DJ51" s="0" t="n">
        <v>0.01606728</v>
      </c>
      <c r="DK51" s="0" t="n">
        <v>0.01154109</v>
      </c>
      <c r="DL51" s="0" t="n">
        <v>-0.00471803</v>
      </c>
      <c r="DM51" s="0" t="n">
        <v>0.02120929</v>
      </c>
      <c r="DN51" s="0" t="n">
        <v>0.01835768</v>
      </c>
      <c r="DO51" s="0" t="n">
        <v>-0.00832923</v>
      </c>
      <c r="DP51" s="0" t="n">
        <v>0.01753918</v>
      </c>
      <c r="DQ51" s="0" t="n">
        <v>-0.0016046</v>
      </c>
      <c r="DR51" s="0" t="n">
        <v>-0.00309344</v>
      </c>
      <c r="DS51" s="0" t="n">
        <v>-0.00368112</v>
      </c>
      <c r="DT51" s="0" t="n">
        <v>-0.01989034</v>
      </c>
      <c r="DU51" s="0" t="n">
        <v>-0.01778158</v>
      </c>
      <c r="DV51" s="0" t="n">
        <v>-0.0002372</v>
      </c>
      <c r="DW51" s="0" t="n">
        <v>-0.00333088</v>
      </c>
      <c r="DX51" s="0" t="n">
        <v>-0.0101696</v>
      </c>
      <c r="DY51" s="0" t="n">
        <v>-0.01311499</v>
      </c>
      <c r="DZ51" s="0" t="n">
        <v>1.825E-005</v>
      </c>
      <c r="EA51" s="0" t="n">
        <v>0.00262726</v>
      </c>
      <c r="EB51" s="0" t="n">
        <v>-0.00139941</v>
      </c>
      <c r="EC51" s="0" t="n">
        <v>-0.01883344</v>
      </c>
      <c r="ED51" s="0" t="n">
        <v>0.00140515</v>
      </c>
      <c r="EE51" s="0" t="n">
        <v>-0.01067601</v>
      </c>
      <c r="EF51" s="0" t="n">
        <v>-0.00120536</v>
      </c>
      <c r="EG51" s="0" t="n">
        <v>-0.00407069</v>
      </c>
      <c r="EH51" s="0" t="n">
        <v>0.00084552</v>
      </c>
      <c r="EI51" s="0" t="n">
        <v>-0.03559703</v>
      </c>
      <c r="EJ51" s="0" t="n">
        <v>-0.00221734</v>
      </c>
      <c r="EK51" s="0" t="n">
        <v>-0.00483925</v>
      </c>
      <c r="EL51" s="0" t="n">
        <v>-0.00452082</v>
      </c>
      <c r="EM51" s="0" t="n">
        <v>-0.01442857</v>
      </c>
      <c r="EN51" s="0" t="n">
        <v>0.0262989</v>
      </c>
      <c r="EO51" s="0" t="n">
        <v>-0.00135406</v>
      </c>
      <c r="EP51" s="55" t="n">
        <f aca="false">SUMPRODUCT(B51:EO51,$B$5:$EO$5)</f>
        <v>0.00055662</v>
      </c>
      <c r="EQ51" s="55" t="n">
        <f aca="false">SUMIF('Mi portafolio'!$A$8:$A$19,$A51,'Mi portafolio'!$B$8:$B$19)</f>
        <v>0</v>
      </c>
    </row>
    <row r="52" customFormat="false" ht="15" hidden="false" customHeight="false" outlineLevel="0" collapsed="false">
      <c r="A52" s="54" t="s">
        <v>196</v>
      </c>
      <c r="B52" s="0" t="n">
        <v>0.00332249</v>
      </c>
      <c r="C52" s="0" t="n">
        <v>0.01377895</v>
      </c>
      <c r="D52" s="0" t="n">
        <v>0.00523993</v>
      </c>
      <c r="E52" s="0" t="n">
        <v>0.02495021</v>
      </c>
      <c r="F52" s="0" t="n">
        <v>0.00454007</v>
      </c>
      <c r="G52" s="0" t="n">
        <v>0.00312411</v>
      </c>
      <c r="H52" s="0" t="n">
        <v>0.01096084</v>
      </c>
      <c r="I52" s="0" t="n">
        <v>0.00759153</v>
      </c>
      <c r="J52" s="0" t="n">
        <v>0.00144456</v>
      </c>
      <c r="K52" s="0" t="n">
        <v>0.00473789</v>
      </c>
      <c r="L52" s="0" t="n">
        <v>0.01719625</v>
      </c>
      <c r="M52" s="0" t="n">
        <v>0.01124704</v>
      </c>
      <c r="N52" s="0" t="n">
        <v>0.01003669</v>
      </c>
      <c r="O52" s="0" t="n">
        <v>0.02127919</v>
      </c>
      <c r="P52" s="0" t="n">
        <v>0.01107754</v>
      </c>
      <c r="Q52" s="0" t="n">
        <v>0.00342617</v>
      </c>
      <c r="R52" s="0" t="n">
        <v>0.00916387</v>
      </c>
      <c r="S52" s="0" t="n">
        <v>0.01780882</v>
      </c>
      <c r="T52" s="0" t="n">
        <v>0.0085973</v>
      </c>
      <c r="U52" s="0" t="n">
        <v>0.02331517</v>
      </c>
      <c r="V52" s="0" t="n">
        <v>0.01614228</v>
      </c>
      <c r="W52" s="0" t="n">
        <v>0.02476408</v>
      </c>
      <c r="X52" s="0" t="n">
        <v>0.00987883</v>
      </c>
      <c r="Y52" s="0" t="n">
        <v>0.00753751</v>
      </c>
      <c r="Z52" s="0" t="n">
        <v>0.01751563</v>
      </c>
      <c r="AA52" s="0" t="n">
        <v>0.01169509</v>
      </c>
      <c r="AB52" s="0" t="n">
        <v>0.00193644</v>
      </c>
      <c r="AC52" s="0" t="n">
        <v>0.01778815</v>
      </c>
      <c r="AD52" s="0" t="n">
        <v>0.0183734</v>
      </c>
      <c r="AE52" s="0" t="n">
        <v>0.02249318</v>
      </c>
      <c r="AF52" s="0" t="n">
        <v>0.02304343</v>
      </c>
      <c r="AG52" s="0" t="n">
        <v>0.00366703</v>
      </c>
      <c r="AH52" s="0" t="n">
        <v>0.00488609</v>
      </c>
      <c r="AI52" s="0" t="n">
        <v>0.00206181</v>
      </c>
      <c r="AJ52" s="0" t="n">
        <v>0.01566647</v>
      </c>
      <c r="AK52" s="0" t="n">
        <v>0.02368496</v>
      </c>
      <c r="AL52" s="0" t="n">
        <v>0.00851135</v>
      </c>
      <c r="AM52" s="0" t="n">
        <v>0.00971336</v>
      </c>
      <c r="AN52" s="0" t="n">
        <v>0.01300085</v>
      </c>
      <c r="AO52" s="0" t="n">
        <v>0.00695978</v>
      </c>
      <c r="AP52" s="0" t="n">
        <v>0.01285504</v>
      </c>
      <c r="AQ52" s="0" t="n">
        <v>0.0027341</v>
      </c>
      <c r="AR52" s="0" t="n">
        <v>0.00817087</v>
      </c>
      <c r="AS52" s="0" t="n">
        <v>0.01763011</v>
      </c>
      <c r="AT52" s="0" t="n">
        <v>0.01239611</v>
      </c>
      <c r="AU52" s="0" t="n">
        <v>0.01113203</v>
      </c>
      <c r="AV52" s="0" t="n">
        <v>0.07770479</v>
      </c>
      <c r="AW52" s="0" t="n">
        <v>0.02899232</v>
      </c>
      <c r="AX52" s="0" t="n">
        <v>0.0129919</v>
      </c>
      <c r="AY52" s="0" t="n">
        <v>0.01102154</v>
      </c>
      <c r="AZ52" s="0" t="n">
        <v>0.01583462</v>
      </c>
      <c r="BA52" s="0" t="n">
        <v>0.01528021</v>
      </c>
      <c r="BB52" s="0" t="n">
        <v>0.01282614</v>
      </c>
      <c r="BC52" s="0" t="n">
        <v>0.01905183</v>
      </c>
      <c r="BD52" s="0" t="n">
        <v>0.02080741</v>
      </c>
      <c r="BE52" s="0" t="n">
        <v>0.00654749</v>
      </c>
      <c r="BF52" s="0" t="n">
        <v>0.02298314</v>
      </c>
      <c r="BG52" s="0" t="n">
        <v>0.00938909</v>
      </c>
      <c r="BH52" s="0" t="n">
        <v>0.02792606</v>
      </c>
      <c r="BI52" s="0" t="n">
        <v>0.01837847</v>
      </c>
      <c r="BJ52" s="0" t="n">
        <v>0.01062319</v>
      </c>
      <c r="BK52" s="0" t="n">
        <v>0.01924915</v>
      </c>
      <c r="BL52" s="0" t="n">
        <v>0.01031393</v>
      </c>
      <c r="BM52" s="0" t="n">
        <v>0.01114112</v>
      </c>
      <c r="BN52" s="0" t="n">
        <v>0.00339689</v>
      </c>
      <c r="BO52" s="0" t="n">
        <v>0.0147337</v>
      </c>
      <c r="BP52" s="0" t="n">
        <v>0.0099438</v>
      </c>
      <c r="BQ52" s="0" t="n">
        <v>0.02373284</v>
      </c>
      <c r="BR52" s="0" t="n">
        <v>0.01511323</v>
      </c>
      <c r="BS52" s="0" t="n">
        <v>-0.00282721</v>
      </c>
      <c r="BT52" s="0" t="n">
        <v>0.00874876</v>
      </c>
      <c r="BU52" s="0" t="n">
        <v>0.00853477</v>
      </c>
      <c r="BV52" s="0" t="n">
        <v>0.00782634</v>
      </c>
      <c r="BW52" s="0" t="n">
        <v>0.01512502</v>
      </c>
      <c r="BX52" s="0" t="n">
        <v>0.01140274</v>
      </c>
      <c r="BY52" s="0" t="n">
        <v>0.0079553</v>
      </c>
      <c r="BZ52" s="0" t="n">
        <v>0.0109241</v>
      </c>
      <c r="CA52" s="0" t="n">
        <v>0.03311969</v>
      </c>
      <c r="CB52" s="0" t="n">
        <v>-0.0001466</v>
      </c>
      <c r="CC52" s="0" t="n">
        <v>0.00697169</v>
      </c>
      <c r="CD52" s="0" t="n">
        <v>-0.00232751</v>
      </c>
      <c r="CE52" s="0" t="n">
        <v>0.00458406</v>
      </c>
      <c r="CF52" s="0" t="n">
        <v>-0.00499284</v>
      </c>
      <c r="CG52" s="0" t="n">
        <v>0.00780177</v>
      </c>
      <c r="CH52" s="0" t="n">
        <v>0.03087857</v>
      </c>
      <c r="CI52" s="0" t="n">
        <v>-0.00350163</v>
      </c>
      <c r="CJ52" s="0" t="n">
        <v>0.00636822</v>
      </c>
      <c r="CK52" s="0" t="n">
        <v>0.01325472</v>
      </c>
      <c r="CL52" s="0" t="n">
        <v>0.00616187</v>
      </c>
      <c r="CM52" s="0" t="n">
        <v>0.0050761</v>
      </c>
      <c r="CN52" s="0" t="n">
        <v>0.01843567</v>
      </c>
      <c r="CO52" s="0" t="n">
        <v>0.01753413</v>
      </c>
      <c r="CP52" s="0" t="n">
        <v>0.01091344</v>
      </c>
      <c r="CQ52" s="0" t="n">
        <v>0.01200891</v>
      </c>
      <c r="CR52" s="0" t="n">
        <v>0.01498099</v>
      </c>
      <c r="CS52" s="0" t="n">
        <v>0.01857496</v>
      </c>
      <c r="CT52" s="0" t="n">
        <v>0.01420258</v>
      </c>
      <c r="CU52" s="0" t="n">
        <v>0.01793271</v>
      </c>
      <c r="CV52" s="0" t="n">
        <v>0.00354769</v>
      </c>
      <c r="CW52" s="0" t="n">
        <v>0.01801786</v>
      </c>
      <c r="CX52" s="0" t="n">
        <v>0.01091557</v>
      </c>
      <c r="CY52" s="0" t="n">
        <v>0.01636566</v>
      </c>
      <c r="CZ52" s="0" t="n">
        <v>0.0029046</v>
      </c>
      <c r="DA52" s="0" t="n">
        <v>0.00343497</v>
      </c>
      <c r="DB52" s="0" t="n">
        <v>0.03064763</v>
      </c>
      <c r="DC52" s="0" t="n">
        <v>0.02785448</v>
      </c>
      <c r="DD52" s="0" t="n">
        <v>0.01014886</v>
      </c>
      <c r="DE52" s="0" t="n">
        <v>0.02398156</v>
      </c>
      <c r="DF52" s="0" t="n">
        <v>0.0023084</v>
      </c>
      <c r="DG52" s="0" t="n">
        <v>0.01682252</v>
      </c>
      <c r="DH52" s="0" t="n">
        <v>0.02375114</v>
      </c>
      <c r="DI52" s="0" t="n">
        <v>0.01884946</v>
      </c>
      <c r="DJ52" s="0" t="n">
        <v>0.00272176</v>
      </c>
      <c r="DK52" s="0" t="n">
        <v>0.0169454</v>
      </c>
      <c r="DL52" s="0" t="n">
        <v>0.02433646</v>
      </c>
      <c r="DM52" s="0" t="n">
        <v>0.01235609</v>
      </c>
      <c r="DN52" s="0" t="n">
        <v>0.00279341</v>
      </c>
      <c r="DO52" s="0" t="n">
        <v>0.02338212</v>
      </c>
      <c r="DP52" s="0" t="n">
        <v>0.0049898</v>
      </c>
      <c r="DQ52" s="0" t="n">
        <v>-0.00254024</v>
      </c>
      <c r="DR52" s="0" t="n">
        <v>0.01645964</v>
      </c>
      <c r="DS52" s="0" t="n">
        <v>-0.0103321</v>
      </c>
      <c r="DT52" s="0" t="n">
        <v>0.01300827</v>
      </c>
      <c r="DU52" s="0" t="n">
        <v>0.02619036</v>
      </c>
      <c r="DV52" s="0" t="n">
        <v>0.02510463</v>
      </c>
      <c r="DW52" s="0" t="n">
        <v>0.01956069</v>
      </c>
      <c r="DX52" s="0" t="n">
        <v>0.01602211</v>
      </c>
      <c r="DY52" s="0" t="n">
        <v>0.02250148</v>
      </c>
      <c r="DZ52" s="0" t="n">
        <v>0.00288664</v>
      </c>
      <c r="EA52" s="0" t="n">
        <v>0.01721592</v>
      </c>
      <c r="EB52" s="0" t="n">
        <v>0.02855402</v>
      </c>
      <c r="EC52" s="0" t="n">
        <v>0.00706505</v>
      </c>
      <c r="ED52" s="0" t="n">
        <v>0.03833472</v>
      </c>
      <c r="EE52" s="0" t="n">
        <v>0.01691128</v>
      </c>
      <c r="EF52" s="0" t="n">
        <v>0.02159209</v>
      </c>
      <c r="EG52" s="0" t="n">
        <v>0.02255144</v>
      </c>
      <c r="EH52" s="0" t="n">
        <v>0.00875535</v>
      </c>
      <c r="EI52" s="0" t="n">
        <v>-0.00054049</v>
      </c>
      <c r="EJ52" s="0" t="n">
        <v>0.03928058</v>
      </c>
      <c r="EK52" s="0" t="n">
        <v>0.0395413</v>
      </c>
      <c r="EL52" s="0" t="n">
        <v>0.04161647</v>
      </c>
      <c r="EM52" s="0" t="n">
        <v>0.01172953</v>
      </c>
      <c r="EN52" s="0" t="n">
        <v>0.00845809</v>
      </c>
      <c r="EO52" s="0" t="n">
        <v>0.04234089</v>
      </c>
      <c r="EP52" s="55" t="n">
        <f aca="false">SUMPRODUCT(B52:EO52,$B$5:$EO$5)</f>
        <v>0.024748776</v>
      </c>
      <c r="EQ52" s="55" t="n">
        <f aca="false">SUMIF('Mi portafolio'!$A$8:$A$19,$A52,'Mi portafolio'!$B$8:$B$19)</f>
        <v>0</v>
      </c>
    </row>
    <row r="53" customFormat="false" ht="15" hidden="false" customHeight="false" outlineLevel="0" collapsed="false">
      <c r="A53" s="54" t="s">
        <v>197</v>
      </c>
      <c r="B53" s="0" t="n">
        <v>-0.00034858</v>
      </c>
      <c r="C53" s="0" t="n">
        <v>0.00953833</v>
      </c>
      <c r="D53" s="0" t="n">
        <v>0.00238212</v>
      </c>
      <c r="E53" s="0" t="n">
        <v>0.0093577</v>
      </c>
      <c r="F53" s="0" t="n">
        <v>-0.00221128</v>
      </c>
      <c r="G53" s="0" t="n">
        <v>0.00662541</v>
      </c>
      <c r="H53" s="0" t="n">
        <v>0.02103142</v>
      </c>
      <c r="I53" s="0" t="n">
        <v>0.00177252</v>
      </c>
      <c r="J53" s="0" t="n">
        <v>0.00139491</v>
      </c>
      <c r="K53" s="0" t="n">
        <v>0.00186835</v>
      </c>
      <c r="L53" s="0" t="n">
        <v>0.00973612</v>
      </c>
      <c r="M53" s="0" t="n">
        <v>0.01550294</v>
      </c>
      <c r="N53" s="0" t="n">
        <v>0.00370865</v>
      </c>
      <c r="O53" s="0" t="n">
        <v>0.01656515</v>
      </c>
      <c r="P53" s="0" t="n">
        <v>0.00753643</v>
      </c>
      <c r="Q53" s="0" t="n">
        <v>0.00806495</v>
      </c>
      <c r="R53" s="0" t="n">
        <v>0.0028351</v>
      </c>
      <c r="S53" s="0" t="n">
        <v>0.02072725</v>
      </c>
      <c r="T53" s="0" t="n">
        <v>0.00493311</v>
      </c>
      <c r="U53" s="0" t="n">
        <v>0.02292133</v>
      </c>
      <c r="V53" s="0" t="n">
        <v>0.02312316</v>
      </c>
      <c r="W53" s="0" t="n">
        <v>0.01601129</v>
      </c>
      <c r="X53" s="0" t="n">
        <v>0.00662749</v>
      </c>
      <c r="Y53" s="0" t="n">
        <v>0.00321034</v>
      </c>
      <c r="Z53" s="0" t="n">
        <v>0.02569848</v>
      </c>
      <c r="AA53" s="0" t="n">
        <v>0.00385668</v>
      </c>
      <c r="AB53" s="0" t="n">
        <v>-0.00074134</v>
      </c>
      <c r="AC53" s="0" t="n">
        <v>0.01483849</v>
      </c>
      <c r="AD53" s="0" t="n">
        <v>0.02276471</v>
      </c>
      <c r="AE53" s="0" t="n">
        <v>0.021717</v>
      </c>
      <c r="AF53" s="0" t="n">
        <v>0.02405465</v>
      </c>
      <c r="AG53" s="0" t="n">
        <v>-0.00198336</v>
      </c>
      <c r="AH53" s="0" t="n">
        <v>-0.00529483</v>
      </c>
      <c r="AI53" s="0" t="n">
        <v>-0.00828327</v>
      </c>
      <c r="AJ53" s="0" t="n">
        <v>0.0066499</v>
      </c>
      <c r="AK53" s="0" t="n">
        <v>0.02855056</v>
      </c>
      <c r="AL53" s="0" t="n">
        <v>0.00252871</v>
      </c>
      <c r="AM53" s="0" t="n">
        <v>0.01363542</v>
      </c>
      <c r="AN53" s="0" t="n">
        <v>0.01807345</v>
      </c>
      <c r="AO53" s="0" t="n">
        <v>-0.00440388</v>
      </c>
      <c r="AP53" s="0" t="n">
        <v>0.01043739</v>
      </c>
      <c r="AQ53" s="0" t="n">
        <v>-0.00496633</v>
      </c>
      <c r="AR53" s="0" t="n">
        <v>0.00042854</v>
      </c>
      <c r="AS53" s="0" t="n">
        <v>0.0232863</v>
      </c>
      <c r="AT53" s="0" t="n">
        <v>0.00690178</v>
      </c>
      <c r="AU53" s="0" t="n">
        <v>0.01082799</v>
      </c>
      <c r="AV53" s="0" t="n">
        <v>0.02899232</v>
      </c>
      <c r="AW53" s="0" t="n">
        <v>0.08245243</v>
      </c>
      <c r="AX53" s="0" t="n">
        <v>0.00746278</v>
      </c>
      <c r="AY53" s="0" t="n">
        <v>0.01267347</v>
      </c>
      <c r="AZ53" s="0" t="n">
        <v>0.02515397</v>
      </c>
      <c r="BA53" s="0" t="n">
        <v>0.01915454</v>
      </c>
      <c r="BB53" s="0" t="n">
        <v>0.0093567</v>
      </c>
      <c r="BC53" s="0" t="n">
        <v>0.01854086</v>
      </c>
      <c r="BD53" s="0" t="n">
        <v>0.02986617</v>
      </c>
      <c r="BE53" s="0" t="n">
        <v>0.00914561</v>
      </c>
      <c r="BF53" s="0" t="n">
        <v>0.03111794</v>
      </c>
      <c r="BG53" s="0" t="n">
        <v>0.01037201</v>
      </c>
      <c r="BH53" s="0" t="n">
        <v>0.03166322</v>
      </c>
      <c r="BI53" s="0" t="n">
        <v>0.01040609</v>
      </c>
      <c r="BJ53" s="0" t="n">
        <v>0.00684096</v>
      </c>
      <c r="BK53" s="0" t="n">
        <v>0.01806249</v>
      </c>
      <c r="BL53" s="0" t="n">
        <v>0.02295839</v>
      </c>
      <c r="BM53" s="0" t="n">
        <v>0.00221373</v>
      </c>
      <c r="BN53" s="0" t="n">
        <v>0.00451789</v>
      </c>
      <c r="BO53" s="0" t="n">
        <v>0.00866402</v>
      </c>
      <c r="BP53" s="0" t="n">
        <v>-0.00180916</v>
      </c>
      <c r="BQ53" s="0" t="n">
        <v>0.04496393</v>
      </c>
      <c r="BR53" s="0" t="n">
        <v>0.01212392</v>
      </c>
      <c r="BS53" s="0" t="n">
        <v>-0.00686124</v>
      </c>
      <c r="BT53" s="0" t="n">
        <v>0.02115583</v>
      </c>
      <c r="BU53" s="0" t="n">
        <v>0.02890814</v>
      </c>
      <c r="BV53" s="0" t="n">
        <v>0.00700993</v>
      </c>
      <c r="BW53" s="0" t="n">
        <v>0.01904593</v>
      </c>
      <c r="BX53" s="0" t="n">
        <v>0.00708123</v>
      </c>
      <c r="BY53" s="0" t="n">
        <v>0.01438226</v>
      </c>
      <c r="BZ53" s="0" t="n">
        <v>0.01867804</v>
      </c>
      <c r="CA53" s="0" t="n">
        <v>0.02869896</v>
      </c>
      <c r="CB53" s="0" t="n">
        <v>-0.00166823</v>
      </c>
      <c r="CC53" s="0" t="n">
        <v>0.01140847</v>
      </c>
      <c r="CD53" s="0" t="n">
        <v>0.00995494</v>
      </c>
      <c r="CE53" s="0" t="n">
        <v>0.01480252</v>
      </c>
      <c r="CF53" s="0" t="n">
        <v>-0.00807678</v>
      </c>
      <c r="CG53" s="0" t="n">
        <v>0.01236219</v>
      </c>
      <c r="CH53" s="0" t="n">
        <v>0.04542886</v>
      </c>
      <c r="CI53" s="0" t="n">
        <v>-0.0073565</v>
      </c>
      <c r="CJ53" s="0" t="n">
        <v>-0.00393893</v>
      </c>
      <c r="CK53" s="0" t="n">
        <v>0.02004419</v>
      </c>
      <c r="CL53" s="0" t="n">
        <v>0.0137956</v>
      </c>
      <c r="CM53" s="0" t="n">
        <v>0.0144241</v>
      </c>
      <c r="CN53" s="0" t="n">
        <v>0.02846362</v>
      </c>
      <c r="CO53" s="0" t="n">
        <v>0.02317764</v>
      </c>
      <c r="CP53" s="0" t="n">
        <v>0.00262897</v>
      </c>
      <c r="CQ53" s="0" t="n">
        <v>0.01180543</v>
      </c>
      <c r="CR53" s="0" t="n">
        <v>0.01704384</v>
      </c>
      <c r="CS53" s="0" t="n">
        <v>0.02859267</v>
      </c>
      <c r="CT53" s="0" t="n">
        <v>0.01791001</v>
      </c>
      <c r="CU53" s="0" t="n">
        <v>0.00975269</v>
      </c>
      <c r="CV53" s="0" t="n">
        <v>0.00238382</v>
      </c>
      <c r="CW53" s="0" t="n">
        <v>0.01324842</v>
      </c>
      <c r="CX53" s="0" t="n">
        <v>0.01630012</v>
      </c>
      <c r="CY53" s="0" t="n">
        <v>0.01215949</v>
      </c>
      <c r="CZ53" s="0" t="n">
        <v>0.01625924</v>
      </c>
      <c r="DA53" s="0" t="n">
        <v>0.00347908</v>
      </c>
      <c r="DB53" s="0" t="n">
        <v>0.03365741</v>
      </c>
      <c r="DC53" s="0" t="n">
        <v>0.02701651</v>
      </c>
      <c r="DD53" s="0" t="n">
        <v>0.02295412</v>
      </c>
      <c r="DE53" s="0" t="n">
        <v>0.04123717</v>
      </c>
      <c r="DF53" s="0" t="n">
        <v>-0.00564552</v>
      </c>
      <c r="DG53" s="0" t="n">
        <v>0.03550198</v>
      </c>
      <c r="DH53" s="0" t="n">
        <v>0.0153898</v>
      </c>
      <c r="DI53" s="0" t="n">
        <v>0.01719434</v>
      </c>
      <c r="DJ53" s="0" t="n">
        <v>0.00642465</v>
      </c>
      <c r="DK53" s="0" t="n">
        <v>0.02328476</v>
      </c>
      <c r="DL53" s="0" t="n">
        <v>0.04808396</v>
      </c>
      <c r="DM53" s="0" t="n">
        <v>0.01698657</v>
      </c>
      <c r="DN53" s="0" t="n">
        <v>0.00941856</v>
      </c>
      <c r="DO53" s="0" t="n">
        <v>0.02848548</v>
      </c>
      <c r="DP53" s="0" t="n">
        <v>0.0157665</v>
      </c>
      <c r="DQ53" s="0" t="n">
        <v>0.02221188</v>
      </c>
      <c r="DR53" s="0" t="n">
        <v>0.02842537</v>
      </c>
      <c r="DS53" s="0" t="n">
        <v>-0.01039339</v>
      </c>
      <c r="DT53" s="0" t="n">
        <v>0.01021059</v>
      </c>
      <c r="DU53" s="0" t="n">
        <v>0.01762</v>
      </c>
      <c r="DV53" s="0" t="n">
        <v>0.00603462</v>
      </c>
      <c r="DW53" s="0" t="n">
        <v>0.00686615</v>
      </c>
      <c r="DX53" s="0" t="n">
        <v>0.03514527</v>
      </c>
      <c r="DY53" s="0" t="n">
        <v>0.02165422</v>
      </c>
      <c r="DZ53" s="0" t="n">
        <v>0.00447036</v>
      </c>
      <c r="EA53" s="0" t="n">
        <v>0.01462187</v>
      </c>
      <c r="EB53" s="0" t="n">
        <v>0.01863023</v>
      </c>
      <c r="EC53" s="0" t="n">
        <v>0.03254571</v>
      </c>
      <c r="ED53" s="0" t="n">
        <v>0.0419828</v>
      </c>
      <c r="EE53" s="0" t="n">
        <v>0.03238214</v>
      </c>
      <c r="EF53" s="0" t="n">
        <v>0.03406951</v>
      </c>
      <c r="EG53" s="0" t="n">
        <v>0.04827577</v>
      </c>
      <c r="EH53" s="0" t="n">
        <v>-0.00838319</v>
      </c>
      <c r="EI53" s="0" t="n">
        <v>0.03256448</v>
      </c>
      <c r="EJ53" s="0" t="n">
        <v>0.03470319</v>
      </c>
      <c r="EK53" s="0" t="n">
        <v>0.03308195</v>
      </c>
      <c r="EL53" s="0" t="n">
        <v>0.0417962</v>
      </c>
      <c r="EM53" s="0" t="n">
        <v>0.01579037</v>
      </c>
      <c r="EN53" s="0" t="n">
        <v>0.03112967</v>
      </c>
      <c r="EO53" s="0" t="n">
        <v>0.0137155</v>
      </c>
      <c r="EP53" s="55" t="n">
        <f aca="false">SUMPRODUCT(B53:EO53,$B$5:$EO$5)</f>
        <v>0.029620804</v>
      </c>
      <c r="EQ53" s="55" t="n">
        <f aca="false">SUMIF('Mi portafolio'!$A$8:$A$19,$A53,'Mi portafolio'!$B$8:$B$19)</f>
        <v>0</v>
      </c>
    </row>
    <row r="54" customFormat="false" ht="15" hidden="false" customHeight="false" outlineLevel="0" collapsed="false">
      <c r="A54" s="54" t="s">
        <v>198</v>
      </c>
      <c r="B54" s="0" t="n">
        <v>0.0165345</v>
      </c>
      <c r="C54" s="0" t="n">
        <v>-0.00038886</v>
      </c>
      <c r="D54" s="0" t="n">
        <v>0.0055289</v>
      </c>
      <c r="E54" s="0" t="n">
        <v>0.0073234</v>
      </c>
      <c r="F54" s="0" t="n">
        <v>0.02136442</v>
      </c>
      <c r="G54" s="0" t="n">
        <v>0.0029562</v>
      </c>
      <c r="H54" s="0" t="n">
        <v>0.00345848</v>
      </c>
      <c r="I54" s="0" t="n">
        <v>0.0250038</v>
      </c>
      <c r="J54" s="0" t="n">
        <v>0.03194463</v>
      </c>
      <c r="K54" s="0" t="n">
        <v>0.02428333</v>
      </c>
      <c r="L54" s="0" t="n">
        <v>0.00927435</v>
      </c>
      <c r="M54" s="0" t="n">
        <v>0.01741065</v>
      </c>
      <c r="N54" s="0" t="n">
        <v>0.04046852</v>
      </c>
      <c r="O54" s="0" t="n">
        <v>0.00579894</v>
      </c>
      <c r="P54" s="0" t="n">
        <v>0.02048844</v>
      </c>
      <c r="Q54" s="0" t="n">
        <v>-0.00052112</v>
      </c>
      <c r="R54" s="0" t="n">
        <v>0.02466542</v>
      </c>
      <c r="S54" s="0" t="n">
        <v>0.0104392</v>
      </c>
      <c r="T54" s="0" t="n">
        <v>0.01539724</v>
      </c>
      <c r="U54" s="0" t="n">
        <v>0.00949582</v>
      </c>
      <c r="V54" s="0" t="n">
        <v>0.0018946</v>
      </c>
      <c r="W54" s="0" t="n">
        <v>0.00932857</v>
      </c>
      <c r="X54" s="0" t="n">
        <v>0.01950718</v>
      </c>
      <c r="Y54" s="0" t="n">
        <v>0.01916636</v>
      </c>
      <c r="Z54" s="0" t="n">
        <v>0.0068416</v>
      </c>
      <c r="AA54" s="0" t="n">
        <v>0.01615665</v>
      </c>
      <c r="AB54" s="0" t="n">
        <v>0.01949823</v>
      </c>
      <c r="AC54" s="0" t="n">
        <v>-0.00492073</v>
      </c>
      <c r="AD54" s="0" t="n">
        <v>0.00249125</v>
      </c>
      <c r="AE54" s="0" t="n">
        <v>0.00398078</v>
      </c>
      <c r="AF54" s="0" t="n">
        <v>-4.381E-005</v>
      </c>
      <c r="AG54" s="0" t="n">
        <v>0.01563366</v>
      </c>
      <c r="AH54" s="0" t="n">
        <v>0.01875517</v>
      </c>
      <c r="AI54" s="0" t="n">
        <v>0.00814631</v>
      </c>
      <c r="AJ54" s="0" t="n">
        <v>0.00571403</v>
      </c>
      <c r="AK54" s="0" t="n">
        <v>0.00031181</v>
      </c>
      <c r="AL54" s="0" t="n">
        <v>0.01793952</v>
      </c>
      <c r="AM54" s="0" t="n">
        <v>0.01361322</v>
      </c>
      <c r="AN54" s="0" t="n">
        <v>0.02685148</v>
      </c>
      <c r="AO54" s="0" t="n">
        <v>0.04256424</v>
      </c>
      <c r="AP54" s="0" t="n">
        <v>0.02163782</v>
      </c>
      <c r="AQ54" s="0" t="n">
        <v>0.00387209</v>
      </c>
      <c r="AR54" s="0" t="n">
        <v>0.02064746</v>
      </c>
      <c r="AS54" s="0" t="n">
        <v>0.00306995</v>
      </c>
      <c r="AT54" s="0" t="n">
        <v>0.02012282</v>
      </c>
      <c r="AU54" s="0" t="n">
        <v>0.02748013</v>
      </c>
      <c r="AV54" s="0" t="n">
        <v>0.0129919</v>
      </c>
      <c r="AW54" s="0" t="n">
        <v>0.00746278</v>
      </c>
      <c r="AX54" s="0" t="n">
        <v>0.08469597</v>
      </c>
      <c r="AY54" s="0" t="n">
        <v>0.02018691</v>
      </c>
      <c r="AZ54" s="0" t="n">
        <v>0.00368799</v>
      </c>
      <c r="BA54" s="0" t="n">
        <v>0.03078006</v>
      </c>
      <c r="BB54" s="0" t="n">
        <v>0.01976677</v>
      </c>
      <c r="BC54" s="0" t="n">
        <v>0.00872645</v>
      </c>
      <c r="BD54" s="0" t="n">
        <v>0.00887699</v>
      </c>
      <c r="BE54" s="0" t="n">
        <v>0.04628085</v>
      </c>
      <c r="BF54" s="0" t="n">
        <v>0.01097692</v>
      </c>
      <c r="BG54" s="0" t="n">
        <v>0.0207793</v>
      </c>
      <c r="BH54" s="0" t="n">
        <v>0.00944816</v>
      </c>
      <c r="BI54" s="0" t="n">
        <v>0.00485766</v>
      </c>
      <c r="BJ54" s="0" t="n">
        <v>0.00696209</v>
      </c>
      <c r="BK54" s="0" t="n">
        <v>0.00493197</v>
      </c>
      <c r="BL54" s="0" t="n">
        <v>0.01158177</v>
      </c>
      <c r="BM54" s="0" t="n">
        <v>0.02600132</v>
      </c>
      <c r="BN54" s="0" t="n">
        <v>0.0135207</v>
      </c>
      <c r="BO54" s="0" t="n">
        <v>0.02428956</v>
      </c>
      <c r="BP54" s="0" t="n">
        <v>0.00811077</v>
      </c>
      <c r="BQ54" s="0" t="n">
        <v>0.00557969</v>
      </c>
      <c r="BR54" s="0" t="n">
        <v>0.02001465</v>
      </c>
      <c r="BS54" s="0" t="n">
        <v>0.00154438</v>
      </c>
      <c r="BT54" s="0" t="n">
        <v>0.02364674</v>
      </c>
      <c r="BU54" s="0" t="n">
        <v>0.00124683</v>
      </c>
      <c r="BV54" s="0" t="n">
        <v>0.01387604</v>
      </c>
      <c r="BW54" s="0" t="n">
        <v>0.01909475</v>
      </c>
      <c r="BX54" s="0" t="n">
        <v>0.04597211</v>
      </c>
      <c r="BY54" s="0" t="n">
        <v>0.02142867</v>
      </c>
      <c r="BZ54" s="0" t="n">
        <v>0.01424352</v>
      </c>
      <c r="CA54" s="0" t="n">
        <v>0.00408453</v>
      </c>
      <c r="CB54" s="0" t="n">
        <v>-0.00029391</v>
      </c>
      <c r="CC54" s="0" t="n">
        <v>0.01198924</v>
      </c>
      <c r="CD54" s="0" t="n">
        <v>0.02108245</v>
      </c>
      <c r="CE54" s="0" t="n">
        <v>0.01168256</v>
      </c>
      <c r="CF54" s="0" t="n">
        <v>0.00709382</v>
      </c>
      <c r="CG54" s="0" t="n">
        <v>0.02272923</v>
      </c>
      <c r="CH54" s="0" t="n">
        <v>0.00659099</v>
      </c>
      <c r="CI54" s="0" t="n">
        <v>0.0089181</v>
      </c>
      <c r="CJ54" s="0" t="n">
        <v>0.02400548</v>
      </c>
      <c r="CK54" s="0" t="n">
        <v>0.0193415</v>
      </c>
      <c r="CL54" s="0" t="n">
        <v>0.02068959</v>
      </c>
      <c r="CM54" s="0" t="n">
        <v>-0.00798618</v>
      </c>
      <c r="CN54" s="0" t="n">
        <v>0.00351938</v>
      </c>
      <c r="CO54" s="0" t="n">
        <v>-0.00472888</v>
      </c>
      <c r="CP54" s="0" t="n">
        <v>0.01146242</v>
      </c>
      <c r="CQ54" s="0" t="n">
        <v>0.03363169</v>
      </c>
      <c r="CR54" s="0" t="n">
        <v>0.00153384</v>
      </c>
      <c r="CS54" s="0" t="n">
        <v>0.01732817</v>
      </c>
      <c r="CT54" s="0" t="n">
        <v>0.01033514</v>
      </c>
      <c r="CU54" s="0" t="n">
        <v>0.00292733</v>
      </c>
      <c r="CV54" s="0" t="n">
        <v>-0.01329562</v>
      </c>
      <c r="CW54" s="0" t="n">
        <v>0.009364</v>
      </c>
      <c r="CX54" s="0" t="n">
        <v>0.01270045</v>
      </c>
      <c r="CY54" s="0" t="n">
        <v>0.03123484</v>
      </c>
      <c r="CZ54" s="0" t="n">
        <v>0.01452801</v>
      </c>
      <c r="DA54" s="0" t="n">
        <v>0.02597446</v>
      </c>
      <c r="DB54" s="0" t="n">
        <v>0.01224493</v>
      </c>
      <c r="DC54" s="0" t="n">
        <v>0.01530891</v>
      </c>
      <c r="DD54" s="0" t="n">
        <v>0.02244067</v>
      </c>
      <c r="DE54" s="0" t="n">
        <v>0.00740683</v>
      </c>
      <c r="DF54" s="0" t="n">
        <v>0.01669781</v>
      </c>
      <c r="DG54" s="0" t="n">
        <v>0.01791736</v>
      </c>
      <c r="DH54" s="0" t="n">
        <v>-0.0092624</v>
      </c>
      <c r="DI54" s="0" t="n">
        <v>0.03619453</v>
      </c>
      <c r="DJ54" s="0" t="n">
        <v>0.03730496</v>
      </c>
      <c r="DK54" s="0" t="n">
        <v>0.03386183</v>
      </c>
      <c r="DL54" s="0" t="n">
        <v>0.00489428</v>
      </c>
      <c r="DM54" s="0" t="n">
        <v>0.04143455</v>
      </c>
      <c r="DN54" s="0" t="n">
        <v>0.02608675</v>
      </c>
      <c r="DO54" s="0" t="n">
        <v>0.01350251</v>
      </c>
      <c r="DP54" s="0" t="n">
        <v>0.04085684</v>
      </c>
      <c r="DQ54" s="0" t="n">
        <v>-0.00164487</v>
      </c>
      <c r="DR54" s="0" t="n">
        <v>0.01301391</v>
      </c>
      <c r="DS54" s="0" t="n">
        <v>0.00366179</v>
      </c>
      <c r="DT54" s="0" t="n">
        <v>-0.01542287</v>
      </c>
      <c r="DU54" s="0" t="n">
        <v>0.01098172</v>
      </c>
      <c r="DV54" s="0" t="n">
        <v>0.01156284</v>
      </c>
      <c r="DW54" s="0" t="n">
        <v>0.00094917</v>
      </c>
      <c r="DX54" s="0" t="n">
        <v>0.00322359</v>
      </c>
      <c r="DY54" s="0" t="n">
        <v>0.00920073</v>
      </c>
      <c r="DZ54" s="0" t="n">
        <v>0.00653495</v>
      </c>
      <c r="EA54" s="0" t="n">
        <v>0.02165359</v>
      </c>
      <c r="EB54" s="0" t="n">
        <v>0.01902281</v>
      </c>
      <c r="EC54" s="0" t="n">
        <v>-0.02403619</v>
      </c>
      <c r="ED54" s="0" t="n">
        <v>0.03582799</v>
      </c>
      <c r="EE54" s="0" t="n">
        <v>-0.00535255</v>
      </c>
      <c r="EF54" s="0" t="n">
        <v>-0.00587752</v>
      </c>
      <c r="EG54" s="0" t="n">
        <v>-0.00771162</v>
      </c>
      <c r="EH54" s="0" t="n">
        <v>0.00728292</v>
      </c>
      <c r="EI54" s="0" t="n">
        <v>-0.02512427</v>
      </c>
      <c r="EJ54" s="0" t="n">
        <v>0.05671398</v>
      </c>
      <c r="EK54" s="0" t="n">
        <v>0.02727485</v>
      </c>
      <c r="EL54" s="0" t="n">
        <v>0.00021492</v>
      </c>
      <c r="EM54" s="0" t="n">
        <v>0.0096378</v>
      </c>
      <c r="EN54" s="0" t="n">
        <v>0.08685397</v>
      </c>
      <c r="EO54" s="0" t="n">
        <v>0.03611411</v>
      </c>
      <c r="EP54" s="55" t="n">
        <f aca="false">SUMPRODUCT(B54:EO54,$B$5:$EO$5)</f>
        <v>0.007888554</v>
      </c>
      <c r="EQ54" s="55" t="n">
        <f aca="false">SUMIF('Mi portafolio'!$A$8:$A$19,$A54,'Mi portafolio'!$B$8:$B$19)</f>
        <v>0</v>
      </c>
    </row>
    <row r="55" customFormat="false" ht="15" hidden="false" customHeight="false" outlineLevel="0" collapsed="false">
      <c r="A55" s="54" t="s">
        <v>200</v>
      </c>
      <c r="B55" s="0" t="n">
        <v>0.01283902</v>
      </c>
      <c r="C55" s="0" t="n">
        <v>0.00597089</v>
      </c>
      <c r="D55" s="0" t="n">
        <v>-0.00149166</v>
      </c>
      <c r="E55" s="0" t="n">
        <v>0.00564242</v>
      </c>
      <c r="F55" s="0" t="n">
        <v>0.01982331</v>
      </c>
      <c r="G55" s="0" t="n">
        <v>0.0020027</v>
      </c>
      <c r="H55" s="0" t="n">
        <v>9.942E-005</v>
      </c>
      <c r="I55" s="0" t="n">
        <v>0.02227183</v>
      </c>
      <c r="J55" s="0" t="n">
        <v>0.01292355</v>
      </c>
      <c r="K55" s="0" t="n">
        <v>0.01673025</v>
      </c>
      <c r="L55" s="0" t="n">
        <v>0.01625588</v>
      </c>
      <c r="M55" s="0" t="n">
        <v>0.02344326</v>
      </c>
      <c r="N55" s="0" t="n">
        <v>0.01774693</v>
      </c>
      <c r="O55" s="0" t="n">
        <v>0.00093589</v>
      </c>
      <c r="P55" s="0" t="n">
        <v>0.01967678</v>
      </c>
      <c r="Q55" s="0" t="n">
        <v>-0.00427992</v>
      </c>
      <c r="R55" s="0" t="n">
        <v>0.01951457</v>
      </c>
      <c r="S55" s="0" t="n">
        <v>0.0024452</v>
      </c>
      <c r="T55" s="0" t="n">
        <v>0.01694366</v>
      </c>
      <c r="U55" s="0" t="n">
        <v>0.0022651</v>
      </c>
      <c r="V55" s="0" t="n">
        <v>0.00526581</v>
      </c>
      <c r="W55" s="0" t="n">
        <v>0.00999056</v>
      </c>
      <c r="X55" s="0" t="n">
        <v>0.01826879</v>
      </c>
      <c r="Y55" s="0" t="n">
        <v>0.03092562</v>
      </c>
      <c r="Z55" s="0" t="n">
        <v>0.00133073</v>
      </c>
      <c r="AA55" s="0" t="n">
        <v>0.00906051</v>
      </c>
      <c r="AB55" s="0" t="n">
        <v>0.02721721</v>
      </c>
      <c r="AC55" s="0" t="n">
        <v>-0.00121208</v>
      </c>
      <c r="AD55" s="0" t="n">
        <v>0.00606538</v>
      </c>
      <c r="AE55" s="0" t="n">
        <v>0.00568232</v>
      </c>
      <c r="AF55" s="0" t="n">
        <v>0.00272937</v>
      </c>
      <c r="AG55" s="0" t="n">
        <v>0.00845053</v>
      </c>
      <c r="AH55" s="0" t="n">
        <v>0.00938876</v>
      </c>
      <c r="AI55" s="0" t="n">
        <v>0.00435083</v>
      </c>
      <c r="AJ55" s="0" t="n">
        <v>-0.00287151</v>
      </c>
      <c r="AK55" s="0" t="n">
        <v>0.00628504</v>
      </c>
      <c r="AL55" s="0" t="n">
        <v>0.01743471</v>
      </c>
      <c r="AM55" s="0" t="n">
        <v>0.00562739</v>
      </c>
      <c r="AN55" s="0" t="n">
        <v>0.02947739</v>
      </c>
      <c r="AO55" s="0" t="n">
        <v>0.01575305</v>
      </c>
      <c r="AP55" s="0" t="n">
        <v>0.02112494</v>
      </c>
      <c r="AQ55" s="0" t="n">
        <v>0.00425247</v>
      </c>
      <c r="AR55" s="0" t="n">
        <v>0.01455933</v>
      </c>
      <c r="AS55" s="0" t="n">
        <v>0.00086388</v>
      </c>
      <c r="AT55" s="0" t="n">
        <v>0.02939472</v>
      </c>
      <c r="AU55" s="0" t="n">
        <v>0.01964988</v>
      </c>
      <c r="AV55" s="0" t="n">
        <v>0.01102154</v>
      </c>
      <c r="AW55" s="0" t="n">
        <v>0.01267347</v>
      </c>
      <c r="AX55" s="0" t="n">
        <v>0.02018691</v>
      </c>
      <c r="AY55" s="0" t="n">
        <v>0.08325051</v>
      </c>
      <c r="AZ55" s="0" t="n">
        <v>0.01531308</v>
      </c>
      <c r="BA55" s="0" t="n">
        <v>0.02468813</v>
      </c>
      <c r="BB55" s="0" t="n">
        <v>0.02120373</v>
      </c>
      <c r="BC55" s="0" t="n">
        <v>0.0034451</v>
      </c>
      <c r="BD55" s="0" t="n">
        <v>0.00203044</v>
      </c>
      <c r="BE55" s="0" t="n">
        <v>0.02399984</v>
      </c>
      <c r="BF55" s="0" t="n">
        <v>0.00287588</v>
      </c>
      <c r="BG55" s="0" t="n">
        <v>0.02079257</v>
      </c>
      <c r="BH55" s="0" t="n">
        <v>0.00653704</v>
      </c>
      <c r="BI55" s="0" t="n">
        <v>0.00120488</v>
      </c>
      <c r="BJ55" s="0" t="n">
        <v>-0.00606082</v>
      </c>
      <c r="BK55" s="0" t="n">
        <v>0.00754163</v>
      </c>
      <c r="BL55" s="0" t="n">
        <v>0.01504165</v>
      </c>
      <c r="BM55" s="0" t="n">
        <v>0.0379109</v>
      </c>
      <c r="BN55" s="0" t="n">
        <v>0.01995519</v>
      </c>
      <c r="BO55" s="0" t="n">
        <v>0.0133482</v>
      </c>
      <c r="BP55" s="0" t="n">
        <v>0.01377253</v>
      </c>
      <c r="BQ55" s="0" t="n">
        <v>0.01995229</v>
      </c>
      <c r="BR55" s="0" t="n">
        <v>0.03416296</v>
      </c>
      <c r="BS55" s="0" t="n">
        <v>-0.00022818</v>
      </c>
      <c r="BT55" s="0" t="n">
        <v>0.02064004</v>
      </c>
      <c r="BU55" s="0" t="n">
        <v>0.00602445</v>
      </c>
      <c r="BV55" s="0" t="n">
        <v>0.02016092</v>
      </c>
      <c r="BW55" s="0" t="n">
        <v>0.0266866</v>
      </c>
      <c r="BX55" s="0" t="n">
        <v>0.01781702</v>
      </c>
      <c r="BY55" s="0" t="n">
        <v>0.02656755</v>
      </c>
      <c r="BZ55" s="0" t="n">
        <v>0.02125567</v>
      </c>
      <c r="CA55" s="0" t="n">
        <v>0.00056934</v>
      </c>
      <c r="CB55" s="0" t="n">
        <v>-0.00200438</v>
      </c>
      <c r="CC55" s="0" t="n">
        <v>0.02759636</v>
      </c>
      <c r="CD55" s="0" t="n">
        <v>0.02272475</v>
      </c>
      <c r="CE55" s="0" t="n">
        <v>0.01852329</v>
      </c>
      <c r="CF55" s="0" t="n">
        <v>0.00461501</v>
      </c>
      <c r="CG55" s="0" t="n">
        <v>0.03305486</v>
      </c>
      <c r="CH55" s="0" t="n">
        <v>0.01673603</v>
      </c>
      <c r="CI55" s="0" t="n">
        <v>0.00651895</v>
      </c>
      <c r="CJ55" s="0" t="n">
        <v>0.01285418</v>
      </c>
      <c r="CK55" s="0" t="n">
        <v>0.0329093</v>
      </c>
      <c r="CL55" s="0" t="n">
        <v>0.02233221</v>
      </c>
      <c r="CM55" s="0" t="n">
        <v>0.0039798</v>
      </c>
      <c r="CN55" s="0" t="n">
        <v>0.00614131</v>
      </c>
      <c r="CO55" s="0" t="n">
        <v>0.01541961</v>
      </c>
      <c r="CP55" s="0" t="n">
        <v>0.01490181</v>
      </c>
      <c r="CQ55" s="0" t="n">
        <v>0.04282697</v>
      </c>
      <c r="CR55" s="0" t="n">
        <v>0.01754681</v>
      </c>
      <c r="CS55" s="0" t="n">
        <v>0.02310987</v>
      </c>
      <c r="CT55" s="0" t="n">
        <v>0.02258175</v>
      </c>
      <c r="CU55" s="0" t="n">
        <v>0.00401673</v>
      </c>
      <c r="CV55" s="0" t="n">
        <v>0.01580378</v>
      </c>
      <c r="CW55" s="0" t="n">
        <v>0.0236387</v>
      </c>
      <c r="CX55" s="0" t="n">
        <v>0.02471922</v>
      </c>
      <c r="CY55" s="0" t="n">
        <v>0.03804404</v>
      </c>
      <c r="CZ55" s="0" t="n">
        <v>0.01937703</v>
      </c>
      <c r="DA55" s="0" t="n">
        <v>0.02159381</v>
      </c>
      <c r="DB55" s="0" t="n">
        <v>0.01347747</v>
      </c>
      <c r="DC55" s="0" t="n">
        <v>0.01678149</v>
      </c>
      <c r="DD55" s="0" t="n">
        <v>0.03926343</v>
      </c>
      <c r="DE55" s="0" t="n">
        <v>0.01988559</v>
      </c>
      <c r="DF55" s="0" t="n">
        <v>0.01168042</v>
      </c>
      <c r="DG55" s="0" t="n">
        <v>0.01325284</v>
      </c>
      <c r="DH55" s="0" t="n">
        <v>0.01867565</v>
      </c>
      <c r="DI55" s="0" t="n">
        <v>0.04698132</v>
      </c>
      <c r="DJ55" s="0" t="n">
        <v>0.047003</v>
      </c>
      <c r="DK55" s="0" t="n">
        <v>0.05229548</v>
      </c>
      <c r="DL55" s="0" t="n">
        <v>-0.00197554</v>
      </c>
      <c r="DM55" s="0" t="n">
        <v>0.05365128</v>
      </c>
      <c r="DN55" s="0" t="n">
        <v>0.05010203</v>
      </c>
      <c r="DO55" s="0" t="n">
        <v>0.01947302</v>
      </c>
      <c r="DP55" s="0" t="n">
        <v>0.05295621</v>
      </c>
      <c r="DQ55" s="0" t="n">
        <v>0.00686287</v>
      </c>
      <c r="DR55" s="0" t="n">
        <v>0.01398304</v>
      </c>
      <c r="DS55" s="0" t="n">
        <v>0.01217425</v>
      </c>
      <c r="DT55" s="0" t="n">
        <v>-0.00465401</v>
      </c>
      <c r="DU55" s="0" t="n">
        <v>0.01794452</v>
      </c>
      <c r="DV55" s="0" t="n">
        <v>0.02326999</v>
      </c>
      <c r="DW55" s="0" t="n">
        <v>0.03426818</v>
      </c>
      <c r="DX55" s="0" t="n">
        <v>0.02605032</v>
      </c>
      <c r="DY55" s="0" t="n">
        <v>0.05364161</v>
      </c>
      <c r="DZ55" s="0" t="n">
        <v>0.00801138</v>
      </c>
      <c r="EA55" s="0" t="n">
        <v>0.03734731</v>
      </c>
      <c r="EB55" s="0" t="n">
        <v>0.03856772</v>
      </c>
      <c r="EC55" s="0" t="n">
        <v>-0.00598037</v>
      </c>
      <c r="ED55" s="0" t="n">
        <v>0.02892575</v>
      </c>
      <c r="EE55" s="0" t="n">
        <v>0.01733956</v>
      </c>
      <c r="EF55" s="0" t="n">
        <v>0.03699537</v>
      </c>
      <c r="EG55" s="0" t="n">
        <v>0.03953</v>
      </c>
      <c r="EH55" s="0" t="n">
        <v>0.03236554</v>
      </c>
      <c r="EI55" s="0" t="n">
        <v>0.01913025</v>
      </c>
      <c r="EJ55" s="0" t="n">
        <v>0.03358133</v>
      </c>
      <c r="EK55" s="0" t="n">
        <v>0.03449696</v>
      </c>
      <c r="EL55" s="0" t="n">
        <v>0.03321932</v>
      </c>
      <c r="EM55" s="0" t="n">
        <v>0.02447187</v>
      </c>
      <c r="EN55" s="0" t="n">
        <v>0.03373315</v>
      </c>
      <c r="EO55" s="0" t="n">
        <v>0.02071962</v>
      </c>
      <c r="EP55" s="55" t="n">
        <f aca="false">SUMPRODUCT(B55:EO55,$B$5:$EO$5)</f>
        <v>0.016437928</v>
      </c>
      <c r="EQ55" s="55" t="n">
        <f aca="false">SUMIF('Mi portafolio'!$A$8:$A$19,$A55,'Mi portafolio'!$B$8:$B$19)</f>
        <v>0</v>
      </c>
    </row>
    <row r="56" customFormat="false" ht="15" hidden="false" customHeight="false" outlineLevel="0" collapsed="false">
      <c r="A56" s="54" t="s">
        <v>124</v>
      </c>
      <c r="B56" s="0" t="n">
        <v>0.00131045</v>
      </c>
      <c r="C56" s="0" t="n">
        <v>0.00428279</v>
      </c>
      <c r="D56" s="0" t="n">
        <v>0.01181537</v>
      </c>
      <c r="E56" s="0" t="n">
        <v>0.01368433</v>
      </c>
      <c r="F56" s="0" t="n">
        <v>-0.00120245</v>
      </c>
      <c r="G56" s="0" t="n">
        <v>0.00672791</v>
      </c>
      <c r="H56" s="0" t="n">
        <v>0.01715755</v>
      </c>
      <c r="I56" s="0" t="n">
        <v>0.00516943</v>
      </c>
      <c r="J56" s="0" t="n">
        <v>-0.00258227</v>
      </c>
      <c r="K56" s="0" t="n">
        <v>0.00331329</v>
      </c>
      <c r="L56" s="0" t="n">
        <v>0.01590209</v>
      </c>
      <c r="M56" s="0" t="n">
        <v>0.01775875</v>
      </c>
      <c r="N56" s="0" t="n">
        <v>0.0081349</v>
      </c>
      <c r="O56" s="0" t="n">
        <v>0.01783064</v>
      </c>
      <c r="P56" s="0" t="n">
        <v>0.00451267</v>
      </c>
      <c r="Q56" s="0" t="n">
        <v>0.0063078</v>
      </c>
      <c r="R56" s="0" t="n">
        <v>0.00041974</v>
      </c>
      <c r="S56" s="0" t="n">
        <v>0.0183175</v>
      </c>
      <c r="T56" s="0" t="n">
        <v>0.00940954</v>
      </c>
      <c r="U56" s="0" t="n">
        <v>0.0194625</v>
      </c>
      <c r="V56" s="0" t="n">
        <v>0.01866566</v>
      </c>
      <c r="W56" s="0" t="n">
        <v>0.00871057</v>
      </c>
      <c r="X56" s="0" t="n">
        <v>0.01073952</v>
      </c>
      <c r="Y56" s="0" t="n">
        <v>0.01092711</v>
      </c>
      <c r="Z56" s="0" t="n">
        <v>0.01742477</v>
      </c>
      <c r="AA56" s="0" t="n">
        <v>0.0212851</v>
      </c>
      <c r="AB56" s="0" t="n">
        <v>0.0060553</v>
      </c>
      <c r="AC56" s="0" t="n">
        <v>0.00930869</v>
      </c>
      <c r="AD56" s="0" t="n">
        <v>0.01236478</v>
      </c>
      <c r="AE56" s="0" t="n">
        <v>0.04798193</v>
      </c>
      <c r="AF56" s="0" t="n">
        <v>0.03122408</v>
      </c>
      <c r="AG56" s="0" t="n">
        <v>-0.00197074</v>
      </c>
      <c r="AH56" s="0" t="n">
        <v>-0.00362581</v>
      </c>
      <c r="AI56" s="0" t="n">
        <v>-0.01880943</v>
      </c>
      <c r="AJ56" s="0" t="n">
        <v>0.01584239</v>
      </c>
      <c r="AK56" s="0" t="n">
        <v>0.02636559</v>
      </c>
      <c r="AL56" s="0" t="n">
        <v>0.00961845</v>
      </c>
      <c r="AM56" s="0" t="n">
        <v>0.01587624</v>
      </c>
      <c r="AN56" s="0" t="n">
        <v>0.02055251</v>
      </c>
      <c r="AO56" s="0" t="n">
        <v>8.264E-005</v>
      </c>
      <c r="AP56" s="0" t="n">
        <v>0.00692743</v>
      </c>
      <c r="AQ56" s="0" t="n">
        <v>-0.01568523</v>
      </c>
      <c r="AR56" s="0" t="n">
        <v>0.00879846</v>
      </c>
      <c r="AS56" s="0" t="n">
        <v>0.02291028</v>
      </c>
      <c r="AT56" s="0" t="n">
        <v>0.01647208</v>
      </c>
      <c r="AU56" s="0" t="n">
        <v>0.00181712</v>
      </c>
      <c r="AV56" s="0" t="n">
        <v>0.01583462</v>
      </c>
      <c r="AW56" s="0" t="n">
        <v>0.02515397</v>
      </c>
      <c r="AX56" s="0" t="n">
        <v>0.00368799</v>
      </c>
      <c r="AY56" s="0" t="n">
        <v>0.01531308</v>
      </c>
      <c r="AZ56" s="0" t="n">
        <v>0.08778133</v>
      </c>
      <c r="BA56" s="0" t="n">
        <v>0.01752166</v>
      </c>
      <c r="BB56" s="0" t="n">
        <v>0.02059027</v>
      </c>
      <c r="BC56" s="0" t="n">
        <v>0.01519821</v>
      </c>
      <c r="BD56" s="0" t="n">
        <v>0.03314732</v>
      </c>
      <c r="BE56" s="0" t="n">
        <v>0.01065297</v>
      </c>
      <c r="BF56" s="0" t="n">
        <v>0.02342663</v>
      </c>
      <c r="BG56" s="0" t="n">
        <v>0.01071098</v>
      </c>
      <c r="BH56" s="0" t="n">
        <v>0.0179943</v>
      </c>
      <c r="BI56" s="0" t="n">
        <v>0.01615724</v>
      </c>
      <c r="BJ56" s="0" t="n">
        <v>0.00965048</v>
      </c>
      <c r="BK56" s="0" t="n">
        <v>0.06470406</v>
      </c>
      <c r="BL56" s="0" t="n">
        <v>0.01561571</v>
      </c>
      <c r="BM56" s="0" t="n">
        <v>0.00980569</v>
      </c>
      <c r="BN56" s="0" t="n">
        <v>-0.00419966</v>
      </c>
      <c r="BO56" s="0" t="n">
        <v>0.00834081</v>
      </c>
      <c r="BP56" s="0" t="n">
        <v>0.00375599</v>
      </c>
      <c r="BQ56" s="0" t="n">
        <v>0.03284901</v>
      </c>
      <c r="BR56" s="0" t="n">
        <v>0.01803869</v>
      </c>
      <c r="BS56" s="0" t="n">
        <v>-0.02028743</v>
      </c>
      <c r="BT56" s="0" t="n">
        <v>0.02338116</v>
      </c>
      <c r="BU56" s="0" t="n">
        <v>0.02499037</v>
      </c>
      <c r="BV56" s="0" t="n">
        <v>0.01047953</v>
      </c>
      <c r="BW56" s="0" t="n">
        <v>0.00911472</v>
      </c>
      <c r="BX56" s="0" t="n">
        <v>-6.744E-005</v>
      </c>
      <c r="BY56" s="0" t="n">
        <v>0.01668573</v>
      </c>
      <c r="BZ56" s="0" t="n">
        <v>0.01782361</v>
      </c>
      <c r="CA56" s="0" t="n">
        <v>0.03492783</v>
      </c>
      <c r="CB56" s="0" t="n">
        <v>-0.00161487</v>
      </c>
      <c r="CC56" s="0" t="n">
        <v>-0.00349412</v>
      </c>
      <c r="CD56" s="0" t="n">
        <v>0.00813029</v>
      </c>
      <c r="CE56" s="0" t="n">
        <v>0.01762139</v>
      </c>
      <c r="CF56" s="0" t="n">
        <v>-0.01870258</v>
      </c>
      <c r="CG56" s="0" t="n">
        <v>0.01895334</v>
      </c>
      <c r="CH56" s="0" t="n">
        <v>0.03948034</v>
      </c>
      <c r="CI56" s="0" t="n">
        <v>-0.02312136</v>
      </c>
      <c r="CJ56" s="0" t="n">
        <v>-0.00754662</v>
      </c>
      <c r="CK56" s="0" t="n">
        <v>0.01067596</v>
      </c>
      <c r="CL56" s="0" t="n">
        <v>0.01550887</v>
      </c>
      <c r="CM56" s="0" t="n">
        <v>0.01849252</v>
      </c>
      <c r="CN56" s="0" t="n">
        <v>0.01479115</v>
      </c>
      <c r="CO56" s="0" t="n">
        <v>0.01942341</v>
      </c>
      <c r="CP56" s="0" t="n">
        <v>0.00575018</v>
      </c>
      <c r="CQ56" s="0" t="n">
        <v>0.03584113</v>
      </c>
      <c r="CR56" s="0" t="n">
        <v>0.03082406</v>
      </c>
      <c r="CS56" s="0" t="n">
        <v>0.03402604</v>
      </c>
      <c r="CT56" s="0" t="n">
        <v>0.01221469</v>
      </c>
      <c r="CU56" s="0" t="n">
        <v>0.00982966</v>
      </c>
      <c r="CV56" s="0" t="n">
        <v>0.02263964</v>
      </c>
      <c r="CW56" s="0" t="n">
        <v>0.01636644</v>
      </c>
      <c r="CX56" s="0" t="n">
        <v>0.02394626</v>
      </c>
      <c r="CY56" s="0" t="n">
        <v>0.04034771</v>
      </c>
      <c r="CZ56" s="0" t="n">
        <v>0.01608592</v>
      </c>
      <c r="DA56" s="0" t="n">
        <v>0.01148032</v>
      </c>
      <c r="DB56" s="0" t="n">
        <v>0.02454027</v>
      </c>
      <c r="DC56" s="0" t="n">
        <v>0.05765084</v>
      </c>
      <c r="DD56" s="0" t="n">
        <v>0.03226425</v>
      </c>
      <c r="DE56" s="0" t="n">
        <v>0.04369136</v>
      </c>
      <c r="DF56" s="0" t="n">
        <v>-0.01105756</v>
      </c>
      <c r="DG56" s="0" t="n">
        <v>0.03559793</v>
      </c>
      <c r="DH56" s="0" t="n">
        <v>0.03426092</v>
      </c>
      <c r="DI56" s="0" t="n">
        <v>0.04019324</v>
      </c>
      <c r="DJ56" s="0" t="n">
        <v>0.02604626</v>
      </c>
      <c r="DK56" s="0" t="n">
        <v>0.0484031</v>
      </c>
      <c r="DL56" s="0" t="n">
        <v>0.03384474</v>
      </c>
      <c r="DM56" s="0" t="n">
        <v>0.04142101</v>
      </c>
      <c r="DN56" s="0" t="n">
        <v>0.01179587</v>
      </c>
      <c r="DO56" s="0" t="n">
        <v>0.03865162</v>
      </c>
      <c r="DP56" s="0" t="n">
        <v>0.03356385</v>
      </c>
      <c r="DQ56" s="0" t="n">
        <v>0.02895478</v>
      </c>
      <c r="DR56" s="0" t="n">
        <v>0.01021107</v>
      </c>
      <c r="DS56" s="0" t="n">
        <v>-0.01597893</v>
      </c>
      <c r="DT56" s="0" t="n">
        <v>0.00012615</v>
      </c>
      <c r="DU56" s="0" t="n">
        <v>0.02707775</v>
      </c>
      <c r="DV56" s="0" t="n">
        <v>0.00865371</v>
      </c>
      <c r="DW56" s="0" t="n">
        <v>0.02091305</v>
      </c>
      <c r="DX56" s="0" t="n">
        <v>0.06107732</v>
      </c>
      <c r="DY56" s="0" t="n">
        <v>0.02997347</v>
      </c>
      <c r="DZ56" s="0" t="n">
        <v>0.00256659</v>
      </c>
      <c r="EA56" s="0" t="n">
        <v>0.03994387</v>
      </c>
      <c r="EB56" s="0" t="n">
        <v>0.02773271</v>
      </c>
      <c r="EC56" s="0" t="n">
        <v>0.0187689</v>
      </c>
      <c r="ED56" s="0" t="n">
        <v>0.06152751</v>
      </c>
      <c r="EE56" s="0" t="n">
        <v>0.04901767</v>
      </c>
      <c r="EF56" s="0" t="n">
        <v>0.0297655</v>
      </c>
      <c r="EG56" s="0" t="n">
        <v>0.05556933</v>
      </c>
      <c r="EH56" s="0" t="n">
        <v>-0.00329207</v>
      </c>
      <c r="EI56" s="0" t="n">
        <v>0.06599462</v>
      </c>
      <c r="EJ56" s="0" t="n">
        <v>0.05147447</v>
      </c>
      <c r="EK56" s="0" t="n">
        <v>0.03576912</v>
      </c>
      <c r="EL56" s="0" t="n">
        <v>0.06186244</v>
      </c>
      <c r="EM56" s="0" t="n">
        <v>-0.01376625</v>
      </c>
      <c r="EN56" s="0" t="n">
        <v>0.0435656</v>
      </c>
      <c r="EO56" s="0" t="n">
        <v>-0.022107</v>
      </c>
      <c r="EP56" s="55" t="n">
        <f aca="false">SUMPRODUCT(B56:EO56,$B$5:$EO$5)</f>
        <v>0.02789427</v>
      </c>
      <c r="EQ56" s="55" t="n">
        <f aca="false">SUMIF('Mi portafolio'!$A$8:$A$19,$A56,'Mi portafolio'!$B$8:$B$19)</f>
        <v>0</v>
      </c>
    </row>
    <row r="57" customFormat="false" ht="15" hidden="false" customHeight="false" outlineLevel="0" collapsed="false">
      <c r="A57" s="54" t="s">
        <v>201</v>
      </c>
      <c r="B57" s="0" t="n">
        <v>0.00930667</v>
      </c>
      <c r="C57" s="0" t="n">
        <v>0.00311471</v>
      </c>
      <c r="D57" s="0" t="n">
        <v>-0.00155177</v>
      </c>
      <c r="E57" s="0" t="n">
        <v>0.01035729</v>
      </c>
      <c r="F57" s="0" t="n">
        <v>0.01267519</v>
      </c>
      <c r="G57" s="0" t="n">
        <v>0.00067001</v>
      </c>
      <c r="H57" s="0" t="n">
        <v>0.0046022</v>
      </c>
      <c r="I57" s="0" t="n">
        <v>0.0132103</v>
      </c>
      <c r="J57" s="0" t="n">
        <v>0.01249254</v>
      </c>
      <c r="K57" s="0" t="n">
        <v>0.01820126</v>
      </c>
      <c r="L57" s="0" t="n">
        <v>0.01503869</v>
      </c>
      <c r="M57" s="0" t="n">
        <v>0.02346163</v>
      </c>
      <c r="N57" s="0" t="n">
        <v>0.0185494</v>
      </c>
      <c r="O57" s="0" t="n">
        <v>0.01389917</v>
      </c>
      <c r="P57" s="0" t="n">
        <v>0.01057133</v>
      </c>
      <c r="Q57" s="0" t="n">
        <v>0.0020604</v>
      </c>
      <c r="R57" s="0" t="n">
        <v>0.01905014</v>
      </c>
      <c r="S57" s="0" t="n">
        <v>0.00738592</v>
      </c>
      <c r="T57" s="0" t="n">
        <v>0.02130714</v>
      </c>
      <c r="U57" s="0" t="n">
        <v>0.01400533</v>
      </c>
      <c r="V57" s="0" t="n">
        <v>0.00586895</v>
      </c>
      <c r="W57" s="0" t="n">
        <v>0.00419431</v>
      </c>
      <c r="X57" s="0" t="n">
        <v>0.02630258</v>
      </c>
      <c r="Y57" s="0" t="n">
        <v>0.01210313</v>
      </c>
      <c r="Z57" s="0" t="n">
        <v>0.0131792</v>
      </c>
      <c r="AA57" s="0" t="n">
        <v>0.01487545</v>
      </c>
      <c r="AB57" s="0" t="n">
        <v>0.01146997</v>
      </c>
      <c r="AC57" s="0" t="n">
        <v>0.00437206</v>
      </c>
      <c r="AD57" s="0" t="n">
        <v>0.01333077</v>
      </c>
      <c r="AE57" s="0" t="n">
        <v>0.01605032</v>
      </c>
      <c r="AF57" s="0" t="n">
        <v>0.00538848</v>
      </c>
      <c r="AG57" s="0" t="n">
        <v>0.01433295</v>
      </c>
      <c r="AH57" s="0" t="n">
        <v>0.0184555</v>
      </c>
      <c r="AI57" s="0" t="n">
        <v>0.00047653</v>
      </c>
      <c r="AJ57" s="0" t="n">
        <v>0.00732538</v>
      </c>
      <c r="AK57" s="0" t="n">
        <v>0.01727732</v>
      </c>
      <c r="AL57" s="0" t="n">
        <v>0.01417368</v>
      </c>
      <c r="AM57" s="0" t="n">
        <v>0.01500157</v>
      </c>
      <c r="AN57" s="0" t="n">
        <v>0.03359172</v>
      </c>
      <c r="AO57" s="0" t="n">
        <v>0.0155062</v>
      </c>
      <c r="AP57" s="0" t="n">
        <v>0.02273239</v>
      </c>
      <c r="AQ57" s="0" t="n">
        <v>-0.00195564</v>
      </c>
      <c r="AR57" s="0" t="n">
        <v>0.02503766</v>
      </c>
      <c r="AS57" s="0" t="n">
        <v>0.01203269</v>
      </c>
      <c r="AT57" s="0" t="n">
        <v>0.02513067</v>
      </c>
      <c r="AU57" s="0" t="n">
        <v>0.01638017</v>
      </c>
      <c r="AV57" s="0" t="n">
        <v>0.01528021</v>
      </c>
      <c r="AW57" s="0" t="n">
        <v>0.01915454</v>
      </c>
      <c r="AX57" s="0" t="n">
        <v>0.03078006</v>
      </c>
      <c r="AY57" s="0" t="n">
        <v>0.02468813</v>
      </c>
      <c r="AZ57" s="0" t="n">
        <v>0.01752166</v>
      </c>
      <c r="BA57" s="0" t="n">
        <v>0.08544226</v>
      </c>
      <c r="BB57" s="0" t="n">
        <v>0.03013464</v>
      </c>
      <c r="BC57" s="0" t="n">
        <v>0.01276691</v>
      </c>
      <c r="BD57" s="0" t="n">
        <v>0.02493369</v>
      </c>
      <c r="BE57" s="0" t="n">
        <v>0.0246479</v>
      </c>
      <c r="BF57" s="0" t="n">
        <v>0.01314408</v>
      </c>
      <c r="BG57" s="0" t="n">
        <v>0.0201862</v>
      </c>
      <c r="BH57" s="0" t="n">
        <v>0.00849655</v>
      </c>
      <c r="BI57" s="0" t="n">
        <v>0.00797267</v>
      </c>
      <c r="BJ57" s="0" t="n">
        <v>0.00298253</v>
      </c>
      <c r="BK57" s="0" t="n">
        <v>0.01433021</v>
      </c>
      <c r="BL57" s="0" t="n">
        <v>0.03277687</v>
      </c>
      <c r="BM57" s="0" t="n">
        <v>0.0262066</v>
      </c>
      <c r="BN57" s="0" t="n">
        <v>0.02586532</v>
      </c>
      <c r="BO57" s="0" t="n">
        <v>0.02399347</v>
      </c>
      <c r="BP57" s="0" t="n">
        <v>0.00043061</v>
      </c>
      <c r="BQ57" s="0" t="n">
        <v>0.03254241</v>
      </c>
      <c r="BR57" s="0" t="n">
        <v>0.02841994</v>
      </c>
      <c r="BS57" s="0" t="n">
        <v>-0.00337842</v>
      </c>
      <c r="BT57" s="0" t="n">
        <v>0.03328079</v>
      </c>
      <c r="BU57" s="0" t="n">
        <v>0.01749697</v>
      </c>
      <c r="BV57" s="0" t="n">
        <v>0.01819509</v>
      </c>
      <c r="BW57" s="0" t="n">
        <v>0.02442348</v>
      </c>
      <c r="BX57" s="0" t="n">
        <v>0.01876914</v>
      </c>
      <c r="BY57" s="0" t="n">
        <v>0.04408503</v>
      </c>
      <c r="BZ57" s="0" t="n">
        <v>0.02348488</v>
      </c>
      <c r="CA57" s="0" t="n">
        <v>0.00454296</v>
      </c>
      <c r="CB57" s="0" t="n">
        <v>0.00136478</v>
      </c>
      <c r="CC57" s="0" t="n">
        <v>0.01010627</v>
      </c>
      <c r="CD57" s="0" t="n">
        <v>0.02192127</v>
      </c>
      <c r="CE57" s="0" t="n">
        <v>0.01828795</v>
      </c>
      <c r="CF57" s="0" t="n">
        <v>-0.00174361</v>
      </c>
      <c r="CG57" s="0" t="n">
        <v>0.02804599</v>
      </c>
      <c r="CH57" s="0" t="n">
        <v>0.02989749</v>
      </c>
      <c r="CI57" s="0" t="n">
        <v>-0.00182484</v>
      </c>
      <c r="CJ57" s="0" t="n">
        <v>0.00553992</v>
      </c>
      <c r="CK57" s="0" t="n">
        <v>0.03365956</v>
      </c>
      <c r="CL57" s="0" t="n">
        <v>0.03917376</v>
      </c>
      <c r="CM57" s="0" t="n">
        <v>0.01381677</v>
      </c>
      <c r="CN57" s="0" t="n">
        <v>0.00309765</v>
      </c>
      <c r="CO57" s="0" t="n">
        <v>0.01159977</v>
      </c>
      <c r="CP57" s="0" t="n">
        <v>0.01179679</v>
      </c>
      <c r="CQ57" s="0" t="n">
        <v>0.04873169</v>
      </c>
      <c r="CR57" s="0" t="n">
        <v>0.02677197</v>
      </c>
      <c r="CS57" s="0" t="n">
        <v>0.04992454</v>
      </c>
      <c r="CT57" s="0" t="n">
        <v>0.02076675</v>
      </c>
      <c r="CU57" s="0" t="n">
        <v>0.00390602</v>
      </c>
      <c r="CV57" s="0" t="n">
        <v>0.00660413</v>
      </c>
      <c r="CW57" s="0" t="n">
        <v>0.0191198</v>
      </c>
      <c r="CX57" s="0" t="n">
        <v>0.02783613</v>
      </c>
      <c r="CY57" s="0" t="n">
        <v>0.05144934</v>
      </c>
      <c r="CZ57" s="0" t="n">
        <v>0.00638108</v>
      </c>
      <c r="DA57" s="0" t="n">
        <v>0.00763521</v>
      </c>
      <c r="DB57" s="0" t="n">
        <v>0.02240009</v>
      </c>
      <c r="DC57" s="0" t="n">
        <v>0.03144426</v>
      </c>
      <c r="DD57" s="0" t="n">
        <v>0.02587164</v>
      </c>
      <c r="DE57" s="0" t="n">
        <v>0.03182358</v>
      </c>
      <c r="DF57" s="0" t="n">
        <v>0.00240748</v>
      </c>
      <c r="DG57" s="0" t="n">
        <v>0.02582953</v>
      </c>
      <c r="DH57" s="0" t="n">
        <v>0.01809584</v>
      </c>
      <c r="DI57" s="0" t="n">
        <v>0.04862651</v>
      </c>
      <c r="DJ57" s="0" t="n">
        <v>0.04549999</v>
      </c>
      <c r="DK57" s="0" t="n">
        <v>0.06237045</v>
      </c>
      <c r="DL57" s="0" t="n">
        <v>0.01654241</v>
      </c>
      <c r="DM57" s="0" t="n">
        <v>0.06327691</v>
      </c>
      <c r="DN57" s="0" t="n">
        <v>0.03521574</v>
      </c>
      <c r="DO57" s="0" t="n">
        <v>0.04378887</v>
      </c>
      <c r="DP57" s="0" t="n">
        <v>0.06057194</v>
      </c>
      <c r="DQ57" s="0" t="n">
        <v>0.04197833</v>
      </c>
      <c r="DR57" s="0" t="n">
        <v>0.02171463</v>
      </c>
      <c r="DS57" s="0" t="n">
        <v>0.00137388</v>
      </c>
      <c r="DT57" s="0" t="n">
        <v>0.00714301</v>
      </c>
      <c r="DU57" s="0" t="n">
        <v>0.02916831</v>
      </c>
      <c r="DV57" s="0" t="n">
        <v>0.01022404</v>
      </c>
      <c r="DW57" s="0" t="n">
        <v>0.01823489</v>
      </c>
      <c r="DX57" s="0" t="n">
        <v>0.04812065</v>
      </c>
      <c r="DY57" s="0" t="n">
        <v>0.03678442</v>
      </c>
      <c r="DZ57" s="0" t="n">
        <v>0.00016154</v>
      </c>
      <c r="EA57" s="0" t="n">
        <v>0.0335694</v>
      </c>
      <c r="EB57" s="0" t="n">
        <v>0.04450809</v>
      </c>
      <c r="EC57" s="0" t="n">
        <v>0.00025158</v>
      </c>
      <c r="ED57" s="0" t="n">
        <v>0.03726375</v>
      </c>
      <c r="EE57" s="0" t="n">
        <v>0.03478179</v>
      </c>
      <c r="EF57" s="0" t="n">
        <v>0.03802316</v>
      </c>
      <c r="EG57" s="0" t="n">
        <v>0.04114429</v>
      </c>
      <c r="EH57" s="0" t="n">
        <v>0.00150557</v>
      </c>
      <c r="EI57" s="0" t="n">
        <v>0.04479942</v>
      </c>
      <c r="EJ57" s="0" t="n">
        <v>0.03941609</v>
      </c>
      <c r="EK57" s="0" t="n">
        <v>0.04328144</v>
      </c>
      <c r="EL57" s="0" t="n">
        <v>0.04224772</v>
      </c>
      <c r="EM57" s="0" t="n">
        <v>0.05795041</v>
      </c>
      <c r="EN57" s="0" t="n">
        <v>0.02421034</v>
      </c>
      <c r="EO57" s="0" t="n">
        <v>0.05582834</v>
      </c>
      <c r="EP57" s="55" t="n">
        <f aca="false">SUMPRODUCT(B57:EO57,$B$5:$EO$5)</f>
        <v>0.02538586</v>
      </c>
      <c r="EQ57" s="55" t="n">
        <f aca="false">SUMIF('Mi portafolio'!$A$8:$A$19,$A57,'Mi portafolio'!$B$8:$B$19)</f>
        <v>0</v>
      </c>
    </row>
    <row r="58" customFormat="false" ht="15" hidden="false" customHeight="false" outlineLevel="0" collapsed="false">
      <c r="A58" s="54" t="s">
        <v>202</v>
      </c>
      <c r="B58" s="0" t="n">
        <v>0.00772162</v>
      </c>
      <c r="C58" s="0" t="n">
        <v>-0.00387509</v>
      </c>
      <c r="D58" s="0" t="n">
        <v>0.00285483</v>
      </c>
      <c r="E58" s="0" t="n">
        <v>0.00706098</v>
      </c>
      <c r="F58" s="0" t="n">
        <v>-0.00485133</v>
      </c>
      <c r="G58" s="0" t="n">
        <v>0.00501843</v>
      </c>
      <c r="H58" s="0" t="n">
        <v>0.00173462</v>
      </c>
      <c r="I58" s="0" t="n">
        <v>0.00501321</v>
      </c>
      <c r="J58" s="0" t="n">
        <v>0.00113025</v>
      </c>
      <c r="K58" s="0" t="n">
        <v>-2.569E-005</v>
      </c>
      <c r="L58" s="0" t="n">
        <v>0.00287525</v>
      </c>
      <c r="M58" s="0" t="n">
        <v>0.02144789</v>
      </c>
      <c r="N58" s="0" t="n">
        <v>0.01229411</v>
      </c>
      <c r="O58" s="0" t="n">
        <v>0.00540799</v>
      </c>
      <c r="P58" s="0" t="n">
        <v>-0.00011151</v>
      </c>
      <c r="Q58" s="0" t="n">
        <v>0.0036249</v>
      </c>
      <c r="R58" s="0" t="n">
        <v>-0.00052042</v>
      </c>
      <c r="S58" s="0" t="n">
        <v>-0.00165786</v>
      </c>
      <c r="T58" s="0" t="n">
        <v>0.04957243</v>
      </c>
      <c r="U58" s="0" t="n">
        <v>0.01194469</v>
      </c>
      <c r="V58" s="0" t="n">
        <v>0.00300754</v>
      </c>
      <c r="W58" s="0" t="n">
        <v>0.00599082</v>
      </c>
      <c r="X58" s="0" t="n">
        <v>0.04858617</v>
      </c>
      <c r="Y58" s="0" t="n">
        <v>0.02030397</v>
      </c>
      <c r="Z58" s="0" t="n">
        <v>0.00526594</v>
      </c>
      <c r="AA58" s="0" t="n">
        <v>0.0092685</v>
      </c>
      <c r="AB58" s="0" t="n">
        <v>0.02157964</v>
      </c>
      <c r="AC58" s="0" t="n">
        <v>0.00412549</v>
      </c>
      <c r="AD58" s="0" t="n">
        <v>-4.751E-005</v>
      </c>
      <c r="AE58" s="0" t="n">
        <v>0.01904686</v>
      </c>
      <c r="AF58" s="0" t="n">
        <v>0.01214585</v>
      </c>
      <c r="AG58" s="0" t="n">
        <v>-0.00336406</v>
      </c>
      <c r="AH58" s="0" t="n">
        <v>-0.00383659</v>
      </c>
      <c r="AI58" s="0" t="n">
        <v>-0.00681046</v>
      </c>
      <c r="AJ58" s="0" t="n">
        <v>0.00653504</v>
      </c>
      <c r="AK58" s="0" t="n">
        <v>0.01554854</v>
      </c>
      <c r="AL58" s="0" t="n">
        <v>0.02207314</v>
      </c>
      <c r="AM58" s="0" t="n">
        <v>0.01713744</v>
      </c>
      <c r="AN58" s="0" t="n">
        <v>0.01992381</v>
      </c>
      <c r="AO58" s="0" t="n">
        <v>0.00393812</v>
      </c>
      <c r="AP58" s="0" t="n">
        <v>0.02126213</v>
      </c>
      <c r="AQ58" s="0" t="n">
        <v>-0.0104943</v>
      </c>
      <c r="AR58" s="0" t="n">
        <v>0.05559888</v>
      </c>
      <c r="AS58" s="0" t="n">
        <v>0.01266643</v>
      </c>
      <c r="AT58" s="0" t="n">
        <v>0.05043912</v>
      </c>
      <c r="AU58" s="0" t="n">
        <v>4.33E-006</v>
      </c>
      <c r="AV58" s="0" t="n">
        <v>0.01282614</v>
      </c>
      <c r="AW58" s="0" t="n">
        <v>0.0093567</v>
      </c>
      <c r="AX58" s="0" t="n">
        <v>0.01976677</v>
      </c>
      <c r="AY58" s="0" t="n">
        <v>0.02120373</v>
      </c>
      <c r="AZ58" s="0" t="n">
        <v>0.02059027</v>
      </c>
      <c r="BA58" s="0" t="n">
        <v>0.03013464</v>
      </c>
      <c r="BB58" s="0" t="n">
        <v>0.08866473</v>
      </c>
      <c r="BC58" s="0" t="n">
        <v>0.01345088</v>
      </c>
      <c r="BD58" s="0" t="n">
        <v>0.01422373</v>
      </c>
      <c r="BE58" s="0" t="n">
        <v>0.00960445</v>
      </c>
      <c r="BF58" s="0" t="n">
        <v>0.01705724</v>
      </c>
      <c r="BG58" s="0" t="n">
        <v>0.02383614</v>
      </c>
      <c r="BH58" s="0" t="n">
        <v>0.01261487</v>
      </c>
      <c r="BI58" s="0" t="n">
        <v>0.01018981</v>
      </c>
      <c r="BJ58" s="0" t="n">
        <v>0.0012038</v>
      </c>
      <c r="BK58" s="0" t="n">
        <v>0.02546487</v>
      </c>
      <c r="BL58" s="0" t="n">
        <v>0.03421203</v>
      </c>
      <c r="BM58" s="0" t="n">
        <v>0.01350754</v>
      </c>
      <c r="BN58" s="0" t="n">
        <v>0.01202383</v>
      </c>
      <c r="BO58" s="0" t="n">
        <v>0.02627456</v>
      </c>
      <c r="BP58" s="0" t="n">
        <v>0.02307008</v>
      </c>
      <c r="BQ58" s="0" t="n">
        <v>0.03150481</v>
      </c>
      <c r="BR58" s="0" t="n">
        <v>0.04069239</v>
      </c>
      <c r="BS58" s="0" t="n">
        <v>-0.01029216</v>
      </c>
      <c r="BT58" s="0" t="n">
        <v>0.05273968</v>
      </c>
      <c r="BU58" s="0" t="n">
        <v>0.01987737</v>
      </c>
      <c r="BV58" s="0" t="n">
        <v>0.02700054</v>
      </c>
      <c r="BW58" s="0" t="n">
        <v>0.02576938</v>
      </c>
      <c r="BX58" s="0" t="n">
        <v>0.00614663</v>
      </c>
      <c r="BY58" s="0" t="n">
        <v>0.03860691</v>
      </c>
      <c r="BZ58" s="0" t="n">
        <v>0.03773945</v>
      </c>
      <c r="CA58" s="0" t="n">
        <v>0.00789028</v>
      </c>
      <c r="CB58" s="0" t="n">
        <v>0.00040384</v>
      </c>
      <c r="CC58" s="0" t="n">
        <v>0.0179344</v>
      </c>
      <c r="CD58" s="0" t="n">
        <v>0.02362155</v>
      </c>
      <c r="CE58" s="0" t="n">
        <v>0.04238481</v>
      </c>
      <c r="CF58" s="0" t="n">
        <v>-0.014134</v>
      </c>
      <c r="CG58" s="0" t="n">
        <v>0.04177452</v>
      </c>
      <c r="CH58" s="0" t="n">
        <v>0.03186373</v>
      </c>
      <c r="CI58" s="0" t="n">
        <v>-0.01453234</v>
      </c>
      <c r="CJ58" s="0" t="n">
        <v>0.00768394</v>
      </c>
      <c r="CK58" s="0" t="n">
        <v>0.02137822</v>
      </c>
      <c r="CL58" s="0" t="n">
        <v>0.02456789</v>
      </c>
      <c r="CM58" s="0" t="n">
        <v>0.04073806</v>
      </c>
      <c r="CN58" s="0" t="n">
        <v>0.00767692</v>
      </c>
      <c r="CO58" s="0" t="n">
        <v>0.01636442</v>
      </c>
      <c r="CP58" s="0" t="n">
        <v>0.01506516</v>
      </c>
      <c r="CQ58" s="0" t="n">
        <v>0.07428831</v>
      </c>
      <c r="CR58" s="0" t="n">
        <v>0.04837648</v>
      </c>
      <c r="CS58" s="0" t="n">
        <v>0.05451736</v>
      </c>
      <c r="CT58" s="0" t="n">
        <v>0.03772079</v>
      </c>
      <c r="CU58" s="0" t="n">
        <v>0.01545387</v>
      </c>
      <c r="CV58" s="0" t="n">
        <v>0.03354167</v>
      </c>
      <c r="CW58" s="0" t="n">
        <v>0.03330146</v>
      </c>
      <c r="CX58" s="0" t="n">
        <v>0.05075202</v>
      </c>
      <c r="CY58" s="0" t="n">
        <v>0.07040001</v>
      </c>
      <c r="CZ58" s="0" t="n">
        <v>0.02394361</v>
      </c>
      <c r="DA58" s="0" t="n">
        <v>0.02153891</v>
      </c>
      <c r="DB58" s="0" t="n">
        <v>0.0500136</v>
      </c>
      <c r="DC58" s="0" t="n">
        <v>0.05733616</v>
      </c>
      <c r="DD58" s="0" t="n">
        <v>0.05408587</v>
      </c>
      <c r="DE58" s="0" t="n">
        <v>0.0493896</v>
      </c>
      <c r="DF58" s="0" t="n">
        <v>0.01516732</v>
      </c>
      <c r="DG58" s="0" t="n">
        <v>0.03536124</v>
      </c>
      <c r="DH58" s="0" t="n">
        <v>0.04465669</v>
      </c>
      <c r="DI58" s="0" t="n">
        <v>0.07743506</v>
      </c>
      <c r="DJ58" s="0" t="n">
        <v>0.06047296</v>
      </c>
      <c r="DK58" s="0" t="n">
        <v>0.08676811</v>
      </c>
      <c r="DL58" s="0" t="n">
        <v>0.01264509</v>
      </c>
      <c r="DM58" s="0" t="n">
        <v>0.07514957</v>
      </c>
      <c r="DN58" s="0" t="n">
        <v>0.03980968</v>
      </c>
      <c r="DO58" s="0" t="n">
        <v>0.05494124</v>
      </c>
      <c r="DP58" s="0" t="n">
        <v>0.0681118</v>
      </c>
      <c r="DQ58" s="0" t="n">
        <v>0.03925737</v>
      </c>
      <c r="DR58" s="0" t="n">
        <v>0.04647365</v>
      </c>
      <c r="DS58" s="0" t="n">
        <v>0.03900691</v>
      </c>
      <c r="DT58" s="0" t="n">
        <v>0.05110075</v>
      </c>
      <c r="DU58" s="0" t="n">
        <v>0.08156434</v>
      </c>
      <c r="DV58" s="0" t="n">
        <v>0.04309098</v>
      </c>
      <c r="DW58" s="0" t="n">
        <v>0.05387857</v>
      </c>
      <c r="DX58" s="0" t="n">
        <v>0.07497899</v>
      </c>
      <c r="DY58" s="0" t="n">
        <v>0.08089142</v>
      </c>
      <c r="DZ58" s="0" t="n">
        <v>0.03474575</v>
      </c>
      <c r="EA58" s="0" t="n">
        <v>0.0392307</v>
      </c>
      <c r="EB58" s="0" t="n">
        <v>0.10220611</v>
      </c>
      <c r="EC58" s="0" t="n">
        <v>0.02137289</v>
      </c>
      <c r="ED58" s="0" t="n">
        <v>0.06082942</v>
      </c>
      <c r="EE58" s="0" t="n">
        <v>0.06319446</v>
      </c>
      <c r="EF58" s="0" t="n">
        <v>0.06780348</v>
      </c>
      <c r="EG58" s="0" t="n">
        <v>0.06427667</v>
      </c>
      <c r="EH58" s="0" t="n">
        <v>0.04942872</v>
      </c>
      <c r="EI58" s="0" t="n">
        <v>0.06449147</v>
      </c>
      <c r="EJ58" s="0" t="n">
        <v>0.06743182</v>
      </c>
      <c r="EK58" s="0" t="n">
        <v>0.08720459</v>
      </c>
      <c r="EL58" s="0" t="n">
        <v>0.09981241</v>
      </c>
      <c r="EM58" s="0" t="n">
        <v>0.04411905</v>
      </c>
      <c r="EN58" s="0" t="n">
        <v>0.02950209</v>
      </c>
      <c r="EO58" s="0" t="n">
        <v>0.05773216</v>
      </c>
      <c r="EP58" s="55" t="n">
        <f aca="false">SUMPRODUCT(B58:EO58,$B$5:$EO$5)</f>
        <v>0.036862678</v>
      </c>
      <c r="EQ58" s="55" t="n">
        <f aca="false">SUMIF('Mi portafolio'!$A$8:$A$19,$A58,'Mi portafolio'!$B$8:$B$19)</f>
        <v>0</v>
      </c>
    </row>
    <row r="59" customFormat="false" ht="15" hidden="false" customHeight="false" outlineLevel="0" collapsed="false">
      <c r="A59" s="54" t="s">
        <v>203</v>
      </c>
      <c r="B59" s="0" t="n">
        <v>0.00514125</v>
      </c>
      <c r="C59" s="0" t="n">
        <v>0.0013779</v>
      </c>
      <c r="D59" s="0" t="n">
        <v>0.00351633</v>
      </c>
      <c r="E59" s="0" t="n">
        <v>0.01322894</v>
      </c>
      <c r="F59" s="0" t="n">
        <v>0.00425659</v>
      </c>
      <c r="G59" s="0" t="n">
        <v>0.00237183</v>
      </c>
      <c r="H59" s="0" t="n">
        <v>0.0097085</v>
      </c>
      <c r="I59" s="0" t="n">
        <v>0.00718558</v>
      </c>
      <c r="J59" s="0" t="n">
        <v>-0.00066968</v>
      </c>
      <c r="K59" s="0" t="n">
        <v>0.00097063</v>
      </c>
      <c r="L59" s="0" t="n">
        <v>0.0072046</v>
      </c>
      <c r="M59" s="0" t="n">
        <v>0.00909247</v>
      </c>
      <c r="N59" s="0" t="n">
        <v>0.00398386</v>
      </c>
      <c r="O59" s="0" t="n">
        <v>0.01872965</v>
      </c>
      <c r="P59" s="0" t="n">
        <v>0.00326887</v>
      </c>
      <c r="Q59" s="0" t="n">
        <v>-0.00586403</v>
      </c>
      <c r="R59" s="0" t="n">
        <v>0.00317582</v>
      </c>
      <c r="S59" s="0" t="n">
        <v>0.0124417</v>
      </c>
      <c r="T59" s="0" t="n">
        <v>0.00362539</v>
      </c>
      <c r="U59" s="0" t="n">
        <v>0.01204091</v>
      </c>
      <c r="V59" s="0" t="n">
        <v>0.0090266</v>
      </c>
      <c r="W59" s="0" t="n">
        <v>0.00788742</v>
      </c>
      <c r="X59" s="0" t="n">
        <v>0.01006741</v>
      </c>
      <c r="Y59" s="0" t="n">
        <v>0.00389359</v>
      </c>
      <c r="Z59" s="0" t="n">
        <v>0.01396095</v>
      </c>
      <c r="AA59" s="0" t="n">
        <v>0.0113682</v>
      </c>
      <c r="AB59" s="0" t="n">
        <v>-0.00105979</v>
      </c>
      <c r="AC59" s="0" t="n">
        <v>0.01618459</v>
      </c>
      <c r="AD59" s="0" t="n">
        <v>0.01714863</v>
      </c>
      <c r="AE59" s="0" t="n">
        <v>0.01563954</v>
      </c>
      <c r="AF59" s="0" t="n">
        <v>0.01773723</v>
      </c>
      <c r="AG59" s="0" t="n">
        <v>0.00035031</v>
      </c>
      <c r="AH59" s="0" t="n">
        <v>-0.00161418</v>
      </c>
      <c r="AI59" s="0" t="n">
        <v>-0.00214054</v>
      </c>
      <c r="AJ59" s="0" t="n">
        <v>0.01082479</v>
      </c>
      <c r="AK59" s="0" t="n">
        <v>0.01400607</v>
      </c>
      <c r="AL59" s="0" t="n">
        <v>0.00707281</v>
      </c>
      <c r="AM59" s="0" t="n">
        <v>0.01767941</v>
      </c>
      <c r="AN59" s="0" t="n">
        <v>0.00793005</v>
      </c>
      <c r="AO59" s="0" t="n">
        <v>0.00010222</v>
      </c>
      <c r="AP59" s="0" t="n">
        <v>0.01113741</v>
      </c>
      <c r="AQ59" s="0" t="n">
        <v>-0.00347078</v>
      </c>
      <c r="AR59" s="0" t="n">
        <v>0.00496886</v>
      </c>
      <c r="AS59" s="0" t="n">
        <v>0.01248275</v>
      </c>
      <c r="AT59" s="0" t="n">
        <v>0.00519974</v>
      </c>
      <c r="AU59" s="0" t="n">
        <v>0.00271637</v>
      </c>
      <c r="AV59" s="0" t="n">
        <v>0.01905183</v>
      </c>
      <c r="AW59" s="0" t="n">
        <v>0.01854086</v>
      </c>
      <c r="AX59" s="0" t="n">
        <v>0.00872645</v>
      </c>
      <c r="AY59" s="0" t="n">
        <v>0.0034451</v>
      </c>
      <c r="AZ59" s="0" t="n">
        <v>0.01519821</v>
      </c>
      <c r="BA59" s="0" t="n">
        <v>0.01276691</v>
      </c>
      <c r="BB59" s="0" t="n">
        <v>0.01345088</v>
      </c>
      <c r="BC59" s="0" t="n">
        <v>0.08863439</v>
      </c>
      <c r="BD59" s="0" t="n">
        <v>0.02203701</v>
      </c>
      <c r="BE59" s="0" t="n">
        <v>0.00708628</v>
      </c>
      <c r="BF59" s="0" t="n">
        <v>0.01746653</v>
      </c>
      <c r="BG59" s="0" t="n">
        <v>0.0092457</v>
      </c>
      <c r="BH59" s="0" t="n">
        <v>0.01907429</v>
      </c>
      <c r="BI59" s="0" t="n">
        <v>0.00733449</v>
      </c>
      <c r="BJ59" s="0" t="n">
        <v>0.00652539</v>
      </c>
      <c r="BK59" s="0" t="n">
        <v>0.02263089</v>
      </c>
      <c r="BL59" s="0" t="n">
        <v>0.0047439</v>
      </c>
      <c r="BM59" s="0" t="n">
        <v>-0.00635727</v>
      </c>
      <c r="BN59" s="0" t="n">
        <v>0.00953751</v>
      </c>
      <c r="BO59" s="0" t="n">
        <v>0.01378133</v>
      </c>
      <c r="BP59" s="0" t="n">
        <v>0.01237701</v>
      </c>
      <c r="BQ59" s="0" t="n">
        <v>0.02126921</v>
      </c>
      <c r="BR59" s="0" t="n">
        <v>0.01651585</v>
      </c>
      <c r="BS59" s="0" t="n">
        <v>-0.00463184</v>
      </c>
      <c r="BT59" s="0" t="n">
        <v>0.02075412</v>
      </c>
      <c r="BU59" s="0" t="n">
        <v>0.0140271</v>
      </c>
      <c r="BV59" s="0" t="n">
        <v>0.00032688</v>
      </c>
      <c r="BW59" s="0" t="n">
        <v>0.02311205</v>
      </c>
      <c r="BX59" s="0" t="n">
        <v>0.01225245</v>
      </c>
      <c r="BY59" s="0" t="n">
        <v>0.01197053</v>
      </c>
      <c r="BZ59" s="0" t="n">
        <v>0.00990705</v>
      </c>
      <c r="CA59" s="0" t="n">
        <v>0.0225311</v>
      </c>
      <c r="CB59" s="0" t="n">
        <v>-0.00258504</v>
      </c>
      <c r="CC59" s="0" t="n">
        <v>0.00730916</v>
      </c>
      <c r="CD59" s="0" t="n">
        <v>0.00071716</v>
      </c>
      <c r="CE59" s="0" t="n">
        <v>0.00612741</v>
      </c>
      <c r="CF59" s="0" t="n">
        <v>-0.0026728</v>
      </c>
      <c r="CG59" s="0" t="n">
        <v>0.01227547</v>
      </c>
      <c r="CH59" s="0" t="n">
        <v>0.01509823</v>
      </c>
      <c r="CI59" s="0" t="n">
        <v>-0.00445</v>
      </c>
      <c r="CJ59" s="0" t="n">
        <v>-0.00749029</v>
      </c>
      <c r="CK59" s="0" t="n">
        <v>0.00370823</v>
      </c>
      <c r="CL59" s="0" t="n">
        <v>0.00661461</v>
      </c>
      <c r="CM59" s="0" t="n">
        <v>0.01022631</v>
      </c>
      <c r="CN59" s="0" t="n">
        <v>0.00524554</v>
      </c>
      <c r="CO59" s="0" t="n">
        <v>0.01813547</v>
      </c>
      <c r="CP59" s="0" t="n">
        <v>0.00619997</v>
      </c>
      <c r="CQ59" s="0" t="n">
        <v>0.01755007</v>
      </c>
      <c r="CR59" s="0" t="n">
        <v>0.01828267</v>
      </c>
      <c r="CS59" s="0" t="n">
        <v>0.02003609</v>
      </c>
      <c r="CT59" s="0" t="n">
        <v>0.01972933</v>
      </c>
      <c r="CU59" s="0" t="n">
        <v>0.01211436</v>
      </c>
      <c r="CV59" s="0" t="n">
        <v>-0.00031649</v>
      </c>
      <c r="CW59" s="0" t="n">
        <v>0.01765966</v>
      </c>
      <c r="CX59" s="0" t="n">
        <v>0.00948797</v>
      </c>
      <c r="CY59" s="0" t="n">
        <v>0.01162486</v>
      </c>
      <c r="CZ59" s="0" t="n">
        <v>0.0161042</v>
      </c>
      <c r="DA59" s="0" t="n">
        <v>0.00419299</v>
      </c>
      <c r="DB59" s="0" t="n">
        <v>0.02268803</v>
      </c>
      <c r="DC59" s="0" t="n">
        <v>0.01831242</v>
      </c>
      <c r="DD59" s="0" t="n">
        <v>0.0196977</v>
      </c>
      <c r="DE59" s="0" t="n">
        <v>0.00186701</v>
      </c>
      <c r="DF59" s="0" t="n">
        <v>0.00972814</v>
      </c>
      <c r="DG59" s="0" t="n">
        <v>0.01617965</v>
      </c>
      <c r="DH59" s="0" t="n">
        <v>0.02987412</v>
      </c>
      <c r="DI59" s="0" t="n">
        <v>0.02798926</v>
      </c>
      <c r="DJ59" s="0" t="n">
        <v>-0.00162126</v>
      </c>
      <c r="DK59" s="0" t="n">
        <v>0.02571867</v>
      </c>
      <c r="DL59" s="0" t="n">
        <v>0.02554712</v>
      </c>
      <c r="DM59" s="0" t="n">
        <v>0.01488424</v>
      </c>
      <c r="DN59" s="0" t="n">
        <v>0.00928607</v>
      </c>
      <c r="DO59" s="0" t="n">
        <v>0.01191299</v>
      </c>
      <c r="DP59" s="0" t="n">
        <v>0.01087811</v>
      </c>
      <c r="DQ59" s="0" t="n">
        <v>0.01772442</v>
      </c>
      <c r="DR59" s="0" t="n">
        <v>-0.00204048</v>
      </c>
      <c r="DS59" s="0" t="n">
        <v>-0.01454271</v>
      </c>
      <c r="DT59" s="0" t="n">
        <v>0.01313996</v>
      </c>
      <c r="DU59" s="0" t="n">
        <v>0.03532451</v>
      </c>
      <c r="DV59" s="0" t="n">
        <v>0.0234086</v>
      </c>
      <c r="DW59" s="0" t="n">
        <v>0.01757248</v>
      </c>
      <c r="DX59" s="0" t="n">
        <v>0.02097949</v>
      </c>
      <c r="DY59" s="0" t="n">
        <v>0.01838224</v>
      </c>
      <c r="DZ59" s="0" t="n">
        <v>0.01093888</v>
      </c>
      <c r="EA59" s="0" t="n">
        <v>0.0168702</v>
      </c>
      <c r="EB59" s="0" t="n">
        <v>0.01175856</v>
      </c>
      <c r="EC59" s="0" t="n">
        <v>0.00523634</v>
      </c>
      <c r="ED59" s="0" t="n">
        <v>0.03570859</v>
      </c>
      <c r="EE59" s="0" t="n">
        <v>0.02210541</v>
      </c>
      <c r="EF59" s="0" t="n">
        <v>0.00762868</v>
      </c>
      <c r="EG59" s="0" t="n">
        <v>0.01955156</v>
      </c>
      <c r="EH59" s="0" t="n">
        <v>0.00848735</v>
      </c>
      <c r="EI59" s="0" t="n">
        <v>0.01646404</v>
      </c>
      <c r="EJ59" s="0" t="n">
        <v>0.03509098</v>
      </c>
      <c r="EK59" s="0" t="n">
        <v>0.04751068</v>
      </c>
      <c r="EL59" s="0" t="n">
        <v>0.04029547</v>
      </c>
      <c r="EM59" s="0" t="n">
        <v>0.02045951</v>
      </c>
      <c r="EN59" s="0" t="n">
        <v>0.01033377</v>
      </c>
      <c r="EO59" s="0" t="n">
        <v>-0.03628279</v>
      </c>
      <c r="EP59" s="55" t="n">
        <f aca="false">SUMPRODUCT(B59:EO59,$B$5:$EO$5)</f>
        <v>0.020542184</v>
      </c>
      <c r="EQ59" s="55" t="n">
        <f aca="false">SUMIF('Mi portafolio'!$A$8:$A$19,$A59,'Mi portafolio'!$B$8:$B$19)</f>
        <v>0</v>
      </c>
    </row>
    <row r="60" customFormat="false" ht="15" hidden="false" customHeight="false" outlineLevel="0" collapsed="false">
      <c r="A60" s="54" t="s">
        <v>204</v>
      </c>
      <c r="B60" s="0" t="n">
        <v>0.00029551</v>
      </c>
      <c r="C60" s="0" t="n">
        <v>0.0088567</v>
      </c>
      <c r="D60" s="0" t="n">
        <v>0.00951312</v>
      </c>
      <c r="E60" s="0" t="n">
        <v>0.01343117</v>
      </c>
      <c r="F60" s="0" t="n">
        <v>0.00036671</v>
      </c>
      <c r="G60" s="0" t="n">
        <v>0.01013158</v>
      </c>
      <c r="H60" s="0" t="n">
        <v>0.01463981</v>
      </c>
      <c r="I60" s="0" t="n">
        <v>0.00215778</v>
      </c>
      <c r="J60" s="0" t="n">
        <v>0.00248974</v>
      </c>
      <c r="K60" s="0" t="n">
        <v>0.00617009</v>
      </c>
      <c r="L60" s="0" t="n">
        <v>0.01349416</v>
      </c>
      <c r="M60" s="0" t="n">
        <v>0.01147123</v>
      </c>
      <c r="N60" s="0" t="n">
        <v>0.00503222</v>
      </c>
      <c r="O60" s="0" t="n">
        <v>0.02227489</v>
      </c>
      <c r="P60" s="0" t="n">
        <v>0.00244418</v>
      </c>
      <c r="Q60" s="0" t="n">
        <v>0.0033225</v>
      </c>
      <c r="R60" s="0" t="n">
        <v>0.00324279</v>
      </c>
      <c r="S60" s="0" t="n">
        <v>0.0219132</v>
      </c>
      <c r="T60" s="0" t="n">
        <v>0.00554122</v>
      </c>
      <c r="U60" s="0" t="n">
        <v>0.03370423</v>
      </c>
      <c r="V60" s="0" t="n">
        <v>0.01550424</v>
      </c>
      <c r="W60" s="0" t="n">
        <v>0.01789282</v>
      </c>
      <c r="X60" s="0" t="n">
        <v>0.0114772</v>
      </c>
      <c r="Y60" s="0" t="n">
        <v>0.00544406</v>
      </c>
      <c r="Z60" s="0" t="n">
        <v>0.02338756</v>
      </c>
      <c r="AA60" s="0" t="n">
        <v>0.01768956</v>
      </c>
      <c r="AB60" s="0" t="n">
        <v>0.00331725</v>
      </c>
      <c r="AC60" s="0" t="n">
        <v>0.01010397</v>
      </c>
      <c r="AD60" s="0" t="n">
        <v>0.02029922</v>
      </c>
      <c r="AE60" s="0" t="n">
        <v>0.03086974</v>
      </c>
      <c r="AF60" s="0" t="n">
        <v>0.02681149</v>
      </c>
      <c r="AG60" s="0" t="n">
        <v>0.00285653</v>
      </c>
      <c r="AH60" s="0" t="n">
        <v>0.00296388</v>
      </c>
      <c r="AI60" s="0" t="n">
        <v>-0.01452917</v>
      </c>
      <c r="AJ60" s="0" t="n">
        <v>0.02249701</v>
      </c>
      <c r="AK60" s="0" t="n">
        <v>0.04285617</v>
      </c>
      <c r="AL60" s="0" t="n">
        <v>-0.00029708</v>
      </c>
      <c r="AM60" s="0" t="n">
        <v>0.02566546</v>
      </c>
      <c r="AN60" s="0" t="n">
        <v>0.01442285</v>
      </c>
      <c r="AO60" s="0" t="n">
        <v>0.00188319</v>
      </c>
      <c r="AP60" s="0" t="n">
        <v>0.01080794</v>
      </c>
      <c r="AQ60" s="0" t="n">
        <v>-0.01030303</v>
      </c>
      <c r="AR60" s="0" t="n">
        <v>0.01302164</v>
      </c>
      <c r="AS60" s="0" t="n">
        <v>0.04362796</v>
      </c>
      <c r="AT60" s="0" t="n">
        <v>0.00598672</v>
      </c>
      <c r="AU60" s="0" t="n">
        <v>-0.0049174</v>
      </c>
      <c r="AV60" s="0" t="n">
        <v>0.02080741</v>
      </c>
      <c r="AW60" s="0" t="n">
        <v>0.02986617</v>
      </c>
      <c r="AX60" s="0" t="n">
        <v>0.00887699</v>
      </c>
      <c r="AY60" s="0" t="n">
        <v>0.00203044</v>
      </c>
      <c r="AZ60" s="0" t="n">
        <v>0.03314732</v>
      </c>
      <c r="BA60" s="0" t="n">
        <v>0.02493369</v>
      </c>
      <c r="BB60" s="0" t="n">
        <v>0.01422373</v>
      </c>
      <c r="BC60" s="0" t="n">
        <v>0.02203701</v>
      </c>
      <c r="BD60" s="0" t="n">
        <v>0.08762535</v>
      </c>
      <c r="BE60" s="0" t="n">
        <v>0.00684273</v>
      </c>
      <c r="BF60" s="0" t="n">
        <v>0.02939376</v>
      </c>
      <c r="BG60" s="0" t="n">
        <v>0.00700802</v>
      </c>
      <c r="BH60" s="0" t="n">
        <v>0.03180725</v>
      </c>
      <c r="BI60" s="0" t="n">
        <v>0.00310723</v>
      </c>
      <c r="BJ60" s="0" t="n">
        <v>0.00790903</v>
      </c>
      <c r="BK60" s="0" t="n">
        <v>0.03232804</v>
      </c>
      <c r="BL60" s="0" t="n">
        <v>0.02300736</v>
      </c>
      <c r="BM60" s="0" t="n">
        <v>0.00038656</v>
      </c>
      <c r="BN60" s="0" t="n">
        <v>0.00874934</v>
      </c>
      <c r="BO60" s="0" t="n">
        <v>0.01626976</v>
      </c>
      <c r="BP60" s="0" t="n">
        <v>0.00919803</v>
      </c>
      <c r="BQ60" s="0" t="n">
        <v>0.03528009</v>
      </c>
      <c r="BR60" s="0" t="n">
        <v>0.00968353</v>
      </c>
      <c r="BS60" s="0" t="n">
        <v>-0.01316371</v>
      </c>
      <c r="BT60" s="0" t="n">
        <v>0.01562221</v>
      </c>
      <c r="BU60" s="0" t="n">
        <v>0.03582347</v>
      </c>
      <c r="BV60" s="0" t="n">
        <v>0.01267221</v>
      </c>
      <c r="BW60" s="0" t="n">
        <v>0.01826467</v>
      </c>
      <c r="BX60" s="0" t="n">
        <v>0.00730963</v>
      </c>
      <c r="BY60" s="0" t="n">
        <v>0.01875522</v>
      </c>
      <c r="BZ60" s="0" t="n">
        <v>0.0226372</v>
      </c>
      <c r="CA60" s="0" t="n">
        <v>0.02848843</v>
      </c>
      <c r="CB60" s="0" t="n">
        <v>0.00340504</v>
      </c>
      <c r="CC60" s="0" t="n">
        <v>0.00931769</v>
      </c>
      <c r="CD60" s="0" t="n">
        <v>0.00925991</v>
      </c>
      <c r="CE60" s="0" t="n">
        <v>0.01293594</v>
      </c>
      <c r="CF60" s="0" t="n">
        <v>-0.01388572</v>
      </c>
      <c r="CG60" s="0" t="n">
        <v>0.01007976</v>
      </c>
      <c r="CH60" s="0" t="n">
        <v>0.03949306</v>
      </c>
      <c r="CI60" s="0" t="n">
        <v>-0.02029243</v>
      </c>
      <c r="CJ60" s="0" t="n">
        <v>0.0075083</v>
      </c>
      <c r="CK60" s="0" t="n">
        <v>0.00347758</v>
      </c>
      <c r="CL60" s="0" t="n">
        <v>0.00414337</v>
      </c>
      <c r="CM60" s="0" t="n">
        <v>0.0131317</v>
      </c>
      <c r="CN60" s="0" t="n">
        <v>0.02857355</v>
      </c>
      <c r="CO60" s="0" t="n">
        <v>0.02447398</v>
      </c>
      <c r="CP60" s="0" t="n">
        <v>0.00500502</v>
      </c>
      <c r="CQ60" s="0" t="n">
        <v>0.0168306</v>
      </c>
      <c r="CR60" s="0" t="n">
        <v>0.01877298</v>
      </c>
      <c r="CS60" s="0" t="n">
        <v>0.02609338</v>
      </c>
      <c r="CT60" s="0" t="n">
        <v>0.02094565</v>
      </c>
      <c r="CU60" s="0" t="n">
        <v>0.01572312</v>
      </c>
      <c r="CV60" s="0" t="n">
        <v>0.00574506</v>
      </c>
      <c r="CW60" s="0" t="n">
        <v>0.02373446</v>
      </c>
      <c r="CX60" s="0" t="n">
        <v>0.02825067</v>
      </c>
      <c r="CY60" s="0" t="n">
        <v>0.02056047</v>
      </c>
      <c r="CZ60" s="0" t="n">
        <v>0.01987061</v>
      </c>
      <c r="DA60" s="0" t="n">
        <v>0.01145369</v>
      </c>
      <c r="DB60" s="0" t="n">
        <v>0.02293335</v>
      </c>
      <c r="DC60" s="0" t="n">
        <v>0.05270043</v>
      </c>
      <c r="DD60" s="0" t="n">
        <v>0.01909149</v>
      </c>
      <c r="DE60" s="0" t="n">
        <v>0.03430051</v>
      </c>
      <c r="DF60" s="0" t="n">
        <v>-0.00112438</v>
      </c>
      <c r="DG60" s="0" t="n">
        <v>0.03648214</v>
      </c>
      <c r="DH60" s="0" t="n">
        <v>0.01198639</v>
      </c>
      <c r="DI60" s="0" t="n">
        <v>0.02368328</v>
      </c>
      <c r="DJ60" s="0" t="n">
        <v>0.0131874</v>
      </c>
      <c r="DK60" s="0" t="n">
        <v>0.02477209</v>
      </c>
      <c r="DL60" s="0" t="n">
        <v>0.04901871</v>
      </c>
      <c r="DM60" s="0" t="n">
        <v>0.0314356</v>
      </c>
      <c r="DN60" s="0" t="n">
        <v>0.0070415</v>
      </c>
      <c r="DO60" s="0" t="n">
        <v>0.01682739</v>
      </c>
      <c r="DP60" s="0" t="n">
        <v>0.02597392</v>
      </c>
      <c r="DQ60" s="0" t="n">
        <v>0.0193629</v>
      </c>
      <c r="DR60" s="0" t="n">
        <v>0.01390535</v>
      </c>
      <c r="DS60" s="0" t="n">
        <v>-0.0157617</v>
      </c>
      <c r="DT60" s="0" t="n">
        <v>0.00796159</v>
      </c>
      <c r="DU60" s="0" t="n">
        <v>0.03519308</v>
      </c>
      <c r="DV60" s="0" t="n">
        <v>-0.00624533</v>
      </c>
      <c r="DW60" s="0" t="n">
        <v>0.01490514</v>
      </c>
      <c r="DX60" s="0" t="n">
        <v>0.02413364</v>
      </c>
      <c r="DY60" s="0" t="n">
        <v>0.0143469</v>
      </c>
      <c r="DZ60" s="0" t="n">
        <v>0.01162976</v>
      </c>
      <c r="EA60" s="0" t="n">
        <v>0.02205973</v>
      </c>
      <c r="EB60" s="0" t="n">
        <v>0.00933885</v>
      </c>
      <c r="EC60" s="0" t="n">
        <v>0.01972637</v>
      </c>
      <c r="ED60" s="0" t="n">
        <v>0.03062412</v>
      </c>
      <c r="EE60" s="0" t="n">
        <v>0.03507244</v>
      </c>
      <c r="EF60" s="0" t="n">
        <v>0.01860112</v>
      </c>
      <c r="EG60" s="0" t="n">
        <v>0.02969703</v>
      </c>
      <c r="EH60" s="0" t="n">
        <v>0.01357045</v>
      </c>
      <c r="EI60" s="0" t="n">
        <v>0.02253343</v>
      </c>
      <c r="EJ60" s="0" t="n">
        <v>0.04309728</v>
      </c>
      <c r="EK60" s="0" t="n">
        <v>0.04128966</v>
      </c>
      <c r="EL60" s="0" t="n">
        <v>0.06053425</v>
      </c>
      <c r="EM60" s="0" t="n">
        <v>0.02730175</v>
      </c>
      <c r="EN60" s="0" t="n">
        <v>0.0216334</v>
      </c>
      <c r="EO60" s="0" t="n">
        <v>0.06399614</v>
      </c>
      <c r="EP60" s="55" t="n">
        <f aca="false">SUMPRODUCT(B60:EO60,$B$5:$EO$5)</f>
        <v>0.02519253</v>
      </c>
      <c r="EQ60" s="55" t="n">
        <f aca="false">SUMIF('Mi portafolio'!$A$8:$A$19,$A60,'Mi portafolio'!$B$8:$B$19)</f>
        <v>0</v>
      </c>
    </row>
    <row r="61" customFormat="false" ht="15" hidden="false" customHeight="false" outlineLevel="0" collapsed="false">
      <c r="A61" s="54" t="s">
        <v>205</v>
      </c>
      <c r="B61" s="0" t="n">
        <v>0.01498739</v>
      </c>
      <c r="C61" s="0" t="n">
        <v>0.00377277</v>
      </c>
      <c r="D61" s="0" t="n">
        <v>-0.00097629</v>
      </c>
      <c r="E61" s="0" t="n">
        <v>0.00504326</v>
      </c>
      <c r="F61" s="0" t="n">
        <v>0.02562431</v>
      </c>
      <c r="G61" s="0" t="n">
        <v>-0.00153582</v>
      </c>
      <c r="H61" s="0" t="n">
        <v>0.00551454</v>
      </c>
      <c r="I61" s="0" t="n">
        <v>0.02252455</v>
      </c>
      <c r="J61" s="0" t="n">
        <v>0.03616812</v>
      </c>
      <c r="K61" s="0" t="n">
        <v>0.02597812</v>
      </c>
      <c r="L61" s="0" t="n">
        <v>0.00710341</v>
      </c>
      <c r="M61" s="0" t="n">
        <v>0.01924293</v>
      </c>
      <c r="N61" s="0" t="n">
        <v>0.03428431</v>
      </c>
      <c r="O61" s="0" t="n">
        <v>0.0075551</v>
      </c>
      <c r="P61" s="0" t="n">
        <v>0.01983199</v>
      </c>
      <c r="Q61" s="0" t="n">
        <v>-0.00542719</v>
      </c>
      <c r="R61" s="0" t="n">
        <v>0.02502943</v>
      </c>
      <c r="S61" s="0" t="n">
        <v>0.01053699</v>
      </c>
      <c r="T61" s="0" t="n">
        <v>0.01185799</v>
      </c>
      <c r="U61" s="0" t="n">
        <v>0.01508095</v>
      </c>
      <c r="V61" s="0" t="n">
        <v>0.00190413</v>
      </c>
      <c r="W61" s="0" t="n">
        <v>0.00721307</v>
      </c>
      <c r="X61" s="0" t="n">
        <v>0.01543895</v>
      </c>
      <c r="Y61" s="0" t="n">
        <v>0.0190681</v>
      </c>
      <c r="Z61" s="0" t="n">
        <v>0.00644427</v>
      </c>
      <c r="AA61" s="0" t="n">
        <v>0.01175724</v>
      </c>
      <c r="AB61" s="0" t="n">
        <v>0.01896742</v>
      </c>
      <c r="AC61" s="0" t="n">
        <v>-0.00035254</v>
      </c>
      <c r="AD61" s="0" t="n">
        <v>0.00918597</v>
      </c>
      <c r="AE61" s="0" t="n">
        <v>0.00380364</v>
      </c>
      <c r="AF61" s="0" t="n">
        <v>0.00395675</v>
      </c>
      <c r="AG61" s="0" t="n">
        <v>0.0221252</v>
      </c>
      <c r="AH61" s="0" t="n">
        <v>0.02082084</v>
      </c>
      <c r="AI61" s="0" t="n">
        <v>0.01214797</v>
      </c>
      <c r="AJ61" s="0" t="n">
        <v>0.00451078</v>
      </c>
      <c r="AK61" s="0" t="n">
        <v>0.00641206</v>
      </c>
      <c r="AL61" s="0" t="n">
        <v>0.02081839</v>
      </c>
      <c r="AM61" s="0" t="n">
        <v>0.00947167</v>
      </c>
      <c r="AN61" s="0" t="n">
        <v>0.02723553</v>
      </c>
      <c r="AO61" s="0" t="n">
        <v>0.0390026</v>
      </c>
      <c r="AP61" s="0" t="n">
        <v>0.01751124</v>
      </c>
      <c r="AQ61" s="0" t="n">
        <v>0.00995916</v>
      </c>
      <c r="AR61" s="0" t="n">
        <v>0.01283172</v>
      </c>
      <c r="AS61" s="0" t="n">
        <v>0.00395981</v>
      </c>
      <c r="AT61" s="0" t="n">
        <v>0.0121051</v>
      </c>
      <c r="AU61" s="0" t="n">
        <v>0.02301692</v>
      </c>
      <c r="AV61" s="0" t="n">
        <v>0.00654749</v>
      </c>
      <c r="AW61" s="0" t="n">
        <v>0.00914561</v>
      </c>
      <c r="AX61" s="0" t="n">
        <v>0.04628085</v>
      </c>
      <c r="AY61" s="0" t="n">
        <v>0.02399984</v>
      </c>
      <c r="AZ61" s="0" t="n">
        <v>0.01065297</v>
      </c>
      <c r="BA61" s="0" t="n">
        <v>0.0246479</v>
      </c>
      <c r="BB61" s="0" t="n">
        <v>0.00960445</v>
      </c>
      <c r="BC61" s="0" t="n">
        <v>0.00708628</v>
      </c>
      <c r="BD61" s="0" t="n">
        <v>0.00684273</v>
      </c>
      <c r="BE61" s="0" t="n">
        <v>0.09293319</v>
      </c>
      <c r="BF61" s="0" t="n">
        <v>0.00528835</v>
      </c>
      <c r="BG61" s="0" t="n">
        <v>0.02477525</v>
      </c>
      <c r="BH61" s="0" t="n">
        <v>0.00768808</v>
      </c>
      <c r="BI61" s="0" t="n">
        <v>0.00832219</v>
      </c>
      <c r="BJ61" s="0" t="n">
        <v>0.00151646</v>
      </c>
      <c r="BK61" s="0" t="n">
        <v>0.00373057</v>
      </c>
      <c r="BL61" s="0" t="n">
        <v>0.01637578</v>
      </c>
      <c r="BM61" s="0" t="n">
        <v>0.0280639</v>
      </c>
      <c r="BN61" s="0" t="n">
        <v>0.01922112</v>
      </c>
      <c r="BO61" s="0" t="n">
        <v>0.00937312</v>
      </c>
      <c r="BP61" s="0" t="n">
        <v>-0.00906638</v>
      </c>
      <c r="BQ61" s="0" t="n">
        <v>0.01372762</v>
      </c>
      <c r="BR61" s="0" t="n">
        <v>0.01138439</v>
      </c>
      <c r="BS61" s="0" t="n">
        <v>0.00529086</v>
      </c>
      <c r="BT61" s="0" t="n">
        <v>0.0238371</v>
      </c>
      <c r="BU61" s="0" t="n">
        <v>0.00587144</v>
      </c>
      <c r="BV61" s="0" t="n">
        <v>0.00772376</v>
      </c>
      <c r="BW61" s="0" t="n">
        <v>0.01564432</v>
      </c>
      <c r="BX61" s="0" t="n">
        <v>0.04845745</v>
      </c>
      <c r="BY61" s="0" t="n">
        <v>0.02542563</v>
      </c>
      <c r="BZ61" s="0" t="n">
        <v>0.01594139</v>
      </c>
      <c r="CA61" s="0" t="n">
        <v>0.00707667</v>
      </c>
      <c r="CB61" s="0" t="n">
        <v>-0.00036785</v>
      </c>
      <c r="CC61" s="0" t="n">
        <v>0.01548959</v>
      </c>
      <c r="CD61" s="0" t="n">
        <v>0.01283308</v>
      </c>
      <c r="CE61" s="0" t="n">
        <v>0.00714503</v>
      </c>
      <c r="CF61" s="0" t="n">
        <v>0.01075203</v>
      </c>
      <c r="CG61" s="0" t="n">
        <v>0.01328375</v>
      </c>
      <c r="CH61" s="0" t="n">
        <v>0.01586138</v>
      </c>
      <c r="CI61" s="0" t="n">
        <v>0.00815135</v>
      </c>
      <c r="CJ61" s="0" t="n">
        <v>0.02255587</v>
      </c>
      <c r="CK61" s="0" t="n">
        <v>0.02171603</v>
      </c>
      <c r="CL61" s="0" t="n">
        <v>0.03678567</v>
      </c>
      <c r="CM61" s="0" t="n">
        <v>-0.01252884</v>
      </c>
      <c r="CN61" s="0" t="n">
        <v>0.00500227</v>
      </c>
      <c r="CO61" s="0" t="n">
        <v>0.00422725</v>
      </c>
      <c r="CP61" s="0" t="n">
        <v>0.00964537</v>
      </c>
      <c r="CQ61" s="0" t="n">
        <v>0.02696296</v>
      </c>
      <c r="CR61" s="0" t="n">
        <v>0.00580332</v>
      </c>
      <c r="CS61" s="0" t="n">
        <v>0.01881074</v>
      </c>
      <c r="CT61" s="0" t="n">
        <v>0.00626863</v>
      </c>
      <c r="CU61" s="0" t="n">
        <v>-0.00049431</v>
      </c>
      <c r="CV61" s="0" t="n">
        <v>0.00470791</v>
      </c>
      <c r="CW61" s="0" t="n">
        <v>0.01957796</v>
      </c>
      <c r="CX61" s="0" t="n">
        <v>0.01841082</v>
      </c>
      <c r="CY61" s="0" t="n">
        <v>0.02827283</v>
      </c>
      <c r="CZ61" s="0" t="n">
        <v>0.01678554</v>
      </c>
      <c r="DA61" s="0" t="n">
        <v>0.01849147</v>
      </c>
      <c r="DB61" s="0" t="n">
        <v>0.00457615</v>
      </c>
      <c r="DC61" s="0" t="n">
        <v>0.01211558</v>
      </c>
      <c r="DD61" s="0" t="n">
        <v>0.01411423</v>
      </c>
      <c r="DE61" s="0" t="n">
        <v>0.01774973</v>
      </c>
      <c r="DF61" s="0" t="n">
        <v>-0.00197269</v>
      </c>
      <c r="DG61" s="0" t="n">
        <v>0.02464002</v>
      </c>
      <c r="DH61" s="0" t="n">
        <v>-0.01670141</v>
      </c>
      <c r="DI61" s="0" t="n">
        <v>0.02211309</v>
      </c>
      <c r="DJ61" s="0" t="n">
        <v>0.0329125</v>
      </c>
      <c r="DK61" s="0" t="n">
        <v>0.02904556</v>
      </c>
      <c r="DL61" s="0" t="n">
        <v>0.00790962</v>
      </c>
      <c r="DM61" s="0" t="n">
        <v>0.03520042</v>
      </c>
      <c r="DN61" s="0" t="n">
        <v>0.01952814</v>
      </c>
      <c r="DO61" s="0" t="n">
        <v>0.00880254</v>
      </c>
      <c r="DP61" s="0" t="n">
        <v>0.03572956</v>
      </c>
      <c r="DQ61" s="0" t="n">
        <v>0.01524135</v>
      </c>
      <c r="DR61" s="0" t="n">
        <v>0.02152917</v>
      </c>
      <c r="DS61" s="0" t="n">
        <v>-0.00439597</v>
      </c>
      <c r="DT61" s="0" t="n">
        <v>-0.02295316</v>
      </c>
      <c r="DU61" s="0" t="n">
        <v>0.00564411</v>
      </c>
      <c r="DV61" s="0" t="n">
        <v>-0.0070642</v>
      </c>
      <c r="DW61" s="0" t="n">
        <v>-0.00053972</v>
      </c>
      <c r="DX61" s="0" t="n">
        <v>0.00285084</v>
      </c>
      <c r="DY61" s="0" t="n">
        <v>0.00878451</v>
      </c>
      <c r="DZ61" s="0" t="n">
        <v>-0.00694945</v>
      </c>
      <c r="EA61" s="0" t="n">
        <v>0.02746889</v>
      </c>
      <c r="EB61" s="0" t="n">
        <v>0.02358014</v>
      </c>
      <c r="EC61" s="0" t="n">
        <v>-0.00435879</v>
      </c>
      <c r="ED61" s="0" t="n">
        <v>0.02161151</v>
      </c>
      <c r="EE61" s="0" t="n">
        <v>-0.01384734</v>
      </c>
      <c r="EF61" s="0" t="n">
        <v>0.02777237</v>
      </c>
      <c r="EG61" s="0" t="n">
        <v>0.00225981</v>
      </c>
      <c r="EH61" s="0" t="n">
        <v>0.01987608</v>
      </c>
      <c r="EI61" s="0" t="n">
        <v>-0.00573877</v>
      </c>
      <c r="EJ61" s="0" t="n">
        <v>0.04673375</v>
      </c>
      <c r="EK61" s="0" t="n">
        <v>0.02453182</v>
      </c>
      <c r="EL61" s="0" t="n">
        <v>0.01718043</v>
      </c>
      <c r="EM61" s="0" t="n">
        <v>0.02020403</v>
      </c>
      <c r="EN61" s="0" t="n">
        <v>0.18067744</v>
      </c>
      <c r="EO61" s="0" t="n">
        <v>0.03591437</v>
      </c>
      <c r="EP61" s="55" t="n">
        <f aca="false">SUMPRODUCT(B61:EO61,$B$5:$EO$5)</f>
        <v>0.005367372</v>
      </c>
      <c r="EQ61" s="55" t="n">
        <f aca="false">SUMIF('Mi portafolio'!$A$8:$A$19,$A61,'Mi portafolio'!$B$8:$B$19)</f>
        <v>0</v>
      </c>
    </row>
    <row r="62" customFormat="false" ht="15" hidden="false" customHeight="false" outlineLevel="0" collapsed="false">
      <c r="A62" s="54" t="s">
        <v>206</v>
      </c>
      <c r="B62" s="0" t="n">
        <v>0.002049</v>
      </c>
      <c r="C62" s="0" t="n">
        <v>-0.00020252</v>
      </c>
      <c r="D62" s="0" t="n">
        <v>0.00801804</v>
      </c>
      <c r="E62" s="0" t="n">
        <v>0.01970007</v>
      </c>
      <c r="F62" s="0" t="n">
        <v>0.00215993</v>
      </c>
      <c r="G62" s="0" t="n">
        <v>0.01407899</v>
      </c>
      <c r="H62" s="0" t="n">
        <v>0.01502121</v>
      </c>
      <c r="I62" s="0" t="n">
        <v>0.00578643</v>
      </c>
      <c r="J62" s="0" t="n">
        <v>0.00253802</v>
      </c>
      <c r="K62" s="0" t="n">
        <v>0.00633642</v>
      </c>
      <c r="L62" s="0" t="n">
        <v>0.0107585</v>
      </c>
      <c r="M62" s="0" t="n">
        <v>0.01817222</v>
      </c>
      <c r="N62" s="0" t="n">
        <v>0.01119034</v>
      </c>
      <c r="O62" s="0" t="n">
        <v>0.01774407</v>
      </c>
      <c r="P62" s="0" t="n">
        <v>0.00560225</v>
      </c>
      <c r="Q62" s="0" t="n">
        <v>0.00470767</v>
      </c>
      <c r="R62" s="0" t="n">
        <v>0.00461137</v>
      </c>
      <c r="S62" s="0" t="n">
        <v>0.01492834</v>
      </c>
      <c r="T62" s="0" t="n">
        <v>0.01069707</v>
      </c>
      <c r="U62" s="0" t="n">
        <v>0.02213588</v>
      </c>
      <c r="V62" s="0" t="n">
        <v>0.01944465</v>
      </c>
      <c r="W62" s="0" t="n">
        <v>0.01575125</v>
      </c>
      <c r="X62" s="0" t="n">
        <v>0.00833434</v>
      </c>
      <c r="Y62" s="0" t="n">
        <v>-0.00215758</v>
      </c>
      <c r="Z62" s="0" t="n">
        <v>0.03341924</v>
      </c>
      <c r="AA62" s="0" t="n">
        <v>0.01494721</v>
      </c>
      <c r="AB62" s="0" t="n">
        <v>-0.00215919</v>
      </c>
      <c r="AC62" s="0" t="n">
        <v>0.01327461</v>
      </c>
      <c r="AD62" s="0" t="n">
        <v>0.01508535</v>
      </c>
      <c r="AE62" s="0" t="n">
        <v>0.02406052</v>
      </c>
      <c r="AF62" s="0" t="n">
        <v>0.02277853</v>
      </c>
      <c r="AG62" s="0" t="n">
        <v>-0.0025029</v>
      </c>
      <c r="AH62" s="0" t="n">
        <v>-0.00189083</v>
      </c>
      <c r="AI62" s="0" t="n">
        <v>-0.00520228</v>
      </c>
      <c r="AJ62" s="0" t="n">
        <v>0.01771522</v>
      </c>
      <c r="AK62" s="0" t="n">
        <v>0.02019535</v>
      </c>
      <c r="AL62" s="0" t="n">
        <v>0.01126368</v>
      </c>
      <c r="AM62" s="0" t="n">
        <v>0.01922278</v>
      </c>
      <c r="AN62" s="0" t="n">
        <v>0.0156606</v>
      </c>
      <c r="AO62" s="0" t="n">
        <v>0.00587772</v>
      </c>
      <c r="AP62" s="0" t="n">
        <v>0.01035107</v>
      </c>
      <c r="AQ62" s="0" t="n">
        <v>0.00087131</v>
      </c>
      <c r="AR62" s="0" t="n">
        <v>0.00969459</v>
      </c>
      <c r="AS62" s="0" t="n">
        <v>0.02685954</v>
      </c>
      <c r="AT62" s="0" t="n">
        <v>0.00802718</v>
      </c>
      <c r="AU62" s="0" t="n">
        <v>0.00201985</v>
      </c>
      <c r="AV62" s="0" t="n">
        <v>0.02298314</v>
      </c>
      <c r="AW62" s="0" t="n">
        <v>0.03111794</v>
      </c>
      <c r="AX62" s="0" t="n">
        <v>0.01097692</v>
      </c>
      <c r="AY62" s="0" t="n">
        <v>0.00287588</v>
      </c>
      <c r="AZ62" s="0" t="n">
        <v>0.02342663</v>
      </c>
      <c r="BA62" s="0" t="n">
        <v>0.01314408</v>
      </c>
      <c r="BB62" s="0" t="n">
        <v>0.01705724</v>
      </c>
      <c r="BC62" s="0" t="n">
        <v>0.01746653</v>
      </c>
      <c r="BD62" s="0" t="n">
        <v>0.02939376</v>
      </c>
      <c r="BE62" s="0" t="n">
        <v>0.00528835</v>
      </c>
      <c r="BF62" s="0" t="n">
        <v>0.093361</v>
      </c>
      <c r="BG62" s="0" t="n">
        <v>0.01774545</v>
      </c>
      <c r="BH62" s="0" t="n">
        <v>0.02395209</v>
      </c>
      <c r="BI62" s="0" t="n">
        <v>0.01575438</v>
      </c>
      <c r="BJ62" s="0" t="n">
        <v>0.00132364</v>
      </c>
      <c r="BK62" s="0" t="n">
        <v>0.03208085</v>
      </c>
      <c r="BL62" s="0" t="n">
        <v>0.02262379</v>
      </c>
      <c r="BM62" s="0" t="n">
        <v>0.00139487</v>
      </c>
      <c r="BN62" s="0" t="n">
        <v>0.0045258</v>
      </c>
      <c r="BO62" s="0" t="n">
        <v>0.00597427</v>
      </c>
      <c r="BP62" s="0" t="n">
        <v>-0.00239101</v>
      </c>
      <c r="BQ62" s="0" t="n">
        <v>0.02555193</v>
      </c>
      <c r="BR62" s="0" t="n">
        <v>0.01973697</v>
      </c>
      <c r="BS62" s="0" t="n">
        <v>-0.00024624</v>
      </c>
      <c r="BT62" s="0" t="n">
        <v>0.02312903</v>
      </c>
      <c r="BU62" s="0" t="n">
        <v>0.02066901</v>
      </c>
      <c r="BV62" s="0" t="n">
        <v>0.00097908</v>
      </c>
      <c r="BW62" s="0" t="n">
        <v>0.01618172</v>
      </c>
      <c r="BX62" s="0" t="n">
        <v>0.01122657</v>
      </c>
      <c r="BY62" s="0" t="n">
        <v>0.01129537</v>
      </c>
      <c r="BZ62" s="0" t="n">
        <v>0.02151326</v>
      </c>
      <c r="CA62" s="0" t="n">
        <v>0.02585121</v>
      </c>
      <c r="CB62" s="0" t="n">
        <v>-0.00891612</v>
      </c>
      <c r="CC62" s="0" t="n">
        <v>0.00996642</v>
      </c>
      <c r="CD62" s="0" t="n">
        <v>0.0135541</v>
      </c>
      <c r="CE62" s="0" t="n">
        <v>0.00510837</v>
      </c>
      <c r="CF62" s="0" t="n">
        <v>0.00276422</v>
      </c>
      <c r="CG62" s="0" t="n">
        <v>0.01107613</v>
      </c>
      <c r="CH62" s="0" t="n">
        <v>0.02757782</v>
      </c>
      <c r="CI62" s="0" t="n">
        <v>-0.00477996</v>
      </c>
      <c r="CJ62" s="0" t="n">
        <v>-0.00085305</v>
      </c>
      <c r="CK62" s="0" t="n">
        <v>0.01386741</v>
      </c>
      <c r="CL62" s="0" t="n">
        <v>0.00457158</v>
      </c>
      <c r="CM62" s="0" t="n">
        <v>0.00418015</v>
      </c>
      <c r="CN62" s="0" t="n">
        <v>0.02809942</v>
      </c>
      <c r="CO62" s="0" t="n">
        <v>0.02502774</v>
      </c>
      <c r="CP62" s="0" t="n">
        <v>0.01853316</v>
      </c>
      <c r="CQ62" s="0" t="n">
        <v>0.02366645</v>
      </c>
      <c r="CR62" s="0" t="n">
        <v>0.0204999</v>
      </c>
      <c r="CS62" s="0" t="n">
        <v>0.02458273</v>
      </c>
      <c r="CT62" s="0" t="n">
        <v>0.031016</v>
      </c>
      <c r="CU62" s="0" t="n">
        <v>0.0226471</v>
      </c>
      <c r="CV62" s="0" t="n">
        <v>0.011164</v>
      </c>
      <c r="CW62" s="0" t="n">
        <v>0.01645776</v>
      </c>
      <c r="CX62" s="0" t="n">
        <v>0.02193552</v>
      </c>
      <c r="CY62" s="0" t="n">
        <v>0.02351425</v>
      </c>
      <c r="CZ62" s="0" t="n">
        <v>0.00976644</v>
      </c>
      <c r="DA62" s="0" t="n">
        <v>0.01244819</v>
      </c>
      <c r="DB62" s="0" t="n">
        <v>0.03309983</v>
      </c>
      <c r="DC62" s="0" t="n">
        <v>0.03858156</v>
      </c>
      <c r="DD62" s="0" t="n">
        <v>0.01732315</v>
      </c>
      <c r="DE62" s="0" t="n">
        <v>0.03046434</v>
      </c>
      <c r="DF62" s="0" t="n">
        <v>-0.00813237</v>
      </c>
      <c r="DG62" s="0" t="n">
        <v>0.03463436</v>
      </c>
      <c r="DH62" s="0" t="n">
        <v>0.00555952</v>
      </c>
      <c r="DI62" s="0" t="n">
        <v>0.01591969</v>
      </c>
      <c r="DJ62" s="0" t="n">
        <v>0.01862867</v>
      </c>
      <c r="DK62" s="0" t="n">
        <v>0.02322454</v>
      </c>
      <c r="DL62" s="0" t="n">
        <v>0.03618475</v>
      </c>
      <c r="DM62" s="0" t="n">
        <v>0.03060601</v>
      </c>
      <c r="DN62" s="0" t="n">
        <v>0.005521</v>
      </c>
      <c r="DO62" s="0" t="n">
        <v>0.0265179</v>
      </c>
      <c r="DP62" s="0" t="n">
        <v>0.03105848</v>
      </c>
      <c r="DQ62" s="0" t="n">
        <v>0.01890415</v>
      </c>
      <c r="DR62" s="0" t="n">
        <v>0.02331549</v>
      </c>
      <c r="DS62" s="0" t="n">
        <v>0.00336966</v>
      </c>
      <c r="DT62" s="0" t="n">
        <v>-0.00099992</v>
      </c>
      <c r="DU62" s="0" t="n">
        <v>0.02066426</v>
      </c>
      <c r="DV62" s="0" t="n">
        <v>0.00913965</v>
      </c>
      <c r="DW62" s="0" t="n">
        <v>0.0082244</v>
      </c>
      <c r="DX62" s="0" t="n">
        <v>0.02610701</v>
      </c>
      <c r="DY62" s="0" t="n">
        <v>0.02105025</v>
      </c>
      <c r="DZ62" s="0" t="n">
        <v>0.012397</v>
      </c>
      <c r="EA62" s="0" t="n">
        <v>0.01930048</v>
      </c>
      <c r="EB62" s="0" t="n">
        <v>0.02637755</v>
      </c>
      <c r="EC62" s="0" t="n">
        <v>0.01784167</v>
      </c>
      <c r="ED62" s="0" t="n">
        <v>0.0454798</v>
      </c>
      <c r="EE62" s="0" t="n">
        <v>0.04128017</v>
      </c>
      <c r="EF62" s="0" t="n">
        <v>0.03103675</v>
      </c>
      <c r="EG62" s="0" t="n">
        <v>0.03179427</v>
      </c>
      <c r="EH62" s="0" t="n">
        <v>0.00096719</v>
      </c>
      <c r="EI62" s="0" t="n">
        <v>0.02406013</v>
      </c>
      <c r="EJ62" s="0" t="n">
        <v>0.05328475</v>
      </c>
      <c r="EK62" s="0" t="n">
        <v>0.03942861</v>
      </c>
      <c r="EL62" s="0" t="n">
        <v>0.04552421</v>
      </c>
      <c r="EM62" s="0" t="n">
        <v>-0.01040592</v>
      </c>
      <c r="EN62" s="0" t="n">
        <v>0.03438138</v>
      </c>
      <c r="EO62" s="0" t="n">
        <v>0.07171989</v>
      </c>
      <c r="EP62" s="55" t="n">
        <f aca="false">SUMPRODUCT(B62:EO62,$B$5:$EO$5)</f>
        <v>0.019552674</v>
      </c>
      <c r="EQ62" s="55" t="n">
        <f aca="false">SUMIF('Mi portafolio'!$A$8:$A$19,$A62,'Mi portafolio'!$B$8:$B$19)</f>
        <v>0</v>
      </c>
    </row>
    <row r="63" customFormat="false" ht="15" hidden="false" customHeight="false" outlineLevel="0" collapsed="false">
      <c r="A63" s="54" t="s">
        <v>207</v>
      </c>
      <c r="B63" s="0" t="n">
        <v>0.01070841</v>
      </c>
      <c r="C63" s="0" t="n">
        <v>0.00048506</v>
      </c>
      <c r="D63" s="0" t="n">
        <v>0.00260399</v>
      </c>
      <c r="E63" s="0" t="n">
        <v>-0.00061454</v>
      </c>
      <c r="F63" s="0" t="n">
        <v>0.00657499</v>
      </c>
      <c r="G63" s="0" t="n">
        <v>-0.00109137</v>
      </c>
      <c r="H63" s="0" t="n">
        <v>0.00210478</v>
      </c>
      <c r="I63" s="0" t="n">
        <v>0.00962053</v>
      </c>
      <c r="J63" s="0" t="n">
        <v>0.0129524</v>
      </c>
      <c r="K63" s="0" t="n">
        <v>0.00898177</v>
      </c>
      <c r="L63" s="0" t="n">
        <v>0.00068612</v>
      </c>
      <c r="M63" s="0" t="n">
        <v>0.02262153</v>
      </c>
      <c r="N63" s="0" t="n">
        <v>0.02367001</v>
      </c>
      <c r="O63" s="0" t="n">
        <v>-0.00847809</v>
      </c>
      <c r="P63" s="0" t="n">
        <v>0.00445866</v>
      </c>
      <c r="Q63" s="0" t="n">
        <v>0.00190233</v>
      </c>
      <c r="R63" s="0" t="n">
        <v>0.00928127</v>
      </c>
      <c r="S63" s="0" t="n">
        <v>0.00510378</v>
      </c>
      <c r="T63" s="0" t="n">
        <v>0.02136056</v>
      </c>
      <c r="U63" s="0" t="n">
        <v>0.00410938</v>
      </c>
      <c r="V63" s="0" t="n">
        <v>-0.00231339</v>
      </c>
      <c r="W63" s="0" t="n">
        <v>-0.00706632</v>
      </c>
      <c r="X63" s="0" t="n">
        <v>0.01931554</v>
      </c>
      <c r="Y63" s="0" t="n">
        <v>0.02345804</v>
      </c>
      <c r="Z63" s="0" t="n">
        <v>0.00387109</v>
      </c>
      <c r="AA63" s="0" t="n">
        <v>-0.00134562</v>
      </c>
      <c r="AB63" s="0" t="n">
        <v>0.02444092</v>
      </c>
      <c r="AC63" s="0" t="n">
        <v>0.00089209</v>
      </c>
      <c r="AD63" s="0" t="n">
        <v>-0.00057254</v>
      </c>
      <c r="AE63" s="0" t="n">
        <v>0.00898105</v>
      </c>
      <c r="AF63" s="0" t="n">
        <v>0.00033697</v>
      </c>
      <c r="AG63" s="0" t="n">
        <v>-0.00051303</v>
      </c>
      <c r="AH63" s="0" t="n">
        <v>-0.00014541</v>
      </c>
      <c r="AI63" s="0" t="n">
        <v>0.00284978</v>
      </c>
      <c r="AJ63" s="0" t="n">
        <v>0.00126848</v>
      </c>
      <c r="AK63" s="0" t="n">
        <v>0.00081139</v>
      </c>
      <c r="AL63" s="0" t="n">
        <v>0.0109837</v>
      </c>
      <c r="AM63" s="0" t="n">
        <v>0.00722043</v>
      </c>
      <c r="AN63" s="0" t="n">
        <v>0.02791346</v>
      </c>
      <c r="AO63" s="0" t="n">
        <v>0.02464218</v>
      </c>
      <c r="AP63" s="0" t="n">
        <v>0.025872</v>
      </c>
      <c r="AQ63" s="0" t="n">
        <v>-0.00090755</v>
      </c>
      <c r="AR63" s="0" t="n">
        <v>0.02067637</v>
      </c>
      <c r="AS63" s="0" t="n">
        <v>0.00856109</v>
      </c>
      <c r="AT63" s="0" t="n">
        <v>0.03439844</v>
      </c>
      <c r="AU63" s="0" t="n">
        <v>0.00143726</v>
      </c>
      <c r="AV63" s="0" t="n">
        <v>0.00938909</v>
      </c>
      <c r="AW63" s="0" t="n">
        <v>0.01037201</v>
      </c>
      <c r="AX63" s="0" t="n">
        <v>0.0207793</v>
      </c>
      <c r="AY63" s="0" t="n">
        <v>0.02079257</v>
      </c>
      <c r="AZ63" s="0" t="n">
        <v>0.01071098</v>
      </c>
      <c r="BA63" s="0" t="n">
        <v>0.0201862</v>
      </c>
      <c r="BB63" s="0" t="n">
        <v>0.02383614</v>
      </c>
      <c r="BC63" s="0" t="n">
        <v>0.0092457</v>
      </c>
      <c r="BD63" s="0" t="n">
        <v>0.00700802</v>
      </c>
      <c r="BE63" s="0" t="n">
        <v>0.02477525</v>
      </c>
      <c r="BF63" s="0" t="n">
        <v>0.01774545</v>
      </c>
      <c r="BG63" s="0" t="n">
        <v>0.09612606</v>
      </c>
      <c r="BH63" s="0" t="n">
        <v>0.01030621</v>
      </c>
      <c r="BI63" s="0" t="n">
        <v>0.01707775</v>
      </c>
      <c r="BJ63" s="0" t="n">
        <v>-0.00052351</v>
      </c>
      <c r="BK63" s="0" t="n">
        <v>0.00964813</v>
      </c>
      <c r="BL63" s="0" t="n">
        <v>0.0290625</v>
      </c>
      <c r="BM63" s="0" t="n">
        <v>0.01841125</v>
      </c>
      <c r="BN63" s="0" t="n">
        <v>0.00236744</v>
      </c>
      <c r="BO63" s="0" t="n">
        <v>0.01537284</v>
      </c>
      <c r="BP63" s="0" t="n">
        <v>0.02121124</v>
      </c>
      <c r="BQ63" s="0" t="n">
        <v>0.00347172</v>
      </c>
      <c r="BR63" s="0" t="n">
        <v>0.03534266</v>
      </c>
      <c r="BS63" s="0" t="n">
        <v>-0.00374596</v>
      </c>
      <c r="BT63" s="0" t="n">
        <v>0.02321434</v>
      </c>
      <c r="BU63" s="0" t="n">
        <v>0.00773546</v>
      </c>
      <c r="BV63" s="0" t="n">
        <v>0.02161659</v>
      </c>
      <c r="BW63" s="0" t="n">
        <v>0.0402552</v>
      </c>
      <c r="BX63" s="0" t="n">
        <v>0.03529837</v>
      </c>
      <c r="BY63" s="0" t="n">
        <v>0.03092495</v>
      </c>
      <c r="BZ63" s="0" t="n">
        <v>0.02135115</v>
      </c>
      <c r="CA63" s="0" t="n">
        <v>0.0035817</v>
      </c>
      <c r="CB63" s="0" t="n">
        <v>-0.00344083</v>
      </c>
      <c r="CC63" s="0" t="n">
        <v>0.01877776</v>
      </c>
      <c r="CD63" s="0" t="n">
        <v>0.02910211</v>
      </c>
      <c r="CE63" s="0" t="n">
        <v>0.00953965</v>
      </c>
      <c r="CF63" s="0" t="n">
        <v>-0.00392787</v>
      </c>
      <c r="CG63" s="0" t="n">
        <v>0.03903531</v>
      </c>
      <c r="CH63" s="0" t="n">
        <v>0.01367403</v>
      </c>
      <c r="CI63" s="0" t="n">
        <v>-0.0008918</v>
      </c>
      <c r="CJ63" s="0" t="n">
        <v>0.01587731</v>
      </c>
      <c r="CK63" s="0" t="n">
        <v>0.03222242</v>
      </c>
      <c r="CL63" s="0" t="n">
        <v>0.02512112</v>
      </c>
      <c r="CM63" s="0" t="n">
        <v>0.01790835</v>
      </c>
      <c r="CN63" s="0" t="n">
        <v>0.00198908</v>
      </c>
      <c r="CO63" s="0" t="n">
        <v>0.01164067</v>
      </c>
      <c r="CP63" s="0" t="n">
        <v>0.02666048</v>
      </c>
      <c r="CQ63" s="0" t="n">
        <v>0.04157156</v>
      </c>
      <c r="CR63" s="0" t="n">
        <v>0.01904771</v>
      </c>
      <c r="CS63" s="0" t="n">
        <v>0.01328053</v>
      </c>
      <c r="CT63" s="0" t="n">
        <v>0.02993235</v>
      </c>
      <c r="CU63" s="0" t="n">
        <v>0.01094314</v>
      </c>
      <c r="CV63" s="0" t="n">
        <v>0.02336598</v>
      </c>
      <c r="CW63" s="0" t="n">
        <v>0.04917324</v>
      </c>
      <c r="CX63" s="0" t="n">
        <v>0.03395382</v>
      </c>
      <c r="CY63" s="0" t="n">
        <v>0.03324559</v>
      </c>
      <c r="CZ63" s="0" t="n">
        <v>0.02256969</v>
      </c>
      <c r="DA63" s="0" t="n">
        <v>0.04864176</v>
      </c>
      <c r="DB63" s="0" t="n">
        <v>0.00775468</v>
      </c>
      <c r="DC63" s="0" t="n">
        <v>0.02030297</v>
      </c>
      <c r="DD63" s="0" t="n">
        <v>0.05550215</v>
      </c>
      <c r="DE63" s="0" t="n">
        <v>0.04138292</v>
      </c>
      <c r="DF63" s="0" t="n">
        <v>0.03359601</v>
      </c>
      <c r="DG63" s="0" t="n">
        <v>0.02976742</v>
      </c>
      <c r="DH63" s="0" t="n">
        <v>0.01291972</v>
      </c>
      <c r="DI63" s="0" t="n">
        <v>0.03445564</v>
      </c>
      <c r="DJ63" s="0" t="n">
        <v>0.0459606</v>
      </c>
      <c r="DK63" s="0" t="n">
        <v>0.04777054</v>
      </c>
      <c r="DL63" s="0" t="n">
        <v>0.01040088</v>
      </c>
      <c r="DM63" s="0" t="n">
        <v>0.04769165</v>
      </c>
      <c r="DN63" s="0" t="n">
        <v>0.04323817</v>
      </c>
      <c r="DO63" s="0" t="n">
        <v>0.02313707</v>
      </c>
      <c r="DP63" s="0" t="n">
        <v>0.0483405</v>
      </c>
      <c r="DQ63" s="0" t="n">
        <v>0.01318707</v>
      </c>
      <c r="DR63" s="0" t="n">
        <v>0.02708751</v>
      </c>
      <c r="DS63" s="0" t="n">
        <v>0.03417914</v>
      </c>
      <c r="DT63" s="0" t="n">
        <v>0.02409734</v>
      </c>
      <c r="DU63" s="0" t="n">
        <v>0.05003954</v>
      </c>
      <c r="DV63" s="0" t="n">
        <v>0.03696494</v>
      </c>
      <c r="DW63" s="0" t="n">
        <v>0.0599359</v>
      </c>
      <c r="DX63" s="0" t="n">
        <v>0.01818624</v>
      </c>
      <c r="DY63" s="0" t="n">
        <v>0.06879081</v>
      </c>
      <c r="DZ63" s="0" t="n">
        <v>0.04572871</v>
      </c>
      <c r="EA63" s="0" t="n">
        <v>0.04541787</v>
      </c>
      <c r="EB63" s="0" t="n">
        <v>0.07761995</v>
      </c>
      <c r="EC63" s="0" t="n">
        <v>-0.00821228</v>
      </c>
      <c r="ED63" s="0" t="n">
        <v>0.03607581</v>
      </c>
      <c r="EE63" s="0" t="n">
        <v>0.01860227</v>
      </c>
      <c r="EF63" s="0" t="n">
        <v>0.04063714</v>
      </c>
      <c r="EG63" s="0" t="n">
        <v>0.01564292</v>
      </c>
      <c r="EH63" s="0" t="n">
        <v>0.04756434</v>
      </c>
      <c r="EI63" s="0" t="n">
        <v>0.01237728</v>
      </c>
      <c r="EJ63" s="0" t="n">
        <v>0.05704836</v>
      </c>
      <c r="EK63" s="0" t="n">
        <v>0.05169426</v>
      </c>
      <c r="EL63" s="0" t="n">
        <v>0.04723386</v>
      </c>
      <c r="EM63" s="0" t="n">
        <v>0.05107749</v>
      </c>
      <c r="EN63" s="0" t="n">
        <v>0.09490939</v>
      </c>
      <c r="EO63" s="0" t="n">
        <v>0.08478683</v>
      </c>
      <c r="EP63" s="55" t="n">
        <f aca="false">SUMPRODUCT(B63:EO63,$B$5:$EO$5)</f>
        <v>0.010638598</v>
      </c>
      <c r="EQ63" s="55" t="n">
        <f aca="false">SUMIF('Mi portafolio'!$A$8:$A$19,$A63,'Mi portafolio'!$B$8:$B$19)</f>
        <v>0</v>
      </c>
    </row>
    <row r="64" customFormat="false" ht="15" hidden="false" customHeight="false" outlineLevel="0" collapsed="false">
      <c r="A64" s="54" t="s">
        <v>208</v>
      </c>
      <c r="B64" s="0" t="n">
        <v>0.00228696</v>
      </c>
      <c r="C64" s="0" t="n">
        <v>0.0029318</v>
      </c>
      <c r="D64" s="0" t="n">
        <v>0.00654886</v>
      </c>
      <c r="E64" s="0" t="n">
        <v>0.01328334</v>
      </c>
      <c r="F64" s="0" t="n">
        <v>-0.0005096</v>
      </c>
      <c r="G64" s="0" t="n">
        <v>0.00213929</v>
      </c>
      <c r="H64" s="0" t="n">
        <v>0.01923574</v>
      </c>
      <c r="I64" s="0" t="n">
        <v>0.00195159</v>
      </c>
      <c r="J64" s="0" t="n">
        <v>-0.00237982</v>
      </c>
      <c r="K64" s="0" t="n">
        <v>0.00180077</v>
      </c>
      <c r="L64" s="0" t="n">
        <v>0.01654455</v>
      </c>
      <c r="M64" s="0" t="n">
        <v>0.01095756</v>
      </c>
      <c r="N64" s="0" t="n">
        <v>0.01034856</v>
      </c>
      <c r="O64" s="0" t="n">
        <v>0.01252028</v>
      </c>
      <c r="P64" s="0" t="n">
        <v>-0.00213274</v>
      </c>
      <c r="Q64" s="0" t="n">
        <v>-0.00347937</v>
      </c>
      <c r="R64" s="0" t="n">
        <v>0.00499682</v>
      </c>
      <c r="S64" s="0" t="n">
        <v>0.01633115</v>
      </c>
      <c r="T64" s="0" t="n">
        <v>0.00671349</v>
      </c>
      <c r="U64" s="0" t="n">
        <v>0.02470268</v>
      </c>
      <c r="V64" s="0" t="n">
        <v>0.01687111</v>
      </c>
      <c r="W64" s="0" t="n">
        <v>0.01207019</v>
      </c>
      <c r="X64" s="0" t="n">
        <v>0.0104654</v>
      </c>
      <c r="Y64" s="0" t="n">
        <v>0.00201256</v>
      </c>
      <c r="Z64" s="0" t="n">
        <v>0.02442536</v>
      </c>
      <c r="AA64" s="0" t="n">
        <v>0.00507078</v>
      </c>
      <c r="AB64" s="0" t="n">
        <v>0.00023766</v>
      </c>
      <c r="AC64" s="0" t="n">
        <v>0.01953602</v>
      </c>
      <c r="AD64" s="0" t="n">
        <v>0.01510972</v>
      </c>
      <c r="AE64" s="0" t="n">
        <v>0.01902526</v>
      </c>
      <c r="AF64" s="0" t="n">
        <v>0.01863631</v>
      </c>
      <c r="AG64" s="0" t="n">
        <v>-0.00228831</v>
      </c>
      <c r="AH64" s="0" t="n">
        <v>0.00066395</v>
      </c>
      <c r="AI64" s="0" t="n">
        <v>-0.01108973</v>
      </c>
      <c r="AJ64" s="0" t="n">
        <v>0.01262042</v>
      </c>
      <c r="AK64" s="0" t="n">
        <v>0.02445553</v>
      </c>
      <c r="AL64" s="0" t="n">
        <v>0.00438998</v>
      </c>
      <c r="AM64" s="0" t="n">
        <v>0.01387545</v>
      </c>
      <c r="AN64" s="0" t="n">
        <v>0.0165664</v>
      </c>
      <c r="AO64" s="0" t="n">
        <v>-0.00133138</v>
      </c>
      <c r="AP64" s="0" t="n">
        <v>0.01025113</v>
      </c>
      <c r="AQ64" s="0" t="n">
        <v>-0.01293243</v>
      </c>
      <c r="AR64" s="0" t="n">
        <v>0.0074974</v>
      </c>
      <c r="AS64" s="0" t="n">
        <v>0.02896854</v>
      </c>
      <c r="AT64" s="0" t="n">
        <v>0.01096726</v>
      </c>
      <c r="AU64" s="0" t="n">
        <v>-0.00157183</v>
      </c>
      <c r="AV64" s="0" t="n">
        <v>0.02792606</v>
      </c>
      <c r="AW64" s="0" t="n">
        <v>0.03166322</v>
      </c>
      <c r="AX64" s="0" t="n">
        <v>0.00944816</v>
      </c>
      <c r="AY64" s="0" t="n">
        <v>0.00653704</v>
      </c>
      <c r="AZ64" s="0" t="n">
        <v>0.0179943</v>
      </c>
      <c r="BA64" s="0" t="n">
        <v>0.00849655</v>
      </c>
      <c r="BB64" s="0" t="n">
        <v>0.01261487</v>
      </c>
      <c r="BC64" s="0" t="n">
        <v>0.01907429</v>
      </c>
      <c r="BD64" s="0" t="n">
        <v>0.03180725</v>
      </c>
      <c r="BE64" s="0" t="n">
        <v>0.00768808</v>
      </c>
      <c r="BF64" s="0" t="n">
        <v>0.02395209</v>
      </c>
      <c r="BG64" s="0" t="n">
        <v>0.01030621</v>
      </c>
      <c r="BH64" s="0" t="n">
        <v>0.09515234</v>
      </c>
      <c r="BI64" s="0" t="n">
        <v>0.01517108</v>
      </c>
      <c r="BJ64" s="0" t="n">
        <v>-0.00657149</v>
      </c>
      <c r="BK64" s="0" t="n">
        <v>0.01537546</v>
      </c>
      <c r="BL64" s="0" t="n">
        <v>0.01127515</v>
      </c>
      <c r="BM64" s="0" t="n">
        <v>0.0121555</v>
      </c>
      <c r="BN64" s="0" t="n">
        <v>0.0010563</v>
      </c>
      <c r="BO64" s="0" t="n">
        <v>0.02184921</v>
      </c>
      <c r="BP64" s="0" t="n">
        <v>0.0155758</v>
      </c>
      <c r="BQ64" s="0" t="n">
        <v>0.02310623</v>
      </c>
      <c r="BR64" s="0" t="n">
        <v>0.00806932</v>
      </c>
      <c r="BS64" s="0" t="n">
        <v>-0.01686736</v>
      </c>
      <c r="BT64" s="0" t="n">
        <v>0.02327989</v>
      </c>
      <c r="BU64" s="0" t="n">
        <v>0.02960784</v>
      </c>
      <c r="BV64" s="0" t="n">
        <v>0.01491568</v>
      </c>
      <c r="BW64" s="0" t="n">
        <v>0.01781755</v>
      </c>
      <c r="BX64" s="0" t="n">
        <v>0.00210679</v>
      </c>
      <c r="BY64" s="0" t="n">
        <v>0.01166067</v>
      </c>
      <c r="BZ64" s="0" t="n">
        <v>0.01731675</v>
      </c>
      <c r="CA64" s="0" t="n">
        <v>0.02499962</v>
      </c>
      <c r="CB64" s="0" t="n">
        <v>0.00028977</v>
      </c>
      <c r="CC64" s="0" t="n">
        <v>0.0066279</v>
      </c>
      <c r="CD64" s="0" t="n">
        <v>0.01216537</v>
      </c>
      <c r="CE64" s="0" t="n">
        <v>0.01177674</v>
      </c>
      <c r="CF64" s="0" t="n">
        <v>-0.0195366</v>
      </c>
      <c r="CG64" s="0" t="n">
        <v>0.01776196</v>
      </c>
      <c r="CH64" s="0" t="n">
        <v>0.03185164</v>
      </c>
      <c r="CI64" s="0" t="n">
        <v>-0.0178306</v>
      </c>
      <c r="CJ64" s="0" t="n">
        <v>0.01848757</v>
      </c>
      <c r="CK64" s="0" t="n">
        <v>0.01154255</v>
      </c>
      <c r="CL64" s="0" t="n">
        <v>0.01302937</v>
      </c>
      <c r="CM64" s="0" t="n">
        <v>0.01572342</v>
      </c>
      <c r="CN64" s="0" t="n">
        <v>0.01809725</v>
      </c>
      <c r="CO64" s="0" t="n">
        <v>0.02118376</v>
      </c>
      <c r="CP64" s="0" t="n">
        <v>0.01345937</v>
      </c>
      <c r="CQ64" s="0" t="n">
        <v>0.01755616</v>
      </c>
      <c r="CR64" s="0" t="n">
        <v>0.01798434</v>
      </c>
      <c r="CS64" s="0" t="n">
        <v>0.01576772</v>
      </c>
      <c r="CT64" s="0" t="n">
        <v>0.02293025</v>
      </c>
      <c r="CU64" s="0" t="n">
        <v>0.02740538</v>
      </c>
      <c r="CV64" s="0" t="n">
        <v>0.02287379</v>
      </c>
      <c r="CW64" s="0" t="n">
        <v>0.01920177</v>
      </c>
      <c r="CX64" s="0" t="n">
        <v>0.01326734</v>
      </c>
      <c r="CY64" s="0" t="n">
        <v>0.01341754</v>
      </c>
      <c r="CZ64" s="0" t="n">
        <v>0.00476707</v>
      </c>
      <c r="DA64" s="0" t="n">
        <v>0.01725947</v>
      </c>
      <c r="DB64" s="0" t="n">
        <v>0.03963676</v>
      </c>
      <c r="DC64" s="0" t="n">
        <v>0.03077421</v>
      </c>
      <c r="DD64" s="0" t="n">
        <v>0.02828639</v>
      </c>
      <c r="DE64" s="0" t="n">
        <v>0.03147495</v>
      </c>
      <c r="DF64" s="0" t="n">
        <v>0.01309249</v>
      </c>
      <c r="DG64" s="0" t="n">
        <v>0.02714143</v>
      </c>
      <c r="DH64" s="0" t="n">
        <v>0.03068312</v>
      </c>
      <c r="DI64" s="0" t="n">
        <v>0.02320437</v>
      </c>
      <c r="DJ64" s="0" t="n">
        <v>0.01269535</v>
      </c>
      <c r="DK64" s="0" t="n">
        <v>0.02885279</v>
      </c>
      <c r="DL64" s="0" t="n">
        <v>0.03457385</v>
      </c>
      <c r="DM64" s="0" t="n">
        <v>0.01920428</v>
      </c>
      <c r="DN64" s="0" t="n">
        <v>0.01348177</v>
      </c>
      <c r="DO64" s="0" t="n">
        <v>0.01368864</v>
      </c>
      <c r="DP64" s="0" t="n">
        <v>0.02373155</v>
      </c>
      <c r="DQ64" s="0" t="n">
        <v>0.00283278</v>
      </c>
      <c r="DR64" s="0" t="n">
        <v>0.02936408</v>
      </c>
      <c r="DS64" s="0" t="n">
        <v>0.00188497</v>
      </c>
      <c r="DT64" s="0" t="n">
        <v>0.02707638</v>
      </c>
      <c r="DU64" s="0" t="n">
        <v>0.03504999</v>
      </c>
      <c r="DV64" s="0" t="n">
        <v>0.0309518</v>
      </c>
      <c r="DW64" s="0" t="n">
        <v>0.04371281</v>
      </c>
      <c r="DX64" s="0" t="n">
        <v>0.01334467</v>
      </c>
      <c r="DY64" s="0" t="n">
        <v>0.02477954</v>
      </c>
      <c r="DZ64" s="0" t="n">
        <v>0.02237884</v>
      </c>
      <c r="EA64" s="0" t="n">
        <v>0.02521527</v>
      </c>
      <c r="EB64" s="0" t="n">
        <v>0.02748712</v>
      </c>
      <c r="EC64" s="0" t="n">
        <v>0.00648074</v>
      </c>
      <c r="ED64" s="0" t="n">
        <v>0.04408513</v>
      </c>
      <c r="EE64" s="0" t="n">
        <v>0.03017514</v>
      </c>
      <c r="EF64" s="0" t="n">
        <v>0.01686715</v>
      </c>
      <c r="EG64" s="0" t="n">
        <v>0.01865756</v>
      </c>
      <c r="EH64" s="0" t="n">
        <v>0.00548894</v>
      </c>
      <c r="EI64" s="0" t="n">
        <v>0.01710818</v>
      </c>
      <c r="EJ64" s="0" t="n">
        <v>0.03720891</v>
      </c>
      <c r="EK64" s="0" t="n">
        <v>0.04581837</v>
      </c>
      <c r="EL64" s="0" t="n">
        <v>0.04325857</v>
      </c>
      <c r="EM64" s="0" t="n">
        <v>0.0368194</v>
      </c>
      <c r="EN64" s="0" t="n">
        <v>0.02312319</v>
      </c>
      <c r="EO64" s="0" t="n">
        <v>0.03351025</v>
      </c>
      <c r="EP64" s="55" t="n">
        <f aca="false">SUMPRODUCT(B64:EO64,$B$5:$EO$5)</f>
        <v>0.029425392</v>
      </c>
      <c r="EQ64" s="55" t="n">
        <f aca="false">SUMIF('Mi portafolio'!$A$8:$A$19,$A64,'Mi portafolio'!$B$8:$B$19)</f>
        <v>0</v>
      </c>
    </row>
    <row r="65" customFormat="false" ht="15" hidden="false" customHeight="false" outlineLevel="0" collapsed="false">
      <c r="A65" s="54" t="s">
        <v>209</v>
      </c>
      <c r="B65" s="0" t="n">
        <v>0.00489387</v>
      </c>
      <c r="C65" s="0" t="n">
        <v>-0.000783</v>
      </c>
      <c r="D65" s="0" t="n">
        <v>0.00687869</v>
      </c>
      <c r="E65" s="0" t="n">
        <v>0.01238584</v>
      </c>
      <c r="F65" s="0" t="n">
        <v>-0.00474962</v>
      </c>
      <c r="G65" s="0" t="n">
        <v>0.00609027</v>
      </c>
      <c r="H65" s="0" t="n">
        <v>0.00911047</v>
      </c>
      <c r="I65" s="0" t="n">
        <v>0.00194568</v>
      </c>
      <c r="J65" s="0" t="n">
        <v>-0.00085692</v>
      </c>
      <c r="K65" s="0" t="n">
        <v>0.00261884</v>
      </c>
      <c r="L65" s="0" t="n">
        <v>0.01144558</v>
      </c>
      <c r="M65" s="0" t="n">
        <v>0.00899272</v>
      </c>
      <c r="N65" s="0" t="n">
        <v>0.00384183</v>
      </c>
      <c r="O65" s="0" t="n">
        <v>0.01680454</v>
      </c>
      <c r="P65" s="0" t="n">
        <v>-0.0016513</v>
      </c>
      <c r="Q65" s="0" t="n">
        <v>0.00450004</v>
      </c>
      <c r="R65" s="0" t="n">
        <v>0.00435429</v>
      </c>
      <c r="S65" s="0" t="n">
        <v>0.01230048</v>
      </c>
      <c r="T65" s="0" t="n">
        <v>0.00944192</v>
      </c>
      <c r="U65" s="0" t="n">
        <v>0.00978726</v>
      </c>
      <c r="V65" s="0" t="n">
        <v>0.01583592</v>
      </c>
      <c r="W65" s="0" t="n">
        <v>0.00430416</v>
      </c>
      <c r="X65" s="0" t="n">
        <v>0.00899163</v>
      </c>
      <c r="Y65" s="0" t="n">
        <v>0.00260872</v>
      </c>
      <c r="Z65" s="0" t="n">
        <v>0.00953632</v>
      </c>
      <c r="AA65" s="0" t="n">
        <v>0.00162514</v>
      </c>
      <c r="AB65" s="0" t="n">
        <v>0.00602135</v>
      </c>
      <c r="AC65" s="0" t="n">
        <v>0.01394246</v>
      </c>
      <c r="AD65" s="0" t="n">
        <v>0.00176343</v>
      </c>
      <c r="AE65" s="0" t="n">
        <v>0.01047322</v>
      </c>
      <c r="AF65" s="0" t="n">
        <v>0.01621241</v>
      </c>
      <c r="AG65" s="0" t="n">
        <v>-0.00494952</v>
      </c>
      <c r="AH65" s="0" t="n">
        <v>-0.00349073</v>
      </c>
      <c r="AI65" s="0" t="n">
        <v>3.541E-005</v>
      </c>
      <c r="AJ65" s="0" t="n">
        <v>0.0025048</v>
      </c>
      <c r="AK65" s="0" t="n">
        <v>0.00337466</v>
      </c>
      <c r="AL65" s="0" t="n">
        <v>0.00167501</v>
      </c>
      <c r="AM65" s="0" t="n">
        <v>0.00890396</v>
      </c>
      <c r="AN65" s="0" t="n">
        <v>0.00850728</v>
      </c>
      <c r="AO65" s="0" t="n">
        <v>-0.00449903</v>
      </c>
      <c r="AP65" s="0" t="n">
        <v>0.00945492</v>
      </c>
      <c r="AQ65" s="0" t="n">
        <v>-0.0031286</v>
      </c>
      <c r="AR65" s="0" t="n">
        <v>0.00841141</v>
      </c>
      <c r="AS65" s="0" t="n">
        <v>0.00357615</v>
      </c>
      <c r="AT65" s="0" t="n">
        <v>0.01136163</v>
      </c>
      <c r="AU65" s="0" t="n">
        <v>-0.0030502</v>
      </c>
      <c r="AV65" s="0" t="n">
        <v>0.01837847</v>
      </c>
      <c r="AW65" s="0" t="n">
        <v>0.01040609</v>
      </c>
      <c r="AX65" s="0" t="n">
        <v>0.00485766</v>
      </c>
      <c r="AY65" s="0" t="n">
        <v>0.00120488</v>
      </c>
      <c r="AZ65" s="0" t="n">
        <v>0.01615724</v>
      </c>
      <c r="BA65" s="0" t="n">
        <v>0.00797267</v>
      </c>
      <c r="BB65" s="0" t="n">
        <v>0.01018981</v>
      </c>
      <c r="BC65" s="0" t="n">
        <v>0.00733449</v>
      </c>
      <c r="BD65" s="0" t="n">
        <v>0.00310723</v>
      </c>
      <c r="BE65" s="0" t="n">
        <v>0.00832219</v>
      </c>
      <c r="BF65" s="0" t="n">
        <v>0.01575438</v>
      </c>
      <c r="BG65" s="0" t="n">
        <v>0.01707775</v>
      </c>
      <c r="BH65" s="0" t="n">
        <v>0.01517108</v>
      </c>
      <c r="BI65" s="0" t="n">
        <v>0.09255653</v>
      </c>
      <c r="BJ65" s="0" t="n">
        <v>0.00700353</v>
      </c>
      <c r="BK65" s="0" t="n">
        <v>0.01537455</v>
      </c>
      <c r="BL65" s="0" t="n">
        <v>0.0130058</v>
      </c>
      <c r="BM65" s="0" t="n">
        <v>0.0091112</v>
      </c>
      <c r="BN65" s="0" t="n">
        <v>0.0021099</v>
      </c>
      <c r="BO65" s="0" t="n">
        <v>0.01291699</v>
      </c>
      <c r="BP65" s="0" t="n">
        <v>0.00602854</v>
      </c>
      <c r="BQ65" s="0" t="n">
        <v>0.01373561</v>
      </c>
      <c r="BR65" s="0" t="n">
        <v>0.01873494</v>
      </c>
      <c r="BS65" s="0" t="n">
        <v>-0.00406139</v>
      </c>
      <c r="BT65" s="0" t="n">
        <v>0.01224797</v>
      </c>
      <c r="BU65" s="0" t="n">
        <v>0.00867976</v>
      </c>
      <c r="BV65" s="0" t="n">
        <v>0.0191565</v>
      </c>
      <c r="BW65" s="0" t="n">
        <v>0.0238225</v>
      </c>
      <c r="BX65" s="0" t="n">
        <v>0.00291293</v>
      </c>
      <c r="BY65" s="0" t="n">
        <v>-4.233E-005</v>
      </c>
      <c r="BZ65" s="0" t="n">
        <v>0.01283089</v>
      </c>
      <c r="CA65" s="0" t="n">
        <v>0.01855528</v>
      </c>
      <c r="CB65" s="0" t="n">
        <v>-0.00261355</v>
      </c>
      <c r="CC65" s="0" t="n">
        <v>0.00838234</v>
      </c>
      <c r="CD65" s="0" t="n">
        <v>0.00784579</v>
      </c>
      <c r="CE65" s="0" t="n">
        <v>0.00208874</v>
      </c>
      <c r="CF65" s="0" t="n">
        <v>0.00133594</v>
      </c>
      <c r="CG65" s="0" t="n">
        <v>0.01010208</v>
      </c>
      <c r="CH65" s="0" t="n">
        <v>0.01735797</v>
      </c>
      <c r="CI65" s="0" t="n">
        <v>0.00034712</v>
      </c>
      <c r="CJ65" s="0" t="n">
        <v>-0.00387358</v>
      </c>
      <c r="CK65" s="0" t="n">
        <v>0.00842512</v>
      </c>
      <c r="CL65" s="0" t="n">
        <v>0.00273287</v>
      </c>
      <c r="CM65" s="0" t="n">
        <v>-0.00604338</v>
      </c>
      <c r="CN65" s="0" t="n">
        <v>-0.00289744</v>
      </c>
      <c r="CO65" s="0" t="n">
        <v>0.01445364</v>
      </c>
      <c r="CP65" s="0" t="n">
        <v>0.01743465</v>
      </c>
      <c r="CQ65" s="0" t="n">
        <v>0.01704095</v>
      </c>
      <c r="CR65" s="0" t="n">
        <v>0.00450778</v>
      </c>
      <c r="CS65" s="0" t="n">
        <v>-0.00119232</v>
      </c>
      <c r="CT65" s="0" t="n">
        <v>0.01530046</v>
      </c>
      <c r="CU65" s="0" t="n">
        <v>0.01197777</v>
      </c>
      <c r="CV65" s="0" t="n">
        <v>0.02083694</v>
      </c>
      <c r="CW65" s="0" t="n">
        <v>0.00974172</v>
      </c>
      <c r="CX65" s="0" t="n">
        <v>0.0084161</v>
      </c>
      <c r="CY65" s="0" t="n">
        <v>0.00222889</v>
      </c>
      <c r="CZ65" s="0" t="n">
        <v>0.0111476</v>
      </c>
      <c r="DA65" s="0" t="n">
        <v>-0.00053451</v>
      </c>
      <c r="DB65" s="0" t="n">
        <v>0.02120458</v>
      </c>
      <c r="DC65" s="0" t="n">
        <v>0.02319149</v>
      </c>
      <c r="DD65" s="0" t="n">
        <v>0.02389756</v>
      </c>
      <c r="DE65" s="0" t="n">
        <v>0.01158482</v>
      </c>
      <c r="DF65" s="0" t="n">
        <v>0.00752264</v>
      </c>
      <c r="DG65" s="0" t="n">
        <v>0.01845073</v>
      </c>
      <c r="DH65" s="0" t="n">
        <v>0.00353421</v>
      </c>
      <c r="DI65" s="0" t="n">
        <v>0.03171804</v>
      </c>
      <c r="DJ65" s="0" t="n">
        <v>0.01425886</v>
      </c>
      <c r="DK65" s="0" t="n">
        <v>0.02601058</v>
      </c>
      <c r="DL65" s="0" t="n">
        <v>0.01452253</v>
      </c>
      <c r="DM65" s="0" t="n">
        <v>0.0145714</v>
      </c>
      <c r="DN65" s="0" t="n">
        <v>0.03070364</v>
      </c>
      <c r="DO65" s="0" t="n">
        <v>0.02156403</v>
      </c>
      <c r="DP65" s="0" t="n">
        <v>0.01628933</v>
      </c>
      <c r="DQ65" s="0" t="n">
        <v>0.0242287</v>
      </c>
      <c r="DR65" s="0" t="n">
        <v>0.02609517</v>
      </c>
      <c r="DS65" s="0" t="n">
        <v>0.01384229</v>
      </c>
      <c r="DT65" s="0" t="n">
        <v>0.01876103</v>
      </c>
      <c r="DU65" s="0" t="n">
        <v>0.01814732</v>
      </c>
      <c r="DV65" s="0" t="n">
        <v>0.02558231</v>
      </c>
      <c r="DW65" s="0" t="n">
        <v>0.01409226</v>
      </c>
      <c r="DX65" s="0" t="n">
        <v>0.00848488</v>
      </c>
      <c r="DY65" s="0" t="n">
        <v>0.03739033</v>
      </c>
      <c r="DZ65" s="0" t="n">
        <v>0.01637281</v>
      </c>
      <c r="EA65" s="0" t="n">
        <v>-0.00435793</v>
      </c>
      <c r="EB65" s="0" t="n">
        <v>0.0293733</v>
      </c>
      <c r="EC65" s="0" t="n">
        <v>0.00697673</v>
      </c>
      <c r="ED65" s="0" t="n">
        <v>0.02741935</v>
      </c>
      <c r="EE65" s="0" t="n">
        <v>0.00146933</v>
      </c>
      <c r="EF65" s="0" t="n">
        <v>0.01339864</v>
      </c>
      <c r="EG65" s="0" t="n">
        <v>0.01498969</v>
      </c>
      <c r="EH65" s="0" t="n">
        <v>-0.01578948</v>
      </c>
      <c r="EI65" s="0" t="n">
        <v>0.00346922</v>
      </c>
      <c r="EJ65" s="0" t="n">
        <v>0.02859011</v>
      </c>
      <c r="EK65" s="0" t="n">
        <v>0.00583308</v>
      </c>
      <c r="EL65" s="0" t="n">
        <v>0.02680823</v>
      </c>
      <c r="EM65" s="0" t="n">
        <v>0.02719175</v>
      </c>
      <c r="EN65" s="0" t="n">
        <v>0.01020999</v>
      </c>
      <c r="EO65" s="0" t="n">
        <v>-0.03388411</v>
      </c>
      <c r="EP65" s="55" t="n">
        <f aca="false">SUMPRODUCT(B65:EO65,$B$5:$EO$5)</f>
        <v>0.013749872</v>
      </c>
      <c r="EQ65" s="55" t="n">
        <f aca="false">SUMIF('Mi portafolio'!$A$8:$A$19,$A65,'Mi portafolio'!$B$8:$B$19)</f>
        <v>0</v>
      </c>
    </row>
    <row r="66" customFormat="false" ht="15" hidden="false" customHeight="false" outlineLevel="0" collapsed="false">
      <c r="A66" s="54" t="s">
        <v>210</v>
      </c>
      <c r="B66" s="0" t="n">
        <v>-0.00133134</v>
      </c>
      <c r="C66" s="0" t="n">
        <v>0.0014544</v>
      </c>
      <c r="D66" s="0" t="n">
        <v>0.00413724</v>
      </c>
      <c r="E66" s="0" t="n">
        <v>0.00390189</v>
      </c>
      <c r="F66" s="0" t="n">
        <v>-0.00560393</v>
      </c>
      <c r="G66" s="0" t="n">
        <v>0.00415905</v>
      </c>
      <c r="H66" s="0" t="n">
        <v>-0.00530151</v>
      </c>
      <c r="I66" s="0" t="n">
        <v>0.00078433</v>
      </c>
      <c r="J66" s="0" t="n">
        <v>-0.00192021</v>
      </c>
      <c r="K66" s="0" t="n">
        <v>-0.00318908</v>
      </c>
      <c r="L66" s="0" t="n">
        <v>0.00125893</v>
      </c>
      <c r="M66" s="0" t="n">
        <v>-0.00742092</v>
      </c>
      <c r="N66" s="0" t="n">
        <v>-0.00134799</v>
      </c>
      <c r="O66" s="0" t="n">
        <v>0.00072849</v>
      </c>
      <c r="P66" s="0" t="n">
        <v>-0.00390606</v>
      </c>
      <c r="Q66" s="0" t="n">
        <v>-0.0004308</v>
      </c>
      <c r="R66" s="0" t="n">
        <v>-0.0068599</v>
      </c>
      <c r="S66" s="0" t="n">
        <v>0.0067399</v>
      </c>
      <c r="T66" s="0" t="n">
        <v>0.0025277</v>
      </c>
      <c r="U66" s="0" t="n">
        <v>0.00564222</v>
      </c>
      <c r="V66" s="0" t="n">
        <v>0.00028096</v>
      </c>
      <c r="W66" s="0" t="n">
        <v>0.00039874</v>
      </c>
      <c r="X66" s="0" t="n">
        <v>0.00053661</v>
      </c>
      <c r="Y66" s="0" t="n">
        <v>0.00207234</v>
      </c>
      <c r="Z66" s="0" t="n">
        <v>-0.00696595</v>
      </c>
      <c r="AA66" s="0" t="n">
        <v>-0.00063454</v>
      </c>
      <c r="AB66" s="0" t="n">
        <v>0.00150011</v>
      </c>
      <c r="AC66" s="0" t="n">
        <v>0.00337635</v>
      </c>
      <c r="AD66" s="0" t="n">
        <v>0.00288433</v>
      </c>
      <c r="AE66" s="0" t="n">
        <v>0.00647157</v>
      </c>
      <c r="AF66" s="0" t="n">
        <v>0.01130475</v>
      </c>
      <c r="AG66" s="0" t="n">
        <v>-0.00154078</v>
      </c>
      <c r="AH66" s="0" t="n">
        <v>-0.00817809</v>
      </c>
      <c r="AI66" s="0" t="n">
        <v>-0.00207751</v>
      </c>
      <c r="AJ66" s="0" t="n">
        <v>0.01297101</v>
      </c>
      <c r="AK66" s="0" t="n">
        <v>0.00633237</v>
      </c>
      <c r="AL66" s="0" t="n">
        <v>-0.0071944</v>
      </c>
      <c r="AM66" s="0" t="n">
        <v>0.00308953</v>
      </c>
      <c r="AN66" s="0" t="n">
        <v>-0.00470876</v>
      </c>
      <c r="AO66" s="0" t="n">
        <v>-0.0055833</v>
      </c>
      <c r="AP66" s="0" t="n">
        <v>-0.00066286</v>
      </c>
      <c r="AQ66" s="0" t="n">
        <v>-0.00200086</v>
      </c>
      <c r="AR66" s="0" t="n">
        <v>0.00746325</v>
      </c>
      <c r="AS66" s="0" t="n">
        <v>0.00719555</v>
      </c>
      <c r="AT66" s="0" t="n">
        <v>-0.00468387</v>
      </c>
      <c r="AU66" s="0" t="n">
        <v>-0.00606292</v>
      </c>
      <c r="AV66" s="0" t="n">
        <v>0.01062319</v>
      </c>
      <c r="AW66" s="0" t="n">
        <v>0.00684096</v>
      </c>
      <c r="AX66" s="0" t="n">
        <v>0.00696209</v>
      </c>
      <c r="AY66" s="0" t="n">
        <v>-0.00606082</v>
      </c>
      <c r="AZ66" s="0" t="n">
        <v>0.00965048</v>
      </c>
      <c r="BA66" s="0" t="n">
        <v>0.00298253</v>
      </c>
      <c r="BB66" s="0" t="n">
        <v>0.0012038</v>
      </c>
      <c r="BC66" s="0" t="n">
        <v>0.00652539</v>
      </c>
      <c r="BD66" s="0" t="n">
        <v>0.00790903</v>
      </c>
      <c r="BE66" s="0" t="n">
        <v>0.00151646</v>
      </c>
      <c r="BF66" s="0" t="n">
        <v>0.00132364</v>
      </c>
      <c r="BG66" s="0" t="n">
        <v>-0.00052351</v>
      </c>
      <c r="BH66" s="0" t="n">
        <v>-0.00657149</v>
      </c>
      <c r="BI66" s="0" t="n">
        <v>0.00700353</v>
      </c>
      <c r="BJ66" s="0" t="n">
        <v>0.09680701</v>
      </c>
      <c r="BK66" s="0" t="n">
        <v>0.01041636</v>
      </c>
      <c r="BL66" s="0" t="n">
        <v>0.0030229</v>
      </c>
      <c r="BM66" s="0" t="n">
        <v>-0.0107992</v>
      </c>
      <c r="BN66" s="0" t="n">
        <v>-0.00808065</v>
      </c>
      <c r="BO66" s="0" t="n">
        <v>-0.00064028</v>
      </c>
      <c r="BP66" s="0" t="n">
        <v>-0.00232795</v>
      </c>
      <c r="BQ66" s="0" t="n">
        <v>0.00237921</v>
      </c>
      <c r="BR66" s="0" t="n">
        <v>0.00617548</v>
      </c>
      <c r="BS66" s="0" t="n">
        <v>0.00805939</v>
      </c>
      <c r="BT66" s="0" t="n">
        <v>0.00496785</v>
      </c>
      <c r="BU66" s="0" t="n">
        <v>0.00158551</v>
      </c>
      <c r="BV66" s="0" t="n">
        <v>0.00423994</v>
      </c>
      <c r="BW66" s="0" t="n">
        <v>0.00119945</v>
      </c>
      <c r="BX66" s="0" t="n">
        <v>-0.00277724</v>
      </c>
      <c r="BY66" s="0" t="n">
        <v>-0.01407022</v>
      </c>
      <c r="BZ66" s="0" t="n">
        <v>-0.00664907</v>
      </c>
      <c r="CA66" s="0" t="n">
        <v>0.00896406</v>
      </c>
      <c r="CB66" s="0" t="n">
        <v>0.00293718</v>
      </c>
      <c r="CC66" s="0" t="n">
        <v>0.00093058</v>
      </c>
      <c r="CD66" s="0" t="n">
        <v>-0.00556168</v>
      </c>
      <c r="CE66" s="0" t="n">
        <v>-0.00613235</v>
      </c>
      <c r="CF66" s="0" t="n">
        <v>0.00431187</v>
      </c>
      <c r="CG66" s="0" t="n">
        <v>-0.00393371</v>
      </c>
      <c r="CH66" s="0" t="n">
        <v>0.01653442</v>
      </c>
      <c r="CI66" s="0" t="n">
        <v>0.00629589</v>
      </c>
      <c r="CJ66" s="0" t="n">
        <v>-0.0055502</v>
      </c>
      <c r="CK66" s="0" t="n">
        <v>-0.00564747</v>
      </c>
      <c r="CL66" s="0" t="n">
        <v>-0.01543875</v>
      </c>
      <c r="CM66" s="0" t="n">
        <v>-0.00812957</v>
      </c>
      <c r="CN66" s="0" t="n">
        <v>0.00354895</v>
      </c>
      <c r="CO66" s="0" t="n">
        <v>-0.00829642</v>
      </c>
      <c r="CP66" s="0" t="n">
        <v>-0.00650536</v>
      </c>
      <c r="CQ66" s="0" t="n">
        <v>-0.00244234</v>
      </c>
      <c r="CR66" s="0" t="n">
        <v>0.00414271</v>
      </c>
      <c r="CS66" s="0" t="n">
        <v>0.00825832</v>
      </c>
      <c r="CT66" s="0" t="n">
        <v>-0.00343897</v>
      </c>
      <c r="CU66" s="0" t="n">
        <v>-0.0025975</v>
      </c>
      <c r="CV66" s="0" t="n">
        <v>-0.00805563</v>
      </c>
      <c r="CW66" s="0" t="n">
        <v>0.00697446</v>
      </c>
      <c r="CX66" s="0" t="n">
        <v>0.0021532</v>
      </c>
      <c r="CY66" s="0" t="n">
        <v>-0.00493271</v>
      </c>
      <c r="CZ66" s="0" t="n">
        <v>-0.00288379</v>
      </c>
      <c r="DA66" s="0" t="n">
        <v>-0.01486116</v>
      </c>
      <c r="DB66" s="0" t="n">
        <v>0.00658118</v>
      </c>
      <c r="DC66" s="0" t="n">
        <v>0.01816144</v>
      </c>
      <c r="DD66" s="0" t="n">
        <v>-0.00035603</v>
      </c>
      <c r="DE66" s="0" t="n">
        <v>0.00247061</v>
      </c>
      <c r="DF66" s="0" t="n">
        <v>-0.00890978</v>
      </c>
      <c r="DG66" s="0" t="n">
        <v>0.02028364</v>
      </c>
      <c r="DH66" s="0" t="n">
        <v>0.00839909</v>
      </c>
      <c r="DI66" s="0" t="n">
        <v>-0.00863725</v>
      </c>
      <c r="DJ66" s="0" t="n">
        <v>-0.0106376</v>
      </c>
      <c r="DK66" s="0" t="n">
        <v>-0.0021852</v>
      </c>
      <c r="DL66" s="0" t="n">
        <v>0.02618621</v>
      </c>
      <c r="DM66" s="0" t="n">
        <v>-0.01036062</v>
      </c>
      <c r="DN66" s="0" t="n">
        <v>-0.01711495</v>
      </c>
      <c r="DO66" s="0" t="n">
        <v>0.00822788</v>
      </c>
      <c r="DP66" s="0" t="n">
        <v>-0.01086414</v>
      </c>
      <c r="DQ66" s="0" t="n">
        <v>0.0017122</v>
      </c>
      <c r="DR66" s="0" t="n">
        <v>0.00143169</v>
      </c>
      <c r="DS66" s="0" t="n">
        <v>-0.01747689</v>
      </c>
      <c r="DT66" s="0" t="n">
        <v>-0.00393807</v>
      </c>
      <c r="DU66" s="0" t="n">
        <v>0.00254397</v>
      </c>
      <c r="DV66" s="0" t="n">
        <v>-0.01398085</v>
      </c>
      <c r="DW66" s="0" t="n">
        <v>-0.0115477</v>
      </c>
      <c r="DX66" s="0" t="n">
        <v>0.01589635</v>
      </c>
      <c r="DY66" s="0" t="n">
        <v>-0.0048617</v>
      </c>
      <c r="DZ66" s="0" t="n">
        <v>-0.00504608</v>
      </c>
      <c r="EA66" s="0" t="n">
        <v>0.01350981</v>
      </c>
      <c r="EB66" s="0" t="n">
        <v>-0.0130006</v>
      </c>
      <c r="EC66" s="0" t="n">
        <v>-0.00651959</v>
      </c>
      <c r="ED66" s="0" t="n">
        <v>-0.0044158</v>
      </c>
      <c r="EE66" s="0" t="n">
        <v>0.00805452</v>
      </c>
      <c r="EF66" s="0" t="n">
        <v>0.01125263</v>
      </c>
      <c r="EG66" s="0" t="n">
        <v>0.01471256</v>
      </c>
      <c r="EH66" s="0" t="n">
        <v>-0.02726589</v>
      </c>
      <c r="EI66" s="0" t="n">
        <v>0.02066057</v>
      </c>
      <c r="EJ66" s="0" t="n">
        <v>-0.0024677</v>
      </c>
      <c r="EK66" s="0" t="n">
        <v>0.01639179</v>
      </c>
      <c r="EL66" s="0" t="n">
        <v>0.03117108</v>
      </c>
      <c r="EM66" s="0" t="n">
        <v>0.01100324</v>
      </c>
      <c r="EN66" s="0" t="n">
        <v>0.01389006</v>
      </c>
      <c r="EO66" s="0" t="n">
        <v>-0.02861693</v>
      </c>
      <c r="EP66" s="55" t="n">
        <f aca="false">SUMPRODUCT(B66:EO66,$B$5:$EO$5)</f>
        <v>0.006650724</v>
      </c>
      <c r="EQ66" s="55" t="n">
        <f aca="false">SUMIF('Mi portafolio'!$A$8:$A$19,$A66,'Mi portafolio'!$B$8:$B$19)</f>
        <v>0</v>
      </c>
    </row>
    <row r="67" customFormat="false" ht="15" hidden="false" customHeight="false" outlineLevel="0" collapsed="false">
      <c r="A67" s="54" t="s">
        <v>211</v>
      </c>
      <c r="B67" s="0" t="n">
        <v>0.00129733</v>
      </c>
      <c r="C67" s="0" t="n">
        <v>0.00318421</v>
      </c>
      <c r="D67" s="0" t="n">
        <v>0.0136883</v>
      </c>
      <c r="E67" s="0" t="n">
        <v>0.011569</v>
      </c>
      <c r="F67" s="0" t="n">
        <v>-0.00322694</v>
      </c>
      <c r="G67" s="0" t="n">
        <v>0.01105173</v>
      </c>
      <c r="H67" s="0" t="n">
        <v>0.01279523</v>
      </c>
      <c r="I67" s="0" t="n">
        <v>0.00050874</v>
      </c>
      <c r="J67" s="0" t="n">
        <v>-0.00394757</v>
      </c>
      <c r="K67" s="0" t="n">
        <v>0.00199857</v>
      </c>
      <c r="L67" s="0" t="n">
        <v>0.01350454</v>
      </c>
      <c r="M67" s="0" t="n">
        <v>0.01274334</v>
      </c>
      <c r="N67" s="0" t="n">
        <v>0.00127753</v>
      </c>
      <c r="O67" s="0" t="n">
        <v>0.017216</v>
      </c>
      <c r="P67" s="0" t="n">
        <v>0.0047091</v>
      </c>
      <c r="Q67" s="0" t="n">
        <v>0.01210163</v>
      </c>
      <c r="R67" s="0" t="n">
        <v>0.0022152</v>
      </c>
      <c r="S67" s="0" t="n">
        <v>0.01576936</v>
      </c>
      <c r="T67" s="0" t="n">
        <v>0.01386309</v>
      </c>
      <c r="U67" s="0" t="n">
        <v>0.01774988</v>
      </c>
      <c r="V67" s="0" t="n">
        <v>0.01363118</v>
      </c>
      <c r="W67" s="0" t="n">
        <v>0.01176662</v>
      </c>
      <c r="X67" s="0" t="n">
        <v>0.01069146</v>
      </c>
      <c r="Y67" s="0" t="n">
        <v>0.00784405</v>
      </c>
      <c r="Z67" s="0" t="n">
        <v>0.02252846</v>
      </c>
      <c r="AA67" s="0" t="n">
        <v>0.01870925</v>
      </c>
      <c r="AB67" s="0" t="n">
        <v>0.00568047</v>
      </c>
      <c r="AC67" s="0" t="n">
        <v>0.01066373</v>
      </c>
      <c r="AD67" s="0" t="n">
        <v>0.01654496</v>
      </c>
      <c r="AE67" s="0" t="n">
        <v>0.05332012</v>
      </c>
      <c r="AF67" s="0" t="n">
        <v>0.03420751</v>
      </c>
      <c r="AG67" s="0" t="n">
        <v>-0.00218345</v>
      </c>
      <c r="AH67" s="0" t="n">
        <v>-0.00351591</v>
      </c>
      <c r="AI67" s="0" t="n">
        <v>-0.0156912</v>
      </c>
      <c r="AJ67" s="0" t="n">
        <v>0.01625997</v>
      </c>
      <c r="AK67" s="0" t="n">
        <v>0.02458835</v>
      </c>
      <c r="AL67" s="0" t="n">
        <v>0.0040033</v>
      </c>
      <c r="AM67" s="0" t="n">
        <v>0.02461195</v>
      </c>
      <c r="AN67" s="0" t="n">
        <v>0.01149092</v>
      </c>
      <c r="AO67" s="0" t="n">
        <v>-0.00141441</v>
      </c>
      <c r="AP67" s="0" t="n">
        <v>0.00535482</v>
      </c>
      <c r="AQ67" s="0" t="n">
        <v>-0.01253425</v>
      </c>
      <c r="AR67" s="0" t="n">
        <v>0.01748781</v>
      </c>
      <c r="AS67" s="0" t="n">
        <v>0.01665225</v>
      </c>
      <c r="AT67" s="0" t="n">
        <v>0.01503558</v>
      </c>
      <c r="AU67" s="0" t="n">
        <v>-0.00063179</v>
      </c>
      <c r="AV67" s="0" t="n">
        <v>0.01924915</v>
      </c>
      <c r="AW67" s="0" t="n">
        <v>0.01806249</v>
      </c>
      <c r="AX67" s="0" t="n">
        <v>0.00493197</v>
      </c>
      <c r="AY67" s="0" t="n">
        <v>0.00754163</v>
      </c>
      <c r="AZ67" s="0" t="n">
        <v>0.06470406</v>
      </c>
      <c r="BA67" s="0" t="n">
        <v>0.01433021</v>
      </c>
      <c r="BB67" s="0" t="n">
        <v>0.02546487</v>
      </c>
      <c r="BC67" s="0" t="n">
        <v>0.02263089</v>
      </c>
      <c r="BD67" s="0" t="n">
        <v>0.03232804</v>
      </c>
      <c r="BE67" s="0" t="n">
        <v>0.00373057</v>
      </c>
      <c r="BF67" s="0" t="n">
        <v>0.03208085</v>
      </c>
      <c r="BG67" s="0" t="n">
        <v>0.00964813</v>
      </c>
      <c r="BH67" s="0" t="n">
        <v>0.01537546</v>
      </c>
      <c r="BI67" s="0" t="n">
        <v>0.01537455</v>
      </c>
      <c r="BJ67" s="0" t="n">
        <v>0.01041636</v>
      </c>
      <c r="BK67" s="0" t="n">
        <v>0.10420363</v>
      </c>
      <c r="BL67" s="0" t="n">
        <v>0.01049019</v>
      </c>
      <c r="BM67" s="0" t="n">
        <v>0.00489625</v>
      </c>
      <c r="BN67" s="0" t="n">
        <v>0.00279256</v>
      </c>
      <c r="BO67" s="0" t="n">
        <v>0.01063145</v>
      </c>
      <c r="BP67" s="0" t="n">
        <v>0.00467675</v>
      </c>
      <c r="BQ67" s="0" t="n">
        <v>0.03463695</v>
      </c>
      <c r="BR67" s="0" t="n">
        <v>0.01768256</v>
      </c>
      <c r="BS67" s="0" t="n">
        <v>-0.01329357</v>
      </c>
      <c r="BT67" s="0" t="n">
        <v>0.01875422</v>
      </c>
      <c r="BU67" s="0" t="n">
        <v>0.02409681</v>
      </c>
      <c r="BV67" s="0" t="n">
        <v>0.00624569</v>
      </c>
      <c r="BW67" s="0" t="n">
        <v>0.00717385</v>
      </c>
      <c r="BX67" s="0" t="n">
        <v>0.00019882</v>
      </c>
      <c r="BY67" s="0" t="n">
        <v>0.00653522</v>
      </c>
      <c r="BZ67" s="0" t="n">
        <v>0.01166804</v>
      </c>
      <c r="CA67" s="0" t="n">
        <v>0.02457683</v>
      </c>
      <c r="CB67" s="0" t="n">
        <v>0.0002296</v>
      </c>
      <c r="CC67" s="0" t="n">
        <v>0.00912374</v>
      </c>
      <c r="CD67" s="0" t="n">
        <v>0.01099172</v>
      </c>
      <c r="CE67" s="0" t="n">
        <v>0.0227492</v>
      </c>
      <c r="CF67" s="0" t="n">
        <v>-0.01062824</v>
      </c>
      <c r="CG67" s="0" t="n">
        <v>0.01046049</v>
      </c>
      <c r="CH67" s="0" t="n">
        <v>0.02935006</v>
      </c>
      <c r="CI67" s="0" t="n">
        <v>-0.01604423</v>
      </c>
      <c r="CJ67" s="0" t="n">
        <v>-0.01334705</v>
      </c>
      <c r="CK67" s="0" t="n">
        <v>0.00390654</v>
      </c>
      <c r="CL67" s="0" t="n">
        <v>0.00794842</v>
      </c>
      <c r="CM67" s="0" t="n">
        <v>0.0125394</v>
      </c>
      <c r="CN67" s="0" t="n">
        <v>0.02000219</v>
      </c>
      <c r="CO67" s="0" t="n">
        <v>0.02260901</v>
      </c>
      <c r="CP67" s="0" t="n">
        <v>0.00743362</v>
      </c>
      <c r="CQ67" s="0" t="n">
        <v>0.02799976</v>
      </c>
      <c r="CR67" s="0" t="n">
        <v>0.02744146</v>
      </c>
      <c r="CS67" s="0" t="n">
        <v>0.03522006</v>
      </c>
      <c r="CT67" s="0" t="n">
        <v>0.01542527</v>
      </c>
      <c r="CU67" s="0" t="n">
        <v>0.01597102</v>
      </c>
      <c r="CV67" s="0" t="n">
        <v>0.02537436</v>
      </c>
      <c r="CW67" s="0" t="n">
        <v>0.01572019</v>
      </c>
      <c r="CX67" s="0" t="n">
        <v>0.02303666</v>
      </c>
      <c r="CY67" s="0" t="n">
        <v>0.02993106</v>
      </c>
      <c r="CZ67" s="0" t="n">
        <v>0.00691643</v>
      </c>
      <c r="DA67" s="0" t="n">
        <v>0.00060435</v>
      </c>
      <c r="DB67" s="0" t="n">
        <v>0.02865034</v>
      </c>
      <c r="DC67" s="0" t="n">
        <v>0.05350555</v>
      </c>
      <c r="DD67" s="0" t="n">
        <v>0.02252977</v>
      </c>
      <c r="DE67" s="0" t="n">
        <v>0.0260363</v>
      </c>
      <c r="DF67" s="0" t="n">
        <v>-0.02004779</v>
      </c>
      <c r="DG67" s="0" t="n">
        <v>0.02872064</v>
      </c>
      <c r="DH67" s="0" t="n">
        <v>0.03036841</v>
      </c>
      <c r="DI67" s="0" t="n">
        <v>0.03741177</v>
      </c>
      <c r="DJ67" s="0" t="n">
        <v>0.02198304</v>
      </c>
      <c r="DK67" s="0" t="n">
        <v>0.03735666</v>
      </c>
      <c r="DL67" s="0" t="n">
        <v>0.0280883</v>
      </c>
      <c r="DM67" s="0" t="n">
        <v>0.03465219</v>
      </c>
      <c r="DN67" s="0" t="n">
        <v>-0.01296323</v>
      </c>
      <c r="DO67" s="0" t="n">
        <v>0.03205338</v>
      </c>
      <c r="DP67" s="0" t="n">
        <v>0.02338145</v>
      </c>
      <c r="DQ67" s="0" t="n">
        <v>0.01797678</v>
      </c>
      <c r="DR67" s="0" t="n">
        <v>0.01407757</v>
      </c>
      <c r="DS67" s="0" t="n">
        <v>-0.00053662</v>
      </c>
      <c r="DT67" s="0" t="n">
        <v>-0.00518122</v>
      </c>
      <c r="DU67" s="0" t="n">
        <v>0.03112375</v>
      </c>
      <c r="DV67" s="0" t="n">
        <v>0.00920908</v>
      </c>
      <c r="DW67" s="0" t="n">
        <v>0.01735589</v>
      </c>
      <c r="DX67" s="0" t="n">
        <v>0.0441699</v>
      </c>
      <c r="DY67" s="0" t="n">
        <v>0.02821468</v>
      </c>
      <c r="DZ67" s="0" t="n">
        <v>0.00923481</v>
      </c>
      <c r="EA67" s="0" t="n">
        <v>0.04205525</v>
      </c>
      <c r="EB67" s="0" t="n">
        <v>0.03721751</v>
      </c>
      <c r="EC67" s="0" t="n">
        <v>0.00530315</v>
      </c>
      <c r="ED67" s="0" t="n">
        <v>0.04229624</v>
      </c>
      <c r="EE67" s="0" t="n">
        <v>0.05237532</v>
      </c>
      <c r="EF67" s="0" t="n">
        <v>0.02772156</v>
      </c>
      <c r="EG67" s="0" t="n">
        <v>0.04120551</v>
      </c>
      <c r="EH67" s="0" t="n">
        <v>-0.01436153</v>
      </c>
      <c r="EI67" s="0" t="n">
        <v>0.0427892</v>
      </c>
      <c r="EJ67" s="0" t="n">
        <v>0.05077395</v>
      </c>
      <c r="EK67" s="0" t="n">
        <v>0.04158708</v>
      </c>
      <c r="EL67" s="0" t="n">
        <v>0.05891108</v>
      </c>
      <c r="EM67" s="0" t="n">
        <v>-0.02338867</v>
      </c>
      <c r="EN67" s="0" t="n">
        <v>0.03151026</v>
      </c>
      <c r="EO67" s="0" t="n">
        <v>-0.06315033</v>
      </c>
      <c r="EP67" s="55" t="n">
        <f aca="false">SUMPRODUCT(B67:EO67,$B$5:$EO$5)</f>
        <v>0.026727442</v>
      </c>
      <c r="EQ67" s="55" t="n">
        <f aca="false">SUMIF('Mi portafolio'!$A$8:$A$19,$A67,'Mi portafolio'!$B$8:$B$19)</f>
        <v>0</v>
      </c>
    </row>
    <row r="68" customFormat="false" ht="15" hidden="false" customHeight="false" outlineLevel="0" collapsed="false">
      <c r="A68" s="54" t="s">
        <v>212</v>
      </c>
      <c r="B68" s="0" t="n">
        <v>0.00442165</v>
      </c>
      <c r="C68" s="0" t="n">
        <v>-0.00037767</v>
      </c>
      <c r="D68" s="0" t="n">
        <v>-0.00330593</v>
      </c>
      <c r="E68" s="0" t="n">
        <v>0.00656173</v>
      </c>
      <c r="F68" s="0" t="n">
        <v>0.0068588</v>
      </c>
      <c r="G68" s="0" t="n">
        <v>0.00535743</v>
      </c>
      <c r="H68" s="0" t="n">
        <v>0.00851506</v>
      </c>
      <c r="I68" s="0" t="n">
        <v>0.00772175</v>
      </c>
      <c r="J68" s="0" t="n">
        <v>0.0117177</v>
      </c>
      <c r="K68" s="0" t="n">
        <v>0.01352556</v>
      </c>
      <c r="L68" s="0" t="n">
        <v>0.00586817</v>
      </c>
      <c r="M68" s="0" t="n">
        <v>0.02551765</v>
      </c>
      <c r="N68" s="0" t="n">
        <v>0.01431266</v>
      </c>
      <c r="O68" s="0" t="n">
        <v>0.01105175</v>
      </c>
      <c r="P68" s="0" t="n">
        <v>-0.00151013</v>
      </c>
      <c r="Q68" s="0" t="n">
        <v>0.00285981</v>
      </c>
      <c r="R68" s="0" t="n">
        <v>0.00903431</v>
      </c>
      <c r="S68" s="0" t="n">
        <v>0.00489775</v>
      </c>
      <c r="T68" s="0" t="n">
        <v>0.0219255</v>
      </c>
      <c r="U68" s="0" t="n">
        <v>0.01378564</v>
      </c>
      <c r="V68" s="0" t="n">
        <v>0.01133937</v>
      </c>
      <c r="W68" s="0" t="n">
        <v>0.00366417</v>
      </c>
      <c r="X68" s="0" t="n">
        <v>0.02498026</v>
      </c>
      <c r="Y68" s="0" t="n">
        <v>0.00184152</v>
      </c>
      <c r="Z68" s="0" t="n">
        <v>0.01402609</v>
      </c>
      <c r="AA68" s="0" t="n">
        <v>0.00894186</v>
      </c>
      <c r="AB68" s="0" t="n">
        <v>0.00042376</v>
      </c>
      <c r="AC68" s="0" t="n">
        <v>-0.00052982</v>
      </c>
      <c r="AD68" s="0" t="n">
        <v>0.0130637</v>
      </c>
      <c r="AE68" s="0" t="n">
        <v>0.01229602</v>
      </c>
      <c r="AF68" s="0" t="n">
        <v>0.01048733</v>
      </c>
      <c r="AG68" s="0" t="n">
        <v>0.00436875</v>
      </c>
      <c r="AH68" s="0" t="n">
        <v>0.00319413</v>
      </c>
      <c r="AI68" s="0" t="n">
        <v>-0.00385295</v>
      </c>
      <c r="AJ68" s="0" t="n">
        <v>0.01034059</v>
      </c>
      <c r="AK68" s="0" t="n">
        <v>0.01761602</v>
      </c>
      <c r="AL68" s="0" t="n">
        <v>0.01568995</v>
      </c>
      <c r="AM68" s="0" t="n">
        <v>0.00837067</v>
      </c>
      <c r="AN68" s="0" t="n">
        <v>0.02544213</v>
      </c>
      <c r="AO68" s="0" t="n">
        <v>0.01317245</v>
      </c>
      <c r="AP68" s="0" t="n">
        <v>0.01492869</v>
      </c>
      <c r="AQ68" s="0" t="n">
        <v>-0.0041866</v>
      </c>
      <c r="AR68" s="0" t="n">
        <v>0.02663909</v>
      </c>
      <c r="AS68" s="0" t="n">
        <v>0.02288051</v>
      </c>
      <c r="AT68" s="0" t="n">
        <v>0.02282499</v>
      </c>
      <c r="AU68" s="0" t="n">
        <v>0.0064301</v>
      </c>
      <c r="AV68" s="0" t="n">
        <v>0.01031393</v>
      </c>
      <c r="AW68" s="0" t="n">
        <v>0.02295839</v>
      </c>
      <c r="AX68" s="0" t="n">
        <v>0.01158177</v>
      </c>
      <c r="AY68" s="0" t="n">
        <v>0.01504165</v>
      </c>
      <c r="AZ68" s="0" t="n">
        <v>0.01561571</v>
      </c>
      <c r="BA68" s="0" t="n">
        <v>0.03277687</v>
      </c>
      <c r="BB68" s="0" t="n">
        <v>0.03421203</v>
      </c>
      <c r="BC68" s="0" t="n">
        <v>0.0047439</v>
      </c>
      <c r="BD68" s="0" t="n">
        <v>0.02300736</v>
      </c>
      <c r="BE68" s="0" t="n">
        <v>0.01637578</v>
      </c>
      <c r="BF68" s="0" t="n">
        <v>0.02262379</v>
      </c>
      <c r="BG68" s="0" t="n">
        <v>0.0290625</v>
      </c>
      <c r="BH68" s="0" t="n">
        <v>0.01127515</v>
      </c>
      <c r="BI68" s="0" t="n">
        <v>0.0130058</v>
      </c>
      <c r="BJ68" s="0" t="n">
        <v>0.0030229</v>
      </c>
      <c r="BK68" s="0" t="n">
        <v>0.01049019</v>
      </c>
      <c r="BL68" s="0" t="n">
        <v>0.10197524</v>
      </c>
      <c r="BM68" s="0" t="n">
        <v>0.02035898</v>
      </c>
      <c r="BN68" s="0" t="n">
        <v>0.01201759</v>
      </c>
      <c r="BO68" s="0" t="n">
        <v>0.01766618</v>
      </c>
      <c r="BP68" s="0" t="n">
        <v>0.00271623</v>
      </c>
      <c r="BQ68" s="0" t="n">
        <v>0.03540227</v>
      </c>
      <c r="BR68" s="0" t="n">
        <v>0.02462794</v>
      </c>
      <c r="BS68" s="0" t="n">
        <v>-0.00209766</v>
      </c>
      <c r="BT68" s="0" t="n">
        <v>0.03807393</v>
      </c>
      <c r="BU68" s="0" t="n">
        <v>0.01546384</v>
      </c>
      <c r="BV68" s="0" t="n">
        <v>0.01972758</v>
      </c>
      <c r="BW68" s="0" t="n">
        <v>0.02288249</v>
      </c>
      <c r="BX68" s="0" t="n">
        <v>0.01311699</v>
      </c>
      <c r="BY68" s="0" t="n">
        <v>0.03993622</v>
      </c>
      <c r="BZ68" s="0" t="n">
        <v>0.04112792</v>
      </c>
      <c r="CA68" s="0" t="n">
        <v>0.00657888</v>
      </c>
      <c r="CB68" s="0" t="n">
        <v>-0.00317618</v>
      </c>
      <c r="CC68" s="0" t="n">
        <v>0.01477154</v>
      </c>
      <c r="CD68" s="0" t="n">
        <v>0.0221467</v>
      </c>
      <c r="CE68" s="0" t="n">
        <v>0.0267852</v>
      </c>
      <c r="CF68" s="0" t="n">
        <v>-0.00291073</v>
      </c>
      <c r="CG68" s="0" t="n">
        <v>0.02635205</v>
      </c>
      <c r="CH68" s="0" t="n">
        <v>0.0527768</v>
      </c>
      <c r="CI68" s="0" t="n">
        <v>-0.00072005</v>
      </c>
      <c r="CJ68" s="0" t="n">
        <v>0.00220285</v>
      </c>
      <c r="CK68" s="0" t="n">
        <v>0.01940067</v>
      </c>
      <c r="CL68" s="0" t="n">
        <v>0.03503261</v>
      </c>
      <c r="CM68" s="0" t="n">
        <v>0.03900854</v>
      </c>
      <c r="CN68" s="0" t="n">
        <v>0.0079756</v>
      </c>
      <c r="CO68" s="0" t="n">
        <v>0.01304118</v>
      </c>
      <c r="CP68" s="0" t="n">
        <v>0.02105118</v>
      </c>
      <c r="CQ68" s="0" t="n">
        <v>0.04265232</v>
      </c>
      <c r="CR68" s="0" t="n">
        <v>0.05030877</v>
      </c>
      <c r="CS68" s="0" t="n">
        <v>0.05018297</v>
      </c>
      <c r="CT68" s="0" t="n">
        <v>0.03094343</v>
      </c>
      <c r="CU68" s="0" t="n">
        <v>0.03388908</v>
      </c>
      <c r="CV68" s="0" t="n">
        <v>0.01522958</v>
      </c>
      <c r="CW68" s="0" t="n">
        <v>0.0253609</v>
      </c>
      <c r="CX68" s="0" t="n">
        <v>0.0440304</v>
      </c>
      <c r="CY68" s="0" t="n">
        <v>0.04770797</v>
      </c>
      <c r="CZ68" s="0" t="n">
        <v>0.01272888</v>
      </c>
      <c r="DA68" s="0" t="n">
        <v>0.01332915</v>
      </c>
      <c r="DB68" s="0" t="n">
        <v>0.03805334</v>
      </c>
      <c r="DC68" s="0" t="n">
        <v>0.03586257</v>
      </c>
      <c r="DD68" s="0" t="n">
        <v>0.03326994</v>
      </c>
      <c r="DE68" s="0" t="n">
        <v>0.08057561</v>
      </c>
      <c r="DF68" s="0" t="n">
        <v>0.0021041</v>
      </c>
      <c r="DG68" s="0" t="n">
        <v>0.07022389</v>
      </c>
      <c r="DH68" s="0" t="n">
        <v>0.03456696</v>
      </c>
      <c r="DI68" s="0" t="n">
        <v>0.04225408</v>
      </c>
      <c r="DJ68" s="0" t="n">
        <v>0.05797205</v>
      </c>
      <c r="DK68" s="0" t="n">
        <v>0.05687443</v>
      </c>
      <c r="DL68" s="0" t="n">
        <v>0.04543523</v>
      </c>
      <c r="DM68" s="0" t="n">
        <v>0.06077091</v>
      </c>
      <c r="DN68" s="0" t="n">
        <v>0.03638825</v>
      </c>
      <c r="DO68" s="0" t="n">
        <v>0.06156405</v>
      </c>
      <c r="DP68" s="0" t="n">
        <v>0.05913225</v>
      </c>
      <c r="DQ68" s="0" t="n">
        <v>0.04856369</v>
      </c>
      <c r="DR68" s="0" t="n">
        <v>0.07935639</v>
      </c>
      <c r="DS68" s="0" t="n">
        <v>0.00354593</v>
      </c>
      <c r="DT68" s="0" t="n">
        <v>0.0367821</v>
      </c>
      <c r="DU68" s="0" t="n">
        <v>0.04340282</v>
      </c>
      <c r="DV68" s="0" t="n">
        <v>0.01395172</v>
      </c>
      <c r="DW68" s="0" t="n">
        <v>0.02178237</v>
      </c>
      <c r="DX68" s="0" t="n">
        <v>0.06927307</v>
      </c>
      <c r="DY68" s="0" t="n">
        <v>0.03845291</v>
      </c>
      <c r="DZ68" s="0" t="n">
        <v>0.02487977</v>
      </c>
      <c r="EA68" s="0" t="n">
        <v>0.06529288</v>
      </c>
      <c r="EB68" s="0" t="n">
        <v>0.03621721</v>
      </c>
      <c r="EC68" s="0" t="n">
        <v>0.03085958</v>
      </c>
      <c r="ED68" s="0" t="n">
        <v>0.03417889</v>
      </c>
      <c r="EE68" s="0" t="n">
        <v>0.0858155</v>
      </c>
      <c r="EF68" s="0" t="n">
        <v>0.10478648</v>
      </c>
      <c r="EG68" s="0" t="n">
        <v>0.08443438</v>
      </c>
      <c r="EH68" s="0" t="n">
        <v>0.00530222</v>
      </c>
      <c r="EI68" s="0" t="n">
        <v>0.08388735</v>
      </c>
      <c r="EJ68" s="0" t="n">
        <v>0.03964967</v>
      </c>
      <c r="EK68" s="0" t="n">
        <v>0.08317567</v>
      </c>
      <c r="EL68" s="0" t="n">
        <v>0.09852181</v>
      </c>
      <c r="EM68" s="0" t="n">
        <v>0.03132427</v>
      </c>
      <c r="EN68" s="0" t="n">
        <v>0.05138004</v>
      </c>
      <c r="EO68" s="0" t="n">
        <v>0.0809431</v>
      </c>
      <c r="EP68" s="55" t="n">
        <f aca="false">SUMPRODUCT(B68:EO68,$B$5:$EO$5)</f>
        <v>0.03569311</v>
      </c>
      <c r="EQ68" s="55" t="n">
        <f aca="false">SUMIF('Mi portafolio'!$A$8:$A$19,$A68,'Mi portafolio'!$B$8:$B$19)</f>
        <v>0</v>
      </c>
    </row>
    <row r="69" customFormat="false" ht="15" hidden="false" customHeight="false" outlineLevel="0" collapsed="false">
      <c r="A69" s="54" t="s">
        <v>213</v>
      </c>
      <c r="B69" s="0" t="n">
        <v>0.00890447</v>
      </c>
      <c r="C69" s="0" t="n">
        <v>0.00173707</v>
      </c>
      <c r="D69" s="0" t="n">
        <v>0.00320417</v>
      </c>
      <c r="E69" s="0" t="n">
        <v>0.01428878</v>
      </c>
      <c r="F69" s="0" t="n">
        <v>0.02335831</v>
      </c>
      <c r="G69" s="0" t="n">
        <v>-0.00511926</v>
      </c>
      <c r="H69" s="0" t="n">
        <v>0.00332429</v>
      </c>
      <c r="I69" s="0" t="n">
        <v>0.02254832</v>
      </c>
      <c r="J69" s="0" t="n">
        <v>0.01350627</v>
      </c>
      <c r="K69" s="0" t="n">
        <v>0.02262687</v>
      </c>
      <c r="L69" s="0" t="n">
        <v>0.00886946</v>
      </c>
      <c r="M69" s="0" t="n">
        <v>0.02242369</v>
      </c>
      <c r="N69" s="0" t="n">
        <v>0.0174211</v>
      </c>
      <c r="O69" s="0" t="n">
        <v>0.00350185</v>
      </c>
      <c r="P69" s="0" t="n">
        <v>0.02895787</v>
      </c>
      <c r="Q69" s="0" t="n">
        <v>0.00036593</v>
      </c>
      <c r="R69" s="0" t="n">
        <v>0.030221</v>
      </c>
      <c r="S69" s="0" t="n">
        <v>0.00807985</v>
      </c>
      <c r="T69" s="0" t="n">
        <v>0.01559583</v>
      </c>
      <c r="U69" s="0" t="n">
        <v>0.01200352</v>
      </c>
      <c r="V69" s="0" t="n">
        <v>0.00862792</v>
      </c>
      <c r="W69" s="0" t="n">
        <v>0.00624143</v>
      </c>
      <c r="X69" s="0" t="n">
        <v>0.01445822</v>
      </c>
      <c r="Y69" s="0" t="n">
        <v>0.01531333</v>
      </c>
      <c r="Z69" s="0" t="n">
        <v>0.00236075</v>
      </c>
      <c r="AA69" s="0" t="n">
        <v>0.01365439</v>
      </c>
      <c r="AB69" s="0" t="n">
        <v>0.01774207</v>
      </c>
      <c r="AC69" s="0" t="n">
        <v>-0.00202906</v>
      </c>
      <c r="AD69" s="0" t="n">
        <v>0.00176542</v>
      </c>
      <c r="AE69" s="0" t="n">
        <v>0.00260543</v>
      </c>
      <c r="AF69" s="0" t="n">
        <v>0.00071886</v>
      </c>
      <c r="AG69" s="0" t="n">
        <v>0.02541746</v>
      </c>
      <c r="AH69" s="0" t="n">
        <v>0.02824072</v>
      </c>
      <c r="AI69" s="0" t="n">
        <v>0.00877359</v>
      </c>
      <c r="AJ69" s="0" t="n">
        <v>-0.00724202</v>
      </c>
      <c r="AK69" s="0" t="n">
        <v>0.00374839</v>
      </c>
      <c r="AL69" s="0" t="n">
        <v>0.0204852</v>
      </c>
      <c r="AM69" s="0" t="n">
        <v>0.00636917</v>
      </c>
      <c r="AN69" s="0" t="n">
        <v>0.03750742</v>
      </c>
      <c r="AO69" s="0" t="n">
        <v>0.01857294</v>
      </c>
      <c r="AP69" s="0" t="n">
        <v>0.02472861</v>
      </c>
      <c r="AQ69" s="0" t="n">
        <v>0.00441761</v>
      </c>
      <c r="AR69" s="0" t="n">
        <v>0.01878245</v>
      </c>
      <c r="AS69" s="0" t="n">
        <v>0.00322416</v>
      </c>
      <c r="AT69" s="0" t="n">
        <v>0.02318802</v>
      </c>
      <c r="AU69" s="0" t="n">
        <v>0.03115237</v>
      </c>
      <c r="AV69" s="0" t="n">
        <v>0.01114112</v>
      </c>
      <c r="AW69" s="0" t="n">
        <v>0.00221373</v>
      </c>
      <c r="AX69" s="0" t="n">
        <v>0.02600132</v>
      </c>
      <c r="AY69" s="0" t="n">
        <v>0.0379109</v>
      </c>
      <c r="AZ69" s="0" t="n">
        <v>0.00980569</v>
      </c>
      <c r="BA69" s="0" t="n">
        <v>0.0262066</v>
      </c>
      <c r="BB69" s="0" t="n">
        <v>0.01350754</v>
      </c>
      <c r="BC69" s="0" t="n">
        <v>-0.00635727</v>
      </c>
      <c r="BD69" s="0" t="n">
        <v>0.00038656</v>
      </c>
      <c r="BE69" s="0" t="n">
        <v>0.0280639</v>
      </c>
      <c r="BF69" s="0" t="n">
        <v>0.00139487</v>
      </c>
      <c r="BG69" s="0" t="n">
        <v>0.01841125</v>
      </c>
      <c r="BH69" s="0" t="n">
        <v>0.0121555</v>
      </c>
      <c r="BI69" s="0" t="n">
        <v>0.0091112</v>
      </c>
      <c r="BJ69" s="0" t="n">
        <v>-0.0107992</v>
      </c>
      <c r="BK69" s="0" t="n">
        <v>0.00489625</v>
      </c>
      <c r="BL69" s="0" t="n">
        <v>0.02035898</v>
      </c>
      <c r="BM69" s="0" t="n">
        <v>0.10443235</v>
      </c>
      <c r="BN69" s="0" t="n">
        <v>0.01787957</v>
      </c>
      <c r="BO69" s="0" t="n">
        <v>0.0137341</v>
      </c>
      <c r="BP69" s="0" t="n">
        <v>0.01341693</v>
      </c>
      <c r="BQ69" s="0" t="n">
        <v>0.00992866</v>
      </c>
      <c r="BR69" s="0" t="n">
        <v>0.03448438</v>
      </c>
      <c r="BS69" s="0" t="n">
        <v>0.00529557</v>
      </c>
      <c r="BT69" s="0" t="n">
        <v>0.01396899</v>
      </c>
      <c r="BU69" s="0" t="n">
        <v>0.00783883</v>
      </c>
      <c r="BV69" s="0" t="n">
        <v>0.021373</v>
      </c>
      <c r="BW69" s="0" t="n">
        <v>0.02589626</v>
      </c>
      <c r="BX69" s="0" t="n">
        <v>0.01820399</v>
      </c>
      <c r="BY69" s="0" t="n">
        <v>0.03541439</v>
      </c>
      <c r="BZ69" s="0" t="n">
        <v>0.0197516</v>
      </c>
      <c r="CA69" s="0" t="n">
        <v>0.00213236</v>
      </c>
      <c r="CB69" s="0" t="n">
        <v>4.126E-005</v>
      </c>
      <c r="CC69" s="0" t="n">
        <v>0.01784373</v>
      </c>
      <c r="CD69" s="0" t="n">
        <v>0.02960323</v>
      </c>
      <c r="CE69" s="0" t="n">
        <v>0.01551955</v>
      </c>
      <c r="CF69" s="0" t="n">
        <v>0.0051368</v>
      </c>
      <c r="CG69" s="0" t="n">
        <v>0.03484681</v>
      </c>
      <c r="CH69" s="0" t="n">
        <v>0.00300175</v>
      </c>
      <c r="CI69" s="0" t="n">
        <v>0.00765457</v>
      </c>
      <c r="CJ69" s="0" t="n">
        <v>0.02293136</v>
      </c>
      <c r="CK69" s="0" t="n">
        <v>0.04843578</v>
      </c>
      <c r="CL69" s="0" t="n">
        <v>0.034091</v>
      </c>
      <c r="CM69" s="0" t="n">
        <v>0.00406937</v>
      </c>
      <c r="CN69" s="0" t="n">
        <v>-0.00562916</v>
      </c>
      <c r="CO69" s="0" t="n">
        <v>0.01734934</v>
      </c>
      <c r="CP69" s="0" t="n">
        <v>0.01892602</v>
      </c>
      <c r="CQ69" s="0" t="n">
        <v>0.04237804</v>
      </c>
      <c r="CR69" s="0" t="n">
        <v>0.00805764</v>
      </c>
      <c r="CS69" s="0" t="n">
        <v>0.0119177</v>
      </c>
      <c r="CT69" s="0" t="n">
        <v>0.02299064</v>
      </c>
      <c r="CU69" s="0" t="n">
        <v>0.01326215</v>
      </c>
      <c r="CV69" s="0" t="n">
        <v>0.01590948</v>
      </c>
      <c r="CW69" s="0" t="n">
        <v>0.02643491</v>
      </c>
      <c r="CX69" s="0" t="n">
        <v>0.01841127</v>
      </c>
      <c r="CY69" s="0" t="n">
        <v>0.04156121</v>
      </c>
      <c r="CZ69" s="0" t="n">
        <v>0.02232397</v>
      </c>
      <c r="DA69" s="0" t="n">
        <v>0.03255959</v>
      </c>
      <c r="DB69" s="0" t="n">
        <v>0.01022479</v>
      </c>
      <c r="DC69" s="0" t="n">
        <v>0.01810861</v>
      </c>
      <c r="DD69" s="0" t="n">
        <v>0.03166858</v>
      </c>
      <c r="DE69" s="0" t="n">
        <v>0.01259342</v>
      </c>
      <c r="DF69" s="0" t="n">
        <v>0.02250752</v>
      </c>
      <c r="DG69" s="0" t="n">
        <v>0.00148319</v>
      </c>
      <c r="DH69" s="0" t="n">
        <v>0.00425318</v>
      </c>
      <c r="DI69" s="0" t="n">
        <v>0.0440262</v>
      </c>
      <c r="DJ69" s="0" t="n">
        <v>0.0509032</v>
      </c>
      <c r="DK69" s="0" t="n">
        <v>0.04811874</v>
      </c>
      <c r="DL69" s="0" t="n">
        <v>-0.01297119</v>
      </c>
      <c r="DM69" s="0" t="n">
        <v>0.04872783</v>
      </c>
      <c r="DN69" s="0" t="n">
        <v>0.05416399</v>
      </c>
      <c r="DO69" s="0" t="n">
        <v>0.01742754</v>
      </c>
      <c r="DP69" s="0" t="n">
        <v>0.05019857</v>
      </c>
      <c r="DQ69" s="0" t="n">
        <v>0.01594033</v>
      </c>
      <c r="DR69" s="0" t="n">
        <v>0.01231692</v>
      </c>
      <c r="DS69" s="0" t="n">
        <v>0.02552788</v>
      </c>
      <c r="DT69" s="0" t="n">
        <v>-0.00115038</v>
      </c>
      <c r="DU69" s="0" t="n">
        <v>0.03263262</v>
      </c>
      <c r="DV69" s="0" t="n">
        <v>0.01569919</v>
      </c>
      <c r="DW69" s="0" t="n">
        <v>0.03245306</v>
      </c>
      <c r="DX69" s="0" t="n">
        <v>-0.00017124</v>
      </c>
      <c r="DY69" s="0" t="n">
        <v>0.04998379</v>
      </c>
      <c r="DZ69" s="0" t="n">
        <v>0.00603438</v>
      </c>
      <c r="EA69" s="0" t="n">
        <v>0.01394889</v>
      </c>
      <c r="EB69" s="0" t="n">
        <v>0.05522553</v>
      </c>
      <c r="EC69" s="0" t="n">
        <v>-0.03314263</v>
      </c>
      <c r="ED69" s="0" t="n">
        <v>0.03726327</v>
      </c>
      <c r="EE69" s="0" t="n">
        <v>0.00093131</v>
      </c>
      <c r="EF69" s="0" t="n">
        <v>0.02179943</v>
      </c>
      <c r="EG69" s="0" t="n">
        <v>0.00094859</v>
      </c>
      <c r="EH69" s="0" t="n">
        <v>0.03583302</v>
      </c>
      <c r="EI69" s="0" t="n">
        <v>-0.01940784</v>
      </c>
      <c r="EJ69" s="0" t="n">
        <v>0.03410746</v>
      </c>
      <c r="EK69" s="0" t="n">
        <v>0.03257011</v>
      </c>
      <c r="EL69" s="0" t="n">
        <v>0.02034148</v>
      </c>
      <c r="EM69" s="0" t="n">
        <v>0.02380035</v>
      </c>
      <c r="EN69" s="0" t="n">
        <v>0.05228093</v>
      </c>
      <c r="EO69" s="0" t="n">
        <v>0.10063336</v>
      </c>
      <c r="EP69" s="55" t="n">
        <f aca="false">SUMPRODUCT(B69:EO69,$B$5:$EO$5)</f>
        <v>0.008228496</v>
      </c>
      <c r="EQ69" s="55" t="n">
        <f aca="false">SUMIF('Mi portafolio'!$A$8:$A$19,$A69,'Mi portafolio'!$B$8:$B$19)</f>
        <v>0</v>
      </c>
    </row>
    <row r="70" customFormat="false" ht="15" hidden="false" customHeight="false" outlineLevel="0" collapsed="false">
      <c r="A70" s="54" t="s">
        <v>214</v>
      </c>
      <c r="B70" s="0" t="n">
        <v>0.015467</v>
      </c>
      <c r="C70" s="0" t="n">
        <v>0.00151278</v>
      </c>
      <c r="D70" s="0" t="n">
        <v>-0.00754291</v>
      </c>
      <c r="E70" s="0" t="n">
        <v>0.00516102</v>
      </c>
      <c r="F70" s="0" t="n">
        <v>0.0137495</v>
      </c>
      <c r="G70" s="0" t="n">
        <v>0.00095609</v>
      </c>
      <c r="H70" s="0" t="n">
        <v>-0.0057762</v>
      </c>
      <c r="I70" s="0" t="n">
        <v>0.00902005</v>
      </c>
      <c r="J70" s="0" t="n">
        <v>0.01430579</v>
      </c>
      <c r="K70" s="0" t="n">
        <v>0.01607794</v>
      </c>
      <c r="L70" s="0" t="n">
        <v>0.0065925</v>
      </c>
      <c r="M70" s="0" t="n">
        <v>0.00184246</v>
      </c>
      <c r="N70" s="0" t="n">
        <v>0.00486881</v>
      </c>
      <c r="O70" s="0" t="n">
        <v>0.00861579</v>
      </c>
      <c r="P70" s="0" t="n">
        <v>0.0182794</v>
      </c>
      <c r="Q70" s="0" t="n">
        <v>0.00225458</v>
      </c>
      <c r="R70" s="0" t="n">
        <v>0.0125442</v>
      </c>
      <c r="S70" s="0" t="n">
        <v>0.00805657</v>
      </c>
      <c r="T70" s="0" t="n">
        <v>0.0099972</v>
      </c>
      <c r="U70" s="0" t="n">
        <v>0.00338748</v>
      </c>
      <c r="V70" s="0" t="n">
        <v>0.00056813</v>
      </c>
      <c r="W70" s="0" t="n">
        <v>0.01301752</v>
      </c>
      <c r="X70" s="0" t="n">
        <v>0.01527366</v>
      </c>
      <c r="Y70" s="0" t="n">
        <v>0.01688684</v>
      </c>
      <c r="Z70" s="0" t="n">
        <v>-0.00015048</v>
      </c>
      <c r="AA70" s="0" t="n">
        <v>0.00113546</v>
      </c>
      <c r="AB70" s="0" t="n">
        <v>0.01584306</v>
      </c>
      <c r="AC70" s="0" t="n">
        <v>-0.00182646</v>
      </c>
      <c r="AD70" s="0" t="n">
        <v>0.00827653</v>
      </c>
      <c r="AE70" s="0" t="n">
        <v>-0.00408423</v>
      </c>
      <c r="AF70" s="0" t="n">
        <v>0.00102881</v>
      </c>
      <c r="AG70" s="0" t="n">
        <v>0.01934161</v>
      </c>
      <c r="AH70" s="0" t="n">
        <v>0.01759782</v>
      </c>
      <c r="AI70" s="0" t="n">
        <v>0.01116178</v>
      </c>
      <c r="AJ70" s="0" t="n">
        <v>0.00046725</v>
      </c>
      <c r="AK70" s="0" t="n">
        <v>0.00521288</v>
      </c>
      <c r="AL70" s="0" t="n">
        <v>0.00380754</v>
      </c>
      <c r="AM70" s="0" t="n">
        <v>0.01275349</v>
      </c>
      <c r="AN70" s="0" t="n">
        <v>0.01189442</v>
      </c>
      <c r="AO70" s="0" t="n">
        <v>0.01908022</v>
      </c>
      <c r="AP70" s="0" t="n">
        <v>0.01269101</v>
      </c>
      <c r="AQ70" s="0" t="n">
        <v>0.01033218</v>
      </c>
      <c r="AR70" s="0" t="n">
        <v>0.01515646</v>
      </c>
      <c r="AS70" s="0" t="n">
        <v>-0.0030668</v>
      </c>
      <c r="AT70" s="0" t="n">
        <v>0.01297053</v>
      </c>
      <c r="AU70" s="0" t="n">
        <v>0.01873717</v>
      </c>
      <c r="AV70" s="0" t="n">
        <v>0.00339689</v>
      </c>
      <c r="AW70" s="0" t="n">
        <v>0.00451789</v>
      </c>
      <c r="AX70" s="0" t="n">
        <v>0.0135207</v>
      </c>
      <c r="AY70" s="0" t="n">
        <v>0.01995519</v>
      </c>
      <c r="AZ70" s="0" t="n">
        <v>-0.00419966</v>
      </c>
      <c r="BA70" s="0" t="n">
        <v>0.02586532</v>
      </c>
      <c r="BB70" s="0" t="n">
        <v>0.01202383</v>
      </c>
      <c r="BC70" s="0" t="n">
        <v>0.00953751</v>
      </c>
      <c r="BD70" s="0" t="n">
        <v>0.00874934</v>
      </c>
      <c r="BE70" s="0" t="n">
        <v>0.01922112</v>
      </c>
      <c r="BF70" s="0" t="n">
        <v>0.0045258</v>
      </c>
      <c r="BG70" s="0" t="n">
        <v>0.00236744</v>
      </c>
      <c r="BH70" s="0" t="n">
        <v>0.0010563</v>
      </c>
      <c r="BI70" s="0" t="n">
        <v>0.0021099</v>
      </c>
      <c r="BJ70" s="0" t="n">
        <v>-0.00808065</v>
      </c>
      <c r="BK70" s="0" t="n">
        <v>0.00279256</v>
      </c>
      <c r="BL70" s="0" t="n">
        <v>0.01201759</v>
      </c>
      <c r="BM70" s="0" t="n">
        <v>0.01787957</v>
      </c>
      <c r="BN70" s="0" t="n">
        <v>0.10867766</v>
      </c>
      <c r="BO70" s="0" t="n">
        <v>0.01140857</v>
      </c>
      <c r="BP70" s="0" t="n">
        <v>-0.00307778</v>
      </c>
      <c r="BQ70" s="0" t="n">
        <v>0.01260216</v>
      </c>
      <c r="BR70" s="0" t="n">
        <v>0.00036249</v>
      </c>
      <c r="BS70" s="0" t="n">
        <v>0.00528035</v>
      </c>
      <c r="BT70" s="0" t="n">
        <v>0.01298957</v>
      </c>
      <c r="BU70" s="0" t="n">
        <v>-0.00142482</v>
      </c>
      <c r="BV70" s="0" t="n">
        <v>0.00546254</v>
      </c>
      <c r="BW70" s="0" t="n">
        <v>0.01396591</v>
      </c>
      <c r="BX70" s="0" t="n">
        <v>0.01113773</v>
      </c>
      <c r="BY70" s="0" t="n">
        <v>0.00529016</v>
      </c>
      <c r="BZ70" s="0" t="n">
        <v>0.02498876</v>
      </c>
      <c r="CA70" s="0" t="n">
        <v>0.00053048</v>
      </c>
      <c r="CB70" s="0" t="n">
        <v>0.00572646</v>
      </c>
      <c r="CC70" s="0" t="n">
        <v>0.08013559</v>
      </c>
      <c r="CD70" s="0" t="n">
        <v>0.01439869</v>
      </c>
      <c r="CE70" s="0" t="n">
        <v>0.0060373</v>
      </c>
      <c r="CF70" s="0" t="n">
        <v>0.00765479</v>
      </c>
      <c r="CG70" s="0" t="n">
        <v>0.01208721</v>
      </c>
      <c r="CH70" s="0" t="n">
        <v>0.00576278</v>
      </c>
      <c r="CI70" s="0" t="n">
        <v>0.00803508</v>
      </c>
      <c r="CJ70" s="0" t="n">
        <v>0.01793849</v>
      </c>
      <c r="CK70" s="0" t="n">
        <v>0.0150277</v>
      </c>
      <c r="CL70" s="0" t="n">
        <v>0.01391344</v>
      </c>
      <c r="CM70" s="0" t="n">
        <v>0.00417704</v>
      </c>
      <c r="CN70" s="0" t="n">
        <v>0.00071856</v>
      </c>
      <c r="CO70" s="0" t="n">
        <v>-0.00270209</v>
      </c>
      <c r="CP70" s="0" t="n">
        <v>0.00577276</v>
      </c>
      <c r="CQ70" s="0" t="n">
        <v>0.02138413</v>
      </c>
      <c r="CR70" s="0" t="n">
        <v>0.00334702</v>
      </c>
      <c r="CS70" s="0" t="n">
        <v>0.01855694</v>
      </c>
      <c r="CT70" s="0" t="n">
        <v>0.0184202</v>
      </c>
      <c r="CU70" s="0" t="n">
        <v>0.00818822</v>
      </c>
      <c r="CV70" s="0" t="n">
        <v>0.01354429</v>
      </c>
      <c r="CW70" s="0" t="n">
        <v>-0.007635</v>
      </c>
      <c r="CX70" s="0" t="n">
        <v>0.01358761</v>
      </c>
      <c r="CY70" s="0" t="n">
        <v>0.02000334</v>
      </c>
      <c r="CZ70" s="0" t="n">
        <v>-0.00603088</v>
      </c>
      <c r="DA70" s="0" t="n">
        <v>0.0111008</v>
      </c>
      <c r="DB70" s="0" t="n">
        <v>0.00742086</v>
      </c>
      <c r="DC70" s="0" t="n">
        <v>-0.00614505</v>
      </c>
      <c r="DD70" s="0" t="n">
        <v>0.01495311</v>
      </c>
      <c r="DE70" s="0" t="n">
        <v>-0.004571</v>
      </c>
      <c r="DF70" s="0" t="n">
        <v>-0.0131986</v>
      </c>
      <c r="DG70" s="0" t="n">
        <v>0.00408164</v>
      </c>
      <c r="DH70" s="0" t="n">
        <v>-0.00647564</v>
      </c>
      <c r="DI70" s="0" t="n">
        <v>0.03068107</v>
      </c>
      <c r="DJ70" s="0" t="n">
        <v>0.01765419</v>
      </c>
      <c r="DK70" s="0" t="n">
        <v>0.02826224</v>
      </c>
      <c r="DL70" s="0" t="n">
        <v>-0.00379162</v>
      </c>
      <c r="DM70" s="0" t="n">
        <v>0.01670441</v>
      </c>
      <c r="DN70" s="0" t="n">
        <v>0.02965012</v>
      </c>
      <c r="DO70" s="0" t="n">
        <v>0.01095034</v>
      </c>
      <c r="DP70" s="0" t="n">
        <v>0.01672227</v>
      </c>
      <c r="DQ70" s="0" t="n">
        <v>0.0248646</v>
      </c>
      <c r="DR70" s="0" t="n">
        <v>0.00105051</v>
      </c>
      <c r="DS70" s="0" t="n">
        <v>0.01150384</v>
      </c>
      <c r="DT70" s="0" t="n">
        <v>-0.01198507</v>
      </c>
      <c r="DU70" s="0" t="n">
        <v>0.00339611</v>
      </c>
      <c r="DV70" s="0" t="n">
        <v>-0.00421363</v>
      </c>
      <c r="DW70" s="0" t="n">
        <v>-0.01684451</v>
      </c>
      <c r="DX70" s="0" t="n">
        <v>0.00920566</v>
      </c>
      <c r="DY70" s="0" t="n">
        <v>-0.01058455</v>
      </c>
      <c r="DZ70" s="0" t="n">
        <v>-0.01032448</v>
      </c>
      <c r="EA70" s="0" t="n">
        <v>0.0051035</v>
      </c>
      <c r="EB70" s="0" t="n">
        <v>-0.00817161</v>
      </c>
      <c r="EC70" s="0" t="n">
        <v>-0.00256924</v>
      </c>
      <c r="ED70" s="0" t="n">
        <v>0.00814559</v>
      </c>
      <c r="EE70" s="0" t="n">
        <v>0.02700247</v>
      </c>
      <c r="EF70" s="0" t="n">
        <v>0.02403587</v>
      </c>
      <c r="EG70" s="0" t="n">
        <v>0.01399383</v>
      </c>
      <c r="EH70" s="0" t="n">
        <v>-0.01111495</v>
      </c>
      <c r="EI70" s="0" t="n">
        <v>0.00884591</v>
      </c>
      <c r="EJ70" s="0" t="n">
        <v>0.00576959</v>
      </c>
      <c r="EK70" s="0" t="n">
        <v>0.01578541</v>
      </c>
      <c r="EL70" s="0" t="n">
        <v>-0.00498587</v>
      </c>
      <c r="EM70" s="0" t="n">
        <v>-0.00087235</v>
      </c>
      <c r="EN70" s="0" t="n">
        <v>0.00952935</v>
      </c>
      <c r="EO70" s="0" t="n">
        <v>0.0287582</v>
      </c>
      <c r="EP70" s="55" t="n">
        <f aca="false">SUMPRODUCT(B70:EO70,$B$5:$EO$5)</f>
        <v>0.006143746</v>
      </c>
      <c r="EQ70" s="55" t="n">
        <f aca="false">SUMIF('Mi portafolio'!$A$8:$A$19,$A70,'Mi portafolio'!$B$8:$B$19)</f>
        <v>0</v>
      </c>
    </row>
    <row r="71" customFormat="false" ht="15" hidden="false" customHeight="false" outlineLevel="0" collapsed="false">
      <c r="A71" s="54" t="s">
        <v>47</v>
      </c>
      <c r="B71" s="0" t="n">
        <v>0.00770444</v>
      </c>
      <c r="C71" s="0" t="n">
        <v>-0.00127893</v>
      </c>
      <c r="D71" s="0" t="n">
        <v>0.0054213</v>
      </c>
      <c r="E71" s="0" t="n">
        <v>0.0049761</v>
      </c>
      <c r="F71" s="0" t="n">
        <v>0.00504666</v>
      </c>
      <c r="G71" s="0" t="n">
        <v>0.00504008</v>
      </c>
      <c r="H71" s="0" t="n">
        <v>0.01263265</v>
      </c>
      <c r="I71" s="0" t="n">
        <v>0.01399695</v>
      </c>
      <c r="J71" s="0" t="n">
        <v>0.00964694</v>
      </c>
      <c r="K71" s="0" t="n">
        <v>0.01432747</v>
      </c>
      <c r="L71" s="0" t="n">
        <v>0.00632306</v>
      </c>
      <c r="M71" s="0" t="n">
        <v>0.02268732</v>
      </c>
      <c r="N71" s="0" t="n">
        <v>0.01299869</v>
      </c>
      <c r="O71" s="0" t="n">
        <v>0.00515498</v>
      </c>
      <c r="P71" s="0" t="n">
        <v>0.01065804</v>
      </c>
      <c r="Q71" s="0" t="n">
        <v>0.00536505</v>
      </c>
      <c r="R71" s="0" t="n">
        <v>0.00894088</v>
      </c>
      <c r="S71" s="0" t="n">
        <v>0.00949419</v>
      </c>
      <c r="T71" s="0" t="n">
        <v>0.0173687</v>
      </c>
      <c r="U71" s="0" t="n">
        <v>0.0121374</v>
      </c>
      <c r="V71" s="0" t="n">
        <v>-0.00310119</v>
      </c>
      <c r="W71" s="0" t="n">
        <v>0.01030074</v>
      </c>
      <c r="X71" s="0" t="n">
        <v>0.01973491</v>
      </c>
      <c r="Y71" s="0" t="n">
        <v>0.01569797</v>
      </c>
      <c r="Z71" s="0" t="n">
        <v>0.00407693</v>
      </c>
      <c r="AA71" s="0" t="n">
        <v>0.00464549</v>
      </c>
      <c r="AB71" s="0" t="n">
        <v>0.01404824</v>
      </c>
      <c r="AC71" s="0" t="n">
        <v>0.0032934</v>
      </c>
      <c r="AD71" s="0" t="n">
        <v>0.00577286</v>
      </c>
      <c r="AE71" s="0" t="n">
        <v>0.01173044</v>
      </c>
      <c r="AF71" s="0" t="n">
        <v>0.00560397</v>
      </c>
      <c r="AG71" s="0" t="n">
        <v>-0.00296626</v>
      </c>
      <c r="AH71" s="0" t="n">
        <v>0.00245195</v>
      </c>
      <c r="AI71" s="0" t="n">
        <v>-0.01114812</v>
      </c>
      <c r="AJ71" s="0" t="n">
        <v>0.00108061</v>
      </c>
      <c r="AK71" s="0" t="n">
        <v>0.00984784</v>
      </c>
      <c r="AL71" s="0" t="n">
        <v>0.01939004</v>
      </c>
      <c r="AM71" s="0" t="n">
        <v>0.01406163</v>
      </c>
      <c r="AN71" s="0" t="n">
        <v>0.02376629</v>
      </c>
      <c r="AO71" s="0" t="n">
        <v>0.00519501</v>
      </c>
      <c r="AP71" s="0" t="n">
        <v>0.02439837</v>
      </c>
      <c r="AQ71" s="0" t="n">
        <v>-0.01545182</v>
      </c>
      <c r="AR71" s="0" t="n">
        <v>0.01803941</v>
      </c>
      <c r="AS71" s="0" t="n">
        <v>0.01736192</v>
      </c>
      <c r="AT71" s="0" t="n">
        <v>0.03138893</v>
      </c>
      <c r="AU71" s="0" t="n">
        <v>0.01140912</v>
      </c>
      <c r="AV71" s="0" t="n">
        <v>0.0147337</v>
      </c>
      <c r="AW71" s="0" t="n">
        <v>0.00866402</v>
      </c>
      <c r="AX71" s="0" t="n">
        <v>0.02428956</v>
      </c>
      <c r="AY71" s="0" t="n">
        <v>0.0133482</v>
      </c>
      <c r="AZ71" s="0" t="n">
        <v>0.00834081</v>
      </c>
      <c r="BA71" s="0" t="n">
        <v>0.02399347</v>
      </c>
      <c r="BB71" s="0" t="n">
        <v>0.02627456</v>
      </c>
      <c r="BC71" s="0" t="n">
        <v>0.01378133</v>
      </c>
      <c r="BD71" s="0" t="n">
        <v>0.01626976</v>
      </c>
      <c r="BE71" s="0" t="n">
        <v>0.00937312</v>
      </c>
      <c r="BF71" s="0" t="n">
        <v>0.00597427</v>
      </c>
      <c r="BG71" s="0" t="n">
        <v>0.01537284</v>
      </c>
      <c r="BH71" s="0" t="n">
        <v>0.02184921</v>
      </c>
      <c r="BI71" s="0" t="n">
        <v>0.01291699</v>
      </c>
      <c r="BJ71" s="0" t="n">
        <v>-0.00064028</v>
      </c>
      <c r="BK71" s="0" t="n">
        <v>0.01063145</v>
      </c>
      <c r="BL71" s="0" t="n">
        <v>0.01766618</v>
      </c>
      <c r="BM71" s="0" t="n">
        <v>0.0137341</v>
      </c>
      <c r="BN71" s="0" t="n">
        <v>0.01140857</v>
      </c>
      <c r="BO71" s="0" t="n">
        <v>0.10801736</v>
      </c>
      <c r="BP71" s="0" t="n">
        <v>0.02191769</v>
      </c>
      <c r="BQ71" s="0" t="n">
        <v>0.02158617</v>
      </c>
      <c r="BR71" s="0" t="n">
        <v>0.02367518</v>
      </c>
      <c r="BS71" s="0" t="n">
        <v>-0.01251159</v>
      </c>
      <c r="BT71" s="0" t="n">
        <v>0.03859897</v>
      </c>
      <c r="BU71" s="0" t="n">
        <v>0.01614175</v>
      </c>
      <c r="BV71" s="0" t="n">
        <v>0.06571648</v>
      </c>
      <c r="BW71" s="0" t="n">
        <v>0.02307722</v>
      </c>
      <c r="BX71" s="0" t="n">
        <v>0.02830368</v>
      </c>
      <c r="BY71" s="0" t="n">
        <v>0.02788298</v>
      </c>
      <c r="BZ71" s="0" t="n">
        <v>0.03303654</v>
      </c>
      <c r="CA71" s="0" t="n">
        <v>0.01170883</v>
      </c>
      <c r="CB71" s="0" t="n">
        <v>-0.00273584</v>
      </c>
      <c r="CC71" s="0" t="n">
        <v>0.01073564</v>
      </c>
      <c r="CD71" s="0" t="n">
        <v>0.03811884</v>
      </c>
      <c r="CE71" s="0" t="n">
        <v>0.02030746</v>
      </c>
      <c r="CF71" s="0" t="n">
        <v>-0.01497554</v>
      </c>
      <c r="CG71" s="0" t="n">
        <v>0.03966692</v>
      </c>
      <c r="CH71" s="0" t="n">
        <v>0.02911959</v>
      </c>
      <c r="CI71" s="0" t="n">
        <v>-0.01769762</v>
      </c>
      <c r="CJ71" s="0" t="n">
        <v>0.02466262</v>
      </c>
      <c r="CK71" s="0" t="n">
        <v>0.02119312</v>
      </c>
      <c r="CL71" s="0" t="n">
        <v>0.02966322</v>
      </c>
      <c r="CM71" s="0" t="n">
        <v>0.03496831</v>
      </c>
      <c r="CN71" s="0" t="n">
        <v>-0.00210842</v>
      </c>
      <c r="CO71" s="0" t="n">
        <v>0.02064301</v>
      </c>
      <c r="CP71" s="0" t="n">
        <v>0.0239888</v>
      </c>
      <c r="CQ71" s="0" t="n">
        <v>0.04613931</v>
      </c>
      <c r="CR71" s="0" t="n">
        <v>0.04392871</v>
      </c>
      <c r="CS71" s="0" t="n">
        <v>0.0433322</v>
      </c>
      <c r="CT71" s="0" t="n">
        <v>0.04406579</v>
      </c>
      <c r="CU71" s="0" t="n">
        <v>0.05069494</v>
      </c>
      <c r="CV71" s="0" t="n">
        <v>0.04254981</v>
      </c>
      <c r="CW71" s="0" t="n">
        <v>0.04138321</v>
      </c>
      <c r="CX71" s="0" t="n">
        <v>0.04653077</v>
      </c>
      <c r="CY71" s="0" t="n">
        <v>0.05088841</v>
      </c>
      <c r="CZ71" s="0" t="n">
        <v>0.03161898</v>
      </c>
      <c r="DA71" s="0" t="n">
        <v>0.0268509</v>
      </c>
      <c r="DB71" s="0" t="n">
        <v>0.06458206</v>
      </c>
      <c r="DC71" s="0" t="n">
        <v>0.03017938</v>
      </c>
      <c r="DD71" s="0" t="n">
        <v>0.05010835</v>
      </c>
      <c r="DE71" s="0" t="n">
        <v>0.03207879</v>
      </c>
      <c r="DF71" s="0" t="n">
        <v>0.01866096</v>
      </c>
      <c r="DG71" s="0" t="n">
        <v>0.03000455</v>
      </c>
      <c r="DH71" s="0" t="n">
        <v>0.05103703</v>
      </c>
      <c r="DI71" s="0" t="n">
        <v>0.05966482</v>
      </c>
      <c r="DJ71" s="0" t="n">
        <v>0.05382437</v>
      </c>
      <c r="DK71" s="0" t="n">
        <v>0.05506363</v>
      </c>
      <c r="DL71" s="0" t="n">
        <v>0.0135692</v>
      </c>
      <c r="DM71" s="0" t="n">
        <v>0.05933003</v>
      </c>
      <c r="DN71" s="0" t="n">
        <v>0.03571533</v>
      </c>
      <c r="DO71" s="0" t="n">
        <v>0.05239533</v>
      </c>
      <c r="DP71" s="0" t="n">
        <v>0.06275879</v>
      </c>
      <c r="DQ71" s="0" t="n">
        <v>0.05111575</v>
      </c>
      <c r="DR71" s="0" t="n">
        <v>0.01827915</v>
      </c>
      <c r="DS71" s="0" t="n">
        <v>0.04520923</v>
      </c>
      <c r="DT71" s="0" t="n">
        <v>0.04711003</v>
      </c>
      <c r="DU71" s="0" t="n">
        <v>0.06213079</v>
      </c>
      <c r="DV71" s="0" t="n">
        <v>0.05599534</v>
      </c>
      <c r="DW71" s="0" t="n">
        <v>0.05602013</v>
      </c>
      <c r="DX71" s="0" t="n">
        <v>0.04141777</v>
      </c>
      <c r="DY71" s="0" t="n">
        <v>0.06188427</v>
      </c>
      <c r="DZ71" s="0" t="n">
        <v>0.03504138</v>
      </c>
      <c r="EA71" s="0" t="n">
        <v>0.04218451</v>
      </c>
      <c r="EB71" s="0" t="n">
        <v>0.06523958</v>
      </c>
      <c r="EC71" s="0" t="n">
        <v>-0.00533275</v>
      </c>
      <c r="ED71" s="0" t="n">
        <v>0.04846834</v>
      </c>
      <c r="EE71" s="0" t="n">
        <v>0.05830519</v>
      </c>
      <c r="EF71" s="0" t="n">
        <v>0.01690343</v>
      </c>
      <c r="EG71" s="0" t="n">
        <v>0.05858868</v>
      </c>
      <c r="EH71" s="0" t="n">
        <v>0.05696253</v>
      </c>
      <c r="EI71" s="0" t="n">
        <v>0.04278498</v>
      </c>
      <c r="EJ71" s="0" t="n">
        <v>0.06595215</v>
      </c>
      <c r="EK71" s="0" t="n">
        <v>0.05895587</v>
      </c>
      <c r="EL71" s="0" t="n">
        <v>0.05763027</v>
      </c>
      <c r="EM71" s="0" t="n">
        <v>0.05639133</v>
      </c>
      <c r="EN71" s="0" t="n">
        <v>0.06022227</v>
      </c>
      <c r="EO71" s="0" t="n">
        <v>0.0581522</v>
      </c>
      <c r="EP71" s="55" t="n">
        <f aca="false">SUMPRODUCT(B71:EO71,$B$5:$EO$5)</f>
        <v>0.054868442</v>
      </c>
      <c r="EQ71" s="55" t="n">
        <f aca="false">SUMIF('Mi portafolio'!$A$8:$A$19,$A71,'Mi portafolio'!$B$8:$B$19)</f>
        <v>0.2</v>
      </c>
    </row>
    <row r="72" customFormat="false" ht="15" hidden="false" customHeight="false" outlineLevel="0" collapsed="false">
      <c r="A72" s="54" t="s">
        <v>122</v>
      </c>
      <c r="B72" s="0" t="n">
        <v>0.00672687</v>
      </c>
      <c r="C72" s="0" t="n">
        <v>-0.00411902</v>
      </c>
      <c r="D72" s="0" t="n">
        <v>0.00536654</v>
      </c>
      <c r="E72" s="0" t="n">
        <v>0.00495531</v>
      </c>
      <c r="F72" s="0" t="n">
        <v>-0.00094121</v>
      </c>
      <c r="G72" s="0" t="n">
        <v>-0.00198397</v>
      </c>
      <c r="H72" s="0" t="n">
        <v>0.00204108</v>
      </c>
      <c r="I72" s="0" t="n">
        <v>0.00788444</v>
      </c>
      <c r="J72" s="0" t="n">
        <v>-0.01004072</v>
      </c>
      <c r="K72" s="0" t="n">
        <v>-0.00294611</v>
      </c>
      <c r="L72" s="0" t="n">
        <v>0.01284106</v>
      </c>
      <c r="M72" s="0" t="n">
        <v>0.01188479</v>
      </c>
      <c r="N72" s="0" t="n">
        <v>0.00503553</v>
      </c>
      <c r="O72" s="0" t="n">
        <v>0.00054045</v>
      </c>
      <c r="P72" s="0" t="n">
        <v>0.00443471</v>
      </c>
      <c r="Q72" s="0" t="n">
        <v>-0.00187263</v>
      </c>
      <c r="R72" s="0" t="n">
        <v>0.00070814</v>
      </c>
      <c r="S72" s="0" t="n">
        <v>0.00716597</v>
      </c>
      <c r="T72" s="0" t="n">
        <v>0.01096216</v>
      </c>
      <c r="U72" s="0" t="n">
        <v>0.00952939</v>
      </c>
      <c r="V72" s="0" t="n">
        <v>0.00202317</v>
      </c>
      <c r="W72" s="0" t="n">
        <v>0.00391238</v>
      </c>
      <c r="X72" s="0" t="n">
        <v>0.00955569</v>
      </c>
      <c r="Y72" s="0" t="n">
        <v>0.02009323</v>
      </c>
      <c r="Z72" s="0" t="n">
        <v>0.00181287</v>
      </c>
      <c r="AA72" s="0" t="n">
        <v>0.0070709</v>
      </c>
      <c r="AB72" s="0" t="n">
        <v>0.02480201</v>
      </c>
      <c r="AC72" s="0" t="n">
        <v>0.00606441</v>
      </c>
      <c r="AD72" s="0" t="n">
        <v>-0.00550995</v>
      </c>
      <c r="AE72" s="0" t="n">
        <v>0.0034212</v>
      </c>
      <c r="AF72" s="0" t="n">
        <v>0.00311602</v>
      </c>
      <c r="AG72" s="0" t="n">
        <v>-0.00462659</v>
      </c>
      <c r="AH72" s="0" t="n">
        <v>-0.00123713</v>
      </c>
      <c r="AI72" s="0" t="n">
        <v>-0.00041078</v>
      </c>
      <c r="AJ72" s="0" t="n">
        <v>0.00602214</v>
      </c>
      <c r="AK72" s="0" t="n">
        <v>-0.00572819</v>
      </c>
      <c r="AL72" s="0" t="n">
        <v>0.01596735</v>
      </c>
      <c r="AM72" s="0" t="n">
        <v>0.00506906</v>
      </c>
      <c r="AN72" s="0" t="n">
        <v>0.00803166</v>
      </c>
      <c r="AO72" s="0" t="n">
        <v>-0.0045192</v>
      </c>
      <c r="AP72" s="0" t="n">
        <v>0.01480918</v>
      </c>
      <c r="AQ72" s="0" t="n">
        <v>-0.00607379</v>
      </c>
      <c r="AR72" s="0" t="n">
        <v>0.01418449</v>
      </c>
      <c r="AS72" s="0" t="n">
        <v>0.00459922</v>
      </c>
      <c r="AT72" s="0" t="n">
        <v>0.02527755</v>
      </c>
      <c r="AU72" s="0" t="n">
        <v>-0.00401384</v>
      </c>
      <c r="AV72" s="0" t="n">
        <v>0.0099438</v>
      </c>
      <c r="AW72" s="0" t="n">
        <v>-0.00180916</v>
      </c>
      <c r="AX72" s="0" t="n">
        <v>0.00811077</v>
      </c>
      <c r="AY72" s="0" t="n">
        <v>0.01377253</v>
      </c>
      <c r="AZ72" s="0" t="n">
        <v>0.00375599</v>
      </c>
      <c r="BA72" s="0" t="n">
        <v>0.00043061</v>
      </c>
      <c r="BB72" s="0" t="n">
        <v>0.02307008</v>
      </c>
      <c r="BC72" s="0" t="n">
        <v>0.01237701</v>
      </c>
      <c r="BD72" s="0" t="n">
        <v>0.00919803</v>
      </c>
      <c r="BE72" s="0" t="n">
        <v>-0.00906638</v>
      </c>
      <c r="BF72" s="0" t="n">
        <v>-0.00239101</v>
      </c>
      <c r="BG72" s="0" t="n">
        <v>0.02121124</v>
      </c>
      <c r="BH72" s="0" t="n">
        <v>0.0155758</v>
      </c>
      <c r="BI72" s="0" t="n">
        <v>0.00602854</v>
      </c>
      <c r="BJ72" s="0" t="n">
        <v>-0.00232795</v>
      </c>
      <c r="BK72" s="0" t="n">
        <v>0.00467675</v>
      </c>
      <c r="BL72" s="0" t="n">
        <v>0.00271623</v>
      </c>
      <c r="BM72" s="0" t="n">
        <v>0.01341693</v>
      </c>
      <c r="BN72" s="0" t="n">
        <v>-0.00307778</v>
      </c>
      <c r="BO72" s="0" t="n">
        <v>0.02191769</v>
      </c>
      <c r="BP72" s="0" t="n">
        <v>0.11055374</v>
      </c>
      <c r="BQ72" s="0" t="n">
        <v>0.00646867</v>
      </c>
      <c r="BR72" s="0" t="n">
        <v>0.02338031</v>
      </c>
      <c r="BS72" s="0" t="n">
        <v>-0.00439596</v>
      </c>
      <c r="BT72" s="0" t="n">
        <v>0.00801636</v>
      </c>
      <c r="BU72" s="0" t="n">
        <v>-0.00396238</v>
      </c>
      <c r="BV72" s="0" t="n">
        <v>0.04811378</v>
      </c>
      <c r="BW72" s="0" t="n">
        <v>0.04124738</v>
      </c>
      <c r="BX72" s="0" t="n">
        <v>-0.00270201</v>
      </c>
      <c r="BY72" s="0" t="n">
        <v>0.01198196</v>
      </c>
      <c r="BZ72" s="0" t="n">
        <v>0.03262672</v>
      </c>
      <c r="CA72" s="0" t="n">
        <v>-0.00052898</v>
      </c>
      <c r="CB72" s="0" t="n">
        <v>-0.00654602</v>
      </c>
      <c r="CC72" s="0" t="n">
        <v>0.00814647</v>
      </c>
      <c r="CD72" s="0" t="n">
        <v>0.03613026</v>
      </c>
      <c r="CE72" s="0" t="n">
        <v>0.00962714</v>
      </c>
      <c r="CF72" s="0" t="n">
        <v>-0.00546625</v>
      </c>
      <c r="CG72" s="0" t="n">
        <v>0.03787823</v>
      </c>
      <c r="CH72" s="0" t="n">
        <v>0.00109246</v>
      </c>
      <c r="CI72" s="0" t="n">
        <v>-0.00199354</v>
      </c>
      <c r="CJ72" s="0" t="n">
        <v>0.03462617</v>
      </c>
      <c r="CK72" s="0" t="n">
        <v>0.02179084</v>
      </c>
      <c r="CL72" s="0" t="n">
        <v>0.00532777</v>
      </c>
      <c r="CM72" s="0" t="n">
        <v>0.03501245</v>
      </c>
      <c r="CN72" s="0" t="n">
        <v>0.00294958</v>
      </c>
      <c r="CO72" s="0" t="n">
        <v>0.01171483</v>
      </c>
      <c r="CP72" s="0" t="n">
        <v>0.02321224</v>
      </c>
      <c r="CQ72" s="0" t="n">
        <v>0.02197685</v>
      </c>
      <c r="CR72" s="0" t="n">
        <v>0.02447333</v>
      </c>
      <c r="CS72" s="0" t="n">
        <v>-0.0143747</v>
      </c>
      <c r="CT72" s="0" t="n">
        <v>0.03643821</v>
      </c>
      <c r="CU72" s="0" t="n">
        <v>0.01950737</v>
      </c>
      <c r="CV72" s="0" t="n">
        <v>0.02583537</v>
      </c>
      <c r="CW72" s="0" t="n">
        <v>0.04519352</v>
      </c>
      <c r="CX72" s="0" t="n">
        <v>0.03651312</v>
      </c>
      <c r="CY72" s="0" t="n">
        <v>0.00198453</v>
      </c>
      <c r="CZ72" s="0" t="n">
        <v>0.06035731</v>
      </c>
      <c r="DA72" s="0" t="n">
        <v>0.04789432</v>
      </c>
      <c r="DB72" s="0" t="n">
        <v>0.03895682</v>
      </c>
      <c r="DC72" s="0" t="n">
        <v>0.00872443</v>
      </c>
      <c r="DD72" s="0" t="n">
        <v>0.05439075</v>
      </c>
      <c r="DE72" s="0" t="n">
        <v>0.01388254</v>
      </c>
      <c r="DF72" s="0" t="n">
        <v>0.07717882</v>
      </c>
      <c r="DG72" s="0" t="n">
        <v>0.02120966</v>
      </c>
      <c r="DH72" s="0" t="n">
        <v>0.03724956</v>
      </c>
      <c r="DI72" s="0" t="n">
        <v>0.02890177</v>
      </c>
      <c r="DJ72" s="0" t="n">
        <v>0.00553425</v>
      </c>
      <c r="DK72" s="0" t="n">
        <v>0.0302342</v>
      </c>
      <c r="DL72" s="0" t="n">
        <v>0.00512952</v>
      </c>
      <c r="DM72" s="0" t="n">
        <v>0.01599404</v>
      </c>
      <c r="DN72" s="0" t="n">
        <v>0.04178462</v>
      </c>
      <c r="DO72" s="0" t="n">
        <v>0.01745499</v>
      </c>
      <c r="DP72" s="0" t="n">
        <v>0.00270667</v>
      </c>
      <c r="DQ72" s="0" t="n">
        <v>0.02899945</v>
      </c>
      <c r="DR72" s="0" t="n">
        <v>0.01720301</v>
      </c>
      <c r="DS72" s="0" t="n">
        <v>0.05694041</v>
      </c>
      <c r="DT72" s="0" t="n">
        <v>0.08839104</v>
      </c>
      <c r="DU72" s="0" t="n">
        <v>0.07990781</v>
      </c>
      <c r="DV72" s="0" t="n">
        <v>0.08953073</v>
      </c>
      <c r="DW72" s="0" t="n">
        <v>0.06877122</v>
      </c>
      <c r="DX72" s="0" t="n">
        <v>0.00329493</v>
      </c>
      <c r="DY72" s="0" t="n">
        <v>0.07749092</v>
      </c>
      <c r="DZ72" s="0" t="n">
        <v>0.07060814</v>
      </c>
      <c r="EA72" s="0" t="n">
        <v>0.02234867</v>
      </c>
      <c r="EB72" s="0" t="n">
        <v>0.08008146</v>
      </c>
      <c r="EC72" s="0" t="n">
        <v>-0.00657167</v>
      </c>
      <c r="ED72" s="0" t="n">
        <v>0.04492427</v>
      </c>
      <c r="EE72" s="0" t="n">
        <v>0.03821363</v>
      </c>
      <c r="EF72" s="0" t="n">
        <v>0.01551906</v>
      </c>
      <c r="EG72" s="0" t="n">
        <v>0.00996108</v>
      </c>
      <c r="EH72" s="0" t="n">
        <v>0.07179803</v>
      </c>
      <c r="EI72" s="0" t="n">
        <v>0.01286382</v>
      </c>
      <c r="EJ72" s="0" t="n">
        <v>0.0493622</v>
      </c>
      <c r="EK72" s="0" t="n">
        <v>0.07703673</v>
      </c>
      <c r="EL72" s="0" t="n">
        <v>0.06839088</v>
      </c>
      <c r="EM72" s="0" t="n">
        <v>0.11008776</v>
      </c>
      <c r="EN72" s="0" t="n">
        <v>0.03105839</v>
      </c>
      <c r="EO72" s="0" t="n">
        <v>0.06057084</v>
      </c>
      <c r="EP72" s="55" t="n">
        <f aca="false">SUMPRODUCT(B72:EO72,$B$5:$EO$5)</f>
        <v>0.02113704</v>
      </c>
      <c r="EQ72" s="55" t="n">
        <f aca="false">SUMIF('Mi portafolio'!$A$8:$A$19,$A72,'Mi portafolio'!$B$8:$B$19)</f>
        <v>0</v>
      </c>
    </row>
    <row r="73" customFormat="false" ht="15" hidden="false" customHeight="false" outlineLevel="0" collapsed="false">
      <c r="A73" s="54" t="s">
        <v>48</v>
      </c>
      <c r="B73" s="0" t="n">
        <v>-0.00263818</v>
      </c>
      <c r="C73" s="0" t="n">
        <v>0.0111429</v>
      </c>
      <c r="D73" s="0" t="n">
        <v>0.00652126</v>
      </c>
      <c r="E73" s="0" t="n">
        <v>0.00963522</v>
      </c>
      <c r="F73" s="0" t="n">
        <v>-0.00278453</v>
      </c>
      <c r="G73" s="0" t="n">
        <v>0.00643059</v>
      </c>
      <c r="H73" s="0" t="n">
        <v>0.01898963</v>
      </c>
      <c r="I73" s="0" t="n">
        <v>0.00143799</v>
      </c>
      <c r="J73" s="0" t="n">
        <v>-0.00185642</v>
      </c>
      <c r="K73" s="0" t="n">
        <v>0.00721394</v>
      </c>
      <c r="L73" s="0" t="n">
        <v>0.01580461</v>
      </c>
      <c r="M73" s="0" t="n">
        <v>0.02447954</v>
      </c>
      <c r="N73" s="0" t="n">
        <v>0.0029039</v>
      </c>
      <c r="O73" s="0" t="n">
        <v>0.02617392</v>
      </c>
      <c r="P73" s="0" t="n">
        <v>-0.00108306</v>
      </c>
      <c r="Q73" s="0" t="n">
        <v>0.0078586</v>
      </c>
      <c r="R73" s="0" t="n">
        <v>0.00049923</v>
      </c>
      <c r="S73" s="0" t="n">
        <v>0.02235889</v>
      </c>
      <c r="T73" s="0" t="n">
        <v>0.02009666</v>
      </c>
      <c r="U73" s="0" t="n">
        <v>0.02566555</v>
      </c>
      <c r="V73" s="0" t="n">
        <v>0.02142756</v>
      </c>
      <c r="W73" s="0" t="n">
        <v>0.02381398</v>
      </c>
      <c r="X73" s="0" t="n">
        <v>0.0247767</v>
      </c>
      <c r="Y73" s="0" t="n">
        <v>0.0034838</v>
      </c>
      <c r="Z73" s="0" t="n">
        <v>0.03008332</v>
      </c>
      <c r="AA73" s="0" t="n">
        <v>0.02088129</v>
      </c>
      <c r="AB73" s="0" t="n">
        <v>-0.00120152</v>
      </c>
      <c r="AC73" s="0" t="n">
        <v>0.00938766</v>
      </c>
      <c r="AD73" s="0" t="n">
        <v>0.02652715</v>
      </c>
      <c r="AE73" s="0" t="n">
        <v>0.02850271</v>
      </c>
      <c r="AF73" s="0" t="n">
        <v>0.03536481</v>
      </c>
      <c r="AG73" s="0" t="n">
        <v>-0.00438291</v>
      </c>
      <c r="AH73" s="0" t="n">
        <v>-0.00264008</v>
      </c>
      <c r="AI73" s="0" t="n">
        <v>-0.01232394</v>
      </c>
      <c r="AJ73" s="0" t="n">
        <v>0.01440269</v>
      </c>
      <c r="AK73" s="0" t="n">
        <v>0.0339488</v>
      </c>
      <c r="AL73" s="0" t="n">
        <v>0.00801117</v>
      </c>
      <c r="AM73" s="0" t="n">
        <v>0.02520065</v>
      </c>
      <c r="AN73" s="0" t="n">
        <v>0.02361577</v>
      </c>
      <c r="AO73" s="0" t="n">
        <v>-0.00624344</v>
      </c>
      <c r="AP73" s="0" t="n">
        <v>0.01488432</v>
      </c>
      <c r="AQ73" s="0" t="n">
        <v>-0.01368309</v>
      </c>
      <c r="AR73" s="0" t="n">
        <v>0.02265322</v>
      </c>
      <c r="AS73" s="0" t="n">
        <v>0.02753836</v>
      </c>
      <c r="AT73" s="0" t="n">
        <v>0.01985117</v>
      </c>
      <c r="AU73" s="0" t="n">
        <v>0.00248315</v>
      </c>
      <c r="AV73" s="0" t="n">
        <v>0.02373284</v>
      </c>
      <c r="AW73" s="0" t="n">
        <v>0.04496393</v>
      </c>
      <c r="AX73" s="0" t="n">
        <v>0.00557969</v>
      </c>
      <c r="AY73" s="0" t="n">
        <v>0.01995229</v>
      </c>
      <c r="AZ73" s="0" t="n">
        <v>0.03284901</v>
      </c>
      <c r="BA73" s="0" t="n">
        <v>0.03254241</v>
      </c>
      <c r="BB73" s="0" t="n">
        <v>0.03150481</v>
      </c>
      <c r="BC73" s="0" t="n">
        <v>0.02126921</v>
      </c>
      <c r="BD73" s="0" t="n">
        <v>0.03528009</v>
      </c>
      <c r="BE73" s="0" t="n">
        <v>0.01372762</v>
      </c>
      <c r="BF73" s="0" t="n">
        <v>0.02555193</v>
      </c>
      <c r="BG73" s="0" t="n">
        <v>0.00347172</v>
      </c>
      <c r="BH73" s="0" t="n">
        <v>0.02310623</v>
      </c>
      <c r="BI73" s="0" t="n">
        <v>0.01373561</v>
      </c>
      <c r="BJ73" s="0" t="n">
        <v>0.00237921</v>
      </c>
      <c r="BK73" s="0" t="n">
        <v>0.03463695</v>
      </c>
      <c r="BL73" s="0" t="n">
        <v>0.03540227</v>
      </c>
      <c r="BM73" s="0" t="n">
        <v>0.00992866</v>
      </c>
      <c r="BN73" s="0" t="n">
        <v>0.01260216</v>
      </c>
      <c r="BO73" s="0" t="n">
        <v>0.02158617</v>
      </c>
      <c r="BP73" s="0" t="n">
        <v>0.00646867</v>
      </c>
      <c r="BQ73" s="0" t="n">
        <v>0.11108086</v>
      </c>
      <c r="BR73" s="0" t="n">
        <v>0.02694197</v>
      </c>
      <c r="BS73" s="0" t="n">
        <v>-0.01969323</v>
      </c>
      <c r="BT73" s="0" t="n">
        <v>0.03704331</v>
      </c>
      <c r="BU73" s="0" t="n">
        <v>0.03172092</v>
      </c>
      <c r="BV73" s="0" t="n">
        <v>0.02426725</v>
      </c>
      <c r="BW73" s="0" t="n">
        <v>0.01379265</v>
      </c>
      <c r="BX73" s="0" t="n">
        <v>-0.00068054</v>
      </c>
      <c r="BY73" s="0" t="n">
        <v>0.02558934</v>
      </c>
      <c r="BZ73" s="0" t="n">
        <v>0.03229189</v>
      </c>
      <c r="CA73" s="0" t="n">
        <v>0.03093051</v>
      </c>
      <c r="CB73" s="0" t="n">
        <v>-0.0158685</v>
      </c>
      <c r="CC73" s="0" t="n">
        <v>0.01316156</v>
      </c>
      <c r="CD73" s="0" t="n">
        <v>0.01895524</v>
      </c>
      <c r="CE73" s="0" t="n">
        <v>0.02298275</v>
      </c>
      <c r="CF73" s="0" t="n">
        <v>-0.02314536</v>
      </c>
      <c r="CG73" s="0" t="n">
        <v>0.01903911</v>
      </c>
      <c r="CH73" s="0" t="n">
        <v>0.05875629</v>
      </c>
      <c r="CI73" s="0" t="n">
        <v>-0.02206511</v>
      </c>
      <c r="CJ73" s="0" t="n">
        <v>-0.00556964</v>
      </c>
      <c r="CK73" s="0" t="n">
        <v>0.01559252</v>
      </c>
      <c r="CL73" s="0" t="n">
        <v>0.03736584</v>
      </c>
      <c r="CM73" s="0" t="n">
        <v>0.03090199</v>
      </c>
      <c r="CN73" s="0" t="n">
        <v>0.02642732</v>
      </c>
      <c r="CO73" s="0" t="n">
        <v>0.02881218</v>
      </c>
      <c r="CP73" s="0" t="n">
        <v>0.00661863</v>
      </c>
      <c r="CQ73" s="0" t="n">
        <v>0.04158306</v>
      </c>
      <c r="CR73" s="0" t="n">
        <v>0.04094331</v>
      </c>
      <c r="CS73" s="0" t="n">
        <v>0.05686071</v>
      </c>
      <c r="CT73" s="0" t="n">
        <v>0.03604968</v>
      </c>
      <c r="CU73" s="0" t="n">
        <v>0.02178582</v>
      </c>
      <c r="CV73" s="0" t="n">
        <v>0.02375261</v>
      </c>
      <c r="CW73" s="0" t="n">
        <v>0.02728743</v>
      </c>
      <c r="CX73" s="0" t="n">
        <v>0.04833162</v>
      </c>
      <c r="CY73" s="0" t="n">
        <v>0.03396004</v>
      </c>
      <c r="CZ73" s="0" t="n">
        <v>0.01077653</v>
      </c>
      <c r="DA73" s="0" t="n">
        <v>0.01411942</v>
      </c>
      <c r="DB73" s="0" t="n">
        <v>0.05140434</v>
      </c>
      <c r="DC73" s="0" t="n">
        <v>0.0502024</v>
      </c>
      <c r="DD73" s="0" t="n">
        <v>0.0327703</v>
      </c>
      <c r="DE73" s="0" t="n">
        <v>0.06255098</v>
      </c>
      <c r="DF73" s="0" t="n">
        <v>-0.0197251</v>
      </c>
      <c r="DG73" s="0" t="n">
        <v>0.06464686</v>
      </c>
      <c r="DH73" s="0" t="n">
        <v>0.03520855</v>
      </c>
      <c r="DI73" s="0" t="n">
        <v>0.04232758</v>
      </c>
      <c r="DJ73" s="0" t="n">
        <v>0.03180806</v>
      </c>
      <c r="DK73" s="0" t="n">
        <v>0.05711581</v>
      </c>
      <c r="DL73" s="0" t="n">
        <v>0.05432374</v>
      </c>
      <c r="DM73" s="0" t="n">
        <v>0.05673741</v>
      </c>
      <c r="DN73" s="0" t="n">
        <v>0.01104357</v>
      </c>
      <c r="DO73" s="0" t="n">
        <v>0.03978425</v>
      </c>
      <c r="DP73" s="0" t="n">
        <v>0.04405087</v>
      </c>
      <c r="DQ73" s="0" t="n">
        <v>0.05009417</v>
      </c>
      <c r="DR73" s="0" t="n">
        <v>0.03993117</v>
      </c>
      <c r="DS73" s="0" t="n">
        <v>-0.01202726</v>
      </c>
      <c r="DT73" s="0" t="n">
        <v>0.0361613</v>
      </c>
      <c r="DU73" s="0" t="n">
        <v>0.05439635</v>
      </c>
      <c r="DV73" s="0" t="n">
        <v>0.01060531</v>
      </c>
      <c r="DW73" s="0" t="n">
        <v>0.02526416</v>
      </c>
      <c r="DX73" s="0" t="n">
        <v>0.06810893</v>
      </c>
      <c r="DY73" s="0" t="n">
        <v>0.0413476</v>
      </c>
      <c r="DZ73" s="0" t="n">
        <v>-0.00157821</v>
      </c>
      <c r="EA73" s="0" t="n">
        <v>0.04103872</v>
      </c>
      <c r="EB73" s="0" t="n">
        <v>0.03251547</v>
      </c>
      <c r="EC73" s="0" t="n">
        <v>0.03790976</v>
      </c>
      <c r="ED73" s="0" t="n">
        <v>0.05732003</v>
      </c>
      <c r="EE73" s="0" t="n">
        <v>0.06961703</v>
      </c>
      <c r="EF73" s="0" t="n">
        <v>0.06192089</v>
      </c>
      <c r="EG73" s="0" t="n">
        <v>0.06867526</v>
      </c>
      <c r="EH73" s="0" t="n">
        <v>0.00452901</v>
      </c>
      <c r="EI73" s="0" t="n">
        <v>0.07076183</v>
      </c>
      <c r="EJ73" s="0" t="n">
        <v>0.05354888</v>
      </c>
      <c r="EK73" s="0" t="n">
        <v>0.08056474</v>
      </c>
      <c r="EL73" s="0" t="n">
        <v>0.09613556</v>
      </c>
      <c r="EM73" s="0" t="n">
        <v>0.04737461</v>
      </c>
      <c r="EN73" s="0" t="n">
        <v>0.02619959</v>
      </c>
      <c r="EO73" s="0" t="n">
        <v>-0.00512247</v>
      </c>
      <c r="EP73" s="55" t="n">
        <f aca="false">SUMPRODUCT(B73:EO73,$B$5:$EO$5)</f>
        <v>0.055607242</v>
      </c>
      <c r="EQ73" s="55" t="n">
        <f aca="false">SUMIF('Mi portafolio'!$A$8:$A$19,$A73,'Mi portafolio'!$B$8:$B$19)</f>
        <v>0.2</v>
      </c>
    </row>
    <row r="74" customFormat="false" ht="15" hidden="false" customHeight="false" outlineLevel="0" collapsed="false">
      <c r="A74" s="54" t="s">
        <v>215</v>
      </c>
      <c r="B74" s="0" t="n">
        <v>0.01200569</v>
      </c>
      <c r="C74" s="0" t="n">
        <v>-0.00431267</v>
      </c>
      <c r="D74" s="0" t="n">
        <v>0.0023243</v>
      </c>
      <c r="E74" s="0" t="n">
        <v>0.00457323</v>
      </c>
      <c r="F74" s="0" t="n">
        <v>0.00977853</v>
      </c>
      <c r="G74" s="0" t="n">
        <v>-4.436E-005</v>
      </c>
      <c r="H74" s="0" t="n">
        <v>0.00820067</v>
      </c>
      <c r="I74" s="0" t="n">
        <v>0.01657242</v>
      </c>
      <c r="J74" s="0" t="n">
        <v>0.00641354</v>
      </c>
      <c r="K74" s="0" t="n">
        <v>0.00989478</v>
      </c>
      <c r="L74" s="0" t="n">
        <v>0.00696023</v>
      </c>
      <c r="M74" s="0" t="n">
        <v>0.02531713</v>
      </c>
      <c r="N74" s="0" t="n">
        <v>0.02008197</v>
      </c>
      <c r="O74" s="0" t="n">
        <v>0.00345359</v>
      </c>
      <c r="P74" s="0" t="n">
        <v>0.01112425</v>
      </c>
      <c r="Q74" s="0" t="n">
        <v>0.00367484</v>
      </c>
      <c r="R74" s="0" t="n">
        <v>0.01556383</v>
      </c>
      <c r="S74" s="0" t="n">
        <v>0.00672516</v>
      </c>
      <c r="T74" s="0" t="n">
        <v>0.02775364</v>
      </c>
      <c r="U74" s="0" t="n">
        <v>0.00955126</v>
      </c>
      <c r="V74" s="0" t="n">
        <v>0.00664904</v>
      </c>
      <c r="W74" s="0" t="n">
        <v>0.00631603</v>
      </c>
      <c r="X74" s="0" t="n">
        <v>0.023924</v>
      </c>
      <c r="Y74" s="0" t="n">
        <v>0.01417493</v>
      </c>
      <c r="Z74" s="0" t="n">
        <v>0.00253925</v>
      </c>
      <c r="AA74" s="0" t="n">
        <v>0.01486824</v>
      </c>
      <c r="AB74" s="0" t="n">
        <v>0.01889103</v>
      </c>
      <c r="AC74" s="0" t="n">
        <v>-0.00557255</v>
      </c>
      <c r="AD74" s="0" t="n">
        <v>0.00286935</v>
      </c>
      <c r="AE74" s="0" t="n">
        <v>0.01307944</v>
      </c>
      <c r="AF74" s="0" t="n">
        <v>0.00976318</v>
      </c>
      <c r="AG74" s="0" t="n">
        <v>0.00220641</v>
      </c>
      <c r="AH74" s="0" t="n">
        <v>0.00526491</v>
      </c>
      <c r="AI74" s="0" t="n">
        <v>-0.00387852</v>
      </c>
      <c r="AJ74" s="0" t="n">
        <v>0.01014834</v>
      </c>
      <c r="AK74" s="0" t="n">
        <v>0.00921713</v>
      </c>
      <c r="AL74" s="0" t="n">
        <v>0.02586422</v>
      </c>
      <c r="AM74" s="0" t="n">
        <v>0.01494265</v>
      </c>
      <c r="AN74" s="0" t="n">
        <v>0.03166494</v>
      </c>
      <c r="AO74" s="0" t="n">
        <v>-0.00106335</v>
      </c>
      <c r="AP74" s="0" t="n">
        <v>0.03719213</v>
      </c>
      <c r="AQ74" s="0" t="n">
        <v>-0.00471118</v>
      </c>
      <c r="AR74" s="0" t="n">
        <v>0.02782968</v>
      </c>
      <c r="AS74" s="0" t="n">
        <v>0.01203336</v>
      </c>
      <c r="AT74" s="0" t="n">
        <v>0.0337024</v>
      </c>
      <c r="AU74" s="0" t="n">
        <v>0.01182559</v>
      </c>
      <c r="AV74" s="0" t="n">
        <v>0.01511323</v>
      </c>
      <c r="AW74" s="0" t="n">
        <v>0.01212392</v>
      </c>
      <c r="AX74" s="0" t="n">
        <v>0.02001465</v>
      </c>
      <c r="AY74" s="0" t="n">
        <v>0.03416296</v>
      </c>
      <c r="AZ74" s="0" t="n">
        <v>0.01803869</v>
      </c>
      <c r="BA74" s="0" t="n">
        <v>0.02841994</v>
      </c>
      <c r="BB74" s="0" t="n">
        <v>0.04069239</v>
      </c>
      <c r="BC74" s="0" t="n">
        <v>0.01651585</v>
      </c>
      <c r="BD74" s="0" t="n">
        <v>0.00968353</v>
      </c>
      <c r="BE74" s="0" t="n">
        <v>0.01138439</v>
      </c>
      <c r="BF74" s="0" t="n">
        <v>0.01973697</v>
      </c>
      <c r="BG74" s="0" t="n">
        <v>0.03534266</v>
      </c>
      <c r="BH74" s="0" t="n">
        <v>0.00806932</v>
      </c>
      <c r="BI74" s="0" t="n">
        <v>0.01873494</v>
      </c>
      <c r="BJ74" s="0" t="n">
        <v>0.00617548</v>
      </c>
      <c r="BK74" s="0" t="n">
        <v>0.01768256</v>
      </c>
      <c r="BL74" s="0" t="n">
        <v>0.02462794</v>
      </c>
      <c r="BM74" s="0" t="n">
        <v>0.03448438</v>
      </c>
      <c r="BN74" s="0" t="n">
        <v>0.00036249</v>
      </c>
      <c r="BO74" s="0" t="n">
        <v>0.02367518</v>
      </c>
      <c r="BP74" s="0" t="n">
        <v>0.02338031</v>
      </c>
      <c r="BQ74" s="0" t="n">
        <v>0.02694197</v>
      </c>
      <c r="BR74" s="0" t="n">
        <v>0.10949899</v>
      </c>
      <c r="BS74" s="0" t="n">
        <v>0.00477707</v>
      </c>
      <c r="BT74" s="0" t="n">
        <v>0.035939</v>
      </c>
      <c r="BU74" s="0" t="n">
        <v>0.01702628</v>
      </c>
      <c r="BV74" s="0" t="n">
        <v>0.02778763</v>
      </c>
      <c r="BW74" s="0" t="n">
        <v>0.07199891</v>
      </c>
      <c r="BX74" s="0" t="n">
        <v>0.02499424</v>
      </c>
      <c r="BY74" s="0" t="n">
        <v>0.03699958</v>
      </c>
      <c r="BZ74" s="0" t="n">
        <v>0.03283463</v>
      </c>
      <c r="CA74" s="0" t="n">
        <v>0.00462855</v>
      </c>
      <c r="CB74" s="0" t="n">
        <v>-0.00067607</v>
      </c>
      <c r="CC74" s="0" t="n">
        <v>0.00812713</v>
      </c>
      <c r="CD74" s="0" t="n">
        <v>0.03411983</v>
      </c>
      <c r="CE74" s="0" t="n">
        <v>0.02352827</v>
      </c>
      <c r="CF74" s="0" t="n">
        <v>0.00453753</v>
      </c>
      <c r="CG74" s="0" t="n">
        <v>0.05024008</v>
      </c>
      <c r="CH74" s="0" t="n">
        <v>0.01834608</v>
      </c>
      <c r="CI74" s="0" t="n">
        <v>0.0004472</v>
      </c>
      <c r="CJ74" s="0" t="n">
        <v>0.02408207</v>
      </c>
      <c r="CK74" s="0" t="n">
        <v>0.04557751</v>
      </c>
      <c r="CL74" s="0" t="n">
        <v>0.03073923</v>
      </c>
      <c r="CM74" s="0" t="n">
        <v>0.01931262</v>
      </c>
      <c r="CN74" s="0" t="n">
        <v>-0.00558675</v>
      </c>
      <c r="CO74" s="0" t="n">
        <v>0.01889632</v>
      </c>
      <c r="CP74" s="0" t="n">
        <v>0.0334121</v>
      </c>
      <c r="CQ74" s="0" t="n">
        <v>0.06886289</v>
      </c>
      <c r="CR74" s="0" t="n">
        <v>0.03779975</v>
      </c>
      <c r="CS74" s="0" t="n">
        <v>0.03329278</v>
      </c>
      <c r="CT74" s="0" t="n">
        <v>0.04080654</v>
      </c>
      <c r="CU74" s="0" t="n">
        <v>0.0380479</v>
      </c>
      <c r="CV74" s="0" t="n">
        <v>0.01839255</v>
      </c>
      <c r="CW74" s="0" t="n">
        <v>0.04828591</v>
      </c>
      <c r="CX74" s="0" t="n">
        <v>0.04188548</v>
      </c>
      <c r="CY74" s="0" t="n">
        <v>0.04979756</v>
      </c>
      <c r="CZ74" s="0" t="n">
        <v>0.02794674</v>
      </c>
      <c r="DA74" s="0" t="n">
        <v>0.02328312</v>
      </c>
      <c r="DB74" s="0" t="n">
        <v>0.02279084</v>
      </c>
      <c r="DC74" s="0" t="n">
        <v>0.0436106</v>
      </c>
      <c r="DD74" s="0" t="n">
        <v>0.04356383</v>
      </c>
      <c r="DE74" s="0" t="n">
        <v>0.0316772</v>
      </c>
      <c r="DF74" s="0" t="n">
        <v>0.01885977</v>
      </c>
      <c r="DG74" s="0" t="n">
        <v>0.03115815</v>
      </c>
      <c r="DH74" s="0" t="n">
        <v>0.02973467</v>
      </c>
      <c r="DI74" s="0" t="n">
        <v>0.07474731</v>
      </c>
      <c r="DJ74" s="0" t="n">
        <v>0.05488288</v>
      </c>
      <c r="DK74" s="0" t="n">
        <v>0.08333348</v>
      </c>
      <c r="DL74" s="0" t="n">
        <v>0.0045767</v>
      </c>
      <c r="DM74" s="0" t="n">
        <v>0.07271012</v>
      </c>
      <c r="DN74" s="0" t="n">
        <v>0.04875398</v>
      </c>
      <c r="DO74" s="0" t="n">
        <v>0.03377307</v>
      </c>
      <c r="DP74" s="0" t="n">
        <v>0.0685639</v>
      </c>
      <c r="DQ74" s="0" t="n">
        <v>0.04391472</v>
      </c>
      <c r="DR74" s="0" t="n">
        <v>0.03344268</v>
      </c>
      <c r="DS74" s="0" t="n">
        <v>0.02493957</v>
      </c>
      <c r="DT74" s="0" t="n">
        <v>0.01854153</v>
      </c>
      <c r="DU74" s="0" t="n">
        <v>0.05773908</v>
      </c>
      <c r="DV74" s="0" t="n">
        <v>0.02878501</v>
      </c>
      <c r="DW74" s="0" t="n">
        <v>0.05711389</v>
      </c>
      <c r="DX74" s="0" t="n">
        <v>0.03943881</v>
      </c>
      <c r="DY74" s="0" t="n">
        <v>0.06923906</v>
      </c>
      <c r="DZ74" s="0" t="n">
        <v>0.03856521</v>
      </c>
      <c r="EA74" s="0" t="n">
        <v>0.04048867</v>
      </c>
      <c r="EB74" s="0" t="n">
        <v>0.07270235</v>
      </c>
      <c r="EC74" s="0" t="n">
        <v>-0.00143994</v>
      </c>
      <c r="ED74" s="0" t="n">
        <v>0.07281269</v>
      </c>
      <c r="EE74" s="0" t="n">
        <v>0.03702659</v>
      </c>
      <c r="EF74" s="0" t="n">
        <v>0.06005039</v>
      </c>
      <c r="EG74" s="0" t="n">
        <v>0.04625612</v>
      </c>
      <c r="EH74" s="0" t="n">
        <v>0.05688329</v>
      </c>
      <c r="EI74" s="0" t="n">
        <v>0.04068003</v>
      </c>
      <c r="EJ74" s="0" t="n">
        <v>0.04831591</v>
      </c>
      <c r="EK74" s="0" t="n">
        <v>0.06802234</v>
      </c>
      <c r="EL74" s="0" t="n">
        <v>0.0808239</v>
      </c>
      <c r="EM74" s="0" t="n">
        <v>0.07000229</v>
      </c>
      <c r="EN74" s="0" t="n">
        <v>0.0185259</v>
      </c>
      <c r="EO74" s="0" t="n">
        <v>0.06830689</v>
      </c>
      <c r="EP74" s="55" t="n">
        <f aca="false">SUMPRODUCT(B74:EO74,$B$5:$EO$5)</f>
        <v>0.024297748</v>
      </c>
      <c r="EQ74" s="55" t="n">
        <f aca="false">SUMIF('Mi portafolio'!$A$8:$A$19,$A74,'Mi portafolio'!$B$8:$B$19)</f>
        <v>0</v>
      </c>
    </row>
    <row r="75" customFormat="false" ht="15" hidden="false" customHeight="false" outlineLevel="0" collapsed="false">
      <c r="A75" s="54" t="s">
        <v>216</v>
      </c>
      <c r="B75" s="0" t="n">
        <v>0.00113147</v>
      </c>
      <c r="C75" s="0" t="n">
        <v>-0.00175069</v>
      </c>
      <c r="D75" s="0" t="n">
        <v>-0.00416384</v>
      </c>
      <c r="E75" s="0" t="n">
        <v>0.00210584</v>
      </c>
      <c r="F75" s="0" t="n">
        <v>0.00968033</v>
      </c>
      <c r="G75" s="0" t="n">
        <v>-0.00013294</v>
      </c>
      <c r="H75" s="0" t="n">
        <v>-0.0070304</v>
      </c>
      <c r="I75" s="0" t="n">
        <v>0.00057686</v>
      </c>
      <c r="J75" s="0" t="n">
        <v>0.00795787</v>
      </c>
      <c r="K75" s="0" t="n">
        <v>-0.00433789</v>
      </c>
      <c r="L75" s="0" t="n">
        <v>-0.00465218</v>
      </c>
      <c r="M75" s="0" t="n">
        <v>-0.00708717</v>
      </c>
      <c r="N75" s="0" t="n">
        <v>0.0029316</v>
      </c>
      <c r="O75" s="0" t="n">
        <v>-0.00482029</v>
      </c>
      <c r="P75" s="0" t="n">
        <v>0.01270078</v>
      </c>
      <c r="Q75" s="0" t="n">
        <v>-0.00403351</v>
      </c>
      <c r="R75" s="0" t="n">
        <v>0.01048733</v>
      </c>
      <c r="S75" s="0" t="n">
        <v>-0.00956598</v>
      </c>
      <c r="T75" s="0" t="n">
        <v>-0.00060382</v>
      </c>
      <c r="U75" s="0" t="n">
        <v>-0.00768606</v>
      </c>
      <c r="V75" s="0" t="n">
        <v>-0.00720078</v>
      </c>
      <c r="W75" s="0" t="n">
        <v>-0.00344419</v>
      </c>
      <c r="X75" s="0" t="n">
        <v>-0.0013424</v>
      </c>
      <c r="Y75" s="0" t="n">
        <v>-0.00126819</v>
      </c>
      <c r="Z75" s="0" t="n">
        <v>-0.00908671</v>
      </c>
      <c r="AA75" s="0" t="n">
        <v>-0.01121015</v>
      </c>
      <c r="AB75" s="0" t="n">
        <v>-0.00039724</v>
      </c>
      <c r="AC75" s="0" t="n">
        <v>0.00058727</v>
      </c>
      <c r="AD75" s="0" t="n">
        <v>0.00563965</v>
      </c>
      <c r="AE75" s="0" t="n">
        <v>-0.01931233</v>
      </c>
      <c r="AF75" s="0" t="n">
        <v>-0.00908403</v>
      </c>
      <c r="AG75" s="0" t="n">
        <v>0.01908757</v>
      </c>
      <c r="AH75" s="0" t="n">
        <v>0.01840998</v>
      </c>
      <c r="AI75" s="0" t="n">
        <v>0.06351142</v>
      </c>
      <c r="AJ75" s="0" t="n">
        <v>-0.00589899</v>
      </c>
      <c r="AK75" s="0" t="n">
        <v>-0.01327377</v>
      </c>
      <c r="AL75" s="0" t="n">
        <v>-0.00108591</v>
      </c>
      <c r="AM75" s="0" t="n">
        <v>-0.01115172</v>
      </c>
      <c r="AN75" s="0" t="n">
        <v>-0.01761192</v>
      </c>
      <c r="AO75" s="0" t="n">
        <v>0.00555506</v>
      </c>
      <c r="AP75" s="0" t="n">
        <v>-0.00697856</v>
      </c>
      <c r="AQ75" s="0" t="n">
        <v>0.06948066</v>
      </c>
      <c r="AR75" s="0" t="n">
        <v>0.00245016</v>
      </c>
      <c r="AS75" s="0" t="n">
        <v>-0.0143611</v>
      </c>
      <c r="AT75" s="0" t="n">
        <v>-0.00833744</v>
      </c>
      <c r="AU75" s="0" t="n">
        <v>0.01063324</v>
      </c>
      <c r="AV75" s="0" t="n">
        <v>-0.00282721</v>
      </c>
      <c r="AW75" s="0" t="n">
        <v>-0.00686124</v>
      </c>
      <c r="AX75" s="0" t="n">
        <v>0.00154438</v>
      </c>
      <c r="AY75" s="0" t="n">
        <v>-0.00022818</v>
      </c>
      <c r="AZ75" s="0" t="n">
        <v>-0.02028743</v>
      </c>
      <c r="BA75" s="0" t="n">
        <v>-0.00337842</v>
      </c>
      <c r="BB75" s="0" t="n">
        <v>-0.01029216</v>
      </c>
      <c r="BC75" s="0" t="n">
        <v>-0.00463184</v>
      </c>
      <c r="BD75" s="0" t="n">
        <v>-0.01316371</v>
      </c>
      <c r="BE75" s="0" t="n">
        <v>0.00529086</v>
      </c>
      <c r="BF75" s="0" t="n">
        <v>-0.00024624</v>
      </c>
      <c r="BG75" s="0" t="n">
        <v>-0.00374596</v>
      </c>
      <c r="BH75" s="0" t="n">
        <v>-0.01686736</v>
      </c>
      <c r="BI75" s="0" t="n">
        <v>-0.00406139</v>
      </c>
      <c r="BJ75" s="0" t="n">
        <v>0.00805939</v>
      </c>
      <c r="BK75" s="0" t="n">
        <v>-0.01329357</v>
      </c>
      <c r="BL75" s="0" t="n">
        <v>-0.00209766</v>
      </c>
      <c r="BM75" s="0" t="n">
        <v>0.00529557</v>
      </c>
      <c r="BN75" s="0" t="n">
        <v>0.00528035</v>
      </c>
      <c r="BO75" s="0" t="n">
        <v>-0.01251159</v>
      </c>
      <c r="BP75" s="0" t="n">
        <v>-0.00439596</v>
      </c>
      <c r="BQ75" s="0" t="n">
        <v>-0.01969323</v>
      </c>
      <c r="BR75" s="0" t="n">
        <v>0.00477707</v>
      </c>
      <c r="BS75" s="0" t="n">
        <v>0.11625641</v>
      </c>
      <c r="BT75" s="0" t="n">
        <v>-0.02720798</v>
      </c>
      <c r="BU75" s="0" t="n">
        <v>-0.01047082</v>
      </c>
      <c r="BV75" s="0" t="n">
        <v>-0.00380742</v>
      </c>
      <c r="BW75" s="0" t="n">
        <v>0.00348302</v>
      </c>
      <c r="BX75" s="0" t="n">
        <v>0.00089517</v>
      </c>
      <c r="BY75" s="0" t="n">
        <v>-0.0043619</v>
      </c>
      <c r="BZ75" s="0" t="n">
        <v>-0.01755027</v>
      </c>
      <c r="CA75" s="0" t="n">
        <v>-0.01156898</v>
      </c>
      <c r="CB75" s="0" t="n">
        <v>0.01619849</v>
      </c>
      <c r="CC75" s="0" t="n">
        <v>-0.00111124</v>
      </c>
      <c r="CD75" s="0" t="n">
        <v>0.00097244</v>
      </c>
      <c r="CE75" s="0" t="n">
        <v>0.0151506</v>
      </c>
      <c r="CF75" s="0" t="n">
        <v>0.10336432</v>
      </c>
      <c r="CG75" s="0" t="n">
        <v>-0.0098624</v>
      </c>
      <c r="CH75" s="0" t="n">
        <v>-0.01863631</v>
      </c>
      <c r="CI75" s="0" t="n">
        <v>0.10206232</v>
      </c>
      <c r="CJ75" s="0" t="n">
        <v>0.01463239</v>
      </c>
      <c r="CK75" s="0" t="n">
        <v>0.00604251</v>
      </c>
      <c r="CL75" s="0" t="n">
        <v>-0.00620894</v>
      </c>
      <c r="CM75" s="0" t="n">
        <v>-0.00625868</v>
      </c>
      <c r="CN75" s="0" t="n">
        <v>-3.473E-005</v>
      </c>
      <c r="CO75" s="0" t="n">
        <v>-0.01624228</v>
      </c>
      <c r="CP75" s="0" t="n">
        <v>0.00801328</v>
      </c>
      <c r="CQ75" s="0" t="n">
        <v>-0.02930205</v>
      </c>
      <c r="CR75" s="0" t="n">
        <v>-0.01010774</v>
      </c>
      <c r="CS75" s="0" t="n">
        <v>0.00294268</v>
      </c>
      <c r="CT75" s="0" t="n">
        <v>-0.0099113</v>
      </c>
      <c r="CU75" s="0" t="n">
        <v>0.00479207</v>
      </c>
      <c r="CV75" s="0" t="n">
        <v>-0.0172253</v>
      </c>
      <c r="CW75" s="0" t="n">
        <v>-0.01068757</v>
      </c>
      <c r="CX75" s="0" t="n">
        <v>-0.01526849</v>
      </c>
      <c r="CY75" s="0" t="n">
        <v>-0.03888167</v>
      </c>
      <c r="CZ75" s="0" t="n">
        <v>0.01203941</v>
      </c>
      <c r="DA75" s="0" t="n">
        <v>0.00153439</v>
      </c>
      <c r="DB75" s="0" t="n">
        <v>-0.00734892</v>
      </c>
      <c r="DC75" s="0" t="n">
        <v>-0.045816</v>
      </c>
      <c r="DD75" s="0" t="n">
        <v>-0.0097456</v>
      </c>
      <c r="DE75" s="0" t="n">
        <v>-0.01582787</v>
      </c>
      <c r="DF75" s="0" t="n">
        <v>0.00870557</v>
      </c>
      <c r="DG75" s="0" t="n">
        <v>-0.01375185</v>
      </c>
      <c r="DH75" s="0" t="n">
        <v>0.00197164</v>
      </c>
      <c r="DI75" s="0" t="n">
        <v>-0.05283707</v>
      </c>
      <c r="DJ75" s="0" t="n">
        <v>-0.02301915</v>
      </c>
      <c r="DK75" s="0" t="n">
        <v>-0.05060485</v>
      </c>
      <c r="DL75" s="0" t="n">
        <v>-0.03393294</v>
      </c>
      <c r="DM75" s="0" t="n">
        <v>-0.04212039</v>
      </c>
      <c r="DN75" s="0" t="n">
        <v>-0.00713676</v>
      </c>
      <c r="DO75" s="0" t="n">
        <v>0.00584426</v>
      </c>
      <c r="DP75" s="0" t="n">
        <v>-0.03917559</v>
      </c>
      <c r="DQ75" s="0" t="n">
        <v>0.01008041</v>
      </c>
      <c r="DR75" s="0" t="n">
        <v>0.01092324</v>
      </c>
      <c r="DS75" s="0" t="n">
        <v>0.00011961</v>
      </c>
      <c r="DT75" s="0" t="n">
        <v>-0.00462233</v>
      </c>
      <c r="DU75" s="0" t="n">
        <v>-0.02497552</v>
      </c>
      <c r="DV75" s="0" t="n">
        <v>-0.00534533</v>
      </c>
      <c r="DW75" s="0" t="n">
        <v>-0.02739567</v>
      </c>
      <c r="DX75" s="0" t="n">
        <v>-0.01132726</v>
      </c>
      <c r="DY75" s="0" t="n">
        <v>-0.03162411</v>
      </c>
      <c r="DZ75" s="0" t="n">
        <v>0.01492891</v>
      </c>
      <c r="EA75" s="0" t="n">
        <v>-0.03814726</v>
      </c>
      <c r="EB75" s="0" t="n">
        <v>-0.0207635</v>
      </c>
      <c r="EC75" s="0" t="n">
        <v>-0.01713625</v>
      </c>
      <c r="ED75" s="0" t="n">
        <v>-0.00664156</v>
      </c>
      <c r="EE75" s="0" t="n">
        <v>-0.01277932</v>
      </c>
      <c r="EF75" s="0" t="n">
        <v>0.00543432</v>
      </c>
      <c r="EG75" s="0" t="n">
        <v>-0.01533831</v>
      </c>
      <c r="EH75" s="0" t="n">
        <v>-0.01231396</v>
      </c>
      <c r="EI75" s="0" t="n">
        <v>-0.00588066</v>
      </c>
      <c r="EJ75" s="0" t="n">
        <v>0.0068105</v>
      </c>
      <c r="EK75" s="0" t="n">
        <v>0.0241278</v>
      </c>
      <c r="EL75" s="0" t="n">
        <v>-0.02732355</v>
      </c>
      <c r="EM75" s="0" t="n">
        <v>-0.00754576</v>
      </c>
      <c r="EN75" s="0" t="n">
        <v>-0.02307662</v>
      </c>
      <c r="EO75" s="0" t="n">
        <v>-0.00211134</v>
      </c>
      <c r="EP75" s="55" t="n">
        <f aca="false">SUMPRODUCT(B75:EO75,$B$5:$EO$5)</f>
        <v>-0.011243682</v>
      </c>
      <c r="EQ75" s="55" t="n">
        <f aca="false">SUMIF('Mi portafolio'!$A$8:$A$19,$A75,'Mi portafolio'!$B$8:$B$19)</f>
        <v>0</v>
      </c>
    </row>
    <row r="76" customFormat="false" ht="15" hidden="false" customHeight="false" outlineLevel="0" collapsed="false">
      <c r="A76" s="54" t="s">
        <v>218</v>
      </c>
      <c r="B76" s="0" t="n">
        <v>0.01042084</v>
      </c>
      <c r="C76" s="0" t="n">
        <v>0.00217495</v>
      </c>
      <c r="D76" s="0" t="n">
        <v>0.00342756</v>
      </c>
      <c r="E76" s="0" t="n">
        <v>0.00360265</v>
      </c>
      <c r="F76" s="0" t="n">
        <v>0.00543176</v>
      </c>
      <c r="G76" s="0" t="n">
        <v>0.00092061</v>
      </c>
      <c r="H76" s="0" t="n">
        <v>0.01335619</v>
      </c>
      <c r="I76" s="0" t="n">
        <v>0.01296513</v>
      </c>
      <c r="J76" s="0" t="n">
        <v>0.0143336</v>
      </c>
      <c r="K76" s="0" t="n">
        <v>0.01263532</v>
      </c>
      <c r="L76" s="0" t="n">
        <v>0.00954885</v>
      </c>
      <c r="M76" s="0" t="n">
        <v>0.02631856</v>
      </c>
      <c r="N76" s="0" t="n">
        <v>0.01506571</v>
      </c>
      <c r="O76" s="0" t="n">
        <v>0.0145388</v>
      </c>
      <c r="P76" s="0" t="n">
        <v>0.00186891</v>
      </c>
      <c r="Q76" s="0" t="n">
        <v>0.00141411</v>
      </c>
      <c r="R76" s="0" t="n">
        <v>0.00654308</v>
      </c>
      <c r="S76" s="0" t="n">
        <v>0.01311754</v>
      </c>
      <c r="T76" s="0" t="n">
        <v>0.03582946</v>
      </c>
      <c r="U76" s="0" t="n">
        <v>0.0154075</v>
      </c>
      <c r="V76" s="0" t="n">
        <v>0.00462707</v>
      </c>
      <c r="W76" s="0" t="n">
        <v>0.00501928</v>
      </c>
      <c r="X76" s="0" t="n">
        <v>0.03766616</v>
      </c>
      <c r="Y76" s="0" t="n">
        <v>0.0134994</v>
      </c>
      <c r="Z76" s="0" t="n">
        <v>0.00992295</v>
      </c>
      <c r="AA76" s="0" t="n">
        <v>0.0119174</v>
      </c>
      <c r="AB76" s="0" t="n">
        <v>0.01425769</v>
      </c>
      <c r="AC76" s="0" t="n">
        <v>0.00896176</v>
      </c>
      <c r="AD76" s="0" t="n">
        <v>0.01441166</v>
      </c>
      <c r="AE76" s="0" t="n">
        <v>0.02492337</v>
      </c>
      <c r="AF76" s="0" t="n">
        <v>0.01623867</v>
      </c>
      <c r="AG76" s="0" t="n">
        <v>-0.00578738</v>
      </c>
      <c r="AH76" s="0" t="n">
        <v>0.0001128</v>
      </c>
      <c r="AI76" s="0" t="n">
        <v>-0.02013485</v>
      </c>
      <c r="AJ76" s="0" t="n">
        <v>0.00501107</v>
      </c>
      <c r="AK76" s="0" t="n">
        <v>0.02424121</v>
      </c>
      <c r="AL76" s="0" t="n">
        <v>0.02040807</v>
      </c>
      <c r="AM76" s="0" t="n">
        <v>0.02502761</v>
      </c>
      <c r="AN76" s="0" t="n">
        <v>0.03931063</v>
      </c>
      <c r="AO76" s="0" t="n">
        <v>0.01114157</v>
      </c>
      <c r="AP76" s="0" t="n">
        <v>0.02318202</v>
      </c>
      <c r="AQ76" s="0" t="n">
        <v>-0.02326231</v>
      </c>
      <c r="AR76" s="0" t="n">
        <v>0.03502684</v>
      </c>
      <c r="AS76" s="0" t="n">
        <v>0.01447585</v>
      </c>
      <c r="AT76" s="0" t="n">
        <v>0.02930487</v>
      </c>
      <c r="AU76" s="0" t="n">
        <v>0.01021441</v>
      </c>
      <c r="AV76" s="0" t="n">
        <v>0.00874876</v>
      </c>
      <c r="AW76" s="0" t="n">
        <v>0.02115583</v>
      </c>
      <c r="AX76" s="0" t="n">
        <v>0.02364674</v>
      </c>
      <c r="AY76" s="0" t="n">
        <v>0.02064004</v>
      </c>
      <c r="AZ76" s="0" t="n">
        <v>0.02338116</v>
      </c>
      <c r="BA76" s="0" t="n">
        <v>0.03328079</v>
      </c>
      <c r="BB76" s="0" t="n">
        <v>0.05273968</v>
      </c>
      <c r="BC76" s="0" t="n">
        <v>0.02075412</v>
      </c>
      <c r="BD76" s="0" t="n">
        <v>0.01562221</v>
      </c>
      <c r="BE76" s="0" t="n">
        <v>0.0238371</v>
      </c>
      <c r="BF76" s="0" t="n">
        <v>0.02312903</v>
      </c>
      <c r="BG76" s="0" t="n">
        <v>0.02321434</v>
      </c>
      <c r="BH76" s="0" t="n">
        <v>0.02327989</v>
      </c>
      <c r="BI76" s="0" t="n">
        <v>0.01224797</v>
      </c>
      <c r="BJ76" s="0" t="n">
        <v>0.00496785</v>
      </c>
      <c r="BK76" s="0" t="n">
        <v>0.01875422</v>
      </c>
      <c r="BL76" s="0" t="n">
        <v>0.03807393</v>
      </c>
      <c r="BM76" s="0" t="n">
        <v>0.01396899</v>
      </c>
      <c r="BN76" s="0" t="n">
        <v>0.01298957</v>
      </c>
      <c r="BO76" s="0" t="n">
        <v>0.03859897</v>
      </c>
      <c r="BP76" s="0" t="n">
        <v>0.00801636</v>
      </c>
      <c r="BQ76" s="0" t="n">
        <v>0.03704331</v>
      </c>
      <c r="BR76" s="0" t="n">
        <v>0.035939</v>
      </c>
      <c r="BS76" s="0" t="n">
        <v>-0.02720798</v>
      </c>
      <c r="BT76" s="0" t="n">
        <v>0.11888306</v>
      </c>
      <c r="BU76" s="0" t="n">
        <v>0.02694647</v>
      </c>
      <c r="BV76" s="0" t="n">
        <v>0.0302857</v>
      </c>
      <c r="BW76" s="0" t="n">
        <v>0.02212</v>
      </c>
      <c r="BX76" s="0" t="n">
        <v>0.02331627</v>
      </c>
      <c r="BY76" s="0" t="n">
        <v>0.04298219</v>
      </c>
      <c r="BZ76" s="0" t="n">
        <v>0.06020717</v>
      </c>
      <c r="CA76" s="0" t="n">
        <v>0.01779788</v>
      </c>
      <c r="CB76" s="0" t="n">
        <v>-0.00573439</v>
      </c>
      <c r="CC76" s="0" t="n">
        <v>0.00318787</v>
      </c>
      <c r="CD76" s="0" t="n">
        <v>0.03459221</v>
      </c>
      <c r="CE76" s="0" t="n">
        <v>0.01717407</v>
      </c>
      <c r="CF76" s="0" t="n">
        <v>-0.03465265</v>
      </c>
      <c r="CG76" s="0" t="n">
        <v>0.03108351</v>
      </c>
      <c r="CH76" s="0" t="n">
        <v>0.04250406</v>
      </c>
      <c r="CI76" s="0" t="n">
        <v>-0.03334678</v>
      </c>
      <c r="CJ76" s="0" t="n">
        <v>0.01478033</v>
      </c>
      <c r="CK76" s="0" t="n">
        <v>0.01938986</v>
      </c>
      <c r="CL76" s="0" t="n">
        <v>0.03877609</v>
      </c>
      <c r="CM76" s="0" t="n">
        <v>0.03950822</v>
      </c>
      <c r="CN76" s="0" t="n">
        <v>0.00909972</v>
      </c>
      <c r="CO76" s="0" t="n">
        <v>0.00855499</v>
      </c>
      <c r="CP76" s="0" t="n">
        <v>0.00650542</v>
      </c>
      <c r="CQ76" s="0" t="n">
        <v>0.07013801</v>
      </c>
      <c r="CR76" s="0" t="n">
        <v>0.05305129</v>
      </c>
      <c r="CS76" s="0" t="n">
        <v>0.06952745</v>
      </c>
      <c r="CT76" s="0" t="n">
        <v>0.03479072</v>
      </c>
      <c r="CU76" s="0" t="n">
        <v>0.02391094</v>
      </c>
      <c r="CV76" s="0" t="n">
        <v>0.025976</v>
      </c>
      <c r="CW76" s="0" t="n">
        <v>0.03814664</v>
      </c>
      <c r="CX76" s="0" t="n">
        <v>0.05548744</v>
      </c>
      <c r="CY76" s="0" t="n">
        <v>0.07486405</v>
      </c>
      <c r="CZ76" s="0" t="n">
        <v>-0.00048974</v>
      </c>
      <c r="DA76" s="0" t="n">
        <v>0.0199253</v>
      </c>
      <c r="DB76" s="0" t="n">
        <v>0.03877156</v>
      </c>
      <c r="DC76" s="0" t="n">
        <v>0.05156993</v>
      </c>
      <c r="DD76" s="0" t="n">
        <v>0.04837001</v>
      </c>
      <c r="DE76" s="0" t="n">
        <v>0.05119715</v>
      </c>
      <c r="DF76" s="0" t="n">
        <v>-0.02240554</v>
      </c>
      <c r="DG76" s="0" t="n">
        <v>0.04759872</v>
      </c>
      <c r="DH76" s="0" t="n">
        <v>0.03727972</v>
      </c>
      <c r="DI76" s="0" t="n">
        <v>0.08061689</v>
      </c>
      <c r="DJ76" s="0" t="n">
        <v>0.07338538</v>
      </c>
      <c r="DK76" s="0" t="n">
        <v>0.09241394</v>
      </c>
      <c r="DL76" s="0" t="n">
        <v>0.02945985</v>
      </c>
      <c r="DM76" s="0" t="n">
        <v>0.09265775</v>
      </c>
      <c r="DN76" s="0" t="n">
        <v>0.02816673</v>
      </c>
      <c r="DO76" s="0" t="n">
        <v>0.04873631</v>
      </c>
      <c r="DP76" s="0" t="n">
        <v>0.09693834</v>
      </c>
      <c r="DQ76" s="0" t="n">
        <v>0.05469397</v>
      </c>
      <c r="DR76" s="0" t="n">
        <v>0.03832128</v>
      </c>
      <c r="DS76" s="0" t="n">
        <v>0.02435658</v>
      </c>
      <c r="DT76" s="0" t="n">
        <v>0.02930125</v>
      </c>
      <c r="DU76" s="0" t="n">
        <v>0.07144937</v>
      </c>
      <c r="DV76" s="0" t="n">
        <v>0.02847666</v>
      </c>
      <c r="DW76" s="0" t="n">
        <v>0.03779724</v>
      </c>
      <c r="DX76" s="0" t="n">
        <v>0.07648782</v>
      </c>
      <c r="DY76" s="0" t="n">
        <v>0.06065262</v>
      </c>
      <c r="DZ76" s="0" t="n">
        <v>0.00179709</v>
      </c>
      <c r="EA76" s="0" t="n">
        <v>0.05850841</v>
      </c>
      <c r="EB76" s="0" t="n">
        <v>0.06622675</v>
      </c>
      <c r="EC76" s="0" t="n">
        <v>0.01553429</v>
      </c>
      <c r="ED76" s="0" t="n">
        <v>0.05291016</v>
      </c>
      <c r="EE76" s="0" t="n">
        <v>0.07352096</v>
      </c>
      <c r="EF76" s="0" t="n">
        <v>0.07203883</v>
      </c>
      <c r="EG76" s="0" t="n">
        <v>0.06780354</v>
      </c>
      <c r="EH76" s="0" t="n">
        <v>0.02645471</v>
      </c>
      <c r="EI76" s="0" t="n">
        <v>0.07492106</v>
      </c>
      <c r="EJ76" s="0" t="n">
        <v>0.06757822</v>
      </c>
      <c r="EK76" s="0" t="n">
        <v>0.07911439</v>
      </c>
      <c r="EL76" s="0" t="n">
        <v>0.11910652</v>
      </c>
      <c r="EM76" s="0" t="n">
        <v>0.06846241</v>
      </c>
      <c r="EN76" s="0" t="n">
        <v>0.02546237</v>
      </c>
      <c r="EO76" s="0" t="n">
        <v>0.07179737</v>
      </c>
      <c r="EP76" s="55" t="n">
        <f aca="false">SUMPRODUCT(B76:EO76,$B$5:$EO$5)</f>
        <v>0.038839524</v>
      </c>
      <c r="EQ76" s="55" t="n">
        <f aca="false">SUMIF('Mi portafolio'!$A$8:$A$19,$A76,'Mi portafolio'!$B$8:$B$19)</f>
        <v>0</v>
      </c>
    </row>
    <row r="77" customFormat="false" ht="15" hidden="false" customHeight="false" outlineLevel="0" collapsed="false">
      <c r="A77" s="54" t="s">
        <v>219</v>
      </c>
      <c r="B77" s="0" t="n">
        <v>-0.00421387</v>
      </c>
      <c r="C77" s="0" t="n">
        <v>0.00375029</v>
      </c>
      <c r="D77" s="0" t="n">
        <v>0.00679149</v>
      </c>
      <c r="E77" s="0" t="n">
        <v>0.01184999</v>
      </c>
      <c r="F77" s="0" t="n">
        <v>-0.00442593</v>
      </c>
      <c r="G77" s="0" t="n">
        <v>-0.00058941</v>
      </c>
      <c r="H77" s="0" t="n">
        <v>0.01327164</v>
      </c>
      <c r="I77" s="0" t="n">
        <v>-0.00428642</v>
      </c>
      <c r="J77" s="0" t="n">
        <v>0.00211086</v>
      </c>
      <c r="K77" s="0" t="n">
        <v>-0.0030179</v>
      </c>
      <c r="L77" s="0" t="n">
        <v>0.00568427</v>
      </c>
      <c r="M77" s="0" t="n">
        <v>0.00969861</v>
      </c>
      <c r="N77" s="0" t="n">
        <v>0.00336551</v>
      </c>
      <c r="O77" s="0" t="n">
        <v>0.01405944</v>
      </c>
      <c r="P77" s="0" t="n">
        <v>0.00276968</v>
      </c>
      <c r="Q77" s="0" t="n">
        <v>-0.00177778</v>
      </c>
      <c r="R77" s="0" t="n">
        <v>0.00110214</v>
      </c>
      <c r="S77" s="0" t="n">
        <v>0.01534957</v>
      </c>
      <c r="T77" s="0" t="n">
        <v>0.01283974</v>
      </c>
      <c r="U77" s="0" t="n">
        <v>0.0230204</v>
      </c>
      <c r="V77" s="0" t="n">
        <v>0.00903784</v>
      </c>
      <c r="W77" s="0" t="n">
        <v>0.01092265</v>
      </c>
      <c r="X77" s="0" t="n">
        <v>0.01518805</v>
      </c>
      <c r="Y77" s="0" t="n">
        <v>-0.00154284</v>
      </c>
      <c r="Z77" s="0" t="n">
        <v>0.02347202</v>
      </c>
      <c r="AA77" s="0" t="n">
        <v>0.0097487</v>
      </c>
      <c r="AB77" s="0" t="n">
        <v>-0.00180171</v>
      </c>
      <c r="AC77" s="0" t="n">
        <v>0.00656994</v>
      </c>
      <c r="AD77" s="0" t="n">
        <v>0.01721579</v>
      </c>
      <c r="AE77" s="0" t="n">
        <v>0.02342158</v>
      </c>
      <c r="AF77" s="0" t="n">
        <v>0.02295162</v>
      </c>
      <c r="AG77" s="0" t="n">
        <v>-0.00324077</v>
      </c>
      <c r="AH77" s="0" t="n">
        <v>-0.00852405</v>
      </c>
      <c r="AI77" s="0" t="n">
        <v>-0.01038198</v>
      </c>
      <c r="AJ77" s="0" t="n">
        <v>0.01406096</v>
      </c>
      <c r="AK77" s="0" t="n">
        <v>0.03344534</v>
      </c>
      <c r="AL77" s="0" t="n">
        <v>0.00748281</v>
      </c>
      <c r="AM77" s="0" t="n">
        <v>0.02662205</v>
      </c>
      <c r="AN77" s="0" t="n">
        <v>0.01279427</v>
      </c>
      <c r="AO77" s="0" t="n">
        <v>-0.01028448</v>
      </c>
      <c r="AP77" s="0" t="n">
        <v>0.00929669</v>
      </c>
      <c r="AQ77" s="0" t="n">
        <v>-0.00606705</v>
      </c>
      <c r="AR77" s="0" t="n">
        <v>0.02046755</v>
      </c>
      <c r="AS77" s="0" t="n">
        <v>0.02681154</v>
      </c>
      <c r="AT77" s="0" t="n">
        <v>0.00780144</v>
      </c>
      <c r="AU77" s="0" t="n">
        <v>-0.00109077</v>
      </c>
      <c r="AV77" s="0" t="n">
        <v>0.00853477</v>
      </c>
      <c r="AW77" s="0" t="n">
        <v>0.02890814</v>
      </c>
      <c r="AX77" s="0" t="n">
        <v>0.00124683</v>
      </c>
      <c r="AY77" s="0" t="n">
        <v>0.00602445</v>
      </c>
      <c r="AZ77" s="0" t="n">
        <v>0.02499037</v>
      </c>
      <c r="BA77" s="0" t="n">
        <v>0.01749697</v>
      </c>
      <c r="BB77" s="0" t="n">
        <v>0.01987737</v>
      </c>
      <c r="BC77" s="0" t="n">
        <v>0.0140271</v>
      </c>
      <c r="BD77" s="0" t="n">
        <v>0.03582347</v>
      </c>
      <c r="BE77" s="0" t="n">
        <v>0.00587144</v>
      </c>
      <c r="BF77" s="0" t="n">
        <v>0.02066901</v>
      </c>
      <c r="BG77" s="0" t="n">
        <v>0.00773546</v>
      </c>
      <c r="BH77" s="0" t="n">
        <v>0.02960784</v>
      </c>
      <c r="BI77" s="0" t="n">
        <v>0.00867976</v>
      </c>
      <c r="BJ77" s="0" t="n">
        <v>0.00158551</v>
      </c>
      <c r="BK77" s="0" t="n">
        <v>0.02409681</v>
      </c>
      <c r="BL77" s="0" t="n">
        <v>0.01546384</v>
      </c>
      <c r="BM77" s="0" t="n">
        <v>0.00783883</v>
      </c>
      <c r="BN77" s="0" t="n">
        <v>-0.00142482</v>
      </c>
      <c r="BO77" s="0" t="n">
        <v>0.01614175</v>
      </c>
      <c r="BP77" s="0" t="n">
        <v>-0.00396238</v>
      </c>
      <c r="BQ77" s="0" t="n">
        <v>0.03172092</v>
      </c>
      <c r="BR77" s="0" t="n">
        <v>0.01702628</v>
      </c>
      <c r="BS77" s="0" t="n">
        <v>-0.01047082</v>
      </c>
      <c r="BT77" s="0" t="n">
        <v>0.02694647</v>
      </c>
      <c r="BU77" s="0" t="n">
        <v>0.11926514</v>
      </c>
      <c r="BV77" s="0" t="n">
        <v>0.01343734</v>
      </c>
      <c r="BW77" s="0" t="n">
        <v>0.00962378</v>
      </c>
      <c r="BX77" s="0" t="n">
        <v>0.01059088</v>
      </c>
      <c r="BY77" s="0" t="n">
        <v>0.01542174</v>
      </c>
      <c r="BZ77" s="0" t="n">
        <v>0.019078</v>
      </c>
      <c r="CA77" s="0" t="n">
        <v>0.01423223</v>
      </c>
      <c r="CB77" s="0" t="n">
        <v>-0.00062895</v>
      </c>
      <c r="CC77" s="0" t="n">
        <v>-0.00189392</v>
      </c>
      <c r="CD77" s="0" t="n">
        <v>0.01060449</v>
      </c>
      <c r="CE77" s="0" t="n">
        <v>0.01432575</v>
      </c>
      <c r="CF77" s="0" t="n">
        <v>-0.01504087</v>
      </c>
      <c r="CG77" s="0" t="n">
        <v>0.02075244</v>
      </c>
      <c r="CH77" s="0" t="n">
        <v>0.03258132</v>
      </c>
      <c r="CI77" s="0" t="n">
        <v>-0.01355908</v>
      </c>
      <c r="CJ77" s="0" t="n">
        <v>-0.00394724</v>
      </c>
      <c r="CK77" s="0" t="n">
        <v>0.01438862</v>
      </c>
      <c r="CL77" s="0" t="n">
        <v>0.01736775</v>
      </c>
      <c r="CM77" s="0" t="n">
        <v>0.02367229</v>
      </c>
      <c r="CN77" s="0" t="n">
        <v>0.02396993</v>
      </c>
      <c r="CO77" s="0" t="n">
        <v>-0.00184566</v>
      </c>
      <c r="CP77" s="0" t="n">
        <v>-0.00746985</v>
      </c>
      <c r="CQ77" s="0" t="n">
        <v>0.02073719</v>
      </c>
      <c r="CR77" s="0" t="n">
        <v>0.01285041</v>
      </c>
      <c r="CS77" s="0" t="n">
        <v>0.02148451</v>
      </c>
      <c r="CT77" s="0" t="n">
        <v>0.00878608</v>
      </c>
      <c r="CU77" s="0" t="n">
        <v>0.02222957</v>
      </c>
      <c r="CV77" s="0" t="n">
        <v>0.01533231</v>
      </c>
      <c r="CW77" s="0" t="n">
        <v>0.01968868</v>
      </c>
      <c r="CX77" s="0" t="n">
        <v>0.02666362</v>
      </c>
      <c r="CY77" s="0" t="n">
        <v>0.02233656</v>
      </c>
      <c r="CZ77" s="0" t="n">
        <v>0.02496757</v>
      </c>
      <c r="DA77" s="0" t="n">
        <v>-0.00353677</v>
      </c>
      <c r="DB77" s="0" t="n">
        <v>0.01927087</v>
      </c>
      <c r="DC77" s="0" t="n">
        <v>0.03830922</v>
      </c>
      <c r="DD77" s="0" t="n">
        <v>0.02297682</v>
      </c>
      <c r="DE77" s="0" t="n">
        <v>0.03997235</v>
      </c>
      <c r="DF77" s="0" t="n">
        <v>0.00297099</v>
      </c>
      <c r="DG77" s="0" t="n">
        <v>0.03347075</v>
      </c>
      <c r="DH77" s="0" t="n">
        <v>0.01814478</v>
      </c>
      <c r="DI77" s="0" t="n">
        <v>0.02298808</v>
      </c>
      <c r="DJ77" s="0" t="n">
        <v>0.02452179</v>
      </c>
      <c r="DK77" s="0" t="n">
        <v>0.02363968</v>
      </c>
      <c r="DL77" s="0" t="n">
        <v>0.04705959</v>
      </c>
      <c r="DM77" s="0" t="n">
        <v>0.03779798</v>
      </c>
      <c r="DN77" s="0" t="n">
        <v>0.00978028</v>
      </c>
      <c r="DO77" s="0" t="n">
        <v>0.00265818</v>
      </c>
      <c r="DP77" s="0" t="n">
        <v>0.02220344</v>
      </c>
      <c r="DQ77" s="0" t="n">
        <v>0.03952569</v>
      </c>
      <c r="DR77" s="0" t="n">
        <v>0.03546463</v>
      </c>
      <c r="DS77" s="0" t="n">
        <v>-0.0020659</v>
      </c>
      <c r="DT77" s="0" t="n">
        <v>0.01838753</v>
      </c>
      <c r="DU77" s="0" t="n">
        <v>0.03871692</v>
      </c>
      <c r="DV77" s="0" t="n">
        <v>0.02413637</v>
      </c>
      <c r="DW77" s="0" t="n">
        <v>0.02918243</v>
      </c>
      <c r="DX77" s="0" t="n">
        <v>0.02870843</v>
      </c>
      <c r="DY77" s="0" t="n">
        <v>0.02190041</v>
      </c>
      <c r="DZ77" s="0" t="n">
        <v>0.0091441</v>
      </c>
      <c r="EA77" s="0" t="n">
        <v>0.02179622</v>
      </c>
      <c r="EB77" s="0" t="n">
        <v>0.0340494</v>
      </c>
      <c r="EC77" s="0" t="n">
        <v>0.02003083</v>
      </c>
      <c r="ED77" s="0" t="n">
        <v>0.03387503</v>
      </c>
      <c r="EE77" s="0" t="n">
        <v>0.01797312</v>
      </c>
      <c r="EF77" s="0" t="n">
        <v>0.01043672</v>
      </c>
      <c r="EG77" s="0" t="n">
        <v>0.00903183</v>
      </c>
      <c r="EH77" s="0" t="n">
        <v>-0.01648056</v>
      </c>
      <c r="EI77" s="0" t="n">
        <v>0.01748542</v>
      </c>
      <c r="EJ77" s="0" t="n">
        <v>0.03392208</v>
      </c>
      <c r="EK77" s="0" t="n">
        <v>0.00218105</v>
      </c>
      <c r="EL77" s="0" t="n">
        <v>0.02959171</v>
      </c>
      <c r="EM77" s="0" t="n">
        <v>0.03097817</v>
      </c>
      <c r="EN77" s="0" t="n">
        <v>0.0448683</v>
      </c>
      <c r="EO77" s="0" t="n">
        <v>0.03531798</v>
      </c>
      <c r="EP77" s="55" t="n">
        <f aca="false">SUMPRODUCT(B77:EO77,$B$5:$EO$5)</f>
        <v>0.023571928</v>
      </c>
      <c r="EQ77" s="55" t="n">
        <f aca="false">SUMIF('Mi portafolio'!$A$8:$A$19,$A77,'Mi portafolio'!$B$8:$B$19)</f>
        <v>0</v>
      </c>
    </row>
    <row r="78" customFormat="false" ht="15" hidden="false" customHeight="false" outlineLevel="0" collapsed="false">
      <c r="A78" s="54" t="s">
        <v>220</v>
      </c>
      <c r="B78" s="0" t="n">
        <v>0.0077107</v>
      </c>
      <c r="C78" s="0" t="n">
        <v>-0.00137376</v>
      </c>
      <c r="D78" s="0" t="n">
        <v>0.00265936</v>
      </c>
      <c r="E78" s="0" t="n">
        <v>-0.00216532</v>
      </c>
      <c r="F78" s="0" t="n">
        <v>0.00135227</v>
      </c>
      <c r="G78" s="0" t="n">
        <v>0.00147494</v>
      </c>
      <c r="H78" s="0" t="n">
        <v>0.00468989</v>
      </c>
      <c r="I78" s="0" t="n">
        <v>0.01023536</v>
      </c>
      <c r="J78" s="0" t="n">
        <v>-0.00113191</v>
      </c>
      <c r="K78" s="0" t="n">
        <v>0.01036089</v>
      </c>
      <c r="L78" s="0" t="n">
        <v>0.00852307</v>
      </c>
      <c r="M78" s="0" t="n">
        <v>0.02470715</v>
      </c>
      <c r="N78" s="0" t="n">
        <v>0.01202013</v>
      </c>
      <c r="O78" s="0" t="n">
        <v>0.00821126</v>
      </c>
      <c r="P78" s="0" t="n">
        <v>0.00813995</v>
      </c>
      <c r="Q78" s="0" t="n">
        <v>0.00176488</v>
      </c>
      <c r="R78" s="0" t="n">
        <v>0.00287125</v>
      </c>
      <c r="S78" s="0" t="n">
        <v>0.00531743</v>
      </c>
      <c r="T78" s="0" t="n">
        <v>0.01949771</v>
      </c>
      <c r="U78" s="0" t="n">
        <v>0.01321455</v>
      </c>
      <c r="V78" s="0" t="n">
        <v>0.00409892</v>
      </c>
      <c r="W78" s="0" t="n">
        <v>0.00168229</v>
      </c>
      <c r="X78" s="0" t="n">
        <v>0.0185851</v>
      </c>
      <c r="Y78" s="0" t="n">
        <v>0.01995767</v>
      </c>
      <c r="Z78" s="0" t="n">
        <v>0.00076979</v>
      </c>
      <c r="AA78" s="0" t="n">
        <v>0.00220568</v>
      </c>
      <c r="AB78" s="0" t="n">
        <v>0.02290701</v>
      </c>
      <c r="AC78" s="0" t="n">
        <v>0.00082845</v>
      </c>
      <c r="AD78" s="0" t="n">
        <v>0.00950603</v>
      </c>
      <c r="AE78" s="0" t="n">
        <v>0.00955499</v>
      </c>
      <c r="AF78" s="0" t="n">
        <v>0.00177691</v>
      </c>
      <c r="AG78" s="0" t="n">
        <v>0.00117925</v>
      </c>
      <c r="AH78" s="0" t="n">
        <v>0.00245105</v>
      </c>
      <c r="AI78" s="0" t="n">
        <v>-0.00438937</v>
      </c>
      <c r="AJ78" s="0" t="n">
        <v>0.00179619</v>
      </c>
      <c r="AK78" s="0" t="n">
        <v>0.00435042</v>
      </c>
      <c r="AL78" s="0" t="n">
        <v>0.01419302</v>
      </c>
      <c r="AM78" s="0" t="n">
        <v>0.00840124</v>
      </c>
      <c r="AN78" s="0" t="n">
        <v>0.02875556</v>
      </c>
      <c r="AO78" s="0" t="n">
        <v>-0.00865047</v>
      </c>
      <c r="AP78" s="0" t="n">
        <v>0.02185688</v>
      </c>
      <c r="AQ78" s="0" t="n">
        <v>-0.01675222</v>
      </c>
      <c r="AR78" s="0" t="n">
        <v>0.02291698</v>
      </c>
      <c r="AS78" s="0" t="n">
        <v>0.00665179</v>
      </c>
      <c r="AT78" s="0" t="n">
        <v>0.03052166</v>
      </c>
      <c r="AU78" s="0" t="n">
        <v>0.00104576</v>
      </c>
      <c r="AV78" s="0" t="n">
        <v>0.00782634</v>
      </c>
      <c r="AW78" s="0" t="n">
        <v>0.00700993</v>
      </c>
      <c r="AX78" s="0" t="n">
        <v>0.01387604</v>
      </c>
      <c r="AY78" s="0" t="n">
        <v>0.02016092</v>
      </c>
      <c r="AZ78" s="0" t="n">
        <v>0.01047953</v>
      </c>
      <c r="BA78" s="0" t="n">
        <v>0.01819509</v>
      </c>
      <c r="BB78" s="0" t="n">
        <v>0.02700054</v>
      </c>
      <c r="BC78" s="0" t="n">
        <v>0.00032688</v>
      </c>
      <c r="BD78" s="0" t="n">
        <v>0.01267221</v>
      </c>
      <c r="BE78" s="0" t="n">
        <v>0.00772376</v>
      </c>
      <c r="BF78" s="0" t="n">
        <v>0.00097908</v>
      </c>
      <c r="BG78" s="0" t="n">
        <v>0.02161659</v>
      </c>
      <c r="BH78" s="0" t="n">
        <v>0.01491568</v>
      </c>
      <c r="BI78" s="0" t="n">
        <v>0.0191565</v>
      </c>
      <c r="BJ78" s="0" t="n">
        <v>0.00423994</v>
      </c>
      <c r="BK78" s="0" t="n">
        <v>0.00624569</v>
      </c>
      <c r="BL78" s="0" t="n">
        <v>0.01972758</v>
      </c>
      <c r="BM78" s="0" t="n">
        <v>0.021373</v>
      </c>
      <c r="BN78" s="0" t="n">
        <v>0.00546254</v>
      </c>
      <c r="BO78" s="0" t="n">
        <v>0.06571648</v>
      </c>
      <c r="BP78" s="0" t="n">
        <v>0.04811378</v>
      </c>
      <c r="BQ78" s="0" t="n">
        <v>0.02426725</v>
      </c>
      <c r="BR78" s="0" t="n">
        <v>0.02778763</v>
      </c>
      <c r="BS78" s="0" t="n">
        <v>-0.00380742</v>
      </c>
      <c r="BT78" s="0" t="n">
        <v>0.0302857</v>
      </c>
      <c r="BU78" s="0" t="n">
        <v>0.01343734</v>
      </c>
      <c r="BV78" s="0" t="n">
        <v>0.12054494</v>
      </c>
      <c r="BW78" s="0" t="n">
        <v>0.02322119</v>
      </c>
      <c r="BX78" s="0" t="n">
        <v>0.01117293</v>
      </c>
      <c r="BY78" s="0" t="n">
        <v>0.03712003</v>
      </c>
      <c r="BZ78" s="0" t="n">
        <v>0.03414747</v>
      </c>
      <c r="CA78" s="0" t="n">
        <v>0.01345214</v>
      </c>
      <c r="CB78" s="0" t="n">
        <v>-0.0044368</v>
      </c>
      <c r="CC78" s="0" t="n">
        <v>0.00741765</v>
      </c>
      <c r="CD78" s="0" t="n">
        <v>0.0406244</v>
      </c>
      <c r="CE78" s="0" t="n">
        <v>0.02594444</v>
      </c>
      <c r="CF78" s="0" t="n">
        <v>-0.00846328</v>
      </c>
      <c r="CG78" s="0" t="n">
        <v>0.04828756</v>
      </c>
      <c r="CH78" s="0" t="n">
        <v>0.01608077</v>
      </c>
      <c r="CI78" s="0" t="n">
        <v>-0.01085893</v>
      </c>
      <c r="CJ78" s="0" t="n">
        <v>0.03330271</v>
      </c>
      <c r="CK78" s="0" t="n">
        <v>0.02819208</v>
      </c>
      <c r="CL78" s="0" t="n">
        <v>0.02913381</v>
      </c>
      <c r="CM78" s="0" t="n">
        <v>0.03665243</v>
      </c>
      <c r="CN78" s="0" t="n">
        <v>0.00133996</v>
      </c>
      <c r="CO78" s="0" t="n">
        <v>0.01487616</v>
      </c>
      <c r="CP78" s="0" t="n">
        <v>0.01579917</v>
      </c>
      <c r="CQ78" s="0" t="n">
        <v>0.043586</v>
      </c>
      <c r="CR78" s="0" t="n">
        <v>0.04337737</v>
      </c>
      <c r="CS78" s="0" t="n">
        <v>0.02362358</v>
      </c>
      <c r="CT78" s="0" t="n">
        <v>0.05178451</v>
      </c>
      <c r="CU78" s="0" t="n">
        <v>0.04319941</v>
      </c>
      <c r="CV78" s="0" t="n">
        <v>0.05840328</v>
      </c>
      <c r="CW78" s="0" t="n">
        <v>0.05095738</v>
      </c>
      <c r="CX78" s="0" t="n">
        <v>0.04696335</v>
      </c>
      <c r="CY78" s="0" t="n">
        <v>0.04252584</v>
      </c>
      <c r="CZ78" s="0" t="n">
        <v>0.04454664</v>
      </c>
      <c r="DA78" s="0" t="n">
        <v>0.04188094</v>
      </c>
      <c r="DB78" s="0" t="n">
        <v>0.06169658</v>
      </c>
      <c r="DC78" s="0" t="n">
        <v>0.03081648</v>
      </c>
      <c r="DD78" s="0" t="n">
        <v>0.06380186</v>
      </c>
      <c r="DE78" s="0" t="n">
        <v>0.03201702</v>
      </c>
      <c r="DF78" s="0" t="n">
        <v>0.0283408</v>
      </c>
      <c r="DG78" s="0" t="n">
        <v>0.02668383</v>
      </c>
      <c r="DH78" s="0" t="n">
        <v>0.04311853</v>
      </c>
      <c r="DI78" s="0" t="n">
        <v>0.05206904</v>
      </c>
      <c r="DJ78" s="0" t="n">
        <v>0.04263579</v>
      </c>
      <c r="DK78" s="0" t="n">
        <v>0.05309911</v>
      </c>
      <c r="DL78" s="0" t="n">
        <v>0.012602</v>
      </c>
      <c r="DM78" s="0" t="n">
        <v>0.05674521</v>
      </c>
      <c r="DN78" s="0" t="n">
        <v>0.0411437</v>
      </c>
      <c r="DO78" s="0" t="n">
        <v>0.0468658</v>
      </c>
      <c r="DP78" s="0" t="n">
        <v>0.05809823</v>
      </c>
      <c r="DQ78" s="0" t="n">
        <v>0.06381388</v>
      </c>
      <c r="DR78" s="0" t="n">
        <v>0.02657804</v>
      </c>
      <c r="DS78" s="0" t="n">
        <v>0.04963118</v>
      </c>
      <c r="DT78" s="0" t="n">
        <v>0.05478891</v>
      </c>
      <c r="DU78" s="0" t="n">
        <v>0.06875427</v>
      </c>
      <c r="DV78" s="0" t="n">
        <v>0.05900546</v>
      </c>
      <c r="DW78" s="0" t="n">
        <v>0.05628636</v>
      </c>
      <c r="DX78" s="0" t="n">
        <v>0.04522205</v>
      </c>
      <c r="DY78" s="0" t="n">
        <v>0.09474211</v>
      </c>
      <c r="DZ78" s="0" t="n">
        <v>0.04723954</v>
      </c>
      <c r="EA78" s="0" t="n">
        <v>0.02832529</v>
      </c>
      <c r="EB78" s="0" t="n">
        <v>0.08708254</v>
      </c>
      <c r="EC78" s="0" t="n">
        <v>-0.0097209</v>
      </c>
      <c r="ED78" s="0" t="n">
        <v>0.0368596</v>
      </c>
      <c r="EE78" s="0" t="n">
        <v>0.06254298</v>
      </c>
      <c r="EF78" s="0" t="n">
        <v>0.02682143</v>
      </c>
      <c r="EG78" s="0" t="n">
        <v>0.05479649</v>
      </c>
      <c r="EH78" s="0" t="n">
        <v>0.07200426</v>
      </c>
      <c r="EI78" s="0" t="n">
        <v>0.04789571</v>
      </c>
      <c r="EJ78" s="0" t="n">
        <v>0.05403547</v>
      </c>
      <c r="EK78" s="0" t="n">
        <v>0.07217168</v>
      </c>
      <c r="EL78" s="0" t="n">
        <v>0.06441336</v>
      </c>
      <c r="EM78" s="0" t="n">
        <v>0.06893333</v>
      </c>
      <c r="EN78" s="0" t="n">
        <v>0.0663029</v>
      </c>
      <c r="EO78" s="0" t="n">
        <v>0.10100662</v>
      </c>
      <c r="EP78" s="55" t="n">
        <f aca="false">SUMPRODUCT(B78:EO78,$B$5:$EO$5)</f>
        <v>0.042175922</v>
      </c>
      <c r="EQ78" s="55" t="n">
        <f aca="false">SUMIF('Mi portafolio'!$A$8:$A$19,$A78,'Mi portafolio'!$B$8:$B$19)</f>
        <v>0</v>
      </c>
    </row>
    <row r="79" customFormat="false" ht="15" hidden="false" customHeight="false" outlineLevel="0" collapsed="false">
      <c r="A79" s="54" t="s">
        <v>221</v>
      </c>
      <c r="B79" s="0" t="n">
        <v>0.00929915</v>
      </c>
      <c r="C79" s="0" t="n">
        <v>-0.00238158</v>
      </c>
      <c r="D79" s="0" t="n">
        <v>0.00217028</v>
      </c>
      <c r="E79" s="0" t="n">
        <v>0.00869344</v>
      </c>
      <c r="F79" s="0" t="n">
        <v>0.01125965</v>
      </c>
      <c r="G79" s="0" t="n">
        <v>0.0063329</v>
      </c>
      <c r="H79" s="0" t="n">
        <v>0.0071703</v>
      </c>
      <c r="I79" s="0" t="n">
        <v>0.01377074</v>
      </c>
      <c r="J79" s="0" t="n">
        <v>0.01078559</v>
      </c>
      <c r="K79" s="0" t="n">
        <v>0.0076121</v>
      </c>
      <c r="L79" s="0" t="n">
        <v>0.0109441</v>
      </c>
      <c r="M79" s="0" t="n">
        <v>0.02052352</v>
      </c>
      <c r="N79" s="0" t="n">
        <v>0.01503658</v>
      </c>
      <c r="O79" s="0" t="n">
        <v>0.00261617</v>
      </c>
      <c r="P79" s="0" t="n">
        <v>0.01327922</v>
      </c>
      <c r="Q79" s="0" t="n">
        <v>0.00310125</v>
      </c>
      <c r="R79" s="0" t="n">
        <v>0.01742651</v>
      </c>
      <c r="S79" s="0" t="n">
        <v>0.00786613</v>
      </c>
      <c r="T79" s="0" t="n">
        <v>0.01736272</v>
      </c>
      <c r="U79" s="0" t="n">
        <v>0.01098595</v>
      </c>
      <c r="V79" s="0" t="n">
        <v>0.00311757</v>
      </c>
      <c r="W79" s="0" t="n">
        <v>0.00935958</v>
      </c>
      <c r="X79" s="0" t="n">
        <v>0.0135027</v>
      </c>
      <c r="Y79" s="0" t="n">
        <v>0.01661216</v>
      </c>
      <c r="Z79" s="0" t="n">
        <v>0.00667321</v>
      </c>
      <c r="AA79" s="0" t="n">
        <v>0.01251961</v>
      </c>
      <c r="AB79" s="0" t="n">
        <v>0.01694846</v>
      </c>
      <c r="AC79" s="0" t="n">
        <v>0.00091324</v>
      </c>
      <c r="AD79" s="0" t="n">
        <v>0.00472899</v>
      </c>
      <c r="AE79" s="0" t="n">
        <v>0.01249</v>
      </c>
      <c r="AF79" s="0" t="n">
        <v>0.01498527</v>
      </c>
      <c r="AG79" s="0" t="n">
        <v>-0.00537479</v>
      </c>
      <c r="AH79" s="0" t="n">
        <v>0.00536371</v>
      </c>
      <c r="AI79" s="0" t="n">
        <v>0.00244515</v>
      </c>
      <c r="AJ79" s="0" t="n">
        <v>0.00440399</v>
      </c>
      <c r="AK79" s="0" t="n">
        <v>0.00787329</v>
      </c>
      <c r="AL79" s="0" t="n">
        <v>0.02107087</v>
      </c>
      <c r="AM79" s="0" t="n">
        <v>0.01552706</v>
      </c>
      <c r="AN79" s="0" t="n">
        <v>0.0202</v>
      </c>
      <c r="AO79" s="0" t="n">
        <v>0.00645967</v>
      </c>
      <c r="AP79" s="0" t="n">
        <v>0.02117806</v>
      </c>
      <c r="AQ79" s="0" t="n">
        <v>0.0002199</v>
      </c>
      <c r="AR79" s="0" t="n">
        <v>0.0149527</v>
      </c>
      <c r="AS79" s="0" t="n">
        <v>0.0280463</v>
      </c>
      <c r="AT79" s="0" t="n">
        <v>0.02778981</v>
      </c>
      <c r="AU79" s="0" t="n">
        <v>0.01324582</v>
      </c>
      <c r="AV79" s="0" t="n">
        <v>0.01512502</v>
      </c>
      <c r="AW79" s="0" t="n">
        <v>0.01904593</v>
      </c>
      <c r="AX79" s="0" t="n">
        <v>0.01909475</v>
      </c>
      <c r="AY79" s="0" t="n">
        <v>0.0266866</v>
      </c>
      <c r="AZ79" s="0" t="n">
        <v>0.00911472</v>
      </c>
      <c r="BA79" s="0" t="n">
        <v>0.02442348</v>
      </c>
      <c r="BB79" s="0" t="n">
        <v>0.02576938</v>
      </c>
      <c r="BC79" s="0" t="n">
        <v>0.02311205</v>
      </c>
      <c r="BD79" s="0" t="n">
        <v>0.01826467</v>
      </c>
      <c r="BE79" s="0" t="n">
        <v>0.01564432</v>
      </c>
      <c r="BF79" s="0" t="n">
        <v>0.01618172</v>
      </c>
      <c r="BG79" s="0" t="n">
        <v>0.0402552</v>
      </c>
      <c r="BH79" s="0" t="n">
        <v>0.01781755</v>
      </c>
      <c r="BI79" s="0" t="n">
        <v>0.0238225</v>
      </c>
      <c r="BJ79" s="0" t="n">
        <v>0.00119945</v>
      </c>
      <c r="BK79" s="0" t="n">
        <v>0.00717385</v>
      </c>
      <c r="BL79" s="0" t="n">
        <v>0.02288249</v>
      </c>
      <c r="BM79" s="0" t="n">
        <v>0.02589626</v>
      </c>
      <c r="BN79" s="0" t="n">
        <v>0.01396591</v>
      </c>
      <c r="BO79" s="0" t="n">
        <v>0.02307722</v>
      </c>
      <c r="BP79" s="0" t="n">
        <v>0.04124738</v>
      </c>
      <c r="BQ79" s="0" t="n">
        <v>0.01379265</v>
      </c>
      <c r="BR79" s="0" t="n">
        <v>0.07199891</v>
      </c>
      <c r="BS79" s="0" t="n">
        <v>0.00348302</v>
      </c>
      <c r="BT79" s="0" t="n">
        <v>0.02212</v>
      </c>
      <c r="BU79" s="0" t="n">
        <v>0.00962378</v>
      </c>
      <c r="BV79" s="0" t="n">
        <v>0.02322119</v>
      </c>
      <c r="BW79" s="0" t="n">
        <v>0.11991783</v>
      </c>
      <c r="BX79" s="0" t="n">
        <v>0.02229241</v>
      </c>
      <c r="BY79" s="0" t="n">
        <v>0.02974421</v>
      </c>
      <c r="BZ79" s="0" t="n">
        <v>0.02159854</v>
      </c>
      <c r="CA79" s="0" t="n">
        <v>0.00896113</v>
      </c>
      <c r="CB79" s="0" t="n">
        <v>0.00512921</v>
      </c>
      <c r="CC79" s="0" t="n">
        <v>0.01800734</v>
      </c>
      <c r="CD79" s="0" t="n">
        <v>0.035626</v>
      </c>
      <c r="CE79" s="0" t="n">
        <v>0.01465243</v>
      </c>
      <c r="CF79" s="0" t="n">
        <v>0.00867603</v>
      </c>
      <c r="CG79" s="0" t="n">
        <v>0.03494631</v>
      </c>
      <c r="CH79" s="0" t="n">
        <v>0.01451684</v>
      </c>
      <c r="CI79" s="0" t="n">
        <v>0.00117241</v>
      </c>
      <c r="CJ79" s="0" t="n">
        <v>0.02599854</v>
      </c>
      <c r="CK79" s="0" t="n">
        <v>0.03628485</v>
      </c>
      <c r="CL79" s="0" t="n">
        <v>0.02397212</v>
      </c>
      <c r="CM79" s="0" t="n">
        <v>0.01462358</v>
      </c>
      <c r="CN79" s="0" t="n">
        <v>-0.00713129</v>
      </c>
      <c r="CO79" s="0" t="n">
        <v>0.02215853</v>
      </c>
      <c r="CP79" s="0" t="n">
        <v>0.04522919</v>
      </c>
      <c r="CQ79" s="0" t="n">
        <v>0.03842652</v>
      </c>
      <c r="CR79" s="0" t="n">
        <v>0.03048671</v>
      </c>
      <c r="CS79" s="0" t="n">
        <v>0.01448347</v>
      </c>
      <c r="CT79" s="0" t="n">
        <v>0.0380873</v>
      </c>
      <c r="CU79" s="0" t="n">
        <v>0.03112744</v>
      </c>
      <c r="CV79" s="0" t="n">
        <v>3.198E-005</v>
      </c>
      <c r="CW79" s="0" t="n">
        <v>0.04795155</v>
      </c>
      <c r="CX79" s="0" t="n">
        <v>0.04332433</v>
      </c>
      <c r="CY79" s="0" t="n">
        <v>0.00552212</v>
      </c>
      <c r="CZ79" s="0" t="n">
        <v>0.03542843</v>
      </c>
      <c r="DA79" s="0" t="n">
        <v>0.01861986</v>
      </c>
      <c r="DB79" s="0" t="n">
        <v>0.02660144</v>
      </c>
      <c r="DC79" s="0" t="n">
        <v>0.02425356</v>
      </c>
      <c r="DD79" s="0" t="n">
        <v>0.04287891</v>
      </c>
      <c r="DE79" s="0" t="n">
        <v>0.03063589</v>
      </c>
      <c r="DF79" s="0" t="n">
        <v>0.03096228</v>
      </c>
      <c r="DG79" s="0" t="n">
        <v>0.02930709</v>
      </c>
      <c r="DH79" s="0" t="n">
        <v>0.01685163</v>
      </c>
      <c r="DI79" s="0" t="n">
        <v>0.05038292</v>
      </c>
      <c r="DJ79" s="0" t="n">
        <v>0.01290192</v>
      </c>
      <c r="DK79" s="0" t="n">
        <v>0.05219753</v>
      </c>
      <c r="DL79" s="0" t="n">
        <v>0.01132271</v>
      </c>
      <c r="DM79" s="0" t="n">
        <v>0.03346415</v>
      </c>
      <c r="DN79" s="0" t="n">
        <v>0.03693943</v>
      </c>
      <c r="DO79" s="0" t="n">
        <v>0.02259752</v>
      </c>
      <c r="DP79" s="0" t="n">
        <v>0.03003</v>
      </c>
      <c r="DQ79" s="0" t="n">
        <v>0.04595562</v>
      </c>
      <c r="DR79" s="0" t="n">
        <v>0.03855597</v>
      </c>
      <c r="DS79" s="0" t="n">
        <v>0.03742242</v>
      </c>
      <c r="DT79" s="0" t="n">
        <v>0.0304153</v>
      </c>
      <c r="DU79" s="0" t="n">
        <v>0.04692599</v>
      </c>
      <c r="DV79" s="0" t="n">
        <v>0.04052339</v>
      </c>
      <c r="DW79" s="0" t="n">
        <v>0.03898684</v>
      </c>
      <c r="DX79" s="0" t="n">
        <v>0.01580213</v>
      </c>
      <c r="DY79" s="0" t="n">
        <v>0.0618861</v>
      </c>
      <c r="DZ79" s="0" t="n">
        <v>0.04479884</v>
      </c>
      <c r="EA79" s="0" t="n">
        <v>0.02819473</v>
      </c>
      <c r="EB79" s="0" t="n">
        <v>0.05556468</v>
      </c>
      <c r="EC79" s="0" t="n">
        <v>0.00425624</v>
      </c>
      <c r="ED79" s="0" t="n">
        <v>0.0568851</v>
      </c>
      <c r="EE79" s="0" t="n">
        <v>0.03100774</v>
      </c>
      <c r="EF79" s="0" t="n">
        <v>0.03548347</v>
      </c>
      <c r="EG79" s="0" t="n">
        <v>0.02534957</v>
      </c>
      <c r="EH79" s="0" t="n">
        <v>0.04874166</v>
      </c>
      <c r="EI79" s="0" t="n">
        <v>0.03255165</v>
      </c>
      <c r="EJ79" s="0" t="n">
        <v>0.04535158</v>
      </c>
      <c r="EK79" s="0" t="n">
        <v>0.05037382</v>
      </c>
      <c r="EL79" s="0" t="n">
        <v>0.05520334</v>
      </c>
      <c r="EM79" s="0" t="n">
        <v>0.07096085</v>
      </c>
      <c r="EN79" s="0" t="n">
        <v>0.05497128</v>
      </c>
      <c r="EO79" s="0" t="n">
        <v>0.06368599</v>
      </c>
      <c r="EP79" s="55" t="n">
        <f aca="false">SUMPRODUCT(B79:EO79,$B$5:$EO$5)</f>
        <v>0.018967956</v>
      </c>
      <c r="EQ79" s="55" t="n">
        <f aca="false">SUMIF('Mi portafolio'!$A$8:$A$19,$A79,'Mi portafolio'!$B$8:$B$19)</f>
        <v>0</v>
      </c>
    </row>
    <row r="80" customFormat="false" ht="15" hidden="false" customHeight="false" outlineLevel="0" collapsed="false">
      <c r="A80" s="54" t="s">
        <v>222</v>
      </c>
      <c r="B80" s="0" t="n">
        <v>0.01652023</v>
      </c>
      <c r="C80" s="0" t="n">
        <v>-0.00411719</v>
      </c>
      <c r="D80" s="0" t="n">
        <v>0.00615904</v>
      </c>
      <c r="E80" s="0" t="n">
        <v>0.00120393</v>
      </c>
      <c r="F80" s="0" t="n">
        <v>0.01603075</v>
      </c>
      <c r="G80" s="0" t="n">
        <v>-8.027E-005</v>
      </c>
      <c r="H80" s="0" t="n">
        <v>0.00406663</v>
      </c>
      <c r="I80" s="0" t="n">
        <v>0.02433108</v>
      </c>
      <c r="J80" s="0" t="n">
        <v>0.03809078</v>
      </c>
      <c r="K80" s="0" t="n">
        <v>0.01873184</v>
      </c>
      <c r="L80" s="0" t="n">
        <v>-0.00296204</v>
      </c>
      <c r="M80" s="0" t="n">
        <v>0.01102078</v>
      </c>
      <c r="N80" s="0" t="n">
        <v>0.03549383</v>
      </c>
      <c r="O80" s="0" t="n">
        <v>-0.00232311</v>
      </c>
      <c r="P80" s="0" t="n">
        <v>0.01809203</v>
      </c>
      <c r="Q80" s="0" t="n">
        <v>0.00602175</v>
      </c>
      <c r="R80" s="0" t="n">
        <v>0.01715201</v>
      </c>
      <c r="S80" s="0" t="n">
        <v>0.01359464</v>
      </c>
      <c r="T80" s="0" t="n">
        <v>0.01092013</v>
      </c>
      <c r="U80" s="0" t="n">
        <v>0.00461429</v>
      </c>
      <c r="V80" s="0" t="n">
        <v>-0.00775234</v>
      </c>
      <c r="W80" s="0" t="n">
        <v>0.00269152</v>
      </c>
      <c r="X80" s="0" t="n">
        <v>0.01409277</v>
      </c>
      <c r="Y80" s="0" t="n">
        <v>0.00932941</v>
      </c>
      <c r="Z80" s="0" t="n">
        <v>-0.00063311</v>
      </c>
      <c r="AA80" s="0" t="n">
        <v>0.00182024</v>
      </c>
      <c r="AB80" s="0" t="n">
        <v>0.00654674</v>
      </c>
      <c r="AC80" s="0" t="n">
        <v>-0.00919364</v>
      </c>
      <c r="AD80" s="0" t="n">
        <v>0.0025047</v>
      </c>
      <c r="AE80" s="0" t="n">
        <v>-0.00295182</v>
      </c>
      <c r="AF80" s="0" t="n">
        <v>-0.0038244</v>
      </c>
      <c r="AG80" s="0" t="n">
        <v>0.01004816</v>
      </c>
      <c r="AH80" s="0" t="n">
        <v>0.01383672</v>
      </c>
      <c r="AI80" s="0" t="n">
        <v>-0.0020054</v>
      </c>
      <c r="AJ80" s="0" t="n">
        <v>0.00293334</v>
      </c>
      <c r="AK80" s="0" t="n">
        <v>-0.00314667</v>
      </c>
      <c r="AL80" s="0" t="n">
        <v>0.02193324</v>
      </c>
      <c r="AM80" s="0" t="n">
        <v>0.00452733</v>
      </c>
      <c r="AN80" s="0" t="n">
        <v>0.02524891</v>
      </c>
      <c r="AO80" s="0" t="n">
        <v>0.04095826</v>
      </c>
      <c r="AP80" s="0" t="n">
        <v>0.02011019</v>
      </c>
      <c r="AQ80" s="0" t="n">
        <v>-0.00077197</v>
      </c>
      <c r="AR80" s="0" t="n">
        <v>0.01082771</v>
      </c>
      <c r="AS80" s="0" t="n">
        <v>-0.00062908</v>
      </c>
      <c r="AT80" s="0" t="n">
        <v>0.00927333</v>
      </c>
      <c r="AU80" s="0" t="n">
        <v>0.02709165</v>
      </c>
      <c r="AV80" s="0" t="n">
        <v>0.01140274</v>
      </c>
      <c r="AW80" s="0" t="n">
        <v>0.00708123</v>
      </c>
      <c r="AX80" s="0" t="n">
        <v>0.04597211</v>
      </c>
      <c r="AY80" s="0" t="n">
        <v>0.01781702</v>
      </c>
      <c r="AZ80" s="0" t="n">
        <v>-6.744E-005</v>
      </c>
      <c r="BA80" s="0" t="n">
        <v>0.01876914</v>
      </c>
      <c r="BB80" s="0" t="n">
        <v>0.00614663</v>
      </c>
      <c r="BC80" s="0" t="n">
        <v>0.01225245</v>
      </c>
      <c r="BD80" s="0" t="n">
        <v>0.00730963</v>
      </c>
      <c r="BE80" s="0" t="n">
        <v>0.04845745</v>
      </c>
      <c r="BF80" s="0" t="n">
        <v>0.01122657</v>
      </c>
      <c r="BG80" s="0" t="n">
        <v>0.03529837</v>
      </c>
      <c r="BH80" s="0" t="n">
        <v>0.00210679</v>
      </c>
      <c r="BI80" s="0" t="n">
        <v>0.00291293</v>
      </c>
      <c r="BJ80" s="0" t="n">
        <v>-0.00277724</v>
      </c>
      <c r="BK80" s="0" t="n">
        <v>0.00019882</v>
      </c>
      <c r="BL80" s="0" t="n">
        <v>0.01311699</v>
      </c>
      <c r="BM80" s="0" t="n">
        <v>0.01820399</v>
      </c>
      <c r="BN80" s="0" t="n">
        <v>0.01113773</v>
      </c>
      <c r="BO80" s="0" t="n">
        <v>0.02830368</v>
      </c>
      <c r="BP80" s="0" t="n">
        <v>-0.00270201</v>
      </c>
      <c r="BQ80" s="0" t="n">
        <v>-0.00068054</v>
      </c>
      <c r="BR80" s="0" t="n">
        <v>0.02499424</v>
      </c>
      <c r="BS80" s="0" t="n">
        <v>0.00089517</v>
      </c>
      <c r="BT80" s="0" t="n">
        <v>0.02331627</v>
      </c>
      <c r="BU80" s="0" t="n">
        <v>0.01059088</v>
      </c>
      <c r="BV80" s="0" t="n">
        <v>0.01117293</v>
      </c>
      <c r="BW80" s="0" t="n">
        <v>0.02229241</v>
      </c>
      <c r="BX80" s="0" t="n">
        <v>0.12772998</v>
      </c>
      <c r="BY80" s="0" t="n">
        <v>0.01843695</v>
      </c>
      <c r="BZ80" s="0" t="n">
        <v>0.02292804</v>
      </c>
      <c r="CA80" s="0" t="n">
        <v>-0.00100558</v>
      </c>
      <c r="CB80" s="0" t="n">
        <v>0.00156858</v>
      </c>
      <c r="CC80" s="0" t="n">
        <v>0.02153399</v>
      </c>
      <c r="CD80" s="0" t="n">
        <v>0.01282031</v>
      </c>
      <c r="CE80" s="0" t="n">
        <v>0.00056682</v>
      </c>
      <c r="CF80" s="0" t="n">
        <v>0.00256976</v>
      </c>
      <c r="CG80" s="0" t="n">
        <v>0.02425731</v>
      </c>
      <c r="CH80" s="0" t="n">
        <v>-0.0036936</v>
      </c>
      <c r="CI80" s="0" t="n">
        <v>0.00523799</v>
      </c>
      <c r="CJ80" s="0" t="n">
        <v>0.0173098</v>
      </c>
      <c r="CK80" s="0" t="n">
        <v>0.02469085</v>
      </c>
      <c r="CL80" s="0" t="n">
        <v>0.02119736</v>
      </c>
      <c r="CM80" s="0" t="n">
        <v>-0.00577678</v>
      </c>
      <c r="CN80" s="0" t="n">
        <v>0.01041885</v>
      </c>
      <c r="CO80" s="0" t="n">
        <v>0.00504704</v>
      </c>
      <c r="CP80" s="0" t="n">
        <v>0.02255118</v>
      </c>
      <c r="CQ80" s="0" t="n">
        <v>0.01962128</v>
      </c>
      <c r="CR80" s="0" t="n">
        <v>-0.00292814</v>
      </c>
      <c r="CS80" s="0" t="n">
        <v>0.01465073</v>
      </c>
      <c r="CT80" s="0" t="n">
        <v>0.01781551</v>
      </c>
      <c r="CU80" s="0" t="n">
        <v>0.00065749</v>
      </c>
      <c r="CV80" s="0" t="n">
        <v>-0.00670359</v>
      </c>
      <c r="CW80" s="0" t="n">
        <v>0.01604079</v>
      </c>
      <c r="CX80" s="0" t="n">
        <v>0.00890524</v>
      </c>
      <c r="CY80" s="0" t="n">
        <v>0.02114489</v>
      </c>
      <c r="CZ80" s="0" t="n">
        <v>0.02276926</v>
      </c>
      <c r="DA80" s="0" t="n">
        <v>0.02624072</v>
      </c>
      <c r="DB80" s="0" t="n">
        <v>0.00944342</v>
      </c>
      <c r="DC80" s="0" t="n">
        <v>0.01344851</v>
      </c>
      <c r="DD80" s="0" t="n">
        <v>0.03433098</v>
      </c>
      <c r="DE80" s="0" t="n">
        <v>0.00627328</v>
      </c>
      <c r="DF80" s="0" t="n">
        <v>0.01609552</v>
      </c>
      <c r="DG80" s="0" t="n">
        <v>0.02946943</v>
      </c>
      <c r="DH80" s="0" t="n">
        <v>-0.00658816</v>
      </c>
      <c r="DI80" s="0" t="n">
        <v>0.02761039</v>
      </c>
      <c r="DJ80" s="0" t="n">
        <v>0.04432658</v>
      </c>
      <c r="DK80" s="0" t="n">
        <v>0.02465791</v>
      </c>
      <c r="DL80" s="0" t="n">
        <v>0.01000518</v>
      </c>
      <c r="DM80" s="0" t="n">
        <v>0.04116876</v>
      </c>
      <c r="DN80" s="0" t="n">
        <v>0.00329647</v>
      </c>
      <c r="DO80" s="0" t="n">
        <v>0.02202358</v>
      </c>
      <c r="DP80" s="0" t="n">
        <v>0.04388156</v>
      </c>
      <c r="DQ80" s="0" t="n">
        <v>0.01580397</v>
      </c>
      <c r="DR80" s="0" t="n">
        <v>0.0134187</v>
      </c>
      <c r="DS80" s="0" t="n">
        <v>0.00857352</v>
      </c>
      <c r="DT80" s="0" t="n">
        <v>-0.0087034</v>
      </c>
      <c r="DU80" s="0" t="n">
        <v>0.016041</v>
      </c>
      <c r="DV80" s="0" t="n">
        <v>0.00085605</v>
      </c>
      <c r="DW80" s="0" t="n">
        <v>0.02049695</v>
      </c>
      <c r="DX80" s="0" t="n">
        <v>-0.01047379</v>
      </c>
      <c r="DY80" s="0" t="n">
        <v>0.01856202</v>
      </c>
      <c r="DZ80" s="0" t="n">
        <v>0.03705431</v>
      </c>
      <c r="EA80" s="0" t="n">
        <v>0.0264896</v>
      </c>
      <c r="EB80" s="0" t="n">
        <v>0.0276052</v>
      </c>
      <c r="EC80" s="0" t="n">
        <v>-0.00809124</v>
      </c>
      <c r="ED80" s="0" t="n">
        <v>0.03368963</v>
      </c>
      <c r="EE80" s="0" t="n">
        <v>-0.02196789</v>
      </c>
      <c r="EF80" s="0" t="n">
        <v>0.00186135</v>
      </c>
      <c r="EG80" s="0" t="n">
        <v>-0.00453122</v>
      </c>
      <c r="EH80" s="0" t="n">
        <v>0.04022603</v>
      </c>
      <c r="EI80" s="0" t="n">
        <v>-0.00828857</v>
      </c>
      <c r="EJ80" s="0" t="n">
        <v>0.05541991</v>
      </c>
      <c r="EK80" s="0" t="n">
        <v>0.02228936</v>
      </c>
      <c r="EL80" s="0" t="n">
        <v>0.01894769</v>
      </c>
      <c r="EM80" s="0" t="n">
        <v>0.04174847</v>
      </c>
      <c r="EN80" s="0" t="n">
        <v>0.11095052</v>
      </c>
      <c r="EO80" s="0" t="n">
        <v>0.01651861</v>
      </c>
      <c r="EP80" s="55" t="n">
        <f aca="false">SUMPRODUCT(B80:EO80,$B$5:$EO$5)</f>
        <v>0.00535696</v>
      </c>
      <c r="EQ80" s="55" t="n">
        <f aca="false">SUMIF('Mi portafolio'!$A$8:$A$19,$A80,'Mi portafolio'!$B$8:$B$19)</f>
        <v>0</v>
      </c>
    </row>
    <row r="81" customFormat="false" ht="15" hidden="false" customHeight="false" outlineLevel="0" collapsed="false">
      <c r="A81" s="54" t="s">
        <v>223</v>
      </c>
      <c r="B81" s="0" t="n">
        <v>0.00945363</v>
      </c>
      <c r="C81" s="0" t="n">
        <v>-0.00184464</v>
      </c>
      <c r="D81" s="0" t="n">
        <v>-0.00333839</v>
      </c>
      <c r="E81" s="0" t="n">
        <v>0.00386879</v>
      </c>
      <c r="F81" s="0" t="n">
        <v>0.01790619</v>
      </c>
      <c r="G81" s="0" t="n">
        <v>0.00213435</v>
      </c>
      <c r="H81" s="0" t="n">
        <v>0.00927031</v>
      </c>
      <c r="I81" s="0" t="n">
        <v>0.01690575</v>
      </c>
      <c r="J81" s="0" t="n">
        <v>0.00614769</v>
      </c>
      <c r="K81" s="0" t="n">
        <v>0.01599443</v>
      </c>
      <c r="L81" s="0" t="n">
        <v>0.00387745</v>
      </c>
      <c r="M81" s="0" t="n">
        <v>0.03136347</v>
      </c>
      <c r="N81" s="0" t="n">
        <v>0.01982763</v>
      </c>
      <c r="O81" s="0" t="n">
        <v>0.00604988</v>
      </c>
      <c r="P81" s="0" t="n">
        <v>0.01026116</v>
      </c>
      <c r="Q81" s="0" t="n">
        <v>-0.00544023</v>
      </c>
      <c r="R81" s="0" t="n">
        <v>0.01881128</v>
      </c>
      <c r="S81" s="0" t="n">
        <v>-0.00040231</v>
      </c>
      <c r="T81" s="0" t="n">
        <v>0.02329488</v>
      </c>
      <c r="U81" s="0" t="n">
        <v>0.01161519</v>
      </c>
      <c r="V81" s="0" t="n">
        <v>0.01234278</v>
      </c>
      <c r="W81" s="0" t="n">
        <v>0.00158197</v>
      </c>
      <c r="X81" s="0" t="n">
        <v>0.02567342</v>
      </c>
      <c r="Y81" s="0" t="n">
        <v>0.01496747</v>
      </c>
      <c r="Z81" s="0" t="n">
        <v>0.01197379</v>
      </c>
      <c r="AA81" s="0" t="n">
        <v>0.01741167</v>
      </c>
      <c r="AB81" s="0" t="n">
        <v>0.01855252</v>
      </c>
      <c r="AC81" s="0" t="n">
        <v>0.00869865</v>
      </c>
      <c r="AD81" s="0" t="n">
        <v>0.00672164</v>
      </c>
      <c r="AE81" s="0" t="n">
        <v>0.01593325</v>
      </c>
      <c r="AF81" s="0" t="n">
        <v>0.00193961</v>
      </c>
      <c r="AG81" s="0" t="n">
        <v>0.00843087</v>
      </c>
      <c r="AH81" s="0" t="n">
        <v>0.00253958</v>
      </c>
      <c r="AI81" s="0" t="n">
        <v>-0.00872829</v>
      </c>
      <c r="AJ81" s="0" t="n">
        <v>-0.00190151</v>
      </c>
      <c r="AK81" s="0" t="n">
        <v>0.01847727</v>
      </c>
      <c r="AL81" s="0" t="n">
        <v>0.02500495</v>
      </c>
      <c r="AM81" s="0" t="n">
        <v>0.0177516</v>
      </c>
      <c r="AN81" s="0" t="n">
        <v>0.03838075</v>
      </c>
      <c r="AO81" s="0" t="n">
        <v>0.01318996</v>
      </c>
      <c r="AP81" s="0" t="n">
        <v>0.03129278</v>
      </c>
      <c r="AQ81" s="0" t="n">
        <v>-0.01328554</v>
      </c>
      <c r="AR81" s="0" t="n">
        <v>0.02701579</v>
      </c>
      <c r="AS81" s="0" t="n">
        <v>0.01755246</v>
      </c>
      <c r="AT81" s="0" t="n">
        <v>0.0401026</v>
      </c>
      <c r="AU81" s="0" t="n">
        <v>0.01351539</v>
      </c>
      <c r="AV81" s="0" t="n">
        <v>0.0079553</v>
      </c>
      <c r="AW81" s="0" t="n">
        <v>0.01438226</v>
      </c>
      <c r="AX81" s="0" t="n">
        <v>0.02142867</v>
      </c>
      <c r="AY81" s="0" t="n">
        <v>0.02656755</v>
      </c>
      <c r="AZ81" s="0" t="n">
        <v>0.01668573</v>
      </c>
      <c r="BA81" s="0" t="n">
        <v>0.04408503</v>
      </c>
      <c r="BB81" s="0" t="n">
        <v>0.03860691</v>
      </c>
      <c r="BC81" s="0" t="n">
        <v>0.01197053</v>
      </c>
      <c r="BD81" s="0" t="n">
        <v>0.01875522</v>
      </c>
      <c r="BE81" s="0" t="n">
        <v>0.02542563</v>
      </c>
      <c r="BF81" s="0" t="n">
        <v>0.01129537</v>
      </c>
      <c r="BG81" s="0" t="n">
        <v>0.03092495</v>
      </c>
      <c r="BH81" s="0" t="n">
        <v>0.01166067</v>
      </c>
      <c r="BI81" s="0" t="n">
        <v>-4.233E-005</v>
      </c>
      <c r="BJ81" s="0" t="n">
        <v>-0.01407022</v>
      </c>
      <c r="BK81" s="0" t="n">
        <v>0.00653522</v>
      </c>
      <c r="BL81" s="0" t="n">
        <v>0.03993622</v>
      </c>
      <c r="BM81" s="0" t="n">
        <v>0.03541439</v>
      </c>
      <c r="BN81" s="0" t="n">
        <v>0.00529016</v>
      </c>
      <c r="BO81" s="0" t="n">
        <v>0.02788298</v>
      </c>
      <c r="BP81" s="0" t="n">
        <v>0.01198196</v>
      </c>
      <c r="BQ81" s="0" t="n">
        <v>0.02558934</v>
      </c>
      <c r="BR81" s="0" t="n">
        <v>0.03699958</v>
      </c>
      <c r="BS81" s="0" t="n">
        <v>-0.0043619</v>
      </c>
      <c r="BT81" s="0" t="n">
        <v>0.04298219</v>
      </c>
      <c r="BU81" s="0" t="n">
        <v>0.01542174</v>
      </c>
      <c r="BV81" s="0" t="n">
        <v>0.03712003</v>
      </c>
      <c r="BW81" s="0" t="n">
        <v>0.02974421</v>
      </c>
      <c r="BX81" s="0" t="n">
        <v>0.01843695</v>
      </c>
      <c r="BY81" s="0" t="n">
        <v>0.12879015</v>
      </c>
      <c r="BZ81" s="0" t="n">
        <v>0.0365954</v>
      </c>
      <c r="CA81" s="0" t="n">
        <v>0.00087179</v>
      </c>
      <c r="CB81" s="0" t="n">
        <v>-0.01503083</v>
      </c>
      <c r="CC81" s="0" t="n">
        <v>-0.00120053</v>
      </c>
      <c r="CD81" s="0" t="n">
        <v>0.02281771</v>
      </c>
      <c r="CE81" s="0" t="n">
        <v>0.02560034</v>
      </c>
      <c r="CF81" s="0" t="n">
        <v>-0.01382329</v>
      </c>
      <c r="CG81" s="0" t="n">
        <v>0.04453582</v>
      </c>
      <c r="CH81" s="0" t="n">
        <v>0.0298857</v>
      </c>
      <c r="CI81" s="0" t="n">
        <v>-0.01309926</v>
      </c>
      <c r="CJ81" s="0" t="n">
        <v>0.00809635</v>
      </c>
      <c r="CK81" s="0" t="n">
        <v>0.04228385</v>
      </c>
      <c r="CL81" s="0" t="n">
        <v>0.08377316</v>
      </c>
      <c r="CM81" s="0" t="n">
        <v>0.0284536</v>
      </c>
      <c r="CN81" s="0" t="n">
        <v>-0.00085394</v>
      </c>
      <c r="CO81" s="0" t="n">
        <v>0.01106079</v>
      </c>
      <c r="CP81" s="0" t="n">
        <v>0.00991333</v>
      </c>
      <c r="CQ81" s="0" t="n">
        <v>0.06916405</v>
      </c>
      <c r="CR81" s="0" t="n">
        <v>0.03983886</v>
      </c>
      <c r="CS81" s="0" t="n">
        <v>0.04294932</v>
      </c>
      <c r="CT81" s="0" t="n">
        <v>0.03606119</v>
      </c>
      <c r="CU81" s="0" t="n">
        <v>0.02123829</v>
      </c>
      <c r="CV81" s="0" t="n">
        <v>0.03781879</v>
      </c>
      <c r="CW81" s="0" t="n">
        <v>0.04529529</v>
      </c>
      <c r="CX81" s="0" t="n">
        <v>0.05468733</v>
      </c>
      <c r="CY81" s="0" t="n">
        <v>0.06853753</v>
      </c>
      <c r="CZ81" s="0" t="n">
        <v>0.02632796</v>
      </c>
      <c r="DA81" s="0" t="n">
        <v>0.02905926</v>
      </c>
      <c r="DB81" s="0" t="n">
        <v>0.0435575</v>
      </c>
      <c r="DC81" s="0" t="n">
        <v>0.04310421</v>
      </c>
      <c r="DD81" s="0" t="n">
        <v>0.0501249</v>
      </c>
      <c r="DE81" s="0" t="n">
        <v>0.04190356</v>
      </c>
      <c r="DF81" s="0" t="n">
        <v>0.02207871</v>
      </c>
      <c r="DG81" s="0" t="n">
        <v>0.02362524</v>
      </c>
      <c r="DH81" s="0" t="n">
        <v>0.02529315</v>
      </c>
      <c r="DI81" s="0" t="n">
        <v>0.07614079</v>
      </c>
      <c r="DJ81" s="0" t="n">
        <v>0.07101955</v>
      </c>
      <c r="DK81" s="0" t="n">
        <v>0.079969</v>
      </c>
      <c r="DL81" s="0" t="n">
        <v>0.01664214</v>
      </c>
      <c r="DM81" s="0" t="n">
        <v>0.08831518</v>
      </c>
      <c r="DN81" s="0" t="n">
        <v>0.03738182</v>
      </c>
      <c r="DO81" s="0" t="n">
        <v>0.04693623</v>
      </c>
      <c r="DP81" s="0" t="n">
        <v>0.08583605</v>
      </c>
      <c r="DQ81" s="0" t="n">
        <v>0.04682896</v>
      </c>
      <c r="DR81" s="0" t="n">
        <v>0.03006909</v>
      </c>
      <c r="DS81" s="0" t="n">
        <v>0.01728644</v>
      </c>
      <c r="DT81" s="0" t="n">
        <v>0.02590696</v>
      </c>
      <c r="DU81" s="0" t="n">
        <v>0.05630516</v>
      </c>
      <c r="DV81" s="0" t="n">
        <v>0.03090237</v>
      </c>
      <c r="DW81" s="0" t="n">
        <v>0.05828324</v>
      </c>
      <c r="DX81" s="0" t="n">
        <v>0.03530795</v>
      </c>
      <c r="DY81" s="0" t="n">
        <v>0.06781512</v>
      </c>
      <c r="DZ81" s="0" t="n">
        <v>0.01559443</v>
      </c>
      <c r="EA81" s="0" t="n">
        <v>0.04429022</v>
      </c>
      <c r="EB81" s="0" t="n">
        <v>0.07552707</v>
      </c>
      <c r="EC81" s="0" t="n">
        <v>0.0049274</v>
      </c>
      <c r="ED81" s="0" t="n">
        <v>0.07676018</v>
      </c>
      <c r="EE81" s="0" t="n">
        <v>0.04772747</v>
      </c>
      <c r="EF81" s="0" t="n">
        <v>0.03103827</v>
      </c>
      <c r="EG81" s="0" t="n">
        <v>0.0405896</v>
      </c>
      <c r="EH81" s="0" t="n">
        <v>0.03560409</v>
      </c>
      <c r="EI81" s="0" t="n">
        <v>0.04670497</v>
      </c>
      <c r="EJ81" s="0" t="n">
        <v>0.08181004</v>
      </c>
      <c r="EK81" s="0" t="n">
        <v>0.0750887</v>
      </c>
      <c r="EL81" s="0" t="n">
        <v>0.06975779</v>
      </c>
      <c r="EM81" s="0" t="n">
        <v>0.03391046</v>
      </c>
      <c r="EN81" s="0" t="n">
        <v>0.06042866</v>
      </c>
      <c r="EO81" s="0" t="n">
        <v>0.18064494</v>
      </c>
      <c r="EP81" s="55" t="n">
        <f aca="false">SUMPRODUCT(B81:EO81,$B$5:$EO$5)</f>
        <v>0.030441734</v>
      </c>
      <c r="EQ81" s="55" t="n">
        <f aca="false">SUMIF('Mi portafolio'!$A$8:$A$19,$A81,'Mi portafolio'!$B$8:$B$19)</f>
        <v>0</v>
      </c>
    </row>
    <row r="82" customFormat="false" ht="15" hidden="false" customHeight="false" outlineLevel="0" collapsed="false">
      <c r="A82" s="54" t="s">
        <v>224</v>
      </c>
      <c r="B82" s="0" t="n">
        <v>0.01251631</v>
      </c>
      <c r="C82" s="0" t="n">
        <v>0.00715094</v>
      </c>
      <c r="D82" s="0" t="n">
        <v>-0.00058199</v>
      </c>
      <c r="E82" s="0" t="n">
        <v>0.00894561</v>
      </c>
      <c r="F82" s="0" t="n">
        <v>0.00603307</v>
      </c>
      <c r="G82" s="0" t="n">
        <v>-0.00634488</v>
      </c>
      <c r="H82" s="0" t="n">
        <v>0.00944441</v>
      </c>
      <c r="I82" s="0" t="n">
        <v>0.01467013</v>
      </c>
      <c r="J82" s="0" t="n">
        <v>0.00802027</v>
      </c>
      <c r="K82" s="0" t="n">
        <v>0.01287191</v>
      </c>
      <c r="L82" s="0" t="n">
        <v>0.01076094</v>
      </c>
      <c r="M82" s="0" t="n">
        <v>0.03222832</v>
      </c>
      <c r="N82" s="0" t="n">
        <v>0.01752291</v>
      </c>
      <c r="O82" s="0" t="n">
        <v>0.01398686</v>
      </c>
      <c r="P82" s="0" t="n">
        <v>0.01445979</v>
      </c>
      <c r="Q82" s="0" t="n">
        <v>0.00267422</v>
      </c>
      <c r="R82" s="0" t="n">
        <v>0.01181873</v>
      </c>
      <c r="S82" s="0" t="n">
        <v>0.00841741</v>
      </c>
      <c r="T82" s="0" t="n">
        <v>0.02522505</v>
      </c>
      <c r="U82" s="0" t="n">
        <v>0.01618078</v>
      </c>
      <c r="V82" s="0" t="n">
        <v>0.006188</v>
      </c>
      <c r="W82" s="0" t="n">
        <v>0.00939621</v>
      </c>
      <c r="X82" s="0" t="n">
        <v>0.02687825</v>
      </c>
      <c r="Y82" s="0" t="n">
        <v>0.00954371</v>
      </c>
      <c r="Z82" s="0" t="n">
        <v>0.00928849</v>
      </c>
      <c r="AA82" s="0" t="n">
        <v>0.01497278</v>
      </c>
      <c r="AB82" s="0" t="n">
        <v>0.01257623</v>
      </c>
      <c r="AC82" s="0" t="n">
        <v>0.00296264</v>
      </c>
      <c r="AD82" s="0" t="n">
        <v>0.00844853</v>
      </c>
      <c r="AE82" s="0" t="n">
        <v>0.01388297</v>
      </c>
      <c r="AF82" s="0" t="n">
        <v>0.00972453</v>
      </c>
      <c r="AG82" s="0" t="n">
        <v>0.00358113</v>
      </c>
      <c r="AH82" s="0" t="n">
        <v>0.00708755</v>
      </c>
      <c r="AI82" s="0" t="n">
        <v>-0.01703793</v>
      </c>
      <c r="AJ82" s="0" t="n">
        <v>0.00961028</v>
      </c>
      <c r="AK82" s="0" t="n">
        <v>0.01607269</v>
      </c>
      <c r="AL82" s="0" t="n">
        <v>0.02454923</v>
      </c>
      <c r="AM82" s="0" t="n">
        <v>0.02355557</v>
      </c>
      <c r="AN82" s="0" t="n">
        <v>0.03666695</v>
      </c>
      <c r="AO82" s="0" t="n">
        <v>0.00422085</v>
      </c>
      <c r="AP82" s="0" t="n">
        <v>0.02041746</v>
      </c>
      <c r="AQ82" s="0" t="n">
        <v>-0.01951416</v>
      </c>
      <c r="AR82" s="0" t="n">
        <v>0.02981783</v>
      </c>
      <c r="AS82" s="0" t="n">
        <v>0.01459802</v>
      </c>
      <c r="AT82" s="0" t="n">
        <v>0.0315353</v>
      </c>
      <c r="AU82" s="0" t="n">
        <v>0.01751652</v>
      </c>
      <c r="AV82" s="0" t="n">
        <v>0.0109241</v>
      </c>
      <c r="AW82" s="0" t="n">
        <v>0.01867804</v>
      </c>
      <c r="AX82" s="0" t="n">
        <v>0.01424352</v>
      </c>
      <c r="AY82" s="0" t="n">
        <v>0.02125567</v>
      </c>
      <c r="AZ82" s="0" t="n">
        <v>0.01782361</v>
      </c>
      <c r="BA82" s="0" t="n">
        <v>0.02348488</v>
      </c>
      <c r="BB82" s="0" t="n">
        <v>0.03773945</v>
      </c>
      <c r="BC82" s="0" t="n">
        <v>0.00990705</v>
      </c>
      <c r="BD82" s="0" t="n">
        <v>0.0226372</v>
      </c>
      <c r="BE82" s="0" t="n">
        <v>0.01594139</v>
      </c>
      <c r="BF82" s="0" t="n">
        <v>0.02151326</v>
      </c>
      <c r="BG82" s="0" t="n">
        <v>0.02135115</v>
      </c>
      <c r="BH82" s="0" t="n">
        <v>0.01731675</v>
      </c>
      <c r="BI82" s="0" t="n">
        <v>0.01283089</v>
      </c>
      <c r="BJ82" s="0" t="n">
        <v>-0.00664907</v>
      </c>
      <c r="BK82" s="0" t="n">
        <v>0.01166804</v>
      </c>
      <c r="BL82" s="0" t="n">
        <v>0.04112792</v>
      </c>
      <c r="BM82" s="0" t="n">
        <v>0.0197516</v>
      </c>
      <c r="BN82" s="0" t="n">
        <v>0.02498876</v>
      </c>
      <c r="BO82" s="0" t="n">
        <v>0.03303654</v>
      </c>
      <c r="BP82" s="0" t="n">
        <v>0.03262672</v>
      </c>
      <c r="BQ82" s="0" t="n">
        <v>0.03229189</v>
      </c>
      <c r="BR82" s="0" t="n">
        <v>0.03283463</v>
      </c>
      <c r="BS82" s="0" t="n">
        <v>-0.01755027</v>
      </c>
      <c r="BT82" s="0" t="n">
        <v>0.06020717</v>
      </c>
      <c r="BU82" s="0" t="n">
        <v>0.019078</v>
      </c>
      <c r="BV82" s="0" t="n">
        <v>0.03414747</v>
      </c>
      <c r="BW82" s="0" t="n">
        <v>0.02159854</v>
      </c>
      <c r="BX82" s="0" t="n">
        <v>0.02292804</v>
      </c>
      <c r="BY82" s="0" t="n">
        <v>0.0365954</v>
      </c>
      <c r="BZ82" s="0" t="n">
        <v>0.12615871</v>
      </c>
      <c r="CA82" s="0" t="n">
        <v>0.00814515</v>
      </c>
      <c r="CB82" s="0" t="n">
        <v>0.00018168</v>
      </c>
      <c r="CC82" s="0" t="n">
        <v>0.02477592</v>
      </c>
      <c r="CD82" s="0" t="n">
        <v>0.0354134</v>
      </c>
      <c r="CE82" s="0" t="n">
        <v>0.01415669</v>
      </c>
      <c r="CF82" s="0" t="n">
        <v>-0.01782201</v>
      </c>
      <c r="CG82" s="0" t="n">
        <v>0.03693655</v>
      </c>
      <c r="CH82" s="0" t="n">
        <v>0.02484115</v>
      </c>
      <c r="CI82" s="0" t="n">
        <v>-0.02481397</v>
      </c>
      <c r="CJ82" s="0" t="n">
        <v>0.02409114</v>
      </c>
      <c r="CK82" s="0" t="n">
        <v>0.02240077</v>
      </c>
      <c r="CL82" s="0" t="n">
        <v>0.03684987</v>
      </c>
      <c r="CM82" s="0" t="n">
        <v>0.03466952</v>
      </c>
      <c r="CN82" s="0" t="n">
        <v>0.01073474</v>
      </c>
      <c r="CO82" s="0" t="n">
        <v>0.0076036</v>
      </c>
      <c r="CP82" s="0" t="n">
        <v>0.01477084</v>
      </c>
      <c r="CQ82" s="0" t="n">
        <v>0.06107586</v>
      </c>
      <c r="CR82" s="0" t="n">
        <v>0.04286795</v>
      </c>
      <c r="CS82" s="0" t="n">
        <v>0.04065137</v>
      </c>
      <c r="CT82" s="0" t="n">
        <v>0.04118174</v>
      </c>
      <c r="CU82" s="0" t="n">
        <v>0.02980431</v>
      </c>
      <c r="CV82" s="0" t="n">
        <v>0.03500373</v>
      </c>
      <c r="CW82" s="0" t="n">
        <v>0.04155249</v>
      </c>
      <c r="CX82" s="0" t="n">
        <v>0.05478087</v>
      </c>
      <c r="CY82" s="0" t="n">
        <v>0.05559133</v>
      </c>
      <c r="CZ82" s="0" t="n">
        <v>0.02398393</v>
      </c>
      <c r="DA82" s="0" t="n">
        <v>0.0352556</v>
      </c>
      <c r="DB82" s="0" t="n">
        <v>0.04800052</v>
      </c>
      <c r="DC82" s="0" t="n">
        <v>0.05281653</v>
      </c>
      <c r="DD82" s="0" t="n">
        <v>0.05355836</v>
      </c>
      <c r="DE82" s="0" t="n">
        <v>0.04189892</v>
      </c>
      <c r="DF82" s="0" t="n">
        <v>0.01183601</v>
      </c>
      <c r="DG82" s="0" t="n">
        <v>0.04722986</v>
      </c>
      <c r="DH82" s="0" t="n">
        <v>0.02917668</v>
      </c>
      <c r="DI82" s="0" t="n">
        <v>0.0712861</v>
      </c>
      <c r="DJ82" s="0" t="n">
        <v>0.0543225</v>
      </c>
      <c r="DK82" s="0" t="n">
        <v>0.08313961</v>
      </c>
      <c r="DL82" s="0" t="n">
        <v>0.02023716</v>
      </c>
      <c r="DM82" s="0" t="n">
        <v>0.07327781</v>
      </c>
      <c r="DN82" s="0" t="n">
        <v>0.05412635</v>
      </c>
      <c r="DO82" s="0" t="n">
        <v>0.05625189</v>
      </c>
      <c r="DP82" s="0" t="n">
        <v>0.06761518</v>
      </c>
      <c r="DQ82" s="0" t="n">
        <v>0.06905965</v>
      </c>
      <c r="DR82" s="0" t="n">
        <v>0.04512069</v>
      </c>
      <c r="DS82" s="0" t="n">
        <v>0.03717473</v>
      </c>
      <c r="DT82" s="0" t="n">
        <v>0.05039472</v>
      </c>
      <c r="DU82" s="0" t="n">
        <v>0.08492591</v>
      </c>
      <c r="DV82" s="0" t="n">
        <v>0.04612332</v>
      </c>
      <c r="DW82" s="0" t="n">
        <v>0.04151858</v>
      </c>
      <c r="DX82" s="0" t="n">
        <v>0.0513341</v>
      </c>
      <c r="DY82" s="0" t="n">
        <v>0.07635897</v>
      </c>
      <c r="DZ82" s="0" t="n">
        <v>0.02819235</v>
      </c>
      <c r="EA82" s="0" t="n">
        <v>0.04085305</v>
      </c>
      <c r="EB82" s="0" t="n">
        <v>0.08398822</v>
      </c>
      <c r="EC82" s="0" t="n">
        <v>-0.00576423</v>
      </c>
      <c r="ED82" s="0" t="n">
        <v>0.06316329</v>
      </c>
      <c r="EE82" s="0" t="n">
        <v>0.06741477</v>
      </c>
      <c r="EF82" s="0" t="n">
        <v>0.06994088</v>
      </c>
      <c r="EG82" s="0" t="n">
        <v>0.07342428</v>
      </c>
      <c r="EH82" s="0" t="n">
        <v>0.05276126</v>
      </c>
      <c r="EI82" s="0" t="n">
        <v>0.06741507</v>
      </c>
      <c r="EJ82" s="0" t="n">
        <v>0.07774227</v>
      </c>
      <c r="EK82" s="0" t="n">
        <v>0.0845147</v>
      </c>
      <c r="EL82" s="0" t="n">
        <v>0.09449335</v>
      </c>
      <c r="EM82" s="0" t="n">
        <v>0.1005463</v>
      </c>
      <c r="EN82" s="0" t="n">
        <v>0.06839644</v>
      </c>
      <c r="EO82" s="0" t="n">
        <v>0.0902137</v>
      </c>
      <c r="EP82" s="55" t="n">
        <f aca="false">SUMPRODUCT(B82:EO82,$B$5:$EO$5)</f>
        <v>0.033469356</v>
      </c>
      <c r="EQ82" s="55" t="n">
        <f aca="false">SUMIF('Mi portafolio'!$A$8:$A$19,$A82,'Mi portafolio'!$B$8:$B$19)</f>
        <v>0</v>
      </c>
    </row>
    <row r="83" customFormat="false" ht="15" hidden="false" customHeight="false" outlineLevel="0" collapsed="false">
      <c r="A83" s="54" t="s">
        <v>225</v>
      </c>
      <c r="B83" s="0" t="n">
        <v>0.00216271</v>
      </c>
      <c r="C83" s="0" t="n">
        <v>0.00978303</v>
      </c>
      <c r="D83" s="0" t="n">
        <v>0.01037798</v>
      </c>
      <c r="E83" s="0" t="n">
        <v>0.01847556</v>
      </c>
      <c r="F83" s="0" t="n">
        <v>0.0022389</v>
      </c>
      <c r="G83" s="0" t="n">
        <v>0.00930746</v>
      </c>
      <c r="H83" s="0" t="n">
        <v>0.02031178</v>
      </c>
      <c r="I83" s="0" t="n">
        <v>0.00367942</v>
      </c>
      <c r="J83" s="0" t="n">
        <v>0.00071745</v>
      </c>
      <c r="K83" s="0" t="n">
        <v>0.00994713</v>
      </c>
      <c r="L83" s="0" t="n">
        <v>0.01350769</v>
      </c>
      <c r="M83" s="0" t="n">
        <v>0.01763904</v>
      </c>
      <c r="N83" s="0" t="n">
        <v>0.00378107</v>
      </c>
      <c r="O83" s="0" t="n">
        <v>0.02615742</v>
      </c>
      <c r="P83" s="0" t="n">
        <v>0.00796304</v>
      </c>
      <c r="Q83" s="0" t="n">
        <v>-0.00441956</v>
      </c>
      <c r="R83" s="0" t="n">
        <v>0.00121891</v>
      </c>
      <c r="S83" s="0" t="n">
        <v>0.01834094</v>
      </c>
      <c r="T83" s="0" t="n">
        <v>0.00325536</v>
      </c>
      <c r="U83" s="0" t="n">
        <v>0.03617598</v>
      </c>
      <c r="V83" s="0" t="n">
        <v>0.03588891</v>
      </c>
      <c r="W83" s="0" t="n">
        <v>0.01432887</v>
      </c>
      <c r="X83" s="0" t="n">
        <v>0.00408179</v>
      </c>
      <c r="Y83" s="0" t="n">
        <v>0.00110651</v>
      </c>
      <c r="Z83" s="0" t="n">
        <v>0.0187487</v>
      </c>
      <c r="AA83" s="0" t="n">
        <v>0.01815346</v>
      </c>
      <c r="AB83" s="0" t="n">
        <v>-0.00547717</v>
      </c>
      <c r="AC83" s="0" t="n">
        <v>0.02484728</v>
      </c>
      <c r="AD83" s="0" t="n">
        <v>0.0279043</v>
      </c>
      <c r="AE83" s="0" t="n">
        <v>0.02535797</v>
      </c>
      <c r="AF83" s="0" t="n">
        <v>0.03544583</v>
      </c>
      <c r="AG83" s="0" t="n">
        <v>-0.0033925</v>
      </c>
      <c r="AH83" s="0" t="n">
        <v>-0.00293098</v>
      </c>
      <c r="AI83" s="0" t="n">
        <v>-0.00973283</v>
      </c>
      <c r="AJ83" s="0" t="n">
        <v>0.0203553</v>
      </c>
      <c r="AK83" s="0" t="n">
        <v>0.03145457</v>
      </c>
      <c r="AL83" s="0" t="n">
        <v>0.0070775</v>
      </c>
      <c r="AM83" s="0" t="n">
        <v>0.0247246</v>
      </c>
      <c r="AN83" s="0" t="n">
        <v>0.0134277</v>
      </c>
      <c r="AO83" s="0" t="n">
        <v>-0.00381132</v>
      </c>
      <c r="AP83" s="0" t="n">
        <v>0.00547</v>
      </c>
      <c r="AQ83" s="0" t="n">
        <v>-0.01154271</v>
      </c>
      <c r="AR83" s="0" t="n">
        <v>-0.00386942</v>
      </c>
      <c r="AS83" s="0" t="n">
        <v>0.034681</v>
      </c>
      <c r="AT83" s="0" t="n">
        <v>-0.00217365</v>
      </c>
      <c r="AU83" s="0" t="n">
        <v>0.00914471</v>
      </c>
      <c r="AV83" s="0" t="n">
        <v>0.03311969</v>
      </c>
      <c r="AW83" s="0" t="n">
        <v>0.02869896</v>
      </c>
      <c r="AX83" s="0" t="n">
        <v>0.00408453</v>
      </c>
      <c r="AY83" s="0" t="n">
        <v>0.00056934</v>
      </c>
      <c r="AZ83" s="0" t="n">
        <v>0.03492783</v>
      </c>
      <c r="BA83" s="0" t="n">
        <v>0.00454296</v>
      </c>
      <c r="BB83" s="0" t="n">
        <v>0.00789028</v>
      </c>
      <c r="BC83" s="0" t="n">
        <v>0.0225311</v>
      </c>
      <c r="BD83" s="0" t="n">
        <v>0.02848843</v>
      </c>
      <c r="BE83" s="0" t="n">
        <v>0.00707667</v>
      </c>
      <c r="BF83" s="0" t="n">
        <v>0.02585121</v>
      </c>
      <c r="BG83" s="0" t="n">
        <v>0.0035817</v>
      </c>
      <c r="BH83" s="0" t="n">
        <v>0.02499962</v>
      </c>
      <c r="BI83" s="0" t="n">
        <v>0.01855528</v>
      </c>
      <c r="BJ83" s="0" t="n">
        <v>0.00896406</v>
      </c>
      <c r="BK83" s="0" t="n">
        <v>0.02457683</v>
      </c>
      <c r="BL83" s="0" t="n">
        <v>0.00657888</v>
      </c>
      <c r="BM83" s="0" t="n">
        <v>0.00213236</v>
      </c>
      <c r="BN83" s="0" t="n">
        <v>0.00053048</v>
      </c>
      <c r="BO83" s="0" t="n">
        <v>0.01170883</v>
      </c>
      <c r="BP83" s="0" t="n">
        <v>-0.00052898</v>
      </c>
      <c r="BQ83" s="0" t="n">
        <v>0.03093051</v>
      </c>
      <c r="BR83" s="0" t="n">
        <v>0.00462855</v>
      </c>
      <c r="BS83" s="0" t="n">
        <v>-0.01156898</v>
      </c>
      <c r="BT83" s="0" t="n">
        <v>0.01779788</v>
      </c>
      <c r="BU83" s="0" t="n">
        <v>0.01423223</v>
      </c>
      <c r="BV83" s="0" t="n">
        <v>0.01345214</v>
      </c>
      <c r="BW83" s="0" t="n">
        <v>0.00896113</v>
      </c>
      <c r="BX83" s="0" t="n">
        <v>-0.00100558</v>
      </c>
      <c r="BY83" s="0" t="n">
        <v>0.00087179</v>
      </c>
      <c r="BZ83" s="0" t="n">
        <v>0.00814515</v>
      </c>
      <c r="CA83" s="0" t="n">
        <v>0.12294236</v>
      </c>
      <c r="CB83" s="0" t="n">
        <v>-0.00051087</v>
      </c>
      <c r="CC83" s="0" t="n">
        <v>0.00190607</v>
      </c>
      <c r="CD83" s="0" t="n">
        <v>-0.00229974</v>
      </c>
      <c r="CE83" s="0" t="n">
        <v>0.00773357</v>
      </c>
      <c r="CF83" s="0" t="n">
        <v>-0.00921681</v>
      </c>
      <c r="CG83" s="0" t="n">
        <v>0.00409648</v>
      </c>
      <c r="CH83" s="0" t="n">
        <v>0.04676437</v>
      </c>
      <c r="CI83" s="0" t="n">
        <v>-0.01434316</v>
      </c>
      <c r="CJ83" s="0" t="n">
        <v>0.00209469</v>
      </c>
      <c r="CK83" s="0" t="n">
        <v>0.00514859</v>
      </c>
      <c r="CL83" s="0" t="n">
        <v>0.01191854</v>
      </c>
      <c r="CM83" s="0" t="n">
        <v>0.00860705</v>
      </c>
      <c r="CN83" s="0" t="n">
        <v>0.02498884</v>
      </c>
      <c r="CO83" s="0" t="n">
        <v>0.02476792</v>
      </c>
      <c r="CP83" s="0" t="n">
        <v>-0.00367017</v>
      </c>
      <c r="CQ83" s="0" t="n">
        <v>0.00827322</v>
      </c>
      <c r="CR83" s="0" t="n">
        <v>0.01872013</v>
      </c>
      <c r="CS83" s="0" t="n">
        <v>0.02143335</v>
      </c>
      <c r="CT83" s="0" t="n">
        <v>0.016724</v>
      </c>
      <c r="CU83" s="0" t="n">
        <v>0.00603509</v>
      </c>
      <c r="CV83" s="0" t="n">
        <v>0.01257977</v>
      </c>
      <c r="CW83" s="0" t="n">
        <v>0.01997814</v>
      </c>
      <c r="CX83" s="0" t="n">
        <v>0.0047093</v>
      </c>
      <c r="CY83" s="0" t="n">
        <v>0.0123992</v>
      </c>
      <c r="CZ83" s="0" t="n">
        <v>0.00433191</v>
      </c>
      <c r="DA83" s="0" t="n">
        <v>0.00991487</v>
      </c>
      <c r="DB83" s="0" t="n">
        <v>0.02741136</v>
      </c>
      <c r="DC83" s="0" t="n">
        <v>0.04045909</v>
      </c>
      <c r="DD83" s="0" t="n">
        <v>0.02191157</v>
      </c>
      <c r="DE83" s="0" t="n">
        <v>0.02759501</v>
      </c>
      <c r="DF83" s="0" t="n">
        <v>-0.00567554</v>
      </c>
      <c r="DG83" s="0" t="n">
        <v>0.02989766</v>
      </c>
      <c r="DH83" s="0" t="n">
        <v>0.02658942</v>
      </c>
      <c r="DI83" s="0" t="n">
        <v>0.01319956</v>
      </c>
      <c r="DJ83" s="0" t="n">
        <v>0.00820767</v>
      </c>
      <c r="DK83" s="0" t="n">
        <v>0.00914428</v>
      </c>
      <c r="DL83" s="0" t="n">
        <v>0.0535465</v>
      </c>
      <c r="DM83" s="0" t="n">
        <v>0.021698</v>
      </c>
      <c r="DN83" s="0" t="n">
        <v>0.01294945</v>
      </c>
      <c r="DO83" s="0" t="n">
        <v>0.03484135</v>
      </c>
      <c r="DP83" s="0" t="n">
        <v>0.02301595</v>
      </c>
      <c r="DQ83" s="0" t="n">
        <v>0.01572723</v>
      </c>
      <c r="DR83" s="0" t="n">
        <v>0.00544146</v>
      </c>
      <c r="DS83" s="0" t="n">
        <v>-0.01484062</v>
      </c>
      <c r="DT83" s="0" t="n">
        <v>0.01127373</v>
      </c>
      <c r="DU83" s="0" t="n">
        <v>0.02468841</v>
      </c>
      <c r="DV83" s="0" t="n">
        <v>0.01703644</v>
      </c>
      <c r="DW83" s="0" t="n">
        <v>-0.00483716</v>
      </c>
      <c r="DX83" s="0" t="n">
        <v>0.02839349</v>
      </c>
      <c r="DY83" s="0" t="n">
        <v>0.00834571</v>
      </c>
      <c r="DZ83" s="0" t="n">
        <v>-0.00923563</v>
      </c>
      <c r="EA83" s="0" t="n">
        <v>0.0235571</v>
      </c>
      <c r="EB83" s="0" t="n">
        <v>0.02142956</v>
      </c>
      <c r="EC83" s="0" t="n">
        <v>0.01024426</v>
      </c>
      <c r="ED83" s="0" t="n">
        <v>0.03791306</v>
      </c>
      <c r="EE83" s="0" t="n">
        <v>0.02188099</v>
      </c>
      <c r="EF83" s="0" t="n">
        <v>0.01866718</v>
      </c>
      <c r="EG83" s="0" t="n">
        <v>0.02864352</v>
      </c>
      <c r="EH83" s="0" t="n">
        <v>-0.03098294</v>
      </c>
      <c r="EI83" s="0" t="n">
        <v>0.01165974</v>
      </c>
      <c r="EJ83" s="0" t="n">
        <v>0.0455433</v>
      </c>
      <c r="EK83" s="0" t="n">
        <v>0.03787298</v>
      </c>
      <c r="EL83" s="0" t="n">
        <v>0.0589226</v>
      </c>
      <c r="EM83" s="0" t="n">
        <v>-0.01374139</v>
      </c>
      <c r="EN83" s="0" t="n">
        <v>0.03965977</v>
      </c>
      <c r="EO83" s="0" t="n">
        <v>-0.02443359</v>
      </c>
      <c r="EP83" s="55" t="n">
        <f aca="false">SUMPRODUCT(B83:EO83,$B$5:$EO$5)</f>
        <v>0.028680898</v>
      </c>
      <c r="EQ83" s="55" t="n">
        <f aca="false">SUMIF('Mi portafolio'!$A$8:$A$19,$A83,'Mi portafolio'!$B$8:$B$19)</f>
        <v>0</v>
      </c>
    </row>
    <row r="84" customFormat="false" ht="15" hidden="false" customHeight="false" outlineLevel="0" collapsed="false">
      <c r="A84" s="54" t="s">
        <v>226</v>
      </c>
      <c r="B84" s="0" t="n">
        <v>0.00278956</v>
      </c>
      <c r="C84" s="0" t="n">
        <v>0.00624498</v>
      </c>
      <c r="D84" s="0" t="n">
        <v>-0.00427998</v>
      </c>
      <c r="E84" s="0" t="n">
        <v>0.00137994</v>
      </c>
      <c r="F84" s="0" t="n">
        <v>0.00516925</v>
      </c>
      <c r="G84" s="0" t="n">
        <v>-0.00084262</v>
      </c>
      <c r="H84" s="0" t="n">
        <v>-0.00747469</v>
      </c>
      <c r="I84" s="0" t="n">
        <v>0.00105348</v>
      </c>
      <c r="J84" s="0" t="n">
        <v>0.00877396</v>
      </c>
      <c r="K84" s="0" t="n">
        <v>-0.00164803</v>
      </c>
      <c r="L84" s="0" t="n">
        <v>-0.00550608</v>
      </c>
      <c r="M84" s="0" t="n">
        <v>-0.00299739</v>
      </c>
      <c r="N84" s="0" t="n">
        <v>0.00635675</v>
      </c>
      <c r="O84" s="0" t="n">
        <v>-0.00024458</v>
      </c>
      <c r="P84" s="0" t="n">
        <v>0.00524313</v>
      </c>
      <c r="Q84" s="0" t="n">
        <v>-0.0018954</v>
      </c>
      <c r="R84" s="0" t="n">
        <v>0.00572071</v>
      </c>
      <c r="S84" s="0" t="n">
        <v>-0.00726</v>
      </c>
      <c r="T84" s="0" t="n">
        <v>0.0009891</v>
      </c>
      <c r="U84" s="0" t="n">
        <v>0.00196524</v>
      </c>
      <c r="V84" s="0" t="n">
        <v>-0.00948494</v>
      </c>
      <c r="W84" s="0" t="n">
        <v>0.00124634</v>
      </c>
      <c r="X84" s="0" t="n">
        <v>0.00091206</v>
      </c>
      <c r="Y84" s="0" t="n">
        <v>0.00809109</v>
      </c>
      <c r="Z84" s="0" t="n">
        <v>-0.00809287</v>
      </c>
      <c r="AA84" s="0" t="n">
        <v>-0.00714818</v>
      </c>
      <c r="AB84" s="0" t="n">
        <v>0.00314277</v>
      </c>
      <c r="AC84" s="0" t="n">
        <v>-0.00342812</v>
      </c>
      <c r="AD84" s="0" t="n">
        <v>-0.00644294</v>
      </c>
      <c r="AE84" s="0" t="n">
        <v>-0.00639683</v>
      </c>
      <c r="AF84" s="0" t="n">
        <v>-0.00337376</v>
      </c>
      <c r="AG84" s="0" t="n">
        <v>0.00389936</v>
      </c>
      <c r="AH84" s="0" t="n">
        <v>0.00464812</v>
      </c>
      <c r="AI84" s="0" t="n">
        <v>0.01598328</v>
      </c>
      <c r="AJ84" s="0" t="n">
        <v>-0.0011192</v>
      </c>
      <c r="AK84" s="0" t="n">
        <v>0.0032378</v>
      </c>
      <c r="AL84" s="0" t="n">
        <v>-0.00414555</v>
      </c>
      <c r="AM84" s="0" t="n">
        <v>-0.00429076</v>
      </c>
      <c r="AN84" s="0" t="n">
        <v>0.00126022</v>
      </c>
      <c r="AO84" s="0" t="n">
        <v>-0.0015435</v>
      </c>
      <c r="AP84" s="0" t="n">
        <v>0.00038034</v>
      </c>
      <c r="AQ84" s="0" t="n">
        <v>0.01578914</v>
      </c>
      <c r="AR84" s="0" t="n">
        <v>0.00720054</v>
      </c>
      <c r="AS84" s="0" t="n">
        <v>0.01101521</v>
      </c>
      <c r="AT84" s="0" t="n">
        <v>0.00163986</v>
      </c>
      <c r="AU84" s="0" t="n">
        <v>0.00064456</v>
      </c>
      <c r="AV84" s="0" t="n">
        <v>-0.0001466</v>
      </c>
      <c r="AW84" s="0" t="n">
        <v>-0.00166823</v>
      </c>
      <c r="AX84" s="0" t="n">
        <v>-0.00029391</v>
      </c>
      <c r="AY84" s="0" t="n">
        <v>-0.00200438</v>
      </c>
      <c r="AZ84" s="0" t="n">
        <v>-0.00161487</v>
      </c>
      <c r="BA84" s="0" t="n">
        <v>0.00136478</v>
      </c>
      <c r="BB84" s="0" t="n">
        <v>0.00040384</v>
      </c>
      <c r="BC84" s="0" t="n">
        <v>-0.00258504</v>
      </c>
      <c r="BD84" s="0" t="n">
        <v>0.00340504</v>
      </c>
      <c r="BE84" s="0" t="n">
        <v>-0.00036785</v>
      </c>
      <c r="BF84" s="0" t="n">
        <v>-0.00891612</v>
      </c>
      <c r="BG84" s="0" t="n">
        <v>-0.00344083</v>
      </c>
      <c r="BH84" s="0" t="n">
        <v>0.00028977</v>
      </c>
      <c r="BI84" s="0" t="n">
        <v>-0.00261355</v>
      </c>
      <c r="BJ84" s="0" t="n">
        <v>0.00293718</v>
      </c>
      <c r="BK84" s="0" t="n">
        <v>0.0002296</v>
      </c>
      <c r="BL84" s="0" t="n">
        <v>-0.00317618</v>
      </c>
      <c r="BM84" s="0" t="n">
        <v>4.126E-005</v>
      </c>
      <c r="BN84" s="0" t="n">
        <v>0.00572646</v>
      </c>
      <c r="BO84" s="0" t="n">
        <v>-0.00273584</v>
      </c>
      <c r="BP84" s="0" t="n">
        <v>-0.00654602</v>
      </c>
      <c r="BQ84" s="0" t="n">
        <v>-0.0158685</v>
      </c>
      <c r="BR84" s="0" t="n">
        <v>-0.00067607</v>
      </c>
      <c r="BS84" s="0" t="n">
        <v>0.01619849</v>
      </c>
      <c r="BT84" s="0" t="n">
        <v>-0.00573439</v>
      </c>
      <c r="BU84" s="0" t="n">
        <v>-0.00062895</v>
      </c>
      <c r="BV84" s="0" t="n">
        <v>-0.0044368</v>
      </c>
      <c r="BW84" s="0" t="n">
        <v>0.00512921</v>
      </c>
      <c r="BX84" s="0" t="n">
        <v>0.00156858</v>
      </c>
      <c r="BY84" s="0" t="n">
        <v>-0.01503083</v>
      </c>
      <c r="BZ84" s="0" t="n">
        <v>0.00018168</v>
      </c>
      <c r="CA84" s="0" t="n">
        <v>-0.00051087</v>
      </c>
      <c r="CB84" s="0" t="n">
        <v>0.12631101</v>
      </c>
      <c r="CC84" s="0" t="n">
        <v>0.01384976</v>
      </c>
      <c r="CD84" s="0" t="n">
        <v>0.00322889</v>
      </c>
      <c r="CE84" s="0" t="n">
        <v>-0.01131483</v>
      </c>
      <c r="CF84" s="0" t="n">
        <v>0.02090474</v>
      </c>
      <c r="CG84" s="0" t="n">
        <v>-0.00771382</v>
      </c>
      <c r="CH84" s="0" t="n">
        <v>-0.00883006</v>
      </c>
      <c r="CI84" s="0" t="n">
        <v>0.0213389</v>
      </c>
      <c r="CJ84" s="0" t="n">
        <v>0.01203995</v>
      </c>
      <c r="CK84" s="0" t="n">
        <v>0.01795323</v>
      </c>
      <c r="CL84" s="0" t="n">
        <v>-0.01060248</v>
      </c>
      <c r="CM84" s="0" t="n">
        <v>-0.0163045</v>
      </c>
      <c r="CN84" s="0" t="n">
        <v>0.01702357</v>
      </c>
      <c r="CO84" s="0" t="n">
        <v>0.00379071</v>
      </c>
      <c r="CP84" s="0" t="n">
        <v>0.0082004</v>
      </c>
      <c r="CQ84" s="0" t="n">
        <v>-0.00238992</v>
      </c>
      <c r="CR84" s="0" t="n">
        <v>-0.01123293</v>
      </c>
      <c r="CS84" s="0" t="n">
        <v>-0.00845981</v>
      </c>
      <c r="CT84" s="0" t="n">
        <v>-0.01227807</v>
      </c>
      <c r="CU84" s="0" t="n">
        <v>-0.00747412</v>
      </c>
      <c r="CV84" s="0" t="n">
        <v>-0.00684651</v>
      </c>
      <c r="CW84" s="0" t="n">
        <v>0.00375798</v>
      </c>
      <c r="CX84" s="0" t="n">
        <v>-0.00471611</v>
      </c>
      <c r="CY84" s="0" t="n">
        <v>-0.00498007</v>
      </c>
      <c r="CZ84" s="0" t="n">
        <v>0.00620336</v>
      </c>
      <c r="DA84" s="0" t="n">
        <v>-0.00299573</v>
      </c>
      <c r="DB84" s="0" t="n">
        <v>-0.00093144</v>
      </c>
      <c r="DC84" s="0" t="n">
        <v>-0.01092881</v>
      </c>
      <c r="DD84" s="0" t="n">
        <v>-0.0043925</v>
      </c>
      <c r="DE84" s="0" t="n">
        <v>-0.02580791</v>
      </c>
      <c r="DF84" s="0" t="n">
        <v>0.00884668</v>
      </c>
      <c r="DG84" s="0" t="n">
        <v>-0.02254023</v>
      </c>
      <c r="DH84" s="0" t="n">
        <v>-0.009168</v>
      </c>
      <c r="DI84" s="0" t="n">
        <v>-0.00773092</v>
      </c>
      <c r="DJ84" s="0" t="n">
        <v>-0.01329273</v>
      </c>
      <c r="DK84" s="0" t="n">
        <v>-0.01023493</v>
      </c>
      <c r="DL84" s="0" t="n">
        <v>-0.02140449</v>
      </c>
      <c r="DM84" s="0" t="n">
        <v>-0.03091893</v>
      </c>
      <c r="DN84" s="0" t="n">
        <v>0.01169532</v>
      </c>
      <c r="DO84" s="0" t="n">
        <v>-0.0083082</v>
      </c>
      <c r="DP84" s="0" t="n">
        <v>-0.0180262</v>
      </c>
      <c r="DQ84" s="0" t="n">
        <v>0.00325524</v>
      </c>
      <c r="DR84" s="0" t="n">
        <v>-0.00187654</v>
      </c>
      <c r="DS84" s="0" t="n">
        <v>0.00600915</v>
      </c>
      <c r="DT84" s="0" t="n">
        <v>-0.01594312</v>
      </c>
      <c r="DU84" s="0" t="n">
        <v>-0.00341326</v>
      </c>
      <c r="DV84" s="0" t="n">
        <v>-0.01133782</v>
      </c>
      <c r="DW84" s="0" t="n">
        <v>-0.01701909</v>
      </c>
      <c r="DX84" s="0" t="n">
        <v>-0.0134875</v>
      </c>
      <c r="DY84" s="0" t="n">
        <v>0.00192026</v>
      </c>
      <c r="DZ84" s="0" t="n">
        <v>-0.00302867</v>
      </c>
      <c r="EA84" s="0" t="n">
        <v>-0.01725138</v>
      </c>
      <c r="EB84" s="0" t="n">
        <v>0.00347728</v>
      </c>
      <c r="EC84" s="0" t="n">
        <v>-0.03376935</v>
      </c>
      <c r="ED84" s="0" t="n">
        <v>-0.01687643</v>
      </c>
      <c r="EE84" s="0" t="n">
        <v>-0.01689425</v>
      </c>
      <c r="EF84" s="0" t="n">
        <v>0.01011716</v>
      </c>
      <c r="EG84" s="0" t="n">
        <v>-0.00959583</v>
      </c>
      <c r="EH84" s="0" t="n">
        <v>0.00191624</v>
      </c>
      <c r="EI84" s="0" t="n">
        <v>-0.00587816</v>
      </c>
      <c r="EJ84" s="0" t="n">
        <v>0.01125893</v>
      </c>
      <c r="EK84" s="0" t="n">
        <v>0.00550963</v>
      </c>
      <c r="EL84" s="0" t="n">
        <v>-0.02405573</v>
      </c>
      <c r="EM84" s="0" t="n">
        <v>-0.00035237</v>
      </c>
      <c r="EN84" s="0" t="n">
        <v>-0.03691126</v>
      </c>
      <c r="EO84" s="0" t="n">
        <v>-0.05255942</v>
      </c>
      <c r="EP84" s="55" t="n">
        <f aca="false">SUMPRODUCT(B84:EO84,$B$5:$EO$5)</f>
        <v>-0.007506768</v>
      </c>
      <c r="EQ84" s="55" t="n">
        <f aca="false">SUMIF('Mi portafolio'!$A$8:$A$19,$A84,'Mi portafolio'!$B$8:$B$19)</f>
        <v>0</v>
      </c>
    </row>
    <row r="85" customFormat="false" ht="15" hidden="false" customHeight="false" outlineLevel="0" collapsed="false">
      <c r="A85" s="54" t="s">
        <v>227</v>
      </c>
      <c r="B85" s="0" t="n">
        <v>0.01329651</v>
      </c>
      <c r="C85" s="0" t="n">
        <v>-0.00151424</v>
      </c>
      <c r="D85" s="0" t="n">
        <v>-0.00052022</v>
      </c>
      <c r="E85" s="0" t="n">
        <v>0.00433987</v>
      </c>
      <c r="F85" s="0" t="n">
        <v>0.00544573</v>
      </c>
      <c r="G85" s="0" t="n">
        <v>0.00260176</v>
      </c>
      <c r="H85" s="0" t="n">
        <v>-0.00439009</v>
      </c>
      <c r="I85" s="0" t="n">
        <v>0.00865101</v>
      </c>
      <c r="J85" s="0" t="n">
        <v>0.00845185</v>
      </c>
      <c r="K85" s="0" t="n">
        <v>0.01138202</v>
      </c>
      <c r="L85" s="0" t="n">
        <v>0.00018168</v>
      </c>
      <c r="M85" s="0" t="n">
        <v>0.00566985</v>
      </c>
      <c r="N85" s="0" t="n">
        <v>0.00497601</v>
      </c>
      <c r="O85" s="0" t="n">
        <v>0.00352105</v>
      </c>
      <c r="P85" s="0" t="n">
        <v>0.01655516</v>
      </c>
      <c r="Q85" s="0" t="n">
        <v>0.00457473</v>
      </c>
      <c r="R85" s="0" t="n">
        <v>0.0028954</v>
      </c>
      <c r="S85" s="0" t="n">
        <v>0.00862513</v>
      </c>
      <c r="T85" s="0" t="n">
        <v>0.01275097</v>
      </c>
      <c r="U85" s="0" t="n">
        <v>0.00546367</v>
      </c>
      <c r="V85" s="0" t="n">
        <v>-0.00265909</v>
      </c>
      <c r="W85" s="0" t="n">
        <v>0.01277463</v>
      </c>
      <c r="X85" s="0" t="n">
        <v>0.017186</v>
      </c>
      <c r="Y85" s="0" t="n">
        <v>0.02129353</v>
      </c>
      <c r="Z85" s="0" t="n">
        <v>0.00102079</v>
      </c>
      <c r="AA85" s="0" t="n">
        <v>-0.00030441</v>
      </c>
      <c r="AB85" s="0" t="n">
        <v>0.02348786</v>
      </c>
      <c r="AC85" s="0" t="n">
        <v>-0.00726224</v>
      </c>
      <c r="AD85" s="0" t="n">
        <v>0.00092301</v>
      </c>
      <c r="AE85" s="0" t="n">
        <v>-0.00348573</v>
      </c>
      <c r="AF85" s="0" t="n">
        <v>0.00154383</v>
      </c>
      <c r="AG85" s="0" t="n">
        <v>0.01143407</v>
      </c>
      <c r="AH85" s="0" t="n">
        <v>0.00631562</v>
      </c>
      <c r="AI85" s="0" t="n">
        <v>0.00284382</v>
      </c>
      <c r="AJ85" s="0" t="n">
        <v>-0.00314158</v>
      </c>
      <c r="AK85" s="0" t="n">
        <v>0.00467637</v>
      </c>
      <c r="AL85" s="0" t="n">
        <v>-0.00246744</v>
      </c>
      <c r="AM85" s="0" t="n">
        <v>0.00897435</v>
      </c>
      <c r="AN85" s="0" t="n">
        <v>0.01318929</v>
      </c>
      <c r="AO85" s="0" t="n">
        <v>0.01792632</v>
      </c>
      <c r="AP85" s="0" t="n">
        <v>0.01505408</v>
      </c>
      <c r="AQ85" s="0" t="n">
        <v>0.00102231</v>
      </c>
      <c r="AR85" s="0" t="n">
        <v>0.01507421</v>
      </c>
      <c r="AS85" s="0" t="n">
        <v>0.00107353</v>
      </c>
      <c r="AT85" s="0" t="n">
        <v>0.02451113</v>
      </c>
      <c r="AU85" s="0" t="n">
        <v>0.01295166</v>
      </c>
      <c r="AV85" s="0" t="n">
        <v>0.00697169</v>
      </c>
      <c r="AW85" s="0" t="n">
        <v>0.01140847</v>
      </c>
      <c r="AX85" s="0" t="n">
        <v>0.01198924</v>
      </c>
      <c r="AY85" s="0" t="n">
        <v>0.02759636</v>
      </c>
      <c r="AZ85" s="0" t="n">
        <v>-0.00349412</v>
      </c>
      <c r="BA85" s="0" t="n">
        <v>0.01010627</v>
      </c>
      <c r="BB85" s="0" t="n">
        <v>0.0179344</v>
      </c>
      <c r="BC85" s="0" t="n">
        <v>0.00730916</v>
      </c>
      <c r="BD85" s="0" t="n">
        <v>0.00931769</v>
      </c>
      <c r="BE85" s="0" t="n">
        <v>0.01548959</v>
      </c>
      <c r="BF85" s="0" t="n">
        <v>0.00996642</v>
      </c>
      <c r="BG85" s="0" t="n">
        <v>0.01877776</v>
      </c>
      <c r="BH85" s="0" t="n">
        <v>0.0066279</v>
      </c>
      <c r="BI85" s="0" t="n">
        <v>0.00838234</v>
      </c>
      <c r="BJ85" s="0" t="n">
        <v>0.00093058</v>
      </c>
      <c r="BK85" s="0" t="n">
        <v>0.00912374</v>
      </c>
      <c r="BL85" s="0" t="n">
        <v>0.01477154</v>
      </c>
      <c r="BM85" s="0" t="n">
        <v>0.01784373</v>
      </c>
      <c r="BN85" s="0" t="n">
        <v>0.08013559</v>
      </c>
      <c r="BO85" s="0" t="n">
        <v>0.01073564</v>
      </c>
      <c r="BP85" s="0" t="n">
        <v>0.00814647</v>
      </c>
      <c r="BQ85" s="0" t="n">
        <v>0.01316156</v>
      </c>
      <c r="BR85" s="0" t="n">
        <v>0.00812713</v>
      </c>
      <c r="BS85" s="0" t="n">
        <v>-0.00111124</v>
      </c>
      <c r="BT85" s="0" t="n">
        <v>0.00318787</v>
      </c>
      <c r="BU85" s="0" t="n">
        <v>-0.00189392</v>
      </c>
      <c r="BV85" s="0" t="n">
        <v>0.00741765</v>
      </c>
      <c r="BW85" s="0" t="n">
        <v>0.01800734</v>
      </c>
      <c r="BX85" s="0" t="n">
        <v>0.02153399</v>
      </c>
      <c r="BY85" s="0" t="n">
        <v>-0.00120053</v>
      </c>
      <c r="BZ85" s="0" t="n">
        <v>0.02477592</v>
      </c>
      <c r="CA85" s="0" t="n">
        <v>0.00190607</v>
      </c>
      <c r="CB85" s="0" t="n">
        <v>0.01384976</v>
      </c>
      <c r="CC85" s="0" t="n">
        <v>0.12955193</v>
      </c>
      <c r="CD85" s="0" t="n">
        <v>0.02070032</v>
      </c>
      <c r="CE85" s="0" t="n">
        <v>0.00693205</v>
      </c>
      <c r="CF85" s="0" t="n">
        <v>0.00255216</v>
      </c>
      <c r="CG85" s="0" t="n">
        <v>0.02413245</v>
      </c>
      <c r="CH85" s="0" t="n">
        <v>0.0122388</v>
      </c>
      <c r="CI85" s="0" t="n">
        <v>0.00556019</v>
      </c>
      <c r="CJ85" s="0" t="n">
        <v>0.01343729</v>
      </c>
      <c r="CK85" s="0" t="n">
        <v>0.02359087</v>
      </c>
      <c r="CL85" s="0" t="n">
        <v>0.00779003</v>
      </c>
      <c r="CM85" s="0" t="n">
        <v>0.00409889</v>
      </c>
      <c r="CN85" s="0" t="n">
        <v>0.00376779</v>
      </c>
      <c r="CO85" s="0" t="n">
        <v>0.01728834</v>
      </c>
      <c r="CP85" s="0" t="n">
        <v>0.00666092</v>
      </c>
      <c r="CQ85" s="0" t="n">
        <v>0.02414629</v>
      </c>
      <c r="CR85" s="0" t="n">
        <v>0.00921718</v>
      </c>
      <c r="CS85" s="0" t="n">
        <v>0.01291348</v>
      </c>
      <c r="CT85" s="0" t="n">
        <v>0.02481441</v>
      </c>
      <c r="CU85" s="0" t="n">
        <v>0.00180968</v>
      </c>
      <c r="CV85" s="0" t="n">
        <v>0.01785793</v>
      </c>
      <c r="CW85" s="0" t="n">
        <v>0.009341</v>
      </c>
      <c r="CX85" s="0" t="n">
        <v>0.02067425</v>
      </c>
      <c r="CY85" s="0" t="n">
        <v>0.02047045</v>
      </c>
      <c r="CZ85" s="0" t="n">
        <v>0.01762786</v>
      </c>
      <c r="DA85" s="0" t="n">
        <v>0.02335954</v>
      </c>
      <c r="DB85" s="0" t="n">
        <v>0.01945029</v>
      </c>
      <c r="DC85" s="0" t="n">
        <v>0.00341988</v>
      </c>
      <c r="DD85" s="0" t="n">
        <v>0.03621156</v>
      </c>
      <c r="DE85" s="0" t="n">
        <v>0.00943481</v>
      </c>
      <c r="DF85" s="0" t="n">
        <v>0.0117739</v>
      </c>
      <c r="DG85" s="0" t="n">
        <v>0.00940287</v>
      </c>
      <c r="DH85" s="0" t="n">
        <v>-0.00535096</v>
      </c>
      <c r="DI85" s="0" t="n">
        <v>0.03274085</v>
      </c>
      <c r="DJ85" s="0" t="n">
        <v>0.02318875</v>
      </c>
      <c r="DK85" s="0" t="n">
        <v>0.03029421</v>
      </c>
      <c r="DL85" s="0" t="n">
        <v>0.00475466</v>
      </c>
      <c r="DM85" s="0" t="n">
        <v>0.01785442</v>
      </c>
      <c r="DN85" s="0" t="n">
        <v>0.03220496</v>
      </c>
      <c r="DO85" s="0" t="n">
        <v>0.01250847</v>
      </c>
      <c r="DP85" s="0" t="n">
        <v>0.02043814</v>
      </c>
      <c r="DQ85" s="0" t="n">
        <v>0.00201733</v>
      </c>
      <c r="DR85" s="0" t="n">
        <v>0.0233698</v>
      </c>
      <c r="DS85" s="0" t="n">
        <v>0.0351648</v>
      </c>
      <c r="DT85" s="0" t="n">
        <v>0.01734101</v>
      </c>
      <c r="DU85" s="0" t="n">
        <v>0.03160181</v>
      </c>
      <c r="DV85" s="0" t="n">
        <v>0.01596583</v>
      </c>
      <c r="DW85" s="0" t="n">
        <v>0.02447205</v>
      </c>
      <c r="DX85" s="0" t="n">
        <v>0.00583329</v>
      </c>
      <c r="DY85" s="0" t="n">
        <v>0.02178796</v>
      </c>
      <c r="DZ85" s="0" t="n">
        <v>0.01765409</v>
      </c>
      <c r="EA85" s="0" t="n">
        <v>0.01710741</v>
      </c>
      <c r="EB85" s="0" t="n">
        <v>0.03385032</v>
      </c>
      <c r="EC85" s="0" t="n">
        <v>0.01254628</v>
      </c>
      <c r="ED85" s="0" t="n">
        <v>0.02881192</v>
      </c>
      <c r="EE85" s="0" t="n">
        <v>0.02318962</v>
      </c>
      <c r="EF85" s="0" t="n">
        <v>0.02001233</v>
      </c>
      <c r="EG85" s="0" t="n">
        <v>0.02292608</v>
      </c>
      <c r="EH85" s="0" t="n">
        <v>0.03417805</v>
      </c>
      <c r="EI85" s="0" t="n">
        <v>0.00591669</v>
      </c>
      <c r="EJ85" s="0" t="n">
        <v>0.03440104</v>
      </c>
      <c r="EK85" s="0" t="n">
        <v>0.04652451</v>
      </c>
      <c r="EL85" s="0" t="n">
        <v>0.01456662</v>
      </c>
      <c r="EM85" s="0" t="n">
        <v>0.02118206</v>
      </c>
      <c r="EN85" s="0" t="n">
        <v>0.04688859</v>
      </c>
      <c r="EO85" s="0" t="n">
        <v>0.05216797</v>
      </c>
      <c r="EP85" s="55" t="n">
        <f aca="false">SUMPRODUCT(B85:EO85,$B$5:$EO$5)</f>
        <v>0.010047066</v>
      </c>
      <c r="EQ85" s="55" t="n">
        <f aca="false">SUMIF('Mi portafolio'!$A$8:$A$19,$A85,'Mi portafolio'!$B$8:$B$19)</f>
        <v>0</v>
      </c>
    </row>
    <row r="86" customFormat="false" ht="15" hidden="false" customHeight="false" outlineLevel="0" collapsed="false">
      <c r="A86" s="54" t="s">
        <v>228</v>
      </c>
      <c r="B86" s="0" t="n">
        <v>0.01065297</v>
      </c>
      <c r="C86" s="0" t="n">
        <v>-0.00278</v>
      </c>
      <c r="D86" s="0" t="n">
        <v>0.00324413</v>
      </c>
      <c r="E86" s="0" t="n">
        <v>0.00385731</v>
      </c>
      <c r="F86" s="0" t="n">
        <v>0.01211176</v>
      </c>
      <c r="G86" s="0" t="n">
        <v>0.00171329</v>
      </c>
      <c r="H86" s="0" t="n">
        <v>0.00393227</v>
      </c>
      <c r="I86" s="0" t="n">
        <v>0.01663835</v>
      </c>
      <c r="J86" s="0" t="n">
        <v>0.00673066</v>
      </c>
      <c r="K86" s="0" t="n">
        <v>0.00893133</v>
      </c>
      <c r="L86" s="0" t="n">
        <v>0.0113889</v>
      </c>
      <c r="M86" s="0" t="n">
        <v>0.0221284</v>
      </c>
      <c r="N86" s="0" t="n">
        <v>0.01931162</v>
      </c>
      <c r="O86" s="0" t="n">
        <v>0.00264936</v>
      </c>
      <c r="P86" s="0" t="n">
        <v>0.01545447</v>
      </c>
      <c r="Q86" s="0" t="n">
        <v>0.00352891</v>
      </c>
      <c r="R86" s="0" t="n">
        <v>0.01215639</v>
      </c>
      <c r="S86" s="0" t="n">
        <v>0.00927883</v>
      </c>
      <c r="T86" s="0" t="n">
        <v>0.02033319</v>
      </c>
      <c r="U86" s="0" t="n">
        <v>0.00813532</v>
      </c>
      <c r="V86" s="0" t="n">
        <v>8.969E-005</v>
      </c>
      <c r="W86" s="0" t="n">
        <v>0.001596</v>
      </c>
      <c r="X86" s="0" t="n">
        <v>0.01665197</v>
      </c>
      <c r="Y86" s="0" t="n">
        <v>0.02654534</v>
      </c>
      <c r="Z86" s="0" t="n">
        <v>0.00926359</v>
      </c>
      <c r="AA86" s="0" t="n">
        <v>0.00709201</v>
      </c>
      <c r="AB86" s="0" t="n">
        <v>0.02933885</v>
      </c>
      <c r="AC86" s="0" t="n">
        <v>-0.00458751</v>
      </c>
      <c r="AD86" s="0" t="n">
        <v>-0.00361663</v>
      </c>
      <c r="AE86" s="0" t="n">
        <v>0.00981716</v>
      </c>
      <c r="AF86" s="0" t="n">
        <v>-0.0043772</v>
      </c>
      <c r="AG86" s="0" t="n">
        <v>0.00013525</v>
      </c>
      <c r="AH86" s="0" t="n">
        <v>0.00471425</v>
      </c>
      <c r="AI86" s="0" t="n">
        <v>-0.00766675</v>
      </c>
      <c r="AJ86" s="0" t="n">
        <v>-0.00683536</v>
      </c>
      <c r="AK86" s="0" t="n">
        <v>-0.00223386</v>
      </c>
      <c r="AL86" s="0" t="n">
        <v>0.01761039</v>
      </c>
      <c r="AM86" s="0" t="n">
        <v>0.02030702</v>
      </c>
      <c r="AN86" s="0" t="n">
        <v>0.02883255</v>
      </c>
      <c r="AO86" s="0" t="n">
        <v>0.01675332</v>
      </c>
      <c r="AP86" s="0" t="n">
        <v>0.03261085</v>
      </c>
      <c r="AQ86" s="0" t="n">
        <v>-0.00851072</v>
      </c>
      <c r="AR86" s="0" t="n">
        <v>0.01951813</v>
      </c>
      <c r="AS86" s="0" t="n">
        <v>0.00989006</v>
      </c>
      <c r="AT86" s="0" t="n">
        <v>0.03266587</v>
      </c>
      <c r="AU86" s="0" t="n">
        <v>0.00516706</v>
      </c>
      <c r="AV86" s="0" t="n">
        <v>-0.00232751</v>
      </c>
      <c r="AW86" s="0" t="n">
        <v>0.00995494</v>
      </c>
      <c r="AX86" s="0" t="n">
        <v>0.02108245</v>
      </c>
      <c r="AY86" s="0" t="n">
        <v>0.02272475</v>
      </c>
      <c r="AZ86" s="0" t="n">
        <v>0.00813029</v>
      </c>
      <c r="BA86" s="0" t="n">
        <v>0.02192127</v>
      </c>
      <c r="BB86" s="0" t="n">
        <v>0.02362155</v>
      </c>
      <c r="BC86" s="0" t="n">
        <v>0.00071716</v>
      </c>
      <c r="BD86" s="0" t="n">
        <v>0.00925991</v>
      </c>
      <c r="BE86" s="0" t="n">
        <v>0.01283308</v>
      </c>
      <c r="BF86" s="0" t="n">
        <v>0.0135541</v>
      </c>
      <c r="BG86" s="0" t="n">
        <v>0.02910211</v>
      </c>
      <c r="BH86" s="0" t="n">
        <v>0.01216537</v>
      </c>
      <c r="BI86" s="0" t="n">
        <v>0.00784579</v>
      </c>
      <c r="BJ86" s="0" t="n">
        <v>-0.00556168</v>
      </c>
      <c r="BK86" s="0" t="n">
        <v>0.01099172</v>
      </c>
      <c r="BL86" s="0" t="n">
        <v>0.0221467</v>
      </c>
      <c r="BM86" s="0" t="n">
        <v>0.02960323</v>
      </c>
      <c r="BN86" s="0" t="n">
        <v>0.01439869</v>
      </c>
      <c r="BO86" s="0" t="n">
        <v>0.03811884</v>
      </c>
      <c r="BP86" s="0" t="n">
        <v>0.03613026</v>
      </c>
      <c r="BQ86" s="0" t="n">
        <v>0.01895524</v>
      </c>
      <c r="BR86" s="0" t="n">
        <v>0.03411983</v>
      </c>
      <c r="BS86" s="0" t="n">
        <v>0.00097244</v>
      </c>
      <c r="BT86" s="0" t="n">
        <v>0.03459221</v>
      </c>
      <c r="BU86" s="0" t="n">
        <v>0.01060449</v>
      </c>
      <c r="BV86" s="0" t="n">
        <v>0.0406244</v>
      </c>
      <c r="BW86" s="0" t="n">
        <v>0.035626</v>
      </c>
      <c r="BX86" s="0" t="n">
        <v>0.01282031</v>
      </c>
      <c r="BY86" s="0" t="n">
        <v>0.02281771</v>
      </c>
      <c r="BZ86" s="0" t="n">
        <v>0.0354134</v>
      </c>
      <c r="CA86" s="0" t="n">
        <v>-0.00229974</v>
      </c>
      <c r="CB86" s="0" t="n">
        <v>0.00322889</v>
      </c>
      <c r="CC86" s="0" t="n">
        <v>0.02070032</v>
      </c>
      <c r="CD86" s="0" t="n">
        <v>0.13159914</v>
      </c>
      <c r="CE86" s="0" t="n">
        <v>0.00528379</v>
      </c>
      <c r="CF86" s="0" t="n">
        <v>-0.00195887</v>
      </c>
      <c r="CG86" s="0" t="n">
        <v>0.06523943</v>
      </c>
      <c r="CH86" s="0" t="n">
        <v>0.01623316</v>
      </c>
      <c r="CI86" s="0" t="n">
        <v>0.00113287</v>
      </c>
      <c r="CJ86" s="0" t="n">
        <v>0.04187432</v>
      </c>
      <c r="CK86" s="0" t="n">
        <v>0.03174618</v>
      </c>
      <c r="CL86" s="0" t="n">
        <v>0.01923626</v>
      </c>
      <c r="CM86" s="0" t="n">
        <v>0.02680467</v>
      </c>
      <c r="CN86" s="0" t="n">
        <v>0.00344264</v>
      </c>
      <c r="CO86" s="0" t="n">
        <v>0.00804674</v>
      </c>
      <c r="CP86" s="0" t="n">
        <v>0.03197529</v>
      </c>
      <c r="CQ86" s="0" t="n">
        <v>0.03751476</v>
      </c>
      <c r="CR86" s="0" t="n">
        <v>0.03208967</v>
      </c>
      <c r="CS86" s="0" t="n">
        <v>0.00606182</v>
      </c>
      <c r="CT86" s="0" t="n">
        <v>0.03764006</v>
      </c>
      <c r="CU86" s="0" t="n">
        <v>0.03062878</v>
      </c>
      <c r="CV86" s="0" t="n">
        <v>0.0396409</v>
      </c>
      <c r="CW86" s="0" t="n">
        <v>0.06765361</v>
      </c>
      <c r="CX86" s="0" t="n">
        <v>0.04084224</v>
      </c>
      <c r="CY86" s="0" t="n">
        <v>0.03596652</v>
      </c>
      <c r="CZ86" s="0" t="n">
        <v>0.03738831</v>
      </c>
      <c r="DA86" s="0" t="n">
        <v>0.0526574</v>
      </c>
      <c r="DB86" s="0" t="n">
        <v>0.02801374</v>
      </c>
      <c r="DC86" s="0" t="n">
        <v>0.01512616</v>
      </c>
      <c r="DD86" s="0" t="n">
        <v>0.05650475</v>
      </c>
      <c r="DE86" s="0" t="n">
        <v>0.01892973</v>
      </c>
      <c r="DF86" s="0" t="n">
        <v>0.04308897</v>
      </c>
      <c r="DG86" s="0" t="n">
        <v>0.02406265</v>
      </c>
      <c r="DH86" s="0" t="n">
        <v>0.02114745</v>
      </c>
      <c r="DI86" s="0" t="n">
        <v>0.04120264</v>
      </c>
      <c r="DJ86" s="0" t="n">
        <v>0.06335027</v>
      </c>
      <c r="DK86" s="0" t="n">
        <v>0.04876022</v>
      </c>
      <c r="DL86" s="0" t="n">
        <v>-0.00248063</v>
      </c>
      <c r="DM86" s="0" t="n">
        <v>0.0624087</v>
      </c>
      <c r="DN86" s="0" t="n">
        <v>0.06264562</v>
      </c>
      <c r="DO86" s="0" t="n">
        <v>0.02107047</v>
      </c>
      <c r="DP86" s="0" t="n">
        <v>0.07345398</v>
      </c>
      <c r="DQ86" s="0" t="n">
        <v>0.01949518</v>
      </c>
      <c r="DR86" s="0" t="n">
        <v>0.03315945</v>
      </c>
      <c r="DS86" s="0" t="n">
        <v>0.08969469</v>
      </c>
      <c r="DT86" s="0" t="n">
        <v>0.05028919</v>
      </c>
      <c r="DU86" s="0" t="n">
        <v>0.06195186</v>
      </c>
      <c r="DV86" s="0" t="n">
        <v>0.07047922</v>
      </c>
      <c r="DW86" s="0" t="n">
        <v>0.08154022</v>
      </c>
      <c r="DX86" s="0" t="n">
        <v>0.01363168</v>
      </c>
      <c r="DY86" s="0" t="n">
        <v>0.08021585</v>
      </c>
      <c r="DZ86" s="0" t="n">
        <v>0.05496289</v>
      </c>
      <c r="EA86" s="0" t="n">
        <v>0.06353817</v>
      </c>
      <c r="EB86" s="0" t="n">
        <v>0.07491005</v>
      </c>
      <c r="EC86" s="0" t="n">
        <v>-0.00466072</v>
      </c>
      <c r="ED86" s="0" t="n">
        <v>0.0299787</v>
      </c>
      <c r="EE86" s="0" t="n">
        <v>0.03981697</v>
      </c>
      <c r="EF86" s="0" t="n">
        <v>0.01778488</v>
      </c>
      <c r="EG86" s="0" t="n">
        <v>0.01059174</v>
      </c>
      <c r="EH86" s="0" t="n">
        <v>0.07310185</v>
      </c>
      <c r="EI86" s="0" t="n">
        <v>0.03149524</v>
      </c>
      <c r="EJ86" s="0" t="n">
        <v>0.07181785</v>
      </c>
      <c r="EK86" s="0" t="n">
        <v>0.04640946</v>
      </c>
      <c r="EL86" s="0" t="n">
        <v>0.05259236</v>
      </c>
      <c r="EM86" s="0" t="n">
        <v>0.09037499</v>
      </c>
      <c r="EN86" s="0" t="n">
        <v>0.1172131</v>
      </c>
      <c r="EO86" s="0" t="n">
        <v>0.06518068</v>
      </c>
      <c r="EP86" s="55" t="n">
        <f aca="false">SUMPRODUCT(B86:EO86,$B$5:$EO$5)</f>
        <v>0.024493686</v>
      </c>
      <c r="EQ86" s="55" t="n">
        <f aca="false">SUMIF('Mi portafolio'!$A$8:$A$19,$A86,'Mi portafolio'!$B$8:$B$19)</f>
        <v>0</v>
      </c>
    </row>
    <row r="87" customFormat="false" ht="15" hidden="false" customHeight="false" outlineLevel="0" collapsed="false">
      <c r="A87" s="54" t="s">
        <v>229</v>
      </c>
      <c r="B87" s="0" t="n">
        <v>0.00415145</v>
      </c>
      <c r="C87" s="0" t="n">
        <v>-0.00217653</v>
      </c>
      <c r="D87" s="0" t="n">
        <v>0.00350955</v>
      </c>
      <c r="E87" s="0" t="n">
        <v>0.00030032</v>
      </c>
      <c r="F87" s="0" t="n">
        <v>-0.00573734</v>
      </c>
      <c r="G87" s="0" t="n">
        <v>-0.00115136</v>
      </c>
      <c r="H87" s="0" t="n">
        <v>0.00134444</v>
      </c>
      <c r="I87" s="0" t="n">
        <v>-0.00057481</v>
      </c>
      <c r="J87" s="0" t="n">
        <v>0.00088535</v>
      </c>
      <c r="K87" s="0" t="n">
        <v>-0.00329396</v>
      </c>
      <c r="L87" s="0" t="n">
        <v>0.00436369</v>
      </c>
      <c r="M87" s="0" t="n">
        <v>0.00759494</v>
      </c>
      <c r="N87" s="0" t="n">
        <v>0.00417248</v>
      </c>
      <c r="O87" s="0" t="n">
        <v>-0.00324125</v>
      </c>
      <c r="P87" s="0" t="n">
        <v>0.00707033</v>
      </c>
      <c r="Q87" s="0" t="n">
        <v>0.00201108</v>
      </c>
      <c r="R87" s="0" t="n">
        <v>0.0011052</v>
      </c>
      <c r="S87" s="0" t="n">
        <v>-0.00248985</v>
      </c>
      <c r="T87" s="0" t="n">
        <v>0.02317473</v>
      </c>
      <c r="U87" s="0" t="n">
        <v>0.00844954</v>
      </c>
      <c r="V87" s="0" t="n">
        <v>0.00402291</v>
      </c>
      <c r="W87" s="0" t="n">
        <v>0.00479272</v>
      </c>
      <c r="X87" s="0" t="n">
        <v>0.02286998</v>
      </c>
      <c r="Y87" s="0" t="n">
        <v>0.01083477</v>
      </c>
      <c r="Z87" s="0" t="n">
        <v>-0.00134844</v>
      </c>
      <c r="AA87" s="0" t="n">
        <v>0.00655781</v>
      </c>
      <c r="AB87" s="0" t="n">
        <v>0.00683033</v>
      </c>
      <c r="AC87" s="0" t="n">
        <v>0.00643798</v>
      </c>
      <c r="AD87" s="0" t="n">
        <v>0.00609815</v>
      </c>
      <c r="AE87" s="0" t="n">
        <v>0.01306183</v>
      </c>
      <c r="AF87" s="0" t="n">
        <v>0.00773083</v>
      </c>
      <c r="AG87" s="0" t="n">
        <v>-0.00183343</v>
      </c>
      <c r="AH87" s="0" t="n">
        <v>-0.00305915</v>
      </c>
      <c r="AI87" s="0" t="n">
        <v>0.01029689</v>
      </c>
      <c r="AJ87" s="0" t="n">
        <v>0.00736345</v>
      </c>
      <c r="AK87" s="0" t="n">
        <v>0.00441186</v>
      </c>
      <c r="AL87" s="0" t="n">
        <v>0.01966864</v>
      </c>
      <c r="AM87" s="0" t="n">
        <v>0.01288947</v>
      </c>
      <c r="AN87" s="0" t="n">
        <v>0.00907615</v>
      </c>
      <c r="AO87" s="0" t="n">
        <v>0.0084591</v>
      </c>
      <c r="AP87" s="0" t="n">
        <v>0.0006826</v>
      </c>
      <c r="AQ87" s="0" t="n">
        <v>0.01155412</v>
      </c>
      <c r="AR87" s="0" t="n">
        <v>0.0272914</v>
      </c>
      <c r="AS87" s="0" t="n">
        <v>0.00749265</v>
      </c>
      <c r="AT87" s="0" t="n">
        <v>0.02281806</v>
      </c>
      <c r="AU87" s="0" t="n">
        <v>0.00325541</v>
      </c>
      <c r="AV87" s="0" t="n">
        <v>0.00458406</v>
      </c>
      <c r="AW87" s="0" t="n">
        <v>0.01480252</v>
      </c>
      <c r="AX87" s="0" t="n">
        <v>0.01168256</v>
      </c>
      <c r="AY87" s="0" t="n">
        <v>0.01852329</v>
      </c>
      <c r="AZ87" s="0" t="n">
        <v>0.01762139</v>
      </c>
      <c r="BA87" s="0" t="n">
        <v>0.01828795</v>
      </c>
      <c r="BB87" s="0" t="n">
        <v>0.04238481</v>
      </c>
      <c r="BC87" s="0" t="n">
        <v>0.00612741</v>
      </c>
      <c r="BD87" s="0" t="n">
        <v>0.01293594</v>
      </c>
      <c r="BE87" s="0" t="n">
        <v>0.00714503</v>
      </c>
      <c r="BF87" s="0" t="n">
        <v>0.00510837</v>
      </c>
      <c r="BG87" s="0" t="n">
        <v>0.00953965</v>
      </c>
      <c r="BH87" s="0" t="n">
        <v>0.01177674</v>
      </c>
      <c r="BI87" s="0" t="n">
        <v>0.00208874</v>
      </c>
      <c r="BJ87" s="0" t="n">
        <v>-0.00613235</v>
      </c>
      <c r="BK87" s="0" t="n">
        <v>0.0227492</v>
      </c>
      <c r="BL87" s="0" t="n">
        <v>0.0267852</v>
      </c>
      <c r="BM87" s="0" t="n">
        <v>0.01551955</v>
      </c>
      <c r="BN87" s="0" t="n">
        <v>0.0060373</v>
      </c>
      <c r="BO87" s="0" t="n">
        <v>0.02030746</v>
      </c>
      <c r="BP87" s="0" t="n">
        <v>0.00962714</v>
      </c>
      <c r="BQ87" s="0" t="n">
        <v>0.02298275</v>
      </c>
      <c r="BR87" s="0" t="n">
        <v>0.02352827</v>
      </c>
      <c r="BS87" s="0" t="n">
        <v>0.0151506</v>
      </c>
      <c r="BT87" s="0" t="n">
        <v>0.01717407</v>
      </c>
      <c r="BU87" s="0" t="n">
        <v>0.01432575</v>
      </c>
      <c r="BV87" s="0" t="n">
        <v>0.02594444</v>
      </c>
      <c r="BW87" s="0" t="n">
        <v>0.01465243</v>
      </c>
      <c r="BX87" s="0" t="n">
        <v>0.00056682</v>
      </c>
      <c r="BY87" s="0" t="n">
        <v>0.02560034</v>
      </c>
      <c r="BZ87" s="0" t="n">
        <v>0.01415669</v>
      </c>
      <c r="CA87" s="0" t="n">
        <v>0.00773357</v>
      </c>
      <c r="CB87" s="0" t="n">
        <v>-0.01131483</v>
      </c>
      <c r="CC87" s="0" t="n">
        <v>0.00693205</v>
      </c>
      <c r="CD87" s="0" t="n">
        <v>0.00528379</v>
      </c>
      <c r="CE87" s="0" t="n">
        <v>0.13307498</v>
      </c>
      <c r="CF87" s="0" t="n">
        <v>0.01855567</v>
      </c>
      <c r="CG87" s="0" t="n">
        <v>0.01923714</v>
      </c>
      <c r="CH87" s="0" t="n">
        <v>0.02678236</v>
      </c>
      <c r="CI87" s="0" t="n">
        <v>0.0197154</v>
      </c>
      <c r="CJ87" s="0" t="n">
        <v>0.00297955</v>
      </c>
      <c r="CK87" s="0" t="n">
        <v>0.00663844</v>
      </c>
      <c r="CL87" s="0" t="n">
        <v>0.02582698</v>
      </c>
      <c r="CM87" s="0" t="n">
        <v>0.04190827</v>
      </c>
      <c r="CN87" s="0" t="n">
        <v>0.00558738</v>
      </c>
      <c r="CO87" s="0" t="n">
        <v>0.00885283</v>
      </c>
      <c r="CP87" s="0" t="n">
        <v>0.00757112</v>
      </c>
      <c r="CQ87" s="0" t="n">
        <v>0.0333794</v>
      </c>
      <c r="CR87" s="0" t="n">
        <v>0.05269808</v>
      </c>
      <c r="CS87" s="0" t="n">
        <v>0.05897973</v>
      </c>
      <c r="CT87" s="0" t="n">
        <v>0.02748847</v>
      </c>
      <c r="CU87" s="0" t="n">
        <v>0.01785214</v>
      </c>
      <c r="CV87" s="0" t="n">
        <v>0.01813562</v>
      </c>
      <c r="CW87" s="0" t="n">
        <v>0.00934768</v>
      </c>
      <c r="CX87" s="0" t="n">
        <v>0.01416763</v>
      </c>
      <c r="CY87" s="0" t="n">
        <v>0.02613357</v>
      </c>
      <c r="CZ87" s="0" t="n">
        <v>0.027379</v>
      </c>
      <c r="DA87" s="0" t="n">
        <v>0.0040696</v>
      </c>
      <c r="DB87" s="0" t="n">
        <v>0.04156939</v>
      </c>
      <c r="DC87" s="0" t="n">
        <v>0.01263763</v>
      </c>
      <c r="DD87" s="0" t="n">
        <v>0.03848767</v>
      </c>
      <c r="DE87" s="0" t="n">
        <v>0.05513893</v>
      </c>
      <c r="DF87" s="0" t="n">
        <v>0.00205075</v>
      </c>
      <c r="DG87" s="0" t="n">
        <v>0.02690724</v>
      </c>
      <c r="DH87" s="0" t="n">
        <v>0.06547433</v>
      </c>
      <c r="DI87" s="0" t="n">
        <v>0.02481756</v>
      </c>
      <c r="DJ87" s="0" t="n">
        <v>0.02917239</v>
      </c>
      <c r="DK87" s="0" t="n">
        <v>0.03898687</v>
      </c>
      <c r="DL87" s="0" t="n">
        <v>0.01122505</v>
      </c>
      <c r="DM87" s="0" t="n">
        <v>0.0376616</v>
      </c>
      <c r="DN87" s="0" t="n">
        <v>0.02368484</v>
      </c>
      <c r="DO87" s="0" t="n">
        <v>0.05948711</v>
      </c>
      <c r="DP87" s="0" t="n">
        <v>0.03146734</v>
      </c>
      <c r="DQ87" s="0" t="n">
        <v>0.04824691</v>
      </c>
      <c r="DR87" s="0" t="n">
        <v>0.03182247</v>
      </c>
      <c r="DS87" s="0" t="n">
        <v>0.01480736</v>
      </c>
      <c r="DT87" s="0" t="n">
        <v>0.05017683</v>
      </c>
      <c r="DU87" s="0" t="n">
        <v>0.04723962</v>
      </c>
      <c r="DV87" s="0" t="n">
        <v>0.04608216</v>
      </c>
      <c r="DW87" s="0" t="n">
        <v>0.02979483</v>
      </c>
      <c r="DX87" s="0" t="n">
        <v>0.08609172</v>
      </c>
      <c r="DY87" s="0" t="n">
        <v>0.05092307</v>
      </c>
      <c r="DZ87" s="0" t="n">
        <v>0.03443743</v>
      </c>
      <c r="EA87" s="0" t="n">
        <v>0.0137592</v>
      </c>
      <c r="EB87" s="0" t="n">
        <v>0.06403745</v>
      </c>
      <c r="EC87" s="0" t="n">
        <v>0.02160909</v>
      </c>
      <c r="ED87" s="0" t="n">
        <v>0.05350033</v>
      </c>
      <c r="EE87" s="0" t="n">
        <v>0.08534428</v>
      </c>
      <c r="EF87" s="0" t="n">
        <v>0.06149311</v>
      </c>
      <c r="EG87" s="0" t="n">
        <v>0.0736258</v>
      </c>
      <c r="EH87" s="0" t="n">
        <v>0.00595066</v>
      </c>
      <c r="EI87" s="0" t="n">
        <v>0.07032219</v>
      </c>
      <c r="EJ87" s="0" t="n">
        <v>0.02891937</v>
      </c>
      <c r="EK87" s="0" t="n">
        <v>0.08292405</v>
      </c>
      <c r="EL87" s="0" t="n">
        <v>0.06679256</v>
      </c>
      <c r="EM87" s="0" t="n">
        <v>0.02753092</v>
      </c>
      <c r="EN87" s="0" t="n">
        <v>0.02179276</v>
      </c>
      <c r="EO87" s="0" t="n">
        <v>0.06316414</v>
      </c>
      <c r="EP87" s="55" t="n">
        <f aca="false">SUMPRODUCT(B87:EO87,$B$5:$EO$5)</f>
        <v>0.035423258</v>
      </c>
      <c r="EQ87" s="55" t="n">
        <f aca="false">SUMIF('Mi portafolio'!$A$8:$A$19,$A87,'Mi portafolio'!$B$8:$B$19)</f>
        <v>0</v>
      </c>
    </row>
    <row r="88" customFormat="false" ht="15" hidden="false" customHeight="false" outlineLevel="0" collapsed="false">
      <c r="A88" s="54" t="s">
        <v>230</v>
      </c>
      <c r="B88" s="0" t="n">
        <v>0.00466572</v>
      </c>
      <c r="C88" s="0" t="n">
        <v>-0.0027256</v>
      </c>
      <c r="D88" s="0" t="n">
        <v>-0.00286491</v>
      </c>
      <c r="E88" s="0" t="n">
        <v>0.00217398</v>
      </c>
      <c r="F88" s="0" t="n">
        <v>0.01694872</v>
      </c>
      <c r="G88" s="0" t="n">
        <v>0.00141923</v>
      </c>
      <c r="H88" s="0" t="n">
        <v>-0.0094657</v>
      </c>
      <c r="I88" s="0" t="n">
        <v>0.0042472</v>
      </c>
      <c r="J88" s="0" t="n">
        <v>0.0123356</v>
      </c>
      <c r="K88" s="0" t="n">
        <v>0.00103909</v>
      </c>
      <c r="L88" s="0" t="n">
        <v>-0.00017761</v>
      </c>
      <c r="M88" s="0" t="n">
        <v>-0.0067143</v>
      </c>
      <c r="N88" s="0" t="n">
        <v>0.00622938</v>
      </c>
      <c r="O88" s="0" t="n">
        <v>-0.00139959</v>
      </c>
      <c r="P88" s="0" t="n">
        <v>0.0169744</v>
      </c>
      <c r="Q88" s="0" t="n">
        <v>-0.00512554</v>
      </c>
      <c r="R88" s="0" t="n">
        <v>0.01546738</v>
      </c>
      <c r="S88" s="0" t="n">
        <v>-0.0081476</v>
      </c>
      <c r="T88" s="0" t="n">
        <v>0.00048599</v>
      </c>
      <c r="U88" s="0" t="n">
        <v>-0.00761909</v>
      </c>
      <c r="V88" s="0" t="n">
        <v>-0.0081635</v>
      </c>
      <c r="W88" s="0" t="n">
        <v>-0.00085737</v>
      </c>
      <c r="X88" s="0" t="n">
        <v>-0.00193723</v>
      </c>
      <c r="Y88" s="0" t="n">
        <v>0.00223736</v>
      </c>
      <c r="Z88" s="0" t="n">
        <v>-0.00549174</v>
      </c>
      <c r="AA88" s="0" t="n">
        <v>-0.00558242</v>
      </c>
      <c r="AB88" s="0" t="n">
        <v>0.00157852</v>
      </c>
      <c r="AC88" s="0" t="n">
        <v>-0.00435689</v>
      </c>
      <c r="AD88" s="0" t="n">
        <v>0.0077414</v>
      </c>
      <c r="AE88" s="0" t="n">
        <v>-0.01973101</v>
      </c>
      <c r="AF88" s="0" t="n">
        <v>-0.00756876</v>
      </c>
      <c r="AG88" s="0" t="n">
        <v>0.02372344</v>
      </c>
      <c r="AH88" s="0" t="n">
        <v>0.02099308</v>
      </c>
      <c r="AI88" s="0" t="n">
        <v>0.07048393</v>
      </c>
      <c r="AJ88" s="0" t="n">
        <v>-0.00291653</v>
      </c>
      <c r="AK88" s="0" t="n">
        <v>-0.0182615</v>
      </c>
      <c r="AL88" s="0" t="n">
        <v>0.00081102</v>
      </c>
      <c r="AM88" s="0" t="n">
        <v>-0.01081584</v>
      </c>
      <c r="AN88" s="0" t="n">
        <v>-0.01696302</v>
      </c>
      <c r="AO88" s="0" t="n">
        <v>0.00710495</v>
      </c>
      <c r="AP88" s="0" t="n">
        <v>-0.0101116</v>
      </c>
      <c r="AQ88" s="0" t="n">
        <v>0.07734632</v>
      </c>
      <c r="AR88" s="0" t="n">
        <v>0.0043931</v>
      </c>
      <c r="AS88" s="0" t="n">
        <v>-0.01634631</v>
      </c>
      <c r="AT88" s="0" t="n">
        <v>-0.00681064</v>
      </c>
      <c r="AU88" s="0" t="n">
        <v>0.01341092</v>
      </c>
      <c r="AV88" s="0" t="n">
        <v>-0.00499284</v>
      </c>
      <c r="AW88" s="0" t="n">
        <v>-0.00807678</v>
      </c>
      <c r="AX88" s="0" t="n">
        <v>0.00709382</v>
      </c>
      <c r="AY88" s="0" t="n">
        <v>0.00461501</v>
      </c>
      <c r="AZ88" s="0" t="n">
        <v>-0.01870258</v>
      </c>
      <c r="BA88" s="0" t="n">
        <v>-0.00174361</v>
      </c>
      <c r="BB88" s="0" t="n">
        <v>-0.014134</v>
      </c>
      <c r="BC88" s="0" t="n">
        <v>-0.0026728</v>
      </c>
      <c r="BD88" s="0" t="n">
        <v>-0.01388572</v>
      </c>
      <c r="BE88" s="0" t="n">
        <v>0.01075203</v>
      </c>
      <c r="BF88" s="0" t="n">
        <v>0.00276422</v>
      </c>
      <c r="BG88" s="0" t="n">
        <v>-0.00392787</v>
      </c>
      <c r="BH88" s="0" t="n">
        <v>-0.0195366</v>
      </c>
      <c r="BI88" s="0" t="n">
        <v>0.00133594</v>
      </c>
      <c r="BJ88" s="0" t="n">
        <v>0.00431187</v>
      </c>
      <c r="BK88" s="0" t="n">
        <v>-0.01062824</v>
      </c>
      <c r="BL88" s="0" t="n">
        <v>-0.00291073</v>
      </c>
      <c r="BM88" s="0" t="n">
        <v>0.0051368</v>
      </c>
      <c r="BN88" s="0" t="n">
        <v>0.00765479</v>
      </c>
      <c r="BO88" s="0" t="n">
        <v>-0.01497554</v>
      </c>
      <c r="BP88" s="0" t="n">
        <v>-0.00546625</v>
      </c>
      <c r="BQ88" s="0" t="n">
        <v>-0.02314536</v>
      </c>
      <c r="BR88" s="0" t="n">
        <v>0.00453753</v>
      </c>
      <c r="BS88" s="0" t="n">
        <v>0.10336432</v>
      </c>
      <c r="BT88" s="0" t="n">
        <v>-0.03465265</v>
      </c>
      <c r="BU88" s="0" t="n">
        <v>-0.01504087</v>
      </c>
      <c r="BV88" s="0" t="n">
        <v>-0.00846328</v>
      </c>
      <c r="BW88" s="0" t="n">
        <v>0.00867603</v>
      </c>
      <c r="BX88" s="0" t="n">
        <v>0.00256976</v>
      </c>
      <c r="BY88" s="0" t="n">
        <v>-0.01382329</v>
      </c>
      <c r="BZ88" s="0" t="n">
        <v>-0.01782201</v>
      </c>
      <c r="CA88" s="0" t="n">
        <v>-0.00921681</v>
      </c>
      <c r="CB88" s="0" t="n">
        <v>0.02090474</v>
      </c>
      <c r="CC88" s="0" t="n">
        <v>0.00255216</v>
      </c>
      <c r="CD88" s="0" t="n">
        <v>-0.00195887</v>
      </c>
      <c r="CE88" s="0" t="n">
        <v>0.01855567</v>
      </c>
      <c r="CF88" s="0" t="n">
        <v>0.13013004</v>
      </c>
      <c r="CG88" s="0" t="n">
        <v>-0.01203755</v>
      </c>
      <c r="CH88" s="0" t="n">
        <v>-0.0265104</v>
      </c>
      <c r="CI88" s="0" t="n">
        <v>0.11191116</v>
      </c>
      <c r="CJ88" s="0" t="n">
        <v>0.00753471</v>
      </c>
      <c r="CK88" s="0" t="n">
        <v>0.00241387</v>
      </c>
      <c r="CL88" s="0" t="n">
        <v>-0.01488028</v>
      </c>
      <c r="CM88" s="0" t="n">
        <v>-0.01651617</v>
      </c>
      <c r="CN88" s="0" t="n">
        <v>0.00208494</v>
      </c>
      <c r="CO88" s="0" t="n">
        <v>-0.00851528</v>
      </c>
      <c r="CP88" s="0" t="n">
        <v>0.01237276</v>
      </c>
      <c r="CQ88" s="0" t="n">
        <v>-0.03644114</v>
      </c>
      <c r="CR88" s="0" t="n">
        <v>-0.0177636</v>
      </c>
      <c r="CS88" s="0" t="n">
        <v>-0.00305899</v>
      </c>
      <c r="CT88" s="0" t="n">
        <v>-0.00776372</v>
      </c>
      <c r="CU88" s="0" t="n">
        <v>-0.00142966</v>
      </c>
      <c r="CV88" s="0" t="n">
        <v>-0.02707594</v>
      </c>
      <c r="CW88" s="0" t="n">
        <v>-0.01910324</v>
      </c>
      <c r="CX88" s="0" t="n">
        <v>-0.01887295</v>
      </c>
      <c r="CY88" s="0" t="n">
        <v>-0.04747027</v>
      </c>
      <c r="CZ88" s="0" t="n">
        <v>0.01677294</v>
      </c>
      <c r="DA88" s="0" t="n">
        <v>-0.00515192</v>
      </c>
      <c r="DB88" s="0" t="n">
        <v>-0.01826374</v>
      </c>
      <c r="DC88" s="0" t="n">
        <v>-0.05477398</v>
      </c>
      <c r="DD88" s="0" t="n">
        <v>-0.01959178</v>
      </c>
      <c r="DE88" s="0" t="n">
        <v>-0.02388892</v>
      </c>
      <c r="DF88" s="0" t="n">
        <v>0.01898082</v>
      </c>
      <c r="DG88" s="0" t="n">
        <v>-0.01903056</v>
      </c>
      <c r="DH88" s="0" t="n">
        <v>-0.01053518</v>
      </c>
      <c r="DI88" s="0" t="n">
        <v>-0.05792259</v>
      </c>
      <c r="DJ88" s="0" t="n">
        <v>-0.03289755</v>
      </c>
      <c r="DK88" s="0" t="n">
        <v>-0.05765831</v>
      </c>
      <c r="DL88" s="0" t="n">
        <v>-0.04449714</v>
      </c>
      <c r="DM88" s="0" t="n">
        <v>-0.04712587</v>
      </c>
      <c r="DN88" s="0" t="n">
        <v>-0.00282432</v>
      </c>
      <c r="DO88" s="0" t="n">
        <v>-0.00059947</v>
      </c>
      <c r="DP88" s="0" t="n">
        <v>-0.04915897</v>
      </c>
      <c r="DQ88" s="0" t="n">
        <v>0.00332044</v>
      </c>
      <c r="DR88" s="0" t="n">
        <v>0.00998439</v>
      </c>
      <c r="DS88" s="0" t="n">
        <v>0.00088337</v>
      </c>
      <c r="DT88" s="0" t="n">
        <v>-0.00917543</v>
      </c>
      <c r="DU88" s="0" t="n">
        <v>-0.02591219</v>
      </c>
      <c r="DV88" s="0" t="n">
        <v>-0.00600175</v>
      </c>
      <c r="DW88" s="0" t="n">
        <v>-0.03821111</v>
      </c>
      <c r="DX88" s="0" t="n">
        <v>-0.02073298</v>
      </c>
      <c r="DY88" s="0" t="n">
        <v>-0.03105164</v>
      </c>
      <c r="DZ88" s="0" t="n">
        <v>0.0219535</v>
      </c>
      <c r="EA88" s="0" t="n">
        <v>-0.03409838</v>
      </c>
      <c r="EB88" s="0" t="n">
        <v>-0.01642288</v>
      </c>
      <c r="EC88" s="0" t="n">
        <v>-0.02194974</v>
      </c>
      <c r="ED88" s="0" t="n">
        <v>-0.01266648</v>
      </c>
      <c r="EE88" s="0" t="n">
        <v>-0.02589498</v>
      </c>
      <c r="EF88" s="0" t="n">
        <v>0.00544131</v>
      </c>
      <c r="EG88" s="0" t="n">
        <v>-0.01707238</v>
      </c>
      <c r="EH88" s="0" t="n">
        <v>-0.01091553</v>
      </c>
      <c r="EI88" s="0" t="n">
        <v>-0.02464477</v>
      </c>
      <c r="EJ88" s="0" t="n">
        <v>-0.0015547</v>
      </c>
      <c r="EK88" s="0" t="n">
        <v>0.01238031</v>
      </c>
      <c r="EL88" s="0" t="n">
        <v>-0.0445153</v>
      </c>
      <c r="EM88" s="0" t="n">
        <v>-0.00199392</v>
      </c>
      <c r="EN88" s="0" t="n">
        <v>-0.0170682</v>
      </c>
      <c r="EO88" s="0" t="n">
        <v>-0.02832569</v>
      </c>
      <c r="EP88" s="55" t="n">
        <f aca="false">SUMPRODUCT(B88:EO88,$B$5:$EO$5)</f>
        <v>-0.018686044</v>
      </c>
      <c r="EQ88" s="55" t="n">
        <f aca="false">SUMIF('Mi portafolio'!$A$8:$A$19,$A88,'Mi portafolio'!$B$8:$B$19)</f>
        <v>0</v>
      </c>
    </row>
    <row r="89" customFormat="false" ht="15" hidden="false" customHeight="false" outlineLevel="0" collapsed="false">
      <c r="A89" s="54" t="s">
        <v>231</v>
      </c>
      <c r="B89" s="0" t="n">
        <v>0.01482064</v>
      </c>
      <c r="C89" s="0" t="n">
        <v>-0.00169831</v>
      </c>
      <c r="D89" s="0" t="n">
        <v>0.00787098</v>
      </c>
      <c r="E89" s="0" t="n">
        <v>0.00201842</v>
      </c>
      <c r="F89" s="0" t="n">
        <v>0.01242371</v>
      </c>
      <c r="G89" s="0" t="n">
        <v>0.00422488</v>
      </c>
      <c r="H89" s="0" t="n">
        <v>0.0084661</v>
      </c>
      <c r="I89" s="0" t="n">
        <v>0.02218093</v>
      </c>
      <c r="J89" s="0" t="n">
        <v>0.00720601</v>
      </c>
      <c r="K89" s="0" t="n">
        <v>0.01381842</v>
      </c>
      <c r="L89" s="0" t="n">
        <v>0.00797957</v>
      </c>
      <c r="M89" s="0" t="n">
        <v>0.02802523</v>
      </c>
      <c r="N89" s="0" t="n">
        <v>0.02455154</v>
      </c>
      <c r="O89" s="0" t="n">
        <v>0.00185542</v>
      </c>
      <c r="P89" s="0" t="n">
        <v>0.01342164</v>
      </c>
      <c r="Q89" s="0" t="n">
        <v>0.00085604</v>
      </c>
      <c r="R89" s="0" t="n">
        <v>0.01149111</v>
      </c>
      <c r="S89" s="0" t="n">
        <v>0.01143427</v>
      </c>
      <c r="T89" s="0" t="n">
        <v>0.03110022</v>
      </c>
      <c r="U89" s="0" t="n">
        <v>0.01024497</v>
      </c>
      <c r="V89" s="0" t="n">
        <v>0.00032094</v>
      </c>
      <c r="W89" s="0" t="n">
        <v>-0.00266311</v>
      </c>
      <c r="X89" s="0" t="n">
        <v>0.02711581</v>
      </c>
      <c r="Y89" s="0" t="n">
        <v>0.03016404</v>
      </c>
      <c r="Z89" s="0" t="n">
        <v>0.00683482</v>
      </c>
      <c r="AA89" s="0" t="n">
        <v>0.00598815</v>
      </c>
      <c r="AB89" s="0" t="n">
        <v>0.03205042</v>
      </c>
      <c r="AC89" s="0" t="n">
        <v>-0.00805221</v>
      </c>
      <c r="AD89" s="0" t="n">
        <v>-0.00668652</v>
      </c>
      <c r="AE89" s="0" t="n">
        <v>0.01145507</v>
      </c>
      <c r="AF89" s="0" t="n">
        <v>-0.00410078</v>
      </c>
      <c r="AG89" s="0" t="n">
        <v>0.0041958</v>
      </c>
      <c r="AH89" s="0" t="n">
        <v>0.00455751</v>
      </c>
      <c r="AI89" s="0" t="n">
        <v>-0.0094847</v>
      </c>
      <c r="AJ89" s="0" t="n">
        <v>0.00565063</v>
      </c>
      <c r="AK89" s="0" t="n">
        <v>-0.00146753</v>
      </c>
      <c r="AL89" s="0" t="n">
        <v>0.03210794</v>
      </c>
      <c r="AM89" s="0" t="n">
        <v>0.01100773</v>
      </c>
      <c r="AN89" s="0" t="n">
        <v>0.04207232</v>
      </c>
      <c r="AO89" s="0" t="n">
        <v>0.01130709</v>
      </c>
      <c r="AP89" s="0" t="n">
        <v>0.03790331</v>
      </c>
      <c r="AQ89" s="0" t="n">
        <v>-0.01565445</v>
      </c>
      <c r="AR89" s="0" t="n">
        <v>0.03190069</v>
      </c>
      <c r="AS89" s="0" t="n">
        <v>0.00676735</v>
      </c>
      <c r="AT89" s="0" t="n">
        <v>0.04474859</v>
      </c>
      <c r="AU89" s="0" t="n">
        <v>0.0080753</v>
      </c>
      <c r="AV89" s="0" t="n">
        <v>0.00780177</v>
      </c>
      <c r="AW89" s="0" t="n">
        <v>0.01236219</v>
      </c>
      <c r="AX89" s="0" t="n">
        <v>0.02272923</v>
      </c>
      <c r="AY89" s="0" t="n">
        <v>0.03305486</v>
      </c>
      <c r="AZ89" s="0" t="n">
        <v>0.01895334</v>
      </c>
      <c r="BA89" s="0" t="n">
        <v>0.02804599</v>
      </c>
      <c r="BB89" s="0" t="n">
        <v>0.04177452</v>
      </c>
      <c r="BC89" s="0" t="n">
        <v>0.01227547</v>
      </c>
      <c r="BD89" s="0" t="n">
        <v>0.01007976</v>
      </c>
      <c r="BE89" s="0" t="n">
        <v>0.01328375</v>
      </c>
      <c r="BF89" s="0" t="n">
        <v>0.01107613</v>
      </c>
      <c r="BG89" s="0" t="n">
        <v>0.03903531</v>
      </c>
      <c r="BH89" s="0" t="n">
        <v>0.01776196</v>
      </c>
      <c r="BI89" s="0" t="n">
        <v>0.01010208</v>
      </c>
      <c r="BJ89" s="0" t="n">
        <v>-0.00393371</v>
      </c>
      <c r="BK89" s="0" t="n">
        <v>0.01046049</v>
      </c>
      <c r="BL89" s="0" t="n">
        <v>0.02635205</v>
      </c>
      <c r="BM89" s="0" t="n">
        <v>0.03484681</v>
      </c>
      <c r="BN89" s="0" t="n">
        <v>0.01208721</v>
      </c>
      <c r="BO89" s="0" t="n">
        <v>0.03966692</v>
      </c>
      <c r="BP89" s="0" t="n">
        <v>0.03787823</v>
      </c>
      <c r="BQ89" s="0" t="n">
        <v>0.01903911</v>
      </c>
      <c r="BR89" s="0" t="n">
        <v>0.05024008</v>
      </c>
      <c r="BS89" s="0" t="n">
        <v>-0.0098624</v>
      </c>
      <c r="BT89" s="0" t="n">
        <v>0.03108351</v>
      </c>
      <c r="BU89" s="0" t="n">
        <v>0.02075244</v>
      </c>
      <c r="BV89" s="0" t="n">
        <v>0.04828756</v>
      </c>
      <c r="BW89" s="0" t="n">
        <v>0.03494631</v>
      </c>
      <c r="BX89" s="0" t="n">
        <v>0.02425731</v>
      </c>
      <c r="BY89" s="0" t="n">
        <v>0.04453582</v>
      </c>
      <c r="BZ89" s="0" t="n">
        <v>0.03693655</v>
      </c>
      <c r="CA89" s="0" t="n">
        <v>0.00409648</v>
      </c>
      <c r="CB89" s="0" t="n">
        <v>-0.00771382</v>
      </c>
      <c r="CC89" s="0" t="n">
        <v>0.02413245</v>
      </c>
      <c r="CD89" s="0" t="n">
        <v>0.06523943</v>
      </c>
      <c r="CE89" s="0" t="n">
        <v>0.01923714</v>
      </c>
      <c r="CF89" s="0" t="n">
        <v>-0.01203755</v>
      </c>
      <c r="CG89" s="0" t="n">
        <v>0.1368975</v>
      </c>
      <c r="CH89" s="0" t="n">
        <v>0.01840311</v>
      </c>
      <c r="CI89" s="0" t="n">
        <v>-0.01151796</v>
      </c>
      <c r="CJ89" s="0" t="n">
        <v>0.0396901</v>
      </c>
      <c r="CK89" s="0" t="n">
        <v>0.05464558</v>
      </c>
      <c r="CL89" s="0" t="n">
        <v>0.03546288</v>
      </c>
      <c r="CM89" s="0" t="n">
        <v>0.02118426</v>
      </c>
      <c r="CN89" s="0" t="n">
        <v>-0.0034525</v>
      </c>
      <c r="CO89" s="0" t="n">
        <v>0.01500808</v>
      </c>
      <c r="CP89" s="0" t="n">
        <v>0.03422741</v>
      </c>
      <c r="CQ89" s="0" t="n">
        <v>0.05707801</v>
      </c>
      <c r="CR89" s="0" t="n">
        <v>0.02189988</v>
      </c>
      <c r="CS89" s="0" t="n">
        <v>0.00748077</v>
      </c>
      <c r="CT89" s="0" t="n">
        <v>0.06305903</v>
      </c>
      <c r="CU89" s="0" t="n">
        <v>0.02276047</v>
      </c>
      <c r="CV89" s="0" t="n">
        <v>0.04171291</v>
      </c>
      <c r="CW89" s="0" t="n">
        <v>0.05018063</v>
      </c>
      <c r="CX89" s="0" t="n">
        <v>0.03879481</v>
      </c>
      <c r="CY89" s="0" t="n">
        <v>0.05742697</v>
      </c>
      <c r="CZ89" s="0" t="n">
        <v>0.05272819</v>
      </c>
      <c r="DA89" s="0" t="n">
        <v>0.06114428</v>
      </c>
      <c r="DB89" s="0" t="n">
        <v>0.039708</v>
      </c>
      <c r="DC89" s="0" t="n">
        <v>0.04177818</v>
      </c>
      <c r="DD89" s="0" t="n">
        <v>0.08222272</v>
      </c>
      <c r="DE89" s="0" t="n">
        <v>0.0258772</v>
      </c>
      <c r="DF89" s="0" t="n">
        <v>0.06628857</v>
      </c>
      <c r="DG89" s="0" t="n">
        <v>0.03349315</v>
      </c>
      <c r="DH89" s="0" t="n">
        <v>0.02739039</v>
      </c>
      <c r="DI89" s="0" t="n">
        <v>0.06937221</v>
      </c>
      <c r="DJ89" s="0" t="n">
        <v>0.07175153</v>
      </c>
      <c r="DK89" s="0" t="n">
        <v>0.0711222</v>
      </c>
      <c r="DL89" s="0" t="n">
        <v>0.01073358</v>
      </c>
      <c r="DM89" s="0" t="n">
        <v>0.08641126</v>
      </c>
      <c r="DN89" s="0" t="n">
        <v>0.07756449</v>
      </c>
      <c r="DO89" s="0" t="n">
        <v>0.04256837</v>
      </c>
      <c r="DP89" s="0" t="n">
        <v>0.08868843</v>
      </c>
      <c r="DQ89" s="0" t="n">
        <v>0.01444567</v>
      </c>
      <c r="DR89" s="0" t="n">
        <v>0.0128626</v>
      </c>
      <c r="DS89" s="0" t="n">
        <v>0.069369</v>
      </c>
      <c r="DT89" s="0" t="n">
        <v>0.04608165</v>
      </c>
      <c r="DU89" s="0" t="n">
        <v>0.06171705</v>
      </c>
      <c r="DV89" s="0" t="n">
        <v>0.06652268</v>
      </c>
      <c r="DW89" s="0" t="n">
        <v>0.1103484</v>
      </c>
      <c r="DX89" s="0" t="n">
        <v>0.01836465</v>
      </c>
      <c r="DY89" s="0" t="n">
        <v>0.09903269</v>
      </c>
      <c r="DZ89" s="0" t="n">
        <v>0.09506301</v>
      </c>
      <c r="EA89" s="0" t="n">
        <v>0.07435657</v>
      </c>
      <c r="EB89" s="0" t="n">
        <v>0.10434557</v>
      </c>
      <c r="EC89" s="0" t="n">
        <v>-0.00071982</v>
      </c>
      <c r="ED89" s="0" t="n">
        <v>0.07714718</v>
      </c>
      <c r="EE89" s="0" t="n">
        <v>0.01767421</v>
      </c>
      <c r="EF89" s="0" t="n">
        <v>0.02165049</v>
      </c>
      <c r="EG89" s="0" t="n">
        <v>0.02468958</v>
      </c>
      <c r="EH89" s="0" t="n">
        <v>0.08983428</v>
      </c>
      <c r="EI89" s="0" t="n">
        <v>0.01189559</v>
      </c>
      <c r="EJ89" s="0" t="n">
        <v>0.06136476</v>
      </c>
      <c r="EK89" s="0" t="n">
        <v>0.02955961</v>
      </c>
      <c r="EL89" s="0" t="n">
        <v>0.02357021</v>
      </c>
      <c r="EM89" s="0" t="n">
        <v>0.04985498</v>
      </c>
      <c r="EN89" s="0" t="n">
        <v>0.11542961</v>
      </c>
      <c r="EO89" s="0" t="n">
        <v>0.10435831</v>
      </c>
      <c r="EP89" s="55" t="n">
        <f aca="false">SUMPRODUCT(B89:EO89,$B$5:$EO$5)</f>
        <v>0.028841506</v>
      </c>
      <c r="EQ89" s="55" t="n">
        <f aca="false">SUMIF('Mi portafolio'!$A$8:$A$19,$A89,'Mi portafolio'!$B$8:$B$19)</f>
        <v>0</v>
      </c>
    </row>
    <row r="90" customFormat="false" ht="15" hidden="false" customHeight="false" outlineLevel="0" collapsed="false">
      <c r="A90" s="54" t="s">
        <v>49</v>
      </c>
      <c r="B90" s="0" t="n">
        <v>-0.00469597</v>
      </c>
      <c r="C90" s="0" t="n">
        <v>0.00817224</v>
      </c>
      <c r="D90" s="0" t="n">
        <v>0.00303513</v>
      </c>
      <c r="E90" s="0" t="n">
        <v>0.01362353</v>
      </c>
      <c r="F90" s="0" t="n">
        <v>-0.00544608</v>
      </c>
      <c r="G90" s="0" t="n">
        <v>0.01315572</v>
      </c>
      <c r="H90" s="0" t="n">
        <v>0.0205275</v>
      </c>
      <c r="I90" s="0" t="n">
        <v>0.00127206</v>
      </c>
      <c r="J90" s="0" t="n">
        <v>0.0003153</v>
      </c>
      <c r="K90" s="0" t="n">
        <v>0.00121988</v>
      </c>
      <c r="L90" s="0" t="n">
        <v>0.01305188</v>
      </c>
      <c r="M90" s="0" t="n">
        <v>0.02819871</v>
      </c>
      <c r="N90" s="0" t="n">
        <v>0.00805842</v>
      </c>
      <c r="O90" s="0" t="n">
        <v>0.02976012</v>
      </c>
      <c r="P90" s="0" t="n">
        <v>-0.00221761</v>
      </c>
      <c r="Q90" s="0" t="n">
        <v>0.00948755</v>
      </c>
      <c r="R90" s="0" t="n">
        <v>0.00223607</v>
      </c>
      <c r="S90" s="0" t="n">
        <v>0.01215972</v>
      </c>
      <c r="T90" s="0" t="n">
        <v>0.01612229</v>
      </c>
      <c r="U90" s="0" t="n">
        <v>0.03439034</v>
      </c>
      <c r="V90" s="0" t="n">
        <v>0.03330884</v>
      </c>
      <c r="W90" s="0" t="n">
        <v>0.02121773</v>
      </c>
      <c r="X90" s="0" t="n">
        <v>0.02147926</v>
      </c>
      <c r="Y90" s="0" t="n">
        <v>0.00493929</v>
      </c>
      <c r="Z90" s="0" t="n">
        <v>0.03057902</v>
      </c>
      <c r="AA90" s="0" t="n">
        <v>0.01698134</v>
      </c>
      <c r="AB90" s="0" t="n">
        <v>0.00072703</v>
      </c>
      <c r="AC90" s="0" t="n">
        <v>0.01993175</v>
      </c>
      <c r="AD90" s="0" t="n">
        <v>0.02289059</v>
      </c>
      <c r="AE90" s="0" t="n">
        <v>0.03402406</v>
      </c>
      <c r="AF90" s="0" t="n">
        <v>0.04826573</v>
      </c>
      <c r="AG90" s="0" t="n">
        <v>-0.01229071</v>
      </c>
      <c r="AH90" s="0" t="n">
        <v>-0.01309576</v>
      </c>
      <c r="AI90" s="0" t="n">
        <v>-0.02009872</v>
      </c>
      <c r="AJ90" s="0" t="n">
        <v>0.0192356</v>
      </c>
      <c r="AK90" s="0" t="n">
        <v>0.04933789</v>
      </c>
      <c r="AL90" s="0" t="n">
        <v>0.01169606</v>
      </c>
      <c r="AM90" s="0" t="n">
        <v>0.02011194</v>
      </c>
      <c r="AN90" s="0" t="n">
        <v>0.01929809</v>
      </c>
      <c r="AO90" s="0" t="n">
        <v>-7.26E-005</v>
      </c>
      <c r="AP90" s="0" t="n">
        <v>0.01870304</v>
      </c>
      <c r="AQ90" s="0" t="n">
        <v>-0.01316211</v>
      </c>
      <c r="AR90" s="0" t="n">
        <v>0.01386607</v>
      </c>
      <c r="AS90" s="0" t="n">
        <v>0.04431172</v>
      </c>
      <c r="AT90" s="0" t="n">
        <v>0.01475612</v>
      </c>
      <c r="AU90" s="0" t="n">
        <v>0.00040844</v>
      </c>
      <c r="AV90" s="0" t="n">
        <v>0.03087857</v>
      </c>
      <c r="AW90" s="0" t="n">
        <v>0.04542886</v>
      </c>
      <c r="AX90" s="0" t="n">
        <v>0.00659099</v>
      </c>
      <c r="AY90" s="0" t="n">
        <v>0.01673603</v>
      </c>
      <c r="AZ90" s="0" t="n">
        <v>0.03948034</v>
      </c>
      <c r="BA90" s="0" t="n">
        <v>0.02989749</v>
      </c>
      <c r="BB90" s="0" t="n">
        <v>0.03186373</v>
      </c>
      <c r="BC90" s="0" t="n">
        <v>0.01509823</v>
      </c>
      <c r="BD90" s="0" t="n">
        <v>0.03949306</v>
      </c>
      <c r="BE90" s="0" t="n">
        <v>0.01586138</v>
      </c>
      <c r="BF90" s="0" t="n">
        <v>0.02757782</v>
      </c>
      <c r="BG90" s="0" t="n">
        <v>0.01367403</v>
      </c>
      <c r="BH90" s="0" t="n">
        <v>0.03185164</v>
      </c>
      <c r="BI90" s="0" t="n">
        <v>0.01735797</v>
      </c>
      <c r="BJ90" s="0" t="n">
        <v>0.01653442</v>
      </c>
      <c r="BK90" s="0" t="n">
        <v>0.02935006</v>
      </c>
      <c r="BL90" s="0" t="n">
        <v>0.0527768</v>
      </c>
      <c r="BM90" s="0" t="n">
        <v>0.00300175</v>
      </c>
      <c r="BN90" s="0" t="n">
        <v>0.00576278</v>
      </c>
      <c r="BO90" s="0" t="n">
        <v>0.02911959</v>
      </c>
      <c r="BP90" s="0" t="n">
        <v>0.00109246</v>
      </c>
      <c r="BQ90" s="0" t="n">
        <v>0.05875629</v>
      </c>
      <c r="BR90" s="0" t="n">
        <v>0.01834608</v>
      </c>
      <c r="BS90" s="0" t="n">
        <v>-0.01863631</v>
      </c>
      <c r="BT90" s="0" t="n">
        <v>0.04250406</v>
      </c>
      <c r="BU90" s="0" t="n">
        <v>0.03258132</v>
      </c>
      <c r="BV90" s="0" t="n">
        <v>0.01608077</v>
      </c>
      <c r="BW90" s="0" t="n">
        <v>0.01451684</v>
      </c>
      <c r="BX90" s="0" t="n">
        <v>-0.0036936</v>
      </c>
      <c r="BY90" s="0" t="n">
        <v>0.0298857</v>
      </c>
      <c r="BZ90" s="0" t="n">
        <v>0.02484115</v>
      </c>
      <c r="CA90" s="0" t="n">
        <v>0.04676437</v>
      </c>
      <c r="CB90" s="0" t="n">
        <v>-0.00883006</v>
      </c>
      <c r="CC90" s="0" t="n">
        <v>0.0122388</v>
      </c>
      <c r="CD90" s="0" t="n">
        <v>0.01623316</v>
      </c>
      <c r="CE90" s="0" t="n">
        <v>0.02678236</v>
      </c>
      <c r="CF90" s="0" t="n">
        <v>-0.0265104</v>
      </c>
      <c r="CG90" s="0" t="n">
        <v>0.01840311</v>
      </c>
      <c r="CH90" s="0" t="n">
        <v>0.1384843</v>
      </c>
      <c r="CI90" s="0" t="n">
        <v>-0.02087755</v>
      </c>
      <c r="CJ90" s="0" t="n">
        <v>-0.00230061</v>
      </c>
      <c r="CK90" s="0" t="n">
        <v>0.01412249</v>
      </c>
      <c r="CL90" s="0" t="n">
        <v>0.03544506</v>
      </c>
      <c r="CM90" s="0" t="n">
        <v>0.04005622</v>
      </c>
      <c r="CN90" s="0" t="n">
        <v>0.03846978</v>
      </c>
      <c r="CO90" s="0" t="n">
        <v>0.0306318</v>
      </c>
      <c r="CP90" s="0" t="n">
        <v>-0.00160119</v>
      </c>
      <c r="CQ90" s="0" t="n">
        <v>0.03929534</v>
      </c>
      <c r="CR90" s="0" t="n">
        <v>0.06156375</v>
      </c>
      <c r="CS90" s="0" t="n">
        <v>0.06982686</v>
      </c>
      <c r="CT90" s="0" t="n">
        <v>0.04317539</v>
      </c>
      <c r="CU90" s="0" t="n">
        <v>0.04135159</v>
      </c>
      <c r="CV90" s="0" t="n">
        <v>0.032494</v>
      </c>
      <c r="CW90" s="0" t="n">
        <v>0.03127654</v>
      </c>
      <c r="CX90" s="0" t="n">
        <v>0.04677554</v>
      </c>
      <c r="CY90" s="0" t="n">
        <v>0.05345486</v>
      </c>
      <c r="CZ90" s="0" t="n">
        <v>0.00770411</v>
      </c>
      <c r="DA90" s="0" t="n">
        <v>-0.00634716</v>
      </c>
      <c r="DB90" s="0" t="n">
        <v>0.06351546</v>
      </c>
      <c r="DC90" s="0" t="n">
        <v>0.05474028</v>
      </c>
      <c r="DD90" s="0" t="n">
        <v>0.03038751</v>
      </c>
      <c r="DE90" s="0" t="n">
        <v>0.12822912</v>
      </c>
      <c r="DF90" s="0" t="n">
        <v>-0.01977032</v>
      </c>
      <c r="DG90" s="0" t="n">
        <v>0.10820703</v>
      </c>
      <c r="DH90" s="0" t="n">
        <v>0.05122628</v>
      </c>
      <c r="DI90" s="0" t="n">
        <v>0.04495053</v>
      </c>
      <c r="DJ90" s="0" t="n">
        <v>0.04619891</v>
      </c>
      <c r="DK90" s="0" t="n">
        <v>0.05193842</v>
      </c>
      <c r="DL90" s="0" t="n">
        <v>0.11113216</v>
      </c>
      <c r="DM90" s="0" t="n">
        <v>0.06034503</v>
      </c>
      <c r="DN90" s="0" t="n">
        <v>0.01159725</v>
      </c>
      <c r="DO90" s="0" t="n">
        <v>0.0577292</v>
      </c>
      <c r="DP90" s="0" t="n">
        <v>0.05169396</v>
      </c>
      <c r="DQ90" s="0" t="n">
        <v>0.03590784</v>
      </c>
      <c r="DR90" s="0" t="n">
        <v>0.08704604</v>
      </c>
      <c r="DS90" s="0" t="n">
        <v>-0.02114254</v>
      </c>
      <c r="DT90" s="0" t="n">
        <v>0.04728604</v>
      </c>
      <c r="DU90" s="0" t="n">
        <v>0.05643684</v>
      </c>
      <c r="DV90" s="0" t="n">
        <v>0.04613359</v>
      </c>
      <c r="DW90" s="0" t="n">
        <v>0.03020139</v>
      </c>
      <c r="DX90" s="0" t="n">
        <v>0.0972409</v>
      </c>
      <c r="DY90" s="0" t="n">
        <v>0.0359823</v>
      </c>
      <c r="DZ90" s="0" t="n">
        <v>-0.00395601</v>
      </c>
      <c r="EA90" s="0" t="n">
        <v>0.07700342</v>
      </c>
      <c r="EB90" s="0" t="n">
        <v>0.03617463</v>
      </c>
      <c r="EC90" s="0" t="n">
        <v>0.07249409</v>
      </c>
      <c r="ED90" s="0" t="n">
        <v>0.07892297</v>
      </c>
      <c r="EE90" s="0" t="n">
        <v>0.09479047</v>
      </c>
      <c r="EF90" s="0" t="n">
        <v>0.08763033</v>
      </c>
      <c r="EG90" s="0" t="n">
        <v>0.09891066</v>
      </c>
      <c r="EH90" s="0" t="n">
        <v>-0.02191122</v>
      </c>
      <c r="EI90" s="0" t="n">
        <v>0.11421351</v>
      </c>
      <c r="EJ90" s="0" t="n">
        <v>0.06790276</v>
      </c>
      <c r="EK90" s="0" t="n">
        <v>0.11367339</v>
      </c>
      <c r="EL90" s="0" t="n">
        <v>0.15254164</v>
      </c>
      <c r="EM90" s="0" t="n">
        <v>0.07436866</v>
      </c>
      <c r="EN90" s="0" t="n">
        <v>0.07698473</v>
      </c>
      <c r="EO90" s="0" t="n">
        <v>0.06669534</v>
      </c>
      <c r="EP90" s="55" t="n">
        <f aca="false">SUMPRODUCT(B90:EO90,$B$5:$EO$5)</f>
        <v>0.068220384</v>
      </c>
      <c r="EQ90" s="55" t="n">
        <f aca="false">SUMIF('Mi portafolio'!$A$8:$A$19,$A90,'Mi portafolio'!$B$8:$B$19)</f>
        <v>0.2</v>
      </c>
    </row>
    <row r="91" customFormat="false" ht="15" hidden="false" customHeight="false" outlineLevel="0" collapsed="false">
      <c r="A91" s="54" t="s">
        <v>232</v>
      </c>
      <c r="B91" s="0" t="n">
        <v>0.00577993</v>
      </c>
      <c r="C91" s="0" t="n">
        <v>-0.00359012</v>
      </c>
      <c r="D91" s="0" t="n">
        <v>-0.00514366</v>
      </c>
      <c r="E91" s="0" t="n">
        <v>-0.00394937</v>
      </c>
      <c r="F91" s="0" t="n">
        <v>0.01387304</v>
      </c>
      <c r="G91" s="0" t="n">
        <v>-0.0017067</v>
      </c>
      <c r="H91" s="0" t="n">
        <v>-0.00977827</v>
      </c>
      <c r="I91" s="0" t="n">
        <v>0.00883662</v>
      </c>
      <c r="J91" s="0" t="n">
        <v>0.01164142</v>
      </c>
      <c r="K91" s="0" t="n">
        <v>0.000236</v>
      </c>
      <c r="L91" s="0" t="n">
        <v>-0.00122345</v>
      </c>
      <c r="M91" s="0" t="n">
        <v>-0.00939215</v>
      </c>
      <c r="N91" s="0" t="n">
        <v>0.00641862</v>
      </c>
      <c r="O91" s="0" t="n">
        <v>-0.00366736</v>
      </c>
      <c r="P91" s="0" t="n">
        <v>0.01773718</v>
      </c>
      <c r="Q91" s="0" t="n">
        <v>-0.00444385</v>
      </c>
      <c r="R91" s="0" t="n">
        <v>0.01435096</v>
      </c>
      <c r="S91" s="0" t="n">
        <v>-0.01276712</v>
      </c>
      <c r="T91" s="0" t="n">
        <v>-0.00245989</v>
      </c>
      <c r="U91" s="0" t="n">
        <v>-0.00698839</v>
      </c>
      <c r="V91" s="0" t="n">
        <v>-0.01173987</v>
      </c>
      <c r="W91" s="0" t="n">
        <v>-0.00261021</v>
      </c>
      <c r="X91" s="0" t="n">
        <v>-8.71E-005</v>
      </c>
      <c r="Y91" s="0" t="n">
        <v>0.00383805</v>
      </c>
      <c r="Z91" s="0" t="n">
        <v>-0.00905268</v>
      </c>
      <c r="AA91" s="0" t="n">
        <v>-0.01289775</v>
      </c>
      <c r="AB91" s="0" t="n">
        <v>0.00291323</v>
      </c>
      <c r="AC91" s="0" t="n">
        <v>-0.00022385</v>
      </c>
      <c r="AD91" s="0" t="n">
        <v>0.00042754</v>
      </c>
      <c r="AE91" s="0" t="n">
        <v>-0.02313527</v>
      </c>
      <c r="AF91" s="0" t="n">
        <v>-0.01014724</v>
      </c>
      <c r="AG91" s="0" t="n">
        <v>0.02470673</v>
      </c>
      <c r="AH91" s="0" t="n">
        <v>0.02369886</v>
      </c>
      <c r="AI91" s="0" t="n">
        <v>0.07372623</v>
      </c>
      <c r="AJ91" s="0" t="n">
        <v>-0.00015058</v>
      </c>
      <c r="AK91" s="0" t="n">
        <v>-0.0178598</v>
      </c>
      <c r="AL91" s="0" t="n">
        <v>-0.00505194</v>
      </c>
      <c r="AM91" s="0" t="n">
        <v>-0.01305642</v>
      </c>
      <c r="AN91" s="0" t="n">
        <v>-0.01818425</v>
      </c>
      <c r="AO91" s="0" t="n">
        <v>0.00994532</v>
      </c>
      <c r="AP91" s="0" t="n">
        <v>-0.00741066</v>
      </c>
      <c r="AQ91" s="0" t="n">
        <v>0.07942369</v>
      </c>
      <c r="AR91" s="0" t="n">
        <v>0.00348776</v>
      </c>
      <c r="AS91" s="0" t="n">
        <v>-0.02175184</v>
      </c>
      <c r="AT91" s="0" t="n">
        <v>-0.00619925</v>
      </c>
      <c r="AU91" s="0" t="n">
        <v>0.01025281</v>
      </c>
      <c r="AV91" s="0" t="n">
        <v>-0.00350163</v>
      </c>
      <c r="AW91" s="0" t="n">
        <v>-0.0073565</v>
      </c>
      <c r="AX91" s="0" t="n">
        <v>0.0089181</v>
      </c>
      <c r="AY91" s="0" t="n">
        <v>0.00651895</v>
      </c>
      <c r="AZ91" s="0" t="n">
        <v>-0.02312136</v>
      </c>
      <c r="BA91" s="0" t="n">
        <v>-0.00182484</v>
      </c>
      <c r="BB91" s="0" t="n">
        <v>-0.01453234</v>
      </c>
      <c r="BC91" s="0" t="n">
        <v>-0.00445</v>
      </c>
      <c r="BD91" s="0" t="n">
        <v>-0.02029243</v>
      </c>
      <c r="BE91" s="0" t="n">
        <v>0.00815135</v>
      </c>
      <c r="BF91" s="0" t="n">
        <v>-0.00477996</v>
      </c>
      <c r="BG91" s="0" t="n">
        <v>-0.0008918</v>
      </c>
      <c r="BH91" s="0" t="n">
        <v>-0.0178306</v>
      </c>
      <c r="BI91" s="0" t="n">
        <v>0.00034712</v>
      </c>
      <c r="BJ91" s="0" t="n">
        <v>0.00629589</v>
      </c>
      <c r="BK91" s="0" t="n">
        <v>-0.01604423</v>
      </c>
      <c r="BL91" s="0" t="n">
        <v>-0.00072005</v>
      </c>
      <c r="BM91" s="0" t="n">
        <v>0.00765457</v>
      </c>
      <c r="BN91" s="0" t="n">
        <v>0.00803508</v>
      </c>
      <c r="BO91" s="0" t="n">
        <v>-0.01769762</v>
      </c>
      <c r="BP91" s="0" t="n">
        <v>-0.00199354</v>
      </c>
      <c r="BQ91" s="0" t="n">
        <v>-0.02206511</v>
      </c>
      <c r="BR91" s="0" t="n">
        <v>0.0004472</v>
      </c>
      <c r="BS91" s="0" t="n">
        <v>0.10206232</v>
      </c>
      <c r="BT91" s="0" t="n">
        <v>-0.03334678</v>
      </c>
      <c r="BU91" s="0" t="n">
        <v>-0.01355908</v>
      </c>
      <c r="BV91" s="0" t="n">
        <v>-0.01085893</v>
      </c>
      <c r="BW91" s="0" t="n">
        <v>0.00117241</v>
      </c>
      <c r="BX91" s="0" t="n">
        <v>0.00523799</v>
      </c>
      <c r="BY91" s="0" t="n">
        <v>-0.01309926</v>
      </c>
      <c r="BZ91" s="0" t="n">
        <v>-0.02481397</v>
      </c>
      <c r="CA91" s="0" t="n">
        <v>-0.01434316</v>
      </c>
      <c r="CB91" s="0" t="n">
        <v>0.0213389</v>
      </c>
      <c r="CC91" s="0" t="n">
        <v>0.00556019</v>
      </c>
      <c r="CD91" s="0" t="n">
        <v>0.00113287</v>
      </c>
      <c r="CE91" s="0" t="n">
        <v>0.0197154</v>
      </c>
      <c r="CF91" s="0" t="n">
        <v>0.11191116</v>
      </c>
      <c r="CG91" s="0" t="n">
        <v>-0.01151796</v>
      </c>
      <c r="CH91" s="0" t="n">
        <v>-0.02087755</v>
      </c>
      <c r="CI91" s="0" t="n">
        <v>0.13705567</v>
      </c>
      <c r="CJ91" s="0" t="n">
        <v>0.01104923</v>
      </c>
      <c r="CK91" s="0" t="n">
        <v>0.00660864</v>
      </c>
      <c r="CL91" s="0" t="n">
        <v>-0.01414259</v>
      </c>
      <c r="CM91" s="0" t="n">
        <v>-0.01308964</v>
      </c>
      <c r="CN91" s="0" t="n">
        <v>0.0036856</v>
      </c>
      <c r="CO91" s="0" t="n">
        <v>-0.01312104</v>
      </c>
      <c r="CP91" s="0" t="n">
        <v>0.00376878</v>
      </c>
      <c r="CQ91" s="0" t="n">
        <v>-0.04010042</v>
      </c>
      <c r="CR91" s="0" t="n">
        <v>-0.02385994</v>
      </c>
      <c r="CS91" s="0" t="n">
        <v>-0.00596104</v>
      </c>
      <c r="CT91" s="0" t="n">
        <v>-0.01094291</v>
      </c>
      <c r="CU91" s="0" t="n">
        <v>-0.00405144</v>
      </c>
      <c r="CV91" s="0" t="n">
        <v>-0.02507824</v>
      </c>
      <c r="CW91" s="0" t="n">
        <v>-0.01816653</v>
      </c>
      <c r="CX91" s="0" t="n">
        <v>-0.02008647</v>
      </c>
      <c r="CY91" s="0" t="n">
        <v>-0.05082711</v>
      </c>
      <c r="CZ91" s="0" t="n">
        <v>0.01429583</v>
      </c>
      <c r="DA91" s="0" t="n">
        <v>-0.00131761</v>
      </c>
      <c r="DB91" s="0" t="n">
        <v>-0.02216343</v>
      </c>
      <c r="DC91" s="0" t="n">
        <v>-0.0603418</v>
      </c>
      <c r="DD91" s="0" t="n">
        <v>-0.01895742</v>
      </c>
      <c r="DE91" s="0" t="n">
        <v>-0.01713178</v>
      </c>
      <c r="DF91" s="0" t="n">
        <v>0.02387416</v>
      </c>
      <c r="DG91" s="0" t="n">
        <v>-0.01193838</v>
      </c>
      <c r="DH91" s="0" t="n">
        <v>-0.01080198</v>
      </c>
      <c r="DI91" s="0" t="n">
        <v>-0.06007454</v>
      </c>
      <c r="DJ91" s="0" t="n">
        <v>-0.03087124</v>
      </c>
      <c r="DK91" s="0" t="n">
        <v>-0.05992266</v>
      </c>
      <c r="DL91" s="0" t="n">
        <v>-0.03388511</v>
      </c>
      <c r="DM91" s="0" t="n">
        <v>-0.05622923</v>
      </c>
      <c r="DN91" s="0" t="n">
        <v>0.00789226</v>
      </c>
      <c r="DO91" s="0" t="n">
        <v>0.00120823</v>
      </c>
      <c r="DP91" s="0" t="n">
        <v>-0.04946886</v>
      </c>
      <c r="DQ91" s="0" t="n">
        <v>-0.00054638</v>
      </c>
      <c r="DR91" s="0" t="n">
        <v>0.02341612</v>
      </c>
      <c r="DS91" s="0" t="n">
        <v>0.00331684</v>
      </c>
      <c r="DT91" s="0" t="n">
        <v>-0.00465006</v>
      </c>
      <c r="DU91" s="0" t="n">
        <v>-0.03238133</v>
      </c>
      <c r="DV91" s="0" t="n">
        <v>0.00573299</v>
      </c>
      <c r="DW91" s="0" t="n">
        <v>-0.02625778</v>
      </c>
      <c r="DX91" s="0" t="n">
        <v>-0.02646986</v>
      </c>
      <c r="DY91" s="0" t="n">
        <v>-0.03386706</v>
      </c>
      <c r="DZ91" s="0" t="n">
        <v>0.01408603</v>
      </c>
      <c r="EA91" s="0" t="n">
        <v>-0.02983922</v>
      </c>
      <c r="EB91" s="0" t="n">
        <v>-0.02753111</v>
      </c>
      <c r="EC91" s="0" t="n">
        <v>-0.01162793</v>
      </c>
      <c r="ED91" s="0" t="n">
        <v>-0.01686164</v>
      </c>
      <c r="EE91" s="0" t="n">
        <v>-0.02814006</v>
      </c>
      <c r="EF91" s="0" t="n">
        <v>0.00291773</v>
      </c>
      <c r="EG91" s="0" t="n">
        <v>-0.03583593</v>
      </c>
      <c r="EH91" s="0" t="n">
        <v>-0.03137965</v>
      </c>
      <c r="EI91" s="0" t="n">
        <v>-0.03478208</v>
      </c>
      <c r="EJ91" s="0" t="n">
        <v>-0.00120866</v>
      </c>
      <c r="EK91" s="0" t="n">
        <v>0.02479314</v>
      </c>
      <c r="EL91" s="0" t="n">
        <v>-0.04074477</v>
      </c>
      <c r="EM91" s="0" t="n">
        <v>-0.00582081</v>
      </c>
      <c r="EN91" s="0" t="n">
        <v>-0.01499964</v>
      </c>
      <c r="EO91" s="0" t="n">
        <v>-0.02130952</v>
      </c>
      <c r="EP91" s="55" t="n">
        <f aca="false">SUMPRODUCT(B91:EO91,$B$5:$EO$5)</f>
        <v>-0.018721138</v>
      </c>
      <c r="EQ91" s="55" t="n">
        <f aca="false">SUMIF('Mi portafolio'!$A$8:$A$19,$A91,'Mi portafolio'!$B$8:$B$19)</f>
        <v>0</v>
      </c>
    </row>
    <row r="92" customFormat="false" ht="15" hidden="false" customHeight="false" outlineLevel="0" collapsed="false">
      <c r="A92" s="54" t="s">
        <v>233</v>
      </c>
      <c r="B92" s="0" t="n">
        <v>0.01629339</v>
      </c>
      <c r="C92" s="0" t="n">
        <v>-0.00090146</v>
      </c>
      <c r="D92" s="0" t="n">
        <v>0.00357402</v>
      </c>
      <c r="E92" s="0" t="n">
        <v>0.00455424</v>
      </c>
      <c r="F92" s="0" t="n">
        <v>0.02280624</v>
      </c>
      <c r="G92" s="0" t="n">
        <v>0.00537917</v>
      </c>
      <c r="H92" s="0" t="n">
        <v>-0.0011613</v>
      </c>
      <c r="I92" s="0" t="n">
        <v>0.01906588</v>
      </c>
      <c r="J92" s="0" t="n">
        <v>0.01625079</v>
      </c>
      <c r="K92" s="0" t="n">
        <v>0.0137169</v>
      </c>
      <c r="L92" s="0" t="n">
        <v>-0.00141625</v>
      </c>
      <c r="M92" s="0" t="n">
        <v>0.00703909</v>
      </c>
      <c r="N92" s="0" t="n">
        <v>0.0210836</v>
      </c>
      <c r="O92" s="0" t="n">
        <v>-0.00292783</v>
      </c>
      <c r="P92" s="0" t="n">
        <v>0.01905344</v>
      </c>
      <c r="Q92" s="0" t="n">
        <v>0.00279284</v>
      </c>
      <c r="R92" s="0" t="n">
        <v>0.02549211</v>
      </c>
      <c r="S92" s="0" t="n">
        <v>0.00655163</v>
      </c>
      <c r="T92" s="0" t="n">
        <v>0.00729427</v>
      </c>
      <c r="U92" s="0" t="n">
        <v>0.0113785</v>
      </c>
      <c r="V92" s="0" t="n">
        <v>-0.00472174</v>
      </c>
      <c r="W92" s="0" t="n">
        <v>0.00154355</v>
      </c>
      <c r="X92" s="0" t="n">
        <v>0.00855195</v>
      </c>
      <c r="Y92" s="0" t="n">
        <v>0.02912441</v>
      </c>
      <c r="Z92" s="0" t="n">
        <v>0.00156964</v>
      </c>
      <c r="AA92" s="0" t="n">
        <v>0.00165402</v>
      </c>
      <c r="AB92" s="0" t="n">
        <v>0.02808579</v>
      </c>
      <c r="AC92" s="0" t="n">
        <v>0.00670883</v>
      </c>
      <c r="AD92" s="0" t="n">
        <v>0.00518666</v>
      </c>
      <c r="AE92" s="0" t="n">
        <v>-0.00086874</v>
      </c>
      <c r="AF92" s="0" t="n">
        <v>-0.00976023</v>
      </c>
      <c r="AG92" s="0" t="n">
        <v>0.02149478</v>
      </c>
      <c r="AH92" s="0" t="n">
        <v>0.02271143</v>
      </c>
      <c r="AI92" s="0" t="n">
        <v>0.01058473</v>
      </c>
      <c r="AJ92" s="0" t="n">
        <v>-0.00584247</v>
      </c>
      <c r="AK92" s="0" t="n">
        <v>-0.00262187</v>
      </c>
      <c r="AL92" s="0" t="n">
        <v>0.0222845</v>
      </c>
      <c r="AM92" s="0" t="n">
        <v>0.00821767</v>
      </c>
      <c r="AN92" s="0" t="n">
        <v>0.01254198</v>
      </c>
      <c r="AO92" s="0" t="n">
        <v>0.01829131</v>
      </c>
      <c r="AP92" s="0" t="n">
        <v>0.03571879</v>
      </c>
      <c r="AQ92" s="0" t="n">
        <v>0.0075967</v>
      </c>
      <c r="AR92" s="0" t="n">
        <v>0.00746206</v>
      </c>
      <c r="AS92" s="0" t="n">
        <v>0.00681017</v>
      </c>
      <c r="AT92" s="0" t="n">
        <v>0.01202382</v>
      </c>
      <c r="AU92" s="0" t="n">
        <v>0.00937065</v>
      </c>
      <c r="AV92" s="0" t="n">
        <v>0.00636822</v>
      </c>
      <c r="AW92" s="0" t="n">
        <v>-0.00393893</v>
      </c>
      <c r="AX92" s="0" t="n">
        <v>0.02400548</v>
      </c>
      <c r="AY92" s="0" t="n">
        <v>0.01285418</v>
      </c>
      <c r="AZ92" s="0" t="n">
        <v>-0.00754662</v>
      </c>
      <c r="BA92" s="0" t="n">
        <v>0.00553992</v>
      </c>
      <c r="BB92" s="0" t="n">
        <v>0.00768394</v>
      </c>
      <c r="BC92" s="0" t="n">
        <v>-0.00749029</v>
      </c>
      <c r="BD92" s="0" t="n">
        <v>0.0075083</v>
      </c>
      <c r="BE92" s="0" t="n">
        <v>0.02255587</v>
      </c>
      <c r="BF92" s="0" t="n">
        <v>-0.00085305</v>
      </c>
      <c r="BG92" s="0" t="n">
        <v>0.01587731</v>
      </c>
      <c r="BH92" s="0" t="n">
        <v>0.01848757</v>
      </c>
      <c r="BI92" s="0" t="n">
        <v>-0.00387358</v>
      </c>
      <c r="BJ92" s="0" t="n">
        <v>-0.0055502</v>
      </c>
      <c r="BK92" s="0" t="n">
        <v>-0.01334705</v>
      </c>
      <c r="BL92" s="0" t="n">
        <v>0.00220285</v>
      </c>
      <c r="BM92" s="0" t="n">
        <v>0.02293136</v>
      </c>
      <c r="BN92" s="0" t="n">
        <v>0.01793849</v>
      </c>
      <c r="BO92" s="0" t="n">
        <v>0.02466262</v>
      </c>
      <c r="BP92" s="0" t="n">
        <v>0.03462617</v>
      </c>
      <c r="BQ92" s="0" t="n">
        <v>-0.00556964</v>
      </c>
      <c r="BR92" s="0" t="n">
        <v>0.02408207</v>
      </c>
      <c r="BS92" s="0" t="n">
        <v>0.01463239</v>
      </c>
      <c r="BT92" s="0" t="n">
        <v>0.01478033</v>
      </c>
      <c r="BU92" s="0" t="n">
        <v>-0.00394724</v>
      </c>
      <c r="BV92" s="0" t="n">
        <v>0.03330271</v>
      </c>
      <c r="BW92" s="0" t="n">
        <v>0.02599854</v>
      </c>
      <c r="BX92" s="0" t="n">
        <v>0.0173098</v>
      </c>
      <c r="BY92" s="0" t="n">
        <v>0.00809635</v>
      </c>
      <c r="BZ92" s="0" t="n">
        <v>0.02409114</v>
      </c>
      <c r="CA92" s="0" t="n">
        <v>0.00209469</v>
      </c>
      <c r="CB92" s="0" t="n">
        <v>0.01203995</v>
      </c>
      <c r="CC92" s="0" t="n">
        <v>0.01343729</v>
      </c>
      <c r="CD92" s="0" t="n">
        <v>0.04187432</v>
      </c>
      <c r="CE92" s="0" t="n">
        <v>0.00297955</v>
      </c>
      <c r="CF92" s="0" t="n">
        <v>0.00753471</v>
      </c>
      <c r="CG92" s="0" t="n">
        <v>0.0396901</v>
      </c>
      <c r="CH92" s="0" t="n">
        <v>-0.00230061</v>
      </c>
      <c r="CI92" s="0" t="n">
        <v>0.01104923</v>
      </c>
      <c r="CJ92" s="0" t="n">
        <v>0.14533941</v>
      </c>
      <c r="CK92" s="0" t="n">
        <v>0.03155809</v>
      </c>
      <c r="CL92" s="0" t="n">
        <v>0.00654528</v>
      </c>
      <c r="CM92" s="0" t="n">
        <v>-0.00173361</v>
      </c>
      <c r="CN92" s="0" t="n">
        <v>-0.00375662</v>
      </c>
      <c r="CO92" s="0" t="n">
        <v>-0.01354197</v>
      </c>
      <c r="CP92" s="0" t="n">
        <v>0.02694536</v>
      </c>
      <c r="CQ92" s="0" t="n">
        <v>0.01502236</v>
      </c>
      <c r="CR92" s="0" t="n">
        <v>-0.00495705</v>
      </c>
      <c r="CS92" s="0" t="n">
        <v>-0.02395206</v>
      </c>
      <c r="CT92" s="0" t="n">
        <v>0.04060415</v>
      </c>
      <c r="CU92" s="0" t="n">
        <v>0.01383401</v>
      </c>
      <c r="CV92" s="0" t="n">
        <v>0.02279583</v>
      </c>
      <c r="CW92" s="0" t="n">
        <v>0.04012913</v>
      </c>
      <c r="CX92" s="0" t="n">
        <v>0.0300291</v>
      </c>
      <c r="CY92" s="0" t="n">
        <v>0.00047565</v>
      </c>
      <c r="CZ92" s="0" t="n">
        <v>0.02368374</v>
      </c>
      <c r="DA92" s="0" t="n">
        <v>0.04848613</v>
      </c>
      <c r="DB92" s="0" t="n">
        <v>0.01329617</v>
      </c>
      <c r="DC92" s="0" t="n">
        <v>-0.02462493</v>
      </c>
      <c r="DD92" s="0" t="n">
        <v>0.06926356</v>
      </c>
      <c r="DE92" s="0" t="n">
        <v>-0.00335338</v>
      </c>
      <c r="DF92" s="0" t="n">
        <v>0.04041784</v>
      </c>
      <c r="DG92" s="0" t="n">
        <v>0.01988197</v>
      </c>
      <c r="DH92" s="0" t="n">
        <v>0.0025783</v>
      </c>
      <c r="DI92" s="0" t="n">
        <v>0.01719487</v>
      </c>
      <c r="DJ92" s="0" t="n">
        <v>0.00809346</v>
      </c>
      <c r="DK92" s="0" t="n">
        <v>0.01103694</v>
      </c>
      <c r="DL92" s="0" t="n">
        <v>0.00048662</v>
      </c>
      <c r="DM92" s="0" t="n">
        <v>0.01730632</v>
      </c>
      <c r="DN92" s="0" t="n">
        <v>0.03169637</v>
      </c>
      <c r="DO92" s="0" t="n">
        <v>0.0019965</v>
      </c>
      <c r="DP92" s="0" t="n">
        <v>0.02251674</v>
      </c>
      <c r="DQ92" s="0" t="n">
        <v>-0.00455244</v>
      </c>
      <c r="DR92" s="0" t="n">
        <v>0.02105829</v>
      </c>
      <c r="DS92" s="0" t="n">
        <v>0.04236344</v>
      </c>
      <c r="DT92" s="0" t="n">
        <v>0.00857616</v>
      </c>
      <c r="DU92" s="0" t="n">
        <v>0.04175637</v>
      </c>
      <c r="DV92" s="0" t="n">
        <v>0.0520263</v>
      </c>
      <c r="DW92" s="0" t="n">
        <v>0.05677618</v>
      </c>
      <c r="DX92" s="0" t="n">
        <v>-0.0311228</v>
      </c>
      <c r="DY92" s="0" t="n">
        <v>0.04732612</v>
      </c>
      <c r="DZ92" s="0" t="n">
        <v>0.03271502</v>
      </c>
      <c r="EA92" s="0" t="n">
        <v>0.00504862</v>
      </c>
      <c r="EB92" s="0" t="n">
        <v>0.04569676</v>
      </c>
      <c r="EC92" s="0" t="n">
        <v>-0.00839643</v>
      </c>
      <c r="ED92" s="0" t="n">
        <v>0.04540239</v>
      </c>
      <c r="EE92" s="0" t="n">
        <v>-0.00188834</v>
      </c>
      <c r="EF92" s="0" t="n">
        <v>0.02387012</v>
      </c>
      <c r="EG92" s="0" t="n">
        <v>-0.01665454</v>
      </c>
      <c r="EH92" s="0" t="n">
        <v>0.09424545</v>
      </c>
      <c r="EI92" s="0" t="n">
        <v>-0.03302906</v>
      </c>
      <c r="EJ92" s="0" t="n">
        <v>0.02679012</v>
      </c>
      <c r="EK92" s="0" t="n">
        <v>0.04494438</v>
      </c>
      <c r="EL92" s="0" t="n">
        <v>-0.01057263</v>
      </c>
      <c r="EM92" s="0" t="n">
        <v>0.03905457</v>
      </c>
      <c r="EN92" s="0" t="n">
        <v>0.07782287</v>
      </c>
      <c r="EO92" s="0" t="n">
        <v>0.10208963</v>
      </c>
      <c r="EP92" s="55" t="n">
        <f aca="false">SUMPRODUCT(B92:EO92,$B$5:$EO$5)</f>
        <v>0.006533368</v>
      </c>
      <c r="EQ92" s="55" t="n">
        <f aca="false">SUMIF('Mi portafolio'!$A$8:$A$19,$A92,'Mi portafolio'!$B$8:$B$19)</f>
        <v>0</v>
      </c>
    </row>
    <row r="93" customFormat="false" ht="15" hidden="false" customHeight="false" outlineLevel="0" collapsed="false">
      <c r="A93" s="54" t="s">
        <v>234</v>
      </c>
      <c r="B93" s="0" t="n">
        <v>0.02021462</v>
      </c>
      <c r="C93" s="0" t="n">
        <v>-0.00481241</v>
      </c>
      <c r="D93" s="0" t="n">
        <v>0.00080288</v>
      </c>
      <c r="E93" s="0" t="n">
        <v>0.00920464</v>
      </c>
      <c r="F93" s="0" t="n">
        <v>0.02008286</v>
      </c>
      <c r="G93" s="0" t="n">
        <v>-0.00793622</v>
      </c>
      <c r="H93" s="0" t="n">
        <v>0.00093981</v>
      </c>
      <c r="I93" s="0" t="n">
        <v>0.02591794</v>
      </c>
      <c r="J93" s="0" t="n">
        <v>0.0170351</v>
      </c>
      <c r="K93" s="0" t="n">
        <v>0.02716775</v>
      </c>
      <c r="L93" s="0" t="n">
        <v>0.00273565</v>
      </c>
      <c r="M93" s="0" t="n">
        <v>0.02533465</v>
      </c>
      <c r="N93" s="0" t="n">
        <v>0.02473603</v>
      </c>
      <c r="O93" s="0" t="n">
        <v>-0.0039527</v>
      </c>
      <c r="P93" s="0" t="n">
        <v>0.02120416</v>
      </c>
      <c r="Q93" s="0" t="n">
        <v>-9.11E-005</v>
      </c>
      <c r="R93" s="0" t="n">
        <v>0.02808308</v>
      </c>
      <c r="S93" s="0" t="n">
        <v>0.00722408</v>
      </c>
      <c r="T93" s="0" t="n">
        <v>0.01851149</v>
      </c>
      <c r="U93" s="0" t="n">
        <v>0.01071458</v>
      </c>
      <c r="V93" s="0" t="n">
        <v>0.0084797</v>
      </c>
      <c r="W93" s="0" t="n">
        <v>0.00189015</v>
      </c>
      <c r="X93" s="0" t="n">
        <v>0.01669939</v>
      </c>
      <c r="Y93" s="0" t="n">
        <v>0.0289051</v>
      </c>
      <c r="Z93" s="0" t="n">
        <v>0.00410409</v>
      </c>
      <c r="AA93" s="0" t="n">
        <v>-0.00046367</v>
      </c>
      <c r="AB93" s="0" t="n">
        <v>0.03409501</v>
      </c>
      <c r="AC93" s="0" t="n">
        <v>-0.00334537</v>
      </c>
      <c r="AD93" s="0" t="n">
        <v>0.00329469</v>
      </c>
      <c r="AE93" s="0" t="n">
        <v>0.00450311</v>
      </c>
      <c r="AF93" s="0" t="n">
        <v>-0.00549527</v>
      </c>
      <c r="AG93" s="0" t="n">
        <v>0.01414175</v>
      </c>
      <c r="AH93" s="0" t="n">
        <v>0.01743586</v>
      </c>
      <c r="AI93" s="0" t="n">
        <v>0.01139356</v>
      </c>
      <c r="AJ93" s="0" t="n">
        <v>0.00352292</v>
      </c>
      <c r="AK93" s="0" t="n">
        <v>0.00667782</v>
      </c>
      <c r="AL93" s="0" t="n">
        <v>0.02651074</v>
      </c>
      <c r="AM93" s="0" t="n">
        <v>-0.00463052</v>
      </c>
      <c r="AN93" s="0" t="n">
        <v>0.04588021</v>
      </c>
      <c r="AO93" s="0" t="n">
        <v>0.01215853</v>
      </c>
      <c r="AP93" s="0" t="n">
        <v>0.04192457</v>
      </c>
      <c r="AQ93" s="0" t="n">
        <v>0.00904016</v>
      </c>
      <c r="AR93" s="0" t="n">
        <v>0.0180556</v>
      </c>
      <c r="AS93" s="0" t="n">
        <v>0.00408065</v>
      </c>
      <c r="AT93" s="0" t="n">
        <v>0.03907777</v>
      </c>
      <c r="AU93" s="0" t="n">
        <v>0.02040634</v>
      </c>
      <c r="AV93" s="0" t="n">
        <v>0.01325472</v>
      </c>
      <c r="AW93" s="0" t="n">
        <v>0.02004419</v>
      </c>
      <c r="AX93" s="0" t="n">
        <v>0.0193415</v>
      </c>
      <c r="AY93" s="0" t="n">
        <v>0.0329093</v>
      </c>
      <c r="AZ93" s="0" t="n">
        <v>0.01067596</v>
      </c>
      <c r="BA93" s="0" t="n">
        <v>0.03365956</v>
      </c>
      <c r="BB93" s="0" t="n">
        <v>0.02137822</v>
      </c>
      <c r="BC93" s="0" t="n">
        <v>0.00370823</v>
      </c>
      <c r="BD93" s="0" t="n">
        <v>0.00347758</v>
      </c>
      <c r="BE93" s="0" t="n">
        <v>0.02171603</v>
      </c>
      <c r="BF93" s="0" t="n">
        <v>0.01386741</v>
      </c>
      <c r="BG93" s="0" t="n">
        <v>0.03222242</v>
      </c>
      <c r="BH93" s="0" t="n">
        <v>0.01154255</v>
      </c>
      <c r="BI93" s="0" t="n">
        <v>0.00842512</v>
      </c>
      <c r="BJ93" s="0" t="n">
        <v>-0.00564747</v>
      </c>
      <c r="BK93" s="0" t="n">
        <v>0.00390654</v>
      </c>
      <c r="BL93" s="0" t="n">
        <v>0.01940067</v>
      </c>
      <c r="BM93" s="0" t="n">
        <v>0.04843578</v>
      </c>
      <c r="BN93" s="0" t="n">
        <v>0.0150277</v>
      </c>
      <c r="BO93" s="0" t="n">
        <v>0.02119312</v>
      </c>
      <c r="BP93" s="0" t="n">
        <v>0.02179084</v>
      </c>
      <c r="BQ93" s="0" t="n">
        <v>0.01559252</v>
      </c>
      <c r="BR93" s="0" t="n">
        <v>0.04557751</v>
      </c>
      <c r="BS93" s="0" t="n">
        <v>0.00604251</v>
      </c>
      <c r="BT93" s="0" t="n">
        <v>0.01938986</v>
      </c>
      <c r="BU93" s="0" t="n">
        <v>0.01438862</v>
      </c>
      <c r="BV93" s="0" t="n">
        <v>0.02819208</v>
      </c>
      <c r="BW93" s="0" t="n">
        <v>0.03628485</v>
      </c>
      <c r="BX93" s="0" t="n">
        <v>0.02469085</v>
      </c>
      <c r="BY93" s="0" t="n">
        <v>0.04228385</v>
      </c>
      <c r="BZ93" s="0" t="n">
        <v>0.02240077</v>
      </c>
      <c r="CA93" s="0" t="n">
        <v>0.00514859</v>
      </c>
      <c r="CB93" s="0" t="n">
        <v>0.01795323</v>
      </c>
      <c r="CC93" s="0" t="n">
        <v>0.02359087</v>
      </c>
      <c r="CD93" s="0" t="n">
        <v>0.03174618</v>
      </c>
      <c r="CE93" s="0" t="n">
        <v>0.00663844</v>
      </c>
      <c r="CF93" s="0" t="n">
        <v>0.00241387</v>
      </c>
      <c r="CG93" s="0" t="n">
        <v>0.05464558</v>
      </c>
      <c r="CH93" s="0" t="n">
        <v>0.01412249</v>
      </c>
      <c r="CI93" s="0" t="n">
        <v>0.00660864</v>
      </c>
      <c r="CJ93" s="0" t="n">
        <v>0.03155809</v>
      </c>
      <c r="CK93" s="0" t="n">
        <v>0.14267142</v>
      </c>
      <c r="CL93" s="0" t="n">
        <v>0.03838212</v>
      </c>
      <c r="CM93" s="0" t="n">
        <v>0.00454776</v>
      </c>
      <c r="CN93" s="0" t="n">
        <v>0.00583373</v>
      </c>
      <c r="CO93" s="0" t="n">
        <v>0.03283663</v>
      </c>
      <c r="CP93" s="0" t="n">
        <v>0.02671799</v>
      </c>
      <c r="CQ93" s="0" t="n">
        <v>0.05304612</v>
      </c>
      <c r="CR93" s="0" t="n">
        <v>0.00876649</v>
      </c>
      <c r="CS93" s="0" t="n">
        <v>0.00232234</v>
      </c>
      <c r="CT93" s="0" t="n">
        <v>0.032904</v>
      </c>
      <c r="CU93" s="0" t="n">
        <v>0.02336175</v>
      </c>
      <c r="CV93" s="0" t="n">
        <v>0.0353336</v>
      </c>
      <c r="CW93" s="0" t="n">
        <v>0.04168399</v>
      </c>
      <c r="CX93" s="0" t="n">
        <v>0.03240811</v>
      </c>
      <c r="CY93" s="0" t="n">
        <v>0.05051889</v>
      </c>
      <c r="CZ93" s="0" t="n">
        <v>0.03451082</v>
      </c>
      <c r="DA93" s="0" t="n">
        <v>0.03907054</v>
      </c>
      <c r="DB93" s="0" t="n">
        <v>0.02780093</v>
      </c>
      <c r="DC93" s="0" t="n">
        <v>0.01742981</v>
      </c>
      <c r="DD93" s="0" t="n">
        <v>0.05237261</v>
      </c>
      <c r="DE93" s="0" t="n">
        <v>0.00818559</v>
      </c>
      <c r="DF93" s="0" t="n">
        <v>0.03829646</v>
      </c>
      <c r="DG93" s="0" t="n">
        <v>0.01416193</v>
      </c>
      <c r="DH93" s="0" t="n">
        <v>-0.00280829</v>
      </c>
      <c r="DI93" s="0" t="n">
        <v>0.05348509</v>
      </c>
      <c r="DJ93" s="0" t="n">
        <v>0.05284614</v>
      </c>
      <c r="DK93" s="0" t="n">
        <v>0.05475779</v>
      </c>
      <c r="DL93" s="0" t="n">
        <v>-0.01326105</v>
      </c>
      <c r="DM93" s="0" t="n">
        <v>0.05485494</v>
      </c>
      <c r="DN93" s="0" t="n">
        <v>0.04977639</v>
      </c>
      <c r="DO93" s="0" t="n">
        <v>0.03482466</v>
      </c>
      <c r="DP93" s="0" t="n">
        <v>0.05624506</v>
      </c>
      <c r="DQ93" s="0" t="n">
        <v>0.02215484</v>
      </c>
      <c r="DR93" s="0" t="n">
        <v>-0.01407027</v>
      </c>
      <c r="DS93" s="0" t="n">
        <v>0.0324427</v>
      </c>
      <c r="DT93" s="0" t="n">
        <v>0.01006694</v>
      </c>
      <c r="DU93" s="0" t="n">
        <v>0.03868313</v>
      </c>
      <c r="DV93" s="0" t="n">
        <v>0.01896384</v>
      </c>
      <c r="DW93" s="0" t="n">
        <v>0.06461531</v>
      </c>
      <c r="DX93" s="0" t="n">
        <v>-0.00381178</v>
      </c>
      <c r="DY93" s="0" t="n">
        <v>0.06412264</v>
      </c>
      <c r="DZ93" s="0" t="n">
        <v>0.01784372</v>
      </c>
      <c r="EA93" s="0" t="n">
        <v>0.05735436</v>
      </c>
      <c r="EB93" s="0" t="n">
        <v>0.0722847</v>
      </c>
      <c r="EC93" s="0" t="n">
        <v>-0.01003961</v>
      </c>
      <c r="ED93" s="0" t="n">
        <v>0.04861643</v>
      </c>
      <c r="EE93" s="0" t="n">
        <v>-0.00715226</v>
      </c>
      <c r="EF93" s="0" t="n">
        <v>0.03516208</v>
      </c>
      <c r="EG93" s="0" t="n">
        <v>-0.00529238</v>
      </c>
      <c r="EH93" s="0" t="n">
        <v>0.05387541</v>
      </c>
      <c r="EI93" s="0" t="n">
        <v>-0.02965287</v>
      </c>
      <c r="EJ93" s="0" t="n">
        <v>0.05863372</v>
      </c>
      <c r="EK93" s="0" t="n">
        <v>0.00625013</v>
      </c>
      <c r="EL93" s="0" t="n">
        <v>-0.00890106</v>
      </c>
      <c r="EM93" s="0" t="n">
        <v>0.05860309</v>
      </c>
      <c r="EN93" s="0" t="n">
        <v>0.07279285</v>
      </c>
      <c r="EO93" s="0" t="n">
        <v>0.09178876</v>
      </c>
      <c r="EP93" s="55" t="n">
        <f aca="false">SUMPRODUCT(B93:EO93,$B$5:$EO$5)</f>
        <v>0.015180154</v>
      </c>
      <c r="EQ93" s="55" t="n">
        <f aca="false">SUMIF('Mi portafolio'!$A$8:$A$19,$A93,'Mi portafolio'!$B$8:$B$19)</f>
        <v>0</v>
      </c>
    </row>
    <row r="94" customFormat="false" ht="15" hidden="false" customHeight="false" outlineLevel="0" collapsed="false">
      <c r="A94" s="54" t="s">
        <v>235</v>
      </c>
      <c r="B94" s="0" t="n">
        <v>0.00676833</v>
      </c>
      <c r="C94" s="0" t="n">
        <v>0.00032232</v>
      </c>
      <c r="D94" s="0" t="n">
        <v>-3.159E-005</v>
      </c>
      <c r="E94" s="0" t="n">
        <v>-0.00037437</v>
      </c>
      <c r="F94" s="0" t="n">
        <v>0.01072329</v>
      </c>
      <c r="G94" s="0" t="n">
        <v>0.00567951</v>
      </c>
      <c r="H94" s="0" t="n">
        <v>0.0179428</v>
      </c>
      <c r="I94" s="0" t="n">
        <v>0.00776132</v>
      </c>
      <c r="J94" s="0" t="n">
        <v>0.00938823</v>
      </c>
      <c r="K94" s="0" t="n">
        <v>0.01297621</v>
      </c>
      <c r="L94" s="0" t="n">
        <v>0.00370376</v>
      </c>
      <c r="M94" s="0" t="n">
        <v>0.02803263</v>
      </c>
      <c r="N94" s="0" t="n">
        <v>0.02253401</v>
      </c>
      <c r="O94" s="0" t="n">
        <v>0.00320347</v>
      </c>
      <c r="P94" s="0" t="n">
        <v>0.00387045</v>
      </c>
      <c r="Q94" s="0" t="n">
        <v>-0.00113153</v>
      </c>
      <c r="R94" s="0" t="n">
        <v>0.00923162</v>
      </c>
      <c r="S94" s="0" t="n">
        <v>-0.00304389</v>
      </c>
      <c r="T94" s="0" t="n">
        <v>0.01846829</v>
      </c>
      <c r="U94" s="0" t="n">
        <v>0.01234413</v>
      </c>
      <c r="V94" s="0" t="n">
        <v>0.00892491</v>
      </c>
      <c r="W94" s="0" t="n">
        <v>-0.00650028</v>
      </c>
      <c r="X94" s="0" t="n">
        <v>0.01817478</v>
      </c>
      <c r="Y94" s="0" t="n">
        <v>0.00655606</v>
      </c>
      <c r="Z94" s="0" t="n">
        <v>0.01049873</v>
      </c>
      <c r="AA94" s="0" t="n">
        <v>0.01907645</v>
      </c>
      <c r="AB94" s="0" t="n">
        <v>0.00725742</v>
      </c>
      <c r="AC94" s="0" t="n">
        <v>0.00414759</v>
      </c>
      <c r="AD94" s="0" t="n">
        <v>0.00894791</v>
      </c>
      <c r="AE94" s="0" t="n">
        <v>0.01054624</v>
      </c>
      <c r="AF94" s="0" t="n">
        <v>0.00101268</v>
      </c>
      <c r="AG94" s="0" t="n">
        <v>0.00690576</v>
      </c>
      <c r="AH94" s="0" t="n">
        <v>0.00847163</v>
      </c>
      <c r="AI94" s="0" t="n">
        <v>-0.01178917</v>
      </c>
      <c r="AJ94" s="0" t="n">
        <v>0.00441667</v>
      </c>
      <c r="AK94" s="0" t="n">
        <v>0.00888245</v>
      </c>
      <c r="AL94" s="0" t="n">
        <v>0.0251498</v>
      </c>
      <c r="AM94" s="0" t="n">
        <v>0.01667866</v>
      </c>
      <c r="AN94" s="0" t="n">
        <v>0.03163215</v>
      </c>
      <c r="AO94" s="0" t="n">
        <v>0.01537341</v>
      </c>
      <c r="AP94" s="0" t="n">
        <v>0.02324788</v>
      </c>
      <c r="AQ94" s="0" t="n">
        <v>-0.01880243</v>
      </c>
      <c r="AR94" s="0" t="n">
        <v>0.01970141</v>
      </c>
      <c r="AS94" s="0" t="n">
        <v>0.01266155</v>
      </c>
      <c r="AT94" s="0" t="n">
        <v>0.03162133</v>
      </c>
      <c r="AU94" s="0" t="n">
        <v>0.00953355</v>
      </c>
      <c r="AV94" s="0" t="n">
        <v>0.00616187</v>
      </c>
      <c r="AW94" s="0" t="n">
        <v>0.0137956</v>
      </c>
      <c r="AX94" s="0" t="n">
        <v>0.02068959</v>
      </c>
      <c r="AY94" s="0" t="n">
        <v>0.02233221</v>
      </c>
      <c r="AZ94" s="0" t="n">
        <v>0.01550887</v>
      </c>
      <c r="BA94" s="0" t="n">
        <v>0.03917376</v>
      </c>
      <c r="BB94" s="0" t="n">
        <v>0.02456789</v>
      </c>
      <c r="BC94" s="0" t="n">
        <v>0.00661461</v>
      </c>
      <c r="BD94" s="0" t="n">
        <v>0.00414337</v>
      </c>
      <c r="BE94" s="0" t="n">
        <v>0.03678567</v>
      </c>
      <c r="BF94" s="0" t="n">
        <v>0.00457158</v>
      </c>
      <c r="BG94" s="0" t="n">
        <v>0.02512112</v>
      </c>
      <c r="BH94" s="0" t="n">
        <v>0.01302937</v>
      </c>
      <c r="BI94" s="0" t="n">
        <v>0.00273287</v>
      </c>
      <c r="BJ94" s="0" t="n">
        <v>-0.01543875</v>
      </c>
      <c r="BK94" s="0" t="n">
        <v>0.00794842</v>
      </c>
      <c r="BL94" s="0" t="n">
        <v>0.03503261</v>
      </c>
      <c r="BM94" s="0" t="n">
        <v>0.034091</v>
      </c>
      <c r="BN94" s="0" t="n">
        <v>0.01391344</v>
      </c>
      <c r="BO94" s="0" t="n">
        <v>0.02966322</v>
      </c>
      <c r="BP94" s="0" t="n">
        <v>0.00532777</v>
      </c>
      <c r="BQ94" s="0" t="n">
        <v>0.03736584</v>
      </c>
      <c r="BR94" s="0" t="n">
        <v>0.03073923</v>
      </c>
      <c r="BS94" s="0" t="n">
        <v>-0.00620894</v>
      </c>
      <c r="BT94" s="0" t="n">
        <v>0.03877609</v>
      </c>
      <c r="BU94" s="0" t="n">
        <v>0.01736775</v>
      </c>
      <c r="BV94" s="0" t="n">
        <v>0.02913381</v>
      </c>
      <c r="BW94" s="0" t="n">
        <v>0.02397212</v>
      </c>
      <c r="BX94" s="0" t="n">
        <v>0.02119736</v>
      </c>
      <c r="BY94" s="0" t="n">
        <v>0.08377316</v>
      </c>
      <c r="BZ94" s="0" t="n">
        <v>0.03684987</v>
      </c>
      <c r="CA94" s="0" t="n">
        <v>0.01191854</v>
      </c>
      <c r="CB94" s="0" t="n">
        <v>-0.01060248</v>
      </c>
      <c r="CC94" s="0" t="n">
        <v>0.00779003</v>
      </c>
      <c r="CD94" s="0" t="n">
        <v>0.01923626</v>
      </c>
      <c r="CE94" s="0" t="n">
        <v>0.02582698</v>
      </c>
      <c r="CF94" s="0" t="n">
        <v>-0.01488028</v>
      </c>
      <c r="CG94" s="0" t="n">
        <v>0.03546288</v>
      </c>
      <c r="CH94" s="0" t="n">
        <v>0.03544506</v>
      </c>
      <c r="CI94" s="0" t="n">
        <v>-0.01414259</v>
      </c>
      <c r="CJ94" s="0" t="n">
        <v>0.00654528</v>
      </c>
      <c r="CK94" s="0" t="n">
        <v>0.03838212</v>
      </c>
      <c r="CL94" s="0" t="n">
        <v>0.14727855</v>
      </c>
      <c r="CM94" s="0" t="n">
        <v>0.02993551</v>
      </c>
      <c r="CN94" s="0" t="n">
        <v>0.0061683</v>
      </c>
      <c r="CO94" s="0" t="n">
        <v>0.00972308</v>
      </c>
      <c r="CP94" s="0" t="n">
        <v>0.00521065</v>
      </c>
      <c r="CQ94" s="0" t="n">
        <v>0.06516381</v>
      </c>
      <c r="CR94" s="0" t="n">
        <v>0.0398499</v>
      </c>
      <c r="CS94" s="0" t="n">
        <v>0.04250224</v>
      </c>
      <c r="CT94" s="0" t="n">
        <v>0.02636158</v>
      </c>
      <c r="CU94" s="0" t="n">
        <v>0.03095969</v>
      </c>
      <c r="CV94" s="0" t="n">
        <v>0.03585501</v>
      </c>
      <c r="CW94" s="0" t="n">
        <v>0.03871432</v>
      </c>
      <c r="CX94" s="0" t="n">
        <v>0.04485281</v>
      </c>
      <c r="CY94" s="0" t="n">
        <v>0.05910685</v>
      </c>
      <c r="CZ94" s="0" t="n">
        <v>0.02265341</v>
      </c>
      <c r="DA94" s="0" t="n">
        <v>0.03046926</v>
      </c>
      <c r="DB94" s="0" t="n">
        <v>0.04882102</v>
      </c>
      <c r="DC94" s="0" t="n">
        <v>0.03651273</v>
      </c>
      <c r="DD94" s="0" t="n">
        <v>0.03885812</v>
      </c>
      <c r="DE94" s="0" t="n">
        <v>0.04650977</v>
      </c>
      <c r="DF94" s="0" t="n">
        <v>0.01682012</v>
      </c>
      <c r="DG94" s="0" t="n">
        <v>0.03708382</v>
      </c>
      <c r="DH94" s="0" t="n">
        <v>0.03073857</v>
      </c>
      <c r="DI94" s="0" t="n">
        <v>0.07696422</v>
      </c>
      <c r="DJ94" s="0" t="n">
        <v>0.06583291</v>
      </c>
      <c r="DK94" s="0" t="n">
        <v>0.0800196</v>
      </c>
      <c r="DL94" s="0" t="n">
        <v>0.02832881</v>
      </c>
      <c r="DM94" s="0" t="n">
        <v>0.07989206</v>
      </c>
      <c r="DN94" s="0" t="n">
        <v>0.03842949</v>
      </c>
      <c r="DO94" s="0" t="n">
        <v>0.05980414</v>
      </c>
      <c r="DP94" s="0" t="n">
        <v>0.08436219</v>
      </c>
      <c r="DQ94" s="0" t="n">
        <v>0.05824204</v>
      </c>
      <c r="DR94" s="0" t="n">
        <v>0.04530956</v>
      </c>
      <c r="DS94" s="0" t="n">
        <v>-0.00307607</v>
      </c>
      <c r="DT94" s="0" t="n">
        <v>0.03119924</v>
      </c>
      <c r="DU94" s="0" t="n">
        <v>0.05615248</v>
      </c>
      <c r="DV94" s="0" t="n">
        <v>0.01685453</v>
      </c>
      <c r="DW94" s="0" t="n">
        <v>0.03636263</v>
      </c>
      <c r="DX94" s="0" t="n">
        <v>0.03672238</v>
      </c>
      <c r="DY94" s="0" t="n">
        <v>0.05636164</v>
      </c>
      <c r="DZ94" s="0" t="n">
        <v>0.00491148</v>
      </c>
      <c r="EA94" s="0" t="n">
        <v>0.05477784</v>
      </c>
      <c r="EB94" s="0" t="n">
        <v>0.07107053</v>
      </c>
      <c r="EC94" s="0" t="n">
        <v>0.01224501</v>
      </c>
      <c r="ED94" s="0" t="n">
        <v>0.07768815</v>
      </c>
      <c r="EE94" s="0" t="n">
        <v>0.06521534</v>
      </c>
      <c r="EF94" s="0" t="n">
        <v>0.05140013</v>
      </c>
      <c r="EG94" s="0" t="n">
        <v>0.03899431</v>
      </c>
      <c r="EH94" s="0" t="n">
        <v>0.0414471</v>
      </c>
      <c r="EI94" s="0" t="n">
        <v>0.07455964</v>
      </c>
      <c r="EJ94" s="0" t="n">
        <v>0.10305514</v>
      </c>
      <c r="EK94" s="0" t="n">
        <v>0.07294921</v>
      </c>
      <c r="EL94" s="0" t="n">
        <v>0.07048363</v>
      </c>
      <c r="EM94" s="0" t="n">
        <v>0.09575904</v>
      </c>
      <c r="EN94" s="0" t="n">
        <v>0.09166359</v>
      </c>
      <c r="EO94" s="0" t="n">
        <v>0.09688202</v>
      </c>
      <c r="EP94" s="55" t="n">
        <f aca="false">SUMPRODUCT(B94:EO94,$B$5:$EO$5)</f>
        <v>0.036406742</v>
      </c>
      <c r="EQ94" s="55" t="n">
        <f aca="false">SUMIF('Mi portafolio'!$A$8:$A$19,$A94,'Mi portafolio'!$B$8:$B$19)</f>
        <v>0</v>
      </c>
    </row>
    <row r="95" customFormat="false" ht="15" hidden="false" customHeight="false" outlineLevel="0" collapsed="false">
      <c r="A95" s="54" t="s">
        <v>123</v>
      </c>
      <c r="B95" s="0" t="n">
        <v>-0.00864228</v>
      </c>
      <c r="C95" s="0" t="n">
        <v>-0.00497712</v>
      </c>
      <c r="D95" s="0" t="n">
        <v>0.00417129</v>
      </c>
      <c r="E95" s="0" t="n">
        <v>-0.0026444</v>
      </c>
      <c r="F95" s="0" t="n">
        <v>-0.01415489</v>
      </c>
      <c r="G95" s="0" t="n">
        <v>-0.00135747</v>
      </c>
      <c r="H95" s="0" t="n">
        <v>0.00275339</v>
      </c>
      <c r="I95" s="0" t="n">
        <v>-0.01209305</v>
      </c>
      <c r="J95" s="0" t="n">
        <v>-0.01028048</v>
      </c>
      <c r="K95" s="0" t="n">
        <v>-0.01116343</v>
      </c>
      <c r="L95" s="0" t="n">
        <v>0.00368501</v>
      </c>
      <c r="M95" s="0" t="n">
        <v>0.01864061</v>
      </c>
      <c r="N95" s="0" t="n">
        <v>-0.00089523</v>
      </c>
      <c r="O95" s="0" t="n">
        <v>-0.00358146</v>
      </c>
      <c r="P95" s="0" t="n">
        <v>-0.01169273</v>
      </c>
      <c r="Q95" s="0" t="n">
        <v>0.00585661</v>
      </c>
      <c r="R95" s="0" t="n">
        <v>-0.01506393</v>
      </c>
      <c r="S95" s="0" t="n">
        <v>-0.00072747</v>
      </c>
      <c r="T95" s="0" t="n">
        <v>0.01449163</v>
      </c>
      <c r="U95" s="0" t="n">
        <v>0.01155532</v>
      </c>
      <c r="V95" s="0" t="n">
        <v>-0.00195153</v>
      </c>
      <c r="W95" s="0" t="n">
        <v>-0.01071668</v>
      </c>
      <c r="X95" s="0" t="n">
        <v>0.01718868</v>
      </c>
      <c r="Y95" s="0" t="n">
        <v>-0.00322445</v>
      </c>
      <c r="Z95" s="0" t="n">
        <v>0.00656404</v>
      </c>
      <c r="AA95" s="0" t="n">
        <v>-0.00630622</v>
      </c>
      <c r="AB95" s="0" t="n">
        <v>-0.00349438</v>
      </c>
      <c r="AC95" s="0" t="n">
        <v>-0.00146002</v>
      </c>
      <c r="AD95" s="0" t="n">
        <v>-7.648E-005</v>
      </c>
      <c r="AE95" s="0" t="n">
        <v>0.01053367</v>
      </c>
      <c r="AF95" s="0" t="n">
        <v>0.01303793</v>
      </c>
      <c r="AG95" s="0" t="n">
        <v>-0.01850547</v>
      </c>
      <c r="AH95" s="0" t="n">
        <v>-0.01840016</v>
      </c>
      <c r="AI95" s="0" t="n">
        <v>-0.01281462</v>
      </c>
      <c r="AJ95" s="0" t="n">
        <v>0.00155432</v>
      </c>
      <c r="AK95" s="0" t="n">
        <v>0.01268988</v>
      </c>
      <c r="AL95" s="0" t="n">
        <v>0.01321431</v>
      </c>
      <c r="AM95" s="0" t="n">
        <v>0.00799614</v>
      </c>
      <c r="AN95" s="0" t="n">
        <v>0.00648686</v>
      </c>
      <c r="AO95" s="0" t="n">
        <v>-0.00991627</v>
      </c>
      <c r="AP95" s="0" t="n">
        <v>0.01419806</v>
      </c>
      <c r="AQ95" s="0" t="n">
        <v>-0.0144966</v>
      </c>
      <c r="AR95" s="0" t="n">
        <v>0.01478756</v>
      </c>
      <c r="AS95" s="0" t="n">
        <v>0.01582471</v>
      </c>
      <c r="AT95" s="0" t="n">
        <v>0.01973557</v>
      </c>
      <c r="AU95" s="0" t="n">
        <v>-0.00776619</v>
      </c>
      <c r="AV95" s="0" t="n">
        <v>0.0050761</v>
      </c>
      <c r="AW95" s="0" t="n">
        <v>0.0144241</v>
      </c>
      <c r="AX95" s="0" t="n">
        <v>-0.00798618</v>
      </c>
      <c r="AY95" s="0" t="n">
        <v>0.0039798</v>
      </c>
      <c r="AZ95" s="0" t="n">
        <v>0.01849252</v>
      </c>
      <c r="BA95" s="0" t="n">
        <v>0.01381677</v>
      </c>
      <c r="BB95" s="0" t="n">
        <v>0.04073806</v>
      </c>
      <c r="BC95" s="0" t="n">
        <v>0.01022631</v>
      </c>
      <c r="BD95" s="0" t="n">
        <v>0.0131317</v>
      </c>
      <c r="BE95" s="0" t="n">
        <v>-0.01252884</v>
      </c>
      <c r="BF95" s="0" t="n">
        <v>0.00418015</v>
      </c>
      <c r="BG95" s="0" t="n">
        <v>0.01790835</v>
      </c>
      <c r="BH95" s="0" t="n">
        <v>0.01572342</v>
      </c>
      <c r="BI95" s="0" t="n">
        <v>-0.00604338</v>
      </c>
      <c r="BJ95" s="0" t="n">
        <v>-0.00812957</v>
      </c>
      <c r="BK95" s="0" t="n">
        <v>0.0125394</v>
      </c>
      <c r="BL95" s="0" t="n">
        <v>0.03900854</v>
      </c>
      <c r="BM95" s="0" t="n">
        <v>0.00406937</v>
      </c>
      <c r="BN95" s="0" t="n">
        <v>0.00417704</v>
      </c>
      <c r="BO95" s="0" t="n">
        <v>0.03496831</v>
      </c>
      <c r="BP95" s="0" t="n">
        <v>0.03501245</v>
      </c>
      <c r="BQ95" s="0" t="n">
        <v>0.03090199</v>
      </c>
      <c r="BR95" s="0" t="n">
        <v>0.01931262</v>
      </c>
      <c r="BS95" s="0" t="n">
        <v>-0.00625868</v>
      </c>
      <c r="BT95" s="0" t="n">
        <v>0.03950822</v>
      </c>
      <c r="BU95" s="0" t="n">
        <v>0.02367229</v>
      </c>
      <c r="BV95" s="0" t="n">
        <v>0.03665243</v>
      </c>
      <c r="BW95" s="0" t="n">
        <v>0.01462358</v>
      </c>
      <c r="BX95" s="0" t="n">
        <v>-0.00577678</v>
      </c>
      <c r="BY95" s="0" t="n">
        <v>0.0284536</v>
      </c>
      <c r="BZ95" s="0" t="n">
        <v>0.03466952</v>
      </c>
      <c r="CA95" s="0" t="n">
        <v>0.00860705</v>
      </c>
      <c r="CB95" s="0" t="n">
        <v>-0.0163045</v>
      </c>
      <c r="CC95" s="0" t="n">
        <v>0.00409889</v>
      </c>
      <c r="CD95" s="0" t="n">
        <v>0.02680467</v>
      </c>
      <c r="CE95" s="0" t="n">
        <v>0.04190827</v>
      </c>
      <c r="CF95" s="0" t="n">
        <v>-0.01651617</v>
      </c>
      <c r="CG95" s="0" t="n">
        <v>0.02118426</v>
      </c>
      <c r="CH95" s="0" t="n">
        <v>0.04005622</v>
      </c>
      <c r="CI95" s="0" t="n">
        <v>-0.01308964</v>
      </c>
      <c r="CJ95" s="0" t="n">
        <v>-0.00173361</v>
      </c>
      <c r="CK95" s="0" t="n">
        <v>0.00454776</v>
      </c>
      <c r="CL95" s="0" t="n">
        <v>0.02993551</v>
      </c>
      <c r="CM95" s="0" t="n">
        <v>0.14413456</v>
      </c>
      <c r="CN95" s="0" t="n">
        <v>0.00864072</v>
      </c>
      <c r="CO95" s="0" t="n">
        <v>0.01005446</v>
      </c>
      <c r="CP95" s="0" t="n">
        <v>0.01964377</v>
      </c>
      <c r="CQ95" s="0" t="n">
        <v>0.04364512</v>
      </c>
      <c r="CR95" s="0" t="n">
        <v>0.09962352</v>
      </c>
      <c r="CS95" s="0" t="n">
        <v>0.06530062</v>
      </c>
      <c r="CT95" s="0" t="n">
        <v>0.03175641</v>
      </c>
      <c r="CU95" s="0" t="n">
        <v>0.05142633</v>
      </c>
      <c r="CV95" s="0" t="n">
        <v>0.04767633</v>
      </c>
      <c r="CW95" s="0" t="n">
        <v>0.03288892</v>
      </c>
      <c r="CX95" s="0" t="n">
        <v>0.05009917</v>
      </c>
      <c r="CY95" s="0" t="n">
        <v>0.03437166</v>
      </c>
      <c r="CZ95" s="0" t="n">
        <v>0.03191949</v>
      </c>
      <c r="DA95" s="0" t="n">
        <v>0.04099143</v>
      </c>
      <c r="DB95" s="0" t="n">
        <v>0.07912678</v>
      </c>
      <c r="DC95" s="0" t="n">
        <v>0.01503296</v>
      </c>
      <c r="DD95" s="0" t="n">
        <v>0.04596193</v>
      </c>
      <c r="DE95" s="0" t="n">
        <v>0.07494939</v>
      </c>
      <c r="DF95" s="0" t="n">
        <v>0.01994041</v>
      </c>
      <c r="DG95" s="0" t="n">
        <v>0.06096897</v>
      </c>
      <c r="DH95" s="0" t="n">
        <v>0.09783752</v>
      </c>
      <c r="DI95" s="0" t="n">
        <v>0.04149951</v>
      </c>
      <c r="DJ95" s="0" t="n">
        <v>0.03898211</v>
      </c>
      <c r="DK95" s="0" t="n">
        <v>0.05850817</v>
      </c>
      <c r="DL95" s="0" t="n">
        <v>0.03410927</v>
      </c>
      <c r="DM95" s="0" t="n">
        <v>0.04985041</v>
      </c>
      <c r="DN95" s="0" t="n">
        <v>0.0340605</v>
      </c>
      <c r="DO95" s="0" t="n">
        <v>0.04651454</v>
      </c>
      <c r="DP95" s="0" t="n">
        <v>0.04727026</v>
      </c>
      <c r="DQ95" s="0" t="n">
        <v>0.04990028</v>
      </c>
      <c r="DR95" s="0" t="n">
        <v>0.06366379</v>
      </c>
      <c r="DS95" s="0" t="n">
        <v>0.02220803</v>
      </c>
      <c r="DT95" s="0" t="n">
        <v>0.09481376</v>
      </c>
      <c r="DU95" s="0" t="n">
        <v>0.10312408</v>
      </c>
      <c r="DV95" s="0" t="n">
        <v>0.07334421</v>
      </c>
      <c r="DW95" s="0" t="n">
        <v>0.06701545</v>
      </c>
      <c r="DX95" s="0" t="n">
        <v>0.11031695</v>
      </c>
      <c r="DY95" s="0" t="n">
        <v>0.06390707</v>
      </c>
      <c r="DZ95" s="0" t="n">
        <v>0.04954976</v>
      </c>
      <c r="EA95" s="0" t="n">
        <v>0.03589099</v>
      </c>
      <c r="EB95" s="0" t="n">
        <v>0.08600874</v>
      </c>
      <c r="EC95" s="0" t="n">
        <v>0.02960425</v>
      </c>
      <c r="ED95" s="0" t="n">
        <v>0.04644691</v>
      </c>
      <c r="EE95" s="0" t="n">
        <v>0.13736023</v>
      </c>
      <c r="EF95" s="0" t="n">
        <v>0.07385638</v>
      </c>
      <c r="EG95" s="0" t="n">
        <v>0.11656344</v>
      </c>
      <c r="EH95" s="0" t="n">
        <v>0.03911783</v>
      </c>
      <c r="EI95" s="0" t="n">
        <v>0.13880161</v>
      </c>
      <c r="EJ95" s="0" t="n">
        <v>0.04803797</v>
      </c>
      <c r="EK95" s="0" t="n">
        <v>0.12857405</v>
      </c>
      <c r="EL95" s="0" t="n">
        <v>0.14400357</v>
      </c>
      <c r="EM95" s="0" t="n">
        <v>0.09009607</v>
      </c>
      <c r="EN95" s="0" t="n">
        <v>0.02023618</v>
      </c>
      <c r="EO95" s="0" t="n">
        <v>0.07219829</v>
      </c>
      <c r="EP95" s="55" t="n">
        <f aca="false">SUMPRODUCT(B95:EO95,$B$5:$EO$5)</f>
        <v>0.056578164</v>
      </c>
      <c r="EQ95" s="55" t="n">
        <f aca="false">SUMIF('Mi portafolio'!$A$8:$A$19,$A95,'Mi portafolio'!$B$8:$B$19)</f>
        <v>0</v>
      </c>
    </row>
    <row r="96" customFormat="false" ht="15" hidden="false" customHeight="false" outlineLevel="0" collapsed="false">
      <c r="A96" s="54" t="s">
        <v>236</v>
      </c>
      <c r="B96" s="0" t="n">
        <v>-0.00195328</v>
      </c>
      <c r="C96" s="0" t="n">
        <v>0.0108791</v>
      </c>
      <c r="D96" s="0" t="n">
        <v>0.01300302</v>
      </c>
      <c r="E96" s="0" t="n">
        <v>0.01041868</v>
      </c>
      <c r="F96" s="0" t="n">
        <v>-0.00647769</v>
      </c>
      <c r="G96" s="0" t="n">
        <v>0.00900185</v>
      </c>
      <c r="H96" s="0" t="n">
        <v>0.01557705</v>
      </c>
      <c r="I96" s="0" t="n">
        <v>-0.00385689</v>
      </c>
      <c r="J96" s="0" t="n">
        <v>0.00271802</v>
      </c>
      <c r="K96" s="0" t="n">
        <v>-0.00224728</v>
      </c>
      <c r="L96" s="0" t="n">
        <v>0.01095375</v>
      </c>
      <c r="M96" s="0" t="n">
        <v>0.00255536</v>
      </c>
      <c r="N96" s="0" t="n">
        <v>0.01043311</v>
      </c>
      <c r="O96" s="0" t="n">
        <v>0.01637833</v>
      </c>
      <c r="P96" s="0" t="n">
        <v>0.00368991</v>
      </c>
      <c r="Q96" s="0" t="n">
        <v>0.00605375</v>
      </c>
      <c r="R96" s="0" t="n">
        <v>-0.00780455</v>
      </c>
      <c r="S96" s="0" t="n">
        <v>0.00480684</v>
      </c>
      <c r="T96" s="0" t="n">
        <v>0.0055742</v>
      </c>
      <c r="U96" s="0" t="n">
        <v>0.02594465</v>
      </c>
      <c r="V96" s="0" t="n">
        <v>0.01479502</v>
      </c>
      <c r="W96" s="0" t="n">
        <v>0.01069109</v>
      </c>
      <c r="X96" s="0" t="n">
        <v>0.0078233</v>
      </c>
      <c r="Y96" s="0" t="n">
        <v>0.00027834</v>
      </c>
      <c r="Z96" s="0" t="n">
        <v>0.02151567</v>
      </c>
      <c r="AA96" s="0" t="n">
        <v>0.01144595</v>
      </c>
      <c r="AB96" s="0" t="n">
        <v>0.00109797</v>
      </c>
      <c r="AC96" s="0" t="n">
        <v>0.01604498</v>
      </c>
      <c r="AD96" s="0" t="n">
        <v>0.01471407</v>
      </c>
      <c r="AE96" s="0" t="n">
        <v>0.01306485</v>
      </c>
      <c r="AF96" s="0" t="n">
        <v>0.03088628</v>
      </c>
      <c r="AG96" s="0" t="n">
        <v>-0.00086672</v>
      </c>
      <c r="AH96" s="0" t="n">
        <v>0.00252323</v>
      </c>
      <c r="AI96" s="0" t="n">
        <v>-4.509E-005</v>
      </c>
      <c r="AJ96" s="0" t="n">
        <v>0.02082647</v>
      </c>
      <c r="AK96" s="0" t="n">
        <v>0.02682985</v>
      </c>
      <c r="AL96" s="0" t="n">
        <v>-0.00250197</v>
      </c>
      <c r="AM96" s="0" t="n">
        <v>0.01205054</v>
      </c>
      <c r="AN96" s="0" t="n">
        <v>0.00314132</v>
      </c>
      <c r="AO96" s="0" t="n">
        <v>-0.0014154</v>
      </c>
      <c r="AP96" s="0" t="n">
        <v>0.00434871</v>
      </c>
      <c r="AQ96" s="0" t="n">
        <v>0.00501776</v>
      </c>
      <c r="AR96" s="0" t="n">
        <v>0.00390738</v>
      </c>
      <c r="AS96" s="0" t="n">
        <v>0.02313851</v>
      </c>
      <c r="AT96" s="0" t="n">
        <v>0.00169573</v>
      </c>
      <c r="AU96" s="0" t="n">
        <v>0.00071504</v>
      </c>
      <c r="AV96" s="0" t="n">
        <v>0.01843567</v>
      </c>
      <c r="AW96" s="0" t="n">
        <v>0.02846362</v>
      </c>
      <c r="AX96" s="0" t="n">
        <v>0.00351938</v>
      </c>
      <c r="AY96" s="0" t="n">
        <v>0.00614131</v>
      </c>
      <c r="AZ96" s="0" t="n">
        <v>0.01479115</v>
      </c>
      <c r="BA96" s="0" t="n">
        <v>0.00309765</v>
      </c>
      <c r="BB96" s="0" t="n">
        <v>0.00767692</v>
      </c>
      <c r="BC96" s="0" t="n">
        <v>0.00524554</v>
      </c>
      <c r="BD96" s="0" t="n">
        <v>0.02857355</v>
      </c>
      <c r="BE96" s="0" t="n">
        <v>0.00500227</v>
      </c>
      <c r="BF96" s="0" t="n">
        <v>0.02809942</v>
      </c>
      <c r="BG96" s="0" t="n">
        <v>0.00198908</v>
      </c>
      <c r="BH96" s="0" t="n">
        <v>0.01809725</v>
      </c>
      <c r="BI96" s="0" t="n">
        <v>-0.00289744</v>
      </c>
      <c r="BJ96" s="0" t="n">
        <v>0.00354895</v>
      </c>
      <c r="BK96" s="0" t="n">
        <v>0.02000219</v>
      </c>
      <c r="BL96" s="0" t="n">
        <v>0.0079756</v>
      </c>
      <c r="BM96" s="0" t="n">
        <v>-0.00562916</v>
      </c>
      <c r="BN96" s="0" t="n">
        <v>0.00071856</v>
      </c>
      <c r="BO96" s="0" t="n">
        <v>-0.00210842</v>
      </c>
      <c r="BP96" s="0" t="n">
        <v>0.00294958</v>
      </c>
      <c r="BQ96" s="0" t="n">
        <v>0.02642732</v>
      </c>
      <c r="BR96" s="0" t="n">
        <v>-0.00558675</v>
      </c>
      <c r="BS96" s="0" t="n">
        <v>-3.473E-005</v>
      </c>
      <c r="BT96" s="0" t="n">
        <v>0.00909972</v>
      </c>
      <c r="BU96" s="0" t="n">
        <v>0.02396993</v>
      </c>
      <c r="BV96" s="0" t="n">
        <v>0.00133996</v>
      </c>
      <c r="BW96" s="0" t="n">
        <v>-0.00713129</v>
      </c>
      <c r="BX96" s="0" t="n">
        <v>0.01041885</v>
      </c>
      <c r="BY96" s="0" t="n">
        <v>-0.00085394</v>
      </c>
      <c r="BZ96" s="0" t="n">
        <v>0.01073474</v>
      </c>
      <c r="CA96" s="0" t="n">
        <v>0.02498884</v>
      </c>
      <c r="CB96" s="0" t="n">
        <v>0.01702357</v>
      </c>
      <c r="CC96" s="0" t="n">
        <v>0.00376779</v>
      </c>
      <c r="CD96" s="0" t="n">
        <v>0.00344264</v>
      </c>
      <c r="CE96" s="0" t="n">
        <v>0.00558738</v>
      </c>
      <c r="CF96" s="0" t="n">
        <v>0.00208494</v>
      </c>
      <c r="CG96" s="0" t="n">
        <v>-0.0034525</v>
      </c>
      <c r="CH96" s="0" t="n">
        <v>0.03846978</v>
      </c>
      <c r="CI96" s="0" t="n">
        <v>0.0036856</v>
      </c>
      <c r="CJ96" s="0" t="n">
        <v>-0.00375662</v>
      </c>
      <c r="CK96" s="0" t="n">
        <v>0.00583373</v>
      </c>
      <c r="CL96" s="0" t="n">
        <v>0.0061683</v>
      </c>
      <c r="CM96" s="0" t="n">
        <v>0.00864072</v>
      </c>
      <c r="CN96" s="0" t="n">
        <v>0.11311446</v>
      </c>
      <c r="CO96" s="0" t="n">
        <v>0.01759265</v>
      </c>
      <c r="CP96" s="0" t="n">
        <v>-0.0042544</v>
      </c>
      <c r="CQ96" s="0" t="n">
        <v>0.01114311</v>
      </c>
      <c r="CR96" s="0" t="n">
        <v>0.01114576</v>
      </c>
      <c r="CS96" s="0" t="n">
        <v>0.02742644</v>
      </c>
      <c r="CT96" s="0" t="n">
        <v>0.01056653</v>
      </c>
      <c r="CU96" s="0" t="n">
        <v>0.01454163</v>
      </c>
      <c r="CV96" s="0" t="n">
        <v>0.00484967</v>
      </c>
      <c r="CW96" s="0" t="n">
        <v>0.01079726</v>
      </c>
      <c r="CX96" s="0" t="n">
        <v>0.01361928</v>
      </c>
      <c r="CY96" s="0" t="n">
        <v>0.01112316</v>
      </c>
      <c r="CZ96" s="0" t="n">
        <v>0.02235463</v>
      </c>
      <c r="DA96" s="0" t="n">
        <v>-0.0024396</v>
      </c>
      <c r="DB96" s="0" t="n">
        <v>0.01818588</v>
      </c>
      <c r="DC96" s="0" t="n">
        <v>0.03616003</v>
      </c>
      <c r="DD96" s="0" t="n">
        <v>0.01169271</v>
      </c>
      <c r="DE96" s="0" t="n">
        <v>0.029931</v>
      </c>
      <c r="DF96" s="0" t="n">
        <v>0.00484404</v>
      </c>
      <c r="DG96" s="0" t="n">
        <v>0.02768799</v>
      </c>
      <c r="DH96" s="0" t="n">
        <v>0.01978238</v>
      </c>
      <c r="DI96" s="0" t="n">
        <v>0.00424902</v>
      </c>
      <c r="DJ96" s="0" t="n">
        <v>0.02092014</v>
      </c>
      <c r="DK96" s="0" t="n">
        <v>0.0095323</v>
      </c>
      <c r="DL96" s="0" t="n">
        <v>0.041336</v>
      </c>
      <c r="DM96" s="0" t="n">
        <v>0.02278092</v>
      </c>
      <c r="DN96" s="0" t="n">
        <v>-2.125E-005</v>
      </c>
      <c r="DO96" s="0" t="n">
        <v>0.00381458</v>
      </c>
      <c r="DP96" s="0" t="n">
        <v>0.01784517</v>
      </c>
      <c r="DQ96" s="0" t="n">
        <v>0.00253531</v>
      </c>
      <c r="DR96" s="0" t="n">
        <v>0.02176838</v>
      </c>
      <c r="DS96" s="0" t="n">
        <v>0.00509513</v>
      </c>
      <c r="DT96" s="0" t="n">
        <v>0.02569392</v>
      </c>
      <c r="DU96" s="0" t="n">
        <v>0.01816135</v>
      </c>
      <c r="DV96" s="0" t="n">
        <v>0.00562845</v>
      </c>
      <c r="DW96" s="0" t="n">
        <v>-0.00786559</v>
      </c>
      <c r="DX96" s="0" t="n">
        <v>0.02532861</v>
      </c>
      <c r="DY96" s="0" t="n">
        <v>0.00778558</v>
      </c>
      <c r="DZ96" s="0" t="n">
        <v>-0.00659337</v>
      </c>
      <c r="EA96" s="0" t="n">
        <v>0.01229924</v>
      </c>
      <c r="EB96" s="0" t="n">
        <v>0.01569108</v>
      </c>
      <c r="EC96" s="0" t="n">
        <v>-0.00177081</v>
      </c>
      <c r="ED96" s="0" t="n">
        <v>0.02051157</v>
      </c>
      <c r="EE96" s="0" t="n">
        <v>0.0237189</v>
      </c>
      <c r="EF96" s="0" t="n">
        <v>0.01823784</v>
      </c>
      <c r="EG96" s="0" t="n">
        <v>0.02326879</v>
      </c>
      <c r="EH96" s="0" t="n">
        <v>-0.02222196</v>
      </c>
      <c r="EI96" s="0" t="n">
        <v>0.01437463</v>
      </c>
      <c r="EJ96" s="0" t="n">
        <v>0.03816989</v>
      </c>
      <c r="EK96" s="0" t="n">
        <v>0.03694781</v>
      </c>
      <c r="EL96" s="0" t="n">
        <v>0.04741943</v>
      </c>
      <c r="EM96" s="0" t="n">
        <v>0.04043043</v>
      </c>
      <c r="EN96" s="0" t="n">
        <v>0.00270299</v>
      </c>
      <c r="EO96" s="0" t="n">
        <v>0.01665664</v>
      </c>
      <c r="EP96" s="55" t="n">
        <f aca="false">SUMPRODUCT(B96:EO96,$B$5:$EO$5)</f>
        <v>0.020151388</v>
      </c>
      <c r="EQ96" s="55" t="n">
        <f aca="false">SUMIF('Mi portafolio'!$A$8:$A$19,$A96,'Mi portafolio'!$B$8:$B$19)</f>
        <v>0</v>
      </c>
    </row>
    <row r="97" customFormat="false" ht="15" hidden="false" customHeight="false" outlineLevel="0" collapsed="false">
      <c r="A97" s="54" t="s">
        <v>237</v>
      </c>
      <c r="B97" s="0" t="n">
        <v>0.0008506</v>
      </c>
      <c r="C97" s="0" t="n">
        <v>0.00488416</v>
      </c>
      <c r="D97" s="0" t="n">
        <v>-2.057E-005</v>
      </c>
      <c r="E97" s="0" t="n">
        <v>0.01117033</v>
      </c>
      <c r="F97" s="0" t="n">
        <v>-0.00161627</v>
      </c>
      <c r="G97" s="0" t="n">
        <v>-0.00334744</v>
      </c>
      <c r="H97" s="0" t="n">
        <v>0.01115813</v>
      </c>
      <c r="I97" s="0" t="n">
        <v>0.00918991</v>
      </c>
      <c r="J97" s="0" t="n">
        <v>-0.00539319</v>
      </c>
      <c r="K97" s="0" t="n">
        <v>0.00478032</v>
      </c>
      <c r="L97" s="0" t="n">
        <v>0.00735241</v>
      </c>
      <c r="M97" s="0" t="n">
        <v>0.00804702</v>
      </c>
      <c r="N97" s="0" t="n">
        <v>0.00482465</v>
      </c>
      <c r="O97" s="0" t="n">
        <v>0.00446556</v>
      </c>
      <c r="P97" s="0" t="n">
        <v>0.00223197</v>
      </c>
      <c r="Q97" s="0" t="n">
        <v>-0.00411178</v>
      </c>
      <c r="R97" s="0" t="n">
        <v>0.00403066</v>
      </c>
      <c r="S97" s="0" t="n">
        <v>0.01232854</v>
      </c>
      <c r="T97" s="0" t="n">
        <v>0.0069466</v>
      </c>
      <c r="U97" s="0" t="n">
        <v>0.01935938</v>
      </c>
      <c r="V97" s="0" t="n">
        <v>0.01653275</v>
      </c>
      <c r="W97" s="0" t="n">
        <v>0.01220137</v>
      </c>
      <c r="X97" s="0" t="n">
        <v>0.0086343</v>
      </c>
      <c r="Y97" s="0" t="n">
        <v>0.00391617</v>
      </c>
      <c r="Z97" s="0" t="n">
        <v>0.01085606</v>
      </c>
      <c r="AA97" s="0" t="n">
        <v>0.00257358</v>
      </c>
      <c r="AB97" s="0" t="n">
        <v>0.00631577</v>
      </c>
      <c r="AC97" s="0" t="n">
        <v>-0.0049181</v>
      </c>
      <c r="AD97" s="0" t="n">
        <v>0.01263519</v>
      </c>
      <c r="AE97" s="0" t="n">
        <v>0.01174387</v>
      </c>
      <c r="AF97" s="0" t="n">
        <v>0.02258132</v>
      </c>
      <c r="AG97" s="0" t="n">
        <v>0.00014776</v>
      </c>
      <c r="AH97" s="0" t="n">
        <v>-0.00082215</v>
      </c>
      <c r="AI97" s="0" t="n">
        <v>-0.01101469</v>
      </c>
      <c r="AJ97" s="0" t="n">
        <v>0.0049941</v>
      </c>
      <c r="AK97" s="0" t="n">
        <v>0.01605155</v>
      </c>
      <c r="AL97" s="0" t="n">
        <v>0.00487029</v>
      </c>
      <c r="AM97" s="0" t="n">
        <v>0.0066772</v>
      </c>
      <c r="AN97" s="0" t="n">
        <v>0.01393509</v>
      </c>
      <c r="AO97" s="0" t="n">
        <v>-0.01062641</v>
      </c>
      <c r="AP97" s="0" t="n">
        <v>0.01819553</v>
      </c>
      <c r="AQ97" s="0" t="n">
        <v>-0.00916098</v>
      </c>
      <c r="AR97" s="0" t="n">
        <v>0.00282213</v>
      </c>
      <c r="AS97" s="0" t="n">
        <v>0.02346971</v>
      </c>
      <c r="AT97" s="0" t="n">
        <v>0.02395299</v>
      </c>
      <c r="AU97" s="0" t="n">
        <v>-0.00559874</v>
      </c>
      <c r="AV97" s="0" t="n">
        <v>0.01753413</v>
      </c>
      <c r="AW97" s="0" t="n">
        <v>0.02317764</v>
      </c>
      <c r="AX97" s="0" t="n">
        <v>-0.00472888</v>
      </c>
      <c r="AY97" s="0" t="n">
        <v>0.01541961</v>
      </c>
      <c r="AZ97" s="0" t="n">
        <v>0.01942341</v>
      </c>
      <c r="BA97" s="0" t="n">
        <v>0.01159977</v>
      </c>
      <c r="BB97" s="0" t="n">
        <v>0.01636442</v>
      </c>
      <c r="BC97" s="0" t="n">
        <v>0.01813547</v>
      </c>
      <c r="BD97" s="0" t="n">
        <v>0.02447398</v>
      </c>
      <c r="BE97" s="0" t="n">
        <v>0.00422725</v>
      </c>
      <c r="BF97" s="0" t="n">
        <v>0.02502774</v>
      </c>
      <c r="BG97" s="0" t="n">
        <v>0.01164067</v>
      </c>
      <c r="BH97" s="0" t="n">
        <v>0.02118376</v>
      </c>
      <c r="BI97" s="0" t="n">
        <v>0.01445364</v>
      </c>
      <c r="BJ97" s="0" t="n">
        <v>-0.00829642</v>
      </c>
      <c r="BK97" s="0" t="n">
        <v>0.02260901</v>
      </c>
      <c r="BL97" s="0" t="n">
        <v>0.01304118</v>
      </c>
      <c r="BM97" s="0" t="n">
        <v>0.01734934</v>
      </c>
      <c r="BN97" s="0" t="n">
        <v>-0.00270209</v>
      </c>
      <c r="BO97" s="0" t="n">
        <v>0.02064301</v>
      </c>
      <c r="BP97" s="0" t="n">
        <v>0.01171483</v>
      </c>
      <c r="BQ97" s="0" t="n">
        <v>0.02881218</v>
      </c>
      <c r="BR97" s="0" t="n">
        <v>0.01889632</v>
      </c>
      <c r="BS97" s="0" t="n">
        <v>-0.01624228</v>
      </c>
      <c r="BT97" s="0" t="n">
        <v>0.00855499</v>
      </c>
      <c r="BU97" s="0" t="n">
        <v>-0.00184566</v>
      </c>
      <c r="BV97" s="0" t="n">
        <v>0.01487616</v>
      </c>
      <c r="BW97" s="0" t="n">
        <v>0.02215853</v>
      </c>
      <c r="BX97" s="0" t="n">
        <v>0.00504704</v>
      </c>
      <c r="BY97" s="0" t="n">
        <v>0.01106079</v>
      </c>
      <c r="BZ97" s="0" t="n">
        <v>0.0076036</v>
      </c>
      <c r="CA97" s="0" t="n">
        <v>0.02476792</v>
      </c>
      <c r="CB97" s="0" t="n">
        <v>0.00379071</v>
      </c>
      <c r="CC97" s="0" t="n">
        <v>0.01728834</v>
      </c>
      <c r="CD97" s="0" t="n">
        <v>0.00804674</v>
      </c>
      <c r="CE97" s="0" t="n">
        <v>0.00885283</v>
      </c>
      <c r="CF97" s="0" t="n">
        <v>-0.00851528</v>
      </c>
      <c r="CG97" s="0" t="n">
        <v>0.01500808</v>
      </c>
      <c r="CH97" s="0" t="n">
        <v>0.0306318</v>
      </c>
      <c r="CI97" s="0" t="n">
        <v>-0.01312104</v>
      </c>
      <c r="CJ97" s="0" t="n">
        <v>-0.01354197</v>
      </c>
      <c r="CK97" s="0" t="n">
        <v>0.03283663</v>
      </c>
      <c r="CL97" s="0" t="n">
        <v>0.00972308</v>
      </c>
      <c r="CM97" s="0" t="n">
        <v>0.01005446</v>
      </c>
      <c r="CN97" s="0" t="n">
        <v>0.01759265</v>
      </c>
      <c r="CO97" s="0" t="n">
        <v>0.1633089</v>
      </c>
      <c r="CP97" s="0" t="n">
        <v>0.0110971</v>
      </c>
      <c r="CQ97" s="0" t="n">
        <v>0.02391314</v>
      </c>
      <c r="CR97" s="0" t="n">
        <v>0.02373742</v>
      </c>
      <c r="CS97" s="0" t="n">
        <v>0.02253891</v>
      </c>
      <c r="CT97" s="0" t="n">
        <v>0.02803881</v>
      </c>
      <c r="CU97" s="0" t="n">
        <v>0.023361</v>
      </c>
      <c r="CV97" s="0" t="n">
        <v>0.0185206</v>
      </c>
      <c r="CW97" s="0" t="n">
        <v>0.01696302</v>
      </c>
      <c r="CX97" s="0" t="n">
        <v>0.02214239</v>
      </c>
      <c r="CY97" s="0" t="n">
        <v>0.02444445</v>
      </c>
      <c r="CZ97" s="0" t="n">
        <v>0.01245604</v>
      </c>
      <c r="DA97" s="0" t="n">
        <v>0.03010094</v>
      </c>
      <c r="DB97" s="0" t="n">
        <v>0.03879713</v>
      </c>
      <c r="DC97" s="0" t="n">
        <v>0.02116699</v>
      </c>
      <c r="DD97" s="0" t="n">
        <v>0.01313979</v>
      </c>
      <c r="DE97" s="0" t="n">
        <v>0.03298269</v>
      </c>
      <c r="DF97" s="0" t="n">
        <v>-0.00693827</v>
      </c>
      <c r="DG97" s="0" t="n">
        <v>0.01549909</v>
      </c>
      <c r="DH97" s="0" t="n">
        <v>0.0240664</v>
      </c>
      <c r="DI97" s="0" t="n">
        <v>0.02598791</v>
      </c>
      <c r="DJ97" s="0" t="n">
        <v>0.01441961</v>
      </c>
      <c r="DK97" s="0" t="n">
        <v>0.0333747</v>
      </c>
      <c r="DL97" s="0" t="n">
        <v>0.00416973</v>
      </c>
      <c r="DM97" s="0" t="n">
        <v>0.01872813</v>
      </c>
      <c r="DN97" s="0" t="n">
        <v>0.02105977</v>
      </c>
      <c r="DO97" s="0" t="n">
        <v>0.0302329</v>
      </c>
      <c r="DP97" s="0" t="n">
        <v>0.0127024</v>
      </c>
      <c r="DQ97" s="0" t="n">
        <v>0.03257762</v>
      </c>
      <c r="DR97" s="0" t="n">
        <v>0.00934898</v>
      </c>
      <c r="DS97" s="0" t="n">
        <v>0.01745472</v>
      </c>
      <c r="DT97" s="0" t="n">
        <v>0.02453495</v>
      </c>
      <c r="DU97" s="0" t="n">
        <v>0.0388448</v>
      </c>
      <c r="DV97" s="0" t="n">
        <v>0.00385158</v>
      </c>
      <c r="DW97" s="0" t="n">
        <v>0.03501445</v>
      </c>
      <c r="DX97" s="0" t="n">
        <v>0.03092597</v>
      </c>
      <c r="DY97" s="0" t="n">
        <v>0.05534448</v>
      </c>
      <c r="DZ97" s="0" t="n">
        <v>0.01020832</v>
      </c>
      <c r="EA97" s="0" t="n">
        <v>0.04728793</v>
      </c>
      <c r="EB97" s="0" t="n">
        <v>0.03461506</v>
      </c>
      <c r="EC97" s="0" t="n">
        <v>0.01158713</v>
      </c>
      <c r="ED97" s="0" t="n">
        <v>0.0384318</v>
      </c>
      <c r="EE97" s="0" t="n">
        <v>0.04453977</v>
      </c>
      <c r="EF97" s="0" t="n">
        <v>0.01620846</v>
      </c>
      <c r="EG97" s="0" t="n">
        <v>0.04820205</v>
      </c>
      <c r="EH97" s="0" t="n">
        <v>0.02588386</v>
      </c>
      <c r="EI97" s="0" t="n">
        <v>0.0283909</v>
      </c>
      <c r="EJ97" s="0" t="n">
        <v>0.05710389</v>
      </c>
      <c r="EK97" s="0" t="n">
        <v>0.01738245</v>
      </c>
      <c r="EL97" s="0" t="n">
        <v>0.02788134</v>
      </c>
      <c r="EM97" s="0" t="n">
        <v>0.02249601</v>
      </c>
      <c r="EN97" s="0" t="n">
        <v>0.03654677</v>
      </c>
      <c r="EO97" s="0" t="n">
        <v>0.01183776</v>
      </c>
      <c r="EP97" s="55" t="n">
        <f aca="false">SUMPRODUCT(B97:EO97,$B$5:$EO$5)</f>
        <v>0.028590104</v>
      </c>
      <c r="EQ97" s="55" t="n">
        <f aca="false">SUMIF('Mi portafolio'!$A$8:$A$19,$A97,'Mi portafolio'!$B$8:$B$19)</f>
        <v>0</v>
      </c>
    </row>
    <row r="98" customFormat="false" ht="15" hidden="false" customHeight="false" outlineLevel="0" collapsed="false">
      <c r="A98" s="54" t="s">
        <v>238</v>
      </c>
      <c r="B98" s="0" t="n">
        <v>0.01115812</v>
      </c>
      <c r="C98" s="0" t="n">
        <v>0.0012104</v>
      </c>
      <c r="D98" s="0" t="n">
        <v>0.00397387</v>
      </c>
      <c r="E98" s="0" t="n">
        <v>0.00203295</v>
      </c>
      <c r="F98" s="0" t="n">
        <v>0.00907223</v>
      </c>
      <c r="G98" s="0" t="n">
        <v>0.00471924</v>
      </c>
      <c r="H98" s="0" t="n">
        <v>0.00438073</v>
      </c>
      <c r="I98" s="0" t="n">
        <v>0.01502634</v>
      </c>
      <c r="J98" s="0" t="n">
        <v>0.00922072</v>
      </c>
      <c r="K98" s="0" t="n">
        <v>0.01438519</v>
      </c>
      <c r="L98" s="0" t="n">
        <v>0.00370393</v>
      </c>
      <c r="M98" s="0" t="n">
        <v>0.01242985</v>
      </c>
      <c r="N98" s="0" t="n">
        <v>0.01724075</v>
      </c>
      <c r="O98" s="0" t="n">
        <v>0.00262985</v>
      </c>
      <c r="P98" s="0" t="n">
        <v>0.00733372</v>
      </c>
      <c r="Q98" s="0" t="n">
        <v>0.00928124</v>
      </c>
      <c r="R98" s="0" t="n">
        <v>0.01436053</v>
      </c>
      <c r="S98" s="0" t="n">
        <v>-0.00128088</v>
      </c>
      <c r="T98" s="0" t="n">
        <v>0.01234232</v>
      </c>
      <c r="U98" s="0" t="n">
        <v>0.00734861</v>
      </c>
      <c r="V98" s="0" t="n">
        <v>-0.00966688</v>
      </c>
      <c r="W98" s="0" t="n">
        <v>0.01050775</v>
      </c>
      <c r="X98" s="0" t="n">
        <v>0.01226911</v>
      </c>
      <c r="Y98" s="0" t="n">
        <v>0.01269718</v>
      </c>
      <c r="Z98" s="0" t="n">
        <v>0.00741091</v>
      </c>
      <c r="AA98" s="0" t="n">
        <v>0.00398793</v>
      </c>
      <c r="AB98" s="0" t="n">
        <v>0.01132891</v>
      </c>
      <c r="AC98" s="0" t="n">
        <v>-0.00303765</v>
      </c>
      <c r="AD98" s="0" t="n">
        <v>-0.00463824</v>
      </c>
      <c r="AE98" s="0" t="n">
        <v>-0.00157549</v>
      </c>
      <c r="AF98" s="0" t="n">
        <v>0.00141955</v>
      </c>
      <c r="AG98" s="0" t="n">
        <v>-0.00733368</v>
      </c>
      <c r="AH98" s="0" t="n">
        <v>0.00477315</v>
      </c>
      <c r="AI98" s="0" t="n">
        <v>0.01083413</v>
      </c>
      <c r="AJ98" s="0" t="n">
        <v>0.00344449</v>
      </c>
      <c r="AK98" s="0" t="n">
        <v>-0.0041571</v>
      </c>
      <c r="AL98" s="0" t="n">
        <v>0.03318124</v>
      </c>
      <c r="AM98" s="0" t="n">
        <v>0.00450753</v>
      </c>
      <c r="AN98" s="0" t="n">
        <v>0.01782949</v>
      </c>
      <c r="AO98" s="0" t="n">
        <v>0.01307417</v>
      </c>
      <c r="AP98" s="0" t="n">
        <v>0.01668135</v>
      </c>
      <c r="AQ98" s="0" t="n">
        <v>0.00765246</v>
      </c>
      <c r="AR98" s="0" t="n">
        <v>0.01213168</v>
      </c>
      <c r="AS98" s="0" t="n">
        <v>0.01202808</v>
      </c>
      <c r="AT98" s="0" t="n">
        <v>0.01392615</v>
      </c>
      <c r="AU98" s="0" t="n">
        <v>0.01519558</v>
      </c>
      <c r="AV98" s="0" t="n">
        <v>0.01091344</v>
      </c>
      <c r="AW98" s="0" t="n">
        <v>0.00262897</v>
      </c>
      <c r="AX98" s="0" t="n">
        <v>0.01146242</v>
      </c>
      <c r="AY98" s="0" t="n">
        <v>0.01490181</v>
      </c>
      <c r="AZ98" s="0" t="n">
        <v>0.00575018</v>
      </c>
      <c r="BA98" s="0" t="n">
        <v>0.01179679</v>
      </c>
      <c r="BB98" s="0" t="n">
        <v>0.01506516</v>
      </c>
      <c r="BC98" s="0" t="n">
        <v>0.00619997</v>
      </c>
      <c r="BD98" s="0" t="n">
        <v>0.00500502</v>
      </c>
      <c r="BE98" s="0" t="n">
        <v>0.00964537</v>
      </c>
      <c r="BF98" s="0" t="n">
        <v>0.01853316</v>
      </c>
      <c r="BG98" s="0" t="n">
        <v>0.02666048</v>
      </c>
      <c r="BH98" s="0" t="n">
        <v>0.01345937</v>
      </c>
      <c r="BI98" s="0" t="n">
        <v>0.01743465</v>
      </c>
      <c r="BJ98" s="0" t="n">
        <v>-0.00650536</v>
      </c>
      <c r="BK98" s="0" t="n">
        <v>0.00743362</v>
      </c>
      <c r="BL98" s="0" t="n">
        <v>0.02105118</v>
      </c>
      <c r="BM98" s="0" t="n">
        <v>0.01892602</v>
      </c>
      <c r="BN98" s="0" t="n">
        <v>0.00577276</v>
      </c>
      <c r="BO98" s="0" t="n">
        <v>0.0239888</v>
      </c>
      <c r="BP98" s="0" t="n">
        <v>0.02321224</v>
      </c>
      <c r="BQ98" s="0" t="n">
        <v>0.00661863</v>
      </c>
      <c r="BR98" s="0" t="n">
        <v>0.0334121</v>
      </c>
      <c r="BS98" s="0" t="n">
        <v>0.00801328</v>
      </c>
      <c r="BT98" s="0" t="n">
        <v>0.00650542</v>
      </c>
      <c r="BU98" s="0" t="n">
        <v>-0.00746985</v>
      </c>
      <c r="BV98" s="0" t="n">
        <v>0.01579917</v>
      </c>
      <c r="BW98" s="0" t="n">
        <v>0.04522919</v>
      </c>
      <c r="BX98" s="0" t="n">
        <v>0.02255118</v>
      </c>
      <c r="BY98" s="0" t="n">
        <v>0.00991333</v>
      </c>
      <c r="BZ98" s="0" t="n">
        <v>0.01477084</v>
      </c>
      <c r="CA98" s="0" t="n">
        <v>-0.00367017</v>
      </c>
      <c r="CB98" s="0" t="n">
        <v>0.0082004</v>
      </c>
      <c r="CC98" s="0" t="n">
        <v>0.00666092</v>
      </c>
      <c r="CD98" s="0" t="n">
        <v>0.03197529</v>
      </c>
      <c r="CE98" s="0" t="n">
        <v>0.00757112</v>
      </c>
      <c r="CF98" s="0" t="n">
        <v>0.01237276</v>
      </c>
      <c r="CG98" s="0" t="n">
        <v>0.03422741</v>
      </c>
      <c r="CH98" s="0" t="n">
        <v>-0.00160119</v>
      </c>
      <c r="CI98" s="0" t="n">
        <v>0.00376878</v>
      </c>
      <c r="CJ98" s="0" t="n">
        <v>0.02694536</v>
      </c>
      <c r="CK98" s="0" t="n">
        <v>0.02671799</v>
      </c>
      <c r="CL98" s="0" t="n">
        <v>0.00521065</v>
      </c>
      <c r="CM98" s="0" t="n">
        <v>0.01964377</v>
      </c>
      <c r="CN98" s="0" t="n">
        <v>-0.0042544</v>
      </c>
      <c r="CO98" s="0" t="n">
        <v>0.0110971</v>
      </c>
      <c r="CP98" s="0" t="n">
        <v>0.16412872</v>
      </c>
      <c r="CQ98" s="0" t="n">
        <v>0.02595486</v>
      </c>
      <c r="CR98" s="0" t="n">
        <v>0.02733578</v>
      </c>
      <c r="CS98" s="0" t="n">
        <v>0.01328264</v>
      </c>
      <c r="CT98" s="0" t="n">
        <v>0.03439057</v>
      </c>
      <c r="CU98" s="0" t="n">
        <v>0.01369382</v>
      </c>
      <c r="CV98" s="0" t="n">
        <v>0.02860425</v>
      </c>
      <c r="CW98" s="0" t="n">
        <v>0.03983568</v>
      </c>
      <c r="CX98" s="0" t="n">
        <v>0.03506719</v>
      </c>
      <c r="CY98" s="0" t="n">
        <v>0.00592434</v>
      </c>
      <c r="CZ98" s="0" t="n">
        <v>0.03353133</v>
      </c>
      <c r="DA98" s="0" t="n">
        <v>0.03530655</v>
      </c>
      <c r="DB98" s="0" t="n">
        <v>0.03800031</v>
      </c>
      <c r="DC98" s="0" t="n">
        <v>0.0138571</v>
      </c>
      <c r="DD98" s="0" t="n">
        <v>0.04121981</v>
      </c>
      <c r="DE98" s="0" t="n">
        <v>0.01210385</v>
      </c>
      <c r="DF98" s="0" t="n">
        <v>0.03425362</v>
      </c>
      <c r="DG98" s="0" t="n">
        <v>0.0195466</v>
      </c>
      <c r="DH98" s="0" t="n">
        <v>0.03454161</v>
      </c>
      <c r="DI98" s="0" t="n">
        <v>0.02863561</v>
      </c>
      <c r="DJ98" s="0" t="n">
        <v>0.01790246</v>
      </c>
      <c r="DK98" s="0" t="n">
        <v>0.02553915</v>
      </c>
      <c r="DL98" s="0" t="n">
        <v>-0.01478713</v>
      </c>
      <c r="DM98" s="0" t="n">
        <v>0.02419546</v>
      </c>
      <c r="DN98" s="0" t="n">
        <v>0.04088816</v>
      </c>
      <c r="DO98" s="0" t="n">
        <v>0.03103593</v>
      </c>
      <c r="DP98" s="0" t="n">
        <v>0.03491538</v>
      </c>
      <c r="DQ98" s="0" t="n">
        <v>0.0021046</v>
      </c>
      <c r="DR98" s="0" t="n">
        <v>0.02392564</v>
      </c>
      <c r="DS98" s="0" t="n">
        <v>0.03219675</v>
      </c>
      <c r="DT98" s="0" t="n">
        <v>0.0197351</v>
      </c>
      <c r="DU98" s="0" t="n">
        <v>0.03852138</v>
      </c>
      <c r="DV98" s="0" t="n">
        <v>0.04338501</v>
      </c>
      <c r="DW98" s="0" t="n">
        <v>0.04979975</v>
      </c>
      <c r="DX98" s="0" t="n">
        <v>0.01455269</v>
      </c>
      <c r="DY98" s="0" t="n">
        <v>0.04430852</v>
      </c>
      <c r="DZ98" s="0" t="n">
        <v>0.07303183</v>
      </c>
      <c r="EA98" s="0" t="n">
        <v>0.04539087</v>
      </c>
      <c r="EB98" s="0" t="n">
        <v>0.0552393</v>
      </c>
      <c r="EC98" s="0" t="n">
        <v>-0.01121266</v>
      </c>
      <c r="ED98" s="0" t="n">
        <v>0.04777751</v>
      </c>
      <c r="EE98" s="0" t="n">
        <v>0.05902935</v>
      </c>
      <c r="EF98" s="0" t="n">
        <v>0.04660179</v>
      </c>
      <c r="EG98" s="0" t="n">
        <v>0.06610641</v>
      </c>
      <c r="EH98" s="0" t="n">
        <v>0.05237302</v>
      </c>
      <c r="EI98" s="0" t="n">
        <v>0.02413863</v>
      </c>
      <c r="EJ98" s="0" t="n">
        <v>0.02910892</v>
      </c>
      <c r="EK98" s="0" t="n">
        <v>0.05898762</v>
      </c>
      <c r="EL98" s="0" t="n">
        <v>0.04640274</v>
      </c>
      <c r="EM98" s="0" t="n">
        <v>0.0621776</v>
      </c>
      <c r="EN98" s="0" t="n">
        <v>0.07194221</v>
      </c>
      <c r="EO98" s="0" t="n">
        <v>0.06316772</v>
      </c>
      <c r="EP98" s="55" t="n">
        <f aca="false">SUMPRODUCT(B98:EO98,$B$5:$EO$5)</f>
        <v>0.020309632</v>
      </c>
      <c r="EQ98" s="55" t="n">
        <f aca="false">SUMIF('Mi portafolio'!$A$8:$A$19,$A98,'Mi portafolio'!$B$8:$B$19)</f>
        <v>0</v>
      </c>
    </row>
    <row r="99" customFormat="false" ht="15" hidden="false" customHeight="false" outlineLevel="0" collapsed="false">
      <c r="A99" s="54" t="s">
        <v>239</v>
      </c>
      <c r="B99" s="0" t="n">
        <v>0.0179563</v>
      </c>
      <c r="C99" s="0" t="n">
        <v>-0.00179559</v>
      </c>
      <c r="D99" s="0" t="n">
        <v>0.00356368</v>
      </c>
      <c r="E99" s="0" t="n">
        <v>0.01398693</v>
      </c>
      <c r="F99" s="0" t="n">
        <v>0.00842832</v>
      </c>
      <c r="G99" s="0" t="n">
        <v>-0.00419865</v>
      </c>
      <c r="H99" s="0" t="n">
        <v>0.00695298</v>
      </c>
      <c r="I99" s="0" t="n">
        <v>0.01869162</v>
      </c>
      <c r="J99" s="0" t="n">
        <v>0.008111</v>
      </c>
      <c r="K99" s="0" t="n">
        <v>0.01599381</v>
      </c>
      <c r="L99" s="0" t="n">
        <v>0.0107617</v>
      </c>
      <c r="M99" s="0" t="n">
        <v>0.03828738</v>
      </c>
      <c r="N99" s="0" t="n">
        <v>0.0257005</v>
      </c>
      <c r="O99" s="0" t="n">
        <v>0.0093727</v>
      </c>
      <c r="P99" s="0" t="n">
        <v>0.00764646</v>
      </c>
      <c r="Q99" s="0" t="n">
        <v>0.00155254</v>
      </c>
      <c r="R99" s="0" t="n">
        <v>0.01069037</v>
      </c>
      <c r="S99" s="0" t="n">
        <v>0.00683457</v>
      </c>
      <c r="T99" s="0" t="n">
        <v>0.04252923</v>
      </c>
      <c r="U99" s="0" t="n">
        <v>0.01564837</v>
      </c>
      <c r="V99" s="0" t="n">
        <v>0.00811534</v>
      </c>
      <c r="W99" s="0" t="n">
        <v>0.00627713</v>
      </c>
      <c r="X99" s="0" t="n">
        <v>0.04714303</v>
      </c>
      <c r="Y99" s="0" t="n">
        <v>0.02688095</v>
      </c>
      <c r="Z99" s="0" t="n">
        <v>0.01052882</v>
      </c>
      <c r="AA99" s="0" t="n">
        <v>0.01523185</v>
      </c>
      <c r="AB99" s="0" t="n">
        <v>0.02935379</v>
      </c>
      <c r="AC99" s="0" t="n">
        <v>0.00471939</v>
      </c>
      <c r="AD99" s="0" t="n">
        <v>0.00552014</v>
      </c>
      <c r="AE99" s="0" t="n">
        <v>0.02264734</v>
      </c>
      <c r="AF99" s="0" t="n">
        <v>0.01262719</v>
      </c>
      <c r="AG99" s="0" t="n">
        <v>0.00464444</v>
      </c>
      <c r="AH99" s="0" t="n">
        <v>0.00509997</v>
      </c>
      <c r="AI99" s="0" t="n">
        <v>-0.02321022</v>
      </c>
      <c r="AJ99" s="0" t="n">
        <v>0.01145577</v>
      </c>
      <c r="AK99" s="0" t="n">
        <v>0.01931211</v>
      </c>
      <c r="AL99" s="0" t="n">
        <v>0.03369298</v>
      </c>
      <c r="AM99" s="0" t="n">
        <v>0.02034286</v>
      </c>
      <c r="AN99" s="0" t="n">
        <v>0.04678792</v>
      </c>
      <c r="AO99" s="0" t="n">
        <v>0.01314557</v>
      </c>
      <c r="AP99" s="0" t="n">
        <v>0.03649521</v>
      </c>
      <c r="AQ99" s="0" t="n">
        <v>-0.02890272</v>
      </c>
      <c r="AR99" s="0" t="n">
        <v>0.04634581</v>
      </c>
      <c r="AS99" s="0" t="n">
        <v>0.01553961</v>
      </c>
      <c r="AT99" s="0" t="n">
        <v>0.05763523</v>
      </c>
      <c r="AU99" s="0" t="n">
        <v>0.01098458</v>
      </c>
      <c r="AV99" s="0" t="n">
        <v>0.01200891</v>
      </c>
      <c r="AW99" s="0" t="n">
        <v>0.01180543</v>
      </c>
      <c r="AX99" s="0" t="n">
        <v>0.03363169</v>
      </c>
      <c r="AY99" s="0" t="n">
        <v>0.04282697</v>
      </c>
      <c r="AZ99" s="0" t="n">
        <v>0.03584113</v>
      </c>
      <c r="BA99" s="0" t="n">
        <v>0.04873169</v>
      </c>
      <c r="BB99" s="0" t="n">
        <v>0.07428831</v>
      </c>
      <c r="BC99" s="0" t="n">
        <v>0.01755007</v>
      </c>
      <c r="BD99" s="0" t="n">
        <v>0.0168306</v>
      </c>
      <c r="BE99" s="0" t="n">
        <v>0.02696296</v>
      </c>
      <c r="BF99" s="0" t="n">
        <v>0.02366645</v>
      </c>
      <c r="BG99" s="0" t="n">
        <v>0.04157156</v>
      </c>
      <c r="BH99" s="0" t="n">
        <v>0.01755616</v>
      </c>
      <c r="BI99" s="0" t="n">
        <v>0.01704095</v>
      </c>
      <c r="BJ99" s="0" t="n">
        <v>-0.00244234</v>
      </c>
      <c r="BK99" s="0" t="n">
        <v>0.02799976</v>
      </c>
      <c r="BL99" s="0" t="n">
        <v>0.04265232</v>
      </c>
      <c r="BM99" s="0" t="n">
        <v>0.04237804</v>
      </c>
      <c r="BN99" s="0" t="n">
        <v>0.02138413</v>
      </c>
      <c r="BO99" s="0" t="n">
        <v>0.04613931</v>
      </c>
      <c r="BP99" s="0" t="n">
        <v>0.02197685</v>
      </c>
      <c r="BQ99" s="0" t="n">
        <v>0.04158306</v>
      </c>
      <c r="BR99" s="0" t="n">
        <v>0.06886289</v>
      </c>
      <c r="BS99" s="0" t="n">
        <v>-0.02930205</v>
      </c>
      <c r="BT99" s="0" t="n">
        <v>0.07013801</v>
      </c>
      <c r="BU99" s="0" t="n">
        <v>0.02073719</v>
      </c>
      <c r="BV99" s="0" t="n">
        <v>0.043586</v>
      </c>
      <c r="BW99" s="0" t="n">
        <v>0.03842652</v>
      </c>
      <c r="BX99" s="0" t="n">
        <v>0.01962128</v>
      </c>
      <c r="BY99" s="0" t="n">
        <v>0.06916405</v>
      </c>
      <c r="BZ99" s="0" t="n">
        <v>0.06107586</v>
      </c>
      <c r="CA99" s="0" t="n">
        <v>0.00827322</v>
      </c>
      <c r="CB99" s="0" t="n">
        <v>-0.00238992</v>
      </c>
      <c r="CC99" s="0" t="n">
        <v>0.02414629</v>
      </c>
      <c r="CD99" s="0" t="n">
        <v>0.03751476</v>
      </c>
      <c r="CE99" s="0" t="n">
        <v>0.0333794</v>
      </c>
      <c r="CF99" s="0" t="n">
        <v>-0.03644114</v>
      </c>
      <c r="CG99" s="0" t="n">
        <v>0.05707801</v>
      </c>
      <c r="CH99" s="0" t="n">
        <v>0.03929534</v>
      </c>
      <c r="CI99" s="0" t="n">
        <v>-0.04010042</v>
      </c>
      <c r="CJ99" s="0" t="n">
        <v>0.01502236</v>
      </c>
      <c r="CK99" s="0" t="n">
        <v>0.05304612</v>
      </c>
      <c r="CL99" s="0" t="n">
        <v>0.06516381</v>
      </c>
      <c r="CM99" s="0" t="n">
        <v>0.04364512</v>
      </c>
      <c r="CN99" s="0" t="n">
        <v>0.01114311</v>
      </c>
      <c r="CO99" s="0" t="n">
        <v>0.02391314</v>
      </c>
      <c r="CP99" s="0" t="n">
        <v>0.02595486</v>
      </c>
      <c r="CQ99" s="0" t="n">
        <v>0.16276706</v>
      </c>
      <c r="CR99" s="0" t="n">
        <v>0.07021974</v>
      </c>
      <c r="CS99" s="0" t="n">
        <v>0.07736696</v>
      </c>
      <c r="CT99" s="0" t="n">
        <v>0.04602436</v>
      </c>
      <c r="CU99" s="0" t="n">
        <v>0.0279801</v>
      </c>
      <c r="CV99" s="0" t="n">
        <v>0.04460283</v>
      </c>
      <c r="CW99" s="0" t="n">
        <v>0.04444398</v>
      </c>
      <c r="CX99" s="0" t="n">
        <v>0.06500767</v>
      </c>
      <c r="CY99" s="0" t="n">
        <v>0.13787226</v>
      </c>
      <c r="CZ99" s="0" t="n">
        <v>0.03178232</v>
      </c>
      <c r="DA99" s="0" t="n">
        <v>0.03317282</v>
      </c>
      <c r="DB99" s="0" t="n">
        <v>0.06208623</v>
      </c>
      <c r="DC99" s="0" t="n">
        <v>0.08127997</v>
      </c>
      <c r="DD99" s="0" t="n">
        <v>0.06366292</v>
      </c>
      <c r="DE99" s="0" t="n">
        <v>0.06582828</v>
      </c>
      <c r="DF99" s="0" t="n">
        <v>0.0155403</v>
      </c>
      <c r="DG99" s="0" t="n">
        <v>0.05271177</v>
      </c>
      <c r="DH99" s="0" t="n">
        <v>0.05218073</v>
      </c>
      <c r="DI99" s="0" t="n">
        <v>0.16576816</v>
      </c>
      <c r="DJ99" s="0" t="n">
        <v>0.11568168</v>
      </c>
      <c r="DK99" s="0" t="n">
        <v>0.17915785</v>
      </c>
      <c r="DL99" s="0" t="n">
        <v>0.01265813</v>
      </c>
      <c r="DM99" s="0" t="n">
        <v>0.14325504</v>
      </c>
      <c r="DN99" s="0" t="n">
        <v>0.06069413</v>
      </c>
      <c r="DO99" s="0" t="n">
        <v>0.07441326</v>
      </c>
      <c r="DP99" s="0" t="n">
        <v>0.14542273</v>
      </c>
      <c r="DQ99" s="0" t="n">
        <v>0.07633891</v>
      </c>
      <c r="DR99" s="0" t="n">
        <v>0.05483925</v>
      </c>
      <c r="DS99" s="0" t="n">
        <v>0.04082985</v>
      </c>
      <c r="DT99" s="0" t="n">
        <v>0.04297717</v>
      </c>
      <c r="DU99" s="0" t="n">
        <v>0.09818065</v>
      </c>
      <c r="DV99" s="0" t="n">
        <v>0.04705111</v>
      </c>
      <c r="DW99" s="0" t="n">
        <v>0.08282229</v>
      </c>
      <c r="DX99" s="0" t="n">
        <v>0.09359399</v>
      </c>
      <c r="DY99" s="0" t="n">
        <v>0.10991904</v>
      </c>
      <c r="DZ99" s="0" t="n">
        <v>0.03521364</v>
      </c>
      <c r="EA99" s="0" t="n">
        <v>0.06831304</v>
      </c>
      <c r="EB99" s="0" t="n">
        <v>0.13278058</v>
      </c>
      <c r="EC99" s="0" t="n">
        <v>-0.00141903</v>
      </c>
      <c r="ED99" s="0" t="n">
        <v>0.08604755</v>
      </c>
      <c r="EE99" s="0" t="n">
        <v>0.10214255</v>
      </c>
      <c r="EF99" s="0" t="n">
        <v>0.08930178</v>
      </c>
      <c r="EG99" s="0" t="n">
        <v>0.08907377</v>
      </c>
      <c r="EH99" s="0" t="n">
        <v>0.05031343</v>
      </c>
      <c r="EI99" s="0" t="n">
        <v>0.09676409</v>
      </c>
      <c r="EJ99" s="0" t="n">
        <v>0.13123439</v>
      </c>
      <c r="EK99" s="0" t="n">
        <v>0.10856993</v>
      </c>
      <c r="EL99" s="0" t="n">
        <v>0.13079588</v>
      </c>
      <c r="EM99" s="0" t="n">
        <v>0.08620835</v>
      </c>
      <c r="EN99" s="0" t="n">
        <v>0.05241086</v>
      </c>
      <c r="EO99" s="0" t="n">
        <v>0.09346749</v>
      </c>
      <c r="EP99" s="55" t="n">
        <f aca="false">SUMPRODUCT(B99:EO99,$B$5:$EO$5)</f>
        <v>0.048256934</v>
      </c>
      <c r="EQ99" s="55" t="n">
        <f aca="false">SUMIF('Mi portafolio'!$A$8:$A$19,$A99,'Mi portafolio'!$B$8:$B$19)</f>
        <v>0</v>
      </c>
    </row>
    <row r="100" customFormat="false" ht="15" hidden="false" customHeight="false" outlineLevel="0" collapsed="false">
      <c r="A100" s="54" t="s">
        <v>240</v>
      </c>
      <c r="B100" s="0" t="n">
        <v>-0.00372367</v>
      </c>
      <c r="C100" s="0" t="n">
        <v>-0.00416143</v>
      </c>
      <c r="D100" s="0" t="n">
        <v>-0.00038902</v>
      </c>
      <c r="E100" s="0" t="n">
        <v>0.0061675</v>
      </c>
      <c r="F100" s="0" t="n">
        <v>-0.01076343</v>
      </c>
      <c r="G100" s="0" t="n">
        <v>-0.00052388</v>
      </c>
      <c r="H100" s="0" t="n">
        <v>0.00869925</v>
      </c>
      <c r="I100" s="0" t="n">
        <v>-0.0049393</v>
      </c>
      <c r="J100" s="0" t="n">
        <v>-0.00929549</v>
      </c>
      <c r="K100" s="0" t="n">
        <v>-0.00338302</v>
      </c>
      <c r="L100" s="0" t="n">
        <v>0.0105665</v>
      </c>
      <c r="M100" s="0" t="n">
        <v>0.0271101</v>
      </c>
      <c r="N100" s="0" t="n">
        <v>0.00292874</v>
      </c>
      <c r="O100" s="0" t="n">
        <v>0.00465266</v>
      </c>
      <c r="P100" s="0" t="n">
        <v>-0.00482238</v>
      </c>
      <c r="Q100" s="0" t="n">
        <v>0.00780655</v>
      </c>
      <c r="R100" s="0" t="n">
        <v>-0.00979961</v>
      </c>
      <c r="S100" s="0" t="n">
        <v>0.00062219</v>
      </c>
      <c r="T100" s="0" t="n">
        <v>0.0168765</v>
      </c>
      <c r="U100" s="0" t="n">
        <v>0.01598484</v>
      </c>
      <c r="V100" s="0" t="n">
        <v>0.00636115</v>
      </c>
      <c r="W100" s="0" t="n">
        <v>0.00154004</v>
      </c>
      <c r="X100" s="0" t="n">
        <v>0.01955618</v>
      </c>
      <c r="Y100" s="0" t="n">
        <v>0.00016784</v>
      </c>
      <c r="Z100" s="0" t="n">
        <v>0.01003954</v>
      </c>
      <c r="AA100" s="0" t="n">
        <v>0.00968957</v>
      </c>
      <c r="AB100" s="0" t="n">
        <v>-0.00234138</v>
      </c>
      <c r="AC100" s="0" t="n">
        <v>0.0060725</v>
      </c>
      <c r="AD100" s="0" t="n">
        <v>0.01624463</v>
      </c>
      <c r="AE100" s="0" t="n">
        <v>0.02193988</v>
      </c>
      <c r="AF100" s="0" t="n">
        <v>0.01436438</v>
      </c>
      <c r="AG100" s="0" t="n">
        <v>-0.02306807</v>
      </c>
      <c r="AH100" s="0" t="n">
        <v>-0.02538736</v>
      </c>
      <c r="AI100" s="0" t="n">
        <v>-0.02088262</v>
      </c>
      <c r="AJ100" s="0" t="n">
        <v>0.00753195</v>
      </c>
      <c r="AK100" s="0" t="n">
        <v>0.02098004</v>
      </c>
      <c r="AL100" s="0" t="n">
        <v>0.01782012</v>
      </c>
      <c r="AM100" s="0" t="n">
        <v>0.01603188</v>
      </c>
      <c r="AN100" s="0" t="n">
        <v>0.02077786</v>
      </c>
      <c r="AO100" s="0" t="n">
        <v>-0.00769871</v>
      </c>
      <c r="AP100" s="0" t="n">
        <v>0.01088896</v>
      </c>
      <c r="AQ100" s="0" t="n">
        <v>-0.01999897</v>
      </c>
      <c r="AR100" s="0" t="n">
        <v>0.01758857</v>
      </c>
      <c r="AS100" s="0" t="n">
        <v>0.02181277</v>
      </c>
      <c r="AT100" s="0" t="n">
        <v>0.02388212</v>
      </c>
      <c r="AU100" s="0" t="n">
        <v>-0.00354525</v>
      </c>
      <c r="AV100" s="0" t="n">
        <v>0.01498099</v>
      </c>
      <c r="AW100" s="0" t="n">
        <v>0.01704384</v>
      </c>
      <c r="AX100" s="0" t="n">
        <v>0.00153384</v>
      </c>
      <c r="AY100" s="0" t="n">
        <v>0.01754681</v>
      </c>
      <c r="AZ100" s="0" t="n">
        <v>0.03082406</v>
      </c>
      <c r="BA100" s="0" t="n">
        <v>0.02677197</v>
      </c>
      <c r="BB100" s="0" t="n">
        <v>0.04837648</v>
      </c>
      <c r="BC100" s="0" t="n">
        <v>0.01828267</v>
      </c>
      <c r="BD100" s="0" t="n">
        <v>0.01877298</v>
      </c>
      <c r="BE100" s="0" t="n">
        <v>0.00580332</v>
      </c>
      <c r="BF100" s="0" t="n">
        <v>0.0204999</v>
      </c>
      <c r="BG100" s="0" t="n">
        <v>0.01904771</v>
      </c>
      <c r="BH100" s="0" t="n">
        <v>0.01798434</v>
      </c>
      <c r="BI100" s="0" t="n">
        <v>0.00450778</v>
      </c>
      <c r="BJ100" s="0" t="n">
        <v>0.00414271</v>
      </c>
      <c r="BK100" s="0" t="n">
        <v>0.02744146</v>
      </c>
      <c r="BL100" s="0" t="n">
        <v>0.05030877</v>
      </c>
      <c r="BM100" s="0" t="n">
        <v>0.00805764</v>
      </c>
      <c r="BN100" s="0" t="n">
        <v>0.00334702</v>
      </c>
      <c r="BO100" s="0" t="n">
        <v>0.04392871</v>
      </c>
      <c r="BP100" s="0" t="n">
        <v>0.02447333</v>
      </c>
      <c r="BQ100" s="0" t="n">
        <v>0.04094331</v>
      </c>
      <c r="BR100" s="0" t="n">
        <v>0.03779975</v>
      </c>
      <c r="BS100" s="0" t="n">
        <v>-0.01010774</v>
      </c>
      <c r="BT100" s="0" t="n">
        <v>0.05305129</v>
      </c>
      <c r="BU100" s="0" t="n">
        <v>0.01285041</v>
      </c>
      <c r="BV100" s="0" t="n">
        <v>0.04337737</v>
      </c>
      <c r="BW100" s="0" t="n">
        <v>0.03048671</v>
      </c>
      <c r="BX100" s="0" t="n">
        <v>-0.00292814</v>
      </c>
      <c r="BY100" s="0" t="n">
        <v>0.03983886</v>
      </c>
      <c r="BZ100" s="0" t="n">
        <v>0.04286795</v>
      </c>
      <c r="CA100" s="0" t="n">
        <v>0.01872013</v>
      </c>
      <c r="CB100" s="0" t="n">
        <v>-0.01123293</v>
      </c>
      <c r="CC100" s="0" t="n">
        <v>0.00921718</v>
      </c>
      <c r="CD100" s="0" t="n">
        <v>0.03208967</v>
      </c>
      <c r="CE100" s="0" t="n">
        <v>0.05269808</v>
      </c>
      <c r="CF100" s="0" t="n">
        <v>-0.0177636</v>
      </c>
      <c r="CG100" s="0" t="n">
        <v>0.02189988</v>
      </c>
      <c r="CH100" s="0" t="n">
        <v>0.06156375</v>
      </c>
      <c r="CI100" s="0" t="n">
        <v>-0.02385994</v>
      </c>
      <c r="CJ100" s="0" t="n">
        <v>-0.00495705</v>
      </c>
      <c r="CK100" s="0" t="n">
        <v>0.00876649</v>
      </c>
      <c r="CL100" s="0" t="n">
        <v>0.0398499</v>
      </c>
      <c r="CM100" s="0" t="n">
        <v>0.09962352</v>
      </c>
      <c r="CN100" s="0" t="n">
        <v>0.01114576</v>
      </c>
      <c r="CO100" s="0" t="n">
        <v>0.02373742</v>
      </c>
      <c r="CP100" s="0" t="n">
        <v>0.02733578</v>
      </c>
      <c r="CQ100" s="0" t="n">
        <v>0.07021974</v>
      </c>
      <c r="CR100" s="0" t="n">
        <v>0.15823203</v>
      </c>
      <c r="CS100" s="0" t="n">
        <v>0.10670483</v>
      </c>
      <c r="CT100" s="0" t="n">
        <v>0.04522687</v>
      </c>
      <c r="CU100" s="0" t="n">
        <v>0.05363563</v>
      </c>
      <c r="CV100" s="0" t="n">
        <v>0.0363583</v>
      </c>
      <c r="CW100" s="0" t="n">
        <v>0.04267893</v>
      </c>
      <c r="CX100" s="0" t="n">
        <v>0.05836223</v>
      </c>
      <c r="CY100" s="0" t="n">
        <v>0.05895579</v>
      </c>
      <c r="CZ100" s="0" t="n">
        <v>0.01573104</v>
      </c>
      <c r="DA100" s="0" t="n">
        <v>0.02573179</v>
      </c>
      <c r="DB100" s="0" t="n">
        <v>0.08728223</v>
      </c>
      <c r="DC100" s="0" t="n">
        <v>0.05250426</v>
      </c>
      <c r="DD100" s="0" t="n">
        <v>0.05300383</v>
      </c>
      <c r="DE100" s="0" t="n">
        <v>0.10253214</v>
      </c>
      <c r="DF100" s="0" t="n">
        <v>-0.01594054</v>
      </c>
      <c r="DG100" s="0" t="n">
        <v>0.07133897</v>
      </c>
      <c r="DH100" s="0" t="n">
        <v>0.11551366</v>
      </c>
      <c r="DI100" s="0" t="n">
        <v>0.06788216</v>
      </c>
      <c r="DJ100" s="0" t="n">
        <v>0.06709418</v>
      </c>
      <c r="DK100" s="0" t="n">
        <v>0.08696632</v>
      </c>
      <c r="DL100" s="0" t="n">
        <v>0.03922034</v>
      </c>
      <c r="DM100" s="0" t="n">
        <v>0.08222313</v>
      </c>
      <c r="DN100" s="0" t="n">
        <v>0.02627376</v>
      </c>
      <c r="DO100" s="0" t="n">
        <v>0.07005969</v>
      </c>
      <c r="DP100" s="0" t="n">
        <v>0.07114133</v>
      </c>
      <c r="DQ100" s="0" t="n">
        <v>0.07864952</v>
      </c>
      <c r="DR100" s="0" t="n">
        <v>0.0809249</v>
      </c>
      <c r="DS100" s="0" t="n">
        <v>0.01863654</v>
      </c>
      <c r="DT100" s="0" t="n">
        <v>0.09750029</v>
      </c>
      <c r="DU100" s="0" t="n">
        <v>0.09027287</v>
      </c>
      <c r="DV100" s="0" t="n">
        <v>0.05440514</v>
      </c>
      <c r="DW100" s="0" t="n">
        <v>0.05959717</v>
      </c>
      <c r="DX100" s="0" t="n">
        <v>0.17471706</v>
      </c>
      <c r="DY100" s="0" t="n">
        <v>0.07692274</v>
      </c>
      <c r="DZ100" s="0" t="n">
        <v>0.03415528</v>
      </c>
      <c r="EA100" s="0" t="n">
        <v>0.06423922</v>
      </c>
      <c r="EB100" s="0" t="n">
        <v>0.09052941</v>
      </c>
      <c r="EC100" s="0" t="n">
        <v>0.03935359</v>
      </c>
      <c r="ED100" s="0" t="n">
        <v>0.0834322</v>
      </c>
      <c r="EE100" s="0" t="n">
        <v>0.1828732</v>
      </c>
      <c r="EF100" s="0" t="n">
        <v>0.08092101</v>
      </c>
      <c r="EG100" s="0" t="n">
        <v>0.16588439</v>
      </c>
      <c r="EH100" s="0" t="n">
        <v>0.03082722</v>
      </c>
      <c r="EI100" s="0" t="n">
        <v>0.20297083</v>
      </c>
      <c r="EJ100" s="0" t="n">
        <v>0.10150987</v>
      </c>
      <c r="EK100" s="0" t="n">
        <v>0.16262453</v>
      </c>
      <c r="EL100" s="0" t="n">
        <v>0.20044725</v>
      </c>
      <c r="EM100" s="0" t="n">
        <v>0.08906561</v>
      </c>
      <c r="EN100" s="0" t="n">
        <v>0.06038847</v>
      </c>
      <c r="EO100" s="0" t="n">
        <v>0.09055776</v>
      </c>
      <c r="EP100" s="55" t="n">
        <f aca="false">SUMPRODUCT(B100:EO100,$B$5:$EO$5)</f>
        <v>0.069846332</v>
      </c>
      <c r="EQ100" s="55" t="n">
        <f aca="false">SUMIF('Mi portafolio'!$A$8:$A$19,$A100,'Mi portafolio'!$B$8:$B$19)</f>
        <v>0</v>
      </c>
    </row>
    <row r="101" customFormat="false" ht="15" hidden="false" customHeight="false" outlineLevel="0" collapsed="false">
      <c r="A101" s="54" t="s">
        <v>241</v>
      </c>
      <c r="B101" s="0" t="n">
        <v>0.00020566</v>
      </c>
      <c r="C101" s="0" t="n">
        <v>0.00344661</v>
      </c>
      <c r="D101" s="0" t="n">
        <v>0.00223139</v>
      </c>
      <c r="E101" s="0" t="n">
        <v>0.00605735</v>
      </c>
      <c r="F101" s="0" t="n">
        <v>-0.01162654</v>
      </c>
      <c r="G101" s="0" t="n">
        <v>0.00037315</v>
      </c>
      <c r="H101" s="0" t="n">
        <v>0.00929731</v>
      </c>
      <c r="I101" s="0" t="n">
        <v>-0.00293093</v>
      </c>
      <c r="J101" s="0" t="n">
        <v>0.00345334</v>
      </c>
      <c r="K101" s="0" t="n">
        <v>0.00468282</v>
      </c>
      <c r="L101" s="0" t="n">
        <v>0.00684604</v>
      </c>
      <c r="M101" s="0" t="n">
        <v>0.02522405</v>
      </c>
      <c r="N101" s="0" t="n">
        <v>0.0087289</v>
      </c>
      <c r="O101" s="0" t="n">
        <v>0.01056053</v>
      </c>
      <c r="P101" s="0" t="n">
        <v>0.00322485</v>
      </c>
      <c r="Q101" s="0" t="n">
        <v>0.00868052</v>
      </c>
      <c r="R101" s="0" t="n">
        <v>-0.00341111</v>
      </c>
      <c r="S101" s="0" t="n">
        <v>0.00300928</v>
      </c>
      <c r="T101" s="0" t="n">
        <v>0.03063581</v>
      </c>
      <c r="U101" s="0" t="n">
        <v>0.01775222</v>
      </c>
      <c r="V101" s="0" t="n">
        <v>0.00229906</v>
      </c>
      <c r="W101" s="0" t="n">
        <v>0.01544964</v>
      </c>
      <c r="X101" s="0" t="n">
        <v>0.04225105</v>
      </c>
      <c r="Y101" s="0" t="n">
        <v>0.00041574</v>
      </c>
      <c r="Z101" s="0" t="n">
        <v>0.01323673</v>
      </c>
      <c r="AA101" s="0" t="n">
        <v>0.00999212</v>
      </c>
      <c r="AB101" s="0" t="n">
        <v>-0.00739416</v>
      </c>
      <c r="AC101" s="0" t="n">
        <v>0.01051678</v>
      </c>
      <c r="AD101" s="0" t="n">
        <v>0.02041552</v>
      </c>
      <c r="AE101" s="0" t="n">
        <v>0.02570329</v>
      </c>
      <c r="AF101" s="0" t="n">
        <v>0.0260704</v>
      </c>
      <c r="AG101" s="0" t="n">
        <v>-0.00768528</v>
      </c>
      <c r="AH101" s="0" t="n">
        <v>-0.00115943</v>
      </c>
      <c r="AI101" s="0" t="n">
        <v>-0.00402274</v>
      </c>
      <c r="AJ101" s="0" t="n">
        <v>0.00866402</v>
      </c>
      <c r="AK101" s="0" t="n">
        <v>0.02679318</v>
      </c>
      <c r="AL101" s="0" t="n">
        <v>0.01334381</v>
      </c>
      <c r="AM101" s="0" t="n">
        <v>0.01782548</v>
      </c>
      <c r="AN101" s="0" t="n">
        <v>0.02702212</v>
      </c>
      <c r="AO101" s="0" t="n">
        <v>0.00456881</v>
      </c>
      <c r="AP101" s="0" t="n">
        <v>0.00670228</v>
      </c>
      <c r="AQ101" s="0" t="n">
        <v>-0.0037318</v>
      </c>
      <c r="AR101" s="0" t="n">
        <v>0.03649631</v>
      </c>
      <c r="AS101" s="0" t="n">
        <v>0.01689541</v>
      </c>
      <c r="AT101" s="0" t="n">
        <v>0.02690841</v>
      </c>
      <c r="AU101" s="0" t="n">
        <v>0.0161609</v>
      </c>
      <c r="AV101" s="0" t="n">
        <v>0.01857496</v>
      </c>
      <c r="AW101" s="0" t="n">
        <v>0.02859267</v>
      </c>
      <c r="AX101" s="0" t="n">
        <v>0.01732817</v>
      </c>
      <c r="AY101" s="0" t="n">
        <v>0.02310987</v>
      </c>
      <c r="AZ101" s="0" t="n">
        <v>0.03402604</v>
      </c>
      <c r="BA101" s="0" t="n">
        <v>0.04992454</v>
      </c>
      <c r="BB101" s="0" t="n">
        <v>0.05451736</v>
      </c>
      <c r="BC101" s="0" t="n">
        <v>0.02003609</v>
      </c>
      <c r="BD101" s="0" t="n">
        <v>0.02609338</v>
      </c>
      <c r="BE101" s="0" t="n">
        <v>0.01881074</v>
      </c>
      <c r="BF101" s="0" t="n">
        <v>0.02458273</v>
      </c>
      <c r="BG101" s="0" t="n">
        <v>0.01328053</v>
      </c>
      <c r="BH101" s="0" t="n">
        <v>0.01576772</v>
      </c>
      <c r="BI101" s="0" t="n">
        <v>-0.00119232</v>
      </c>
      <c r="BJ101" s="0" t="n">
        <v>0.00825832</v>
      </c>
      <c r="BK101" s="0" t="n">
        <v>0.03522006</v>
      </c>
      <c r="BL101" s="0" t="n">
        <v>0.05018297</v>
      </c>
      <c r="BM101" s="0" t="n">
        <v>0.0119177</v>
      </c>
      <c r="BN101" s="0" t="n">
        <v>0.01855694</v>
      </c>
      <c r="BO101" s="0" t="n">
        <v>0.0433322</v>
      </c>
      <c r="BP101" s="0" t="n">
        <v>-0.0143747</v>
      </c>
      <c r="BQ101" s="0" t="n">
        <v>0.05686071</v>
      </c>
      <c r="BR101" s="0" t="n">
        <v>0.03329278</v>
      </c>
      <c r="BS101" s="0" t="n">
        <v>0.00294268</v>
      </c>
      <c r="BT101" s="0" t="n">
        <v>0.06952745</v>
      </c>
      <c r="BU101" s="0" t="n">
        <v>0.02148451</v>
      </c>
      <c r="BV101" s="0" t="n">
        <v>0.02362358</v>
      </c>
      <c r="BW101" s="0" t="n">
        <v>0.01448347</v>
      </c>
      <c r="BX101" s="0" t="n">
        <v>0.01465073</v>
      </c>
      <c r="BY101" s="0" t="n">
        <v>0.04294932</v>
      </c>
      <c r="BZ101" s="0" t="n">
        <v>0.04065137</v>
      </c>
      <c r="CA101" s="0" t="n">
        <v>0.02143335</v>
      </c>
      <c r="CB101" s="0" t="n">
        <v>-0.00845981</v>
      </c>
      <c r="CC101" s="0" t="n">
        <v>0.01291348</v>
      </c>
      <c r="CD101" s="0" t="n">
        <v>0.00606182</v>
      </c>
      <c r="CE101" s="0" t="n">
        <v>0.05897973</v>
      </c>
      <c r="CF101" s="0" t="n">
        <v>-0.00305899</v>
      </c>
      <c r="CG101" s="0" t="n">
        <v>0.00748077</v>
      </c>
      <c r="CH101" s="0" t="n">
        <v>0.06982686</v>
      </c>
      <c r="CI101" s="0" t="n">
        <v>-0.00596104</v>
      </c>
      <c r="CJ101" s="0" t="n">
        <v>-0.02395206</v>
      </c>
      <c r="CK101" s="0" t="n">
        <v>0.00232234</v>
      </c>
      <c r="CL101" s="0" t="n">
        <v>0.04250224</v>
      </c>
      <c r="CM101" s="0" t="n">
        <v>0.06530062</v>
      </c>
      <c r="CN101" s="0" t="n">
        <v>0.02742644</v>
      </c>
      <c r="CO101" s="0" t="n">
        <v>0.02253891</v>
      </c>
      <c r="CP101" s="0" t="n">
        <v>0.01328264</v>
      </c>
      <c r="CQ101" s="0" t="n">
        <v>0.07736696</v>
      </c>
      <c r="CR101" s="0" t="n">
        <v>0.10670483</v>
      </c>
      <c r="CS101" s="0" t="n">
        <v>0.1730621</v>
      </c>
      <c r="CT101" s="0" t="n">
        <v>0.03696295</v>
      </c>
      <c r="CU101" s="0" t="n">
        <v>0.03933256</v>
      </c>
      <c r="CV101" s="0" t="n">
        <v>0.02032519</v>
      </c>
      <c r="CW101" s="0" t="n">
        <v>0.01792762</v>
      </c>
      <c r="CX101" s="0" t="n">
        <v>0.05487722</v>
      </c>
      <c r="CY101" s="0" t="n">
        <v>0.07257098</v>
      </c>
      <c r="CZ101" s="0" t="n">
        <v>0.00178463</v>
      </c>
      <c r="DA101" s="0" t="n">
        <v>-0.00028584</v>
      </c>
      <c r="DB101" s="0" t="n">
        <v>0.07132412</v>
      </c>
      <c r="DC101" s="0" t="n">
        <v>0.05542148</v>
      </c>
      <c r="DD101" s="0" t="n">
        <v>0.0269394</v>
      </c>
      <c r="DE101" s="0" t="n">
        <v>0.10284702</v>
      </c>
      <c r="DF101" s="0" t="n">
        <v>-0.04330379</v>
      </c>
      <c r="DG101" s="0" t="n">
        <v>0.07748191</v>
      </c>
      <c r="DH101" s="0" t="n">
        <v>0.09910543</v>
      </c>
      <c r="DI101" s="0" t="n">
        <v>0.07781432</v>
      </c>
      <c r="DJ101" s="0" t="n">
        <v>0.06742262</v>
      </c>
      <c r="DK101" s="0" t="n">
        <v>0.09699674</v>
      </c>
      <c r="DL101" s="0" t="n">
        <v>0.0482954</v>
      </c>
      <c r="DM101" s="0" t="n">
        <v>0.08814915</v>
      </c>
      <c r="DN101" s="0" t="n">
        <v>-0.00486382</v>
      </c>
      <c r="DO101" s="0" t="n">
        <v>0.10155285</v>
      </c>
      <c r="DP101" s="0" t="n">
        <v>0.07656547</v>
      </c>
      <c r="DQ101" s="0" t="n">
        <v>0.08955667</v>
      </c>
      <c r="DR101" s="0" t="n">
        <v>0.08310323</v>
      </c>
      <c r="DS101" s="0" t="n">
        <v>-0.02286977</v>
      </c>
      <c r="DT101" s="0" t="n">
        <v>0.05288476</v>
      </c>
      <c r="DU101" s="0" t="n">
        <v>0.07575002</v>
      </c>
      <c r="DV101" s="0" t="n">
        <v>0.02967539</v>
      </c>
      <c r="DW101" s="0" t="n">
        <v>0.00867158</v>
      </c>
      <c r="DX101" s="0" t="n">
        <v>0.17919638</v>
      </c>
      <c r="DY101" s="0" t="n">
        <v>0.045909</v>
      </c>
      <c r="DZ101" s="0" t="n">
        <v>0.00309696</v>
      </c>
      <c r="EA101" s="0" t="n">
        <v>0.05630705</v>
      </c>
      <c r="EB101" s="0" t="n">
        <v>0.06392392</v>
      </c>
      <c r="EC101" s="0" t="n">
        <v>0.04028788</v>
      </c>
      <c r="ED101" s="0" t="n">
        <v>0.07336021</v>
      </c>
      <c r="EE101" s="0" t="n">
        <v>0.1598721</v>
      </c>
      <c r="EF101" s="0" t="n">
        <v>0.0953959</v>
      </c>
      <c r="EG101" s="0" t="n">
        <v>0.1561087</v>
      </c>
      <c r="EH101" s="0" t="n">
        <v>-0.02030805</v>
      </c>
      <c r="EI101" s="0" t="n">
        <v>0.18423623</v>
      </c>
      <c r="EJ101" s="0" t="n">
        <v>0.08050958</v>
      </c>
      <c r="EK101" s="0" t="n">
        <v>0.16913479</v>
      </c>
      <c r="EL101" s="0" t="n">
        <v>0.18591461</v>
      </c>
      <c r="EM101" s="0" t="n">
        <v>0.03247181</v>
      </c>
      <c r="EN101" s="0" t="n">
        <v>0.02631801</v>
      </c>
      <c r="EO101" s="0" t="n">
        <v>0.06520255</v>
      </c>
      <c r="EP101" s="55" t="n">
        <f aca="false">SUMPRODUCT(B101:EO101,$B$5:$EO$5)</f>
        <v>0.068089864</v>
      </c>
      <c r="EQ101" s="55" t="n">
        <f aca="false">SUMIF('Mi portafolio'!$A$8:$A$19,$A101,'Mi portafolio'!$B$8:$B$19)</f>
        <v>0</v>
      </c>
    </row>
    <row r="102" customFormat="false" ht="15" hidden="false" customHeight="false" outlineLevel="0" collapsed="false">
      <c r="A102" s="54" t="s">
        <v>242</v>
      </c>
      <c r="B102" s="0" t="n">
        <v>0.00669597</v>
      </c>
      <c r="C102" s="0" t="n">
        <v>0.00209848</v>
      </c>
      <c r="D102" s="0" t="n">
        <v>0.00597897</v>
      </c>
      <c r="E102" s="0" t="n">
        <v>0.01240931</v>
      </c>
      <c r="F102" s="0" t="n">
        <v>-0.00150391</v>
      </c>
      <c r="G102" s="0" t="n">
        <v>0.01286769</v>
      </c>
      <c r="H102" s="0" t="n">
        <v>0.01253143</v>
      </c>
      <c r="I102" s="0" t="n">
        <v>0.00503134</v>
      </c>
      <c r="J102" s="0" t="n">
        <v>0.00013404</v>
      </c>
      <c r="K102" s="0" t="n">
        <v>0.00727064</v>
      </c>
      <c r="L102" s="0" t="n">
        <v>0.00820153</v>
      </c>
      <c r="M102" s="0" t="n">
        <v>0.02385789</v>
      </c>
      <c r="N102" s="0" t="n">
        <v>0.01812075</v>
      </c>
      <c r="O102" s="0" t="n">
        <v>0.01324409</v>
      </c>
      <c r="P102" s="0" t="n">
        <v>0.00723391</v>
      </c>
      <c r="Q102" s="0" t="n">
        <v>0.0090405</v>
      </c>
      <c r="R102" s="0" t="n">
        <v>0.00118875</v>
      </c>
      <c r="S102" s="0" t="n">
        <v>0.00477895</v>
      </c>
      <c r="T102" s="0" t="n">
        <v>0.02341597</v>
      </c>
      <c r="U102" s="0" t="n">
        <v>0.0255029</v>
      </c>
      <c r="V102" s="0" t="n">
        <v>0.01757306</v>
      </c>
      <c r="W102" s="0" t="n">
        <v>0.01326311</v>
      </c>
      <c r="X102" s="0" t="n">
        <v>0.02638269</v>
      </c>
      <c r="Y102" s="0" t="n">
        <v>0.02449453</v>
      </c>
      <c r="Z102" s="0" t="n">
        <v>0.01458111</v>
      </c>
      <c r="AA102" s="0" t="n">
        <v>0.01252252</v>
      </c>
      <c r="AB102" s="0" t="n">
        <v>0.0239392</v>
      </c>
      <c r="AC102" s="0" t="n">
        <v>0.01352356</v>
      </c>
      <c r="AD102" s="0" t="n">
        <v>0.01013178</v>
      </c>
      <c r="AE102" s="0" t="n">
        <v>0.01104258</v>
      </c>
      <c r="AF102" s="0" t="n">
        <v>0.01620315</v>
      </c>
      <c r="AG102" s="0" t="n">
        <v>-0.00054055</v>
      </c>
      <c r="AH102" s="0" t="n">
        <v>-0.00099236</v>
      </c>
      <c r="AI102" s="0" t="n">
        <v>-0.00504021</v>
      </c>
      <c r="AJ102" s="0" t="n">
        <v>0.01307312</v>
      </c>
      <c r="AK102" s="0" t="n">
        <v>0.02217065</v>
      </c>
      <c r="AL102" s="0" t="n">
        <v>0.02310157</v>
      </c>
      <c r="AM102" s="0" t="n">
        <v>0.02313641</v>
      </c>
      <c r="AN102" s="0" t="n">
        <v>0.02675833</v>
      </c>
      <c r="AO102" s="0" t="n">
        <v>0.00097453</v>
      </c>
      <c r="AP102" s="0" t="n">
        <v>0.0420233</v>
      </c>
      <c r="AQ102" s="0" t="n">
        <v>-0.00979631</v>
      </c>
      <c r="AR102" s="0" t="n">
        <v>0.0231137</v>
      </c>
      <c r="AS102" s="0" t="n">
        <v>0.03022994</v>
      </c>
      <c r="AT102" s="0" t="n">
        <v>0.03450215</v>
      </c>
      <c r="AU102" s="0" t="n">
        <v>0.00124563</v>
      </c>
      <c r="AV102" s="0" t="n">
        <v>0.01420258</v>
      </c>
      <c r="AW102" s="0" t="n">
        <v>0.01791001</v>
      </c>
      <c r="AX102" s="0" t="n">
        <v>0.01033514</v>
      </c>
      <c r="AY102" s="0" t="n">
        <v>0.02258175</v>
      </c>
      <c r="AZ102" s="0" t="n">
        <v>0.01221469</v>
      </c>
      <c r="BA102" s="0" t="n">
        <v>0.02076675</v>
      </c>
      <c r="BB102" s="0" t="n">
        <v>0.03772079</v>
      </c>
      <c r="BC102" s="0" t="n">
        <v>0.01972933</v>
      </c>
      <c r="BD102" s="0" t="n">
        <v>0.02094565</v>
      </c>
      <c r="BE102" s="0" t="n">
        <v>0.00626863</v>
      </c>
      <c r="BF102" s="0" t="n">
        <v>0.031016</v>
      </c>
      <c r="BG102" s="0" t="n">
        <v>0.02993235</v>
      </c>
      <c r="BH102" s="0" t="n">
        <v>0.02293025</v>
      </c>
      <c r="BI102" s="0" t="n">
        <v>0.01530046</v>
      </c>
      <c r="BJ102" s="0" t="n">
        <v>-0.00343897</v>
      </c>
      <c r="BK102" s="0" t="n">
        <v>0.01542527</v>
      </c>
      <c r="BL102" s="0" t="n">
        <v>0.03094343</v>
      </c>
      <c r="BM102" s="0" t="n">
        <v>0.02299064</v>
      </c>
      <c r="BN102" s="0" t="n">
        <v>0.0184202</v>
      </c>
      <c r="BO102" s="0" t="n">
        <v>0.04406579</v>
      </c>
      <c r="BP102" s="0" t="n">
        <v>0.03643821</v>
      </c>
      <c r="BQ102" s="0" t="n">
        <v>0.03604968</v>
      </c>
      <c r="BR102" s="0" t="n">
        <v>0.04080654</v>
      </c>
      <c r="BS102" s="0" t="n">
        <v>-0.0099113</v>
      </c>
      <c r="BT102" s="0" t="n">
        <v>0.03479072</v>
      </c>
      <c r="BU102" s="0" t="n">
        <v>0.00878608</v>
      </c>
      <c r="BV102" s="0" t="n">
        <v>0.05178451</v>
      </c>
      <c r="BW102" s="0" t="n">
        <v>0.0380873</v>
      </c>
      <c r="BX102" s="0" t="n">
        <v>0.01781551</v>
      </c>
      <c r="BY102" s="0" t="n">
        <v>0.03606119</v>
      </c>
      <c r="BZ102" s="0" t="n">
        <v>0.04118174</v>
      </c>
      <c r="CA102" s="0" t="n">
        <v>0.016724</v>
      </c>
      <c r="CB102" s="0" t="n">
        <v>-0.01227807</v>
      </c>
      <c r="CC102" s="0" t="n">
        <v>0.02481441</v>
      </c>
      <c r="CD102" s="0" t="n">
        <v>0.03764006</v>
      </c>
      <c r="CE102" s="0" t="n">
        <v>0.02748847</v>
      </c>
      <c r="CF102" s="0" t="n">
        <v>-0.00776372</v>
      </c>
      <c r="CG102" s="0" t="n">
        <v>0.06305903</v>
      </c>
      <c r="CH102" s="0" t="n">
        <v>0.04317539</v>
      </c>
      <c r="CI102" s="0" t="n">
        <v>-0.01094291</v>
      </c>
      <c r="CJ102" s="0" t="n">
        <v>0.04060415</v>
      </c>
      <c r="CK102" s="0" t="n">
        <v>0.032904</v>
      </c>
      <c r="CL102" s="0" t="n">
        <v>0.02636158</v>
      </c>
      <c r="CM102" s="0" t="n">
        <v>0.03175641</v>
      </c>
      <c r="CN102" s="0" t="n">
        <v>0.01056653</v>
      </c>
      <c r="CO102" s="0" t="n">
        <v>0.02803881</v>
      </c>
      <c r="CP102" s="0" t="n">
        <v>0.03439057</v>
      </c>
      <c r="CQ102" s="0" t="n">
        <v>0.04602436</v>
      </c>
      <c r="CR102" s="0" t="n">
        <v>0.04522687</v>
      </c>
      <c r="CS102" s="0" t="n">
        <v>0.03696295</v>
      </c>
      <c r="CT102" s="0" t="n">
        <v>0.16959501</v>
      </c>
      <c r="CU102" s="0" t="n">
        <v>0.02923349</v>
      </c>
      <c r="CV102" s="0" t="n">
        <v>0.0398667</v>
      </c>
      <c r="CW102" s="0" t="n">
        <v>0.05001053</v>
      </c>
      <c r="CX102" s="0" t="n">
        <v>0.05687024</v>
      </c>
      <c r="CY102" s="0" t="n">
        <v>0.0504434</v>
      </c>
      <c r="CZ102" s="0" t="n">
        <v>0.04738414</v>
      </c>
      <c r="DA102" s="0" t="n">
        <v>0.05953768</v>
      </c>
      <c r="DB102" s="0" t="n">
        <v>0.06836451</v>
      </c>
      <c r="DC102" s="0" t="n">
        <v>0.03760274</v>
      </c>
      <c r="DD102" s="0" t="n">
        <v>0.09346237</v>
      </c>
      <c r="DE102" s="0" t="n">
        <v>0.05603059</v>
      </c>
      <c r="DF102" s="0" t="n">
        <v>0.04751049</v>
      </c>
      <c r="DG102" s="0" t="n">
        <v>0.06956038</v>
      </c>
      <c r="DH102" s="0" t="n">
        <v>0.0373746</v>
      </c>
      <c r="DI102" s="0" t="n">
        <v>0.05905094</v>
      </c>
      <c r="DJ102" s="0" t="n">
        <v>0.05208706</v>
      </c>
      <c r="DK102" s="0" t="n">
        <v>0.06200391</v>
      </c>
      <c r="DL102" s="0" t="n">
        <v>0.03478226</v>
      </c>
      <c r="DM102" s="0" t="n">
        <v>0.0732463</v>
      </c>
      <c r="DN102" s="0" t="n">
        <v>0.05741452</v>
      </c>
      <c r="DO102" s="0" t="n">
        <v>0.06187363</v>
      </c>
      <c r="DP102" s="0" t="n">
        <v>0.06153378</v>
      </c>
      <c r="DQ102" s="0" t="n">
        <v>0.04319345</v>
      </c>
      <c r="DR102" s="0" t="n">
        <v>0.04169917</v>
      </c>
      <c r="DS102" s="0" t="n">
        <v>0.03310932</v>
      </c>
      <c r="DT102" s="0" t="n">
        <v>0.0665818</v>
      </c>
      <c r="DU102" s="0" t="n">
        <v>0.08665004</v>
      </c>
      <c r="DV102" s="0" t="n">
        <v>0.0840015</v>
      </c>
      <c r="DW102" s="0" t="n">
        <v>0.09235425</v>
      </c>
      <c r="DX102" s="0" t="n">
        <v>0.05363588</v>
      </c>
      <c r="DY102" s="0" t="n">
        <v>0.10112177</v>
      </c>
      <c r="DZ102" s="0" t="n">
        <v>0.08154424</v>
      </c>
      <c r="EA102" s="0" t="n">
        <v>0.06174866</v>
      </c>
      <c r="EB102" s="0" t="n">
        <v>0.10210902</v>
      </c>
      <c r="EC102" s="0" t="n">
        <v>0.03738431</v>
      </c>
      <c r="ED102" s="0" t="n">
        <v>0.10840815</v>
      </c>
      <c r="EE102" s="0" t="n">
        <v>0.08231077</v>
      </c>
      <c r="EF102" s="0" t="n">
        <v>0.04163301</v>
      </c>
      <c r="EG102" s="0" t="n">
        <v>0.06595805</v>
      </c>
      <c r="EH102" s="0" t="n">
        <v>0.06677391</v>
      </c>
      <c r="EI102" s="0" t="n">
        <v>0.04517415</v>
      </c>
      <c r="EJ102" s="0" t="n">
        <v>0.08800687</v>
      </c>
      <c r="EK102" s="0" t="n">
        <v>0.09865229</v>
      </c>
      <c r="EL102" s="0" t="n">
        <v>0.09094992</v>
      </c>
      <c r="EM102" s="0" t="n">
        <v>0.00738454</v>
      </c>
      <c r="EN102" s="0" t="n">
        <v>0.07764819</v>
      </c>
      <c r="EO102" s="0" t="n">
        <v>0.13035943</v>
      </c>
      <c r="EP102" s="55" t="n">
        <f aca="false">SUMPRODUCT(B102:EO102,$B$5:$EO$5)</f>
        <v>0.045805994</v>
      </c>
      <c r="EQ102" s="55" t="n">
        <f aca="false">SUMIF('Mi portafolio'!$A$8:$A$19,$A102,'Mi portafolio'!$B$8:$B$19)</f>
        <v>0</v>
      </c>
    </row>
    <row r="103" customFormat="false" ht="15" hidden="false" customHeight="false" outlineLevel="0" collapsed="false">
      <c r="A103" s="54" t="s">
        <v>244</v>
      </c>
      <c r="B103" s="0" t="n">
        <v>-0.00021047</v>
      </c>
      <c r="C103" s="0" t="n">
        <v>0.00021929</v>
      </c>
      <c r="D103" s="0" t="n">
        <v>0.00629838</v>
      </c>
      <c r="E103" s="0" t="n">
        <v>0.00063741</v>
      </c>
      <c r="F103" s="0" t="n">
        <v>-0.00012399</v>
      </c>
      <c r="G103" s="0" t="n">
        <v>-0.00257065</v>
      </c>
      <c r="H103" s="0" t="n">
        <v>0.00345227</v>
      </c>
      <c r="I103" s="0" t="n">
        <v>0.00627539</v>
      </c>
      <c r="J103" s="0" t="n">
        <v>0.00110497</v>
      </c>
      <c r="K103" s="0" t="n">
        <v>0.00426388</v>
      </c>
      <c r="L103" s="0" t="n">
        <v>0.00961282</v>
      </c>
      <c r="M103" s="0" t="n">
        <v>0.01342694</v>
      </c>
      <c r="N103" s="0" t="n">
        <v>0.01129662</v>
      </c>
      <c r="O103" s="0" t="n">
        <v>0.00075307</v>
      </c>
      <c r="P103" s="0" t="n">
        <v>0.00417555</v>
      </c>
      <c r="Q103" s="0" t="n">
        <v>0.00960082</v>
      </c>
      <c r="R103" s="0" t="n">
        <v>0.00460019</v>
      </c>
      <c r="S103" s="0" t="n">
        <v>0.00411724</v>
      </c>
      <c r="T103" s="0" t="n">
        <v>0.01185535</v>
      </c>
      <c r="U103" s="0" t="n">
        <v>0.01099622</v>
      </c>
      <c r="V103" s="0" t="n">
        <v>0.00617986</v>
      </c>
      <c r="W103" s="0" t="n">
        <v>0.00136923</v>
      </c>
      <c r="X103" s="0" t="n">
        <v>0.0121538</v>
      </c>
      <c r="Y103" s="0" t="n">
        <v>0.00123764</v>
      </c>
      <c r="Z103" s="0" t="n">
        <v>0.01471712</v>
      </c>
      <c r="AA103" s="0" t="n">
        <v>0.00437741</v>
      </c>
      <c r="AB103" s="0" t="n">
        <v>0.00030453</v>
      </c>
      <c r="AC103" s="0" t="n">
        <v>0.00275347</v>
      </c>
      <c r="AD103" s="0" t="n">
        <v>0.00564309</v>
      </c>
      <c r="AE103" s="0" t="n">
        <v>0.01357166</v>
      </c>
      <c r="AF103" s="0" t="n">
        <v>0.00841927</v>
      </c>
      <c r="AG103" s="0" t="n">
        <v>-0.00113975</v>
      </c>
      <c r="AH103" s="0" t="n">
        <v>-0.00347922</v>
      </c>
      <c r="AI103" s="0" t="n">
        <v>-9.966E-005</v>
      </c>
      <c r="AJ103" s="0" t="n">
        <v>0.00763481</v>
      </c>
      <c r="AK103" s="0" t="n">
        <v>0.01049369</v>
      </c>
      <c r="AL103" s="0" t="n">
        <v>0.02284963</v>
      </c>
      <c r="AM103" s="0" t="n">
        <v>0.01849548</v>
      </c>
      <c r="AN103" s="0" t="n">
        <v>0.01013104</v>
      </c>
      <c r="AO103" s="0" t="n">
        <v>-0.00785391</v>
      </c>
      <c r="AP103" s="0" t="n">
        <v>0.01430633</v>
      </c>
      <c r="AQ103" s="0" t="n">
        <v>-0.00204877</v>
      </c>
      <c r="AR103" s="0" t="n">
        <v>0.01636295</v>
      </c>
      <c r="AS103" s="0" t="n">
        <v>0.02106807</v>
      </c>
      <c r="AT103" s="0" t="n">
        <v>0.01416035</v>
      </c>
      <c r="AU103" s="0" t="n">
        <v>0.00366855</v>
      </c>
      <c r="AV103" s="0" t="n">
        <v>0.01793271</v>
      </c>
      <c r="AW103" s="0" t="n">
        <v>0.00975269</v>
      </c>
      <c r="AX103" s="0" t="n">
        <v>0.00292733</v>
      </c>
      <c r="AY103" s="0" t="n">
        <v>0.00401673</v>
      </c>
      <c r="AZ103" s="0" t="n">
        <v>0.00982966</v>
      </c>
      <c r="BA103" s="0" t="n">
        <v>0.00390602</v>
      </c>
      <c r="BB103" s="0" t="n">
        <v>0.01545387</v>
      </c>
      <c r="BC103" s="0" t="n">
        <v>0.01211436</v>
      </c>
      <c r="BD103" s="0" t="n">
        <v>0.01572312</v>
      </c>
      <c r="BE103" s="0" t="n">
        <v>-0.00049431</v>
      </c>
      <c r="BF103" s="0" t="n">
        <v>0.0226471</v>
      </c>
      <c r="BG103" s="0" t="n">
        <v>0.01094314</v>
      </c>
      <c r="BH103" s="0" t="n">
        <v>0.02740538</v>
      </c>
      <c r="BI103" s="0" t="n">
        <v>0.01197777</v>
      </c>
      <c r="BJ103" s="0" t="n">
        <v>-0.0025975</v>
      </c>
      <c r="BK103" s="0" t="n">
        <v>0.01597102</v>
      </c>
      <c r="BL103" s="0" t="n">
        <v>0.03388908</v>
      </c>
      <c r="BM103" s="0" t="n">
        <v>0.01326215</v>
      </c>
      <c r="BN103" s="0" t="n">
        <v>0.00818822</v>
      </c>
      <c r="BO103" s="0" t="n">
        <v>0.05069494</v>
      </c>
      <c r="BP103" s="0" t="n">
        <v>0.01950737</v>
      </c>
      <c r="BQ103" s="0" t="n">
        <v>0.02178582</v>
      </c>
      <c r="BR103" s="0" t="n">
        <v>0.0380479</v>
      </c>
      <c r="BS103" s="0" t="n">
        <v>0.00479207</v>
      </c>
      <c r="BT103" s="0" t="n">
        <v>0.02391094</v>
      </c>
      <c r="BU103" s="0" t="n">
        <v>0.02222957</v>
      </c>
      <c r="BV103" s="0" t="n">
        <v>0.04319941</v>
      </c>
      <c r="BW103" s="0" t="n">
        <v>0.03112744</v>
      </c>
      <c r="BX103" s="0" t="n">
        <v>0.00065749</v>
      </c>
      <c r="BY103" s="0" t="n">
        <v>0.02123829</v>
      </c>
      <c r="BZ103" s="0" t="n">
        <v>0.02980431</v>
      </c>
      <c r="CA103" s="0" t="n">
        <v>0.00603509</v>
      </c>
      <c r="CB103" s="0" t="n">
        <v>-0.00747412</v>
      </c>
      <c r="CC103" s="0" t="n">
        <v>0.00180968</v>
      </c>
      <c r="CD103" s="0" t="n">
        <v>0.03062878</v>
      </c>
      <c r="CE103" s="0" t="n">
        <v>0.01785214</v>
      </c>
      <c r="CF103" s="0" t="n">
        <v>-0.00142966</v>
      </c>
      <c r="CG103" s="0" t="n">
        <v>0.02276047</v>
      </c>
      <c r="CH103" s="0" t="n">
        <v>0.04135159</v>
      </c>
      <c r="CI103" s="0" t="n">
        <v>-0.00405144</v>
      </c>
      <c r="CJ103" s="0" t="n">
        <v>0.01383401</v>
      </c>
      <c r="CK103" s="0" t="n">
        <v>0.02336175</v>
      </c>
      <c r="CL103" s="0" t="n">
        <v>0.03095969</v>
      </c>
      <c r="CM103" s="0" t="n">
        <v>0.05142633</v>
      </c>
      <c r="CN103" s="0" t="n">
        <v>0.01454163</v>
      </c>
      <c r="CO103" s="0" t="n">
        <v>0.023361</v>
      </c>
      <c r="CP103" s="0" t="n">
        <v>0.01369382</v>
      </c>
      <c r="CQ103" s="0" t="n">
        <v>0.0279801</v>
      </c>
      <c r="CR103" s="0" t="n">
        <v>0.05363563</v>
      </c>
      <c r="CS103" s="0" t="n">
        <v>0.03933256</v>
      </c>
      <c r="CT103" s="0" t="n">
        <v>0.02923349</v>
      </c>
      <c r="CU103" s="0" t="n">
        <v>0.16614915</v>
      </c>
      <c r="CV103" s="0" t="n">
        <v>0.04239474</v>
      </c>
      <c r="CW103" s="0" t="n">
        <v>0.03596793</v>
      </c>
      <c r="CX103" s="0" t="n">
        <v>0.03637224</v>
      </c>
      <c r="CY103" s="0" t="n">
        <v>0.02747608</v>
      </c>
      <c r="CZ103" s="0" t="n">
        <v>0.02795853</v>
      </c>
      <c r="DA103" s="0" t="n">
        <v>0.03602254</v>
      </c>
      <c r="DB103" s="0" t="n">
        <v>0.04730415</v>
      </c>
      <c r="DC103" s="0" t="n">
        <v>0.02929052</v>
      </c>
      <c r="DD103" s="0" t="n">
        <v>0.02637517</v>
      </c>
      <c r="DE103" s="0" t="n">
        <v>0.04795919</v>
      </c>
      <c r="DF103" s="0" t="n">
        <v>-0.00196243</v>
      </c>
      <c r="DG103" s="0" t="n">
        <v>0.04538286</v>
      </c>
      <c r="DH103" s="0" t="n">
        <v>0.05140565</v>
      </c>
      <c r="DI103" s="0" t="n">
        <v>0.03193905</v>
      </c>
      <c r="DJ103" s="0" t="n">
        <v>0.03107341</v>
      </c>
      <c r="DK103" s="0" t="n">
        <v>0.03760643</v>
      </c>
      <c r="DL103" s="0" t="n">
        <v>0.04934438</v>
      </c>
      <c r="DM103" s="0" t="n">
        <v>0.03321723</v>
      </c>
      <c r="DN103" s="0" t="n">
        <v>0.01738463</v>
      </c>
      <c r="DO103" s="0" t="n">
        <v>0.03649087</v>
      </c>
      <c r="DP103" s="0" t="n">
        <v>0.03500794</v>
      </c>
      <c r="DQ103" s="0" t="n">
        <v>0.03940216</v>
      </c>
      <c r="DR103" s="0" t="n">
        <v>0.0569377</v>
      </c>
      <c r="DS103" s="0" t="n">
        <v>0.02581684</v>
      </c>
      <c r="DT103" s="0" t="n">
        <v>0.04797733</v>
      </c>
      <c r="DU103" s="0" t="n">
        <v>0.04504346</v>
      </c>
      <c r="DV103" s="0" t="n">
        <v>0.02691433</v>
      </c>
      <c r="DW103" s="0" t="n">
        <v>0.04129051</v>
      </c>
      <c r="DX103" s="0" t="n">
        <v>0.04726532</v>
      </c>
      <c r="DY103" s="0" t="n">
        <v>0.02989781</v>
      </c>
      <c r="DZ103" s="0" t="n">
        <v>0.02680546</v>
      </c>
      <c r="EA103" s="0" t="n">
        <v>0.05481639</v>
      </c>
      <c r="EB103" s="0" t="n">
        <v>0.03900318</v>
      </c>
      <c r="EC103" s="0" t="n">
        <v>0.03669477</v>
      </c>
      <c r="ED103" s="0" t="n">
        <v>0.03121676</v>
      </c>
      <c r="EE103" s="0" t="n">
        <v>0.08412819</v>
      </c>
      <c r="EF103" s="0" t="n">
        <v>0.06316887</v>
      </c>
      <c r="EG103" s="0" t="n">
        <v>0.05534546</v>
      </c>
      <c r="EH103" s="0" t="n">
        <v>0.0423851</v>
      </c>
      <c r="EI103" s="0" t="n">
        <v>0.0562796</v>
      </c>
      <c r="EJ103" s="0" t="n">
        <v>0.06307372</v>
      </c>
      <c r="EK103" s="0" t="n">
        <v>0.101073</v>
      </c>
      <c r="EL103" s="0" t="n">
        <v>0.10315972</v>
      </c>
      <c r="EM103" s="0" t="n">
        <v>0.04082573</v>
      </c>
      <c r="EN103" s="0" t="n">
        <v>0.01452909</v>
      </c>
      <c r="EO103" s="0" t="n">
        <v>0.08830628</v>
      </c>
      <c r="EP103" s="55" t="n">
        <f aca="false">SUMPRODUCT(B103:EO103,$B$5:$EO$5)</f>
        <v>0.04250843</v>
      </c>
      <c r="EQ103" s="55" t="n">
        <f aca="false">SUMIF('Mi portafolio'!$A$8:$A$19,$A103,'Mi portafolio'!$B$8:$B$19)</f>
        <v>0</v>
      </c>
    </row>
    <row r="104" customFormat="false" ht="15" hidden="false" customHeight="false" outlineLevel="0" collapsed="false">
      <c r="A104" s="54" t="s">
        <v>245</v>
      </c>
      <c r="B104" s="0" t="n">
        <v>0.00455955</v>
      </c>
      <c r="C104" s="0" t="n">
        <v>-0.00477694</v>
      </c>
      <c r="D104" s="0" t="n">
        <v>0.0015</v>
      </c>
      <c r="E104" s="0" t="n">
        <v>-0.00077305</v>
      </c>
      <c r="F104" s="0" t="n">
        <v>-0.00533342</v>
      </c>
      <c r="G104" s="0" t="n">
        <v>0.00109918</v>
      </c>
      <c r="H104" s="0" t="n">
        <v>0.001979</v>
      </c>
      <c r="I104" s="0" t="n">
        <v>0.00486215</v>
      </c>
      <c r="J104" s="0" t="n">
        <v>-0.00719367</v>
      </c>
      <c r="K104" s="0" t="n">
        <v>0.00720907</v>
      </c>
      <c r="L104" s="0" t="n">
        <v>0.00018304</v>
      </c>
      <c r="M104" s="0" t="n">
        <v>0.02505149</v>
      </c>
      <c r="N104" s="0" t="n">
        <v>0.00599126</v>
      </c>
      <c r="O104" s="0" t="n">
        <v>0.00245233</v>
      </c>
      <c r="P104" s="0" t="n">
        <v>-0.00412182</v>
      </c>
      <c r="Q104" s="0" t="n">
        <v>-0.00996217</v>
      </c>
      <c r="R104" s="0" t="n">
        <v>0.00221421</v>
      </c>
      <c r="S104" s="0" t="n">
        <v>0.00466898</v>
      </c>
      <c r="T104" s="0" t="n">
        <v>0.02093431</v>
      </c>
      <c r="U104" s="0" t="n">
        <v>0.01302132</v>
      </c>
      <c r="V104" s="0" t="n">
        <v>0.01288378</v>
      </c>
      <c r="W104" s="0" t="n">
        <v>-0.00365184</v>
      </c>
      <c r="X104" s="0" t="n">
        <v>0.0199525</v>
      </c>
      <c r="Y104" s="0" t="n">
        <v>0.02313382</v>
      </c>
      <c r="Z104" s="0" t="n">
        <v>0.00975319</v>
      </c>
      <c r="AA104" s="0" t="n">
        <v>-0.00326868</v>
      </c>
      <c r="AB104" s="0" t="n">
        <v>0.02484841</v>
      </c>
      <c r="AC104" s="0" t="n">
        <v>0.01132886</v>
      </c>
      <c r="AD104" s="0" t="n">
        <v>0.00438356</v>
      </c>
      <c r="AE104" s="0" t="n">
        <v>0.01421608</v>
      </c>
      <c r="AF104" s="0" t="n">
        <v>0.01906467</v>
      </c>
      <c r="AG104" s="0" t="n">
        <v>0.00065794</v>
      </c>
      <c r="AH104" s="0" t="n">
        <v>-0.00458152</v>
      </c>
      <c r="AI104" s="0" t="n">
        <v>-0.01703516</v>
      </c>
      <c r="AJ104" s="0" t="n">
        <v>-0.00855468</v>
      </c>
      <c r="AK104" s="0" t="n">
        <v>0.01332433</v>
      </c>
      <c r="AL104" s="0" t="n">
        <v>0.01725297</v>
      </c>
      <c r="AM104" s="0" t="n">
        <v>0.00997266</v>
      </c>
      <c r="AN104" s="0" t="n">
        <v>0.01890986</v>
      </c>
      <c r="AO104" s="0" t="n">
        <v>-0.00451723</v>
      </c>
      <c r="AP104" s="0" t="n">
        <v>0.01933111</v>
      </c>
      <c r="AQ104" s="0" t="n">
        <v>-0.020936</v>
      </c>
      <c r="AR104" s="0" t="n">
        <v>0.03091441</v>
      </c>
      <c r="AS104" s="0" t="n">
        <v>0.00820416</v>
      </c>
      <c r="AT104" s="0" t="n">
        <v>0.03206999</v>
      </c>
      <c r="AU104" s="0" t="n">
        <v>-0.00192462</v>
      </c>
      <c r="AV104" s="0" t="n">
        <v>0.00354769</v>
      </c>
      <c r="AW104" s="0" t="n">
        <v>0.00238382</v>
      </c>
      <c r="AX104" s="0" t="n">
        <v>-0.01329562</v>
      </c>
      <c r="AY104" s="0" t="n">
        <v>0.01580378</v>
      </c>
      <c r="AZ104" s="0" t="n">
        <v>0.02263964</v>
      </c>
      <c r="BA104" s="0" t="n">
        <v>0.00660413</v>
      </c>
      <c r="BB104" s="0" t="n">
        <v>0.03354167</v>
      </c>
      <c r="BC104" s="0" t="n">
        <v>-0.00031649</v>
      </c>
      <c r="BD104" s="0" t="n">
        <v>0.00574506</v>
      </c>
      <c r="BE104" s="0" t="n">
        <v>0.00470791</v>
      </c>
      <c r="BF104" s="0" t="n">
        <v>0.011164</v>
      </c>
      <c r="BG104" s="0" t="n">
        <v>0.02336598</v>
      </c>
      <c r="BH104" s="0" t="n">
        <v>0.02287379</v>
      </c>
      <c r="BI104" s="0" t="n">
        <v>0.02083694</v>
      </c>
      <c r="BJ104" s="0" t="n">
        <v>-0.00805563</v>
      </c>
      <c r="BK104" s="0" t="n">
        <v>0.02537436</v>
      </c>
      <c r="BL104" s="0" t="n">
        <v>0.01522958</v>
      </c>
      <c r="BM104" s="0" t="n">
        <v>0.01590948</v>
      </c>
      <c r="BN104" s="0" t="n">
        <v>0.01354429</v>
      </c>
      <c r="BO104" s="0" t="n">
        <v>0.04254981</v>
      </c>
      <c r="BP104" s="0" t="n">
        <v>0.02583537</v>
      </c>
      <c r="BQ104" s="0" t="n">
        <v>0.02375261</v>
      </c>
      <c r="BR104" s="0" t="n">
        <v>0.01839255</v>
      </c>
      <c r="BS104" s="0" t="n">
        <v>-0.0172253</v>
      </c>
      <c r="BT104" s="0" t="n">
        <v>0.025976</v>
      </c>
      <c r="BU104" s="0" t="n">
        <v>0.01533231</v>
      </c>
      <c r="BV104" s="0" t="n">
        <v>0.05840328</v>
      </c>
      <c r="BW104" s="0" t="n">
        <v>3.198E-005</v>
      </c>
      <c r="BX104" s="0" t="n">
        <v>-0.00670359</v>
      </c>
      <c r="BY104" s="0" t="n">
        <v>0.03781879</v>
      </c>
      <c r="BZ104" s="0" t="n">
        <v>0.03500373</v>
      </c>
      <c r="CA104" s="0" t="n">
        <v>0.01257977</v>
      </c>
      <c r="CB104" s="0" t="n">
        <v>-0.00684651</v>
      </c>
      <c r="CC104" s="0" t="n">
        <v>0.01785793</v>
      </c>
      <c r="CD104" s="0" t="n">
        <v>0.0396409</v>
      </c>
      <c r="CE104" s="0" t="n">
        <v>0.01813562</v>
      </c>
      <c r="CF104" s="0" t="n">
        <v>-0.02707594</v>
      </c>
      <c r="CG104" s="0" t="n">
        <v>0.04171291</v>
      </c>
      <c r="CH104" s="0" t="n">
        <v>0.032494</v>
      </c>
      <c r="CI104" s="0" t="n">
        <v>-0.02507824</v>
      </c>
      <c r="CJ104" s="0" t="n">
        <v>0.02279583</v>
      </c>
      <c r="CK104" s="0" t="n">
        <v>0.0353336</v>
      </c>
      <c r="CL104" s="0" t="n">
        <v>0.03585501</v>
      </c>
      <c r="CM104" s="0" t="n">
        <v>0.04767633</v>
      </c>
      <c r="CN104" s="0" t="n">
        <v>0.00484967</v>
      </c>
      <c r="CO104" s="0" t="n">
        <v>0.0185206</v>
      </c>
      <c r="CP104" s="0" t="n">
        <v>0.02860425</v>
      </c>
      <c r="CQ104" s="0" t="n">
        <v>0.04460283</v>
      </c>
      <c r="CR104" s="0" t="n">
        <v>0.0363583</v>
      </c>
      <c r="CS104" s="0" t="n">
        <v>0.02032519</v>
      </c>
      <c r="CT104" s="0" t="n">
        <v>0.0398667</v>
      </c>
      <c r="CU104" s="0" t="n">
        <v>0.04239474</v>
      </c>
      <c r="CV104" s="0" t="n">
        <v>0.17764216</v>
      </c>
      <c r="CW104" s="0" t="n">
        <v>0.0493936</v>
      </c>
      <c r="CX104" s="0" t="n">
        <v>0.04961821</v>
      </c>
      <c r="CY104" s="0" t="n">
        <v>0.06021494</v>
      </c>
      <c r="CZ104" s="0" t="n">
        <v>0.03218225</v>
      </c>
      <c r="DA104" s="0" t="n">
        <v>0.04199138</v>
      </c>
      <c r="DB104" s="0" t="n">
        <v>0.07104731</v>
      </c>
      <c r="DC104" s="0" t="n">
        <v>0.04138628</v>
      </c>
      <c r="DD104" s="0" t="n">
        <v>0.05458774</v>
      </c>
      <c r="DE104" s="0" t="n">
        <v>0.03690192</v>
      </c>
      <c r="DF104" s="0" t="n">
        <v>0.02162798</v>
      </c>
      <c r="DG104" s="0" t="n">
        <v>0.01864114</v>
      </c>
      <c r="DH104" s="0" t="n">
        <v>0.04017577</v>
      </c>
      <c r="DI104" s="0" t="n">
        <v>0.05300204</v>
      </c>
      <c r="DJ104" s="0" t="n">
        <v>0.06350214</v>
      </c>
      <c r="DK104" s="0" t="n">
        <v>0.05704321</v>
      </c>
      <c r="DL104" s="0" t="n">
        <v>0.02054882</v>
      </c>
      <c r="DM104" s="0" t="n">
        <v>0.06717953</v>
      </c>
      <c r="DN104" s="0" t="n">
        <v>0.03718681</v>
      </c>
      <c r="DO104" s="0" t="n">
        <v>0.04798266</v>
      </c>
      <c r="DP104" s="0" t="n">
        <v>0.08106949</v>
      </c>
      <c r="DQ104" s="0" t="n">
        <v>0.02015334</v>
      </c>
      <c r="DR104" s="0" t="n">
        <v>0.02134394</v>
      </c>
      <c r="DS104" s="0" t="n">
        <v>0.04237792</v>
      </c>
      <c r="DT104" s="0" t="n">
        <v>0.05453183</v>
      </c>
      <c r="DU104" s="0" t="n">
        <v>0.06766727</v>
      </c>
      <c r="DV104" s="0" t="n">
        <v>0.0585428</v>
      </c>
      <c r="DW104" s="0" t="n">
        <v>0.09186845</v>
      </c>
      <c r="DX104" s="0" t="n">
        <v>0.02981286</v>
      </c>
      <c r="DY104" s="0" t="n">
        <v>0.08322495</v>
      </c>
      <c r="DZ104" s="0" t="n">
        <v>0.02235348</v>
      </c>
      <c r="EA104" s="0" t="n">
        <v>0.05757625</v>
      </c>
      <c r="EB104" s="0" t="n">
        <v>0.08604836</v>
      </c>
      <c r="EC104" s="0" t="n">
        <v>0.01814813</v>
      </c>
      <c r="ED104" s="0" t="n">
        <v>0.04900243</v>
      </c>
      <c r="EE104" s="0" t="n">
        <v>0.06473309</v>
      </c>
      <c r="EF104" s="0" t="n">
        <v>0.0471637</v>
      </c>
      <c r="EG104" s="0" t="n">
        <v>0.05786285</v>
      </c>
      <c r="EH104" s="0" t="n">
        <v>0.05706636</v>
      </c>
      <c r="EI104" s="0" t="n">
        <v>0.03251097</v>
      </c>
      <c r="EJ104" s="0" t="n">
        <v>0.05845674</v>
      </c>
      <c r="EK104" s="0" t="n">
        <v>0.03471282</v>
      </c>
      <c r="EL104" s="0" t="n">
        <v>0.04292407</v>
      </c>
      <c r="EM104" s="0" t="n">
        <v>0.04767748</v>
      </c>
      <c r="EN104" s="0" t="n">
        <v>0.05083127</v>
      </c>
      <c r="EO104" s="0" t="n">
        <v>0.05632954</v>
      </c>
      <c r="EP104" s="55" t="n">
        <f aca="false">SUMPRODUCT(B104:EO104,$B$5:$EO$5)</f>
        <v>0.0420039</v>
      </c>
      <c r="EQ104" s="55" t="n">
        <f aca="false">SUMIF('Mi portafolio'!$A$8:$A$19,$A104,'Mi portafolio'!$B$8:$B$19)</f>
        <v>0</v>
      </c>
    </row>
    <row r="105" customFormat="false" ht="15" hidden="false" customHeight="false" outlineLevel="0" collapsed="false">
      <c r="A105" s="54" t="s">
        <v>246</v>
      </c>
      <c r="B105" s="0" t="n">
        <v>0.00744613</v>
      </c>
      <c r="C105" s="0" t="n">
        <v>0.00157196</v>
      </c>
      <c r="D105" s="0" t="n">
        <v>-0.00078702</v>
      </c>
      <c r="E105" s="0" t="n">
        <v>0.00839736</v>
      </c>
      <c r="F105" s="0" t="n">
        <v>0.0080125</v>
      </c>
      <c r="G105" s="0" t="n">
        <v>-0.00213631</v>
      </c>
      <c r="H105" s="0" t="n">
        <v>0.00644528</v>
      </c>
      <c r="I105" s="0" t="n">
        <v>0.02126213</v>
      </c>
      <c r="J105" s="0" t="n">
        <v>0.00652324</v>
      </c>
      <c r="K105" s="0" t="n">
        <v>0.01171417</v>
      </c>
      <c r="L105" s="0" t="n">
        <v>0.01314022</v>
      </c>
      <c r="M105" s="0" t="n">
        <v>0.02793492</v>
      </c>
      <c r="N105" s="0" t="n">
        <v>0.0179961</v>
      </c>
      <c r="O105" s="0" t="n">
        <v>0.00649008</v>
      </c>
      <c r="P105" s="0" t="n">
        <v>0.01508503</v>
      </c>
      <c r="Q105" s="0" t="n">
        <v>0.01810081</v>
      </c>
      <c r="R105" s="0" t="n">
        <v>0.01201259</v>
      </c>
      <c r="S105" s="0" t="n">
        <v>0.01397334</v>
      </c>
      <c r="T105" s="0" t="n">
        <v>0.02363589</v>
      </c>
      <c r="U105" s="0" t="n">
        <v>0.01954511</v>
      </c>
      <c r="V105" s="0" t="n">
        <v>0.00700138</v>
      </c>
      <c r="W105" s="0" t="n">
        <v>0.00774066</v>
      </c>
      <c r="X105" s="0" t="n">
        <v>0.02262758</v>
      </c>
      <c r="Y105" s="0" t="n">
        <v>0.03411036</v>
      </c>
      <c r="Z105" s="0" t="n">
        <v>0.01097959</v>
      </c>
      <c r="AA105" s="0" t="n">
        <v>0.02257775</v>
      </c>
      <c r="AB105" s="0" t="n">
        <v>0.0336766</v>
      </c>
      <c r="AC105" s="0" t="n">
        <v>0.01081389</v>
      </c>
      <c r="AD105" s="0" t="n">
        <v>0.01215086</v>
      </c>
      <c r="AE105" s="0" t="n">
        <v>0.01545696</v>
      </c>
      <c r="AF105" s="0" t="n">
        <v>0.01404134</v>
      </c>
      <c r="AG105" s="0" t="n">
        <v>0.00162487</v>
      </c>
      <c r="AH105" s="0" t="n">
        <v>0.00155252</v>
      </c>
      <c r="AI105" s="0" t="n">
        <v>-0.0060909</v>
      </c>
      <c r="AJ105" s="0" t="n">
        <v>0.00496898</v>
      </c>
      <c r="AK105" s="0" t="n">
        <v>0.00837382</v>
      </c>
      <c r="AL105" s="0" t="n">
        <v>0.02464059</v>
      </c>
      <c r="AM105" s="0" t="n">
        <v>0.01546477</v>
      </c>
      <c r="AN105" s="0" t="n">
        <v>0.03841414</v>
      </c>
      <c r="AO105" s="0" t="n">
        <v>0.01488697</v>
      </c>
      <c r="AP105" s="0" t="n">
        <v>0.03950983</v>
      </c>
      <c r="AQ105" s="0" t="n">
        <v>-0.01219762</v>
      </c>
      <c r="AR105" s="0" t="n">
        <v>0.03087324</v>
      </c>
      <c r="AS105" s="0" t="n">
        <v>0.02088784</v>
      </c>
      <c r="AT105" s="0" t="n">
        <v>0.03644282</v>
      </c>
      <c r="AU105" s="0" t="n">
        <v>-0.00335281</v>
      </c>
      <c r="AV105" s="0" t="n">
        <v>0.01801786</v>
      </c>
      <c r="AW105" s="0" t="n">
        <v>0.01324842</v>
      </c>
      <c r="AX105" s="0" t="n">
        <v>0.009364</v>
      </c>
      <c r="AY105" s="0" t="n">
        <v>0.0236387</v>
      </c>
      <c r="AZ105" s="0" t="n">
        <v>0.01636644</v>
      </c>
      <c r="BA105" s="0" t="n">
        <v>0.0191198</v>
      </c>
      <c r="BB105" s="0" t="n">
        <v>0.03330146</v>
      </c>
      <c r="BC105" s="0" t="n">
        <v>0.01765966</v>
      </c>
      <c r="BD105" s="0" t="n">
        <v>0.02373446</v>
      </c>
      <c r="BE105" s="0" t="n">
        <v>0.01957796</v>
      </c>
      <c r="BF105" s="0" t="n">
        <v>0.01645776</v>
      </c>
      <c r="BG105" s="0" t="n">
        <v>0.04917324</v>
      </c>
      <c r="BH105" s="0" t="n">
        <v>0.01920177</v>
      </c>
      <c r="BI105" s="0" t="n">
        <v>0.00974172</v>
      </c>
      <c r="BJ105" s="0" t="n">
        <v>0.00697446</v>
      </c>
      <c r="BK105" s="0" t="n">
        <v>0.01572019</v>
      </c>
      <c r="BL105" s="0" t="n">
        <v>0.0253609</v>
      </c>
      <c r="BM105" s="0" t="n">
        <v>0.02643491</v>
      </c>
      <c r="BN105" s="0" t="n">
        <v>-0.007635</v>
      </c>
      <c r="BO105" s="0" t="n">
        <v>0.04138321</v>
      </c>
      <c r="BP105" s="0" t="n">
        <v>0.04519352</v>
      </c>
      <c r="BQ105" s="0" t="n">
        <v>0.02728743</v>
      </c>
      <c r="BR105" s="0" t="n">
        <v>0.04828591</v>
      </c>
      <c r="BS105" s="0" t="n">
        <v>-0.01068757</v>
      </c>
      <c r="BT105" s="0" t="n">
        <v>0.03814664</v>
      </c>
      <c r="BU105" s="0" t="n">
        <v>0.01968868</v>
      </c>
      <c r="BV105" s="0" t="n">
        <v>0.05095738</v>
      </c>
      <c r="BW105" s="0" t="n">
        <v>0.04795155</v>
      </c>
      <c r="BX105" s="0" t="n">
        <v>0.01604079</v>
      </c>
      <c r="BY105" s="0" t="n">
        <v>0.04529529</v>
      </c>
      <c r="BZ105" s="0" t="n">
        <v>0.04155249</v>
      </c>
      <c r="CA105" s="0" t="n">
        <v>0.01997814</v>
      </c>
      <c r="CB105" s="0" t="n">
        <v>0.00375798</v>
      </c>
      <c r="CC105" s="0" t="n">
        <v>0.009341</v>
      </c>
      <c r="CD105" s="0" t="n">
        <v>0.06765361</v>
      </c>
      <c r="CE105" s="0" t="n">
        <v>0.00934768</v>
      </c>
      <c r="CF105" s="0" t="n">
        <v>-0.01910324</v>
      </c>
      <c r="CG105" s="0" t="n">
        <v>0.05018063</v>
      </c>
      <c r="CH105" s="0" t="n">
        <v>0.03127654</v>
      </c>
      <c r="CI105" s="0" t="n">
        <v>-0.01816653</v>
      </c>
      <c r="CJ105" s="0" t="n">
        <v>0.04012913</v>
      </c>
      <c r="CK105" s="0" t="n">
        <v>0.04168399</v>
      </c>
      <c r="CL105" s="0" t="n">
        <v>0.03871432</v>
      </c>
      <c r="CM105" s="0" t="n">
        <v>0.03288892</v>
      </c>
      <c r="CN105" s="0" t="n">
        <v>0.01079726</v>
      </c>
      <c r="CO105" s="0" t="n">
        <v>0.01696302</v>
      </c>
      <c r="CP105" s="0" t="n">
        <v>0.03983568</v>
      </c>
      <c r="CQ105" s="0" t="n">
        <v>0.04444398</v>
      </c>
      <c r="CR105" s="0" t="n">
        <v>0.04267893</v>
      </c>
      <c r="CS105" s="0" t="n">
        <v>0.01792762</v>
      </c>
      <c r="CT105" s="0" t="n">
        <v>0.05001053</v>
      </c>
      <c r="CU105" s="0" t="n">
        <v>0.03596793</v>
      </c>
      <c r="CV105" s="0" t="n">
        <v>0.0493936</v>
      </c>
      <c r="CW105" s="0" t="n">
        <v>0.17817978</v>
      </c>
      <c r="CX105" s="0" t="n">
        <v>0.09621342</v>
      </c>
      <c r="CY105" s="0" t="n">
        <v>0.038281</v>
      </c>
      <c r="CZ105" s="0" t="n">
        <v>0.06365696</v>
      </c>
      <c r="DA105" s="0" t="n">
        <v>0.05348072</v>
      </c>
      <c r="DB105" s="0" t="n">
        <v>0.04168845</v>
      </c>
      <c r="DC105" s="0" t="n">
        <v>0.04264008</v>
      </c>
      <c r="DD105" s="0" t="n">
        <v>0.06981608</v>
      </c>
      <c r="DE105" s="0" t="n">
        <v>0.0349457</v>
      </c>
      <c r="DF105" s="0" t="n">
        <v>0.06010376</v>
      </c>
      <c r="DG105" s="0" t="n">
        <v>0.03475473</v>
      </c>
      <c r="DH105" s="0" t="n">
        <v>0.02940378</v>
      </c>
      <c r="DI105" s="0" t="n">
        <v>0.04945513</v>
      </c>
      <c r="DJ105" s="0" t="n">
        <v>0.05566937</v>
      </c>
      <c r="DK105" s="0" t="n">
        <v>0.05876483</v>
      </c>
      <c r="DL105" s="0" t="n">
        <v>0.01961739</v>
      </c>
      <c r="DM105" s="0" t="n">
        <v>0.06758653</v>
      </c>
      <c r="DN105" s="0" t="n">
        <v>0.05401802</v>
      </c>
      <c r="DO105" s="0" t="n">
        <v>0.01804216</v>
      </c>
      <c r="DP105" s="0" t="n">
        <v>0.05915326</v>
      </c>
      <c r="DQ105" s="0" t="n">
        <v>0.04206869</v>
      </c>
      <c r="DR105" s="0" t="n">
        <v>0.04312349</v>
      </c>
      <c r="DS105" s="0" t="n">
        <v>0.05613887</v>
      </c>
      <c r="DT105" s="0" t="n">
        <v>0.0392682</v>
      </c>
      <c r="DU105" s="0" t="n">
        <v>0.09335714</v>
      </c>
      <c r="DV105" s="0" t="n">
        <v>0.06571856</v>
      </c>
      <c r="DW105" s="0" t="n">
        <v>0.09992124</v>
      </c>
      <c r="DX105" s="0" t="n">
        <v>0.01223246</v>
      </c>
      <c r="DY105" s="0" t="n">
        <v>0.12277275</v>
      </c>
      <c r="DZ105" s="0" t="n">
        <v>0.04515828</v>
      </c>
      <c r="EA105" s="0" t="n">
        <v>0.05447739</v>
      </c>
      <c r="EB105" s="0" t="n">
        <v>0.10729439</v>
      </c>
      <c r="EC105" s="0" t="n">
        <v>0.01079543</v>
      </c>
      <c r="ED105" s="0" t="n">
        <v>0.04680923</v>
      </c>
      <c r="EE105" s="0" t="n">
        <v>0.03266585</v>
      </c>
      <c r="EF105" s="0" t="n">
        <v>0.0262133</v>
      </c>
      <c r="EG105" s="0" t="n">
        <v>0.01031919</v>
      </c>
      <c r="EH105" s="0" t="n">
        <v>0.1087236</v>
      </c>
      <c r="EI105" s="0" t="n">
        <v>0.01066331</v>
      </c>
      <c r="EJ105" s="0" t="n">
        <v>0.05596689</v>
      </c>
      <c r="EK105" s="0" t="n">
        <v>0.07095169</v>
      </c>
      <c r="EL105" s="0" t="n">
        <v>0.08185656</v>
      </c>
      <c r="EM105" s="0" t="n">
        <v>0.06969675</v>
      </c>
      <c r="EN105" s="0" t="n">
        <v>0.129266</v>
      </c>
      <c r="EO105" s="0" t="n">
        <v>0.11097897</v>
      </c>
      <c r="EP105" s="55" t="n">
        <f aca="false">SUMPRODUCT(B105:EO105,$B$5:$EO$5)</f>
        <v>0.034207882</v>
      </c>
      <c r="EQ105" s="55" t="n">
        <f aca="false">SUMIF('Mi portafolio'!$A$8:$A$19,$A105,'Mi portafolio'!$B$8:$B$19)</f>
        <v>0</v>
      </c>
    </row>
    <row r="106" customFormat="false" ht="15" hidden="false" customHeight="false" outlineLevel="0" collapsed="false">
      <c r="A106" s="54" t="s">
        <v>247</v>
      </c>
      <c r="B106" s="0" t="n">
        <v>0.00469308</v>
      </c>
      <c r="C106" s="0" t="n">
        <v>0.00105104</v>
      </c>
      <c r="D106" s="0" t="n">
        <v>-0.00033434</v>
      </c>
      <c r="E106" s="0" t="n">
        <v>0.00531726</v>
      </c>
      <c r="F106" s="0" t="n">
        <v>0.00443856</v>
      </c>
      <c r="G106" s="0" t="n">
        <v>0.00716268</v>
      </c>
      <c r="H106" s="0" t="n">
        <v>0.00562384</v>
      </c>
      <c r="I106" s="0" t="n">
        <v>0.01471329</v>
      </c>
      <c r="J106" s="0" t="n">
        <v>0.00524567</v>
      </c>
      <c r="K106" s="0" t="n">
        <v>0.01017057</v>
      </c>
      <c r="L106" s="0" t="n">
        <v>0.00598863</v>
      </c>
      <c r="M106" s="0" t="n">
        <v>0.03289541</v>
      </c>
      <c r="N106" s="0" t="n">
        <v>0.01477005</v>
      </c>
      <c r="O106" s="0" t="n">
        <v>0.00543836</v>
      </c>
      <c r="P106" s="0" t="n">
        <v>0.00577544</v>
      </c>
      <c r="Q106" s="0" t="n">
        <v>0.01051874</v>
      </c>
      <c r="R106" s="0" t="n">
        <v>0.00491762</v>
      </c>
      <c r="S106" s="0" t="n">
        <v>0.01164146</v>
      </c>
      <c r="T106" s="0" t="n">
        <v>0.03463178</v>
      </c>
      <c r="U106" s="0" t="n">
        <v>0.0209062</v>
      </c>
      <c r="V106" s="0" t="n">
        <v>0.00222818</v>
      </c>
      <c r="W106" s="0" t="n">
        <v>0.01970426</v>
      </c>
      <c r="X106" s="0" t="n">
        <v>0.03775472</v>
      </c>
      <c r="Y106" s="0" t="n">
        <v>0.0311038</v>
      </c>
      <c r="Z106" s="0" t="n">
        <v>0.01362293</v>
      </c>
      <c r="AA106" s="0" t="n">
        <v>0.01891189</v>
      </c>
      <c r="AB106" s="0" t="n">
        <v>0.03246224</v>
      </c>
      <c r="AC106" s="0" t="n">
        <v>0.00486574</v>
      </c>
      <c r="AD106" s="0" t="n">
        <v>0.01440114</v>
      </c>
      <c r="AE106" s="0" t="n">
        <v>0.0221693</v>
      </c>
      <c r="AF106" s="0" t="n">
        <v>0.0190185</v>
      </c>
      <c r="AG106" s="0" t="n">
        <v>0.0044371</v>
      </c>
      <c r="AH106" s="0" t="n">
        <v>0.00039856</v>
      </c>
      <c r="AI106" s="0" t="n">
        <v>-0.01065993</v>
      </c>
      <c r="AJ106" s="0" t="n">
        <v>0.00050839</v>
      </c>
      <c r="AK106" s="0" t="n">
        <v>0.02342482</v>
      </c>
      <c r="AL106" s="0" t="n">
        <v>0.01990795</v>
      </c>
      <c r="AM106" s="0" t="n">
        <v>0.01809314</v>
      </c>
      <c r="AN106" s="0" t="n">
        <v>0.03138813</v>
      </c>
      <c r="AO106" s="0" t="n">
        <v>0.01406635</v>
      </c>
      <c r="AP106" s="0" t="n">
        <v>0.03036915</v>
      </c>
      <c r="AQ106" s="0" t="n">
        <v>-0.01531468</v>
      </c>
      <c r="AR106" s="0" t="n">
        <v>0.04166033</v>
      </c>
      <c r="AS106" s="0" t="n">
        <v>0.02205419</v>
      </c>
      <c r="AT106" s="0" t="n">
        <v>0.04808586</v>
      </c>
      <c r="AU106" s="0" t="n">
        <v>0.00399191</v>
      </c>
      <c r="AV106" s="0" t="n">
        <v>0.01091557</v>
      </c>
      <c r="AW106" s="0" t="n">
        <v>0.01630012</v>
      </c>
      <c r="AX106" s="0" t="n">
        <v>0.01270045</v>
      </c>
      <c r="AY106" s="0" t="n">
        <v>0.02471922</v>
      </c>
      <c r="AZ106" s="0" t="n">
        <v>0.02394626</v>
      </c>
      <c r="BA106" s="0" t="n">
        <v>0.02783613</v>
      </c>
      <c r="BB106" s="0" t="n">
        <v>0.05075202</v>
      </c>
      <c r="BC106" s="0" t="n">
        <v>0.00948797</v>
      </c>
      <c r="BD106" s="0" t="n">
        <v>0.02825067</v>
      </c>
      <c r="BE106" s="0" t="n">
        <v>0.01841082</v>
      </c>
      <c r="BF106" s="0" t="n">
        <v>0.02193552</v>
      </c>
      <c r="BG106" s="0" t="n">
        <v>0.03395382</v>
      </c>
      <c r="BH106" s="0" t="n">
        <v>0.01326734</v>
      </c>
      <c r="BI106" s="0" t="n">
        <v>0.0084161</v>
      </c>
      <c r="BJ106" s="0" t="n">
        <v>0.0021532</v>
      </c>
      <c r="BK106" s="0" t="n">
        <v>0.02303666</v>
      </c>
      <c r="BL106" s="0" t="n">
        <v>0.0440304</v>
      </c>
      <c r="BM106" s="0" t="n">
        <v>0.01841127</v>
      </c>
      <c r="BN106" s="0" t="n">
        <v>0.01358761</v>
      </c>
      <c r="BO106" s="0" t="n">
        <v>0.04653077</v>
      </c>
      <c r="BP106" s="0" t="n">
        <v>0.03651312</v>
      </c>
      <c r="BQ106" s="0" t="n">
        <v>0.04833162</v>
      </c>
      <c r="BR106" s="0" t="n">
        <v>0.04188548</v>
      </c>
      <c r="BS106" s="0" t="n">
        <v>-0.01526849</v>
      </c>
      <c r="BT106" s="0" t="n">
        <v>0.05548744</v>
      </c>
      <c r="BU106" s="0" t="n">
        <v>0.02666362</v>
      </c>
      <c r="BV106" s="0" t="n">
        <v>0.04696335</v>
      </c>
      <c r="BW106" s="0" t="n">
        <v>0.04332433</v>
      </c>
      <c r="BX106" s="0" t="n">
        <v>0.00890524</v>
      </c>
      <c r="BY106" s="0" t="n">
        <v>0.05468733</v>
      </c>
      <c r="BZ106" s="0" t="n">
        <v>0.05478087</v>
      </c>
      <c r="CA106" s="0" t="n">
        <v>0.0047093</v>
      </c>
      <c r="CB106" s="0" t="n">
        <v>-0.00471611</v>
      </c>
      <c r="CC106" s="0" t="n">
        <v>0.02067425</v>
      </c>
      <c r="CD106" s="0" t="n">
        <v>0.04084224</v>
      </c>
      <c r="CE106" s="0" t="n">
        <v>0.01416763</v>
      </c>
      <c r="CF106" s="0" t="n">
        <v>-0.01887295</v>
      </c>
      <c r="CG106" s="0" t="n">
        <v>0.03879481</v>
      </c>
      <c r="CH106" s="0" t="n">
        <v>0.04677554</v>
      </c>
      <c r="CI106" s="0" t="n">
        <v>-0.02008647</v>
      </c>
      <c r="CJ106" s="0" t="n">
        <v>0.0300291</v>
      </c>
      <c r="CK106" s="0" t="n">
        <v>0.03240811</v>
      </c>
      <c r="CL106" s="0" t="n">
        <v>0.04485281</v>
      </c>
      <c r="CM106" s="0" t="n">
        <v>0.05009917</v>
      </c>
      <c r="CN106" s="0" t="n">
        <v>0.01361928</v>
      </c>
      <c r="CO106" s="0" t="n">
        <v>0.02214239</v>
      </c>
      <c r="CP106" s="0" t="n">
        <v>0.03506719</v>
      </c>
      <c r="CQ106" s="0" t="n">
        <v>0.06500767</v>
      </c>
      <c r="CR106" s="0" t="n">
        <v>0.05836223</v>
      </c>
      <c r="CS106" s="0" t="n">
        <v>0.05487722</v>
      </c>
      <c r="CT106" s="0" t="n">
        <v>0.05687024</v>
      </c>
      <c r="CU106" s="0" t="n">
        <v>0.03637224</v>
      </c>
      <c r="CV106" s="0" t="n">
        <v>0.04961821</v>
      </c>
      <c r="CW106" s="0" t="n">
        <v>0.09621342</v>
      </c>
      <c r="CX106" s="0" t="n">
        <v>0.18528091</v>
      </c>
      <c r="CY106" s="0" t="n">
        <v>0.05727823</v>
      </c>
      <c r="CZ106" s="0" t="n">
        <v>0.03791302</v>
      </c>
      <c r="DA106" s="0" t="n">
        <v>0.05132626</v>
      </c>
      <c r="DB106" s="0" t="n">
        <v>0.07085085</v>
      </c>
      <c r="DC106" s="0" t="n">
        <v>0.06112479</v>
      </c>
      <c r="DD106" s="0" t="n">
        <v>0.0800664</v>
      </c>
      <c r="DE106" s="0" t="n">
        <v>0.06638501</v>
      </c>
      <c r="DF106" s="0" t="n">
        <v>0.01410634</v>
      </c>
      <c r="DG106" s="0" t="n">
        <v>0.06875798</v>
      </c>
      <c r="DH106" s="0" t="n">
        <v>0.03398332</v>
      </c>
      <c r="DI106" s="0" t="n">
        <v>0.0689259</v>
      </c>
      <c r="DJ106" s="0" t="n">
        <v>0.06577853</v>
      </c>
      <c r="DK106" s="0" t="n">
        <v>0.08346185</v>
      </c>
      <c r="DL106" s="0" t="n">
        <v>0.03303997</v>
      </c>
      <c r="DM106" s="0" t="n">
        <v>0.08621234</v>
      </c>
      <c r="DN106" s="0" t="n">
        <v>0.03201057</v>
      </c>
      <c r="DO106" s="0" t="n">
        <v>0.04304747</v>
      </c>
      <c r="DP106" s="0" t="n">
        <v>0.06994901</v>
      </c>
      <c r="DQ106" s="0" t="n">
        <v>0.05089838</v>
      </c>
      <c r="DR106" s="0" t="n">
        <v>0.06243265</v>
      </c>
      <c r="DS106" s="0" t="n">
        <v>0.04805535</v>
      </c>
      <c r="DT106" s="0" t="n">
        <v>0.04839812</v>
      </c>
      <c r="DU106" s="0" t="n">
        <v>0.12051196</v>
      </c>
      <c r="DV106" s="0" t="n">
        <v>0.05871556</v>
      </c>
      <c r="DW106" s="0" t="n">
        <v>0.08459718</v>
      </c>
      <c r="DX106" s="0" t="n">
        <v>0.06233975</v>
      </c>
      <c r="DY106" s="0" t="n">
        <v>0.104677</v>
      </c>
      <c r="DZ106" s="0" t="n">
        <v>0.01942059</v>
      </c>
      <c r="EA106" s="0" t="n">
        <v>0.05990689</v>
      </c>
      <c r="EB106" s="0" t="n">
        <v>0.11682442</v>
      </c>
      <c r="EC106" s="0" t="n">
        <v>0.04724766</v>
      </c>
      <c r="ED106" s="0" t="n">
        <v>0.08354738</v>
      </c>
      <c r="EE106" s="0" t="n">
        <v>0.09502683</v>
      </c>
      <c r="EF106" s="0" t="n">
        <v>0.06851422</v>
      </c>
      <c r="EG106" s="0" t="n">
        <v>0.07121838</v>
      </c>
      <c r="EH106" s="0" t="n">
        <v>0.0739864</v>
      </c>
      <c r="EI106" s="0" t="n">
        <v>0.08150898</v>
      </c>
      <c r="EJ106" s="0" t="n">
        <v>0.09382112</v>
      </c>
      <c r="EK106" s="0" t="n">
        <v>0.11832006</v>
      </c>
      <c r="EL106" s="0" t="n">
        <v>0.1264702</v>
      </c>
      <c r="EM106" s="0" t="n">
        <v>0.13945875</v>
      </c>
      <c r="EN106" s="0" t="n">
        <v>0.10097531</v>
      </c>
      <c r="EO106" s="0" t="n">
        <v>0.09872961</v>
      </c>
      <c r="EP106" s="55" t="n">
        <f aca="false">SUMPRODUCT(B106:EO106,$B$5:$EO$5)</f>
        <v>0.04929442</v>
      </c>
      <c r="EQ106" s="55" t="n">
        <f aca="false">SUMIF('Mi portafolio'!$A$8:$A$19,$A106,'Mi portafolio'!$B$8:$B$19)</f>
        <v>0</v>
      </c>
    </row>
    <row r="107" customFormat="false" ht="15" hidden="false" customHeight="false" outlineLevel="0" collapsed="false">
      <c r="A107" s="54" t="s">
        <v>248</v>
      </c>
      <c r="B107" s="0" t="n">
        <v>0.01588571</v>
      </c>
      <c r="C107" s="0" t="n">
        <v>-0.00052126</v>
      </c>
      <c r="D107" s="0" t="n">
        <v>0.00184252</v>
      </c>
      <c r="E107" s="0" t="n">
        <v>0.0171903</v>
      </c>
      <c r="F107" s="0" t="n">
        <v>0.01241834</v>
      </c>
      <c r="G107" s="0" t="n">
        <v>0.00035742</v>
      </c>
      <c r="H107" s="0" t="n">
        <v>0.0033188</v>
      </c>
      <c r="I107" s="0" t="n">
        <v>0.0223299</v>
      </c>
      <c r="J107" s="0" t="n">
        <v>0.00722125</v>
      </c>
      <c r="K107" s="0" t="n">
        <v>0.02672956</v>
      </c>
      <c r="L107" s="0" t="n">
        <v>0.00821652</v>
      </c>
      <c r="M107" s="0" t="n">
        <v>0.04057679</v>
      </c>
      <c r="N107" s="0" t="n">
        <v>0.02441486</v>
      </c>
      <c r="O107" s="0" t="n">
        <v>0.01252013</v>
      </c>
      <c r="P107" s="0" t="n">
        <v>0.00553091</v>
      </c>
      <c r="Q107" s="0" t="n">
        <v>0.00116318</v>
      </c>
      <c r="R107" s="0" t="n">
        <v>0.01249084</v>
      </c>
      <c r="S107" s="0" t="n">
        <v>0.00425077</v>
      </c>
      <c r="T107" s="0" t="n">
        <v>0.04336524</v>
      </c>
      <c r="U107" s="0" t="n">
        <v>0.01006104</v>
      </c>
      <c r="V107" s="0" t="n">
        <v>0.01208123</v>
      </c>
      <c r="W107" s="0" t="n">
        <v>0.00476802</v>
      </c>
      <c r="X107" s="0" t="n">
        <v>0.04564849</v>
      </c>
      <c r="Y107" s="0" t="n">
        <v>0.02953021</v>
      </c>
      <c r="Z107" s="0" t="n">
        <v>0.01318426</v>
      </c>
      <c r="AA107" s="0" t="n">
        <v>0.01262598</v>
      </c>
      <c r="AB107" s="0" t="n">
        <v>0.03590883</v>
      </c>
      <c r="AC107" s="0" t="n">
        <v>0.00870074</v>
      </c>
      <c r="AD107" s="0" t="n">
        <v>0.00960657</v>
      </c>
      <c r="AE107" s="0" t="n">
        <v>0.02942467</v>
      </c>
      <c r="AF107" s="0" t="n">
        <v>0.00775094</v>
      </c>
      <c r="AG107" s="0" t="n">
        <v>0.01015428</v>
      </c>
      <c r="AH107" s="0" t="n">
        <v>0.00540369</v>
      </c>
      <c r="AI107" s="0" t="n">
        <v>-0.03090154</v>
      </c>
      <c r="AJ107" s="0" t="n">
        <v>0.00627298</v>
      </c>
      <c r="AK107" s="0" t="n">
        <v>0.02707427</v>
      </c>
      <c r="AL107" s="0" t="n">
        <v>0.03282962</v>
      </c>
      <c r="AM107" s="0" t="n">
        <v>0.01539181</v>
      </c>
      <c r="AN107" s="0" t="n">
        <v>0.05402393</v>
      </c>
      <c r="AO107" s="0" t="n">
        <v>0.01471347</v>
      </c>
      <c r="AP107" s="0" t="n">
        <v>0.0398305</v>
      </c>
      <c r="AQ107" s="0" t="n">
        <v>-0.03308814</v>
      </c>
      <c r="AR107" s="0" t="n">
        <v>0.04751008</v>
      </c>
      <c r="AS107" s="0" t="n">
        <v>0.01238756</v>
      </c>
      <c r="AT107" s="0" t="n">
        <v>0.05664771</v>
      </c>
      <c r="AU107" s="0" t="n">
        <v>0.01055608</v>
      </c>
      <c r="AV107" s="0" t="n">
        <v>0.01636566</v>
      </c>
      <c r="AW107" s="0" t="n">
        <v>0.01215949</v>
      </c>
      <c r="AX107" s="0" t="n">
        <v>0.03123484</v>
      </c>
      <c r="AY107" s="0" t="n">
        <v>0.03804404</v>
      </c>
      <c r="AZ107" s="0" t="n">
        <v>0.04034771</v>
      </c>
      <c r="BA107" s="0" t="n">
        <v>0.05144934</v>
      </c>
      <c r="BB107" s="0" t="n">
        <v>0.07040001</v>
      </c>
      <c r="BC107" s="0" t="n">
        <v>0.01162486</v>
      </c>
      <c r="BD107" s="0" t="n">
        <v>0.02056047</v>
      </c>
      <c r="BE107" s="0" t="n">
        <v>0.02827283</v>
      </c>
      <c r="BF107" s="0" t="n">
        <v>0.02351425</v>
      </c>
      <c r="BG107" s="0" t="n">
        <v>0.03324559</v>
      </c>
      <c r="BH107" s="0" t="n">
        <v>0.01341754</v>
      </c>
      <c r="BI107" s="0" t="n">
        <v>0.00222889</v>
      </c>
      <c r="BJ107" s="0" t="n">
        <v>-0.00493271</v>
      </c>
      <c r="BK107" s="0" t="n">
        <v>0.02993106</v>
      </c>
      <c r="BL107" s="0" t="n">
        <v>0.04770797</v>
      </c>
      <c r="BM107" s="0" t="n">
        <v>0.04156121</v>
      </c>
      <c r="BN107" s="0" t="n">
        <v>0.02000334</v>
      </c>
      <c r="BO107" s="0" t="n">
        <v>0.05088841</v>
      </c>
      <c r="BP107" s="0" t="n">
        <v>0.00198453</v>
      </c>
      <c r="BQ107" s="0" t="n">
        <v>0.03396004</v>
      </c>
      <c r="BR107" s="0" t="n">
        <v>0.04979756</v>
      </c>
      <c r="BS107" s="0" t="n">
        <v>-0.03888167</v>
      </c>
      <c r="BT107" s="0" t="n">
        <v>0.07486405</v>
      </c>
      <c r="BU107" s="0" t="n">
        <v>0.02233656</v>
      </c>
      <c r="BV107" s="0" t="n">
        <v>0.04252584</v>
      </c>
      <c r="BW107" s="0" t="n">
        <v>0.00552212</v>
      </c>
      <c r="BX107" s="0" t="n">
        <v>0.02114489</v>
      </c>
      <c r="BY107" s="0" t="n">
        <v>0.06853753</v>
      </c>
      <c r="BZ107" s="0" t="n">
        <v>0.05559133</v>
      </c>
      <c r="CA107" s="0" t="n">
        <v>0.0123992</v>
      </c>
      <c r="CB107" s="0" t="n">
        <v>-0.00498007</v>
      </c>
      <c r="CC107" s="0" t="n">
        <v>0.02047045</v>
      </c>
      <c r="CD107" s="0" t="n">
        <v>0.03596652</v>
      </c>
      <c r="CE107" s="0" t="n">
        <v>0.02613357</v>
      </c>
      <c r="CF107" s="0" t="n">
        <v>-0.04747027</v>
      </c>
      <c r="CG107" s="0" t="n">
        <v>0.05742697</v>
      </c>
      <c r="CH107" s="0" t="n">
        <v>0.05345486</v>
      </c>
      <c r="CI107" s="0" t="n">
        <v>-0.05082711</v>
      </c>
      <c r="CJ107" s="0" t="n">
        <v>0.00047565</v>
      </c>
      <c r="CK107" s="0" t="n">
        <v>0.05051889</v>
      </c>
      <c r="CL107" s="0" t="n">
        <v>0.05910685</v>
      </c>
      <c r="CM107" s="0" t="n">
        <v>0.03437166</v>
      </c>
      <c r="CN107" s="0" t="n">
        <v>0.01112316</v>
      </c>
      <c r="CO107" s="0" t="n">
        <v>0.02444445</v>
      </c>
      <c r="CP107" s="0" t="n">
        <v>0.00592434</v>
      </c>
      <c r="CQ107" s="0" t="n">
        <v>0.13787226</v>
      </c>
      <c r="CR107" s="0" t="n">
        <v>0.05895579</v>
      </c>
      <c r="CS107" s="0" t="n">
        <v>0.07257098</v>
      </c>
      <c r="CT107" s="0" t="n">
        <v>0.0504434</v>
      </c>
      <c r="CU107" s="0" t="n">
        <v>0.02747608</v>
      </c>
      <c r="CV107" s="0" t="n">
        <v>0.06021494</v>
      </c>
      <c r="CW107" s="0" t="n">
        <v>0.038281</v>
      </c>
      <c r="CX107" s="0" t="n">
        <v>0.05727823</v>
      </c>
      <c r="CY107" s="0" t="n">
        <v>0.19886647</v>
      </c>
      <c r="CZ107" s="0" t="n">
        <v>0.01869875</v>
      </c>
      <c r="DA107" s="0" t="n">
        <v>0.02818654</v>
      </c>
      <c r="DB107" s="0" t="n">
        <v>0.05064645</v>
      </c>
      <c r="DC107" s="0" t="n">
        <v>0.09667383</v>
      </c>
      <c r="DD107" s="0" t="n">
        <v>0.0601254</v>
      </c>
      <c r="DE107" s="0" t="n">
        <v>0.07157507</v>
      </c>
      <c r="DF107" s="0" t="n">
        <v>0.0011805</v>
      </c>
      <c r="DG107" s="0" t="n">
        <v>0.04953753</v>
      </c>
      <c r="DH107" s="0" t="n">
        <v>0.04027888</v>
      </c>
      <c r="DI107" s="0" t="n">
        <v>0.15783575</v>
      </c>
      <c r="DJ107" s="0" t="n">
        <v>0.14738237</v>
      </c>
      <c r="DK107" s="0" t="n">
        <v>0.16208547</v>
      </c>
      <c r="DL107" s="0" t="n">
        <v>0.02151755</v>
      </c>
      <c r="DM107" s="0" t="n">
        <v>0.15798134</v>
      </c>
      <c r="DN107" s="0" t="n">
        <v>0.05152575</v>
      </c>
      <c r="DO107" s="0" t="n">
        <v>0.06807058</v>
      </c>
      <c r="DP107" s="0" t="n">
        <v>0.16114814</v>
      </c>
      <c r="DQ107" s="0" t="n">
        <v>0.04598797</v>
      </c>
      <c r="DR107" s="0" t="n">
        <v>0.03044294</v>
      </c>
      <c r="DS107" s="0" t="n">
        <v>0.01989642</v>
      </c>
      <c r="DT107" s="0" t="n">
        <v>0.02737124</v>
      </c>
      <c r="DU107" s="0" t="n">
        <v>0.08127559</v>
      </c>
      <c r="DV107" s="0" t="n">
        <v>0.03012625</v>
      </c>
      <c r="DW107" s="0" t="n">
        <v>0.07210889</v>
      </c>
      <c r="DX107" s="0" t="n">
        <v>0.08754464</v>
      </c>
      <c r="DY107" s="0" t="n">
        <v>0.09947905</v>
      </c>
      <c r="DZ107" s="0" t="n">
        <v>0.01029132</v>
      </c>
      <c r="EA107" s="0" t="n">
        <v>0.06763123</v>
      </c>
      <c r="EB107" s="0" t="n">
        <v>0.11045796</v>
      </c>
      <c r="EC107" s="0" t="n">
        <v>0.01913124</v>
      </c>
      <c r="ED107" s="0" t="n">
        <v>0.07058139</v>
      </c>
      <c r="EE107" s="0" t="n">
        <v>0.08229462</v>
      </c>
      <c r="EF107" s="0" t="n">
        <v>0.07969511</v>
      </c>
      <c r="EG107" s="0" t="n">
        <v>0.0926828</v>
      </c>
      <c r="EH107" s="0" t="n">
        <v>0.05467016</v>
      </c>
      <c r="EI107" s="0" t="n">
        <v>0.08434672</v>
      </c>
      <c r="EJ107" s="0" t="n">
        <v>0.12330326</v>
      </c>
      <c r="EK107" s="0" t="n">
        <v>0.07866027</v>
      </c>
      <c r="EL107" s="0" t="n">
        <v>0.11126319</v>
      </c>
      <c r="EM107" s="0" t="n">
        <v>0.05409774</v>
      </c>
      <c r="EN107" s="0" t="n">
        <v>0.073047</v>
      </c>
      <c r="EO107" s="0" t="n">
        <v>0.09553566</v>
      </c>
      <c r="EP107" s="55" t="n">
        <f aca="false">SUMPRODUCT(B107:EO107,$B$5:$EO$5)</f>
        <v>0.045845728</v>
      </c>
      <c r="EQ107" s="55" t="n">
        <f aca="false">SUMIF('Mi portafolio'!$A$8:$A$19,$A107,'Mi portafolio'!$B$8:$B$19)</f>
        <v>0</v>
      </c>
    </row>
    <row r="108" customFormat="false" ht="15" hidden="false" customHeight="false" outlineLevel="0" collapsed="false">
      <c r="A108" s="54" t="s">
        <v>249</v>
      </c>
      <c r="B108" s="0" t="n">
        <v>0.00759817</v>
      </c>
      <c r="C108" s="0" t="n">
        <v>-0.01084357</v>
      </c>
      <c r="D108" s="0" t="n">
        <v>0.01064417</v>
      </c>
      <c r="E108" s="0" t="n">
        <v>0.00467179</v>
      </c>
      <c r="F108" s="0" t="n">
        <v>0.00198541</v>
      </c>
      <c r="G108" s="0" t="n">
        <v>-0.01040935</v>
      </c>
      <c r="H108" s="0" t="n">
        <v>0.01009375</v>
      </c>
      <c r="I108" s="0" t="n">
        <v>0.00851895</v>
      </c>
      <c r="J108" s="0" t="n">
        <v>0.00406127</v>
      </c>
      <c r="K108" s="0" t="n">
        <v>0.00086876</v>
      </c>
      <c r="L108" s="0" t="n">
        <v>0.01328026</v>
      </c>
      <c r="M108" s="0" t="n">
        <v>0.0106513</v>
      </c>
      <c r="N108" s="0" t="n">
        <v>0.01965434</v>
      </c>
      <c r="O108" s="0" t="n">
        <v>-0.00074415</v>
      </c>
      <c r="P108" s="0" t="n">
        <v>0.01334876</v>
      </c>
      <c r="Q108" s="0" t="n">
        <v>0.00044996</v>
      </c>
      <c r="R108" s="0" t="n">
        <v>0.01075233</v>
      </c>
      <c r="S108" s="0" t="n">
        <v>0.01060143</v>
      </c>
      <c r="T108" s="0" t="n">
        <v>0.01600599</v>
      </c>
      <c r="U108" s="0" t="n">
        <v>0.01754881</v>
      </c>
      <c r="V108" s="0" t="n">
        <v>-0.00324071</v>
      </c>
      <c r="W108" s="0" t="n">
        <v>-0.00409443</v>
      </c>
      <c r="X108" s="0" t="n">
        <v>0.01443571</v>
      </c>
      <c r="Y108" s="0" t="n">
        <v>0.02681948</v>
      </c>
      <c r="Z108" s="0" t="n">
        <v>0.00431973</v>
      </c>
      <c r="AA108" s="0" t="n">
        <v>0.00927096</v>
      </c>
      <c r="AB108" s="0" t="n">
        <v>0.02479894</v>
      </c>
      <c r="AC108" s="0" t="n">
        <v>-0.00522354</v>
      </c>
      <c r="AD108" s="0" t="n">
        <v>-0.0054499</v>
      </c>
      <c r="AE108" s="0" t="n">
        <v>0.00324006</v>
      </c>
      <c r="AF108" s="0" t="n">
        <v>0.01082137</v>
      </c>
      <c r="AG108" s="0" t="n">
        <v>0.00714279</v>
      </c>
      <c r="AH108" s="0" t="n">
        <v>0.0097914</v>
      </c>
      <c r="AI108" s="0" t="n">
        <v>0.01186092</v>
      </c>
      <c r="AJ108" s="0" t="n">
        <v>0.00464341</v>
      </c>
      <c r="AK108" s="0" t="n">
        <v>0.00131893</v>
      </c>
      <c r="AL108" s="0" t="n">
        <v>0.0263665</v>
      </c>
      <c r="AM108" s="0" t="n">
        <v>0.02030414</v>
      </c>
      <c r="AN108" s="0" t="n">
        <v>0.01716621</v>
      </c>
      <c r="AO108" s="0" t="n">
        <v>0.00332398</v>
      </c>
      <c r="AP108" s="0" t="n">
        <v>0.01828677</v>
      </c>
      <c r="AQ108" s="0" t="n">
        <v>0.00276496</v>
      </c>
      <c r="AR108" s="0" t="n">
        <v>0.02295806</v>
      </c>
      <c r="AS108" s="0" t="n">
        <v>0.00886724</v>
      </c>
      <c r="AT108" s="0" t="n">
        <v>0.02445375</v>
      </c>
      <c r="AU108" s="0" t="n">
        <v>0.00833174</v>
      </c>
      <c r="AV108" s="0" t="n">
        <v>0.0029046</v>
      </c>
      <c r="AW108" s="0" t="n">
        <v>0.01625924</v>
      </c>
      <c r="AX108" s="0" t="n">
        <v>0.01452801</v>
      </c>
      <c r="AY108" s="0" t="n">
        <v>0.01937703</v>
      </c>
      <c r="AZ108" s="0" t="n">
        <v>0.01608592</v>
      </c>
      <c r="BA108" s="0" t="n">
        <v>0.00638108</v>
      </c>
      <c r="BB108" s="0" t="n">
        <v>0.02394361</v>
      </c>
      <c r="BC108" s="0" t="n">
        <v>0.0161042</v>
      </c>
      <c r="BD108" s="0" t="n">
        <v>0.01987061</v>
      </c>
      <c r="BE108" s="0" t="n">
        <v>0.01678554</v>
      </c>
      <c r="BF108" s="0" t="n">
        <v>0.00976644</v>
      </c>
      <c r="BG108" s="0" t="n">
        <v>0.02256969</v>
      </c>
      <c r="BH108" s="0" t="n">
        <v>0.00476707</v>
      </c>
      <c r="BI108" s="0" t="n">
        <v>0.0111476</v>
      </c>
      <c r="BJ108" s="0" t="n">
        <v>-0.00288379</v>
      </c>
      <c r="BK108" s="0" t="n">
        <v>0.00691643</v>
      </c>
      <c r="BL108" s="0" t="n">
        <v>0.01272888</v>
      </c>
      <c r="BM108" s="0" t="n">
        <v>0.02232397</v>
      </c>
      <c r="BN108" s="0" t="n">
        <v>-0.00603088</v>
      </c>
      <c r="BO108" s="0" t="n">
        <v>0.03161898</v>
      </c>
      <c r="BP108" s="0" t="n">
        <v>0.06035731</v>
      </c>
      <c r="BQ108" s="0" t="n">
        <v>0.01077653</v>
      </c>
      <c r="BR108" s="0" t="n">
        <v>0.02794674</v>
      </c>
      <c r="BS108" s="0" t="n">
        <v>0.01203941</v>
      </c>
      <c r="BT108" s="0" t="n">
        <v>-0.00048974</v>
      </c>
      <c r="BU108" s="0" t="n">
        <v>0.02496757</v>
      </c>
      <c r="BV108" s="0" t="n">
        <v>0.04454664</v>
      </c>
      <c r="BW108" s="0" t="n">
        <v>0.03542843</v>
      </c>
      <c r="BX108" s="0" t="n">
        <v>0.02276926</v>
      </c>
      <c r="BY108" s="0" t="n">
        <v>0.02632796</v>
      </c>
      <c r="BZ108" s="0" t="n">
        <v>0.02398393</v>
      </c>
      <c r="CA108" s="0" t="n">
        <v>0.00433191</v>
      </c>
      <c r="CB108" s="0" t="n">
        <v>0.00620336</v>
      </c>
      <c r="CC108" s="0" t="n">
        <v>0.01762786</v>
      </c>
      <c r="CD108" s="0" t="n">
        <v>0.03738831</v>
      </c>
      <c r="CE108" s="0" t="n">
        <v>0.027379</v>
      </c>
      <c r="CF108" s="0" t="n">
        <v>0.01677294</v>
      </c>
      <c r="CG108" s="0" t="n">
        <v>0.05272819</v>
      </c>
      <c r="CH108" s="0" t="n">
        <v>0.00770411</v>
      </c>
      <c r="CI108" s="0" t="n">
        <v>0.01429583</v>
      </c>
      <c r="CJ108" s="0" t="n">
        <v>0.02368374</v>
      </c>
      <c r="CK108" s="0" t="n">
        <v>0.03451082</v>
      </c>
      <c r="CL108" s="0" t="n">
        <v>0.02265341</v>
      </c>
      <c r="CM108" s="0" t="n">
        <v>0.03191949</v>
      </c>
      <c r="CN108" s="0" t="n">
        <v>0.02235463</v>
      </c>
      <c r="CO108" s="0" t="n">
        <v>0.01245604</v>
      </c>
      <c r="CP108" s="0" t="n">
        <v>0.03353133</v>
      </c>
      <c r="CQ108" s="0" t="n">
        <v>0.03178232</v>
      </c>
      <c r="CR108" s="0" t="n">
        <v>0.01573104</v>
      </c>
      <c r="CS108" s="0" t="n">
        <v>0.00178463</v>
      </c>
      <c r="CT108" s="0" t="n">
        <v>0.04738414</v>
      </c>
      <c r="CU108" s="0" t="n">
        <v>0.02795853</v>
      </c>
      <c r="CV108" s="0" t="n">
        <v>0.03218225</v>
      </c>
      <c r="CW108" s="0" t="n">
        <v>0.06365696</v>
      </c>
      <c r="CX108" s="0" t="n">
        <v>0.03791302</v>
      </c>
      <c r="CY108" s="0" t="n">
        <v>0.01869875</v>
      </c>
      <c r="CZ108" s="0" t="n">
        <v>0.20605197</v>
      </c>
      <c r="DA108" s="0" t="n">
        <v>0.0660496</v>
      </c>
      <c r="DB108" s="0" t="n">
        <v>0.04665253</v>
      </c>
      <c r="DC108" s="0" t="n">
        <v>0.02194804</v>
      </c>
      <c r="DD108" s="0" t="n">
        <v>0.06826069</v>
      </c>
      <c r="DE108" s="0" t="n">
        <v>0.00898828</v>
      </c>
      <c r="DF108" s="0" t="n">
        <v>0.12326346</v>
      </c>
      <c r="DG108" s="0" t="n">
        <v>0.01262816</v>
      </c>
      <c r="DH108" s="0" t="n">
        <v>0.03841255</v>
      </c>
      <c r="DI108" s="0" t="n">
        <v>0.0336457</v>
      </c>
      <c r="DJ108" s="0" t="n">
        <v>0.04041005</v>
      </c>
      <c r="DK108" s="0" t="n">
        <v>0.02974454</v>
      </c>
      <c r="DL108" s="0" t="n">
        <v>0.01180968</v>
      </c>
      <c r="DM108" s="0" t="n">
        <v>0.0406871</v>
      </c>
      <c r="DN108" s="0" t="n">
        <v>0.05921614</v>
      </c>
      <c r="DO108" s="0" t="n">
        <v>0.04733091</v>
      </c>
      <c r="DP108" s="0" t="n">
        <v>0.03695481</v>
      </c>
      <c r="DQ108" s="0" t="n">
        <v>0.04124664</v>
      </c>
      <c r="DR108" s="0" t="n">
        <v>0.02835421</v>
      </c>
      <c r="DS108" s="0" t="n">
        <v>0.08216079</v>
      </c>
      <c r="DT108" s="0" t="n">
        <v>0.08130375</v>
      </c>
      <c r="DU108" s="0" t="n">
        <v>0.06291236</v>
      </c>
      <c r="DV108" s="0" t="n">
        <v>0.09255434</v>
      </c>
      <c r="DW108" s="0" t="n">
        <v>0.09321953</v>
      </c>
      <c r="DX108" s="0" t="n">
        <v>0.00899743</v>
      </c>
      <c r="DY108" s="0" t="n">
        <v>0.06734968</v>
      </c>
      <c r="DZ108" s="0" t="n">
        <v>0.14346713</v>
      </c>
      <c r="EA108" s="0" t="n">
        <v>0.00185135</v>
      </c>
      <c r="EB108" s="0" t="n">
        <v>0.08876781</v>
      </c>
      <c r="EC108" s="0" t="n">
        <v>-0.0031064</v>
      </c>
      <c r="ED108" s="0" t="n">
        <v>0.04412992</v>
      </c>
      <c r="EE108" s="0" t="n">
        <v>0.01421789</v>
      </c>
      <c r="EF108" s="0" t="n">
        <v>0.01443583</v>
      </c>
      <c r="EG108" s="0" t="n">
        <v>0.02400933</v>
      </c>
      <c r="EH108" s="0" t="n">
        <v>0.10410792</v>
      </c>
      <c r="EI108" s="0" t="n">
        <v>0.00103307</v>
      </c>
      <c r="EJ108" s="0" t="n">
        <v>0.07657555</v>
      </c>
      <c r="EK108" s="0" t="n">
        <v>0.04915731</v>
      </c>
      <c r="EL108" s="0" t="n">
        <v>0.02882622</v>
      </c>
      <c r="EM108" s="0" t="n">
        <v>0.07895159</v>
      </c>
      <c r="EN108" s="0" t="n">
        <v>0.0617215</v>
      </c>
      <c r="EO108" s="0" t="n">
        <v>0.06431621</v>
      </c>
      <c r="EP108" s="55" t="n">
        <f aca="false">SUMPRODUCT(B108:EO108,$B$5:$EO$5)</f>
        <v>0.02703294</v>
      </c>
      <c r="EQ108" s="55" t="n">
        <f aca="false">SUMIF('Mi portafolio'!$A$8:$A$19,$A108,'Mi portafolio'!$B$8:$B$19)</f>
        <v>0</v>
      </c>
    </row>
    <row r="109" customFormat="false" ht="15" hidden="false" customHeight="false" outlineLevel="0" collapsed="false">
      <c r="A109" s="54" t="s">
        <v>250</v>
      </c>
      <c r="B109" s="0" t="n">
        <v>0.00864992</v>
      </c>
      <c r="C109" s="0" t="n">
        <v>-0.00115133</v>
      </c>
      <c r="D109" s="0" t="n">
        <v>0.01554343</v>
      </c>
      <c r="E109" s="0" t="n">
        <v>-0.00262581</v>
      </c>
      <c r="F109" s="0" t="n">
        <v>0.00581329</v>
      </c>
      <c r="G109" s="0" t="n">
        <v>-0.00908306</v>
      </c>
      <c r="H109" s="0" t="n">
        <v>0.00486373</v>
      </c>
      <c r="I109" s="0" t="n">
        <v>0.01116933</v>
      </c>
      <c r="J109" s="0" t="n">
        <v>0.00055547</v>
      </c>
      <c r="K109" s="0" t="n">
        <v>0.01220086</v>
      </c>
      <c r="L109" s="0" t="n">
        <v>0.01035284</v>
      </c>
      <c r="M109" s="0" t="n">
        <v>0.01589625</v>
      </c>
      <c r="N109" s="0" t="n">
        <v>0.03599171</v>
      </c>
      <c r="O109" s="0" t="n">
        <v>-0.01392653</v>
      </c>
      <c r="P109" s="0" t="n">
        <v>0.0110012</v>
      </c>
      <c r="Q109" s="0" t="n">
        <v>0.00014251</v>
      </c>
      <c r="R109" s="0" t="n">
        <v>0.00308586</v>
      </c>
      <c r="S109" s="0" t="n">
        <v>0.0098788</v>
      </c>
      <c r="T109" s="0" t="n">
        <v>0.01434481</v>
      </c>
      <c r="U109" s="0" t="n">
        <v>0.00170628</v>
      </c>
      <c r="V109" s="0" t="n">
        <v>-0.00027808</v>
      </c>
      <c r="W109" s="0" t="n">
        <v>-0.01280918</v>
      </c>
      <c r="X109" s="0" t="n">
        <v>0.01480404</v>
      </c>
      <c r="Y109" s="0" t="n">
        <v>0.03556796</v>
      </c>
      <c r="Z109" s="0" t="n">
        <v>0.00054026</v>
      </c>
      <c r="AA109" s="0" t="n">
        <v>-0.0052064</v>
      </c>
      <c r="AB109" s="0" t="n">
        <v>0.03344336</v>
      </c>
      <c r="AC109" s="0" t="n">
        <v>-0.01110153</v>
      </c>
      <c r="AD109" s="0" t="n">
        <v>-0.00232259</v>
      </c>
      <c r="AE109" s="0" t="n">
        <v>0.00074811</v>
      </c>
      <c r="AF109" s="0" t="n">
        <v>-0.01543045</v>
      </c>
      <c r="AG109" s="0" t="n">
        <v>0.01047786</v>
      </c>
      <c r="AH109" s="0" t="n">
        <v>0.00542988</v>
      </c>
      <c r="AI109" s="0" t="n">
        <v>0.00140235</v>
      </c>
      <c r="AJ109" s="0" t="n">
        <v>0.00066632</v>
      </c>
      <c r="AK109" s="0" t="n">
        <v>-0.01161868</v>
      </c>
      <c r="AL109" s="0" t="n">
        <v>0.03139949</v>
      </c>
      <c r="AM109" s="0" t="n">
        <v>0.01182215</v>
      </c>
      <c r="AN109" s="0" t="n">
        <v>0.02539887</v>
      </c>
      <c r="AO109" s="0" t="n">
        <v>0.02232999</v>
      </c>
      <c r="AP109" s="0" t="n">
        <v>0.03682763</v>
      </c>
      <c r="AQ109" s="0" t="n">
        <v>-0.007273</v>
      </c>
      <c r="AR109" s="0" t="n">
        <v>0.0189309</v>
      </c>
      <c r="AS109" s="0" t="n">
        <v>0.00792859</v>
      </c>
      <c r="AT109" s="0" t="n">
        <v>0.03689239</v>
      </c>
      <c r="AU109" s="0" t="n">
        <v>-0.00183367</v>
      </c>
      <c r="AV109" s="0" t="n">
        <v>0.00343497</v>
      </c>
      <c r="AW109" s="0" t="n">
        <v>0.00347908</v>
      </c>
      <c r="AX109" s="0" t="n">
        <v>0.02597446</v>
      </c>
      <c r="AY109" s="0" t="n">
        <v>0.02159381</v>
      </c>
      <c r="AZ109" s="0" t="n">
        <v>0.01148032</v>
      </c>
      <c r="BA109" s="0" t="n">
        <v>0.00763521</v>
      </c>
      <c r="BB109" s="0" t="n">
        <v>0.02153891</v>
      </c>
      <c r="BC109" s="0" t="n">
        <v>0.00419299</v>
      </c>
      <c r="BD109" s="0" t="n">
        <v>0.01145369</v>
      </c>
      <c r="BE109" s="0" t="n">
        <v>0.01849147</v>
      </c>
      <c r="BF109" s="0" t="n">
        <v>0.01244819</v>
      </c>
      <c r="BG109" s="0" t="n">
        <v>0.04864176</v>
      </c>
      <c r="BH109" s="0" t="n">
        <v>0.01725947</v>
      </c>
      <c r="BI109" s="0" t="n">
        <v>-0.00053451</v>
      </c>
      <c r="BJ109" s="0" t="n">
        <v>-0.01486116</v>
      </c>
      <c r="BK109" s="0" t="n">
        <v>0.00060435</v>
      </c>
      <c r="BL109" s="0" t="n">
        <v>0.01332915</v>
      </c>
      <c r="BM109" s="0" t="n">
        <v>0.03255959</v>
      </c>
      <c r="BN109" s="0" t="n">
        <v>0.0111008</v>
      </c>
      <c r="BO109" s="0" t="n">
        <v>0.0268509</v>
      </c>
      <c r="BP109" s="0" t="n">
        <v>0.04789432</v>
      </c>
      <c r="BQ109" s="0" t="n">
        <v>0.01411942</v>
      </c>
      <c r="BR109" s="0" t="n">
        <v>0.02328312</v>
      </c>
      <c r="BS109" s="0" t="n">
        <v>0.00153439</v>
      </c>
      <c r="BT109" s="0" t="n">
        <v>0.0199253</v>
      </c>
      <c r="BU109" s="0" t="n">
        <v>-0.00353677</v>
      </c>
      <c r="BV109" s="0" t="n">
        <v>0.04188094</v>
      </c>
      <c r="BW109" s="0" t="n">
        <v>0.01861986</v>
      </c>
      <c r="BX109" s="0" t="n">
        <v>0.02624072</v>
      </c>
      <c r="BY109" s="0" t="n">
        <v>0.02905926</v>
      </c>
      <c r="BZ109" s="0" t="n">
        <v>0.0352556</v>
      </c>
      <c r="CA109" s="0" t="n">
        <v>0.00991487</v>
      </c>
      <c r="CB109" s="0" t="n">
        <v>-0.00299573</v>
      </c>
      <c r="CC109" s="0" t="n">
        <v>0.02335954</v>
      </c>
      <c r="CD109" s="0" t="n">
        <v>0.0526574</v>
      </c>
      <c r="CE109" s="0" t="n">
        <v>0.0040696</v>
      </c>
      <c r="CF109" s="0" t="n">
        <v>-0.00515192</v>
      </c>
      <c r="CG109" s="0" t="n">
        <v>0.06114428</v>
      </c>
      <c r="CH109" s="0" t="n">
        <v>-0.00634716</v>
      </c>
      <c r="CI109" s="0" t="n">
        <v>-0.00131761</v>
      </c>
      <c r="CJ109" s="0" t="n">
        <v>0.04848613</v>
      </c>
      <c r="CK109" s="0" t="n">
        <v>0.03907054</v>
      </c>
      <c r="CL109" s="0" t="n">
        <v>0.03046926</v>
      </c>
      <c r="CM109" s="0" t="n">
        <v>0.04099143</v>
      </c>
      <c r="CN109" s="0" t="n">
        <v>-0.0024396</v>
      </c>
      <c r="CO109" s="0" t="n">
        <v>0.03010094</v>
      </c>
      <c r="CP109" s="0" t="n">
        <v>0.03530655</v>
      </c>
      <c r="CQ109" s="0" t="n">
        <v>0.03317282</v>
      </c>
      <c r="CR109" s="0" t="n">
        <v>0.02573179</v>
      </c>
      <c r="CS109" s="0" t="n">
        <v>-0.00028584</v>
      </c>
      <c r="CT109" s="0" t="n">
        <v>0.05953768</v>
      </c>
      <c r="CU109" s="0" t="n">
        <v>0.03602254</v>
      </c>
      <c r="CV109" s="0" t="n">
        <v>0.04199138</v>
      </c>
      <c r="CW109" s="0" t="n">
        <v>0.05348072</v>
      </c>
      <c r="CX109" s="0" t="n">
        <v>0.05132626</v>
      </c>
      <c r="CY109" s="0" t="n">
        <v>0.02818654</v>
      </c>
      <c r="CZ109" s="0" t="n">
        <v>0.0660496</v>
      </c>
      <c r="DA109" s="0" t="n">
        <v>0.2047268</v>
      </c>
      <c r="DB109" s="0" t="n">
        <v>0.03697054</v>
      </c>
      <c r="DC109" s="0" t="n">
        <v>0.0142621</v>
      </c>
      <c r="DD109" s="0" t="n">
        <v>0.09495257</v>
      </c>
      <c r="DE109" s="0" t="n">
        <v>0.00863469</v>
      </c>
      <c r="DF109" s="0" t="n">
        <v>0.06654035</v>
      </c>
      <c r="DG109" s="0" t="n">
        <v>0.02661072</v>
      </c>
      <c r="DH109" s="0" t="n">
        <v>0.02440331</v>
      </c>
      <c r="DI109" s="0" t="n">
        <v>0.03014879</v>
      </c>
      <c r="DJ109" s="0" t="n">
        <v>0.05034395</v>
      </c>
      <c r="DK109" s="0" t="n">
        <v>0.03524774</v>
      </c>
      <c r="DL109" s="0" t="n">
        <v>0.00327996</v>
      </c>
      <c r="DM109" s="0" t="n">
        <v>0.05131681</v>
      </c>
      <c r="DN109" s="0" t="n">
        <v>0.0828449</v>
      </c>
      <c r="DO109" s="0" t="n">
        <v>0.03534268</v>
      </c>
      <c r="DP109" s="0" t="n">
        <v>0.06162237</v>
      </c>
      <c r="DQ109" s="0" t="n">
        <v>0.0219601</v>
      </c>
      <c r="DR109" s="0" t="n">
        <v>0.01267875</v>
      </c>
      <c r="DS109" s="0" t="n">
        <v>0.05165649</v>
      </c>
      <c r="DT109" s="0" t="n">
        <v>0.05184999</v>
      </c>
      <c r="DU109" s="0" t="n">
        <v>0.08007026</v>
      </c>
      <c r="DV109" s="0" t="n">
        <v>0.04864848</v>
      </c>
      <c r="DW109" s="0" t="n">
        <v>0.11252939</v>
      </c>
      <c r="DX109" s="0" t="n">
        <v>0.00945855</v>
      </c>
      <c r="DY109" s="0" t="n">
        <v>0.08942956</v>
      </c>
      <c r="DZ109" s="0" t="n">
        <v>0.06190385</v>
      </c>
      <c r="EA109" s="0" t="n">
        <v>0.03987038</v>
      </c>
      <c r="EB109" s="0" t="n">
        <v>0.09438114</v>
      </c>
      <c r="EC109" s="0" t="n">
        <v>-0.00477242</v>
      </c>
      <c r="ED109" s="0" t="n">
        <v>0.06632329</v>
      </c>
      <c r="EE109" s="0" t="n">
        <v>0.0286277</v>
      </c>
      <c r="EF109" s="0" t="n">
        <v>0.03120755</v>
      </c>
      <c r="EG109" s="0" t="n">
        <v>0.00112399</v>
      </c>
      <c r="EH109" s="0" t="n">
        <v>0.13803891</v>
      </c>
      <c r="EI109" s="0" t="n">
        <v>-0.00510891</v>
      </c>
      <c r="EJ109" s="0" t="n">
        <v>0.1220212</v>
      </c>
      <c r="EK109" s="0" t="n">
        <v>0.0915851</v>
      </c>
      <c r="EL109" s="0" t="n">
        <v>0.05704543</v>
      </c>
      <c r="EM109" s="0" t="n">
        <v>0.05511914</v>
      </c>
      <c r="EN109" s="0" t="n">
        <v>0.07178019</v>
      </c>
      <c r="EO109" s="0" t="n">
        <v>0.09386507</v>
      </c>
      <c r="EP109" s="55" t="n">
        <f aca="false">SUMPRODUCT(B109:EO109,$B$5:$EO$5)</f>
        <v>0.019199402</v>
      </c>
      <c r="EQ109" s="55" t="n">
        <f aca="false">SUMIF('Mi portafolio'!$A$8:$A$19,$A109,'Mi portafolio'!$B$8:$B$19)</f>
        <v>0</v>
      </c>
    </row>
    <row r="110" customFormat="false" ht="15" hidden="false" customHeight="false" outlineLevel="0" collapsed="false">
      <c r="A110" s="54" t="s">
        <v>50</v>
      </c>
      <c r="B110" s="0" t="n">
        <v>-7.552E-005</v>
      </c>
      <c r="C110" s="0" t="n">
        <v>0.0037139</v>
      </c>
      <c r="D110" s="0" t="n">
        <v>0.00872036</v>
      </c>
      <c r="E110" s="0" t="n">
        <v>0.0178448</v>
      </c>
      <c r="F110" s="0" t="n">
        <v>-0.00736626</v>
      </c>
      <c r="G110" s="0" t="n">
        <v>0.00749292</v>
      </c>
      <c r="H110" s="0" t="n">
        <v>0.01201632</v>
      </c>
      <c r="I110" s="0" t="n">
        <v>-0.0030704</v>
      </c>
      <c r="J110" s="0" t="n">
        <v>-0.00840364</v>
      </c>
      <c r="K110" s="0" t="n">
        <v>-0.00208334</v>
      </c>
      <c r="L110" s="0" t="n">
        <v>0.01244333</v>
      </c>
      <c r="M110" s="0" t="n">
        <v>0.03058433</v>
      </c>
      <c r="N110" s="0" t="n">
        <v>0.0138079</v>
      </c>
      <c r="O110" s="0" t="n">
        <v>0.01273136</v>
      </c>
      <c r="P110" s="0" t="n">
        <v>-0.00716265</v>
      </c>
      <c r="Q110" s="0" t="n">
        <v>0.0077903</v>
      </c>
      <c r="R110" s="0" t="n">
        <v>-0.00381206</v>
      </c>
      <c r="S110" s="0" t="n">
        <v>0.0029979</v>
      </c>
      <c r="T110" s="0" t="n">
        <v>0.01977069</v>
      </c>
      <c r="U110" s="0" t="n">
        <v>0.02818989</v>
      </c>
      <c r="V110" s="0" t="n">
        <v>0.0141629</v>
      </c>
      <c r="W110" s="0" t="n">
        <v>0.01752483</v>
      </c>
      <c r="X110" s="0" t="n">
        <v>0.01973489</v>
      </c>
      <c r="Y110" s="0" t="n">
        <v>0.00347966</v>
      </c>
      <c r="Z110" s="0" t="n">
        <v>0.01553596</v>
      </c>
      <c r="AA110" s="0" t="n">
        <v>0.00620768</v>
      </c>
      <c r="AB110" s="0" t="n">
        <v>0.00181308</v>
      </c>
      <c r="AC110" s="0" t="n">
        <v>0.0176417</v>
      </c>
      <c r="AD110" s="0" t="n">
        <v>0.01355614</v>
      </c>
      <c r="AE110" s="0" t="n">
        <v>0.01489198</v>
      </c>
      <c r="AF110" s="0" t="n">
        <v>0.03064956</v>
      </c>
      <c r="AG110" s="0" t="n">
        <v>-0.00984068</v>
      </c>
      <c r="AH110" s="0" t="n">
        <v>-0.00300556</v>
      </c>
      <c r="AI110" s="0" t="n">
        <v>-0.00917704</v>
      </c>
      <c r="AJ110" s="0" t="n">
        <v>0.01174241</v>
      </c>
      <c r="AK110" s="0" t="n">
        <v>0.02222914</v>
      </c>
      <c r="AL110" s="0" t="n">
        <v>0.02568147</v>
      </c>
      <c r="AM110" s="0" t="n">
        <v>0.02024205</v>
      </c>
      <c r="AN110" s="0" t="n">
        <v>0.02218026</v>
      </c>
      <c r="AO110" s="0" t="n">
        <v>-0.00545305</v>
      </c>
      <c r="AP110" s="0" t="n">
        <v>0.02427902</v>
      </c>
      <c r="AQ110" s="0" t="n">
        <v>-0.01534805</v>
      </c>
      <c r="AR110" s="0" t="n">
        <v>0.01658077</v>
      </c>
      <c r="AS110" s="0" t="n">
        <v>0.02611452</v>
      </c>
      <c r="AT110" s="0" t="n">
        <v>0.0389539</v>
      </c>
      <c r="AU110" s="0" t="n">
        <v>-0.00235654</v>
      </c>
      <c r="AV110" s="0" t="n">
        <v>0.03064763</v>
      </c>
      <c r="AW110" s="0" t="n">
        <v>0.03365741</v>
      </c>
      <c r="AX110" s="0" t="n">
        <v>0.01224493</v>
      </c>
      <c r="AY110" s="0" t="n">
        <v>0.01347747</v>
      </c>
      <c r="AZ110" s="0" t="n">
        <v>0.02454027</v>
      </c>
      <c r="BA110" s="0" t="n">
        <v>0.02240009</v>
      </c>
      <c r="BB110" s="0" t="n">
        <v>0.0500136</v>
      </c>
      <c r="BC110" s="0" t="n">
        <v>0.02268803</v>
      </c>
      <c r="BD110" s="0" t="n">
        <v>0.02293335</v>
      </c>
      <c r="BE110" s="0" t="n">
        <v>0.00457615</v>
      </c>
      <c r="BF110" s="0" t="n">
        <v>0.03309983</v>
      </c>
      <c r="BG110" s="0" t="n">
        <v>0.00775468</v>
      </c>
      <c r="BH110" s="0" t="n">
        <v>0.03963676</v>
      </c>
      <c r="BI110" s="0" t="n">
        <v>0.02120458</v>
      </c>
      <c r="BJ110" s="0" t="n">
        <v>0.00658118</v>
      </c>
      <c r="BK110" s="0" t="n">
        <v>0.02865034</v>
      </c>
      <c r="BL110" s="0" t="n">
        <v>0.03805334</v>
      </c>
      <c r="BM110" s="0" t="n">
        <v>0.01022479</v>
      </c>
      <c r="BN110" s="0" t="n">
        <v>0.00742086</v>
      </c>
      <c r="BO110" s="0" t="n">
        <v>0.06458206</v>
      </c>
      <c r="BP110" s="0" t="n">
        <v>0.03895682</v>
      </c>
      <c r="BQ110" s="0" t="n">
        <v>0.05140434</v>
      </c>
      <c r="BR110" s="0" t="n">
        <v>0.02279084</v>
      </c>
      <c r="BS110" s="0" t="n">
        <v>-0.00734892</v>
      </c>
      <c r="BT110" s="0" t="n">
        <v>0.03877156</v>
      </c>
      <c r="BU110" s="0" t="n">
        <v>0.01927087</v>
      </c>
      <c r="BV110" s="0" t="n">
        <v>0.06169658</v>
      </c>
      <c r="BW110" s="0" t="n">
        <v>0.02660144</v>
      </c>
      <c r="BX110" s="0" t="n">
        <v>0.00944342</v>
      </c>
      <c r="BY110" s="0" t="n">
        <v>0.0435575</v>
      </c>
      <c r="BZ110" s="0" t="n">
        <v>0.04800052</v>
      </c>
      <c r="CA110" s="0" t="n">
        <v>0.02741136</v>
      </c>
      <c r="CB110" s="0" t="n">
        <v>-0.00093144</v>
      </c>
      <c r="CC110" s="0" t="n">
        <v>0.01945029</v>
      </c>
      <c r="CD110" s="0" t="n">
        <v>0.02801374</v>
      </c>
      <c r="CE110" s="0" t="n">
        <v>0.04156939</v>
      </c>
      <c r="CF110" s="0" t="n">
        <v>-0.01826374</v>
      </c>
      <c r="CG110" s="0" t="n">
        <v>0.039708</v>
      </c>
      <c r="CH110" s="0" t="n">
        <v>0.06351546</v>
      </c>
      <c r="CI110" s="0" t="n">
        <v>-0.02216343</v>
      </c>
      <c r="CJ110" s="0" t="n">
        <v>0.01329617</v>
      </c>
      <c r="CK110" s="0" t="n">
        <v>0.02780093</v>
      </c>
      <c r="CL110" s="0" t="n">
        <v>0.04882102</v>
      </c>
      <c r="CM110" s="0" t="n">
        <v>0.07912678</v>
      </c>
      <c r="CN110" s="0" t="n">
        <v>0.01818588</v>
      </c>
      <c r="CO110" s="0" t="n">
        <v>0.03879713</v>
      </c>
      <c r="CP110" s="0" t="n">
        <v>0.03800031</v>
      </c>
      <c r="CQ110" s="0" t="n">
        <v>0.06208623</v>
      </c>
      <c r="CR110" s="0" t="n">
        <v>0.08728223</v>
      </c>
      <c r="CS110" s="0" t="n">
        <v>0.07132412</v>
      </c>
      <c r="CT110" s="0" t="n">
        <v>0.06836451</v>
      </c>
      <c r="CU110" s="0" t="n">
        <v>0.04730415</v>
      </c>
      <c r="CV110" s="0" t="n">
        <v>0.07104731</v>
      </c>
      <c r="CW110" s="0" t="n">
        <v>0.04168845</v>
      </c>
      <c r="CX110" s="0" t="n">
        <v>0.07085085</v>
      </c>
      <c r="CY110" s="0" t="n">
        <v>0.05064645</v>
      </c>
      <c r="CZ110" s="0" t="n">
        <v>0.04665253</v>
      </c>
      <c r="DA110" s="0" t="n">
        <v>0.03697054</v>
      </c>
      <c r="DB110" s="0" t="n">
        <v>0.21646031</v>
      </c>
      <c r="DC110" s="0" t="n">
        <v>0.06389784</v>
      </c>
      <c r="DD110" s="0" t="n">
        <v>0.07667929</v>
      </c>
      <c r="DE110" s="0" t="n">
        <v>0.08909942</v>
      </c>
      <c r="DF110" s="0" t="n">
        <v>0.02829109</v>
      </c>
      <c r="DG110" s="0" t="n">
        <v>0.07093401</v>
      </c>
      <c r="DH110" s="0" t="n">
        <v>0.0833819</v>
      </c>
      <c r="DI110" s="0" t="n">
        <v>0.08399141</v>
      </c>
      <c r="DJ110" s="0" t="n">
        <v>0.04009082</v>
      </c>
      <c r="DK110" s="0" t="n">
        <v>0.07674493</v>
      </c>
      <c r="DL110" s="0" t="n">
        <v>0.05195449</v>
      </c>
      <c r="DM110" s="0" t="n">
        <v>0.06454625</v>
      </c>
      <c r="DN110" s="0" t="n">
        <v>0.0232074</v>
      </c>
      <c r="DO110" s="0" t="n">
        <v>0.11555126</v>
      </c>
      <c r="DP110" s="0" t="n">
        <v>0.06645476</v>
      </c>
      <c r="DQ110" s="0" t="n">
        <v>0.09435593</v>
      </c>
      <c r="DR110" s="0" t="n">
        <v>0.08865066</v>
      </c>
      <c r="DS110" s="0" t="n">
        <v>0.0273855</v>
      </c>
      <c r="DT110" s="0" t="n">
        <v>0.10250973</v>
      </c>
      <c r="DU110" s="0" t="n">
        <v>0.12916158</v>
      </c>
      <c r="DV110" s="0" t="n">
        <v>0.1053235</v>
      </c>
      <c r="DW110" s="0" t="n">
        <v>0.08115736</v>
      </c>
      <c r="DX110" s="0" t="n">
        <v>0.11303497</v>
      </c>
      <c r="DY110" s="0" t="n">
        <v>0.11592693</v>
      </c>
      <c r="DZ110" s="0" t="n">
        <v>0.06466007</v>
      </c>
      <c r="EA110" s="0" t="n">
        <v>0.06905586</v>
      </c>
      <c r="EB110" s="0" t="n">
        <v>0.1261</v>
      </c>
      <c r="EC110" s="0" t="n">
        <v>0.02113051</v>
      </c>
      <c r="ED110" s="0" t="n">
        <v>0.13667253</v>
      </c>
      <c r="EE110" s="0" t="n">
        <v>0.14795423</v>
      </c>
      <c r="EF110" s="0" t="n">
        <v>0.04920257</v>
      </c>
      <c r="EG110" s="0" t="n">
        <v>0.13715421</v>
      </c>
      <c r="EH110" s="0" t="n">
        <v>0.04723399</v>
      </c>
      <c r="EI110" s="0" t="n">
        <v>0.1289893</v>
      </c>
      <c r="EJ110" s="0" t="n">
        <v>0.12396151</v>
      </c>
      <c r="EK110" s="0" t="n">
        <v>0.15447163</v>
      </c>
      <c r="EL110" s="0" t="n">
        <v>0.14468746</v>
      </c>
      <c r="EM110" s="0" t="n">
        <v>0.07428427</v>
      </c>
      <c r="EN110" s="0" t="n">
        <v>0.11819554</v>
      </c>
      <c r="EO110" s="0" t="n">
        <v>0.1309467</v>
      </c>
      <c r="EP110" s="55" t="n">
        <f aca="false">SUMPRODUCT(B110:EO110,$B$5:$EO$5)</f>
        <v>0.095868814</v>
      </c>
      <c r="EQ110" s="55" t="n">
        <f aca="false">SUMIF('Mi portafolio'!$A$8:$A$19,$A110,'Mi portafolio'!$B$8:$B$19)</f>
        <v>0.2</v>
      </c>
    </row>
    <row r="111" customFormat="false" ht="15" hidden="false" customHeight="false" outlineLevel="0" collapsed="false">
      <c r="A111" s="54" t="s">
        <v>251</v>
      </c>
      <c r="B111" s="0" t="n">
        <v>-0.0014991</v>
      </c>
      <c r="C111" s="0" t="n">
        <v>0.00345748</v>
      </c>
      <c r="D111" s="0" t="n">
        <v>0.01657596</v>
      </c>
      <c r="E111" s="0" t="n">
        <v>0.01641426</v>
      </c>
      <c r="F111" s="0" t="n">
        <v>-0.00908898</v>
      </c>
      <c r="G111" s="0" t="n">
        <v>0.00962857</v>
      </c>
      <c r="H111" s="0" t="n">
        <v>0.01618012</v>
      </c>
      <c r="I111" s="0" t="n">
        <v>0.00314685</v>
      </c>
      <c r="J111" s="0" t="n">
        <v>-0.00621576</v>
      </c>
      <c r="K111" s="0" t="n">
        <v>0.01309189</v>
      </c>
      <c r="L111" s="0" t="n">
        <v>0.01438898</v>
      </c>
      <c r="M111" s="0" t="n">
        <v>0.03417738</v>
      </c>
      <c r="N111" s="0" t="n">
        <v>0.01127507</v>
      </c>
      <c r="O111" s="0" t="n">
        <v>0.02221399</v>
      </c>
      <c r="P111" s="0" t="n">
        <v>-0.01021576</v>
      </c>
      <c r="Q111" s="0" t="n">
        <v>0.00908282</v>
      </c>
      <c r="R111" s="0" t="n">
        <v>-0.00293064</v>
      </c>
      <c r="S111" s="0" t="n">
        <v>0.00987725</v>
      </c>
      <c r="T111" s="0" t="n">
        <v>0.03370465</v>
      </c>
      <c r="U111" s="0" t="n">
        <v>0.02185235</v>
      </c>
      <c r="V111" s="0" t="n">
        <v>0.02376663</v>
      </c>
      <c r="W111" s="0" t="n">
        <v>0.01535577</v>
      </c>
      <c r="X111" s="0" t="n">
        <v>0.02906024</v>
      </c>
      <c r="Y111" s="0" t="n">
        <v>0.00540917</v>
      </c>
      <c r="Z111" s="0" t="n">
        <v>0.02610285</v>
      </c>
      <c r="AA111" s="0" t="n">
        <v>0.03187227</v>
      </c>
      <c r="AB111" s="0" t="n">
        <v>0.00700148</v>
      </c>
      <c r="AC111" s="0" t="n">
        <v>0.0134607</v>
      </c>
      <c r="AD111" s="0" t="n">
        <v>0.00567069</v>
      </c>
      <c r="AE111" s="0" t="n">
        <v>0.04920199</v>
      </c>
      <c r="AF111" s="0" t="n">
        <v>0.03375564</v>
      </c>
      <c r="AG111" s="0" t="n">
        <v>-0.01546276</v>
      </c>
      <c r="AH111" s="0" t="n">
        <v>-0.01258581</v>
      </c>
      <c r="AI111" s="0" t="n">
        <v>-0.0455977</v>
      </c>
      <c r="AJ111" s="0" t="n">
        <v>0.03390429</v>
      </c>
      <c r="AK111" s="0" t="n">
        <v>0.04202987</v>
      </c>
      <c r="AL111" s="0" t="n">
        <v>0.01073371</v>
      </c>
      <c r="AM111" s="0" t="n">
        <v>0.04258068</v>
      </c>
      <c r="AN111" s="0" t="n">
        <v>0.03826697</v>
      </c>
      <c r="AO111" s="0" t="n">
        <v>-0.00061539</v>
      </c>
      <c r="AP111" s="0" t="n">
        <v>0.02333807</v>
      </c>
      <c r="AQ111" s="0" t="n">
        <v>-0.04842881</v>
      </c>
      <c r="AR111" s="0" t="n">
        <v>0.03002093</v>
      </c>
      <c r="AS111" s="0" t="n">
        <v>0.03656403</v>
      </c>
      <c r="AT111" s="0" t="n">
        <v>0.0375119</v>
      </c>
      <c r="AU111" s="0" t="n">
        <v>-0.00145404</v>
      </c>
      <c r="AV111" s="0" t="n">
        <v>0.02785448</v>
      </c>
      <c r="AW111" s="0" t="n">
        <v>0.02701651</v>
      </c>
      <c r="AX111" s="0" t="n">
        <v>0.01530891</v>
      </c>
      <c r="AY111" s="0" t="n">
        <v>0.01678149</v>
      </c>
      <c r="AZ111" s="0" t="n">
        <v>0.05765084</v>
      </c>
      <c r="BA111" s="0" t="n">
        <v>0.03144426</v>
      </c>
      <c r="BB111" s="0" t="n">
        <v>0.05733616</v>
      </c>
      <c r="BC111" s="0" t="n">
        <v>0.01831242</v>
      </c>
      <c r="BD111" s="0" t="n">
        <v>0.05270043</v>
      </c>
      <c r="BE111" s="0" t="n">
        <v>0.01211558</v>
      </c>
      <c r="BF111" s="0" t="n">
        <v>0.03858156</v>
      </c>
      <c r="BG111" s="0" t="n">
        <v>0.02030297</v>
      </c>
      <c r="BH111" s="0" t="n">
        <v>0.03077421</v>
      </c>
      <c r="BI111" s="0" t="n">
        <v>0.02319149</v>
      </c>
      <c r="BJ111" s="0" t="n">
        <v>0.01816144</v>
      </c>
      <c r="BK111" s="0" t="n">
        <v>0.05350555</v>
      </c>
      <c r="BL111" s="0" t="n">
        <v>0.03586257</v>
      </c>
      <c r="BM111" s="0" t="n">
        <v>0.01810861</v>
      </c>
      <c r="BN111" s="0" t="n">
        <v>-0.00614505</v>
      </c>
      <c r="BO111" s="0" t="n">
        <v>0.03017938</v>
      </c>
      <c r="BP111" s="0" t="n">
        <v>0.00872443</v>
      </c>
      <c r="BQ111" s="0" t="n">
        <v>0.0502024</v>
      </c>
      <c r="BR111" s="0" t="n">
        <v>0.0436106</v>
      </c>
      <c r="BS111" s="0" t="n">
        <v>-0.045816</v>
      </c>
      <c r="BT111" s="0" t="n">
        <v>0.05156993</v>
      </c>
      <c r="BU111" s="0" t="n">
        <v>0.03830922</v>
      </c>
      <c r="BV111" s="0" t="n">
        <v>0.03081648</v>
      </c>
      <c r="BW111" s="0" t="n">
        <v>0.02425356</v>
      </c>
      <c r="BX111" s="0" t="n">
        <v>0.01344851</v>
      </c>
      <c r="BY111" s="0" t="n">
        <v>0.04310421</v>
      </c>
      <c r="BZ111" s="0" t="n">
        <v>0.05281653</v>
      </c>
      <c r="CA111" s="0" t="n">
        <v>0.04045909</v>
      </c>
      <c r="CB111" s="0" t="n">
        <v>-0.01092881</v>
      </c>
      <c r="CC111" s="0" t="n">
        <v>0.00341988</v>
      </c>
      <c r="CD111" s="0" t="n">
        <v>0.01512616</v>
      </c>
      <c r="CE111" s="0" t="n">
        <v>0.01263763</v>
      </c>
      <c r="CF111" s="0" t="n">
        <v>-0.05477398</v>
      </c>
      <c r="CG111" s="0" t="n">
        <v>0.04177818</v>
      </c>
      <c r="CH111" s="0" t="n">
        <v>0.05474028</v>
      </c>
      <c r="CI111" s="0" t="n">
        <v>-0.0603418</v>
      </c>
      <c r="CJ111" s="0" t="n">
        <v>-0.02462493</v>
      </c>
      <c r="CK111" s="0" t="n">
        <v>0.01742981</v>
      </c>
      <c r="CL111" s="0" t="n">
        <v>0.03651273</v>
      </c>
      <c r="CM111" s="0" t="n">
        <v>0.01503296</v>
      </c>
      <c r="CN111" s="0" t="n">
        <v>0.03616003</v>
      </c>
      <c r="CO111" s="0" t="n">
        <v>0.02116699</v>
      </c>
      <c r="CP111" s="0" t="n">
        <v>0.0138571</v>
      </c>
      <c r="CQ111" s="0" t="n">
        <v>0.08127997</v>
      </c>
      <c r="CR111" s="0" t="n">
        <v>0.05250426</v>
      </c>
      <c r="CS111" s="0" t="n">
        <v>0.05542148</v>
      </c>
      <c r="CT111" s="0" t="n">
        <v>0.03760274</v>
      </c>
      <c r="CU111" s="0" t="n">
        <v>0.02929052</v>
      </c>
      <c r="CV111" s="0" t="n">
        <v>0.04138628</v>
      </c>
      <c r="CW111" s="0" t="n">
        <v>0.04264008</v>
      </c>
      <c r="CX111" s="0" t="n">
        <v>0.06112479</v>
      </c>
      <c r="CY111" s="0" t="n">
        <v>0.09667383</v>
      </c>
      <c r="CZ111" s="0" t="n">
        <v>0.02194804</v>
      </c>
      <c r="DA111" s="0" t="n">
        <v>0.0142621</v>
      </c>
      <c r="DB111" s="0" t="n">
        <v>0.06389784</v>
      </c>
      <c r="DC111" s="0" t="n">
        <v>0.22563403</v>
      </c>
      <c r="DD111" s="0" t="n">
        <v>0.05237389</v>
      </c>
      <c r="DE111" s="0" t="n">
        <v>0.07604562</v>
      </c>
      <c r="DF111" s="0" t="n">
        <v>-0.02182316</v>
      </c>
      <c r="DG111" s="0" t="n">
        <v>0.05414414</v>
      </c>
      <c r="DH111" s="0" t="n">
        <v>0.0346852</v>
      </c>
      <c r="DI111" s="0" t="n">
        <v>0.09815067</v>
      </c>
      <c r="DJ111" s="0" t="n">
        <v>0.09718745</v>
      </c>
      <c r="DK111" s="0" t="n">
        <v>0.10971292</v>
      </c>
      <c r="DL111" s="0" t="n">
        <v>0.0741952</v>
      </c>
      <c r="DM111" s="0" t="n">
        <v>0.12275172</v>
      </c>
      <c r="DN111" s="0" t="n">
        <v>0.03690751</v>
      </c>
      <c r="DO111" s="0" t="n">
        <v>0.07679605</v>
      </c>
      <c r="DP111" s="0" t="n">
        <v>0.11312939</v>
      </c>
      <c r="DQ111" s="0" t="n">
        <v>0.07305246</v>
      </c>
      <c r="DR111" s="0" t="n">
        <v>0.03853239</v>
      </c>
      <c r="DS111" s="0" t="n">
        <v>0.0072221</v>
      </c>
      <c r="DT111" s="0" t="n">
        <v>0.05133782</v>
      </c>
      <c r="DU111" s="0" t="n">
        <v>0.06832413</v>
      </c>
      <c r="DV111" s="0" t="n">
        <v>0.00286854</v>
      </c>
      <c r="DW111" s="0" t="n">
        <v>0.05183063</v>
      </c>
      <c r="DX111" s="0" t="n">
        <v>0.08164901</v>
      </c>
      <c r="DY111" s="0" t="n">
        <v>0.08457697</v>
      </c>
      <c r="DZ111" s="0" t="n">
        <v>0.01010573</v>
      </c>
      <c r="EA111" s="0" t="n">
        <v>0.06368461</v>
      </c>
      <c r="EB111" s="0" t="n">
        <v>0.08205259</v>
      </c>
      <c r="EC111" s="0" t="n">
        <v>0.00715042</v>
      </c>
      <c r="ED111" s="0" t="n">
        <v>0.10640572</v>
      </c>
      <c r="EE111" s="0" t="n">
        <v>0.08265897</v>
      </c>
      <c r="EF111" s="0" t="n">
        <v>0.0484921</v>
      </c>
      <c r="EG111" s="0" t="n">
        <v>0.09973514</v>
      </c>
      <c r="EH111" s="0" t="n">
        <v>0.00055942</v>
      </c>
      <c r="EI111" s="0" t="n">
        <v>0.09970521</v>
      </c>
      <c r="EJ111" s="0" t="n">
        <v>0.10679919</v>
      </c>
      <c r="EK111" s="0" t="n">
        <v>0.0732864</v>
      </c>
      <c r="EL111" s="0" t="n">
        <v>0.12807117</v>
      </c>
      <c r="EM111" s="0" t="n">
        <v>0.03980085</v>
      </c>
      <c r="EN111" s="0" t="n">
        <v>0.06237421</v>
      </c>
      <c r="EO111" s="0" t="n">
        <v>0.07980495</v>
      </c>
      <c r="EP111" s="55" t="n">
        <f aca="false">SUMPRODUCT(B111:EO111,$B$5:$EO$5)</f>
        <v>0.04674102</v>
      </c>
      <c r="EQ111" s="55" t="n">
        <f aca="false">SUMIF('Mi portafolio'!$A$8:$A$19,$A111,'Mi portafolio'!$B$8:$B$19)</f>
        <v>0</v>
      </c>
    </row>
    <row r="112" customFormat="false" ht="15" hidden="false" customHeight="false" outlineLevel="0" collapsed="false">
      <c r="A112" s="54" t="s">
        <v>252</v>
      </c>
      <c r="B112" s="0" t="n">
        <v>0.0110526</v>
      </c>
      <c r="C112" s="0" t="n">
        <v>-0.00357027</v>
      </c>
      <c r="D112" s="0" t="n">
        <v>0.01759043</v>
      </c>
      <c r="E112" s="0" t="n">
        <v>0.01177642</v>
      </c>
      <c r="F112" s="0" t="n">
        <v>0.00269837</v>
      </c>
      <c r="G112" s="0" t="n">
        <v>0.00502284</v>
      </c>
      <c r="H112" s="0" t="n">
        <v>0.00629406</v>
      </c>
      <c r="I112" s="0" t="n">
        <v>0.01650964</v>
      </c>
      <c r="J112" s="0" t="n">
        <v>0.00111405</v>
      </c>
      <c r="K112" s="0" t="n">
        <v>0.01136603</v>
      </c>
      <c r="L112" s="0" t="n">
        <v>0.00574722</v>
      </c>
      <c r="M112" s="0" t="n">
        <v>0.03245177</v>
      </c>
      <c r="N112" s="0" t="n">
        <v>0.02618864</v>
      </c>
      <c r="O112" s="0" t="n">
        <v>0.00235251</v>
      </c>
      <c r="P112" s="0" t="n">
        <v>0.00870102</v>
      </c>
      <c r="Q112" s="0" t="n">
        <v>0.00642642</v>
      </c>
      <c r="R112" s="0" t="n">
        <v>0.00668574</v>
      </c>
      <c r="S112" s="0" t="n">
        <v>0.01371257</v>
      </c>
      <c r="T112" s="0" t="n">
        <v>0.0278727</v>
      </c>
      <c r="U112" s="0" t="n">
        <v>0.01705969</v>
      </c>
      <c r="V112" s="0" t="n">
        <v>0.0173262</v>
      </c>
      <c r="W112" s="0" t="n">
        <v>-0.00493776</v>
      </c>
      <c r="X112" s="0" t="n">
        <v>0.03631456</v>
      </c>
      <c r="Y112" s="0" t="n">
        <v>0.04557646</v>
      </c>
      <c r="Z112" s="0" t="n">
        <v>0.00831632</v>
      </c>
      <c r="AA112" s="0" t="n">
        <v>0.00539213</v>
      </c>
      <c r="AB112" s="0" t="n">
        <v>0.04345555</v>
      </c>
      <c r="AC112" s="0" t="n">
        <v>0.00811902</v>
      </c>
      <c r="AD112" s="0" t="n">
        <v>0.00410226</v>
      </c>
      <c r="AE112" s="0" t="n">
        <v>0.02205212</v>
      </c>
      <c r="AF112" s="0" t="n">
        <v>0.00839093</v>
      </c>
      <c r="AG112" s="0" t="n">
        <v>-3.942E-005</v>
      </c>
      <c r="AH112" s="0" t="n">
        <v>0.00136962</v>
      </c>
      <c r="AI112" s="0" t="n">
        <v>-0.01305007</v>
      </c>
      <c r="AJ112" s="0" t="n">
        <v>0.00470009</v>
      </c>
      <c r="AK112" s="0" t="n">
        <v>0.00442343</v>
      </c>
      <c r="AL112" s="0" t="n">
        <v>0.03170597</v>
      </c>
      <c r="AM112" s="0" t="n">
        <v>0.03503299</v>
      </c>
      <c r="AN112" s="0" t="n">
        <v>0.0431331</v>
      </c>
      <c r="AO112" s="0" t="n">
        <v>0.01273057</v>
      </c>
      <c r="AP112" s="0" t="n">
        <v>0.04862213</v>
      </c>
      <c r="AQ112" s="0" t="n">
        <v>-0.02078835</v>
      </c>
      <c r="AR112" s="0" t="n">
        <v>0.0278857</v>
      </c>
      <c r="AS112" s="0" t="n">
        <v>0.01995802</v>
      </c>
      <c r="AT112" s="0" t="n">
        <v>0.0508819</v>
      </c>
      <c r="AU112" s="0" t="n">
        <v>0.0057413</v>
      </c>
      <c r="AV112" s="0" t="n">
        <v>0.01014886</v>
      </c>
      <c r="AW112" s="0" t="n">
        <v>0.02295412</v>
      </c>
      <c r="AX112" s="0" t="n">
        <v>0.02244067</v>
      </c>
      <c r="AY112" s="0" t="n">
        <v>0.03926343</v>
      </c>
      <c r="AZ112" s="0" t="n">
        <v>0.03226425</v>
      </c>
      <c r="BA112" s="0" t="n">
        <v>0.02587164</v>
      </c>
      <c r="BB112" s="0" t="n">
        <v>0.05408587</v>
      </c>
      <c r="BC112" s="0" t="n">
        <v>0.0196977</v>
      </c>
      <c r="BD112" s="0" t="n">
        <v>0.01909149</v>
      </c>
      <c r="BE112" s="0" t="n">
        <v>0.01411423</v>
      </c>
      <c r="BF112" s="0" t="n">
        <v>0.01732315</v>
      </c>
      <c r="BG112" s="0" t="n">
        <v>0.05550215</v>
      </c>
      <c r="BH112" s="0" t="n">
        <v>0.02828639</v>
      </c>
      <c r="BI112" s="0" t="n">
        <v>0.02389756</v>
      </c>
      <c r="BJ112" s="0" t="n">
        <v>-0.00035603</v>
      </c>
      <c r="BK112" s="0" t="n">
        <v>0.02252977</v>
      </c>
      <c r="BL112" s="0" t="n">
        <v>0.03326994</v>
      </c>
      <c r="BM112" s="0" t="n">
        <v>0.03166858</v>
      </c>
      <c r="BN112" s="0" t="n">
        <v>0.01495311</v>
      </c>
      <c r="BO112" s="0" t="n">
        <v>0.05010835</v>
      </c>
      <c r="BP112" s="0" t="n">
        <v>0.05439075</v>
      </c>
      <c r="BQ112" s="0" t="n">
        <v>0.0327703</v>
      </c>
      <c r="BR112" s="0" t="n">
        <v>0.04356383</v>
      </c>
      <c r="BS112" s="0" t="n">
        <v>-0.0097456</v>
      </c>
      <c r="BT112" s="0" t="n">
        <v>0.04837001</v>
      </c>
      <c r="BU112" s="0" t="n">
        <v>0.02297682</v>
      </c>
      <c r="BV112" s="0" t="n">
        <v>0.06380186</v>
      </c>
      <c r="BW112" s="0" t="n">
        <v>0.04287891</v>
      </c>
      <c r="BX112" s="0" t="n">
        <v>0.03433098</v>
      </c>
      <c r="BY112" s="0" t="n">
        <v>0.0501249</v>
      </c>
      <c r="BZ112" s="0" t="n">
        <v>0.05355836</v>
      </c>
      <c r="CA112" s="0" t="n">
        <v>0.02191157</v>
      </c>
      <c r="CB112" s="0" t="n">
        <v>-0.0043925</v>
      </c>
      <c r="CC112" s="0" t="n">
        <v>0.03621156</v>
      </c>
      <c r="CD112" s="0" t="n">
        <v>0.05650475</v>
      </c>
      <c r="CE112" s="0" t="n">
        <v>0.03848767</v>
      </c>
      <c r="CF112" s="0" t="n">
        <v>-0.01959178</v>
      </c>
      <c r="CG112" s="0" t="n">
        <v>0.08222272</v>
      </c>
      <c r="CH112" s="0" t="n">
        <v>0.03038751</v>
      </c>
      <c r="CI112" s="0" t="n">
        <v>-0.01895742</v>
      </c>
      <c r="CJ112" s="0" t="n">
        <v>0.06926356</v>
      </c>
      <c r="CK112" s="0" t="n">
        <v>0.05237261</v>
      </c>
      <c r="CL112" s="0" t="n">
        <v>0.03885812</v>
      </c>
      <c r="CM112" s="0" t="n">
        <v>0.04596193</v>
      </c>
      <c r="CN112" s="0" t="n">
        <v>0.01169271</v>
      </c>
      <c r="CO112" s="0" t="n">
        <v>0.01313979</v>
      </c>
      <c r="CP112" s="0" t="n">
        <v>0.04121981</v>
      </c>
      <c r="CQ112" s="0" t="n">
        <v>0.06366292</v>
      </c>
      <c r="CR112" s="0" t="n">
        <v>0.05300383</v>
      </c>
      <c r="CS112" s="0" t="n">
        <v>0.0269394</v>
      </c>
      <c r="CT112" s="0" t="n">
        <v>0.09346237</v>
      </c>
      <c r="CU112" s="0" t="n">
        <v>0.02637517</v>
      </c>
      <c r="CV112" s="0" t="n">
        <v>0.05458774</v>
      </c>
      <c r="CW112" s="0" t="n">
        <v>0.06981608</v>
      </c>
      <c r="CX112" s="0" t="n">
        <v>0.0800664</v>
      </c>
      <c r="CY112" s="0" t="n">
        <v>0.0601254</v>
      </c>
      <c r="CZ112" s="0" t="n">
        <v>0.06826069</v>
      </c>
      <c r="DA112" s="0" t="n">
        <v>0.09495257</v>
      </c>
      <c r="DB112" s="0" t="n">
        <v>0.07667929</v>
      </c>
      <c r="DC112" s="0" t="n">
        <v>0.05237389</v>
      </c>
      <c r="DD112" s="0" t="n">
        <v>0.22569828</v>
      </c>
      <c r="DE112" s="0" t="n">
        <v>0.05336702</v>
      </c>
      <c r="DF112" s="0" t="n">
        <v>0.08025532</v>
      </c>
      <c r="DG112" s="0" t="n">
        <v>0.06047744</v>
      </c>
      <c r="DH112" s="0" t="n">
        <v>0.06506615</v>
      </c>
      <c r="DI112" s="0" t="n">
        <v>0.08069377</v>
      </c>
      <c r="DJ112" s="0" t="n">
        <v>0.07970632</v>
      </c>
      <c r="DK112" s="0" t="n">
        <v>0.08209179</v>
      </c>
      <c r="DL112" s="0" t="n">
        <v>0.03501113</v>
      </c>
      <c r="DM112" s="0" t="n">
        <v>0.09492523</v>
      </c>
      <c r="DN112" s="0" t="n">
        <v>0.08877444</v>
      </c>
      <c r="DO112" s="0" t="n">
        <v>0.06759365</v>
      </c>
      <c r="DP112" s="0" t="n">
        <v>0.09814697</v>
      </c>
      <c r="DQ112" s="0" t="n">
        <v>0.04545378</v>
      </c>
      <c r="DR112" s="0" t="n">
        <v>0.03454418</v>
      </c>
      <c r="DS112" s="0" t="n">
        <v>0.07827637</v>
      </c>
      <c r="DT112" s="0" t="n">
        <v>0.09338128</v>
      </c>
      <c r="DU112" s="0" t="n">
        <v>0.12721801</v>
      </c>
      <c r="DV112" s="0" t="n">
        <v>0.1092619</v>
      </c>
      <c r="DW112" s="0" t="n">
        <v>0.15068979</v>
      </c>
      <c r="DX112" s="0" t="n">
        <v>0.05255855</v>
      </c>
      <c r="DY112" s="0" t="n">
        <v>0.16280329</v>
      </c>
      <c r="DZ112" s="0" t="n">
        <v>0.09227581</v>
      </c>
      <c r="EA112" s="0" t="n">
        <v>0.0724031</v>
      </c>
      <c r="EB112" s="0" t="n">
        <v>0.17170601</v>
      </c>
      <c r="EC112" s="0" t="n">
        <v>0.02029761</v>
      </c>
      <c r="ED112" s="0" t="n">
        <v>0.11260535</v>
      </c>
      <c r="EE112" s="0" t="n">
        <v>0.07269899</v>
      </c>
      <c r="EF112" s="0" t="n">
        <v>0.07396789</v>
      </c>
      <c r="EG112" s="0" t="n">
        <v>0.06420549</v>
      </c>
      <c r="EH112" s="0" t="n">
        <v>0.13365044</v>
      </c>
      <c r="EI112" s="0" t="n">
        <v>0.06375219</v>
      </c>
      <c r="EJ112" s="0" t="n">
        <v>0.12121723</v>
      </c>
      <c r="EK112" s="0" t="n">
        <v>0.14297052</v>
      </c>
      <c r="EL112" s="0" t="n">
        <v>0.1172497</v>
      </c>
      <c r="EM112" s="0" t="n">
        <v>0.11433321</v>
      </c>
      <c r="EN112" s="0" t="n">
        <v>0.12602043</v>
      </c>
      <c r="EO112" s="0" t="n">
        <v>0.17129331</v>
      </c>
      <c r="EP112" s="55" t="n">
        <f aca="false">SUMPRODUCT(B112:EO112,$B$5:$EO$5)</f>
        <v>0.05100232</v>
      </c>
      <c r="EQ112" s="55" t="n">
        <f aca="false">SUMIF('Mi portafolio'!$A$8:$A$19,$A112,'Mi portafolio'!$B$8:$B$19)</f>
        <v>0</v>
      </c>
    </row>
    <row r="113" customFormat="false" ht="15" hidden="false" customHeight="false" outlineLevel="0" collapsed="false">
      <c r="A113" s="54" t="s">
        <v>253</v>
      </c>
      <c r="B113" s="0" t="n">
        <v>-0.00701858</v>
      </c>
      <c r="C113" s="0" t="n">
        <v>0.00579657</v>
      </c>
      <c r="D113" s="0" t="n">
        <v>0.0044292</v>
      </c>
      <c r="E113" s="0" t="n">
        <v>0.0139035</v>
      </c>
      <c r="F113" s="0" t="n">
        <v>-0.0110377</v>
      </c>
      <c r="G113" s="0" t="n">
        <v>0.00294371</v>
      </c>
      <c r="H113" s="0" t="n">
        <v>0.01035165</v>
      </c>
      <c r="I113" s="0" t="n">
        <v>-0.0012254</v>
      </c>
      <c r="J113" s="0" t="n">
        <v>-0.00333527</v>
      </c>
      <c r="K113" s="0" t="n">
        <v>-0.00161098</v>
      </c>
      <c r="L113" s="0" t="n">
        <v>0.00929143</v>
      </c>
      <c r="M113" s="0" t="n">
        <v>0.03595385</v>
      </c>
      <c r="N113" s="0" t="n">
        <v>0.01058448</v>
      </c>
      <c r="O113" s="0" t="n">
        <v>0.01152848</v>
      </c>
      <c r="P113" s="0" t="n">
        <v>-0.00995935</v>
      </c>
      <c r="Q113" s="0" t="n">
        <v>0.00595905</v>
      </c>
      <c r="R113" s="0" t="n">
        <v>-0.00611916</v>
      </c>
      <c r="S113" s="0" t="n">
        <v>-0.00401461</v>
      </c>
      <c r="T113" s="0" t="n">
        <v>0.02459892</v>
      </c>
      <c r="U113" s="0" t="n">
        <v>0.02424521</v>
      </c>
      <c r="V113" s="0" t="n">
        <v>0.01695108</v>
      </c>
      <c r="W113" s="0" t="n">
        <v>0.01484854</v>
      </c>
      <c r="X113" s="0" t="n">
        <v>0.03128636</v>
      </c>
      <c r="Y113" s="0" t="n">
        <v>0.00027129</v>
      </c>
      <c r="Z113" s="0" t="n">
        <v>0.02292845</v>
      </c>
      <c r="AA113" s="0" t="n">
        <v>0.01024314</v>
      </c>
      <c r="AB113" s="0" t="n">
        <v>-0.0024946</v>
      </c>
      <c r="AC113" s="0" t="n">
        <v>0.00872394</v>
      </c>
      <c r="AD113" s="0" t="n">
        <v>0.01976092</v>
      </c>
      <c r="AE113" s="0" t="n">
        <v>0.0354483</v>
      </c>
      <c r="AF113" s="0" t="n">
        <v>0.03879142</v>
      </c>
      <c r="AG113" s="0" t="n">
        <v>-0.01814086</v>
      </c>
      <c r="AH113" s="0" t="n">
        <v>-0.01722895</v>
      </c>
      <c r="AI113" s="0" t="n">
        <v>-0.01731912</v>
      </c>
      <c r="AJ113" s="0" t="n">
        <v>0.01459845</v>
      </c>
      <c r="AK113" s="0" t="n">
        <v>0.04167686</v>
      </c>
      <c r="AL113" s="0" t="n">
        <v>0.01855462</v>
      </c>
      <c r="AM113" s="0" t="n">
        <v>0.01794129</v>
      </c>
      <c r="AN113" s="0" t="n">
        <v>0.02808119</v>
      </c>
      <c r="AO113" s="0" t="n">
        <v>-0.00042692</v>
      </c>
      <c r="AP113" s="0" t="n">
        <v>0.01857246</v>
      </c>
      <c r="AQ113" s="0" t="n">
        <v>-0.01296374</v>
      </c>
      <c r="AR113" s="0" t="n">
        <v>0.02537707</v>
      </c>
      <c r="AS113" s="0" t="n">
        <v>0.03499816</v>
      </c>
      <c r="AT113" s="0" t="n">
        <v>0.02961692</v>
      </c>
      <c r="AU113" s="0" t="n">
        <v>-0.00691705</v>
      </c>
      <c r="AV113" s="0" t="n">
        <v>0.02398156</v>
      </c>
      <c r="AW113" s="0" t="n">
        <v>0.04123717</v>
      </c>
      <c r="AX113" s="0" t="n">
        <v>0.00740683</v>
      </c>
      <c r="AY113" s="0" t="n">
        <v>0.01988559</v>
      </c>
      <c r="AZ113" s="0" t="n">
        <v>0.04369136</v>
      </c>
      <c r="BA113" s="0" t="n">
        <v>0.03182358</v>
      </c>
      <c r="BB113" s="0" t="n">
        <v>0.0493896</v>
      </c>
      <c r="BC113" s="0" t="n">
        <v>0.00186701</v>
      </c>
      <c r="BD113" s="0" t="n">
        <v>0.03430051</v>
      </c>
      <c r="BE113" s="0" t="n">
        <v>0.01774973</v>
      </c>
      <c r="BF113" s="0" t="n">
        <v>0.03046434</v>
      </c>
      <c r="BG113" s="0" t="n">
        <v>0.04138292</v>
      </c>
      <c r="BH113" s="0" t="n">
        <v>0.03147495</v>
      </c>
      <c r="BI113" s="0" t="n">
        <v>0.01158482</v>
      </c>
      <c r="BJ113" s="0" t="n">
        <v>0.00247061</v>
      </c>
      <c r="BK113" s="0" t="n">
        <v>0.0260363</v>
      </c>
      <c r="BL113" s="0" t="n">
        <v>0.08057561</v>
      </c>
      <c r="BM113" s="0" t="n">
        <v>0.01259342</v>
      </c>
      <c r="BN113" s="0" t="n">
        <v>-0.004571</v>
      </c>
      <c r="BO113" s="0" t="n">
        <v>0.03207879</v>
      </c>
      <c r="BP113" s="0" t="n">
        <v>0.01388254</v>
      </c>
      <c r="BQ113" s="0" t="n">
        <v>0.06255098</v>
      </c>
      <c r="BR113" s="0" t="n">
        <v>0.0316772</v>
      </c>
      <c r="BS113" s="0" t="n">
        <v>-0.01582787</v>
      </c>
      <c r="BT113" s="0" t="n">
        <v>0.05119715</v>
      </c>
      <c r="BU113" s="0" t="n">
        <v>0.03997235</v>
      </c>
      <c r="BV113" s="0" t="n">
        <v>0.03201702</v>
      </c>
      <c r="BW113" s="0" t="n">
        <v>0.03063589</v>
      </c>
      <c r="BX113" s="0" t="n">
        <v>0.00627328</v>
      </c>
      <c r="BY113" s="0" t="n">
        <v>0.04190356</v>
      </c>
      <c r="BZ113" s="0" t="n">
        <v>0.04189892</v>
      </c>
      <c r="CA113" s="0" t="n">
        <v>0.02759501</v>
      </c>
      <c r="CB113" s="0" t="n">
        <v>-0.02580791</v>
      </c>
      <c r="CC113" s="0" t="n">
        <v>0.00943481</v>
      </c>
      <c r="CD113" s="0" t="n">
        <v>0.01892973</v>
      </c>
      <c r="CE113" s="0" t="n">
        <v>0.05513893</v>
      </c>
      <c r="CF113" s="0" t="n">
        <v>-0.02388892</v>
      </c>
      <c r="CG113" s="0" t="n">
        <v>0.0258772</v>
      </c>
      <c r="CH113" s="0" t="n">
        <v>0.12822912</v>
      </c>
      <c r="CI113" s="0" t="n">
        <v>-0.01713178</v>
      </c>
      <c r="CJ113" s="0" t="n">
        <v>-0.00335338</v>
      </c>
      <c r="CK113" s="0" t="n">
        <v>0.00818559</v>
      </c>
      <c r="CL113" s="0" t="n">
        <v>0.04650977</v>
      </c>
      <c r="CM113" s="0" t="n">
        <v>0.07494939</v>
      </c>
      <c r="CN113" s="0" t="n">
        <v>0.029931</v>
      </c>
      <c r="CO113" s="0" t="n">
        <v>0.03298269</v>
      </c>
      <c r="CP113" s="0" t="n">
        <v>0.01210385</v>
      </c>
      <c r="CQ113" s="0" t="n">
        <v>0.06582828</v>
      </c>
      <c r="CR113" s="0" t="n">
        <v>0.10253214</v>
      </c>
      <c r="CS113" s="0" t="n">
        <v>0.10284702</v>
      </c>
      <c r="CT113" s="0" t="n">
        <v>0.05603059</v>
      </c>
      <c r="CU113" s="0" t="n">
        <v>0.04795919</v>
      </c>
      <c r="CV113" s="0" t="n">
        <v>0.03690192</v>
      </c>
      <c r="CW113" s="0" t="n">
        <v>0.0349457</v>
      </c>
      <c r="CX113" s="0" t="n">
        <v>0.06638501</v>
      </c>
      <c r="CY113" s="0" t="n">
        <v>0.07157507</v>
      </c>
      <c r="CZ113" s="0" t="n">
        <v>0.00898828</v>
      </c>
      <c r="DA113" s="0" t="n">
        <v>0.00863469</v>
      </c>
      <c r="DB113" s="0" t="n">
        <v>0.08909942</v>
      </c>
      <c r="DC113" s="0" t="n">
        <v>0.07604562</v>
      </c>
      <c r="DD113" s="0" t="n">
        <v>0.05336702</v>
      </c>
      <c r="DE113" s="0" t="n">
        <v>0.22575863</v>
      </c>
      <c r="DF113" s="0" t="n">
        <v>-0.01760255</v>
      </c>
      <c r="DG113" s="0" t="n">
        <v>0.15703751</v>
      </c>
      <c r="DH113" s="0" t="n">
        <v>0.09255626</v>
      </c>
      <c r="DI113" s="0" t="n">
        <v>0.06556776</v>
      </c>
      <c r="DJ113" s="0" t="n">
        <v>0.07138842</v>
      </c>
      <c r="DK113" s="0" t="n">
        <v>0.08863242</v>
      </c>
      <c r="DL113" s="0" t="n">
        <v>0.12064859</v>
      </c>
      <c r="DM113" s="0" t="n">
        <v>0.09350011</v>
      </c>
      <c r="DN113" s="0" t="n">
        <v>0.02046416</v>
      </c>
      <c r="DO113" s="0" t="n">
        <v>0.09107247</v>
      </c>
      <c r="DP113" s="0" t="n">
        <v>0.08000863</v>
      </c>
      <c r="DQ113" s="0" t="n">
        <v>0.08828896</v>
      </c>
      <c r="DR113" s="0" t="n">
        <v>0.15260201</v>
      </c>
      <c r="DS113" s="0" t="n">
        <v>-0.00301205</v>
      </c>
      <c r="DT113" s="0" t="n">
        <v>0.09147709</v>
      </c>
      <c r="DU113" s="0" t="n">
        <v>0.10357712</v>
      </c>
      <c r="DV113" s="0" t="n">
        <v>0.07562156</v>
      </c>
      <c r="DW113" s="0" t="n">
        <v>0.05284239</v>
      </c>
      <c r="DX113" s="0" t="n">
        <v>0.16034953</v>
      </c>
      <c r="DY113" s="0" t="n">
        <v>0.08667609</v>
      </c>
      <c r="DZ113" s="0" t="n">
        <v>0.01229078</v>
      </c>
      <c r="EA113" s="0" t="n">
        <v>0.08646575</v>
      </c>
      <c r="EB113" s="0" t="n">
        <v>0.09781401</v>
      </c>
      <c r="EC113" s="0" t="n">
        <v>0.08800135</v>
      </c>
      <c r="ED113" s="0" t="n">
        <v>0.11580431</v>
      </c>
      <c r="EE113" s="0" t="n">
        <v>0.16637191</v>
      </c>
      <c r="EF113" s="0" t="n">
        <v>0.13702792</v>
      </c>
      <c r="EG113" s="0" t="n">
        <v>0.14248377</v>
      </c>
      <c r="EH113" s="0" t="n">
        <v>0.00662543</v>
      </c>
      <c r="EI113" s="0" t="n">
        <v>0.18748113</v>
      </c>
      <c r="EJ113" s="0" t="n">
        <v>0.07605986</v>
      </c>
      <c r="EK113" s="0" t="n">
        <v>0.18494657</v>
      </c>
      <c r="EL113" s="0" t="n">
        <v>0.21629325</v>
      </c>
      <c r="EM113" s="0" t="n">
        <v>0.08458952</v>
      </c>
      <c r="EN113" s="0" t="n">
        <v>0.13615313</v>
      </c>
      <c r="EO113" s="0" t="n">
        <v>0.127928</v>
      </c>
      <c r="EP113" s="55" t="n">
        <f aca="false">SUMPRODUCT(B113:EO113,$B$5:$EO$5)</f>
        <v>0.080902914</v>
      </c>
      <c r="EQ113" s="55" t="n">
        <f aca="false">SUMIF('Mi portafolio'!$A$8:$A$19,$A113,'Mi portafolio'!$B$8:$B$19)</f>
        <v>0</v>
      </c>
    </row>
    <row r="114" customFormat="false" ht="15" hidden="false" customHeight="false" outlineLevel="0" collapsed="false">
      <c r="A114" s="54" t="s">
        <v>254</v>
      </c>
      <c r="B114" s="0" t="n">
        <v>0.01346945</v>
      </c>
      <c r="C114" s="0" t="n">
        <v>-0.00723146</v>
      </c>
      <c r="D114" s="0" t="n">
        <v>0.00763947</v>
      </c>
      <c r="E114" s="0" t="n">
        <v>0.00376027</v>
      </c>
      <c r="F114" s="0" t="n">
        <v>0.00718114</v>
      </c>
      <c r="G114" s="0" t="n">
        <v>0.00070898</v>
      </c>
      <c r="H114" s="0" t="n">
        <v>0.00271221</v>
      </c>
      <c r="I114" s="0" t="n">
        <v>0.0118489</v>
      </c>
      <c r="J114" s="0" t="n">
        <v>-0.00013672</v>
      </c>
      <c r="K114" s="0" t="n">
        <v>-0.00311765</v>
      </c>
      <c r="L114" s="0" t="n">
        <v>0.00658502</v>
      </c>
      <c r="M114" s="0" t="n">
        <v>0.01079915</v>
      </c>
      <c r="N114" s="0" t="n">
        <v>0.02012776</v>
      </c>
      <c r="O114" s="0" t="n">
        <v>-0.00488012</v>
      </c>
      <c r="P114" s="0" t="n">
        <v>0.00980578</v>
      </c>
      <c r="Q114" s="0" t="n">
        <v>-0.00666525</v>
      </c>
      <c r="R114" s="0" t="n">
        <v>0.0063311</v>
      </c>
      <c r="S114" s="0" t="n">
        <v>-0.00382003</v>
      </c>
      <c r="T114" s="0" t="n">
        <v>0.00820196</v>
      </c>
      <c r="U114" s="0" t="n">
        <v>0.00609155</v>
      </c>
      <c r="V114" s="0" t="n">
        <v>-0.00606315</v>
      </c>
      <c r="W114" s="0" t="n">
        <v>-0.01423267</v>
      </c>
      <c r="X114" s="0" t="n">
        <v>0.01035151</v>
      </c>
      <c r="Y114" s="0" t="n">
        <v>0.03451363</v>
      </c>
      <c r="Z114" s="0" t="n">
        <v>-0.00043293</v>
      </c>
      <c r="AA114" s="0" t="n">
        <v>0.00238551</v>
      </c>
      <c r="AB114" s="0" t="n">
        <v>0.03654651</v>
      </c>
      <c r="AC114" s="0" t="n">
        <v>-0.00342879</v>
      </c>
      <c r="AD114" s="0" t="n">
        <v>-0.02371306</v>
      </c>
      <c r="AE114" s="0" t="n">
        <v>-0.01616377</v>
      </c>
      <c r="AF114" s="0" t="n">
        <v>-0.00790918</v>
      </c>
      <c r="AG114" s="0" t="n">
        <v>0.00871328</v>
      </c>
      <c r="AH114" s="0" t="n">
        <v>0.01400505</v>
      </c>
      <c r="AI114" s="0" t="n">
        <v>0.01586973</v>
      </c>
      <c r="AJ114" s="0" t="n">
        <v>0.00120855</v>
      </c>
      <c r="AK114" s="0" t="n">
        <v>-0.02112669</v>
      </c>
      <c r="AL114" s="0" t="n">
        <v>0.02309914</v>
      </c>
      <c r="AM114" s="0" t="n">
        <v>0.00824037</v>
      </c>
      <c r="AN114" s="0" t="n">
        <v>0.00823529</v>
      </c>
      <c r="AO114" s="0" t="n">
        <v>0.00810877</v>
      </c>
      <c r="AP114" s="0" t="n">
        <v>0.02437533</v>
      </c>
      <c r="AQ114" s="0" t="n">
        <v>0.00353024</v>
      </c>
      <c r="AR114" s="0" t="n">
        <v>0.01883364</v>
      </c>
      <c r="AS114" s="0" t="n">
        <v>0.00013209</v>
      </c>
      <c r="AT114" s="0" t="n">
        <v>0.02981651</v>
      </c>
      <c r="AU114" s="0" t="n">
        <v>-0.0010122</v>
      </c>
      <c r="AV114" s="0" t="n">
        <v>0.0023084</v>
      </c>
      <c r="AW114" s="0" t="n">
        <v>-0.00564552</v>
      </c>
      <c r="AX114" s="0" t="n">
        <v>0.01669781</v>
      </c>
      <c r="AY114" s="0" t="n">
        <v>0.01168042</v>
      </c>
      <c r="AZ114" s="0" t="n">
        <v>-0.01105756</v>
      </c>
      <c r="BA114" s="0" t="n">
        <v>0.00240748</v>
      </c>
      <c r="BB114" s="0" t="n">
        <v>0.01516732</v>
      </c>
      <c r="BC114" s="0" t="n">
        <v>0.00972814</v>
      </c>
      <c r="BD114" s="0" t="n">
        <v>-0.00112438</v>
      </c>
      <c r="BE114" s="0" t="n">
        <v>-0.00197269</v>
      </c>
      <c r="BF114" s="0" t="n">
        <v>-0.00813237</v>
      </c>
      <c r="BG114" s="0" t="n">
        <v>0.03359601</v>
      </c>
      <c r="BH114" s="0" t="n">
        <v>0.01309249</v>
      </c>
      <c r="BI114" s="0" t="n">
        <v>0.00752264</v>
      </c>
      <c r="BJ114" s="0" t="n">
        <v>-0.00890978</v>
      </c>
      <c r="BK114" s="0" t="n">
        <v>-0.02004779</v>
      </c>
      <c r="BL114" s="0" t="n">
        <v>0.0021041</v>
      </c>
      <c r="BM114" s="0" t="n">
        <v>0.02250752</v>
      </c>
      <c r="BN114" s="0" t="n">
        <v>-0.0131986</v>
      </c>
      <c r="BO114" s="0" t="n">
        <v>0.01866096</v>
      </c>
      <c r="BP114" s="0" t="n">
        <v>0.07717882</v>
      </c>
      <c r="BQ114" s="0" t="n">
        <v>-0.0197251</v>
      </c>
      <c r="BR114" s="0" t="n">
        <v>0.01885977</v>
      </c>
      <c r="BS114" s="0" t="n">
        <v>0.00870557</v>
      </c>
      <c r="BT114" s="0" t="n">
        <v>-0.02240554</v>
      </c>
      <c r="BU114" s="0" t="n">
        <v>0.00297099</v>
      </c>
      <c r="BV114" s="0" t="n">
        <v>0.0283408</v>
      </c>
      <c r="BW114" s="0" t="n">
        <v>0.03096228</v>
      </c>
      <c r="BX114" s="0" t="n">
        <v>0.01609552</v>
      </c>
      <c r="BY114" s="0" t="n">
        <v>0.02207871</v>
      </c>
      <c r="BZ114" s="0" t="n">
        <v>0.01183601</v>
      </c>
      <c r="CA114" s="0" t="n">
        <v>-0.00567554</v>
      </c>
      <c r="CB114" s="0" t="n">
        <v>0.00884668</v>
      </c>
      <c r="CC114" s="0" t="n">
        <v>0.0117739</v>
      </c>
      <c r="CD114" s="0" t="n">
        <v>0.04308897</v>
      </c>
      <c r="CE114" s="0" t="n">
        <v>0.00205075</v>
      </c>
      <c r="CF114" s="0" t="n">
        <v>0.01898082</v>
      </c>
      <c r="CG114" s="0" t="n">
        <v>0.06628857</v>
      </c>
      <c r="CH114" s="0" t="n">
        <v>-0.01977032</v>
      </c>
      <c r="CI114" s="0" t="n">
        <v>0.02387416</v>
      </c>
      <c r="CJ114" s="0" t="n">
        <v>0.04041784</v>
      </c>
      <c r="CK114" s="0" t="n">
        <v>0.03829646</v>
      </c>
      <c r="CL114" s="0" t="n">
        <v>0.01682012</v>
      </c>
      <c r="CM114" s="0" t="n">
        <v>0.01994041</v>
      </c>
      <c r="CN114" s="0" t="n">
        <v>0.00484404</v>
      </c>
      <c r="CO114" s="0" t="n">
        <v>-0.00693827</v>
      </c>
      <c r="CP114" s="0" t="n">
        <v>0.03425362</v>
      </c>
      <c r="CQ114" s="0" t="n">
        <v>0.0155403</v>
      </c>
      <c r="CR114" s="0" t="n">
        <v>-0.01594054</v>
      </c>
      <c r="CS114" s="0" t="n">
        <v>-0.04330379</v>
      </c>
      <c r="CT114" s="0" t="n">
        <v>0.04751049</v>
      </c>
      <c r="CU114" s="0" t="n">
        <v>-0.00196243</v>
      </c>
      <c r="CV114" s="0" t="n">
        <v>0.02162798</v>
      </c>
      <c r="CW114" s="0" t="n">
        <v>0.06010376</v>
      </c>
      <c r="CX114" s="0" t="n">
        <v>0.01410634</v>
      </c>
      <c r="CY114" s="0" t="n">
        <v>0.0011805</v>
      </c>
      <c r="CZ114" s="0" t="n">
        <v>0.12326346</v>
      </c>
      <c r="DA114" s="0" t="n">
        <v>0.06654035</v>
      </c>
      <c r="DB114" s="0" t="n">
        <v>0.02829109</v>
      </c>
      <c r="DC114" s="0" t="n">
        <v>-0.02182316</v>
      </c>
      <c r="DD114" s="0" t="n">
        <v>0.08025532</v>
      </c>
      <c r="DE114" s="0" t="n">
        <v>-0.01760255</v>
      </c>
      <c r="DF114" s="0" t="n">
        <v>0.23034627</v>
      </c>
      <c r="DG114" s="0" t="n">
        <v>0.0006968</v>
      </c>
      <c r="DH114" s="0" t="n">
        <v>0.0087837</v>
      </c>
      <c r="DI114" s="0" t="n">
        <v>0.0262163</v>
      </c>
      <c r="DJ114" s="0" t="n">
        <v>0.02247472</v>
      </c>
      <c r="DK114" s="0" t="n">
        <v>0.0136894</v>
      </c>
      <c r="DL114" s="0" t="n">
        <v>-0.01194823</v>
      </c>
      <c r="DM114" s="0" t="n">
        <v>0.0201676</v>
      </c>
      <c r="DN114" s="0" t="n">
        <v>0.08217857</v>
      </c>
      <c r="DO114" s="0" t="n">
        <v>0.02267429</v>
      </c>
      <c r="DP114" s="0" t="n">
        <v>0.03341142</v>
      </c>
      <c r="DQ114" s="0" t="n">
        <v>-0.01416321</v>
      </c>
      <c r="DR114" s="0" t="n">
        <v>0.0195962</v>
      </c>
      <c r="DS114" s="0" t="n">
        <v>0.07764641</v>
      </c>
      <c r="DT114" s="0" t="n">
        <v>0.07691101</v>
      </c>
      <c r="DU114" s="0" t="n">
        <v>0.06515925</v>
      </c>
      <c r="DV114" s="0" t="n">
        <v>0.12888115</v>
      </c>
      <c r="DW114" s="0" t="n">
        <v>0.12255523</v>
      </c>
      <c r="DX114" s="0" t="n">
        <v>-0.06231151</v>
      </c>
      <c r="DY114" s="0" t="n">
        <v>0.08646319</v>
      </c>
      <c r="DZ114" s="0" t="n">
        <v>0.15040938</v>
      </c>
      <c r="EA114" s="0" t="n">
        <v>0.01836772</v>
      </c>
      <c r="EB114" s="0" t="n">
        <v>0.09537321</v>
      </c>
      <c r="EC114" s="0" t="n">
        <v>-0.03382897</v>
      </c>
      <c r="ED114" s="0" t="n">
        <v>0.05085099</v>
      </c>
      <c r="EE114" s="0" t="n">
        <v>-0.04773226</v>
      </c>
      <c r="EF114" s="0" t="n">
        <v>0.0068665</v>
      </c>
      <c r="EG114" s="0" t="n">
        <v>-0.03838818</v>
      </c>
      <c r="EH114" s="0" t="n">
        <v>0.1207994</v>
      </c>
      <c r="EI114" s="0" t="n">
        <v>-0.05621893</v>
      </c>
      <c r="EJ114" s="0" t="n">
        <v>0.06234911</v>
      </c>
      <c r="EK114" s="0" t="n">
        <v>0.02214135</v>
      </c>
      <c r="EL114" s="0" t="n">
        <v>-0.02556866</v>
      </c>
      <c r="EM114" s="0" t="n">
        <v>0.10034574</v>
      </c>
      <c r="EN114" s="0" t="n">
        <v>0.0551535</v>
      </c>
      <c r="EO114" s="0" t="n">
        <v>0.11935447</v>
      </c>
      <c r="EP114" s="55" t="n">
        <f aca="false">SUMPRODUCT(B114:EO114,$B$5:$EO$5)</f>
        <v>0.003248066</v>
      </c>
      <c r="EQ114" s="55" t="n">
        <f aca="false">SUMIF('Mi portafolio'!$A$8:$A$19,$A114,'Mi portafolio'!$B$8:$B$19)</f>
        <v>0</v>
      </c>
    </row>
    <row r="115" customFormat="false" ht="15" hidden="false" customHeight="false" outlineLevel="0" collapsed="false">
      <c r="A115" s="54" t="s">
        <v>255</v>
      </c>
      <c r="B115" s="0" t="n">
        <v>0.00069811</v>
      </c>
      <c r="C115" s="0" t="n">
        <v>0.00539804</v>
      </c>
      <c r="D115" s="0" t="n">
        <v>0.00804325</v>
      </c>
      <c r="E115" s="0" t="n">
        <v>0.00855278</v>
      </c>
      <c r="F115" s="0" t="n">
        <v>-0.00723015</v>
      </c>
      <c r="G115" s="0" t="n">
        <v>0.00368666</v>
      </c>
      <c r="H115" s="0" t="n">
        <v>0.01121652</v>
      </c>
      <c r="I115" s="0" t="n">
        <v>0.00678222</v>
      </c>
      <c r="J115" s="0" t="n">
        <v>0.0097027</v>
      </c>
      <c r="K115" s="0" t="n">
        <v>0.00394762</v>
      </c>
      <c r="L115" s="0" t="n">
        <v>0.01219659</v>
      </c>
      <c r="M115" s="0" t="n">
        <v>0.03766362</v>
      </c>
      <c r="N115" s="0" t="n">
        <v>0.02156184</v>
      </c>
      <c r="O115" s="0" t="n">
        <v>0.02217443</v>
      </c>
      <c r="P115" s="0" t="n">
        <v>-0.00599388</v>
      </c>
      <c r="Q115" s="0" t="n">
        <v>0.00794877</v>
      </c>
      <c r="R115" s="0" t="n">
        <v>0.00235997</v>
      </c>
      <c r="S115" s="0" t="n">
        <v>0.01505786</v>
      </c>
      <c r="T115" s="0" t="n">
        <v>0.01834032</v>
      </c>
      <c r="U115" s="0" t="n">
        <v>0.02226566</v>
      </c>
      <c r="V115" s="0" t="n">
        <v>0.02641163</v>
      </c>
      <c r="W115" s="0" t="n">
        <v>0.01486494</v>
      </c>
      <c r="X115" s="0" t="n">
        <v>0.02591993</v>
      </c>
      <c r="Y115" s="0" t="n">
        <v>0.00568117</v>
      </c>
      <c r="Z115" s="0" t="n">
        <v>0.02700141</v>
      </c>
      <c r="AA115" s="0" t="n">
        <v>0.00757119</v>
      </c>
      <c r="AB115" s="0" t="n">
        <v>-0.0016732</v>
      </c>
      <c r="AC115" s="0" t="n">
        <v>0.01453304</v>
      </c>
      <c r="AD115" s="0" t="n">
        <v>0.01322698</v>
      </c>
      <c r="AE115" s="0" t="n">
        <v>0.0266879</v>
      </c>
      <c r="AF115" s="0" t="n">
        <v>0.03237113</v>
      </c>
      <c r="AG115" s="0" t="n">
        <v>-0.01471305</v>
      </c>
      <c r="AH115" s="0" t="n">
        <v>-0.01991282</v>
      </c>
      <c r="AI115" s="0" t="n">
        <v>-0.01861338</v>
      </c>
      <c r="AJ115" s="0" t="n">
        <v>0.02675541</v>
      </c>
      <c r="AK115" s="0" t="n">
        <v>0.02974572</v>
      </c>
      <c r="AL115" s="0" t="n">
        <v>0.0199349</v>
      </c>
      <c r="AM115" s="0" t="n">
        <v>0.01636844</v>
      </c>
      <c r="AN115" s="0" t="n">
        <v>0.02432232</v>
      </c>
      <c r="AO115" s="0" t="n">
        <v>0.00481745</v>
      </c>
      <c r="AP115" s="0" t="n">
        <v>0.02464735</v>
      </c>
      <c r="AQ115" s="0" t="n">
        <v>-0.01384288</v>
      </c>
      <c r="AR115" s="0" t="n">
        <v>0.02003075</v>
      </c>
      <c r="AS115" s="0" t="n">
        <v>0.03046854</v>
      </c>
      <c r="AT115" s="0" t="n">
        <v>0.01394593</v>
      </c>
      <c r="AU115" s="0" t="n">
        <v>-0.00567337</v>
      </c>
      <c r="AV115" s="0" t="n">
        <v>0.01682252</v>
      </c>
      <c r="AW115" s="0" t="n">
        <v>0.03550198</v>
      </c>
      <c r="AX115" s="0" t="n">
        <v>0.01791736</v>
      </c>
      <c r="AY115" s="0" t="n">
        <v>0.01325284</v>
      </c>
      <c r="AZ115" s="0" t="n">
        <v>0.03559793</v>
      </c>
      <c r="BA115" s="0" t="n">
        <v>0.02582953</v>
      </c>
      <c r="BB115" s="0" t="n">
        <v>0.03536124</v>
      </c>
      <c r="BC115" s="0" t="n">
        <v>0.01617965</v>
      </c>
      <c r="BD115" s="0" t="n">
        <v>0.03648214</v>
      </c>
      <c r="BE115" s="0" t="n">
        <v>0.02464002</v>
      </c>
      <c r="BF115" s="0" t="n">
        <v>0.03463436</v>
      </c>
      <c r="BG115" s="0" t="n">
        <v>0.02976742</v>
      </c>
      <c r="BH115" s="0" t="n">
        <v>0.02714143</v>
      </c>
      <c r="BI115" s="0" t="n">
        <v>0.01845073</v>
      </c>
      <c r="BJ115" s="0" t="n">
        <v>0.02028364</v>
      </c>
      <c r="BK115" s="0" t="n">
        <v>0.02872064</v>
      </c>
      <c r="BL115" s="0" t="n">
        <v>0.07022389</v>
      </c>
      <c r="BM115" s="0" t="n">
        <v>0.00148319</v>
      </c>
      <c r="BN115" s="0" t="n">
        <v>0.00408164</v>
      </c>
      <c r="BO115" s="0" t="n">
        <v>0.03000455</v>
      </c>
      <c r="BP115" s="0" t="n">
        <v>0.02120966</v>
      </c>
      <c r="BQ115" s="0" t="n">
        <v>0.06464686</v>
      </c>
      <c r="BR115" s="0" t="n">
        <v>0.03115815</v>
      </c>
      <c r="BS115" s="0" t="n">
        <v>-0.01375185</v>
      </c>
      <c r="BT115" s="0" t="n">
        <v>0.04759872</v>
      </c>
      <c r="BU115" s="0" t="n">
        <v>0.03347075</v>
      </c>
      <c r="BV115" s="0" t="n">
        <v>0.02668383</v>
      </c>
      <c r="BW115" s="0" t="n">
        <v>0.02930709</v>
      </c>
      <c r="BX115" s="0" t="n">
        <v>0.02946943</v>
      </c>
      <c r="BY115" s="0" t="n">
        <v>0.02362524</v>
      </c>
      <c r="BZ115" s="0" t="n">
        <v>0.04722986</v>
      </c>
      <c r="CA115" s="0" t="n">
        <v>0.02989766</v>
      </c>
      <c r="CB115" s="0" t="n">
        <v>-0.02254023</v>
      </c>
      <c r="CC115" s="0" t="n">
        <v>0.00940287</v>
      </c>
      <c r="CD115" s="0" t="n">
        <v>0.02406265</v>
      </c>
      <c r="CE115" s="0" t="n">
        <v>0.02690724</v>
      </c>
      <c r="CF115" s="0" t="n">
        <v>-0.01903056</v>
      </c>
      <c r="CG115" s="0" t="n">
        <v>0.03349315</v>
      </c>
      <c r="CH115" s="0" t="n">
        <v>0.10820703</v>
      </c>
      <c r="CI115" s="0" t="n">
        <v>-0.01193838</v>
      </c>
      <c r="CJ115" s="0" t="n">
        <v>0.01988197</v>
      </c>
      <c r="CK115" s="0" t="n">
        <v>0.01416193</v>
      </c>
      <c r="CL115" s="0" t="n">
        <v>0.03708382</v>
      </c>
      <c r="CM115" s="0" t="n">
        <v>0.06096897</v>
      </c>
      <c r="CN115" s="0" t="n">
        <v>0.02768799</v>
      </c>
      <c r="CO115" s="0" t="n">
        <v>0.01549909</v>
      </c>
      <c r="CP115" s="0" t="n">
        <v>0.0195466</v>
      </c>
      <c r="CQ115" s="0" t="n">
        <v>0.05271177</v>
      </c>
      <c r="CR115" s="0" t="n">
        <v>0.07133897</v>
      </c>
      <c r="CS115" s="0" t="n">
        <v>0.07748191</v>
      </c>
      <c r="CT115" s="0" t="n">
        <v>0.06956038</v>
      </c>
      <c r="CU115" s="0" t="n">
        <v>0.04538286</v>
      </c>
      <c r="CV115" s="0" t="n">
        <v>0.01864114</v>
      </c>
      <c r="CW115" s="0" t="n">
        <v>0.03475473</v>
      </c>
      <c r="CX115" s="0" t="n">
        <v>0.06875798</v>
      </c>
      <c r="CY115" s="0" t="n">
        <v>0.04953753</v>
      </c>
      <c r="CZ115" s="0" t="n">
        <v>0.01262816</v>
      </c>
      <c r="DA115" s="0" t="n">
        <v>0.02661072</v>
      </c>
      <c r="DB115" s="0" t="n">
        <v>0.07093401</v>
      </c>
      <c r="DC115" s="0" t="n">
        <v>0.05414414</v>
      </c>
      <c r="DD115" s="0" t="n">
        <v>0.06047744</v>
      </c>
      <c r="DE115" s="0" t="n">
        <v>0.15703751</v>
      </c>
      <c r="DF115" s="0" t="n">
        <v>0.0006968</v>
      </c>
      <c r="DG115" s="0" t="n">
        <v>0.23114541</v>
      </c>
      <c r="DH115" s="0" t="n">
        <v>0.05650703</v>
      </c>
      <c r="DI115" s="0" t="n">
        <v>0.05829413</v>
      </c>
      <c r="DJ115" s="0" t="n">
        <v>0.05271616</v>
      </c>
      <c r="DK115" s="0" t="n">
        <v>0.07407805</v>
      </c>
      <c r="DL115" s="0" t="n">
        <v>0.14184197</v>
      </c>
      <c r="DM115" s="0" t="n">
        <v>0.07560141</v>
      </c>
      <c r="DN115" s="0" t="n">
        <v>0.02460608</v>
      </c>
      <c r="DO115" s="0" t="n">
        <v>0.0947276</v>
      </c>
      <c r="DP115" s="0" t="n">
        <v>0.06344926</v>
      </c>
      <c r="DQ115" s="0" t="n">
        <v>0.08947494</v>
      </c>
      <c r="DR115" s="0" t="n">
        <v>0.12751525</v>
      </c>
      <c r="DS115" s="0" t="n">
        <v>-0.02937879</v>
      </c>
      <c r="DT115" s="0" t="n">
        <v>0.06897858</v>
      </c>
      <c r="DU115" s="0" t="n">
        <v>0.10215667</v>
      </c>
      <c r="DV115" s="0" t="n">
        <v>0.07229511</v>
      </c>
      <c r="DW115" s="0" t="n">
        <v>0.06674493</v>
      </c>
      <c r="DX115" s="0" t="n">
        <v>0.10469517</v>
      </c>
      <c r="DY115" s="0" t="n">
        <v>0.07609516</v>
      </c>
      <c r="DZ115" s="0" t="n">
        <v>0.01869852</v>
      </c>
      <c r="EA115" s="0" t="n">
        <v>0.08609274</v>
      </c>
      <c r="EB115" s="0" t="n">
        <v>0.07804703</v>
      </c>
      <c r="EC115" s="0" t="n">
        <v>0.09666534</v>
      </c>
      <c r="ED115" s="0" t="n">
        <v>0.10844031</v>
      </c>
      <c r="EE115" s="0" t="n">
        <v>0.12917987</v>
      </c>
      <c r="EF115" s="0" t="n">
        <v>0.12705647</v>
      </c>
      <c r="EG115" s="0" t="n">
        <v>0.09832379</v>
      </c>
      <c r="EH115" s="0" t="n">
        <v>0.00264176</v>
      </c>
      <c r="EI115" s="0" t="n">
        <v>0.14939845</v>
      </c>
      <c r="EJ115" s="0" t="n">
        <v>0.05222816</v>
      </c>
      <c r="EK115" s="0" t="n">
        <v>0.1676199</v>
      </c>
      <c r="EL115" s="0" t="n">
        <v>0.1984797</v>
      </c>
      <c r="EM115" s="0" t="n">
        <v>0.07715544</v>
      </c>
      <c r="EN115" s="0" t="n">
        <v>0.17700084</v>
      </c>
      <c r="EO115" s="0" t="n">
        <v>0.03318928</v>
      </c>
      <c r="EP115" s="55" t="n">
        <f aca="false">SUMPRODUCT(B115:EO115,$B$5:$EO$5)</f>
        <v>0.066059896</v>
      </c>
      <c r="EQ115" s="55" t="n">
        <f aca="false">SUMIF('Mi portafolio'!$A$8:$A$19,$A115,'Mi portafolio'!$B$8:$B$19)</f>
        <v>0</v>
      </c>
    </row>
    <row r="116" customFormat="false" ht="15" hidden="false" customHeight="false" outlineLevel="0" collapsed="false">
      <c r="A116" s="54" t="s">
        <v>51</v>
      </c>
      <c r="B116" s="0" t="n">
        <v>-0.00376747</v>
      </c>
      <c r="C116" s="0" t="n">
        <v>0.0046066</v>
      </c>
      <c r="D116" s="0" t="n">
        <v>0.00444537</v>
      </c>
      <c r="E116" s="0" t="n">
        <v>0.00922587</v>
      </c>
      <c r="F116" s="0" t="n">
        <v>-0.01556222</v>
      </c>
      <c r="G116" s="0" t="n">
        <v>-0.00248419</v>
      </c>
      <c r="H116" s="0" t="n">
        <v>0.00913543</v>
      </c>
      <c r="I116" s="0" t="n">
        <v>-0.00647435</v>
      </c>
      <c r="J116" s="0" t="n">
        <v>-0.01499759</v>
      </c>
      <c r="K116" s="0" t="n">
        <v>-0.01533487</v>
      </c>
      <c r="L116" s="0" t="n">
        <v>0.00812649</v>
      </c>
      <c r="M116" s="0" t="n">
        <v>0.01820335</v>
      </c>
      <c r="N116" s="0" t="n">
        <v>-0.00224731</v>
      </c>
      <c r="O116" s="0" t="n">
        <v>0.00236944</v>
      </c>
      <c r="P116" s="0" t="n">
        <v>-0.01218276</v>
      </c>
      <c r="Q116" s="0" t="n">
        <v>0.01225389</v>
      </c>
      <c r="R116" s="0" t="n">
        <v>-0.01458909</v>
      </c>
      <c r="S116" s="0" t="n">
        <v>-0.00061436</v>
      </c>
      <c r="T116" s="0" t="n">
        <v>0.01832644</v>
      </c>
      <c r="U116" s="0" t="n">
        <v>0.01248608</v>
      </c>
      <c r="V116" s="0" t="n">
        <v>-0.00042555</v>
      </c>
      <c r="W116" s="0" t="n">
        <v>-0.00248788</v>
      </c>
      <c r="X116" s="0" t="n">
        <v>0.02126737</v>
      </c>
      <c r="Y116" s="0" t="n">
        <v>-0.00250362</v>
      </c>
      <c r="Z116" s="0" t="n">
        <v>0.01123815</v>
      </c>
      <c r="AA116" s="0" t="n">
        <v>0.00181258</v>
      </c>
      <c r="AB116" s="0" t="n">
        <v>-0.00945758</v>
      </c>
      <c r="AC116" s="0" t="n">
        <v>0.01219371</v>
      </c>
      <c r="AD116" s="0" t="n">
        <v>0.01377539</v>
      </c>
      <c r="AE116" s="0" t="n">
        <v>0.01934891</v>
      </c>
      <c r="AF116" s="0" t="n">
        <v>0.01532024</v>
      </c>
      <c r="AG116" s="0" t="n">
        <v>-0.01715442</v>
      </c>
      <c r="AH116" s="0" t="n">
        <v>-0.01676468</v>
      </c>
      <c r="AI116" s="0" t="n">
        <v>-0.0101659</v>
      </c>
      <c r="AJ116" s="0" t="n">
        <v>0.00659811</v>
      </c>
      <c r="AK116" s="0" t="n">
        <v>0.01028729</v>
      </c>
      <c r="AL116" s="0" t="n">
        <v>0.02435951</v>
      </c>
      <c r="AM116" s="0" t="n">
        <v>0.01696576</v>
      </c>
      <c r="AN116" s="0" t="n">
        <v>0.00740984</v>
      </c>
      <c r="AO116" s="0" t="n">
        <v>-0.01633623</v>
      </c>
      <c r="AP116" s="0" t="n">
        <v>0.0051943</v>
      </c>
      <c r="AQ116" s="0" t="n">
        <v>-0.01474432</v>
      </c>
      <c r="AR116" s="0" t="n">
        <v>0.01569778</v>
      </c>
      <c r="AS116" s="0" t="n">
        <v>0.00782705</v>
      </c>
      <c r="AT116" s="0" t="n">
        <v>0.02040247</v>
      </c>
      <c r="AU116" s="0" t="n">
        <v>-0.00916107</v>
      </c>
      <c r="AV116" s="0" t="n">
        <v>0.02375114</v>
      </c>
      <c r="AW116" s="0" t="n">
        <v>0.0153898</v>
      </c>
      <c r="AX116" s="0" t="n">
        <v>-0.0092624</v>
      </c>
      <c r="AY116" s="0" t="n">
        <v>0.01867565</v>
      </c>
      <c r="AZ116" s="0" t="n">
        <v>0.03426092</v>
      </c>
      <c r="BA116" s="0" t="n">
        <v>0.01809584</v>
      </c>
      <c r="BB116" s="0" t="n">
        <v>0.04465669</v>
      </c>
      <c r="BC116" s="0" t="n">
        <v>0.02987412</v>
      </c>
      <c r="BD116" s="0" t="n">
        <v>0.01198639</v>
      </c>
      <c r="BE116" s="0" t="n">
        <v>-0.01670141</v>
      </c>
      <c r="BF116" s="0" t="n">
        <v>0.00555952</v>
      </c>
      <c r="BG116" s="0" t="n">
        <v>0.01291972</v>
      </c>
      <c r="BH116" s="0" t="n">
        <v>0.03068312</v>
      </c>
      <c r="BI116" s="0" t="n">
        <v>0.00353421</v>
      </c>
      <c r="BJ116" s="0" t="n">
        <v>0.00839909</v>
      </c>
      <c r="BK116" s="0" t="n">
        <v>0.03036841</v>
      </c>
      <c r="BL116" s="0" t="n">
        <v>0.03456696</v>
      </c>
      <c r="BM116" s="0" t="n">
        <v>0.00425318</v>
      </c>
      <c r="BN116" s="0" t="n">
        <v>-0.00647564</v>
      </c>
      <c r="BO116" s="0" t="n">
        <v>0.05103703</v>
      </c>
      <c r="BP116" s="0" t="n">
        <v>0.03724956</v>
      </c>
      <c r="BQ116" s="0" t="n">
        <v>0.03520855</v>
      </c>
      <c r="BR116" s="0" t="n">
        <v>0.02973467</v>
      </c>
      <c r="BS116" s="0" t="n">
        <v>0.00197164</v>
      </c>
      <c r="BT116" s="0" t="n">
        <v>0.03727972</v>
      </c>
      <c r="BU116" s="0" t="n">
        <v>0.01814478</v>
      </c>
      <c r="BV116" s="0" t="n">
        <v>0.04311853</v>
      </c>
      <c r="BW116" s="0" t="n">
        <v>0.01685163</v>
      </c>
      <c r="BX116" s="0" t="n">
        <v>-0.00658816</v>
      </c>
      <c r="BY116" s="0" t="n">
        <v>0.02529315</v>
      </c>
      <c r="BZ116" s="0" t="n">
        <v>0.02917668</v>
      </c>
      <c r="CA116" s="0" t="n">
        <v>0.02658942</v>
      </c>
      <c r="CB116" s="0" t="n">
        <v>-0.009168</v>
      </c>
      <c r="CC116" s="0" t="n">
        <v>-0.00535096</v>
      </c>
      <c r="CD116" s="0" t="n">
        <v>0.02114745</v>
      </c>
      <c r="CE116" s="0" t="n">
        <v>0.06547433</v>
      </c>
      <c r="CF116" s="0" t="n">
        <v>-0.01053518</v>
      </c>
      <c r="CG116" s="0" t="n">
        <v>0.02739039</v>
      </c>
      <c r="CH116" s="0" t="n">
        <v>0.05122628</v>
      </c>
      <c r="CI116" s="0" t="n">
        <v>-0.01080198</v>
      </c>
      <c r="CJ116" s="0" t="n">
        <v>0.0025783</v>
      </c>
      <c r="CK116" s="0" t="n">
        <v>-0.00280829</v>
      </c>
      <c r="CL116" s="0" t="n">
        <v>0.03073857</v>
      </c>
      <c r="CM116" s="0" t="n">
        <v>0.09783752</v>
      </c>
      <c r="CN116" s="0" t="n">
        <v>0.01978238</v>
      </c>
      <c r="CO116" s="0" t="n">
        <v>0.0240664</v>
      </c>
      <c r="CP116" s="0" t="n">
        <v>0.03454161</v>
      </c>
      <c r="CQ116" s="0" t="n">
        <v>0.05218073</v>
      </c>
      <c r="CR116" s="0" t="n">
        <v>0.11551366</v>
      </c>
      <c r="CS116" s="0" t="n">
        <v>0.09910543</v>
      </c>
      <c r="CT116" s="0" t="n">
        <v>0.0373746</v>
      </c>
      <c r="CU116" s="0" t="n">
        <v>0.05140565</v>
      </c>
      <c r="CV116" s="0" t="n">
        <v>0.04017577</v>
      </c>
      <c r="CW116" s="0" t="n">
        <v>0.02940378</v>
      </c>
      <c r="CX116" s="0" t="n">
        <v>0.03398332</v>
      </c>
      <c r="CY116" s="0" t="n">
        <v>0.04027888</v>
      </c>
      <c r="CZ116" s="0" t="n">
        <v>0.03841255</v>
      </c>
      <c r="DA116" s="0" t="n">
        <v>0.02440331</v>
      </c>
      <c r="DB116" s="0" t="n">
        <v>0.0833819</v>
      </c>
      <c r="DC116" s="0" t="n">
        <v>0.0346852</v>
      </c>
      <c r="DD116" s="0" t="n">
        <v>0.06506615</v>
      </c>
      <c r="DE116" s="0" t="n">
        <v>0.09255626</v>
      </c>
      <c r="DF116" s="0" t="n">
        <v>0.0087837</v>
      </c>
      <c r="DG116" s="0" t="n">
        <v>0.05650703</v>
      </c>
      <c r="DH116" s="0" t="n">
        <v>0.22363902</v>
      </c>
      <c r="DI116" s="0" t="n">
        <v>0.05849222</v>
      </c>
      <c r="DJ116" s="0" t="n">
        <v>0.04415841</v>
      </c>
      <c r="DK116" s="0" t="n">
        <v>0.07286471</v>
      </c>
      <c r="DL116" s="0" t="n">
        <v>0.04195274</v>
      </c>
      <c r="DM116" s="0" t="n">
        <v>0.05213267</v>
      </c>
      <c r="DN116" s="0" t="n">
        <v>0.03611454</v>
      </c>
      <c r="DO116" s="0" t="n">
        <v>0.09182228</v>
      </c>
      <c r="DP116" s="0" t="n">
        <v>0.05274962</v>
      </c>
      <c r="DQ116" s="0" t="n">
        <v>0.08671656</v>
      </c>
      <c r="DR116" s="0" t="n">
        <v>0.08566907</v>
      </c>
      <c r="DS116" s="0" t="n">
        <v>0.02233798</v>
      </c>
      <c r="DT116" s="0" t="n">
        <v>0.12222651</v>
      </c>
      <c r="DU116" s="0" t="n">
        <v>0.09845263</v>
      </c>
      <c r="DV116" s="0" t="n">
        <v>0.09152786</v>
      </c>
      <c r="DW116" s="0" t="n">
        <v>0.07230964</v>
      </c>
      <c r="DX116" s="0" t="n">
        <v>0.15572108</v>
      </c>
      <c r="DY116" s="0" t="n">
        <v>0.07548654</v>
      </c>
      <c r="DZ116" s="0" t="n">
        <v>0.04961452</v>
      </c>
      <c r="EA116" s="0" t="n">
        <v>0.05725781</v>
      </c>
      <c r="EB116" s="0" t="n">
        <v>0.09369658</v>
      </c>
      <c r="EC116" s="0" t="n">
        <v>0.01484671</v>
      </c>
      <c r="ED116" s="0" t="n">
        <v>0.09049898</v>
      </c>
      <c r="EE116" s="0" t="n">
        <v>0.1728834</v>
      </c>
      <c r="EF116" s="0" t="n">
        <v>0.09280637</v>
      </c>
      <c r="EG116" s="0" t="n">
        <v>0.16180408</v>
      </c>
      <c r="EH116" s="0" t="n">
        <v>0.04271871</v>
      </c>
      <c r="EI116" s="0" t="n">
        <v>0.19041384</v>
      </c>
      <c r="EJ116" s="0" t="n">
        <v>0.08364716</v>
      </c>
      <c r="EK116" s="0" t="n">
        <v>0.16459773</v>
      </c>
      <c r="EL116" s="0" t="n">
        <v>0.17676799</v>
      </c>
      <c r="EM116" s="0" t="n">
        <v>0.09664439</v>
      </c>
      <c r="EN116" s="0" t="n">
        <v>0.01268973</v>
      </c>
      <c r="EO116" s="0" t="n">
        <v>0.05242728</v>
      </c>
      <c r="EP116" s="55" t="n">
        <f aca="false">SUMPRODUCT(B116:EO116,$B$5:$EO$5)</f>
        <v>0.088898556</v>
      </c>
      <c r="EQ116" s="55" t="n">
        <f aca="false">SUMIF('Mi portafolio'!$A$8:$A$19,$A116,'Mi portafolio'!$B$8:$B$19)</f>
        <v>0.2</v>
      </c>
    </row>
    <row r="117" customFormat="false" ht="15" hidden="false" customHeight="false" outlineLevel="0" collapsed="false">
      <c r="A117" s="54" t="s">
        <v>256</v>
      </c>
      <c r="B117" s="0" t="n">
        <v>0.02166132</v>
      </c>
      <c r="C117" s="0" t="n">
        <v>-0.00293393</v>
      </c>
      <c r="D117" s="0" t="n">
        <v>0.00271137</v>
      </c>
      <c r="E117" s="0" t="n">
        <v>0.01974728</v>
      </c>
      <c r="F117" s="0" t="n">
        <v>0.01033509</v>
      </c>
      <c r="G117" s="0" t="n">
        <v>-0.0003422</v>
      </c>
      <c r="H117" s="0" t="n">
        <v>0.01094207</v>
      </c>
      <c r="I117" s="0" t="n">
        <v>0.02310529</v>
      </c>
      <c r="J117" s="0" t="n">
        <v>0.0037941</v>
      </c>
      <c r="K117" s="0" t="n">
        <v>0.02343126</v>
      </c>
      <c r="L117" s="0" t="n">
        <v>0.01379848</v>
      </c>
      <c r="M117" s="0" t="n">
        <v>0.04349325</v>
      </c>
      <c r="N117" s="0" t="n">
        <v>0.02351227</v>
      </c>
      <c r="O117" s="0" t="n">
        <v>0.02113186</v>
      </c>
      <c r="P117" s="0" t="n">
        <v>0.00491595</v>
      </c>
      <c r="Q117" s="0" t="n">
        <v>0.00732809</v>
      </c>
      <c r="R117" s="0" t="n">
        <v>0.01247127</v>
      </c>
      <c r="S117" s="0" t="n">
        <v>0.01155752</v>
      </c>
      <c r="T117" s="0" t="n">
        <v>0.04286518</v>
      </c>
      <c r="U117" s="0" t="n">
        <v>0.01665461</v>
      </c>
      <c r="V117" s="0" t="n">
        <v>0.01180102</v>
      </c>
      <c r="W117" s="0" t="n">
        <v>0.01297953</v>
      </c>
      <c r="X117" s="0" t="n">
        <v>0.0462403</v>
      </c>
      <c r="Y117" s="0" t="n">
        <v>0.02826849</v>
      </c>
      <c r="Z117" s="0" t="n">
        <v>0.01105111</v>
      </c>
      <c r="AA117" s="0" t="n">
        <v>0.02154629</v>
      </c>
      <c r="AB117" s="0" t="n">
        <v>0.03176876</v>
      </c>
      <c r="AC117" s="0" t="n">
        <v>0.01453301</v>
      </c>
      <c r="AD117" s="0" t="n">
        <v>0.00746353</v>
      </c>
      <c r="AE117" s="0" t="n">
        <v>0.02917311</v>
      </c>
      <c r="AF117" s="0" t="n">
        <v>0.01369352</v>
      </c>
      <c r="AG117" s="0" t="n">
        <v>0.00361359</v>
      </c>
      <c r="AH117" s="0" t="n">
        <v>0.00628569</v>
      </c>
      <c r="AI117" s="0" t="n">
        <v>-0.03880505</v>
      </c>
      <c r="AJ117" s="0" t="n">
        <v>0.00511568</v>
      </c>
      <c r="AK117" s="0" t="n">
        <v>0.02329724</v>
      </c>
      <c r="AL117" s="0" t="n">
        <v>0.03714476</v>
      </c>
      <c r="AM117" s="0" t="n">
        <v>0.02262684</v>
      </c>
      <c r="AN117" s="0" t="n">
        <v>0.06021183</v>
      </c>
      <c r="AO117" s="0" t="n">
        <v>0.00797456</v>
      </c>
      <c r="AP117" s="0" t="n">
        <v>0.0458057</v>
      </c>
      <c r="AQ117" s="0" t="n">
        <v>-0.04784466</v>
      </c>
      <c r="AR117" s="0" t="n">
        <v>0.04523496</v>
      </c>
      <c r="AS117" s="0" t="n">
        <v>0.00989089</v>
      </c>
      <c r="AT117" s="0" t="n">
        <v>0.06187903</v>
      </c>
      <c r="AU117" s="0" t="n">
        <v>0.0080855</v>
      </c>
      <c r="AV117" s="0" t="n">
        <v>0.01884946</v>
      </c>
      <c r="AW117" s="0" t="n">
        <v>0.01719434</v>
      </c>
      <c r="AX117" s="0" t="n">
        <v>0.03619453</v>
      </c>
      <c r="AY117" s="0" t="n">
        <v>0.04698132</v>
      </c>
      <c r="AZ117" s="0" t="n">
        <v>0.04019324</v>
      </c>
      <c r="BA117" s="0" t="n">
        <v>0.04862651</v>
      </c>
      <c r="BB117" s="0" t="n">
        <v>0.07743506</v>
      </c>
      <c r="BC117" s="0" t="n">
        <v>0.02798926</v>
      </c>
      <c r="BD117" s="0" t="n">
        <v>0.02368328</v>
      </c>
      <c r="BE117" s="0" t="n">
        <v>0.02211309</v>
      </c>
      <c r="BF117" s="0" t="n">
        <v>0.01591969</v>
      </c>
      <c r="BG117" s="0" t="n">
        <v>0.03445564</v>
      </c>
      <c r="BH117" s="0" t="n">
        <v>0.02320437</v>
      </c>
      <c r="BI117" s="0" t="n">
        <v>0.03171804</v>
      </c>
      <c r="BJ117" s="0" t="n">
        <v>-0.00863725</v>
      </c>
      <c r="BK117" s="0" t="n">
        <v>0.03741177</v>
      </c>
      <c r="BL117" s="0" t="n">
        <v>0.04225408</v>
      </c>
      <c r="BM117" s="0" t="n">
        <v>0.0440262</v>
      </c>
      <c r="BN117" s="0" t="n">
        <v>0.03068107</v>
      </c>
      <c r="BO117" s="0" t="n">
        <v>0.05966482</v>
      </c>
      <c r="BP117" s="0" t="n">
        <v>0.02890177</v>
      </c>
      <c r="BQ117" s="0" t="n">
        <v>0.04232758</v>
      </c>
      <c r="BR117" s="0" t="n">
        <v>0.07474731</v>
      </c>
      <c r="BS117" s="0" t="n">
        <v>-0.05283707</v>
      </c>
      <c r="BT117" s="0" t="n">
        <v>0.08061689</v>
      </c>
      <c r="BU117" s="0" t="n">
        <v>0.02298808</v>
      </c>
      <c r="BV117" s="0" t="n">
        <v>0.05206904</v>
      </c>
      <c r="BW117" s="0" t="n">
        <v>0.05038292</v>
      </c>
      <c r="BX117" s="0" t="n">
        <v>0.02761039</v>
      </c>
      <c r="BY117" s="0" t="n">
        <v>0.07614079</v>
      </c>
      <c r="BZ117" s="0" t="n">
        <v>0.0712861</v>
      </c>
      <c r="CA117" s="0" t="n">
        <v>0.01319956</v>
      </c>
      <c r="CB117" s="0" t="n">
        <v>-0.00773092</v>
      </c>
      <c r="CC117" s="0" t="n">
        <v>0.03274085</v>
      </c>
      <c r="CD117" s="0" t="n">
        <v>0.04120264</v>
      </c>
      <c r="CE117" s="0" t="n">
        <v>0.02481756</v>
      </c>
      <c r="CF117" s="0" t="n">
        <v>-0.05792259</v>
      </c>
      <c r="CG117" s="0" t="n">
        <v>0.06937221</v>
      </c>
      <c r="CH117" s="0" t="n">
        <v>0.04495053</v>
      </c>
      <c r="CI117" s="0" t="n">
        <v>-0.06007454</v>
      </c>
      <c r="CJ117" s="0" t="n">
        <v>0.01719487</v>
      </c>
      <c r="CK117" s="0" t="n">
        <v>0.05348509</v>
      </c>
      <c r="CL117" s="0" t="n">
        <v>0.07696422</v>
      </c>
      <c r="CM117" s="0" t="n">
        <v>0.04149951</v>
      </c>
      <c r="CN117" s="0" t="n">
        <v>0.00424902</v>
      </c>
      <c r="CO117" s="0" t="n">
        <v>0.02598791</v>
      </c>
      <c r="CP117" s="0" t="n">
        <v>0.02863561</v>
      </c>
      <c r="CQ117" s="0" t="n">
        <v>0.16576816</v>
      </c>
      <c r="CR117" s="0" t="n">
        <v>0.06788216</v>
      </c>
      <c r="CS117" s="0" t="n">
        <v>0.07781432</v>
      </c>
      <c r="CT117" s="0" t="n">
        <v>0.05905094</v>
      </c>
      <c r="CU117" s="0" t="n">
        <v>0.03193905</v>
      </c>
      <c r="CV117" s="0" t="n">
        <v>0.05300204</v>
      </c>
      <c r="CW117" s="0" t="n">
        <v>0.04945513</v>
      </c>
      <c r="CX117" s="0" t="n">
        <v>0.0689259</v>
      </c>
      <c r="CY117" s="0" t="n">
        <v>0.15783575</v>
      </c>
      <c r="CZ117" s="0" t="n">
        <v>0.0336457</v>
      </c>
      <c r="DA117" s="0" t="n">
        <v>0.03014879</v>
      </c>
      <c r="DB117" s="0" t="n">
        <v>0.08399141</v>
      </c>
      <c r="DC117" s="0" t="n">
        <v>0.09815067</v>
      </c>
      <c r="DD117" s="0" t="n">
        <v>0.08069377</v>
      </c>
      <c r="DE117" s="0" t="n">
        <v>0.06556776</v>
      </c>
      <c r="DF117" s="0" t="n">
        <v>0.0262163</v>
      </c>
      <c r="DG117" s="0" t="n">
        <v>0.05829413</v>
      </c>
      <c r="DH117" s="0" t="n">
        <v>0.05849222</v>
      </c>
      <c r="DI117" s="0" t="n">
        <v>0.23811108</v>
      </c>
      <c r="DJ117" s="0" t="n">
        <v>0.12507966</v>
      </c>
      <c r="DK117" s="0" t="n">
        <v>0.20247484</v>
      </c>
      <c r="DL117" s="0" t="n">
        <v>0.02234296</v>
      </c>
      <c r="DM117" s="0" t="n">
        <v>0.16056107</v>
      </c>
      <c r="DN117" s="0" t="n">
        <v>0.06792435</v>
      </c>
      <c r="DO117" s="0" t="n">
        <v>0.08776002</v>
      </c>
      <c r="DP117" s="0" t="n">
        <v>0.16362097</v>
      </c>
      <c r="DQ117" s="0" t="n">
        <v>0.08099765</v>
      </c>
      <c r="DR117" s="0" t="n">
        <v>0.05484152</v>
      </c>
      <c r="DS117" s="0" t="n">
        <v>0.04756369</v>
      </c>
      <c r="DT117" s="0" t="n">
        <v>0.05151976</v>
      </c>
      <c r="DU117" s="0" t="n">
        <v>0.11162065</v>
      </c>
      <c r="DV117" s="0" t="n">
        <v>0.05548799</v>
      </c>
      <c r="DW117" s="0" t="n">
        <v>0.09031091</v>
      </c>
      <c r="DX117" s="0" t="n">
        <v>0.09066013</v>
      </c>
      <c r="DY117" s="0" t="n">
        <v>0.13693184</v>
      </c>
      <c r="DZ117" s="0" t="n">
        <v>0.03900985</v>
      </c>
      <c r="EA117" s="0" t="n">
        <v>0.08578504</v>
      </c>
      <c r="EB117" s="0" t="n">
        <v>0.14482821</v>
      </c>
      <c r="EC117" s="0" t="n">
        <v>-0.00206525</v>
      </c>
      <c r="ED117" s="0" t="n">
        <v>0.09373154</v>
      </c>
      <c r="EE117" s="0" t="n">
        <v>0.11573007</v>
      </c>
      <c r="EF117" s="0" t="n">
        <v>0.07189688</v>
      </c>
      <c r="EG117" s="0" t="n">
        <v>0.1147425</v>
      </c>
      <c r="EH117" s="0" t="n">
        <v>0.06071124</v>
      </c>
      <c r="EI117" s="0" t="n">
        <v>0.10424837</v>
      </c>
      <c r="EJ117" s="0" t="n">
        <v>0.13254122</v>
      </c>
      <c r="EK117" s="0" t="n">
        <v>0.12346303</v>
      </c>
      <c r="EL117" s="0" t="n">
        <v>0.13884292</v>
      </c>
      <c r="EM117" s="0" t="n">
        <v>0.08802567</v>
      </c>
      <c r="EN117" s="0" t="n">
        <v>0.08258953</v>
      </c>
      <c r="EO117" s="0" t="n">
        <v>0.08762817</v>
      </c>
      <c r="EP117" s="55" t="n">
        <f aca="false">SUMPRODUCT(B117:EO117,$B$5:$EO$5)</f>
        <v>0.057885312</v>
      </c>
      <c r="EQ117" s="55" t="n">
        <f aca="false">SUMIF('Mi portafolio'!$A$8:$A$19,$A117,'Mi portafolio'!$B$8:$B$19)</f>
        <v>0</v>
      </c>
    </row>
    <row r="118" customFormat="false" ht="15" hidden="false" customHeight="false" outlineLevel="0" collapsed="false">
      <c r="A118" s="54" t="s">
        <v>257</v>
      </c>
      <c r="B118" s="0" t="n">
        <v>0.01805063</v>
      </c>
      <c r="C118" s="0" t="n">
        <v>-0.00517432</v>
      </c>
      <c r="D118" s="0" t="n">
        <v>0.00019447</v>
      </c>
      <c r="E118" s="0" t="n">
        <v>0.00756526</v>
      </c>
      <c r="F118" s="0" t="n">
        <v>0.01446685</v>
      </c>
      <c r="G118" s="0" t="n">
        <v>-0.00421225</v>
      </c>
      <c r="H118" s="0" t="n">
        <v>0.00638194</v>
      </c>
      <c r="I118" s="0" t="n">
        <v>0.02651733</v>
      </c>
      <c r="J118" s="0" t="n">
        <v>0.01424279</v>
      </c>
      <c r="K118" s="0" t="n">
        <v>0.02826861</v>
      </c>
      <c r="L118" s="0" t="n">
        <v>0.00852083</v>
      </c>
      <c r="M118" s="0" t="n">
        <v>0.03957391</v>
      </c>
      <c r="N118" s="0" t="n">
        <v>0.03137721</v>
      </c>
      <c r="O118" s="0" t="n">
        <v>0.00679393</v>
      </c>
      <c r="P118" s="0" t="n">
        <v>0.00900602</v>
      </c>
      <c r="Q118" s="0" t="n">
        <v>-0.00102053</v>
      </c>
      <c r="R118" s="0" t="n">
        <v>0.01583287</v>
      </c>
      <c r="S118" s="0" t="n">
        <v>0.00701873</v>
      </c>
      <c r="T118" s="0" t="n">
        <v>0.04357278</v>
      </c>
      <c r="U118" s="0" t="n">
        <v>0.00790295</v>
      </c>
      <c r="V118" s="0" t="n">
        <v>0.01129091</v>
      </c>
      <c r="W118" s="0" t="n">
        <v>-0.00376728</v>
      </c>
      <c r="X118" s="0" t="n">
        <v>0.04506312</v>
      </c>
      <c r="Y118" s="0" t="n">
        <v>0.03890067</v>
      </c>
      <c r="Z118" s="0" t="n">
        <v>0.01310055</v>
      </c>
      <c r="AA118" s="0" t="n">
        <v>0.01128919</v>
      </c>
      <c r="AB118" s="0" t="n">
        <v>0.0430289</v>
      </c>
      <c r="AC118" s="0" t="n">
        <v>-0.00082634</v>
      </c>
      <c r="AD118" s="0" t="n">
        <v>0.00652001</v>
      </c>
      <c r="AE118" s="0" t="n">
        <v>0.02178486</v>
      </c>
      <c r="AF118" s="0" t="n">
        <v>-0.00083273</v>
      </c>
      <c r="AG118" s="0" t="n">
        <v>0.00439802</v>
      </c>
      <c r="AH118" s="0" t="n">
        <v>-0.00043652</v>
      </c>
      <c r="AI118" s="0" t="n">
        <v>-0.02636953</v>
      </c>
      <c r="AJ118" s="0" t="n">
        <v>0.00197485</v>
      </c>
      <c r="AK118" s="0" t="n">
        <v>0.02453586</v>
      </c>
      <c r="AL118" s="0" t="n">
        <v>0.03479388</v>
      </c>
      <c r="AM118" s="0" t="n">
        <v>0.01652638</v>
      </c>
      <c r="AN118" s="0" t="n">
        <v>0.05668647</v>
      </c>
      <c r="AO118" s="0" t="n">
        <v>0.02013346</v>
      </c>
      <c r="AP118" s="0" t="n">
        <v>0.05212442</v>
      </c>
      <c r="AQ118" s="0" t="n">
        <v>-0.02828954</v>
      </c>
      <c r="AR118" s="0" t="n">
        <v>0.04608547</v>
      </c>
      <c r="AS118" s="0" t="n">
        <v>0.0138807</v>
      </c>
      <c r="AT118" s="0" t="n">
        <v>0.06057369</v>
      </c>
      <c r="AU118" s="0" t="n">
        <v>0.01606728</v>
      </c>
      <c r="AV118" s="0" t="n">
        <v>0.00272176</v>
      </c>
      <c r="AW118" s="0" t="n">
        <v>0.00642465</v>
      </c>
      <c r="AX118" s="0" t="n">
        <v>0.03730496</v>
      </c>
      <c r="AY118" s="0" t="n">
        <v>0.047003</v>
      </c>
      <c r="AZ118" s="0" t="n">
        <v>0.02604626</v>
      </c>
      <c r="BA118" s="0" t="n">
        <v>0.04549999</v>
      </c>
      <c r="BB118" s="0" t="n">
        <v>0.06047296</v>
      </c>
      <c r="BC118" s="0" t="n">
        <v>-0.00162126</v>
      </c>
      <c r="BD118" s="0" t="n">
        <v>0.0131874</v>
      </c>
      <c r="BE118" s="0" t="n">
        <v>0.0329125</v>
      </c>
      <c r="BF118" s="0" t="n">
        <v>0.01862867</v>
      </c>
      <c r="BG118" s="0" t="n">
        <v>0.0459606</v>
      </c>
      <c r="BH118" s="0" t="n">
        <v>0.01269535</v>
      </c>
      <c r="BI118" s="0" t="n">
        <v>0.01425886</v>
      </c>
      <c r="BJ118" s="0" t="n">
        <v>-0.0106376</v>
      </c>
      <c r="BK118" s="0" t="n">
        <v>0.02198304</v>
      </c>
      <c r="BL118" s="0" t="n">
        <v>0.05797205</v>
      </c>
      <c r="BM118" s="0" t="n">
        <v>0.0509032</v>
      </c>
      <c r="BN118" s="0" t="n">
        <v>0.01765419</v>
      </c>
      <c r="BO118" s="0" t="n">
        <v>0.05382437</v>
      </c>
      <c r="BP118" s="0" t="n">
        <v>0.00553425</v>
      </c>
      <c r="BQ118" s="0" t="n">
        <v>0.03180806</v>
      </c>
      <c r="BR118" s="0" t="n">
        <v>0.05488288</v>
      </c>
      <c r="BS118" s="0" t="n">
        <v>-0.02301915</v>
      </c>
      <c r="BT118" s="0" t="n">
        <v>0.07338538</v>
      </c>
      <c r="BU118" s="0" t="n">
        <v>0.02452179</v>
      </c>
      <c r="BV118" s="0" t="n">
        <v>0.04263579</v>
      </c>
      <c r="BW118" s="0" t="n">
        <v>0.01290192</v>
      </c>
      <c r="BX118" s="0" t="n">
        <v>0.04432658</v>
      </c>
      <c r="BY118" s="0" t="n">
        <v>0.07101955</v>
      </c>
      <c r="BZ118" s="0" t="n">
        <v>0.0543225</v>
      </c>
      <c r="CA118" s="0" t="n">
        <v>0.00820767</v>
      </c>
      <c r="CB118" s="0" t="n">
        <v>-0.01329273</v>
      </c>
      <c r="CC118" s="0" t="n">
        <v>0.02318875</v>
      </c>
      <c r="CD118" s="0" t="n">
        <v>0.06335027</v>
      </c>
      <c r="CE118" s="0" t="n">
        <v>0.02917239</v>
      </c>
      <c r="CF118" s="0" t="n">
        <v>-0.03289755</v>
      </c>
      <c r="CG118" s="0" t="n">
        <v>0.07175153</v>
      </c>
      <c r="CH118" s="0" t="n">
        <v>0.04619891</v>
      </c>
      <c r="CI118" s="0" t="n">
        <v>-0.03087124</v>
      </c>
      <c r="CJ118" s="0" t="n">
        <v>0.00809346</v>
      </c>
      <c r="CK118" s="0" t="n">
        <v>0.05284614</v>
      </c>
      <c r="CL118" s="0" t="n">
        <v>0.06583291</v>
      </c>
      <c r="CM118" s="0" t="n">
        <v>0.03898211</v>
      </c>
      <c r="CN118" s="0" t="n">
        <v>0.02092014</v>
      </c>
      <c r="CO118" s="0" t="n">
        <v>0.01441961</v>
      </c>
      <c r="CP118" s="0" t="n">
        <v>0.01790246</v>
      </c>
      <c r="CQ118" s="0" t="n">
        <v>0.11568168</v>
      </c>
      <c r="CR118" s="0" t="n">
        <v>0.06709418</v>
      </c>
      <c r="CS118" s="0" t="n">
        <v>0.06742262</v>
      </c>
      <c r="CT118" s="0" t="n">
        <v>0.05208706</v>
      </c>
      <c r="CU118" s="0" t="n">
        <v>0.03107341</v>
      </c>
      <c r="CV118" s="0" t="n">
        <v>0.06350214</v>
      </c>
      <c r="CW118" s="0" t="n">
        <v>0.05566937</v>
      </c>
      <c r="CX118" s="0" t="n">
        <v>0.06577853</v>
      </c>
      <c r="CY118" s="0" t="n">
        <v>0.14738237</v>
      </c>
      <c r="CZ118" s="0" t="n">
        <v>0.04041005</v>
      </c>
      <c r="DA118" s="0" t="n">
        <v>0.05034395</v>
      </c>
      <c r="DB118" s="0" t="n">
        <v>0.04009082</v>
      </c>
      <c r="DC118" s="0" t="n">
        <v>0.09718745</v>
      </c>
      <c r="DD118" s="0" t="n">
        <v>0.07970632</v>
      </c>
      <c r="DE118" s="0" t="n">
        <v>0.07138842</v>
      </c>
      <c r="DF118" s="0" t="n">
        <v>0.02247472</v>
      </c>
      <c r="DG118" s="0" t="n">
        <v>0.05271616</v>
      </c>
      <c r="DH118" s="0" t="n">
        <v>0.04415841</v>
      </c>
      <c r="DI118" s="0" t="n">
        <v>0.12507966</v>
      </c>
      <c r="DJ118" s="0" t="n">
        <v>0.24292592</v>
      </c>
      <c r="DK118" s="0" t="n">
        <v>0.13921033</v>
      </c>
      <c r="DL118" s="0" t="n">
        <v>0.0275995</v>
      </c>
      <c r="DM118" s="0" t="n">
        <v>0.20185337</v>
      </c>
      <c r="DN118" s="0" t="n">
        <v>0.07483599</v>
      </c>
      <c r="DO118" s="0" t="n">
        <v>0.07267245</v>
      </c>
      <c r="DP118" s="0" t="n">
        <v>0.21083115</v>
      </c>
      <c r="DQ118" s="0" t="n">
        <v>0.04104789</v>
      </c>
      <c r="DR118" s="0" t="n">
        <v>0.04342945</v>
      </c>
      <c r="DS118" s="0" t="n">
        <v>0.06827921</v>
      </c>
      <c r="DT118" s="0" t="n">
        <v>0.04586458</v>
      </c>
      <c r="DU118" s="0" t="n">
        <v>0.0696454</v>
      </c>
      <c r="DV118" s="0" t="n">
        <v>0.03004799</v>
      </c>
      <c r="DW118" s="0" t="n">
        <v>0.0898945</v>
      </c>
      <c r="DX118" s="0" t="n">
        <v>0.08114303</v>
      </c>
      <c r="DY118" s="0" t="n">
        <v>0.09865774</v>
      </c>
      <c r="DZ118" s="0" t="n">
        <v>0.03893566</v>
      </c>
      <c r="EA118" s="0" t="n">
        <v>0.07428231</v>
      </c>
      <c r="EB118" s="0" t="n">
        <v>0.11998103</v>
      </c>
      <c r="EC118" s="0" t="n">
        <v>0.0242197</v>
      </c>
      <c r="ED118" s="0" t="n">
        <v>0.07218533</v>
      </c>
      <c r="EE118" s="0" t="n">
        <v>0.07271176</v>
      </c>
      <c r="EF118" s="0" t="n">
        <v>0.06392224</v>
      </c>
      <c r="EG118" s="0" t="n">
        <v>0.07166025</v>
      </c>
      <c r="EH118" s="0" t="n">
        <v>0.04104796</v>
      </c>
      <c r="EI118" s="0" t="n">
        <v>0.06790557</v>
      </c>
      <c r="EJ118" s="0" t="n">
        <v>0.14764301</v>
      </c>
      <c r="EK118" s="0" t="n">
        <v>0.05449682</v>
      </c>
      <c r="EL118" s="0" t="n">
        <v>0.09298337</v>
      </c>
      <c r="EM118" s="0" t="n">
        <v>0.0683312</v>
      </c>
      <c r="EN118" s="0" t="n">
        <v>0.09221305</v>
      </c>
      <c r="EO118" s="0" t="n">
        <v>0.14113543</v>
      </c>
      <c r="EP118" s="55" t="n">
        <f aca="false">SUMPRODUCT(B118:EO118,$B$5:$EO$5)</f>
        <v>0.043216114</v>
      </c>
      <c r="EQ118" s="55" t="n">
        <f aca="false">SUMIF('Mi portafolio'!$A$8:$A$19,$A118,'Mi portafolio'!$B$8:$B$19)</f>
        <v>0</v>
      </c>
    </row>
    <row r="119" customFormat="false" ht="15" hidden="false" customHeight="false" outlineLevel="0" collapsed="false">
      <c r="A119" s="54" t="s">
        <v>258</v>
      </c>
      <c r="B119" s="0" t="n">
        <v>0.0190478</v>
      </c>
      <c r="C119" s="0" t="n">
        <v>-0.0001148</v>
      </c>
      <c r="D119" s="0" t="n">
        <v>0.00207271</v>
      </c>
      <c r="E119" s="0" t="n">
        <v>0.01314835</v>
      </c>
      <c r="F119" s="0" t="n">
        <v>0.00713605</v>
      </c>
      <c r="G119" s="0" t="n">
        <v>-0.00560207</v>
      </c>
      <c r="H119" s="0" t="n">
        <v>0.00898867</v>
      </c>
      <c r="I119" s="0" t="n">
        <v>0.01879838</v>
      </c>
      <c r="J119" s="0" t="n">
        <v>0.00699819</v>
      </c>
      <c r="K119" s="0" t="n">
        <v>0.02082379</v>
      </c>
      <c r="L119" s="0" t="n">
        <v>0.01514883</v>
      </c>
      <c r="M119" s="0" t="n">
        <v>0.04689587</v>
      </c>
      <c r="N119" s="0" t="n">
        <v>0.02554655</v>
      </c>
      <c r="O119" s="0" t="n">
        <v>0.01491098</v>
      </c>
      <c r="P119" s="0" t="n">
        <v>0.00508514</v>
      </c>
      <c r="Q119" s="0" t="n">
        <v>0.00445238</v>
      </c>
      <c r="R119" s="0" t="n">
        <v>0.01084815</v>
      </c>
      <c r="S119" s="0" t="n">
        <v>0.01200241</v>
      </c>
      <c r="T119" s="0" t="n">
        <v>0.0481049</v>
      </c>
      <c r="U119" s="0" t="n">
        <v>0.01596349</v>
      </c>
      <c r="V119" s="0" t="n">
        <v>0.01258541</v>
      </c>
      <c r="W119" s="0" t="n">
        <v>0.0085774</v>
      </c>
      <c r="X119" s="0" t="n">
        <v>0.05445473</v>
      </c>
      <c r="Y119" s="0" t="n">
        <v>0.02661744</v>
      </c>
      <c r="Z119" s="0" t="n">
        <v>0.01036471</v>
      </c>
      <c r="AA119" s="0" t="n">
        <v>0.01953122</v>
      </c>
      <c r="AB119" s="0" t="n">
        <v>0.02894677</v>
      </c>
      <c r="AC119" s="0" t="n">
        <v>0.00441466</v>
      </c>
      <c r="AD119" s="0" t="n">
        <v>0.0104918</v>
      </c>
      <c r="AE119" s="0" t="n">
        <v>0.03316295</v>
      </c>
      <c r="AF119" s="0" t="n">
        <v>0.01620259</v>
      </c>
      <c r="AG119" s="0" t="n">
        <v>0.00045716</v>
      </c>
      <c r="AH119" s="0" t="n">
        <v>0.00251589</v>
      </c>
      <c r="AI119" s="0" t="n">
        <v>-0.03963991</v>
      </c>
      <c r="AJ119" s="0" t="n">
        <v>0.00908715</v>
      </c>
      <c r="AK119" s="0" t="n">
        <v>0.02410399</v>
      </c>
      <c r="AL119" s="0" t="n">
        <v>0.03809685</v>
      </c>
      <c r="AM119" s="0" t="n">
        <v>0.02418905</v>
      </c>
      <c r="AN119" s="0" t="n">
        <v>0.06251066</v>
      </c>
      <c r="AO119" s="0" t="n">
        <v>0.01131285</v>
      </c>
      <c r="AP119" s="0" t="n">
        <v>0.04463619</v>
      </c>
      <c r="AQ119" s="0" t="n">
        <v>-0.04703265</v>
      </c>
      <c r="AR119" s="0" t="n">
        <v>0.05671929</v>
      </c>
      <c r="AS119" s="0" t="n">
        <v>0.01938924</v>
      </c>
      <c r="AT119" s="0" t="n">
        <v>0.06879059</v>
      </c>
      <c r="AU119" s="0" t="n">
        <v>0.01154109</v>
      </c>
      <c r="AV119" s="0" t="n">
        <v>0.0169454</v>
      </c>
      <c r="AW119" s="0" t="n">
        <v>0.02328476</v>
      </c>
      <c r="AX119" s="0" t="n">
        <v>0.03386183</v>
      </c>
      <c r="AY119" s="0" t="n">
        <v>0.05229548</v>
      </c>
      <c r="AZ119" s="0" t="n">
        <v>0.0484031</v>
      </c>
      <c r="BA119" s="0" t="n">
        <v>0.06237045</v>
      </c>
      <c r="BB119" s="0" t="n">
        <v>0.08676811</v>
      </c>
      <c r="BC119" s="0" t="n">
        <v>0.02571867</v>
      </c>
      <c r="BD119" s="0" t="n">
        <v>0.02477209</v>
      </c>
      <c r="BE119" s="0" t="n">
        <v>0.02904556</v>
      </c>
      <c r="BF119" s="0" t="n">
        <v>0.02322454</v>
      </c>
      <c r="BG119" s="0" t="n">
        <v>0.04777054</v>
      </c>
      <c r="BH119" s="0" t="n">
        <v>0.02885279</v>
      </c>
      <c r="BI119" s="0" t="n">
        <v>0.02601058</v>
      </c>
      <c r="BJ119" s="0" t="n">
        <v>-0.0021852</v>
      </c>
      <c r="BK119" s="0" t="n">
        <v>0.03735666</v>
      </c>
      <c r="BL119" s="0" t="n">
        <v>0.05687443</v>
      </c>
      <c r="BM119" s="0" t="n">
        <v>0.04811874</v>
      </c>
      <c r="BN119" s="0" t="n">
        <v>0.02826224</v>
      </c>
      <c r="BO119" s="0" t="n">
        <v>0.05506363</v>
      </c>
      <c r="BP119" s="0" t="n">
        <v>0.0302342</v>
      </c>
      <c r="BQ119" s="0" t="n">
        <v>0.05711581</v>
      </c>
      <c r="BR119" s="0" t="n">
        <v>0.08333348</v>
      </c>
      <c r="BS119" s="0" t="n">
        <v>-0.05060485</v>
      </c>
      <c r="BT119" s="0" t="n">
        <v>0.09241394</v>
      </c>
      <c r="BU119" s="0" t="n">
        <v>0.02363968</v>
      </c>
      <c r="BV119" s="0" t="n">
        <v>0.05309911</v>
      </c>
      <c r="BW119" s="0" t="n">
        <v>0.05219753</v>
      </c>
      <c r="BX119" s="0" t="n">
        <v>0.02465791</v>
      </c>
      <c r="BY119" s="0" t="n">
        <v>0.079969</v>
      </c>
      <c r="BZ119" s="0" t="n">
        <v>0.08313961</v>
      </c>
      <c r="CA119" s="0" t="n">
        <v>0.00914428</v>
      </c>
      <c r="CB119" s="0" t="n">
        <v>-0.01023493</v>
      </c>
      <c r="CC119" s="0" t="n">
        <v>0.03029421</v>
      </c>
      <c r="CD119" s="0" t="n">
        <v>0.04876022</v>
      </c>
      <c r="CE119" s="0" t="n">
        <v>0.03898687</v>
      </c>
      <c r="CF119" s="0" t="n">
        <v>-0.05765831</v>
      </c>
      <c r="CG119" s="0" t="n">
        <v>0.0711222</v>
      </c>
      <c r="CH119" s="0" t="n">
        <v>0.05193842</v>
      </c>
      <c r="CI119" s="0" t="n">
        <v>-0.05992266</v>
      </c>
      <c r="CJ119" s="0" t="n">
        <v>0.01103694</v>
      </c>
      <c r="CK119" s="0" t="n">
        <v>0.05475779</v>
      </c>
      <c r="CL119" s="0" t="n">
        <v>0.0800196</v>
      </c>
      <c r="CM119" s="0" t="n">
        <v>0.05850817</v>
      </c>
      <c r="CN119" s="0" t="n">
        <v>0.0095323</v>
      </c>
      <c r="CO119" s="0" t="n">
        <v>0.0333747</v>
      </c>
      <c r="CP119" s="0" t="n">
        <v>0.02553915</v>
      </c>
      <c r="CQ119" s="0" t="n">
        <v>0.17915785</v>
      </c>
      <c r="CR119" s="0" t="n">
        <v>0.08696632</v>
      </c>
      <c r="CS119" s="0" t="n">
        <v>0.09699674</v>
      </c>
      <c r="CT119" s="0" t="n">
        <v>0.06200391</v>
      </c>
      <c r="CU119" s="0" t="n">
        <v>0.03760643</v>
      </c>
      <c r="CV119" s="0" t="n">
        <v>0.05704321</v>
      </c>
      <c r="CW119" s="0" t="n">
        <v>0.05876483</v>
      </c>
      <c r="CX119" s="0" t="n">
        <v>0.08346185</v>
      </c>
      <c r="CY119" s="0" t="n">
        <v>0.16208547</v>
      </c>
      <c r="CZ119" s="0" t="n">
        <v>0.02974454</v>
      </c>
      <c r="DA119" s="0" t="n">
        <v>0.03524774</v>
      </c>
      <c r="DB119" s="0" t="n">
        <v>0.07674493</v>
      </c>
      <c r="DC119" s="0" t="n">
        <v>0.10971292</v>
      </c>
      <c r="DD119" s="0" t="n">
        <v>0.08209179</v>
      </c>
      <c r="DE119" s="0" t="n">
        <v>0.08863242</v>
      </c>
      <c r="DF119" s="0" t="n">
        <v>0.0136894</v>
      </c>
      <c r="DG119" s="0" t="n">
        <v>0.07407805</v>
      </c>
      <c r="DH119" s="0" t="n">
        <v>0.07286471</v>
      </c>
      <c r="DI119" s="0" t="n">
        <v>0.20247484</v>
      </c>
      <c r="DJ119" s="0" t="n">
        <v>0.13921033</v>
      </c>
      <c r="DK119" s="0" t="n">
        <v>0.24213489</v>
      </c>
      <c r="DL119" s="0" t="n">
        <v>0.03012099</v>
      </c>
      <c r="DM119" s="0" t="n">
        <v>0.172113</v>
      </c>
      <c r="DN119" s="0" t="n">
        <v>0.07749836</v>
      </c>
      <c r="DO119" s="0" t="n">
        <v>0.0912224</v>
      </c>
      <c r="DP119" s="0" t="n">
        <v>0.1747112</v>
      </c>
      <c r="DQ119" s="0" t="n">
        <v>0.09891794</v>
      </c>
      <c r="DR119" s="0" t="n">
        <v>0.06806821</v>
      </c>
      <c r="DS119" s="0" t="n">
        <v>0.04432666</v>
      </c>
      <c r="DT119" s="0" t="n">
        <v>0.05835793</v>
      </c>
      <c r="DU119" s="0" t="n">
        <v>0.12435063</v>
      </c>
      <c r="DV119" s="0" t="n">
        <v>0.05853562</v>
      </c>
      <c r="DW119" s="0" t="n">
        <v>0.09971498</v>
      </c>
      <c r="DX119" s="0" t="n">
        <v>0.11601503</v>
      </c>
      <c r="DY119" s="0" t="n">
        <v>0.14051194</v>
      </c>
      <c r="DZ119" s="0" t="n">
        <v>0.03676957</v>
      </c>
      <c r="EA119" s="0" t="n">
        <v>0.09284522</v>
      </c>
      <c r="EB119" s="0" t="n">
        <v>0.15114697</v>
      </c>
      <c r="EC119" s="0" t="n">
        <v>0.01608347</v>
      </c>
      <c r="ED119" s="0" t="n">
        <v>0.10510878</v>
      </c>
      <c r="EE119" s="0" t="n">
        <v>0.13880855</v>
      </c>
      <c r="EF119" s="0" t="n">
        <v>0.11123915</v>
      </c>
      <c r="EG119" s="0" t="n">
        <v>0.13703838</v>
      </c>
      <c r="EH119" s="0" t="n">
        <v>0.05621636</v>
      </c>
      <c r="EI119" s="0" t="n">
        <v>0.12920938</v>
      </c>
      <c r="EJ119" s="0" t="n">
        <v>0.14968577</v>
      </c>
      <c r="EK119" s="0" t="n">
        <v>0.14578875</v>
      </c>
      <c r="EL119" s="0" t="n">
        <v>0.18310683</v>
      </c>
      <c r="EM119" s="0" t="n">
        <v>0.11319293</v>
      </c>
      <c r="EN119" s="0" t="n">
        <v>0.07461585</v>
      </c>
      <c r="EO119" s="0" t="n">
        <v>0.08874317</v>
      </c>
      <c r="EP119" s="55" t="n">
        <f aca="false">SUMPRODUCT(B119:EO119,$B$5:$EO$5)</f>
        <v>0.0627455</v>
      </c>
      <c r="EQ119" s="55" t="n">
        <f aca="false">SUMIF('Mi portafolio'!$A$8:$A$19,$A119,'Mi portafolio'!$B$8:$B$19)</f>
        <v>0</v>
      </c>
    </row>
    <row r="120" customFormat="false" ht="15" hidden="false" customHeight="false" outlineLevel="0" collapsed="false">
      <c r="A120" s="54" t="s">
        <v>259</v>
      </c>
      <c r="B120" s="0" t="n">
        <v>-0.01004149</v>
      </c>
      <c r="C120" s="0" t="n">
        <v>0.01540398</v>
      </c>
      <c r="D120" s="0" t="n">
        <v>0.01968375</v>
      </c>
      <c r="E120" s="0" t="n">
        <v>0.01074302</v>
      </c>
      <c r="F120" s="0" t="n">
        <v>-0.01184804</v>
      </c>
      <c r="G120" s="0" t="n">
        <v>0.0169968</v>
      </c>
      <c r="H120" s="0" t="n">
        <v>0.02277917</v>
      </c>
      <c r="I120" s="0" t="n">
        <v>-0.00424537</v>
      </c>
      <c r="J120" s="0" t="n">
        <v>-0.00054627</v>
      </c>
      <c r="K120" s="0" t="n">
        <v>0.00167786</v>
      </c>
      <c r="L120" s="0" t="n">
        <v>0.01598397</v>
      </c>
      <c r="M120" s="0" t="n">
        <v>0.0208865</v>
      </c>
      <c r="N120" s="0" t="n">
        <v>0.00435243</v>
      </c>
      <c r="O120" s="0" t="n">
        <v>0.02963935</v>
      </c>
      <c r="P120" s="0" t="n">
        <v>-0.00408521</v>
      </c>
      <c r="Q120" s="0" t="n">
        <v>0.00490194</v>
      </c>
      <c r="R120" s="0" t="n">
        <v>-0.00504</v>
      </c>
      <c r="S120" s="0" t="n">
        <v>0.01882495</v>
      </c>
      <c r="T120" s="0" t="n">
        <v>0.00262314</v>
      </c>
      <c r="U120" s="0" t="n">
        <v>0.03520449</v>
      </c>
      <c r="V120" s="0" t="n">
        <v>0.03726672</v>
      </c>
      <c r="W120" s="0" t="n">
        <v>0.00974767</v>
      </c>
      <c r="X120" s="0" t="n">
        <v>0.00794981</v>
      </c>
      <c r="Y120" s="0" t="n">
        <v>-0.00774961</v>
      </c>
      <c r="Z120" s="0" t="n">
        <v>0.03979596</v>
      </c>
      <c r="AA120" s="0" t="n">
        <v>0.01512972</v>
      </c>
      <c r="AB120" s="0" t="n">
        <v>-0.01560626</v>
      </c>
      <c r="AC120" s="0" t="n">
        <v>0.02702938</v>
      </c>
      <c r="AD120" s="0" t="n">
        <v>0.01469859</v>
      </c>
      <c r="AE120" s="0" t="n">
        <v>0.0367903</v>
      </c>
      <c r="AF120" s="0" t="n">
        <v>0.04635427</v>
      </c>
      <c r="AG120" s="0" t="n">
        <v>-0.02059124</v>
      </c>
      <c r="AH120" s="0" t="n">
        <v>-0.02873578</v>
      </c>
      <c r="AI120" s="0" t="n">
        <v>-0.03253515</v>
      </c>
      <c r="AJ120" s="0" t="n">
        <v>0.03736624</v>
      </c>
      <c r="AK120" s="0" t="n">
        <v>0.04392337</v>
      </c>
      <c r="AL120" s="0" t="n">
        <v>-0.00129401</v>
      </c>
      <c r="AM120" s="0" t="n">
        <v>0.01685965</v>
      </c>
      <c r="AN120" s="0" t="n">
        <v>0.01044936</v>
      </c>
      <c r="AO120" s="0" t="n">
        <v>-0.01107879</v>
      </c>
      <c r="AP120" s="0" t="n">
        <v>0.01288682</v>
      </c>
      <c r="AQ120" s="0" t="n">
        <v>-0.03040597</v>
      </c>
      <c r="AR120" s="0" t="n">
        <v>-0.00159465</v>
      </c>
      <c r="AS120" s="0" t="n">
        <v>0.04340887</v>
      </c>
      <c r="AT120" s="0" t="n">
        <v>-0.00663636</v>
      </c>
      <c r="AU120" s="0" t="n">
        <v>-0.00471803</v>
      </c>
      <c r="AV120" s="0" t="n">
        <v>0.02433646</v>
      </c>
      <c r="AW120" s="0" t="n">
        <v>0.04808396</v>
      </c>
      <c r="AX120" s="0" t="n">
        <v>0.00489428</v>
      </c>
      <c r="AY120" s="0" t="n">
        <v>-0.00197554</v>
      </c>
      <c r="AZ120" s="0" t="n">
        <v>0.03384474</v>
      </c>
      <c r="BA120" s="0" t="n">
        <v>0.01654241</v>
      </c>
      <c r="BB120" s="0" t="n">
        <v>0.01264509</v>
      </c>
      <c r="BC120" s="0" t="n">
        <v>0.02554712</v>
      </c>
      <c r="BD120" s="0" t="n">
        <v>0.04901871</v>
      </c>
      <c r="BE120" s="0" t="n">
        <v>0.00790962</v>
      </c>
      <c r="BF120" s="0" t="n">
        <v>0.03618475</v>
      </c>
      <c r="BG120" s="0" t="n">
        <v>0.01040088</v>
      </c>
      <c r="BH120" s="0" t="n">
        <v>0.03457385</v>
      </c>
      <c r="BI120" s="0" t="n">
        <v>0.01452253</v>
      </c>
      <c r="BJ120" s="0" t="n">
        <v>0.02618621</v>
      </c>
      <c r="BK120" s="0" t="n">
        <v>0.0280883</v>
      </c>
      <c r="BL120" s="0" t="n">
        <v>0.04543523</v>
      </c>
      <c r="BM120" s="0" t="n">
        <v>-0.01297119</v>
      </c>
      <c r="BN120" s="0" t="n">
        <v>-0.00379162</v>
      </c>
      <c r="BO120" s="0" t="n">
        <v>0.0135692</v>
      </c>
      <c r="BP120" s="0" t="n">
        <v>0.00512952</v>
      </c>
      <c r="BQ120" s="0" t="n">
        <v>0.05432374</v>
      </c>
      <c r="BR120" s="0" t="n">
        <v>0.0045767</v>
      </c>
      <c r="BS120" s="0" t="n">
        <v>-0.03393294</v>
      </c>
      <c r="BT120" s="0" t="n">
        <v>0.02945985</v>
      </c>
      <c r="BU120" s="0" t="n">
        <v>0.04705959</v>
      </c>
      <c r="BV120" s="0" t="n">
        <v>0.012602</v>
      </c>
      <c r="BW120" s="0" t="n">
        <v>0.01132271</v>
      </c>
      <c r="BX120" s="0" t="n">
        <v>0.01000518</v>
      </c>
      <c r="BY120" s="0" t="n">
        <v>0.01664214</v>
      </c>
      <c r="BZ120" s="0" t="n">
        <v>0.02023716</v>
      </c>
      <c r="CA120" s="0" t="n">
        <v>0.0535465</v>
      </c>
      <c r="CB120" s="0" t="n">
        <v>-0.02140449</v>
      </c>
      <c r="CC120" s="0" t="n">
        <v>0.00475466</v>
      </c>
      <c r="CD120" s="0" t="n">
        <v>-0.00248063</v>
      </c>
      <c r="CE120" s="0" t="n">
        <v>0.01122505</v>
      </c>
      <c r="CF120" s="0" t="n">
        <v>-0.04449714</v>
      </c>
      <c r="CG120" s="0" t="n">
        <v>0.01073358</v>
      </c>
      <c r="CH120" s="0" t="n">
        <v>0.11113216</v>
      </c>
      <c r="CI120" s="0" t="n">
        <v>-0.03388511</v>
      </c>
      <c r="CJ120" s="0" t="n">
        <v>0.00048662</v>
      </c>
      <c r="CK120" s="0" t="n">
        <v>-0.01326105</v>
      </c>
      <c r="CL120" s="0" t="n">
        <v>0.02832881</v>
      </c>
      <c r="CM120" s="0" t="n">
        <v>0.03410927</v>
      </c>
      <c r="CN120" s="0" t="n">
        <v>0.041336</v>
      </c>
      <c r="CO120" s="0" t="n">
        <v>0.00416973</v>
      </c>
      <c r="CP120" s="0" t="n">
        <v>-0.01478713</v>
      </c>
      <c r="CQ120" s="0" t="n">
        <v>0.01265813</v>
      </c>
      <c r="CR120" s="0" t="n">
        <v>0.03922034</v>
      </c>
      <c r="CS120" s="0" t="n">
        <v>0.0482954</v>
      </c>
      <c r="CT120" s="0" t="n">
        <v>0.03478226</v>
      </c>
      <c r="CU120" s="0" t="n">
        <v>0.04934438</v>
      </c>
      <c r="CV120" s="0" t="n">
        <v>0.02054882</v>
      </c>
      <c r="CW120" s="0" t="n">
        <v>0.01961739</v>
      </c>
      <c r="CX120" s="0" t="n">
        <v>0.03303997</v>
      </c>
      <c r="CY120" s="0" t="n">
        <v>0.02151755</v>
      </c>
      <c r="CZ120" s="0" t="n">
        <v>0.01180968</v>
      </c>
      <c r="DA120" s="0" t="n">
        <v>0.00327996</v>
      </c>
      <c r="DB120" s="0" t="n">
        <v>0.05195449</v>
      </c>
      <c r="DC120" s="0" t="n">
        <v>0.0741952</v>
      </c>
      <c r="DD120" s="0" t="n">
        <v>0.03501113</v>
      </c>
      <c r="DE120" s="0" t="n">
        <v>0.12064859</v>
      </c>
      <c r="DF120" s="0" t="n">
        <v>-0.01194823</v>
      </c>
      <c r="DG120" s="0" t="n">
        <v>0.14184197</v>
      </c>
      <c r="DH120" s="0" t="n">
        <v>0.04195274</v>
      </c>
      <c r="DI120" s="0" t="n">
        <v>0.02234296</v>
      </c>
      <c r="DJ120" s="0" t="n">
        <v>0.0275995</v>
      </c>
      <c r="DK120" s="0" t="n">
        <v>0.03012099</v>
      </c>
      <c r="DL120" s="0" t="n">
        <v>0.24761418</v>
      </c>
      <c r="DM120" s="0" t="n">
        <v>0.04903833</v>
      </c>
      <c r="DN120" s="0" t="n">
        <v>-0.00114547</v>
      </c>
      <c r="DO120" s="0" t="n">
        <v>0.04160935</v>
      </c>
      <c r="DP120" s="0" t="n">
        <v>0.03671615</v>
      </c>
      <c r="DQ120" s="0" t="n">
        <v>0.03611207</v>
      </c>
      <c r="DR120" s="0" t="n">
        <v>0.09583462</v>
      </c>
      <c r="DS120" s="0" t="n">
        <v>-0.04594555</v>
      </c>
      <c r="DT120" s="0" t="n">
        <v>0.0415</v>
      </c>
      <c r="DU120" s="0" t="n">
        <v>0.04407854</v>
      </c>
      <c r="DV120" s="0" t="n">
        <v>0.01125794</v>
      </c>
      <c r="DW120" s="0" t="n">
        <v>0.01873126</v>
      </c>
      <c r="DX120" s="0" t="n">
        <v>0.07796313</v>
      </c>
      <c r="DY120" s="0" t="n">
        <v>0.0171242</v>
      </c>
      <c r="DZ120" s="0" t="n">
        <v>0.01107887</v>
      </c>
      <c r="EA120" s="0" t="n">
        <v>0.07288001</v>
      </c>
      <c r="EB120" s="0" t="n">
        <v>0.00797368</v>
      </c>
      <c r="EC120" s="0" t="n">
        <v>0.1055235</v>
      </c>
      <c r="ED120" s="0" t="n">
        <v>0.07500004</v>
      </c>
      <c r="EE120" s="0" t="n">
        <v>0.07812302</v>
      </c>
      <c r="EF120" s="0" t="n">
        <v>0.07727902</v>
      </c>
      <c r="EG120" s="0" t="n">
        <v>0.07174597</v>
      </c>
      <c r="EH120" s="0" t="n">
        <v>-0.04183922</v>
      </c>
      <c r="EI120" s="0" t="n">
        <v>0.11076914</v>
      </c>
      <c r="EJ120" s="0" t="n">
        <v>0.02393282</v>
      </c>
      <c r="EK120" s="0" t="n">
        <v>0.11289196</v>
      </c>
      <c r="EL120" s="0" t="n">
        <v>0.15831282</v>
      </c>
      <c r="EM120" s="0" t="n">
        <v>0.00173938</v>
      </c>
      <c r="EN120" s="0" t="n">
        <v>0.07765095</v>
      </c>
      <c r="EO120" s="0" t="n">
        <v>0.02033983</v>
      </c>
      <c r="EP120" s="55" t="n">
        <f aca="false">SUMPRODUCT(B120:EO120,$B$5:$EO$5)</f>
        <v>0.054586466</v>
      </c>
      <c r="EQ120" s="55" t="n">
        <f aca="false">SUMIF('Mi portafolio'!$A$8:$A$19,$A120,'Mi portafolio'!$B$8:$B$19)</f>
        <v>0</v>
      </c>
    </row>
    <row r="121" customFormat="false" ht="15" hidden="false" customHeight="false" outlineLevel="0" collapsed="false">
      <c r="A121" s="54" t="s">
        <v>260</v>
      </c>
      <c r="B121" s="0" t="n">
        <v>0.02245357</v>
      </c>
      <c r="C121" s="0" t="n">
        <v>-0.00118511</v>
      </c>
      <c r="D121" s="0" t="n">
        <v>0.00214395</v>
      </c>
      <c r="E121" s="0" t="n">
        <v>0.01263659</v>
      </c>
      <c r="F121" s="0" t="n">
        <v>0.0162758</v>
      </c>
      <c r="G121" s="0" t="n">
        <v>0.00437931</v>
      </c>
      <c r="H121" s="0" t="n">
        <v>0.0150002</v>
      </c>
      <c r="I121" s="0" t="n">
        <v>0.02928171</v>
      </c>
      <c r="J121" s="0" t="n">
        <v>0.01280253</v>
      </c>
      <c r="K121" s="0" t="n">
        <v>0.03571413</v>
      </c>
      <c r="L121" s="0" t="n">
        <v>0.01597591</v>
      </c>
      <c r="M121" s="0" t="n">
        <v>0.04976982</v>
      </c>
      <c r="N121" s="0" t="n">
        <v>0.03892903</v>
      </c>
      <c r="O121" s="0" t="n">
        <v>0.01958861</v>
      </c>
      <c r="P121" s="0" t="n">
        <v>0.0110393</v>
      </c>
      <c r="Q121" s="0" t="n">
        <v>-0.00105046</v>
      </c>
      <c r="R121" s="0" t="n">
        <v>0.02079161</v>
      </c>
      <c r="S121" s="0" t="n">
        <v>0.01023126</v>
      </c>
      <c r="T121" s="0" t="n">
        <v>0.05102629</v>
      </c>
      <c r="U121" s="0" t="n">
        <v>0.01840869</v>
      </c>
      <c r="V121" s="0" t="n">
        <v>0.02290847</v>
      </c>
      <c r="W121" s="0" t="n">
        <v>0.00970505</v>
      </c>
      <c r="X121" s="0" t="n">
        <v>0.05542692</v>
      </c>
      <c r="Y121" s="0" t="n">
        <v>0.04247187</v>
      </c>
      <c r="Z121" s="0" t="n">
        <v>0.02355809</v>
      </c>
      <c r="AA121" s="0" t="n">
        <v>0.02952632</v>
      </c>
      <c r="AB121" s="0" t="n">
        <v>0.04343951</v>
      </c>
      <c r="AC121" s="0" t="n">
        <v>0.01364004</v>
      </c>
      <c r="AD121" s="0" t="n">
        <v>0.01511087</v>
      </c>
      <c r="AE121" s="0" t="n">
        <v>0.03864533</v>
      </c>
      <c r="AF121" s="0" t="n">
        <v>0.01214491</v>
      </c>
      <c r="AG121" s="0" t="n">
        <v>0.00244809</v>
      </c>
      <c r="AH121" s="0" t="n">
        <v>0.00225529</v>
      </c>
      <c r="AI121" s="0" t="n">
        <v>-0.03485999</v>
      </c>
      <c r="AJ121" s="0" t="n">
        <v>0.0153105</v>
      </c>
      <c r="AK121" s="0" t="n">
        <v>0.03627684</v>
      </c>
      <c r="AL121" s="0" t="n">
        <v>0.04121633</v>
      </c>
      <c r="AM121" s="0" t="n">
        <v>0.03245109</v>
      </c>
      <c r="AN121" s="0" t="n">
        <v>0.0685356</v>
      </c>
      <c r="AO121" s="0" t="n">
        <v>0.02041847</v>
      </c>
      <c r="AP121" s="0" t="n">
        <v>0.0566979</v>
      </c>
      <c r="AQ121" s="0" t="n">
        <v>-0.03978441</v>
      </c>
      <c r="AR121" s="0" t="n">
        <v>0.05169721</v>
      </c>
      <c r="AS121" s="0" t="n">
        <v>0.01975683</v>
      </c>
      <c r="AT121" s="0" t="n">
        <v>0.06564529</v>
      </c>
      <c r="AU121" s="0" t="n">
        <v>0.02120929</v>
      </c>
      <c r="AV121" s="0" t="n">
        <v>0.01235609</v>
      </c>
      <c r="AW121" s="0" t="n">
        <v>0.01698657</v>
      </c>
      <c r="AX121" s="0" t="n">
        <v>0.04143455</v>
      </c>
      <c r="AY121" s="0" t="n">
        <v>0.05365128</v>
      </c>
      <c r="AZ121" s="0" t="n">
        <v>0.04142101</v>
      </c>
      <c r="BA121" s="0" t="n">
        <v>0.06327691</v>
      </c>
      <c r="BB121" s="0" t="n">
        <v>0.07514957</v>
      </c>
      <c r="BC121" s="0" t="n">
        <v>0.01488424</v>
      </c>
      <c r="BD121" s="0" t="n">
        <v>0.0314356</v>
      </c>
      <c r="BE121" s="0" t="n">
        <v>0.03520042</v>
      </c>
      <c r="BF121" s="0" t="n">
        <v>0.03060601</v>
      </c>
      <c r="BG121" s="0" t="n">
        <v>0.04769165</v>
      </c>
      <c r="BH121" s="0" t="n">
        <v>0.01920428</v>
      </c>
      <c r="BI121" s="0" t="n">
        <v>0.0145714</v>
      </c>
      <c r="BJ121" s="0" t="n">
        <v>-0.01036062</v>
      </c>
      <c r="BK121" s="0" t="n">
        <v>0.03465219</v>
      </c>
      <c r="BL121" s="0" t="n">
        <v>0.06077091</v>
      </c>
      <c r="BM121" s="0" t="n">
        <v>0.04872783</v>
      </c>
      <c r="BN121" s="0" t="n">
        <v>0.01670441</v>
      </c>
      <c r="BO121" s="0" t="n">
        <v>0.05933003</v>
      </c>
      <c r="BP121" s="0" t="n">
        <v>0.01599404</v>
      </c>
      <c r="BQ121" s="0" t="n">
        <v>0.05673741</v>
      </c>
      <c r="BR121" s="0" t="n">
        <v>0.07271012</v>
      </c>
      <c r="BS121" s="0" t="n">
        <v>-0.04212039</v>
      </c>
      <c r="BT121" s="0" t="n">
        <v>0.09265775</v>
      </c>
      <c r="BU121" s="0" t="n">
        <v>0.03779798</v>
      </c>
      <c r="BV121" s="0" t="n">
        <v>0.05674521</v>
      </c>
      <c r="BW121" s="0" t="n">
        <v>0.03346415</v>
      </c>
      <c r="BX121" s="0" t="n">
        <v>0.04116876</v>
      </c>
      <c r="BY121" s="0" t="n">
        <v>0.08831518</v>
      </c>
      <c r="BZ121" s="0" t="n">
        <v>0.07327781</v>
      </c>
      <c r="CA121" s="0" t="n">
        <v>0.021698</v>
      </c>
      <c r="CB121" s="0" t="n">
        <v>-0.03091893</v>
      </c>
      <c r="CC121" s="0" t="n">
        <v>0.01785442</v>
      </c>
      <c r="CD121" s="0" t="n">
        <v>0.0624087</v>
      </c>
      <c r="CE121" s="0" t="n">
        <v>0.0376616</v>
      </c>
      <c r="CF121" s="0" t="n">
        <v>-0.04712587</v>
      </c>
      <c r="CG121" s="0" t="n">
        <v>0.08641126</v>
      </c>
      <c r="CH121" s="0" t="n">
        <v>0.06034503</v>
      </c>
      <c r="CI121" s="0" t="n">
        <v>-0.05622923</v>
      </c>
      <c r="CJ121" s="0" t="n">
        <v>0.01730632</v>
      </c>
      <c r="CK121" s="0" t="n">
        <v>0.05485494</v>
      </c>
      <c r="CL121" s="0" t="n">
        <v>0.07989206</v>
      </c>
      <c r="CM121" s="0" t="n">
        <v>0.04985041</v>
      </c>
      <c r="CN121" s="0" t="n">
        <v>0.02278092</v>
      </c>
      <c r="CO121" s="0" t="n">
        <v>0.01872813</v>
      </c>
      <c r="CP121" s="0" t="n">
        <v>0.02419546</v>
      </c>
      <c r="CQ121" s="0" t="n">
        <v>0.14325504</v>
      </c>
      <c r="CR121" s="0" t="n">
        <v>0.08222313</v>
      </c>
      <c r="CS121" s="0" t="n">
        <v>0.08814915</v>
      </c>
      <c r="CT121" s="0" t="n">
        <v>0.0732463</v>
      </c>
      <c r="CU121" s="0" t="n">
        <v>0.03321723</v>
      </c>
      <c r="CV121" s="0" t="n">
        <v>0.06717953</v>
      </c>
      <c r="CW121" s="0" t="n">
        <v>0.06758653</v>
      </c>
      <c r="CX121" s="0" t="n">
        <v>0.08621234</v>
      </c>
      <c r="CY121" s="0" t="n">
        <v>0.15798134</v>
      </c>
      <c r="CZ121" s="0" t="n">
        <v>0.0406871</v>
      </c>
      <c r="DA121" s="0" t="n">
        <v>0.05131681</v>
      </c>
      <c r="DB121" s="0" t="n">
        <v>0.06454625</v>
      </c>
      <c r="DC121" s="0" t="n">
        <v>0.12275172</v>
      </c>
      <c r="DD121" s="0" t="n">
        <v>0.09492523</v>
      </c>
      <c r="DE121" s="0" t="n">
        <v>0.09350011</v>
      </c>
      <c r="DF121" s="0" t="n">
        <v>0.0201676</v>
      </c>
      <c r="DG121" s="0" t="n">
        <v>0.07560141</v>
      </c>
      <c r="DH121" s="0" t="n">
        <v>0.05213267</v>
      </c>
      <c r="DI121" s="0" t="n">
        <v>0.16056107</v>
      </c>
      <c r="DJ121" s="0" t="n">
        <v>0.20185337</v>
      </c>
      <c r="DK121" s="0" t="n">
        <v>0.172113</v>
      </c>
      <c r="DL121" s="0" t="n">
        <v>0.04903833</v>
      </c>
      <c r="DM121" s="0" t="n">
        <v>0.25899707</v>
      </c>
      <c r="DN121" s="0" t="n">
        <v>0.07281061</v>
      </c>
      <c r="DO121" s="0" t="n">
        <v>0.0865587</v>
      </c>
      <c r="DP121" s="0" t="n">
        <v>0.2355558</v>
      </c>
      <c r="DQ121" s="0" t="n">
        <v>0.0710137</v>
      </c>
      <c r="DR121" s="0" t="n">
        <v>0.04939133</v>
      </c>
      <c r="DS121" s="0" t="n">
        <v>0.0520588</v>
      </c>
      <c r="DT121" s="0" t="n">
        <v>0.05022253</v>
      </c>
      <c r="DU121" s="0" t="n">
        <v>0.09771643</v>
      </c>
      <c r="DV121" s="0" t="n">
        <v>0.04854736</v>
      </c>
      <c r="DW121" s="0" t="n">
        <v>0.10742037</v>
      </c>
      <c r="DX121" s="0" t="n">
        <v>0.09998195</v>
      </c>
      <c r="DY121" s="0" t="n">
        <v>0.12384819</v>
      </c>
      <c r="DZ121" s="0" t="n">
        <v>0.03237024</v>
      </c>
      <c r="EA121" s="0" t="n">
        <v>0.08413315</v>
      </c>
      <c r="EB121" s="0" t="n">
        <v>0.13590385</v>
      </c>
      <c r="EC121" s="0" t="n">
        <v>0.02258958</v>
      </c>
      <c r="ED121" s="0" t="n">
        <v>0.1010079</v>
      </c>
      <c r="EE121" s="0" t="n">
        <v>0.09647006</v>
      </c>
      <c r="EF121" s="0" t="n">
        <v>0.0975395</v>
      </c>
      <c r="EG121" s="0" t="n">
        <v>0.08963347</v>
      </c>
      <c r="EH121" s="0" t="n">
        <v>0.06087036</v>
      </c>
      <c r="EI121" s="0" t="n">
        <v>0.08979437</v>
      </c>
      <c r="EJ121" s="0" t="n">
        <v>0.13460311</v>
      </c>
      <c r="EK121" s="0" t="n">
        <v>0.08630713</v>
      </c>
      <c r="EL121" s="0" t="n">
        <v>0.12732914</v>
      </c>
      <c r="EM121" s="0" t="n">
        <v>0.07182823</v>
      </c>
      <c r="EN121" s="0" t="n">
        <v>0.09945585</v>
      </c>
      <c r="EO121" s="0" t="n">
        <v>0.1615072</v>
      </c>
      <c r="EP121" s="55" t="n">
        <f aca="false">SUMPRODUCT(B121:EO121,$B$5:$EO$5)</f>
        <v>0.058618278</v>
      </c>
      <c r="EQ121" s="55" t="n">
        <f aca="false">SUMIF('Mi portafolio'!$A$8:$A$19,$A121,'Mi portafolio'!$B$8:$B$19)</f>
        <v>0</v>
      </c>
    </row>
    <row r="122" customFormat="false" ht="15" hidden="false" customHeight="false" outlineLevel="0" collapsed="false">
      <c r="A122" s="54" t="s">
        <v>261</v>
      </c>
      <c r="B122" s="0" t="n">
        <v>0.01629239</v>
      </c>
      <c r="C122" s="0" t="n">
        <v>0.00845742</v>
      </c>
      <c r="D122" s="0" t="n">
        <v>-0.00624314</v>
      </c>
      <c r="E122" s="0" t="n">
        <v>-0.00186445</v>
      </c>
      <c r="F122" s="0" t="n">
        <v>0.01658363</v>
      </c>
      <c r="G122" s="0" t="n">
        <v>0.00304927</v>
      </c>
      <c r="H122" s="0" t="n">
        <v>0.0094924</v>
      </c>
      <c r="I122" s="0" t="n">
        <v>0.0274625</v>
      </c>
      <c r="J122" s="0" t="n">
        <v>0.00736784</v>
      </c>
      <c r="K122" s="0" t="n">
        <v>0.0201165</v>
      </c>
      <c r="L122" s="0" t="n">
        <v>0.02256145</v>
      </c>
      <c r="M122" s="0" t="n">
        <v>0.03591859</v>
      </c>
      <c r="N122" s="0" t="n">
        <v>0.02102922</v>
      </c>
      <c r="O122" s="0" t="n">
        <v>0.00620156</v>
      </c>
      <c r="P122" s="0" t="n">
        <v>0.01877375</v>
      </c>
      <c r="Q122" s="0" t="n">
        <v>-0.01325544</v>
      </c>
      <c r="R122" s="0" t="n">
        <v>0.01851425</v>
      </c>
      <c r="S122" s="0" t="n">
        <v>-0.00084783</v>
      </c>
      <c r="T122" s="0" t="n">
        <v>0.02509628</v>
      </c>
      <c r="U122" s="0" t="n">
        <v>0.00706173</v>
      </c>
      <c r="V122" s="0" t="n">
        <v>0.01867459</v>
      </c>
      <c r="W122" s="0" t="n">
        <v>0.00451107</v>
      </c>
      <c r="X122" s="0" t="n">
        <v>0.02914537</v>
      </c>
      <c r="Y122" s="0" t="n">
        <v>0.03694137</v>
      </c>
      <c r="Z122" s="0" t="n">
        <v>0.00976774</v>
      </c>
      <c r="AA122" s="0" t="n">
        <v>0.01100711</v>
      </c>
      <c r="AB122" s="0" t="n">
        <v>0.03900001</v>
      </c>
      <c r="AC122" s="0" t="n">
        <v>-0.00182691</v>
      </c>
      <c r="AD122" s="0" t="n">
        <v>-0.0138767</v>
      </c>
      <c r="AE122" s="0" t="n">
        <v>-0.00876091</v>
      </c>
      <c r="AF122" s="0" t="n">
        <v>-0.00149915</v>
      </c>
      <c r="AG122" s="0" t="n">
        <v>0.00695929</v>
      </c>
      <c r="AH122" s="0" t="n">
        <v>0.00262217</v>
      </c>
      <c r="AI122" s="0" t="n">
        <v>-0.00351652</v>
      </c>
      <c r="AJ122" s="0" t="n">
        <v>0.00268064</v>
      </c>
      <c r="AK122" s="0" t="n">
        <v>0.00478197</v>
      </c>
      <c r="AL122" s="0" t="n">
        <v>0.03147651</v>
      </c>
      <c r="AM122" s="0" t="n">
        <v>0.01351214</v>
      </c>
      <c r="AN122" s="0" t="n">
        <v>0.04134913</v>
      </c>
      <c r="AO122" s="0" t="n">
        <v>0.01587107</v>
      </c>
      <c r="AP122" s="0" t="n">
        <v>0.05153987</v>
      </c>
      <c r="AQ122" s="0" t="n">
        <v>-0.00864551</v>
      </c>
      <c r="AR122" s="0" t="n">
        <v>0.0283079</v>
      </c>
      <c r="AS122" s="0" t="n">
        <v>0.01328362</v>
      </c>
      <c r="AT122" s="0" t="n">
        <v>0.04562359</v>
      </c>
      <c r="AU122" s="0" t="n">
        <v>0.01835768</v>
      </c>
      <c r="AV122" s="0" t="n">
        <v>0.00279341</v>
      </c>
      <c r="AW122" s="0" t="n">
        <v>0.00941856</v>
      </c>
      <c r="AX122" s="0" t="n">
        <v>0.02608675</v>
      </c>
      <c r="AY122" s="0" t="n">
        <v>0.05010203</v>
      </c>
      <c r="AZ122" s="0" t="n">
        <v>0.01179587</v>
      </c>
      <c r="BA122" s="0" t="n">
        <v>0.03521574</v>
      </c>
      <c r="BB122" s="0" t="n">
        <v>0.03980968</v>
      </c>
      <c r="BC122" s="0" t="n">
        <v>0.00928607</v>
      </c>
      <c r="BD122" s="0" t="n">
        <v>0.0070415</v>
      </c>
      <c r="BE122" s="0" t="n">
        <v>0.01952814</v>
      </c>
      <c r="BF122" s="0" t="n">
        <v>0.005521</v>
      </c>
      <c r="BG122" s="0" t="n">
        <v>0.04323817</v>
      </c>
      <c r="BH122" s="0" t="n">
        <v>0.01348177</v>
      </c>
      <c r="BI122" s="0" t="n">
        <v>0.03070364</v>
      </c>
      <c r="BJ122" s="0" t="n">
        <v>-0.01711495</v>
      </c>
      <c r="BK122" s="0" t="n">
        <v>-0.01296323</v>
      </c>
      <c r="BL122" s="0" t="n">
        <v>0.03638825</v>
      </c>
      <c r="BM122" s="0" t="n">
        <v>0.05416399</v>
      </c>
      <c r="BN122" s="0" t="n">
        <v>0.02965012</v>
      </c>
      <c r="BO122" s="0" t="n">
        <v>0.03571533</v>
      </c>
      <c r="BP122" s="0" t="n">
        <v>0.04178462</v>
      </c>
      <c r="BQ122" s="0" t="n">
        <v>0.01104357</v>
      </c>
      <c r="BR122" s="0" t="n">
        <v>0.04875398</v>
      </c>
      <c r="BS122" s="0" t="n">
        <v>-0.00713676</v>
      </c>
      <c r="BT122" s="0" t="n">
        <v>0.02816673</v>
      </c>
      <c r="BU122" s="0" t="n">
        <v>0.00978028</v>
      </c>
      <c r="BV122" s="0" t="n">
        <v>0.0411437</v>
      </c>
      <c r="BW122" s="0" t="n">
        <v>0.03693943</v>
      </c>
      <c r="BX122" s="0" t="n">
        <v>0.00329647</v>
      </c>
      <c r="BY122" s="0" t="n">
        <v>0.03738182</v>
      </c>
      <c r="BZ122" s="0" t="n">
        <v>0.05412635</v>
      </c>
      <c r="CA122" s="0" t="n">
        <v>0.01294945</v>
      </c>
      <c r="CB122" s="0" t="n">
        <v>0.01169532</v>
      </c>
      <c r="CC122" s="0" t="n">
        <v>0.03220496</v>
      </c>
      <c r="CD122" s="0" t="n">
        <v>0.06264562</v>
      </c>
      <c r="CE122" s="0" t="n">
        <v>0.02368484</v>
      </c>
      <c r="CF122" s="0" t="n">
        <v>-0.00282432</v>
      </c>
      <c r="CG122" s="0" t="n">
        <v>0.07756449</v>
      </c>
      <c r="CH122" s="0" t="n">
        <v>0.01159725</v>
      </c>
      <c r="CI122" s="0" t="n">
        <v>0.00789226</v>
      </c>
      <c r="CJ122" s="0" t="n">
        <v>0.03169637</v>
      </c>
      <c r="CK122" s="0" t="n">
        <v>0.04977639</v>
      </c>
      <c r="CL122" s="0" t="n">
        <v>0.03842949</v>
      </c>
      <c r="CM122" s="0" t="n">
        <v>0.0340605</v>
      </c>
      <c r="CN122" s="0" t="n">
        <v>-2.125E-005</v>
      </c>
      <c r="CO122" s="0" t="n">
        <v>0.02105977</v>
      </c>
      <c r="CP122" s="0" t="n">
        <v>0.04088816</v>
      </c>
      <c r="CQ122" s="0" t="n">
        <v>0.06069413</v>
      </c>
      <c r="CR122" s="0" t="n">
        <v>0.02627376</v>
      </c>
      <c r="CS122" s="0" t="n">
        <v>-0.00486382</v>
      </c>
      <c r="CT122" s="0" t="n">
        <v>0.05741452</v>
      </c>
      <c r="CU122" s="0" t="n">
        <v>0.01738463</v>
      </c>
      <c r="CV122" s="0" t="n">
        <v>0.03718681</v>
      </c>
      <c r="CW122" s="0" t="n">
        <v>0.05401802</v>
      </c>
      <c r="CX122" s="0" t="n">
        <v>0.03201057</v>
      </c>
      <c r="CY122" s="0" t="n">
        <v>0.05152575</v>
      </c>
      <c r="CZ122" s="0" t="n">
        <v>0.05921614</v>
      </c>
      <c r="DA122" s="0" t="n">
        <v>0.0828449</v>
      </c>
      <c r="DB122" s="0" t="n">
        <v>0.0232074</v>
      </c>
      <c r="DC122" s="0" t="n">
        <v>0.03690751</v>
      </c>
      <c r="DD122" s="0" t="n">
        <v>0.08877444</v>
      </c>
      <c r="DE122" s="0" t="n">
        <v>0.02046416</v>
      </c>
      <c r="DF122" s="0" t="n">
        <v>0.08217857</v>
      </c>
      <c r="DG122" s="0" t="n">
        <v>0.02460608</v>
      </c>
      <c r="DH122" s="0" t="n">
        <v>0.03611454</v>
      </c>
      <c r="DI122" s="0" t="n">
        <v>0.06792435</v>
      </c>
      <c r="DJ122" s="0" t="n">
        <v>0.07483599</v>
      </c>
      <c r="DK122" s="0" t="n">
        <v>0.07749836</v>
      </c>
      <c r="DL122" s="0" t="n">
        <v>-0.00114547</v>
      </c>
      <c r="DM122" s="0" t="n">
        <v>0.07281061</v>
      </c>
      <c r="DN122" s="0" t="n">
        <v>0.26759695</v>
      </c>
      <c r="DO122" s="0" t="n">
        <v>0.03866622</v>
      </c>
      <c r="DP122" s="0" t="n">
        <v>0.09152584</v>
      </c>
      <c r="DQ122" s="0" t="n">
        <v>0.02868351</v>
      </c>
      <c r="DR122" s="0" t="n">
        <v>0.02537673</v>
      </c>
      <c r="DS122" s="0" t="n">
        <v>0.08276469</v>
      </c>
      <c r="DT122" s="0" t="n">
        <v>0.06287255</v>
      </c>
      <c r="DU122" s="0" t="n">
        <v>0.07460872</v>
      </c>
      <c r="DV122" s="0" t="n">
        <v>0.08673502</v>
      </c>
      <c r="DW122" s="0" t="n">
        <v>0.10667027</v>
      </c>
      <c r="DX122" s="0" t="n">
        <v>0.02016876</v>
      </c>
      <c r="DY122" s="0" t="n">
        <v>0.12040271</v>
      </c>
      <c r="DZ122" s="0" t="n">
        <v>0.07720756</v>
      </c>
      <c r="EA122" s="0" t="n">
        <v>0.06511402</v>
      </c>
      <c r="EB122" s="0" t="n">
        <v>0.12575595</v>
      </c>
      <c r="EC122" s="0" t="n">
        <v>-0.02095573</v>
      </c>
      <c r="ED122" s="0" t="n">
        <v>0.07719853</v>
      </c>
      <c r="EE122" s="0" t="n">
        <v>0.03829034</v>
      </c>
      <c r="EF122" s="0" t="n">
        <v>0.06397766</v>
      </c>
      <c r="EG122" s="0" t="n">
        <v>0.05073734</v>
      </c>
      <c r="EH122" s="0" t="n">
        <v>0.10308633</v>
      </c>
      <c r="EI122" s="0" t="n">
        <v>0.03190707</v>
      </c>
      <c r="EJ122" s="0" t="n">
        <v>0.0574817</v>
      </c>
      <c r="EK122" s="0" t="n">
        <v>0.08070249</v>
      </c>
      <c r="EL122" s="0" t="n">
        <v>0.03927467</v>
      </c>
      <c r="EM122" s="0" t="n">
        <v>0.08116067</v>
      </c>
      <c r="EN122" s="0" t="n">
        <v>0.08212003</v>
      </c>
      <c r="EO122" s="0" t="n">
        <v>0.15169106</v>
      </c>
      <c r="EP122" s="55" t="n">
        <f aca="false">SUMPRODUCT(B122:EO122,$B$5:$EO$5)</f>
        <v>0.023535618</v>
      </c>
      <c r="EQ122" s="55" t="n">
        <f aca="false">SUMIF('Mi portafolio'!$A$8:$A$19,$A122,'Mi portafolio'!$B$8:$B$19)</f>
        <v>0</v>
      </c>
    </row>
    <row r="123" customFormat="false" ht="15" hidden="false" customHeight="false" outlineLevel="0" collapsed="false">
      <c r="A123" s="54" t="s">
        <v>262</v>
      </c>
      <c r="B123" s="0" t="n">
        <v>0.00568335</v>
      </c>
      <c r="C123" s="0" t="n">
        <v>0.01505694</v>
      </c>
      <c r="D123" s="0" t="n">
        <v>0.00800728</v>
      </c>
      <c r="E123" s="0" t="n">
        <v>0.01572688</v>
      </c>
      <c r="F123" s="0" t="n">
        <v>-0.01391401</v>
      </c>
      <c r="G123" s="0" t="n">
        <v>-0.00425352</v>
      </c>
      <c r="H123" s="0" t="n">
        <v>0.01570752</v>
      </c>
      <c r="I123" s="0" t="n">
        <v>0.00375134</v>
      </c>
      <c r="J123" s="0" t="n">
        <v>-0.00866548</v>
      </c>
      <c r="K123" s="0" t="n">
        <v>0.00124912</v>
      </c>
      <c r="L123" s="0" t="n">
        <v>0.01731109</v>
      </c>
      <c r="M123" s="0" t="n">
        <v>0.03116209</v>
      </c>
      <c r="N123" s="0" t="n">
        <v>0.02468521</v>
      </c>
      <c r="O123" s="0" t="n">
        <v>0.01470356</v>
      </c>
      <c r="P123" s="0" t="n">
        <v>-0.00467188</v>
      </c>
      <c r="Q123" s="0" t="n">
        <v>0.01074089</v>
      </c>
      <c r="R123" s="0" t="n">
        <v>0.00360079</v>
      </c>
      <c r="S123" s="0" t="n">
        <v>0.01077664</v>
      </c>
      <c r="T123" s="0" t="n">
        <v>0.02986126</v>
      </c>
      <c r="U123" s="0" t="n">
        <v>0.01267003</v>
      </c>
      <c r="V123" s="0" t="n">
        <v>0.01025113</v>
      </c>
      <c r="W123" s="0" t="n">
        <v>0.01129122</v>
      </c>
      <c r="X123" s="0" t="n">
        <v>0.0337131</v>
      </c>
      <c r="Y123" s="0" t="n">
        <v>0.00747444</v>
      </c>
      <c r="Z123" s="0" t="n">
        <v>-0.0040393</v>
      </c>
      <c r="AA123" s="0" t="n">
        <v>0.01608369</v>
      </c>
      <c r="AB123" s="0" t="n">
        <v>-0.00257873</v>
      </c>
      <c r="AC123" s="0" t="n">
        <v>0.01941815</v>
      </c>
      <c r="AD123" s="0" t="n">
        <v>0.01512549</v>
      </c>
      <c r="AE123" s="0" t="n">
        <v>0.01966413</v>
      </c>
      <c r="AF123" s="0" t="n">
        <v>0.02380813</v>
      </c>
      <c r="AG123" s="0" t="n">
        <v>-0.00169068</v>
      </c>
      <c r="AH123" s="0" t="n">
        <v>0.00222183</v>
      </c>
      <c r="AI123" s="0" t="n">
        <v>-0.00310983</v>
      </c>
      <c r="AJ123" s="0" t="n">
        <v>0.01935927</v>
      </c>
      <c r="AK123" s="0" t="n">
        <v>0.02001724</v>
      </c>
      <c r="AL123" s="0" t="n">
        <v>0.03743985</v>
      </c>
      <c r="AM123" s="0" t="n">
        <v>0.02482397</v>
      </c>
      <c r="AN123" s="0" t="n">
        <v>0.02170402</v>
      </c>
      <c r="AO123" s="0" t="n">
        <v>-0.00167878</v>
      </c>
      <c r="AP123" s="0" t="n">
        <v>0.02486049</v>
      </c>
      <c r="AQ123" s="0" t="n">
        <v>-0.00917866</v>
      </c>
      <c r="AR123" s="0" t="n">
        <v>0.03022837</v>
      </c>
      <c r="AS123" s="0" t="n">
        <v>0.01433358</v>
      </c>
      <c r="AT123" s="0" t="n">
        <v>0.03922162</v>
      </c>
      <c r="AU123" s="0" t="n">
        <v>-0.00832923</v>
      </c>
      <c r="AV123" s="0" t="n">
        <v>0.02338212</v>
      </c>
      <c r="AW123" s="0" t="n">
        <v>0.02848548</v>
      </c>
      <c r="AX123" s="0" t="n">
        <v>0.01350251</v>
      </c>
      <c r="AY123" s="0" t="n">
        <v>0.01947302</v>
      </c>
      <c r="AZ123" s="0" t="n">
        <v>0.03865162</v>
      </c>
      <c r="BA123" s="0" t="n">
        <v>0.04378887</v>
      </c>
      <c r="BB123" s="0" t="n">
        <v>0.05494124</v>
      </c>
      <c r="BC123" s="0" t="n">
        <v>0.01191299</v>
      </c>
      <c r="BD123" s="0" t="n">
        <v>0.01682739</v>
      </c>
      <c r="BE123" s="0" t="n">
        <v>0.00880254</v>
      </c>
      <c r="BF123" s="0" t="n">
        <v>0.0265179</v>
      </c>
      <c r="BG123" s="0" t="n">
        <v>0.02313707</v>
      </c>
      <c r="BH123" s="0" t="n">
        <v>0.01368864</v>
      </c>
      <c r="BI123" s="0" t="n">
        <v>0.02156403</v>
      </c>
      <c r="BJ123" s="0" t="n">
        <v>0.00822788</v>
      </c>
      <c r="BK123" s="0" t="n">
        <v>0.03205338</v>
      </c>
      <c r="BL123" s="0" t="n">
        <v>0.06156405</v>
      </c>
      <c r="BM123" s="0" t="n">
        <v>0.01742754</v>
      </c>
      <c r="BN123" s="0" t="n">
        <v>0.01095034</v>
      </c>
      <c r="BO123" s="0" t="n">
        <v>0.05239533</v>
      </c>
      <c r="BP123" s="0" t="n">
        <v>0.01745499</v>
      </c>
      <c r="BQ123" s="0" t="n">
        <v>0.03978425</v>
      </c>
      <c r="BR123" s="0" t="n">
        <v>0.03377307</v>
      </c>
      <c r="BS123" s="0" t="n">
        <v>0.00584426</v>
      </c>
      <c r="BT123" s="0" t="n">
        <v>0.04873631</v>
      </c>
      <c r="BU123" s="0" t="n">
        <v>0.00265818</v>
      </c>
      <c r="BV123" s="0" t="n">
        <v>0.0468658</v>
      </c>
      <c r="BW123" s="0" t="n">
        <v>0.02259752</v>
      </c>
      <c r="BX123" s="0" t="n">
        <v>0.02202358</v>
      </c>
      <c r="BY123" s="0" t="n">
        <v>0.04693623</v>
      </c>
      <c r="BZ123" s="0" t="n">
        <v>0.05625189</v>
      </c>
      <c r="CA123" s="0" t="n">
        <v>0.03484135</v>
      </c>
      <c r="CB123" s="0" t="n">
        <v>-0.0083082</v>
      </c>
      <c r="CC123" s="0" t="n">
        <v>0.01250847</v>
      </c>
      <c r="CD123" s="0" t="n">
        <v>0.02107047</v>
      </c>
      <c r="CE123" s="0" t="n">
        <v>0.05948711</v>
      </c>
      <c r="CF123" s="0" t="n">
        <v>-0.00059947</v>
      </c>
      <c r="CG123" s="0" t="n">
        <v>0.04256837</v>
      </c>
      <c r="CH123" s="0" t="n">
        <v>0.0577292</v>
      </c>
      <c r="CI123" s="0" t="n">
        <v>0.00120823</v>
      </c>
      <c r="CJ123" s="0" t="n">
        <v>0.0019965</v>
      </c>
      <c r="CK123" s="0" t="n">
        <v>0.03482466</v>
      </c>
      <c r="CL123" s="0" t="n">
        <v>0.05980414</v>
      </c>
      <c r="CM123" s="0" t="n">
        <v>0.04651454</v>
      </c>
      <c r="CN123" s="0" t="n">
        <v>0.00381458</v>
      </c>
      <c r="CO123" s="0" t="n">
        <v>0.0302329</v>
      </c>
      <c r="CP123" s="0" t="n">
        <v>0.03103593</v>
      </c>
      <c r="CQ123" s="0" t="n">
        <v>0.07441326</v>
      </c>
      <c r="CR123" s="0" t="n">
        <v>0.07005969</v>
      </c>
      <c r="CS123" s="0" t="n">
        <v>0.10155285</v>
      </c>
      <c r="CT123" s="0" t="n">
        <v>0.06187363</v>
      </c>
      <c r="CU123" s="0" t="n">
        <v>0.03649087</v>
      </c>
      <c r="CV123" s="0" t="n">
        <v>0.04798266</v>
      </c>
      <c r="CW123" s="0" t="n">
        <v>0.01804216</v>
      </c>
      <c r="CX123" s="0" t="n">
        <v>0.04304747</v>
      </c>
      <c r="CY123" s="0" t="n">
        <v>0.06807058</v>
      </c>
      <c r="CZ123" s="0" t="n">
        <v>0.04733091</v>
      </c>
      <c r="DA123" s="0" t="n">
        <v>0.03534268</v>
      </c>
      <c r="DB123" s="0" t="n">
        <v>0.11555126</v>
      </c>
      <c r="DC123" s="0" t="n">
        <v>0.07679605</v>
      </c>
      <c r="DD123" s="0" t="n">
        <v>0.06759365</v>
      </c>
      <c r="DE123" s="0" t="n">
        <v>0.09107247</v>
      </c>
      <c r="DF123" s="0" t="n">
        <v>0.02267429</v>
      </c>
      <c r="DG123" s="0" t="n">
        <v>0.0947276</v>
      </c>
      <c r="DH123" s="0" t="n">
        <v>0.09182228</v>
      </c>
      <c r="DI123" s="0" t="n">
        <v>0.08776002</v>
      </c>
      <c r="DJ123" s="0" t="n">
        <v>0.07267245</v>
      </c>
      <c r="DK123" s="0" t="n">
        <v>0.0912224</v>
      </c>
      <c r="DL123" s="0" t="n">
        <v>0.04160935</v>
      </c>
      <c r="DM123" s="0" t="n">
        <v>0.0865587</v>
      </c>
      <c r="DN123" s="0" t="n">
        <v>0.03866622</v>
      </c>
      <c r="DO123" s="0" t="n">
        <v>0.30932732</v>
      </c>
      <c r="DP123" s="0" t="n">
        <v>0.08804809</v>
      </c>
      <c r="DQ123" s="0" t="n">
        <v>0.14200202</v>
      </c>
      <c r="DR123" s="0" t="n">
        <v>0.09226048</v>
      </c>
      <c r="DS123" s="0" t="n">
        <v>0.02375264</v>
      </c>
      <c r="DT123" s="0" t="n">
        <v>0.08225282</v>
      </c>
      <c r="DU123" s="0" t="n">
        <v>0.08634518</v>
      </c>
      <c r="DV123" s="0" t="n">
        <v>0.0670426</v>
      </c>
      <c r="DW123" s="0" t="n">
        <v>0.03554356</v>
      </c>
      <c r="DX123" s="0" t="n">
        <v>0.12877012</v>
      </c>
      <c r="DY123" s="0" t="n">
        <v>0.08381497</v>
      </c>
      <c r="DZ123" s="0" t="n">
        <v>0.05826408</v>
      </c>
      <c r="EA123" s="0" t="n">
        <v>0.06090926</v>
      </c>
      <c r="EB123" s="0" t="n">
        <v>0.09495461</v>
      </c>
      <c r="EC123" s="0" t="n">
        <v>0.01360409</v>
      </c>
      <c r="ED123" s="0" t="n">
        <v>0.12597998</v>
      </c>
      <c r="EE123" s="0" t="n">
        <v>0.19644347</v>
      </c>
      <c r="EF123" s="0" t="n">
        <v>0.11102589</v>
      </c>
      <c r="EG123" s="0" t="n">
        <v>0.20892547</v>
      </c>
      <c r="EH123" s="0" t="n">
        <v>-0.00228732</v>
      </c>
      <c r="EI123" s="0" t="n">
        <v>0.17611239</v>
      </c>
      <c r="EJ123" s="0" t="n">
        <v>0.1045259</v>
      </c>
      <c r="EK123" s="0" t="n">
        <v>0.15215493</v>
      </c>
      <c r="EL123" s="0" t="n">
        <v>0.15570523</v>
      </c>
      <c r="EM123" s="0" t="n">
        <v>0.06865361</v>
      </c>
      <c r="EN123" s="0" t="n">
        <v>0.0946375</v>
      </c>
      <c r="EO123" s="0" t="n">
        <v>0.09546413</v>
      </c>
      <c r="EP123" s="55" t="n">
        <f aca="false">SUMPRODUCT(B123:EO123,$B$5:$EO$5)</f>
        <v>0.071456464</v>
      </c>
      <c r="EQ123" s="55" t="n">
        <f aca="false">SUMIF('Mi portafolio'!$A$8:$A$19,$A123,'Mi portafolio'!$B$8:$B$19)</f>
        <v>0</v>
      </c>
    </row>
    <row r="124" customFormat="false" ht="15" hidden="false" customHeight="false" outlineLevel="0" collapsed="false">
      <c r="A124" s="54" t="s">
        <v>263</v>
      </c>
      <c r="B124" s="0" t="n">
        <v>0.02336596</v>
      </c>
      <c r="C124" s="0" t="n">
        <v>-0.00192691</v>
      </c>
      <c r="D124" s="0" t="n">
        <v>0.00189505</v>
      </c>
      <c r="E124" s="0" t="n">
        <v>0.00585715</v>
      </c>
      <c r="F124" s="0" t="n">
        <v>0.01433876</v>
      </c>
      <c r="G124" s="0" t="n">
        <v>0.00071968</v>
      </c>
      <c r="H124" s="0" t="n">
        <v>0.01316528</v>
      </c>
      <c r="I124" s="0" t="n">
        <v>0.02865083</v>
      </c>
      <c r="J124" s="0" t="n">
        <v>0.01778092</v>
      </c>
      <c r="K124" s="0" t="n">
        <v>0.03362238</v>
      </c>
      <c r="L124" s="0" t="n">
        <v>0.01142615</v>
      </c>
      <c r="M124" s="0" t="n">
        <v>0.04788833</v>
      </c>
      <c r="N124" s="0" t="n">
        <v>0.03687796</v>
      </c>
      <c r="O124" s="0" t="n">
        <v>0.01264094</v>
      </c>
      <c r="P124" s="0" t="n">
        <v>0.00442069</v>
      </c>
      <c r="Q124" s="0" t="n">
        <v>-0.00198799</v>
      </c>
      <c r="R124" s="0" t="n">
        <v>0.01461128</v>
      </c>
      <c r="S124" s="0" t="n">
        <v>0.00628073</v>
      </c>
      <c r="T124" s="0" t="n">
        <v>0.04585322</v>
      </c>
      <c r="U124" s="0" t="n">
        <v>0.01579556</v>
      </c>
      <c r="V124" s="0" t="n">
        <v>0.01175607</v>
      </c>
      <c r="W124" s="0" t="n">
        <v>-0.00379562</v>
      </c>
      <c r="X124" s="0" t="n">
        <v>0.04831847</v>
      </c>
      <c r="Y124" s="0" t="n">
        <v>0.04540568</v>
      </c>
      <c r="Z124" s="0" t="n">
        <v>0.01921788</v>
      </c>
      <c r="AA124" s="0" t="n">
        <v>0.01372706</v>
      </c>
      <c r="AB124" s="0" t="n">
        <v>0.03933318</v>
      </c>
      <c r="AC124" s="0" t="n">
        <v>0.00646835</v>
      </c>
      <c r="AD124" s="0" t="n">
        <v>0.00636647</v>
      </c>
      <c r="AE124" s="0" t="n">
        <v>0.02996752</v>
      </c>
      <c r="AF124" s="0" t="n">
        <v>0.00116175</v>
      </c>
      <c r="AG124" s="0" t="n">
        <v>0.00335544</v>
      </c>
      <c r="AH124" s="0" t="n">
        <v>0.00268473</v>
      </c>
      <c r="AI124" s="0" t="n">
        <v>-0.03759292</v>
      </c>
      <c r="AJ124" s="0" t="n">
        <v>0.01096482</v>
      </c>
      <c r="AK124" s="0" t="n">
        <v>0.02371441</v>
      </c>
      <c r="AL124" s="0" t="n">
        <v>0.04112722</v>
      </c>
      <c r="AM124" s="0" t="n">
        <v>0.02664073</v>
      </c>
      <c r="AN124" s="0" t="n">
        <v>0.06625109</v>
      </c>
      <c r="AO124" s="0" t="n">
        <v>0.02052614</v>
      </c>
      <c r="AP124" s="0" t="n">
        <v>0.05074825</v>
      </c>
      <c r="AQ124" s="0" t="n">
        <v>-0.04432471</v>
      </c>
      <c r="AR124" s="0" t="n">
        <v>0.04451131</v>
      </c>
      <c r="AS124" s="0" t="n">
        <v>0.02438905</v>
      </c>
      <c r="AT124" s="0" t="n">
        <v>0.06424232</v>
      </c>
      <c r="AU124" s="0" t="n">
        <v>0.01753918</v>
      </c>
      <c r="AV124" s="0" t="n">
        <v>0.0049898</v>
      </c>
      <c r="AW124" s="0" t="n">
        <v>0.0157665</v>
      </c>
      <c r="AX124" s="0" t="n">
        <v>0.04085684</v>
      </c>
      <c r="AY124" s="0" t="n">
        <v>0.05295621</v>
      </c>
      <c r="AZ124" s="0" t="n">
        <v>0.03356385</v>
      </c>
      <c r="BA124" s="0" t="n">
        <v>0.06057194</v>
      </c>
      <c r="BB124" s="0" t="n">
        <v>0.0681118</v>
      </c>
      <c r="BC124" s="0" t="n">
        <v>0.01087811</v>
      </c>
      <c r="BD124" s="0" t="n">
        <v>0.02597392</v>
      </c>
      <c r="BE124" s="0" t="n">
        <v>0.03572956</v>
      </c>
      <c r="BF124" s="0" t="n">
        <v>0.03105848</v>
      </c>
      <c r="BG124" s="0" t="n">
        <v>0.0483405</v>
      </c>
      <c r="BH124" s="0" t="n">
        <v>0.02373155</v>
      </c>
      <c r="BI124" s="0" t="n">
        <v>0.01628933</v>
      </c>
      <c r="BJ124" s="0" t="n">
        <v>-0.01086414</v>
      </c>
      <c r="BK124" s="0" t="n">
        <v>0.02338145</v>
      </c>
      <c r="BL124" s="0" t="n">
        <v>0.05913225</v>
      </c>
      <c r="BM124" s="0" t="n">
        <v>0.05019857</v>
      </c>
      <c r="BN124" s="0" t="n">
        <v>0.01672227</v>
      </c>
      <c r="BO124" s="0" t="n">
        <v>0.06275879</v>
      </c>
      <c r="BP124" s="0" t="n">
        <v>0.00270667</v>
      </c>
      <c r="BQ124" s="0" t="n">
        <v>0.04405087</v>
      </c>
      <c r="BR124" s="0" t="n">
        <v>0.0685639</v>
      </c>
      <c r="BS124" s="0" t="n">
        <v>-0.03917559</v>
      </c>
      <c r="BT124" s="0" t="n">
        <v>0.09693834</v>
      </c>
      <c r="BU124" s="0" t="n">
        <v>0.02220344</v>
      </c>
      <c r="BV124" s="0" t="n">
        <v>0.05809823</v>
      </c>
      <c r="BW124" s="0" t="n">
        <v>0.03003</v>
      </c>
      <c r="BX124" s="0" t="n">
        <v>0.04388156</v>
      </c>
      <c r="BY124" s="0" t="n">
        <v>0.08583605</v>
      </c>
      <c r="BZ124" s="0" t="n">
        <v>0.06761518</v>
      </c>
      <c r="CA124" s="0" t="n">
        <v>0.02301595</v>
      </c>
      <c r="CB124" s="0" t="n">
        <v>-0.0180262</v>
      </c>
      <c r="CC124" s="0" t="n">
        <v>0.02043814</v>
      </c>
      <c r="CD124" s="0" t="n">
        <v>0.07345398</v>
      </c>
      <c r="CE124" s="0" t="n">
        <v>0.03146734</v>
      </c>
      <c r="CF124" s="0" t="n">
        <v>-0.04915897</v>
      </c>
      <c r="CG124" s="0" t="n">
        <v>0.08868843</v>
      </c>
      <c r="CH124" s="0" t="n">
        <v>0.05169396</v>
      </c>
      <c r="CI124" s="0" t="n">
        <v>-0.04946886</v>
      </c>
      <c r="CJ124" s="0" t="n">
        <v>0.02251674</v>
      </c>
      <c r="CK124" s="0" t="n">
        <v>0.05624506</v>
      </c>
      <c r="CL124" s="0" t="n">
        <v>0.08436219</v>
      </c>
      <c r="CM124" s="0" t="n">
        <v>0.04727026</v>
      </c>
      <c r="CN124" s="0" t="n">
        <v>0.01784517</v>
      </c>
      <c r="CO124" s="0" t="n">
        <v>0.0127024</v>
      </c>
      <c r="CP124" s="0" t="n">
        <v>0.03491538</v>
      </c>
      <c r="CQ124" s="0" t="n">
        <v>0.14542273</v>
      </c>
      <c r="CR124" s="0" t="n">
        <v>0.07114133</v>
      </c>
      <c r="CS124" s="0" t="n">
        <v>0.07656547</v>
      </c>
      <c r="CT124" s="0" t="n">
        <v>0.06153378</v>
      </c>
      <c r="CU124" s="0" t="n">
        <v>0.03500794</v>
      </c>
      <c r="CV124" s="0" t="n">
        <v>0.08106949</v>
      </c>
      <c r="CW124" s="0" t="n">
        <v>0.05915326</v>
      </c>
      <c r="CX124" s="0" t="n">
        <v>0.06994901</v>
      </c>
      <c r="CY124" s="0" t="n">
        <v>0.16114814</v>
      </c>
      <c r="CZ124" s="0" t="n">
        <v>0.03695481</v>
      </c>
      <c r="DA124" s="0" t="n">
        <v>0.06162237</v>
      </c>
      <c r="DB124" s="0" t="n">
        <v>0.06645476</v>
      </c>
      <c r="DC124" s="0" t="n">
        <v>0.11312939</v>
      </c>
      <c r="DD124" s="0" t="n">
        <v>0.09814697</v>
      </c>
      <c r="DE124" s="0" t="n">
        <v>0.08000863</v>
      </c>
      <c r="DF124" s="0" t="n">
        <v>0.03341142</v>
      </c>
      <c r="DG124" s="0" t="n">
        <v>0.06344926</v>
      </c>
      <c r="DH124" s="0" t="n">
        <v>0.05274962</v>
      </c>
      <c r="DI124" s="0" t="n">
        <v>0.16362097</v>
      </c>
      <c r="DJ124" s="0" t="n">
        <v>0.21083115</v>
      </c>
      <c r="DK124" s="0" t="n">
        <v>0.1747112</v>
      </c>
      <c r="DL124" s="0" t="n">
        <v>0.03671615</v>
      </c>
      <c r="DM124" s="0" t="n">
        <v>0.2355558</v>
      </c>
      <c r="DN124" s="0" t="n">
        <v>0.09152584</v>
      </c>
      <c r="DO124" s="0" t="n">
        <v>0.08804809</v>
      </c>
      <c r="DP124" s="0" t="n">
        <v>0.31490753</v>
      </c>
      <c r="DQ124" s="0" t="n">
        <v>0.05223082</v>
      </c>
      <c r="DR124" s="0" t="n">
        <v>0.04143629</v>
      </c>
      <c r="DS124" s="0" t="n">
        <v>0.07861271</v>
      </c>
      <c r="DT124" s="0" t="n">
        <v>0.04677372</v>
      </c>
      <c r="DU124" s="0" t="n">
        <v>0.08394494</v>
      </c>
      <c r="DV124" s="0" t="n">
        <v>0.05552899</v>
      </c>
      <c r="DW124" s="0" t="n">
        <v>0.13261761</v>
      </c>
      <c r="DX124" s="0" t="n">
        <v>0.07140128</v>
      </c>
      <c r="DY124" s="0" t="n">
        <v>0.12444982</v>
      </c>
      <c r="DZ124" s="0" t="n">
        <v>0.03604055</v>
      </c>
      <c r="EA124" s="0" t="n">
        <v>0.0901907</v>
      </c>
      <c r="EB124" s="0" t="n">
        <v>0.14643228</v>
      </c>
      <c r="EC124" s="0" t="n">
        <v>0.0056004</v>
      </c>
      <c r="ED124" s="0" t="n">
        <v>0.0752957</v>
      </c>
      <c r="EE124" s="0" t="n">
        <v>0.08121469</v>
      </c>
      <c r="EF124" s="0" t="n">
        <v>0.09117809</v>
      </c>
      <c r="EG124" s="0" t="n">
        <v>0.07855323</v>
      </c>
      <c r="EH124" s="0" t="n">
        <v>0.08143065</v>
      </c>
      <c r="EI124" s="0" t="n">
        <v>0.07713902</v>
      </c>
      <c r="EJ124" s="0" t="n">
        <v>0.13661977</v>
      </c>
      <c r="EK124" s="0" t="n">
        <v>0.07185434</v>
      </c>
      <c r="EL124" s="0" t="n">
        <v>0.11654675</v>
      </c>
      <c r="EM124" s="0" t="n">
        <v>0.09336297</v>
      </c>
      <c r="EN124" s="0" t="n">
        <v>0.09873152</v>
      </c>
      <c r="EO124" s="0" t="n">
        <v>0.1588429</v>
      </c>
      <c r="EP124" s="55" t="n">
        <f aca="false">SUMPRODUCT(B124:EO124,$B$5:$EO$5)</f>
        <v>0.0555416</v>
      </c>
      <c r="EQ124" s="55" t="n">
        <f aca="false">SUMIF('Mi portafolio'!$A$8:$A$19,$A124,'Mi portafolio'!$B$8:$B$19)</f>
        <v>0</v>
      </c>
    </row>
    <row r="125" customFormat="false" ht="15" hidden="false" customHeight="false" outlineLevel="0" collapsed="false">
      <c r="A125" s="54" t="s">
        <v>264</v>
      </c>
      <c r="B125" s="0" t="n">
        <v>0.00071706</v>
      </c>
      <c r="C125" s="0" t="n">
        <v>0.00209114</v>
      </c>
      <c r="D125" s="0" t="n">
        <v>-0.00067901</v>
      </c>
      <c r="E125" s="0" t="n">
        <v>0.0092311</v>
      </c>
      <c r="F125" s="0" t="n">
        <v>-0.01221845</v>
      </c>
      <c r="G125" s="0" t="n">
        <v>-0.02074624</v>
      </c>
      <c r="H125" s="0" t="n">
        <v>0.01519021</v>
      </c>
      <c r="I125" s="0" t="n">
        <v>-0.0044363</v>
      </c>
      <c r="J125" s="0" t="n">
        <v>-0.00299466</v>
      </c>
      <c r="K125" s="0" t="n">
        <v>-0.00171426</v>
      </c>
      <c r="L125" s="0" t="n">
        <v>0.01283838</v>
      </c>
      <c r="M125" s="0" t="n">
        <v>0.03172236</v>
      </c>
      <c r="N125" s="0" t="n">
        <v>0.00678596</v>
      </c>
      <c r="O125" s="0" t="n">
        <v>0.01007636</v>
      </c>
      <c r="P125" s="0" t="n">
        <v>-0.00552092</v>
      </c>
      <c r="Q125" s="0" t="n">
        <v>0.005284</v>
      </c>
      <c r="R125" s="0" t="n">
        <v>0.00426799</v>
      </c>
      <c r="S125" s="0" t="n">
        <v>0.01077298</v>
      </c>
      <c r="T125" s="0" t="n">
        <v>0.01668019</v>
      </c>
      <c r="U125" s="0" t="n">
        <v>0.01484369</v>
      </c>
      <c r="V125" s="0" t="n">
        <v>0.00791327</v>
      </c>
      <c r="W125" s="0" t="n">
        <v>0.00444477</v>
      </c>
      <c r="X125" s="0" t="n">
        <v>0.02417177</v>
      </c>
      <c r="Y125" s="0" t="n">
        <v>-0.01293103</v>
      </c>
      <c r="Z125" s="0" t="n">
        <v>0.00594275</v>
      </c>
      <c r="AA125" s="0" t="n">
        <v>0.00851105</v>
      </c>
      <c r="AB125" s="0" t="n">
        <v>-0.01759228</v>
      </c>
      <c r="AC125" s="0" t="n">
        <v>0.01035469</v>
      </c>
      <c r="AD125" s="0" t="n">
        <v>0.01727649</v>
      </c>
      <c r="AE125" s="0" t="n">
        <v>0.01565545</v>
      </c>
      <c r="AF125" s="0" t="n">
        <v>0.01314823</v>
      </c>
      <c r="AG125" s="0" t="n">
        <v>0.00138365</v>
      </c>
      <c r="AH125" s="0" t="n">
        <v>0.00471489</v>
      </c>
      <c r="AI125" s="0" t="n">
        <v>-0.00494121</v>
      </c>
      <c r="AJ125" s="0" t="n">
        <v>0.02101433</v>
      </c>
      <c r="AK125" s="0" t="n">
        <v>0.01984281</v>
      </c>
      <c r="AL125" s="0" t="n">
        <v>0.02593022</v>
      </c>
      <c r="AM125" s="0" t="n">
        <v>0.03794642</v>
      </c>
      <c r="AN125" s="0" t="n">
        <v>0.03044639</v>
      </c>
      <c r="AO125" s="0" t="n">
        <v>-0.02092077</v>
      </c>
      <c r="AP125" s="0" t="n">
        <v>0.00859346</v>
      </c>
      <c r="AQ125" s="0" t="n">
        <v>-0.01091268</v>
      </c>
      <c r="AR125" s="0" t="n">
        <v>0.02094747</v>
      </c>
      <c r="AS125" s="0" t="n">
        <v>0.01320212</v>
      </c>
      <c r="AT125" s="0" t="n">
        <v>0.02393249</v>
      </c>
      <c r="AU125" s="0" t="n">
        <v>-0.0016046</v>
      </c>
      <c r="AV125" s="0" t="n">
        <v>-0.00254024</v>
      </c>
      <c r="AW125" s="0" t="n">
        <v>0.02221188</v>
      </c>
      <c r="AX125" s="0" t="n">
        <v>-0.00164487</v>
      </c>
      <c r="AY125" s="0" t="n">
        <v>0.00686287</v>
      </c>
      <c r="AZ125" s="0" t="n">
        <v>0.02895478</v>
      </c>
      <c r="BA125" s="0" t="n">
        <v>0.04197833</v>
      </c>
      <c r="BB125" s="0" t="n">
        <v>0.03925737</v>
      </c>
      <c r="BC125" s="0" t="n">
        <v>0.01772442</v>
      </c>
      <c r="BD125" s="0" t="n">
        <v>0.0193629</v>
      </c>
      <c r="BE125" s="0" t="n">
        <v>0.01524135</v>
      </c>
      <c r="BF125" s="0" t="n">
        <v>0.01890415</v>
      </c>
      <c r="BG125" s="0" t="n">
        <v>0.01318707</v>
      </c>
      <c r="BH125" s="0" t="n">
        <v>0.00283278</v>
      </c>
      <c r="BI125" s="0" t="n">
        <v>0.0242287</v>
      </c>
      <c r="BJ125" s="0" t="n">
        <v>0.0017122</v>
      </c>
      <c r="BK125" s="0" t="n">
        <v>0.01797678</v>
      </c>
      <c r="BL125" s="0" t="n">
        <v>0.04856369</v>
      </c>
      <c r="BM125" s="0" t="n">
        <v>0.01594033</v>
      </c>
      <c r="BN125" s="0" t="n">
        <v>0.0248646</v>
      </c>
      <c r="BO125" s="0" t="n">
        <v>0.05111575</v>
      </c>
      <c r="BP125" s="0" t="n">
        <v>0.02899945</v>
      </c>
      <c r="BQ125" s="0" t="n">
        <v>0.05009417</v>
      </c>
      <c r="BR125" s="0" t="n">
        <v>0.04391472</v>
      </c>
      <c r="BS125" s="0" t="n">
        <v>0.01008041</v>
      </c>
      <c r="BT125" s="0" t="n">
        <v>0.05469397</v>
      </c>
      <c r="BU125" s="0" t="n">
        <v>0.03952569</v>
      </c>
      <c r="BV125" s="0" t="n">
        <v>0.06381388</v>
      </c>
      <c r="BW125" s="0" t="n">
        <v>0.04595562</v>
      </c>
      <c r="BX125" s="0" t="n">
        <v>0.01580397</v>
      </c>
      <c r="BY125" s="0" t="n">
        <v>0.04682896</v>
      </c>
      <c r="BZ125" s="0" t="n">
        <v>0.06905965</v>
      </c>
      <c r="CA125" s="0" t="n">
        <v>0.01572723</v>
      </c>
      <c r="CB125" s="0" t="n">
        <v>0.00325524</v>
      </c>
      <c r="CC125" s="0" t="n">
        <v>0.00201733</v>
      </c>
      <c r="CD125" s="0" t="n">
        <v>0.01949518</v>
      </c>
      <c r="CE125" s="0" t="n">
        <v>0.04824691</v>
      </c>
      <c r="CF125" s="0" t="n">
        <v>0.00332044</v>
      </c>
      <c r="CG125" s="0" t="n">
        <v>0.01444567</v>
      </c>
      <c r="CH125" s="0" t="n">
        <v>0.03590784</v>
      </c>
      <c r="CI125" s="0" t="n">
        <v>-0.00054638</v>
      </c>
      <c r="CJ125" s="0" t="n">
        <v>-0.00455244</v>
      </c>
      <c r="CK125" s="0" t="n">
        <v>0.02215484</v>
      </c>
      <c r="CL125" s="0" t="n">
        <v>0.05824204</v>
      </c>
      <c r="CM125" s="0" t="n">
        <v>0.04990028</v>
      </c>
      <c r="CN125" s="0" t="n">
        <v>0.00253531</v>
      </c>
      <c r="CO125" s="0" t="n">
        <v>0.03257762</v>
      </c>
      <c r="CP125" s="0" t="n">
        <v>0.0021046</v>
      </c>
      <c r="CQ125" s="0" t="n">
        <v>0.07633891</v>
      </c>
      <c r="CR125" s="0" t="n">
        <v>0.07864952</v>
      </c>
      <c r="CS125" s="0" t="n">
        <v>0.08955667</v>
      </c>
      <c r="CT125" s="0" t="n">
        <v>0.04319345</v>
      </c>
      <c r="CU125" s="0" t="n">
        <v>0.03940216</v>
      </c>
      <c r="CV125" s="0" t="n">
        <v>0.02015334</v>
      </c>
      <c r="CW125" s="0" t="n">
        <v>0.04206869</v>
      </c>
      <c r="CX125" s="0" t="n">
        <v>0.05089838</v>
      </c>
      <c r="CY125" s="0" t="n">
        <v>0.04598797</v>
      </c>
      <c r="CZ125" s="0" t="n">
        <v>0.04124664</v>
      </c>
      <c r="DA125" s="0" t="n">
        <v>0.0219601</v>
      </c>
      <c r="DB125" s="0" t="n">
        <v>0.09435593</v>
      </c>
      <c r="DC125" s="0" t="n">
        <v>0.07305246</v>
      </c>
      <c r="DD125" s="0" t="n">
        <v>0.04545378</v>
      </c>
      <c r="DE125" s="0" t="n">
        <v>0.08828896</v>
      </c>
      <c r="DF125" s="0" t="n">
        <v>-0.01416321</v>
      </c>
      <c r="DG125" s="0" t="n">
        <v>0.08947494</v>
      </c>
      <c r="DH125" s="0" t="n">
        <v>0.08671656</v>
      </c>
      <c r="DI125" s="0" t="n">
        <v>0.08099765</v>
      </c>
      <c r="DJ125" s="0" t="n">
        <v>0.04104789</v>
      </c>
      <c r="DK125" s="0" t="n">
        <v>0.09891794</v>
      </c>
      <c r="DL125" s="0" t="n">
        <v>0.03611207</v>
      </c>
      <c r="DM125" s="0" t="n">
        <v>0.0710137</v>
      </c>
      <c r="DN125" s="0" t="n">
        <v>0.02868351</v>
      </c>
      <c r="DO125" s="0" t="n">
        <v>0.14200202</v>
      </c>
      <c r="DP125" s="0" t="n">
        <v>0.05223082</v>
      </c>
      <c r="DQ125" s="0" t="n">
        <v>0.30954016</v>
      </c>
      <c r="DR125" s="0" t="n">
        <v>0.09588906</v>
      </c>
      <c r="DS125" s="0" t="n">
        <v>0.0138462</v>
      </c>
      <c r="DT125" s="0" t="n">
        <v>0.08852028</v>
      </c>
      <c r="DU125" s="0" t="n">
        <v>0.09511659</v>
      </c>
      <c r="DV125" s="0" t="n">
        <v>0.05605872</v>
      </c>
      <c r="DW125" s="0" t="n">
        <v>0.03912151</v>
      </c>
      <c r="DX125" s="0" t="n">
        <v>0.11114016</v>
      </c>
      <c r="DY125" s="0" t="n">
        <v>0.09236327</v>
      </c>
      <c r="DZ125" s="0" t="n">
        <v>0.05828113</v>
      </c>
      <c r="EA125" s="0" t="n">
        <v>0.02807055</v>
      </c>
      <c r="EB125" s="0" t="n">
        <v>0.09484543</v>
      </c>
      <c r="EC125" s="0" t="n">
        <v>0.02367648</v>
      </c>
      <c r="ED125" s="0" t="n">
        <v>0.09208993</v>
      </c>
      <c r="EE125" s="0" t="n">
        <v>0.14590401</v>
      </c>
      <c r="EF125" s="0" t="n">
        <v>0.1015772</v>
      </c>
      <c r="EG125" s="0" t="n">
        <v>0.10588195</v>
      </c>
      <c r="EH125" s="0" t="n">
        <v>0.03589108</v>
      </c>
      <c r="EI125" s="0" t="n">
        <v>0.16049339</v>
      </c>
      <c r="EJ125" s="0" t="n">
        <v>0.09761047</v>
      </c>
      <c r="EK125" s="0" t="n">
        <v>0.11590082</v>
      </c>
      <c r="EL125" s="0" t="n">
        <v>0.13429585</v>
      </c>
      <c r="EM125" s="0" t="n">
        <v>0.13946632</v>
      </c>
      <c r="EN125" s="0" t="n">
        <v>0.07300491</v>
      </c>
      <c r="EO125" s="0" t="n">
        <v>0.03244559</v>
      </c>
      <c r="EP125" s="55" t="n">
        <f aca="false">SUMPRODUCT(B125:EO125,$B$5:$EO$5)</f>
        <v>0.06363805</v>
      </c>
      <c r="EQ125" s="55" t="n">
        <f aca="false">SUMIF('Mi portafolio'!$A$8:$A$19,$A125,'Mi portafolio'!$B$8:$B$19)</f>
        <v>0</v>
      </c>
    </row>
    <row r="126" customFormat="false" ht="15" hidden="false" customHeight="false" outlineLevel="0" collapsed="false">
      <c r="A126" s="54" t="s">
        <v>265</v>
      </c>
      <c r="B126" s="0" t="n">
        <v>-0.00545215</v>
      </c>
      <c r="C126" s="0" t="n">
        <v>0.00580278</v>
      </c>
      <c r="D126" s="0" t="n">
        <v>-0.00181712</v>
      </c>
      <c r="E126" s="0" t="n">
        <v>0.01312534</v>
      </c>
      <c r="F126" s="0" t="n">
        <v>-0.01036639</v>
      </c>
      <c r="G126" s="0" t="n">
        <v>0.00869077</v>
      </c>
      <c r="H126" s="0" t="n">
        <v>0.00385567</v>
      </c>
      <c r="I126" s="0" t="n">
        <v>-0.00636163</v>
      </c>
      <c r="J126" s="0" t="n">
        <v>0.00038698</v>
      </c>
      <c r="K126" s="0" t="n">
        <v>-0.01342982</v>
      </c>
      <c r="L126" s="0" t="n">
        <v>0.00505835</v>
      </c>
      <c r="M126" s="0" t="n">
        <v>0.02747959</v>
      </c>
      <c r="N126" s="0" t="n">
        <v>0.01778947</v>
      </c>
      <c r="O126" s="0" t="n">
        <v>0.01104784</v>
      </c>
      <c r="P126" s="0" t="n">
        <v>-0.0043775</v>
      </c>
      <c r="Q126" s="0" t="n">
        <v>0.01861618</v>
      </c>
      <c r="R126" s="0" t="n">
        <v>-0.0070907</v>
      </c>
      <c r="S126" s="0" t="n">
        <v>-0.00938126</v>
      </c>
      <c r="T126" s="0" t="n">
        <v>0.02786993</v>
      </c>
      <c r="U126" s="0" t="n">
        <v>0.01887745</v>
      </c>
      <c r="V126" s="0" t="n">
        <v>0.00679284</v>
      </c>
      <c r="W126" s="0" t="n">
        <v>0.01176518</v>
      </c>
      <c r="X126" s="0" t="n">
        <v>0.03327542</v>
      </c>
      <c r="Y126" s="0" t="n">
        <v>-0.00201888</v>
      </c>
      <c r="Z126" s="0" t="n">
        <v>0.01966654</v>
      </c>
      <c r="AA126" s="0" t="n">
        <v>0.00817755</v>
      </c>
      <c r="AB126" s="0" t="n">
        <v>-0.00242759</v>
      </c>
      <c r="AC126" s="0" t="n">
        <v>0.00850185</v>
      </c>
      <c r="AD126" s="0" t="n">
        <v>0.01016411</v>
      </c>
      <c r="AE126" s="0" t="n">
        <v>0.00618629</v>
      </c>
      <c r="AF126" s="0" t="n">
        <v>0.02891326</v>
      </c>
      <c r="AG126" s="0" t="n">
        <v>-0.01342179</v>
      </c>
      <c r="AH126" s="0" t="n">
        <v>-0.00888422</v>
      </c>
      <c r="AI126" s="0" t="n">
        <v>0.01113769</v>
      </c>
      <c r="AJ126" s="0" t="n">
        <v>0.01157041</v>
      </c>
      <c r="AK126" s="0" t="n">
        <v>0.01941682</v>
      </c>
      <c r="AL126" s="0" t="n">
        <v>0.00923342</v>
      </c>
      <c r="AM126" s="0" t="n">
        <v>0.02861456</v>
      </c>
      <c r="AN126" s="0" t="n">
        <v>0.00544933</v>
      </c>
      <c r="AO126" s="0" t="n">
        <v>0.00571137</v>
      </c>
      <c r="AP126" s="0" t="n">
        <v>0.01048564</v>
      </c>
      <c r="AQ126" s="0" t="n">
        <v>0.00931694</v>
      </c>
      <c r="AR126" s="0" t="n">
        <v>0.0325187</v>
      </c>
      <c r="AS126" s="0" t="n">
        <v>0.01544427</v>
      </c>
      <c r="AT126" s="0" t="n">
        <v>0.0210816</v>
      </c>
      <c r="AU126" s="0" t="n">
        <v>-0.00309344</v>
      </c>
      <c r="AV126" s="0" t="n">
        <v>0.01645964</v>
      </c>
      <c r="AW126" s="0" t="n">
        <v>0.02842537</v>
      </c>
      <c r="AX126" s="0" t="n">
        <v>0.01301391</v>
      </c>
      <c r="AY126" s="0" t="n">
        <v>0.01398304</v>
      </c>
      <c r="AZ126" s="0" t="n">
        <v>0.01021107</v>
      </c>
      <c r="BA126" s="0" t="n">
        <v>0.02171463</v>
      </c>
      <c r="BB126" s="0" t="n">
        <v>0.04647365</v>
      </c>
      <c r="BC126" s="0" t="n">
        <v>-0.00204048</v>
      </c>
      <c r="BD126" s="0" t="n">
        <v>0.01390535</v>
      </c>
      <c r="BE126" s="0" t="n">
        <v>0.02152917</v>
      </c>
      <c r="BF126" s="0" t="n">
        <v>0.02331549</v>
      </c>
      <c r="BG126" s="0" t="n">
        <v>0.02708751</v>
      </c>
      <c r="BH126" s="0" t="n">
        <v>0.02936408</v>
      </c>
      <c r="BI126" s="0" t="n">
        <v>0.02609517</v>
      </c>
      <c r="BJ126" s="0" t="n">
        <v>0.00143169</v>
      </c>
      <c r="BK126" s="0" t="n">
        <v>0.01407757</v>
      </c>
      <c r="BL126" s="0" t="n">
        <v>0.07935639</v>
      </c>
      <c r="BM126" s="0" t="n">
        <v>0.01231692</v>
      </c>
      <c r="BN126" s="0" t="n">
        <v>0.00105051</v>
      </c>
      <c r="BO126" s="0" t="n">
        <v>0.01827915</v>
      </c>
      <c r="BP126" s="0" t="n">
        <v>0.01720301</v>
      </c>
      <c r="BQ126" s="0" t="n">
        <v>0.03993117</v>
      </c>
      <c r="BR126" s="0" t="n">
        <v>0.03344268</v>
      </c>
      <c r="BS126" s="0" t="n">
        <v>0.01092324</v>
      </c>
      <c r="BT126" s="0" t="n">
        <v>0.03832128</v>
      </c>
      <c r="BU126" s="0" t="n">
        <v>0.03546463</v>
      </c>
      <c r="BV126" s="0" t="n">
        <v>0.02657804</v>
      </c>
      <c r="BW126" s="0" t="n">
        <v>0.03855597</v>
      </c>
      <c r="BX126" s="0" t="n">
        <v>0.0134187</v>
      </c>
      <c r="BY126" s="0" t="n">
        <v>0.03006909</v>
      </c>
      <c r="BZ126" s="0" t="n">
        <v>0.04512069</v>
      </c>
      <c r="CA126" s="0" t="n">
        <v>0.00544146</v>
      </c>
      <c r="CB126" s="0" t="n">
        <v>-0.00187654</v>
      </c>
      <c r="CC126" s="0" t="n">
        <v>0.0233698</v>
      </c>
      <c r="CD126" s="0" t="n">
        <v>0.03315945</v>
      </c>
      <c r="CE126" s="0" t="n">
        <v>0.03182247</v>
      </c>
      <c r="CF126" s="0" t="n">
        <v>0.00998439</v>
      </c>
      <c r="CG126" s="0" t="n">
        <v>0.0128626</v>
      </c>
      <c r="CH126" s="0" t="n">
        <v>0.08704604</v>
      </c>
      <c r="CI126" s="0" t="n">
        <v>0.02341612</v>
      </c>
      <c r="CJ126" s="0" t="n">
        <v>0.02105829</v>
      </c>
      <c r="CK126" s="0" t="n">
        <v>-0.01407027</v>
      </c>
      <c r="CL126" s="0" t="n">
        <v>0.04530956</v>
      </c>
      <c r="CM126" s="0" t="n">
        <v>0.06366379</v>
      </c>
      <c r="CN126" s="0" t="n">
        <v>0.02176838</v>
      </c>
      <c r="CO126" s="0" t="n">
        <v>0.00934898</v>
      </c>
      <c r="CP126" s="0" t="n">
        <v>0.02392564</v>
      </c>
      <c r="CQ126" s="0" t="n">
        <v>0.05483925</v>
      </c>
      <c r="CR126" s="0" t="n">
        <v>0.0809249</v>
      </c>
      <c r="CS126" s="0" t="n">
        <v>0.08310323</v>
      </c>
      <c r="CT126" s="0" t="n">
        <v>0.04169917</v>
      </c>
      <c r="CU126" s="0" t="n">
        <v>0.0569377</v>
      </c>
      <c r="CV126" s="0" t="n">
        <v>0.02134394</v>
      </c>
      <c r="CW126" s="0" t="n">
        <v>0.04312349</v>
      </c>
      <c r="CX126" s="0" t="n">
        <v>0.06243265</v>
      </c>
      <c r="CY126" s="0" t="n">
        <v>0.03044294</v>
      </c>
      <c r="CZ126" s="0" t="n">
        <v>0.02835421</v>
      </c>
      <c r="DA126" s="0" t="n">
        <v>0.01267875</v>
      </c>
      <c r="DB126" s="0" t="n">
        <v>0.08865066</v>
      </c>
      <c r="DC126" s="0" t="n">
        <v>0.03853239</v>
      </c>
      <c r="DD126" s="0" t="n">
        <v>0.03454418</v>
      </c>
      <c r="DE126" s="0" t="n">
        <v>0.15260201</v>
      </c>
      <c r="DF126" s="0" t="n">
        <v>0.0195962</v>
      </c>
      <c r="DG126" s="0" t="n">
        <v>0.12751525</v>
      </c>
      <c r="DH126" s="0" t="n">
        <v>0.08566907</v>
      </c>
      <c r="DI126" s="0" t="n">
        <v>0.05484152</v>
      </c>
      <c r="DJ126" s="0" t="n">
        <v>0.04342945</v>
      </c>
      <c r="DK126" s="0" t="n">
        <v>0.06806821</v>
      </c>
      <c r="DL126" s="0" t="n">
        <v>0.09583462</v>
      </c>
      <c r="DM126" s="0" t="n">
        <v>0.04939133</v>
      </c>
      <c r="DN126" s="0" t="n">
        <v>0.02537673</v>
      </c>
      <c r="DO126" s="0" t="n">
        <v>0.09226048</v>
      </c>
      <c r="DP126" s="0" t="n">
        <v>0.04143629</v>
      </c>
      <c r="DQ126" s="0" t="n">
        <v>0.09588906</v>
      </c>
      <c r="DR126" s="0" t="n">
        <v>0.31322129</v>
      </c>
      <c r="DS126" s="0" t="n">
        <v>0.0248257</v>
      </c>
      <c r="DT126" s="0" t="n">
        <v>0.07855515</v>
      </c>
      <c r="DU126" s="0" t="n">
        <v>0.10388261</v>
      </c>
      <c r="DV126" s="0" t="n">
        <v>0.08265862</v>
      </c>
      <c r="DW126" s="0" t="n">
        <v>0.04247234</v>
      </c>
      <c r="DX126" s="0" t="n">
        <v>0.12119545</v>
      </c>
      <c r="DY126" s="0" t="n">
        <v>0.07542963</v>
      </c>
      <c r="DZ126" s="0" t="n">
        <v>0.0388665</v>
      </c>
      <c r="EA126" s="0" t="n">
        <v>0.07197827</v>
      </c>
      <c r="EB126" s="0" t="n">
        <v>0.08149305</v>
      </c>
      <c r="EC126" s="0" t="n">
        <v>0.06807797</v>
      </c>
      <c r="ED126" s="0" t="n">
        <v>0.09788675</v>
      </c>
      <c r="EE126" s="0" t="n">
        <v>0.14018949</v>
      </c>
      <c r="EF126" s="0" t="n">
        <v>0.15687604</v>
      </c>
      <c r="EG126" s="0" t="n">
        <v>0.13224653</v>
      </c>
      <c r="EH126" s="0" t="n">
        <v>0.01393528</v>
      </c>
      <c r="EI126" s="0" t="n">
        <v>0.16395842</v>
      </c>
      <c r="EJ126" s="0" t="n">
        <v>0.11835988</v>
      </c>
      <c r="EK126" s="0" t="n">
        <v>0.15478083</v>
      </c>
      <c r="EL126" s="0" t="n">
        <v>0.17781117</v>
      </c>
      <c r="EM126" s="0" t="n">
        <v>0.14331119</v>
      </c>
      <c r="EN126" s="0" t="n">
        <v>0.11930036</v>
      </c>
      <c r="EO126" s="0" t="n">
        <v>0.05683016</v>
      </c>
      <c r="EP126" s="55" t="n">
        <f aca="false">SUMPRODUCT(B126:EO126,$B$5:$EO$5)</f>
        <v>0.063915218</v>
      </c>
      <c r="EQ126" s="55" t="n">
        <f aca="false">SUMIF('Mi portafolio'!$A$8:$A$19,$A126,'Mi portafolio'!$B$8:$B$19)</f>
        <v>0</v>
      </c>
    </row>
    <row r="127" customFormat="false" ht="15" hidden="false" customHeight="false" outlineLevel="0" collapsed="false">
      <c r="A127" s="54" t="s">
        <v>266</v>
      </c>
      <c r="B127" s="0" t="n">
        <v>0.00977369</v>
      </c>
      <c r="C127" s="0" t="n">
        <v>-0.00703607</v>
      </c>
      <c r="D127" s="0" t="n">
        <v>0.00386071</v>
      </c>
      <c r="E127" s="0" t="n">
        <v>-0.00177684</v>
      </c>
      <c r="F127" s="0" t="n">
        <v>0.00420063</v>
      </c>
      <c r="G127" s="0" t="n">
        <v>-0.00276242</v>
      </c>
      <c r="H127" s="0" t="n">
        <v>0.00103859</v>
      </c>
      <c r="I127" s="0" t="n">
        <v>0.0071396</v>
      </c>
      <c r="J127" s="0" t="n">
        <v>0.00049745</v>
      </c>
      <c r="K127" s="0" t="n">
        <v>0.00823774</v>
      </c>
      <c r="L127" s="0" t="n">
        <v>0.00439381</v>
      </c>
      <c r="M127" s="0" t="n">
        <v>0.0143415</v>
      </c>
      <c r="N127" s="0" t="n">
        <v>0.00704607</v>
      </c>
      <c r="O127" s="0" t="n">
        <v>-0.01032258</v>
      </c>
      <c r="P127" s="0" t="n">
        <v>0.00784339</v>
      </c>
      <c r="Q127" s="0" t="n">
        <v>0.00130962</v>
      </c>
      <c r="R127" s="0" t="n">
        <v>0.00605691</v>
      </c>
      <c r="S127" s="0" t="n">
        <v>0.00273436</v>
      </c>
      <c r="T127" s="0" t="n">
        <v>0.03137869</v>
      </c>
      <c r="U127" s="0" t="n">
        <v>0.00230538</v>
      </c>
      <c r="V127" s="0" t="n">
        <v>-0.00912587</v>
      </c>
      <c r="W127" s="0" t="n">
        <v>0.00305496</v>
      </c>
      <c r="X127" s="0" t="n">
        <v>0.01672332</v>
      </c>
      <c r="Y127" s="0" t="n">
        <v>0.03273519</v>
      </c>
      <c r="Z127" s="0" t="n">
        <v>0.00045337</v>
      </c>
      <c r="AA127" s="0" t="n">
        <v>0.00637613</v>
      </c>
      <c r="AB127" s="0" t="n">
        <v>0.04013352</v>
      </c>
      <c r="AC127" s="0" t="n">
        <v>-0.01013772</v>
      </c>
      <c r="AD127" s="0" t="n">
        <v>-0.00964514</v>
      </c>
      <c r="AE127" s="0" t="n">
        <v>-0.00413978</v>
      </c>
      <c r="AF127" s="0" t="n">
        <v>-0.00697681</v>
      </c>
      <c r="AG127" s="0" t="n">
        <v>-0.00056636</v>
      </c>
      <c r="AH127" s="0" t="n">
        <v>9.263E-005</v>
      </c>
      <c r="AI127" s="0" t="n">
        <v>-0.00500794</v>
      </c>
      <c r="AJ127" s="0" t="n">
        <v>-0.01893339</v>
      </c>
      <c r="AK127" s="0" t="n">
        <v>-0.00586916</v>
      </c>
      <c r="AL127" s="0" t="n">
        <v>0.0350262</v>
      </c>
      <c r="AM127" s="0" t="n">
        <v>0.01852421</v>
      </c>
      <c r="AN127" s="0" t="n">
        <v>0.02288649</v>
      </c>
      <c r="AO127" s="0" t="n">
        <v>-0.00143</v>
      </c>
      <c r="AP127" s="0" t="n">
        <v>0.02304232</v>
      </c>
      <c r="AQ127" s="0" t="n">
        <v>-0.00626606</v>
      </c>
      <c r="AR127" s="0" t="n">
        <v>0.02389951</v>
      </c>
      <c r="AS127" s="0" t="n">
        <v>0.00227364</v>
      </c>
      <c r="AT127" s="0" t="n">
        <v>0.04389697</v>
      </c>
      <c r="AU127" s="0" t="n">
        <v>-0.00368112</v>
      </c>
      <c r="AV127" s="0" t="n">
        <v>-0.0103321</v>
      </c>
      <c r="AW127" s="0" t="n">
        <v>-0.01039339</v>
      </c>
      <c r="AX127" s="0" t="n">
        <v>0.00366179</v>
      </c>
      <c r="AY127" s="0" t="n">
        <v>0.01217425</v>
      </c>
      <c r="AZ127" s="0" t="n">
        <v>-0.01597893</v>
      </c>
      <c r="BA127" s="0" t="n">
        <v>0.00137388</v>
      </c>
      <c r="BB127" s="0" t="n">
        <v>0.03900691</v>
      </c>
      <c r="BC127" s="0" t="n">
        <v>-0.01454271</v>
      </c>
      <c r="BD127" s="0" t="n">
        <v>-0.0157617</v>
      </c>
      <c r="BE127" s="0" t="n">
        <v>-0.00439597</v>
      </c>
      <c r="BF127" s="0" t="n">
        <v>0.00336966</v>
      </c>
      <c r="BG127" s="0" t="n">
        <v>0.03417914</v>
      </c>
      <c r="BH127" s="0" t="n">
        <v>0.00188497</v>
      </c>
      <c r="BI127" s="0" t="n">
        <v>0.01384229</v>
      </c>
      <c r="BJ127" s="0" t="n">
        <v>-0.01747689</v>
      </c>
      <c r="BK127" s="0" t="n">
        <v>-0.00053662</v>
      </c>
      <c r="BL127" s="0" t="n">
        <v>0.00354593</v>
      </c>
      <c r="BM127" s="0" t="n">
        <v>0.02552788</v>
      </c>
      <c r="BN127" s="0" t="n">
        <v>0.01150384</v>
      </c>
      <c r="BO127" s="0" t="n">
        <v>0.04520923</v>
      </c>
      <c r="BP127" s="0" t="n">
        <v>0.05694041</v>
      </c>
      <c r="BQ127" s="0" t="n">
        <v>-0.01202726</v>
      </c>
      <c r="BR127" s="0" t="n">
        <v>0.02493957</v>
      </c>
      <c r="BS127" s="0" t="n">
        <v>0.00011961</v>
      </c>
      <c r="BT127" s="0" t="n">
        <v>0.02435658</v>
      </c>
      <c r="BU127" s="0" t="n">
        <v>-0.0020659</v>
      </c>
      <c r="BV127" s="0" t="n">
        <v>0.04963118</v>
      </c>
      <c r="BW127" s="0" t="n">
        <v>0.03742242</v>
      </c>
      <c r="BX127" s="0" t="n">
        <v>0.00857352</v>
      </c>
      <c r="BY127" s="0" t="n">
        <v>0.01728644</v>
      </c>
      <c r="BZ127" s="0" t="n">
        <v>0.03717473</v>
      </c>
      <c r="CA127" s="0" t="n">
        <v>-0.01484062</v>
      </c>
      <c r="CB127" s="0" t="n">
        <v>0.00600915</v>
      </c>
      <c r="CC127" s="0" t="n">
        <v>0.0351648</v>
      </c>
      <c r="CD127" s="0" t="n">
        <v>0.08969469</v>
      </c>
      <c r="CE127" s="0" t="n">
        <v>0.01480736</v>
      </c>
      <c r="CF127" s="0" t="n">
        <v>0.00088337</v>
      </c>
      <c r="CG127" s="0" t="n">
        <v>0.069369</v>
      </c>
      <c r="CH127" s="0" t="n">
        <v>-0.02114254</v>
      </c>
      <c r="CI127" s="0" t="n">
        <v>0.00331684</v>
      </c>
      <c r="CJ127" s="0" t="n">
        <v>0.04236344</v>
      </c>
      <c r="CK127" s="0" t="n">
        <v>0.0324427</v>
      </c>
      <c r="CL127" s="0" t="n">
        <v>-0.00307607</v>
      </c>
      <c r="CM127" s="0" t="n">
        <v>0.02220803</v>
      </c>
      <c r="CN127" s="0" t="n">
        <v>0.00509513</v>
      </c>
      <c r="CO127" s="0" t="n">
        <v>0.01745472</v>
      </c>
      <c r="CP127" s="0" t="n">
        <v>0.03219675</v>
      </c>
      <c r="CQ127" s="0" t="n">
        <v>0.04082985</v>
      </c>
      <c r="CR127" s="0" t="n">
        <v>0.01863654</v>
      </c>
      <c r="CS127" s="0" t="n">
        <v>-0.02286977</v>
      </c>
      <c r="CT127" s="0" t="n">
        <v>0.03310932</v>
      </c>
      <c r="CU127" s="0" t="n">
        <v>0.02581684</v>
      </c>
      <c r="CV127" s="0" t="n">
        <v>0.04237792</v>
      </c>
      <c r="CW127" s="0" t="n">
        <v>0.05613887</v>
      </c>
      <c r="CX127" s="0" t="n">
        <v>0.04805535</v>
      </c>
      <c r="CY127" s="0" t="n">
        <v>0.01989642</v>
      </c>
      <c r="CZ127" s="0" t="n">
        <v>0.08216079</v>
      </c>
      <c r="DA127" s="0" t="n">
        <v>0.05165649</v>
      </c>
      <c r="DB127" s="0" t="n">
        <v>0.0273855</v>
      </c>
      <c r="DC127" s="0" t="n">
        <v>0.0072221</v>
      </c>
      <c r="DD127" s="0" t="n">
        <v>0.07827637</v>
      </c>
      <c r="DE127" s="0" t="n">
        <v>-0.00301205</v>
      </c>
      <c r="DF127" s="0" t="n">
        <v>0.07764641</v>
      </c>
      <c r="DG127" s="0" t="n">
        <v>-0.02937879</v>
      </c>
      <c r="DH127" s="0" t="n">
        <v>0.02233798</v>
      </c>
      <c r="DI127" s="0" t="n">
        <v>0.04756369</v>
      </c>
      <c r="DJ127" s="0" t="n">
        <v>0.06827921</v>
      </c>
      <c r="DK127" s="0" t="n">
        <v>0.04432666</v>
      </c>
      <c r="DL127" s="0" t="n">
        <v>-0.04594555</v>
      </c>
      <c r="DM127" s="0" t="n">
        <v>0.0520588</v>
      </c>
      <c r="DN127" s="0" t="n">
        <v>0.08276469</v>
      </c>
      <c r="DO127" s="0" t="n">
        <v>0.02375264</v>
      </c>
      <c r="DP127" s="0" t="n">
        <v>0.07861271</v>
      </c>
      <c r="DQ127" s="0" t="n">
        <v>0.0138462</v>
      </c>
      <c r="DR127" s="0" t="n">
        <v>0.0248257</v>
      </c>
      <c r="DS127" s="0" t="n">
        <v>0.31270411</v>
      </c>
      <c r="DT127" s="0" t="n">
        <v>0.07244781</v>
      </c>
      <c r="DU127" s="0" t="n">
        <v>0.08257889</v>
      </c>
      <c r="DV127" s="0" t="n">
        <v>0.10694803</v>
      </c>
      <c r="DW127" s="0" t="n">
        <v>0.10014484</v>
      </c>
      <c r="DX127" s="0" t="n">
        <v>-0.02435801</v>
      </c>
      <c r="DY127" s="0" t="n">
        <v>0.12811292</v>
      </c>
      <c r="DZ127" s="0" t="n">
        <v>0.08755024</v>
      </c>
      <c r="EA127" s="0" t="n">
        <v>0.03232658</v>
      </c>
      <c r="EB127" s="0" t="n">
        <v>0.15371906</v>
      </c>
      <c r="EC127" s="0" t="n">
        <v>-0.03379102</v>
      </c>
      <c r="ED127" s="0" t="n">
        <v>-0.0362936</v>
      </c>
      <c r="EE127" s="0" t="n">
        <v>0.01555876</v>
      </c>
      <c r="EF127" s="0" t="n">
        <v>0.02645654</v>
      </c>
      <c r="EG127" s="0" t="n">
        <v>-0.00985277</v>
      </c>
      <c r="EH127" s="0" t="n">
        <v>0.09833659</v>
      </c>
      <c r="EI127" s="0" t="n">
        <v>-0.02179655</v>
      </c>
      <c r="EJ127" s="0" t="n">
        <v>0.07685474</v>
      </c>
      <c r="EK127" s="0" t="n">
        <v>-0.00333816</v>
      </c>
      <c r="EL127" s="0" t="n">
        <v>0.01126064</v>
      </c>
      <c r="EM127" s="0" t="n">
        <v>0.10269154</v>
      </c>
      <c r="EN127" s="0" t="n">
        <v>0.09434763</v>
      </c>
      <c r="EO127" s="0" t="n">
        <v>0.13140492</v>
      </c>
      <c r="EP127" s="55" t="n">
        <f aca="false">SUMPRODUCT(B127:EO127,$B$5:$EO$5)</f>
        <v>0.012352582</v>
      </c>
      <c r="EQ127" s="55" t="n">
        <f aca="false">SUMIF('Mi portafolio'!$A$8:$A$19,$A127,'Mi portafolio'!$B$8:$B$19)</f>
        <v>0</v>
      </c>
    </row>
    <row r="128" customFormat="false" ht="15" hidden="false" customHeight="false" outlineLevel="0" collapsed="false">
      <c r="A128" s="54" t="s">
        <v>267</v>
      </c>
      <c r="B128" s="0" t="n">
        <v>-0.01180086</v>
      </c>
      <c r="C128" s="0" t="n">
        <v>-0.00319304</v>
      </c>
      <c r="D128" s="0" t="n">
        <v>0.00457224</v>
      </c>
      <c r="E128" s="0" t="n">
        <v>0.00549678</v>
      </c>
      <c r="F128" s="0" t="n">
        <v>-0.0296932</v>
      </c>
      <c r="G128" s="0" t="n">
        <v>-0.0043683</v>
      </c>
      <c r="H128" s="0" t="n">
        <v>0.00187616</v>
      </c>
      <c r="I128" s="0" t="n">
        <v>-0.01437245</v>
      </c>
      <c r="J128" s="0" t="n">
        <v>-0.02692577</v>
      </c>
      <c r="K128" s="0" t="n">
        <v>-0.02696275</v>
      </c>
      <c r="L128" s="0" t="n">
        <v>0.00333709</v>
      </c>
      <c r="M128" s="0" t="n">
        <v>0.01787569</v>
      </c>
      <c r="N128" s="0" t="n">
        <v>0.00055819</v>
      </c>
      <c r="O128" s="0" t="n">
        <v>-0.00125508</v>
      </c>
      <c r="P128" s="0" t="n">
        <v>-0.02127926</v>
      </c>
      <c r="Q128" s="0" t="n">
        <v>-0.01236447</v>
      </c>
      <c r="R128" s="0" t="n">
        <v>-0.01755452</v>
      </c>
      <c r="S128" s="0" t="n">
        <v>-0.00291406</v>
      </c>
      <c r="T128" s="0" t="n">
        <v>0.01956916</v>
      </c>
      <c r="U128" s="0" t="n">
        <v>0.01667542</v>
      </c>
      <c r="V128" s="0" t="n">
        <v>0.00209619</v>
      </c>
      <c r="W128" s="0" t="n">
        <v>-0.00854177</v>
      </c>
      <c r="X128" s="0" t="n">
        <v>0.01941976</v>
      </c>
      <c r="Y128" s="0" t="n">
        <v>-0.01108754</v>
      </c>
      <c r="Z128" s="0" t="n">
        <v>0.01036284</v>
      </c>
      <c r="AA128" s="0" t="n">
        <v>0.00015997</v>
      </c>
      <c r="AB128" s="0" t="n">
        <v>-0.00571459</v>
      </c>
      <c r="AC128" s="0" t="n">
        <v>0.01718974</v>
      </c>
      <c r="AD128" s="0" t="n">
        <v>-0.01542967</v>
      </c>
      <c r="AE128" s="0" t="n">
        <v>0.0060303</v>
      </c>
      <c r="AF128" s="0" t="n">
        <v>0.0084178</v>
      </c>
      <c r="AG128" s="0" t="n">
        <v>-0.02722058</v>
      </c>
      <c r="AH128" s="0" t="n">
        <v>-0.0206291</v>
      </c>
      <c r="AI128" s="0" t="n">
        <v>-0.00423196</v>
      </c>
      <c r="AJ128" s="0" t="n">
        <v>0.007072</v>
      </c>
      <c r="AK128" s="0" t="n">
        <v>0.00456492</v>
      </c>
      <c r="AL128" s="0" t="n">
        <v>0.00561116</v>
      </c>
      <c r="AM128" s="0" t="n">
        <v>0.01561281</v>
      </c>
      <c r="AN128" s="0" t="n">
        <v>-0.00123406</v>
      </c>
      <c r="AO128" s="0" t="n">
        <v>-0.02479047</v>
      </c>
      <c r="AP128" s="0" t="n">
        <v>0.01187572</v>
      </c>
      <c r="AQ128" s="0" t="n">
        <v>-0.01579986</v>
      </c>
      <c r="AR128" s="0" t="n">
        <v>0.02328405</v>
      </c>
      <c r="AS128" s="0" t="n">
        <v>0.00645776</v>
      </c>
      <c r="AT128" s="0" t="n">
        <v>0.0300879</v>
      </c>
      <c r="AU128" s="0" t="n">
        <v>-0.01989034</v>
      </c>
      <c r="AV128" s="0" t="n">
        <v>0.01300827</v>
      </c>
      <c r="AW128" s="0" t="n">
        <v>0.01021059</v>
      </c>
      <c r="AX128" s="0" t="n">
        <v>-0.01542287</v>
      </c>
      <c r="AY128" s="0" t="n">
        <v>-0.00465401</v>
      </c>
      <c r="AZ128" s="0" t="n">
        <v>0.00012615</v>
      </c>
      <c r="BA128" s="0" t="n">
        <v>0.00714301</v>
      </c>
      <c r="BB128" s="0" t="n">
        <v>0.05110075</v>
      </c>
      <c r="BC128" s="0" t="n">
        <v>0.01313996</v>
      </c>
      <c r="BD128" s="0" t="n">
        <v>0.00796159</v>
      </c>
      <c r="BE128" s="0" t="n">
        <v>-0.02295316</v>
      </c>
      <c r="BF128" s="0" t="n">
        <v>-0.00099992</v>
      </c>
      <c r="BG128" s="0" t="n">
        <v>0.02409734</v>
      </c>
      <c r="BH128" s="0" t="n">
        <v>0.02707638</v>
      </c>
      <c r="BI128" s="0" t="n">
        <v>0.01876103</v>
      </c>
      <c r="BJ128" s="0" t="n">
        <v>-0.00393807</v>
      </c>
      <c r="BK128" s="0" t="n">
        <v>-0.00518122</v>
      </c>
      <c r="BL128" s="0" t="n">
        <v>0.0367821</v>
      </c>
      <c r="BM128" s="0" t="n">
        <v>-0.00115038</v>
      </c>
      <c r="BN128" s="0" t="n">
        <v>-0.01198507</v>
      </c>
      <c r="BO128" s="0" t="n">
        <v>0.04711003</v>
      </c>
      <c r="BP128" s="0" t="n">
        <v>0.08839104</v>
      </c>
      <c r="BQ128" s="0" t="n">
        <v>0.0361613</v>
      </c>
      <c r="BR128" s="0" t="n">
        <v>0.01854153</v>
      </c>
      <c r="BS128" s="0" t="n">
        <v>-0.00462233</v>
      </c>
      <c r="BT128" s="0" t="n">
        <v>0.02930125</v>
      </c>
      <c r="BU128" s="0" t="n">
        <v>0.01838753</v>
      </c>
      <c r="BV128" s="0" t="n">
        <v>0.05478891</v>
      </c>
      <c r="BW128" s="0" t="n">
        <v>0.0304153</v>
      </c>
      <c r="BX128" s="0" t="n">
        <v>-0.0087034</v>
      </c>
      <c r="BY128" s="0" t="n">
        <v>0.02590696</v>
      </c>
      <c r="BZ128" s="0" t="n">
        <v>0.05039472</v>
      </c>
      <c r="CA128" s="0" t="n">
        <v>0.01127373</v>
      </c>
      <c r="CB128" s="0" t="n">
        <v>-0.01594312</v>
      </c>
      <c r="CC128" s="0" t="n">
        <v>0.01734101</v>
      </c>
      <c r="CD128" s="0" t="n">
        <v>0.05028919</v>
      </c>
      <c r="CE128" s="0" t="n">
        <v>0.05017683</v>
      </c>
      <c r="CF128" s="0" t="n">
        <v>-0.00917543</v>
      </c>
      <c r="CG128" s="0" t="n">
        <v>0.04608165</v>
      </c>
      <c r="CH128" s="0" t="n">
        <v>0.04728604</v>
      </c>
      <c r="CI128" s="0" t="n">
        <v>-0.00465006</v>
      </c>
      <c r="CJ128" s="0" t="n">
        <v>0.00857616</v>
      </c>
      <c r="CK128" s="0" t="n">
        <v>0.01006694</v>
      </c>
      <c r="CL128" s="0" t="n">
        <v>0.03119924</v>
      </c>
      <c r="CM128" s="0" t="n">
        <v>0.09481376</v>
      </c>
      <c r="CN128" s="0" t="n">
        <v>0.02569392</v>
      </c>
      <c r="CO128" s="0" t="n">
        <v>0.02453495</v>
      </c>
      <c r="CP128" s="0" t="n">
        <v>0.0197351</v>
      </c>
      <c r="CQ128" s="0" t="n">
        <v>0.04297717</v>
      </c>
      <c r="CR128" s="0" t="n">
        <v>0.09750029</v>
      </c>
      <c r="CS128" s="0" t="n">
        <v>0.05288476</v>
      </c>
      <c r="CT128" s="0" t="n">
        <v>0.0665818</v>
      </c>
      <c r="CU128" s="0" t="n">
        <v>0.04797733</v>
      </c>
      <c r="CV128" s="0" t="n">
        <v>0.05453183</v>
      </c>
      <c r="CW128" s="0" t="n">
        <v>0.0392682</v>
      </c>
      <c r="CX128" s="0" t="n">
        <v>0.04839812</v>
      </c>
      <c r="CY128" s="0" t="n">
        <v>0.02737124</v>
      </c>
      <c r="CZ128" s="0" t="n">
        <v>0.08130375</v>
      </c>
      <c r="DA128" s="0" t="n">
        <v>0.05184999</v>
      </c>
      <c r="DB128" s="0" t="n">
        <v>0.10250973</v>
      </c>
      <c r="DC128" s="0" t="n">
        <v>0.05133782</v>
      </c>
      <c r="DD128" s="0" t="n">
        <v>0.09338128</v>
      </c>
      <c r="DE128" s="0" t="n">
        <v>0.09147709</v>
      </c>
      <c r="DF128" s="0" t="n">
        <v>0.07691101</v>
      </c>
      <c r="DG128" s="0" t="n">
        <v>0.06897858</v>
      </c>
      <c r="DH128" s="0" t="n">
        <v>0.12222651</v>
      </c>
      <c r="DI128" s="0" t="n">
        <v>0.05151976</v>
      </c>
      <c r="DJ128" s="0" t="n">
        <v>0.04586458</v>
      </c>
      <c r="DK128" s="0" t="n">
        <v>0.05835793</v>
      </c>
      <c r="DL128" s="0" t="n">
        <v>0.0415</v>
      </c>
      <c r="DM128" s="0" t="n">
        <v>0.05022253</v>
      </c>
      <c r="DN128" s="0" t="n">
        <v>0.06287255</v>
      </c>
      <c r="DO128" s="0" t="n">
        <v>0.08225282</v>
      </c>
      <c r="DP128" s="0" t="n">
        <v>0.04677372</v>
      </c>
      <c r="DQ128" s="0" t="n">
        <v>0.08852028</v>
      </c>
      <c r="DR128" s="0" t="n">
        <v>0.07855515</v>
      </c>
      <c r="DS128" s="0" t="n">
        <v>0.07244781</v>
      </c>
      <c r="DT128" s="0" t="n">
        <v>0.32489993</v>
      </c>
      <c r="DU128" s="0" t="n">
        <v>0.14984928</v>
      </c>
      <c r="DV128" s="0" t="n">
        <v>0.1454986</v>
      </c>
      <c r="DW128" s="0" t="n">
        <v>0.117709</v>
      </c>
      <c r="DX128" s="0" t="n">
        <v>0.0986931</v>
      </c>
      <c r="DY128" s="0" t="n">
        <v>0.1212892</v>
      </c>
      <c r="DZ128" s="0" t="n">
        <v>0.12488958</v>
      </c>
      <c r="EA128" s="0" t="n">
        <v>0.07702673</v>
      </c>
      <c r="EB128" s="0" t="n">
        <v>0.14478584</v>
      </c>
      <c r="EC128" s="0" t="n">
        <v>0.03756374</v>
      </c>
      <c r="ED128" s="0" t="n">
        <v>0.13140219</v>
      </c>
      <c r="EE128" s="0" t="n">
        <v>0.14262555</v>
      </c>
      <c r="EF128" s="0" t="n">
        <v>0.03906034</v>
      </c>
      <c r="EG128" s="0" t="n">
        <v>0.09919915</v>
      </c>
      <c r="EH128" s="0" t="n">
        <v>0.08166409</v>
      </c>
      <c r="EI128" s="0" t="n">
        <v>0.14662966</v>
      </c>
      <c r="EJ128" s="0" t="n">
        <v>0.140014</v>
      </c>
      <c r="EK128" s="0" t="n">
        <v>0.18576203</v>
      </c>
      <c r="EL128" s="0" t="n">
        <v>0.18519361</v>
      </c>
      <c r="EM128" s="0" t="n">
        <v>0.23134288</v>
      </c>
      <c r="EN128" s="0" t="n">
        <v>0.08117466</v>
      </c>
      <c r="EO128" s="0" t="n">
        <v>0.14504348</v>
      </c>
      <c r="EP128" s="55" t="n">
        <f aca="false">SUMPRODUCT(B128:EO128,$B$5:$EO$5)</f>
        <v>0.071058722</v>
      </c>
      <c r="EQ128" s="55" t="n">
        <f aca="false">SUMIF('Mi portafolio'!$A$8:$A$19,$A128,'Mi portafolio'!$B$8:$B$19)</f>
        <v>0</v>
      </c>
    </row>
    <row r="129" customFormat="false" ht="15" hidden="false" customHeight="false" outlineLevel="0" collapsed="false">
      <c r="A129" s="54" t="s">
        <v>268</v>
      </c>
      <c r="B129" s="0" t="n">
        <v>-0.00094387</v>
      </c>
      <c r="C129" s="0" t="n">
        <v>-0.0061412</v>
      </c>
      <c r="D129" s="0" t="n">
        <v>0.01255917</v>
      </c>
      <c r="E129" s="0" t="n">
        <v>0.01558919</v>
      </c>
      <c r="F129" s="0" t="n">
        <v>-0.01427731</v>
      </c>
      <c r="G129" s="0" t="n">
        <v>0.00425018</v>
      </c>
      <c r="H129" s="0" t="n">
        <v>0.00566158</v>
      </c>
      <c r="I129" s="0" t="n">
        <v>0.00031489</v>
      </c>
      <c r="J129" s="0" t="n">
        <v>-0.01344458</v>
      </c>
      <c r="K129" s="0" t="n">
        <v>-0.00708227</v>
      </c>
      <c r="L129" s="0" t="n">
        <v>-0.0024631</v>
      </c>
      <c r="M129" s="0" t="n">
        <v>0.03737027</v>
      </c>
      <c r="N129" s="0" t="n">
        <v>0.01515319</v>
      </c>
      <c r="O129" s="0" t="n">
        <v>0.01071939</v>
      </c>
      <c r="P129" s="0" t="n">
        <v>-0.01183285</v>
      </c>
      <c r="Q129" s="0" t="n">
        <v>0.00043024</v>
      </c>
      <c r="R129" s="0" t="n">
        <v>-0.00925664</v>
      </c>
      <c r="S129" s="0" t="n">
        <v>0.00728398</v>
      </c>
      <c r="T129" s="0" t="n">
        <v>0.04136073</v>
      </c>
      <c r="U129" s="0" t="n">
        <v>0.02860624</v>
      </c>
      <c r="V129" s="0" t="n">
        <v>0.00654573</v>
      </c>
      <c r="W129" s="0" t="n">
        <v>0.01955592</v>
      </c>
      <c r="X129" s="0" t="n">
        <v>0.04954299</v>
      </c>
      <c r="Y129" s="0" t="n">
        <v>0.01228191</v>
      </c>
      <c r="Z129" s="0" t="n">
        <v>0.01982713</v>
      </c>
      <c r="AA129" s="0" t="n">
        <v>0.0050177</v>
      </c>
      <c r="AB129" s="0" t="n">
        <v>0.01930096</v>
      </c>
      <c r="AC129" s="0" t="n">
        <v>0.01578893</v>
      </c>
      <c r="AD129" s="0" t="n">
        <v>0.01202599</v>
      </c>
      <c r="AE129" s="0" t="n">
        <v>0.02263371</v>
      </c>
      <c r="AF129" s="0" t="n">
        <v>0.0240477</v>
      </c>
      <c r="AG129" s="0" t="n">
        <v>-0.00595469</v>
      </c>
      <c r="AH129" s="0" t="n">
        <v>-0.0082619</v>
      </c>
      <c r="AI129" s="0" t="n">
        <v>-0.01660172</v>
      </c>
      <c r="AJ129" s="0" t="n">
        <v>0.0124031</v>
      </c>
      <c r="AK129" s="0" t="n">
        <v>0.0236524</v>
      </c>
      <c r="AL129" s="0" t="n">
        <v>0.0304757</v>
      </c>
      <c r="AM129" s="0" t="n">
        <v>0.0327574</v>
      </c>
      <c r="AN129" s="0" t="n">
        <v>0.03301894</v>
      </c>
      <c r="AO129" s="0" t="n">
        <v>-0.01423516</v>
      </c>
      <c r="AP129" s="0" t="n">
        <v>0.04667946</v>
      </c>
      <c r="AQ129" s="0" t="n">
        <v>-0.02397464</v>
      </c>
      <c r="AR129" s="0" t="n">
        <v>0.04878701</v>
      </c>
      <c r="AS129" s="0" t="n">
        <v>0.02221663</v>
      </c>
      <c r="AT129" s="0" t="n">
        <v>0.07275164</v>
      </c>
      <c r="AU129" s="0" t="n">
        <v>-0.01778158</v>
      </c>
      <c r="AV129" s="0" t="n">
        <v>0.02619036</v>
      </c>
      <c r="AW129" s="0" t="n">
        <v>0.01762</v>
      </c>
      <c r="AX129" s="0" t="n">
        <v>0.01098172</v>
      </c>
      <c r="AY129" s="0" t="n">
        <v>0.01794452</v>
      </c>
      <c r="AZ129" s="0" t="n">
        <v>0.02707775</v>
      </c>
      <c r="BA129" s="0" t="n">
        <v>0.02916831</v>
      </c>
      <c r="BB129" s="0" t="n">
        <v>0.08156434</v>
      </c>
      <c r="BC129" s="0" t="n">
        <v>0.03532451</v>
      </c>
      <c r="BD129" s="0" t="n">
        <v>0.03519308</v>
      </c>
      <c r="BE129" s="0" t="n">
        <v>0.00564411</v>
      </c>
      <c r="BF129" s="0" t="n">
        <v>0.02066426</v>
      </c>
      <c r="BG129" s="0" t="n">
        <v>0.05003954</v>
      </c>
      <c r="BH129" s="0" t="n">
        <v>0.03504999</v>
      </c>
      <c r="BI129" s="0" t="n">
        <v>0.01814732</v>
      </c>
      <c r="BJ129" s="0" t="n">
        <v>0.00254397</v>
      </c>
      <c r="BK129" s="0" t="n">
        <v>0.03112375</v>
      </c>
      <c r="BL129" s="0" t="n">
        <v>0.04340282</v>
      </c>
      <c r="BM129" s="0" t="n">
        <v>0.03263262</v>
      </c>
      <c r="BN129" s="0" t="n">
        <v>0.00339611</v>
      </c>
      <c r="BO129" s="0" t="n">
        <v>0.06213079</v>
      </c>
      <c r="BP129" s="0" t="n">
        <v>0.07990781</v>
      </c>
      <c r="BQ129" s="0" t="n">
        <v>0.05439635</v>
      </c>
      <c r="BR129" s="0" t="n">
        <v>0.05773908</v>
      </c>
      <c r="BS129" s="0" t="n">
        <v>-0.02497552</v>
      </c>
      <c r="BT129" s="0" t="n">
        <v>0.07144937</v>
      </c>
      <c r="BU129" s="0" t="n">
        <v>0.03871692</v>
      </c>
      <c r="BV129" s="0" t="n">
        <v>0.06875427</v>
      </c>
      <c r="BW129" s="0" t="n">
        <v>0.04692599</v>
      </c>
      <c r="BX129" s="0" t="n">
        <v>0.016041</v>
      </c>
      <c r="BY129" s="0" t="n">
        <v>0.05630516</v>
      </c>
      <c r="BZ129" s="0" t="n">
        <v>0.08492591</v>
      </c>
      <c r="CA129" s="0" t="n">
        <v>0.02468841</v>
      </c>
      <c r="CB129" s="0" t="n">
        <v>-0.00341326</v>
      </c>
      <c r="CC129" s="0" t="n">
        <v>0.03160181</v>
      </c>
      <c r="CD129" s="0" t="n">
        <v>0.06195186</v>
      </c>
      <c r="CE129" s="0" t="n">
        <v>0.04723962</v>
      </c>
      <c r="CF129" s="0" t="n">
        <v>-0.02591219</v>
      </c>
      <c r="CG129" s="0" t="n">
        <v>0.06171705</v>
      </c>
      <c r="CH129" s="0" t="n">
        <v>0.05643684</v>
      </c>
      <c r="CI129" s="0" t="n">
        <v>-0.03238133</v>
      </c>
      <c r="CJ129" s="0" t="n">
        <v>0.04175637</v>
      </c>
      <c r="CK129" s="0" t="n">
        <v>0.03868313</v>
      </c>
      <c r="CL129" s="0" t="n">
        <v>0.05615248</v>
      </c>
      <c r="CM129" s="0" t="n">
        <v>0.10312408</v>
      </c>
      <c r="CN129" s="0" t="n">
        <v>0.01816135</v>
      </c>
      <c r="CO129" s="0" t="n">
        <v>0.0388448</v>
      </c>
      <c r="CP129" s="0" t="n">
        <v>0.03852138</v>
      </c>
      <c r="CQ129" s="0" t="n">
        <v>0.09818065</v>
      </c>
      <c r="CR129" s="0" t="n">
        <v>0.09027287</v>
      </c>
      <c r="CS129" s="0" t="n">
        <v>0.07575002</v>
      </c>
      <c r="CT129" s="0" t="n">
        <v>0.08665004</v>
      </c>
      <c r="CU129" s="0" t="n">
        <v>0.04504346</v>
      </c>
      <c r="CV129" s="0" t="n">
        <v>0.06766727</v>
      </c>
      <c r="CW129" s="0" t="n">
        <v>0.09335714</v>
      </c>
      <c r="CX129" s="0" t="n">
        <v>0.12051196</v>
      </c>
      <c r="CY129" s="0" t="n">
        <v>0.08127559</v>
      </c>
      <c r="CZ129" s="0" t="n">
        <v>0.06291236</v>
      </c>
      <c r="DA129" s="0" t="n">
        <v>0.08007026</v>
      </c>
      <c r="DB129" s="0" t="n">
        <v>0.12916158</v>
      </c>
      <c r="DC129" s="0" t="n">
        <v>0.06832413</v>
      </c>
      <c r="DD129" s="0" t="n">
        <v>0.12721801</v>
      </c>
      <c r="DE129" s="0" t="n">
        <v>0.10357712</v>
      </c>
      <c r="DF129" s="0" t="n">
        <v>0.06515925</v>
      </c>
      <c r="DG129" s="0" t="n">
        <v>0.10215667</v>
      </c>
      <c r="DH129" s="0" t="n">
        <v>0.09845263</v>
      </c>
      <c r="DI129" s="0" t="n">
        <v>0.11162065</v>
      </c>
      <c r="DJ129" s="0" t="n">
        <v>0.0696454</v>
      </c>
      <c r="DK129" s="0" t="n">
        <v>0.12435063</v>
      </c>
      <c r="DL129" s="0" t="n">
        <v>0.04407854</v>
      </c>
      <c r="DM129" s="0" t="n">
        <v>0.09771643</v>
      </c>
      <c r="DN129" s="0" t="n">
        <v>0.07460872</v>
      </c>
      <c r="DO129" s="0" t="n">
        <v>0.08634518</v>
      </c>
      <c r="DP129" s="0" t="n">
        <v>0.08394494</v>
      </c>
      <c r="DQ129" s="0" t="n">
        <v>0.09511659</v>
      </c>
      <c r="DR129" s="0" t="n">
        <v>0.10388261</v>
      </c>
      <c r="DS129" s="0" t="n">
        <v>0.08257889</v>
      </c>
      <c r="DT129" s="0" t="n">
        <v>0.14984928</v>
      </c>
      <c r="DU129" s="0" t="n">
        <v>0.32758954</v>
      </c>
      <c r="DV129" s="0" t="n">
        <v>0.16688275</v>
      </c>
      <c r="DW129" s="0" t="n">
        <v>0.15728898</v>
      </c>
      <c r="DX129" s="0" t="n">
        <v>0.11511565</v>
      </c>
      <c r="DY129" s="0" t="n">
        <v>0.22529407</v>
      </c>
      <c r="DZ129" s="0" t="n">
        <v>0.0960403</v>
      </c>
      <c r="EA129" s="0" t="n">
        <v>0.10127395</v>
      </c>
      <c r="EB129" s="0" t="n">
        <v>0.26490353</v>
      </c>
      <c r="EC129" s="0" t="n">
        <v>0.01936969</v>
      </c>
      <c r="ED129" s="0" t="n">
        <v>0.16914551</v>
      </c>
      <c r="EE129" s="0" t="n">
        <v>0.15957298</v>
      </c>
      <c r="EF129" s="0" t="n">
        <v>0.12780246</v>
      </c>
      <c r="EG129" s="0" t="n">
        <v>0.1097361</v>
      </c>
      <c r="EH129" s="0" t="n">
        <v>0.13294181</v>
      </c>
      <c r="EI129" s="0" t="n">
        <v>0.13602751</v>
      </c>
      <c r="EJ129" s="0" t="n">
        <v>0.16223915</v>
      </c>
      <c r="EK129" s="0" t="n">
        <v>0.25923246</v>
      </c>
      <c r="EL129" s="0" t="n">
        <v>0.25106394</v>
      </c>
      <c r="EM129" s="0" t="n">
        <v>0.2248169</v>
      </c>
      <c r="EN129" s="0" t="n">
        <v>0.1596233</v>
      </c>
      <c r="EO129" s="0" t="n">
        <v>0.2247597</v>
      </c>
      <c r="EP129" s="55" t="n">
        <f aca="false">SUMPRODUCT(B129:EO129,$B$5:$EO$5)</f>
        <v>0.080115638</v>
      </c>
      <c r="EQ129" s="55" t="n">
        <f aca="false">SUMIF('Mi portafolio'!$A$8:$A$19,$A129,'Mi portafolio'!$B$8:$B$19)</f>
        <v>0</v>
      </c>
    </row>
    <row r="130" customFormat="false" ht="15" hidden="false" customHeight="false" outlineLevel="0" collapsed="false">
      <c r="A130" s="54" t="s">
        <v>269</v>
      </c>
      <c r="B130" s="0" t="n">
        <v>-0.00172778</v>
      </c>
      <c r="C130" s="0" t="n">
        <v>-0.00594828</v>
      </c>
      <c r="D130" s="0" t="n">
        <v>0.00685318</v>
      </c>
      <c r="E130" s="0" t="n">
        <v>0.01137692</v>
      </c>
      <c r="F130" s="0" t="n">
        <v>-0.0108048</v>
      </c>
      <c r="G130" s="0" t="n">
        <v>0.0053253</v>
      </c>
      <c r="H130" s="0" t="n">
        <v>0.00223946</v>
      </c>
      <c r="I130" s="0" t="n">
        <v>0.00843206</v>
      </c>
      <c r="J130" s="0" t="n">
        <v>-0.00607965</v>
      </c>
      <c r="K130" s="0" t="n">
        <v>-0.00552601</v>
      </c>
      <c r="L130" s="0" t="n">
        <v>0.00871781</v>
      </c>
      <c r="M130" s="0" t="n">
        <v>0.02081125</v>
      </c>
      <c r="N130" s="0" t="n">
        <v>0.012275</v>
      </c>
      <c r="O130" s="0" t="n">
        <v>0.0025023</v>
      </c>
      <c r="P130" s="0" t="n">
        <v>0.00567734</v>
      </c>
      <c r="Q130" s="0" t="n">
        <v>-0.00301358</v>
      </c>
      <c r="R130" s="0" t="n">
        <v>0.00177145</v>
      </c>
      <c r="S130" s="0" t="n">
        <v>0.0016892</v>
      </c>
      <c r="T130" s="0" t="n">
        <v>0.01450958</v>
      </c>
      <c r="U130" s="0" t="n">
        <v>0.01695746</v>
      </c>
      <c r="V130" s="0" t="n">
        <v>0.00063578</v>
      </c>
      <c r="W130" s="0" t="n">
        <v>0.01181526</v>
      </c>
      <c r="X130" s="0" t="n">
        <v>0.02602651</v>
      </c>
      <c r="Y130" s="0" t="n">
        <v>0.02735755</v>
      </c>
      <c r="Z130" s="0" t="n">
        <v>0.00761708</v>
      </c>
      <c r="AA130" s="0" t="n">
        <v>-0.00133984</v>
      </c>
      <c r="AB130" s="0" t="n">
        <v>0.02581162</v>
      </c>
      <c r="AC130" s="0" t="n">
        <v>0.00774477</v>
      </c>
      <c r="AD130" s="0" t="n">
        <v>-0.00757233</v>
      </c>
      <c r="AE130" s="0" t="n">
        <v>0.00021707</v>
      </c>
      <c r="AF130" s="0" t="n">
        <v>0.02279863</v>
      </c>
      <c r="AG130" s="0" t="n">
        <v>-0.00370243</v>
      </c>
      <c r="AH130" s="0" t="n">
        <v>-0.00295675</v>
      </c>
      <c r="AI130" s="0" t="n">
        <v>0.00351554</v>
      </c>
      <c r="AJ130" s="0" t="n">
        <v>-0.0077684</v>
      </c>
      <c r="AK130" s="0" t="n">
        <v>-0.00097283</v>
      </c>
      <c r="AL130" s="0" t="n">
        <v>0.03372567</v>
      </c>
      <c r="AM130" s="0" t="n">
        <v>0.0218093</v>
      </c>
      <c r="AN130" s="0" t="n">
        <v>0.01256937</v>
      </c>
      <c r="AO130" s="0" t="n">
        <v>-0.00335582</v>
      </c>
      <c r="AP130" s="0" t="n">
        <v>0.02286819</v>
      </c>
      <c r="AQ130" s="0" t="n">
        <v>-0.00388938</v>
      </c>
      <c r="AR130" s="0" t="n">
        <v>0.02222825</v>
      </c>
      <c r="AS130" s="0" t="n">
        <v>0.00739149</v>
      </c>
      <c r="AT130" s="0" t="n">
        <v>0.0392236</v>
      </c>
      <c r="AU130" s="0" t="n">
        <v>-0.0002372</v>
      </c>
      <c r="AV130" s="0" t="n">
        <v>0.02510463</v>
      </c>
      <c r="AW130" s="0" t="n">
        <v>0.00603462</v>
      </c>
      <c r="AX130" s="0" t="n">
        <v>0.01156284</v>
      </c>
      <c r="AY130" s="0" t="n">
        <v>0.02326999</v>
      </c>
      <c r="AZ130" s="0" t="n">
        <v>0.00865371</v>
      </c>
      <c r="BA130" s="0" t="n">
        <v>0.01022404</v>
      </c>
      <c r="BB130" s="0" t="n">
        <v>0.04309098</v>
      </c>
      <c r="BC130" s="0" t="n">
        <v>0.0234086</v>
      </c>
      <c r="BD130" s="0" t="n">
        <v>-0.00624533</v>
      </c>
      <c r="BE130" s="0" t="n">
        <v>-0.0070642</v>
      </c>
      <c r="BF130" s="0" t="n">
        <v>0.00913965</v>
      </c>
      <c r="BG130" s="0" t="n">
        <v>0.03696494</v>
      </c>
      <c r="BH130" s="0" t="n">
        <v>0.0309518</v>
      </c>
      <c r="BI130" s="0" t="n">
        <v>0.02558231</v>
      </c>
      <c r="BJ130" s="0" t="n">
        <v>-0.01398085</v>
      </c>
      <c r="BK130" s="0" t="n">
        <v>0.00920908</v>
      </c>
      <c r="BL130" s="0" t="n">
        <v>0.01395172</v>
      </c>
      <c r="BM130" s="0" t="n">
        <v>0.01569919</v>
      </c>
      <c r="BN130" s="0" t="n">
        <v>-0.00421363</v>
      </c>
      <c r="BO130" s="0" t="n">
        <v>0.05599534</v>
      </c>
      <c r="BP130" s="0" t="n">
        <v>0.08953073</v>
      </c>
      <c r="BQ130" s="0" t="n">
        <v>0.01060531</v>
      </c>
      <c r="BR130" s="0" t="n">
        <v>0.02878501</v>
      </c>
      <c r="BS130" s="0" t="n">
        <v>-0.00534533</v>
      </c>
      <c r="BT130" s="0" t="n">
        <v>0.02847666</v>
      </c>
      <c r="BU130" s="0" t="n">
        <v>0.02413637</v>
      </c>
      <c r="BV130" s="0" t="n">
        <v>0.05900546</v>
      </c>
      <c r="BW130" s="0" t="n">
        <v>0.04052339</v>
      </c>
      <c r="BX130" s="0" t="n">
        <v>0.00085605</v>
      </c>
      <c r="BY130" s="0" t="n">
        <v>0.03090237</v>
      </c>
      <c r="BZ130" s="0" t="n">
        <v>0.04612332</v>
      </c>
      <c r="CA130" s="0" t="n">
        <v>0.01703644</v>
      </c>
      <c r="CB130" s="0" t="n">
        <v>-0.01133782</v>
      </c>
      <c r="CC130" s="0" t="n">
        <v>0.01596583</v>
      </c>
      <c r="CD130" s="0" t="n">
        <v>0.07047922</v>
      </c>
      <c r="CE130" s="0" t="n">
        <v>0.04608216</v>
      </c>
      <c r="CF130" s="0" t="n">
        <v>-0.00600175</v>
      </c>
      <c r="CG130" s="0" t="n">
        <v>0.06652268</v>
      </c>
      <c r="CH130" s="0" t="n">
        <v>0.04613359</v>
      </c>
      <c r="CI130" s="0" t="n">
        <v>0.00573299</v>
      </c>
      <c r="CJ130" s="0" t="n">
        <v>0.0520263</v>
      </c>
      <c r="CK130" s="0" t="n">
        <v>0.01896384</v>
      </c>
      <c r="CL130" s="0" t="n">
        <v>0.01685453</v>
      </c>
      <c r="CM130" s="0" t="n">
        <v>0.07334421</v>
      </c>
      <c r="CN130" s="0" t="n">
        <v>0.00562845</v>
      </c>
      <c r="CO130" s="0" t="n">
        <v>0.00385158</v>
      </c>
      <c r="CP130" s="0" t="n">
        <v>0.04338501</v>
      </c>
      <c r="CQ130" s="0" t="n">
        <v>0.04705111</v>
      </c>
      <c r="CR130" s="0" t="n">
        <v>0.05440514</v>
      </c>
      <c r="CS130" s="0" t="n">
        <v>0.02967539</v>
      </c>
      <c r="CT130" s="0" t="n">
        <v>0.0840015</v>
      </c>
      <c r="CU130" s="0" t="n">
        <v>0.02691433</v>
      </c>
      <c r="CV130" s="0" t="n">
        <v>0.0585428</v>
      </c>
      <c r="CW130" s="0" t="n">
        <v>0.06571856</v>
      </c>
      <c r="CX130" s="0" t="n">
        <v>0.05871556</v>
      </c>
      <c r="CY130" s="0" t="n">
        <v>0.03012625</v>
      </c>
      <c r="CZ130" s="0" t="n">
        <v>0.09255434</v>
      </c>
      <c r="DA130" s="0" t="n">
        <v>0.04864848</v>
      </c>
      <c r="DB130" s="0" t="n">
        <v>0.1053235</v>
      </c>
      <c r="DC130" s="0" t="n">
        <v>0.00286854</v>
      </c>
      <c r="DD130" s="0" t="n">
        <v>0.1092619</v>
      </c>
      <c r="DE130" s="0" t="n">
        <v>0.07562156</v>
      </c>
      <c r="DF130" s="0" t="n">
        <v>0.12888115</v>
      </c>
      <c r="DG130" s="0" t="n">
        <v>0.07229511</v>
      </c>
      <c r="DH130" s="0" t="n">
        <v>0.09152786</v>
      </c>
      <c r="DI130" s="0" t="n">
        <v>0.05548799</v>
      </c>
      <c r="DJ130" s="0" t="n">
        <v>0.03004799</v>
      </c>
      <c r="DK130" s="0" t="n">
        <v>0.05853562</v>
      </c>
      <c r="DL130" s="0" t="n">
        <v>0.01125794</v>
      </c>
      <c r="DM130" s="0" t="n">
        <v>0.04854736</v>
      </c>
      <c r="DN130" s="0" t="n">
        <v>0.08673502</v>
      </c>
      <c r="DO130" s="0" t="n">
        <v>0.0670426</v>
      </c>
      <c r="DP130" s="0" t="n">
        <v>0.05552899</v>
      </c>
      <c r="DQ130" s="0" t="n">
        <v>0.05605872</v>
      </c>
      <c r="DR130" s="0" t="n">
        <v>0.08265862</v>
      </c>
      <c r="DS130" s="0" t="n">
        <v>0.10694803</v>
      </c>
      <c r="DT130" s="0" t="n">
        <v>0.1454986</v>
      </c>
      <c r="DU130" s="0" t="n">
        <v>0.16688275</v>
      </c>
      <c r="DV130" s="0" t="n">
        <v>0.36247005</v>
      </c>
      <c r="DW130" s="0" t="n">
        <v>0.18381367</v>
      </c>
      <c r="DX130" s="0" t="n">
        <v>0.04598928</v>
      </c>
      <c r="DY130" s="0" t="n">
        <v>0.14779878</v>
      </c>
      <c r="DZ130" s="0" t="n">
        <v>0.14482811</v>
      </c>
      <c r="EA130" s="0" t="n">
        <v>0.05946915</v>
      </c>
      <c r="EB130" s="0" t="n">
        <v>0.17680789</v>
      </c>
      <c r="EC130" s="0" t="n">
        <v>-0.01584889</v>
      </c>
      <c r="ED130" s="0" t="n">
        <v>0.11502953</v>
      </c>
      <c r="EE130" s="0" t="n">
        <v>0.10197373</v>
      </c>
      <c r="EF130" s="0" t="n">
        <v>0.08091808</v>
      </c>
      <c r="EG130" s="0" t="n">
        <v>0.04943214</v>
      </c>
      <c r="EH130" s="0" t="n">
        <v>0.11190905</v>
      </c>
      <c r="EI130" s="0" t="n">
        <v>0.06438167</v>
      </c>
      <c r="EJ130" s="0" t="n">
        <v>0.09624081</v>
      </c>
      <c r="EK130" s="0" t="n">
        <v>0.13227947</v>
      </c>
      <c r="EL130" s="0" t="n">
        <v>0.10330307</v>
      </c>
      <c r="EM130" s="0" t="n">
        <v>0.20952359</v>
      </c>
      <c r="EN130" s="0" t="n">
        <v>0.12319356</v>
      </c>
      <c r="EO130" s="0" t="n">
        <v>0.14568571</v>
      </c>
      <c r="EP130" s="55" t="n">
        <f aca="false">SUMPRODUCT(B130:EO130,$B$5:$EO$5)</f>
        <v>0.06191712</v>
      </c>
      <c r="EQ130" s="55" t="n">
        <f aca="false">SUMIF('Mi portafolio'!$A$8:$A$19,$A130,'Mi portafolio'!$B$8:$B$19)</f>
        <v>0</v>
      </c>
    </row>
    <row r="131" customFormat="false" ht="15" hidden="false" customHeight="false" outlineLevel="0" collapsed="false">
      <c r="A131" s="54" t="s">
        <v>270</v>
      </c>
      <c r="B131" s="0" t="n">
        <v>0.01018744</v>
      </c>
      <c r="C131" s="0" t="n">
        <v>-0.01236489</v>
      </c>
      <c r="D131" s="0" t="n">
        <v>0.00894236</v>
      </c>
      <c r="E131" s="0" t="n">
        <v>0.00228732</v>
      </c>
      <c r="F131" s="0" t="n">
        <v>-0.00497464</v>
      </c>
      <c r="G131" s="0" t="n">
        <v>-0.009535</v>
      </c>
      <c r="H131" s="0" t="n">
        <v>0.00358142</v>
      </c>
      <c r="I131" s="0" t="n">
        <v>0.02176845</v>
      </c>
      <c r="J131" s="0" t="n">
        <v>-0.00151006</v>
      </c>
      <c r="K131" s="0" t="n">
        <v>0.00132954</v>
      </c>
      <c r="L131" s="0" t="n">
        <v>-0.00085732</v>
      </c>
      <c r="M131" s="0" t="n">
        <v>0.03049897</v>
      </c>
      <c r="N131" s="0" t="n">
        <v>0.01868746</v>
      </c>
      <c r="O131" s="0" t="n">
        <v>-0.0054024</v>
      </c>
      <c r="P131" s="0" t="n">
        <v>0.00351728</v>
      </c>
      <c r="Q131" s="0" t="n">
        <v>-0.00565221</v>
      </c>
      <c r="R131" s="0" t="n">
        <v>0.00234302</v>
      </c>
      <c r="S131" s="0" t="n">
        <v>0.00767599</v>
      </c>
      <c r="T131" s="0" t="n">
        <v>0.03046302</v>
      </c>
      <c r="U131" s="0" t="n">
        <v>0.01533957</v>
      </c>
      <c r="V131" s="0" t="n">
        <v>-0.00436919</v>
      </c>
      <c r="W131" s="0" t="n">
        <v>0.00367951</v>
      </c>
      <c r="X131" s="0" t="n">
        <v>0.03002255</v>
      </c>
      <c r="Y131" s="0" t="n">
        <v>0.04747004</v>
      </c>
      <c r="Z131" s="0" t="n">
        <v>0.00589679</v>
      </c>
      <c r="AA131" s="0" t="n">
        <v>-0.00223177</v>
      </c>
      <c r="AB131" s="0" t="n">
        <v>0.05085625</v>
      </c>
      <c r="AC131" s="0" t="n">
        <v>-0.00634548</v>
      </c>
      <c r="AD131" s="0" t="n">
        <v>-0.01678672</v>
      </c>
      <c r="AE131" s="0" t="n">
        <v>0.00911383</v>
      </c>
      <c r="AF131" s="0" t="n">
        <v>-0.00291005</v>
      </c>
      <c r="AG131" s="0" t="n">
        <v>-0.00556176</v>
      </c>
      <c r="AH131" s="0" t="n">
        <v>-0.01712028</v>
      </c>
      <c r="AI131" s="0" t="n">
        <v>-0.02530924</v>
      </c>
      <c r="AJ131" s="0" t="n">
        <v>0.00316076</v>
      </c>
      <c r="AK131" s="0" t="n">
        <v>0.01056199</v>
      </c>
      <c r="AL131" s="0" t="n">
        <v>0.03936586</v>
      </c>
      <c r="AM131" s="0" t="n">
        <v>0.02392955</v>
      </c>
      <c r="AN131" s="0" t="n">
        <v>0.03593352</v>
      </c>
      <c r="AO131" s="0" t="n">
        <v>0.00466214</v>
      </c>
      <c r="AP131" s="0" t="n">
        <v>0.04933205</v>
      </c>
      <c r="AQ131" s="0" t="n">
        <v>-0.03074116</v>
      </c>
      <c r="AR131" s="0" t="n">
        <v>0.03901451</v>
      </c>
      <c r="AS131" s="0" t="n">
        <v>0.01068232</v>
      </c>
      <c r="AT131" s="0" t="n">
        <v>0.06960588</v>
      </c>
      <c r="AU131" s="0" t="n">
        <v>-0.00333088</v>
      </c>
      <c r="AV131" s="0" t="n">
        <v>0.01956069</v>
      </c>
      <c r="AW131" s="0" t="n">
        <v>0.00686615</v>
      </c>
      <c r="AX131" s="0" t="n">
        <v>0.00094917</v>
      </c>
      <c r="AY131" s="0" t="n">
        <v>0.03426818</v>
      </c>
      <c r="AZ131" s="0" t="n">
        <v>0.02091305</v>
      </c>
      <c r="BA131" s="0" t="n">
        <v>0.01823489</v>
      </c>
      <c r="BB131" s="0" t="n">
        <v>0.05387857</v>
      </c>
      <c r="BC131" s="0" t="n">
        <v>0.01757248</v>
      </c>
      <c r="BD131" s="0" t="n">
        <v>0.01490514</v>
      </c>
      <c r="BE131" s="0" t="n">
        <v>-0.00053972</v>
      </c>
      <c r="BF131" s="0" t="n">
        <v>0.0082244</v>
      </c>
      <c r="BG131" s="0" t="n">
        <v>0.0599359</v>
      </c>
      <c r="BH131" s="0" t="n">
        <v>0.04371281</v>
      </c>
      <c r="BI131" s="0" t="n">
        <v>0.01409226</v>
      </c>
      <c r="BJ131" s="0" t="n">
        <v>-0.0115477</v>
      </c>
      <c r="BK131" s="0" t="n">
        <v>0.01735589</v>
      </c>
      <c r="BL131" s="0" t="n">
        <v>0.02178237</v>
      </c>
      <c r="BM131" s="0" t="n">
        <v>0.03245306</v>
      </c>
      <c r="BN131" s="0" t="n">
        <v>-0.01684451</v>
      </c>
      <c r="BO131" s="0" t="n">
        <v>0.05602013</v>
      </c>
      <c r="BP131" s="0" t="n">
        <v>0.06877122</v>
      </c>
      <c r="BQ131" s="0" t="n">
        <v>0.02526416</v>
      </c>
      <c r="BR131" s="0" t="n">
        <v>0.05711389</v>
      </c>
      <c r="BS131" s="0" t="n">
        <v>-0.02739567</v>
      </c>
      <c r="BT131" s="0" t="n">
        <v>0.03779724</v>
      </c>
      <c r="BU131" s="0" t="n">
        <v>0.02918243</v>
      </c>
      <c r="BV131" s="0" t="n">
        <v>0.05628636</v>
      </c>
      <c r="BW131" s="0" t="n">
        <v>0.03898684</v>
      </c>
      <c r="BX131" s="0" t="n">
        <v>0.02049695</v>
      </c>
      <c r="BY131" s="0" t="n">
        <v>0.05828324</v>
      </c>
      <c r="BZ131" s="0" t="n">
        <v>0.04151858</v>
      </c>
      <c r="CA131" s="0" t="n">
        <v>-0.00483716</v>
      </c>
      <c r="CB131" s="0" t="n">
        <v>-0.01701909</v>
      </c>
      <c r="CC131" s="0" t="n">
        <v>0.02447205</v>
      </c>
      <c r="CD131" s="0" t="n">
        <v>0.08154022</v>
      </c>
      <c r="CE131" s="0" t="n">
        <v>0.02979483</v>
      </c>
      <c r="CF131" s="0" t="n">
        <v>-0.03821111</v>
      </c>
      <c r="CG131" s="0" t="n">
        <v>0.1103484</v>
      </c>
      <c r="CH131" s="0" t="n">
        <v>0.03020139</v>
      </c>
      <c r="CI131" s="0" t="n">
        <v>-0.02625778</v>
      </c>
      <c r="CJ131" s="0" t="n">
        <v>0.05677618</v>
      </c>
      <c r="CK131" s="0" t="n">
        <v>0.06461531</v>
      </c>
      <c r="CL131" s="0" t="n">
        <v>0.03636263</v>
      </c>
      <c r="CM131" s="0" t="n">
        <v>0.06701545</v>
      </c>
      <c r="CN131" s="0" t="n">
        <v>-0.00786559</v>
      </c>
      <c r="CO131" s="0" t="n">
        <v>0.03501445</v>
      </c>
      <c r="CP131" s="0" t="n">
        <v>0.04979975</v>
      </c>
      <c r="CQ131" s="0" t="n">
        <v>0.08282229</v>
      </c>
      <c r="CR131" s="0" t="n">
        <v>0.05959717</v>
      </c>
      <c r="CS131" s="0" t="n">
        <v>0.00867158</v>
      </c>
      <c r="CT131" s="0" t="n">
        <v>0.09235425</v>
      </c>
      <c r="CU131" s="0" t="n">
        <v>0.04129051</v>
      </c>
      <c r="CV131" s="0" t="n">
        <v>0.09186845</v>
      </c>
      <c r="CW131" s="0" t="n">
        <v>0.09992124</v>
      </c>
      <c r="CX131" s="0" t="n">
        <v>0.08459718</v>
      </c>
      <c r="CY131" s="0" t="n">
        <v>0.07210889</v>
      </c>
      <c r="CZ131" s="0" t="n">
        <v>0.09321953</v>
      </c>
      <c r="DA131" s="0" t="n">
        <v>0.11252939</v>
      </c>
      <c r="DB131" s="0" t="n">
        <v>0.08115736</v>
      </c>
      <c r="DC131" s="0" t="n">
        <v>0.05183063</v>
      </c>
      <c r="DD131" s="0" t="n">
        <v>0.15068979</v>
      </c>
      <c r="DE131" s="0" t="n">
        <v>0.05284239</v>
      </c>
      <c r="DF131" s="0" t="n">
        <v>0.12255523</v>
      </c>
      <c r="DG131" s="0" t="n">
        <v>0.06674493</v>
      </c>
      <c r="DH131" s="0" t="n">
        <v>0.07230964</v>
      </c>
      <c r="DI131" s="0" t="n">
        <v>0.09031091</v>
      </c>
      <c r="DJ131" s="0" t="n">
        <v>0.0898945</v>
      </c>
      <c r="DK131" s="0" t="n">
        <v>0.09971498</v>
      </c>
      <c r="DL131" s="0" t="n">
        <v>0.01873126</v>
      </c>
      <c r="DM131" s="0" t="n">
        <v>0.10742037</v>
      </c>
      <c r="DN131" s="0" t="n">
        <v>0.10667027</v>
      </c>
      <c r="DO131" s="0" t="n">
        <v>0.03554356</v>
      </c>
      <c r="DP131" s="0" t="n">
        <v>0.13261761</v>
      </c>
      <c r="DQ131" s="0" t="n">
        <v>0.03912151</v>
      </c>
      <c r="DR131" s="0" t="n">
        <v>0.04247234</v>
      </c>
      <c r="DS131" s="0" t="n">
        <v>0.10014484</v>
      </c>
      <c r="DT131" s="0" t="n">
        <v>0.117709</v>
      </c>
      <c r="DU131" s="0" t="n">
        <v>0.15728898</v>
      </c>
      <c r="DV131" s="0" t="n">
        <v>0.18381367</v>
      </c>
      <c r="DW131" s="0" t="n">
        <v>0.36069333</v>
      </c>
      <c r="DX131" s="0" t="n">
        <v>0.02120424</v>
      </c>
      <c r="DY131" s="0" t="n">
        <v>0.19603911</v>
      </c>
      <c r="DZ131" s="0" t="n">
        <v>0.13842958</v>
      </c>
      <c r="EA131" s="0" t="n">
        <v>0.09186551</v>
      </c>
      <c r="EB131" s="0" t="n">
        <v>0.20963377</v>
      </c>
      <c r="EC131" s="0" t="n">
        <v>0.02035891</v>
      </c>
      <c r="ED131" s="0" t="n">
        <v>0.1022902</v>
      </c>
      <c r="EE131" s="0" t="n">
        <v>0.03678927</v>
      </c>
      <c r="EF131" s="0" t="n">
        <v>0.05757857</v>
      </c>
      <c r="EG131" s="0" t="n">
        <v>0.01005585</v>
      </c>
      <c r="EH131" s="0" t="n">
        <v>0.20190115</v>
      </c>
      <c r="EI131" s="0" t="n">
        <v>0.02218994</v>
      </c>
      <c r="EJ131" s="0" t="n">
        <v>0.1139104</v>
      </c>
      <c r="EK131" s="0" t="n">
        <v>0.08477243</v>
      </c>
      <c r="EL131" s="0" t="n">
        <v>0.09437701</v>
      </c>
      <c r="EM131" s="0" t="n">
        <v>0.15599366</v>
      </c>
      <c r="EN131" s="0" t="n">
        <v>0.10243807</v>
      </c>
      <c r="EO131" s="0" t="n">
        <v>0.10718013</v>
      </c>
      <c r="EP131" s="55" t="n">
        <f aca="false">SUMPRODUCT(B131:EO131,$B$5:$EO$5)</f>
        <v>0.052990536</v>
      </c>
      <c r="EQ131" s="55" t="n">
        <f aca="false">SUMIF('Mi portafolio'!$A$8:$A$19,$A131,'Mi portafolio'!$B$8:$B$19)</f>
        <v>0</v>
      </c>
    </row>
    <row r="132" customFormat="false" ht="15" hidden="false" customHeight="false" outlineLevel="0" collapsed="false">
      <c r="A132" s="54" t="s">
        <v>271</v>
      </c>
      <c r="B132" s="0" t="n">
        <v>-0.01485884</v>
      </c>
      <c r="C132" s="0" t="n">
        <v>0.0031151</v>
      </c>
      <c r="D132" s="0" t="n">
        <v>0.007655</v>
      </c>
      <c r="E132" s="0" t="n">
        <v>0.00565996</v>
      </c>
      <c r="F132" s="0" t="n">
        <v>-0.02365387</v>
      </c>
      <c r="G132" s="0" t="n">
        <v>0.00162204</v>
      </c>
      <c r="H132" s="0" t="n">
        <v>0.01280905</v>
      </c>
      <c r="I132" s="0" t="n">
        <v>-0.02026219</v>
      </c>
      <c r="J132" s="0" t="n">
        <v>-0.01666051</v>
      </c>
      <c r="K132" s="0" t="n">
        <v>-0.02137134</v>
      </c>
      <c r="L132" s="0" t="n">
        <v>0.01486524</v>
      </c>
      <c r="M132" s="0" t="n">
        <v>0.03253574</v>
      </c>
      <c r="N132" s="0" t="n">
        <v>-0.00080831</v>
      </c>
      <c r="O132" s="0" t="n">
        <v>0.00486743</v>
      </c>
      <c r="P132" s="0" t="n">
        <v>-0.01165533</v>
      </c>
      <c r="Q132" s="0" t="n">
        <v>0.00522061</v>
      </c>
      <c r="R132" s="0" t="n">
        <v>-0.02998607</v>
      </c>
      <c r="S132" s="0" t="n">
        <v>-0.00960449</v>
      </c>
      <c r="T132" s="0" t="n">
        <v>0.02857567</v>
      </c>
      <c r="U132" s="0" t="n">
        <v>0.01751238</v>
      </c>
      <c r="V132" s="0" t="n">
        <v>0.0048514</v>
      </c>
      <c r="W132" s="0" t="n">
        <v>0.01400045</v>
      </c>
      <c r="X132" s="0" t="n">
        <v>0.03762006</v>
      </c>
      <c r="Y132" s="0" t="n">
        <v>-0.01209657</v>
      </c>
      <c r="Z132" s="0" t="n">
        <v>0.00835037</v>
      </c>
      <c r="AA132" s="0" t="n">
        <v>0.00986721</v>
      </c>
      <c r="AB132" s="0" t="n">
        <v>-0.01636109</v>
      </c>
      <c r="AC132" s="0" t="n">
        <v>0.00657809</v>
      </c>
      <c r="AD132" s="0" t="n">
        <v>0.02431689</v>
      </c>
      <c r="AE132" s="0" t="n">
        <v>0.03489605</v>
      </c>
      <c r="AF132" s="0" t="n">
        <v>0.03445711</v>
      </c>
      <c r="AG132" s="0" t="n">
        <v>-0.04139692</v>
      </c>
      <c r="AH132" s="0" t="n">
        <v>-0.03885101</v>
      </c>
      <c r="AI132" s="0" t="n">
        <v>-0.02377578</v>
      </c>
      <c r="AJ132" s="0" t="n">
        <v>0.0206853</v>
      </c>
      <c r="AK132" s="0" t="n">
        <v>0.03383887</v>
      </c>
      <c r="AL132" s="0" t="n">
        <v>-0.00428053</v>
      </c>
      <c r="AM132" s="0" t="n">
        <v>0.01338202</v>
      </c>
      <c r="AN132" s="0" t="n">
        <v>0.0211898</v>
      </c>
      <c r="AO132" s="0" t="n">
        <v>-0.00918771</v>
      </c>
      <c r="AP132" s="0" t="n">
        <v>-0.00575062</v>
      </c>
      <c r="AQ132" s="0" t="n">
        <v>-0.02125968</v>
      </c>
      <c r="AR132" s="0" t="n">
        <v>0.03087943</v>
      </c>
      <c r="AS132" s="0" t="n">
        <v>0.01960689</v>
      </c>
      <c r="AT132" s="0" t="n">
        <v>0.02811204</v>
      </c>
      <c r="AU132" s="0" t="n">
        <v>-0.0101696</v>
      </c>
      <c r="AV132" s="0" t="n">
        <v>0.01602211</v>
      </c>
      <c r="AW132" s="0" t="n">
        <v>0.03514527</v>
      </c>
      <c r="AX132" s="0" t="n">
        <v>0.00322359</v>
      </c>
      <c r="AY132" s="0" t="n">
        <v>0.02605032</v>
      </c>
      <c r="AZ132" s="0" t="n">
        <v>0.06107732</v>
      </c>
      <c r="BA132" s="0" t="n">
        <v>0.04812065</v>
      </c>
      <c r="BB132" s="0" t="n">
        <v>0.07497899</v>
      </c>
      <c r="BC132" s="0" t="n">
        <v>0.02097949</v>
      </c>
      <c r="BD132" s="0" t="n">
        <v>0.02413364</v>
      </c>
      <c r="BE132" s="0" t="n">
        <v>0.00285084</v>
      </c>
      <c r="BF132" s="0" t="n">
        <v>0.02610701</v>
      </c>
      <c r="BG132" s="0" t="n">
        <v>0.01818624</v>
      </c>
      <c r="BH132" s="0" t="n">
        <v>0.01334467</v>
      </c>
      <c r="BI132" s="0" t="n">
        <v>0.00848488</v>
      </c>
      <c r="BJ132" s="0" t="n">
        <v>0.01589635</v>
      </c>
      <c r="BK132" s="0" t="n">
        <v>0.0441699</v>
      </c>
      <c r="BL132" s="0" t="n">
        <v>0.06927307</v>
      </c>
      <c r="BM132" s="0" t="n">
        <v>-0.00017124</v>
      </c>
      <c r="BN132" s="0" t="n">
        <v>0.00920566</v>
      </c>
      <c r="BO132" s="0" t="n">
        <v>0.04141777</v>
      </c>
      <c r="BP132" s="0" t="n">
        <v>0.00329493</v>
      </c>
      <c r="BQ132" s="0" t="n">
        <v>0.06810893</v>
      </c>
      <c r="BR132" s="0" t="n">
        <v>0.03943881</v>
      </c>
      <c r="BS132" s="0" t="n">
        <v>-0.01132726</v>
      </c>
      <c r="BT132" s="0" t="n">
        <v>0.07648782</v>
      </c>
      <c r="BU132" s="0" t="n">
        <v>0.02870843</v>
      </c>
      <c r="BV132" s="0" t="n">
        <v>0.04522205</v>
      </c>
      <c r="BW132" s="0" t="n">
        <v>0.01580213</v>
      </c>
      <c r="BX132" s="0" t="n">
        <v>-0.01047379</v>
      </c>
      <c r="BY132" s="0" t="n">
        <v>0.03530795</v>
      </c>
      <c r="BZ132" s="0" t="n">
        <v>0.0513341</v>
      </c>
      <c r="CA132" s="0" t="n">
        <v>0.02839349</v>
      </c>
      <c r="CB132" s="0" t="n">
        <v>-0.0134875</v>
      </c>
      <c r="CC132" s="0" t="n">
        <v>0.00583329</v>
      </c>
      <c r="CD132" s="0" t="n">
        <v>0.01363168</v>
      </c>
      <c r="CE132" s="0" t="n">
        <v>0.08609172</v>
      </c>
      <c r="CF132" s="0" t="n">
        <v>-0.02073298</v>
      </c>
      <c r="CG132" s="0" t="n">
        <v>0.01836465</v>
      </c>
      <c r="CH132" s="0" t="n">
        <v>0.0972409</v>
      </c>
      <c r="CI132" s="0" t="n">
        <v>-0.02646986</v>
      </c>
      <c r="CJ132" s="0" t="n">
        <v>-0.0311228</v>
      </c>
      <c r="CK132" s="0" t="n">
        <v>-0.00381178</v>
      </c>
      <c r="CL132" s="0" t="n">
        <v>0.03672238</v>
      </c>
      <c r="CM132" s="0" t="n">
        <v>0.11031695</v>
      </c>
      <c r="CN132" s="0" t="n">
        <v>0.02532861</v>
      </c>
      <c r="CO132" s="0" t="n">
        <v>0.03092597</v>
      </c>
      <c r="CP132" s="0" t="n">
        <v>0.01455269</v>
      </c>
      <c r="CQ132" s="0" t="n">
        <v>0.09359399</v>
      </c>
      <c r="CR132" s="0" t="n">
        <v>0.17471706</v>
      </c>
      <c r="CS132" s="0" t="n">
        <v>0.17919638</v>
      </c>
      <c r="CT132" s="0" t="n">
        <v>0.05363588</v>
      </c>
      <c r="CU132" s="0" t="n">
        <v>0.04726532</v>
      </c>
      <c r="CV132" s="0" t="n">
        <v>0.02981286</v>
      </c>
      <c r="CW132" s="0" t="n">
        <v>0.01223246</v>
      </c>
      <c r="CX132" s="0" t="n">
        <v>0.06233975</v>
      </c>
      <c r="CY132" s="0" t="n">
        <v>0.08754464</v>
      </c>
      <c r="CZ132" s="0" t="n">
        <v>0.00899743</v>
      </c>
      <c r="DA132" s="0" t="n">
        <v>0.00945855</v>
      </c>
      <c r="DB132" s="0" t="n">
        <v>0.11303497</v>
      </c>
      <c r="DC132" s="0" t="n">
        <v>0.08164901</v>
      </c>
      <c r="DD132" s="0" t="n">
        <v>0.05255855</v>
      </c>
      <c r="DE132" s="0" t="n">
        <v>0.16034953</v>
      </c>
      <c r="DF132" s="0" t="n">
        <v>-0.06231151</v>
      </c>
      <c r="DG132" s="0" t="n">
        <v>0.10469517</v>
      </c>
      <c r="DH132" s="0" t="n">
        <v>0.15572108</v>
      </c>
      <c r="DI132" s="0" t="n">
        <v>0.09066013</v>
      </c>
      <c r="DJ132" s="0" t="n">
        <v>0.08114303</v>
      </c>
      <c r="DK132" s="0" t="n">
        <v>0.11601503</v>
      </c>
      <c r="DL132" s="0" t="n">
        <v>0.07796313</v>
      </c>
      <c r="DM132" s="0" t="n">
        <v>0.09998195</v>
      </c>
      <c r="DN132" s="0" t="n">
        <v>0.02016876</v>
      </c>
      <c r="DO132" s="0" t="n">
        <v>0.12877012</v>
      </c>
      <c r="DP132" s="0" t="n">
        <v>0.07140128</v>
      </c>
      <c r="DQ132" s="0" t="n">
        <v>0.11114016</v>
      </c>
      <c r="DR132" s="0" t="n">
        <v>0.12119545</v>
      </c>
      <c r="DS132" s="0" t="n">
        <v>-0.02435801</v>
      </c>
      <c r="DT132" s="0" t="n">
        <v>0.0986931</v>
      </c>
      <c r="DU132" s="0" t="n">
        <v>0.11511565</v>
      </c>
      <c r="DV132" s="0" t="n">
        <v>0.04598928</v>
      </c>
      <c r="DW132" s="0" t="n">
        <v>0.02120424</v>
      </c>
      <c r="DX132" s="0" t="n">
        <v>0.36342723</v>
      </c>
      <c r="DY132" s="0" t="n">
        <v>0.07501694</v>
      </c>
      <c r="DZ132" s="0" t="n">
        <v>0.03293007</v>
      </c>
      <c r="EA132" s="0" t="n">
        <v>0.07399916</v>
      </c>
      <c r="EB132" s="0" t="n">
        <v>0.10721164</v>
      </c>
      <c r="EC132" s="0" t="n">
        <v>0.0622609</v>
      </c>
      <c r="ED132" s="0" t="n">
        <v>0.1276512</v>
      </c>
      <c r="EE132" s="0" t="n">
        <v>0.26622407</v>
      </c>
      <c r="EF132" s="0" t="n">
        <v>0.10771987</v>
      </c>
      <c r="EG132" s="0" t="n">
        <v>0.27978072</v>
      </c>
      <c r="EH132" s="0" t="n">
        <v>0.00068065</v>
      </c>
      <c r="EI132" s="0" t="n">
        <v>0.35638801</v>
      </c>
      <c r="EJ132" s="0" t="n">
        <v>0.09472368</v>
      </c>
      <c r="EK132" s="0" t="n">
        <v>0.24390878</v>
      </c>
      <c r="EL132" s="0" t="n">
        <v>0.29069713</v>
      </c>
      <c r="EM132" s="0" t="n">
        <v>0.08576031</v>
      </c>
      <c r="EN132" s="0" t="n">
        <v>0.05342416</v>
      </c>
      <c r="EO132" s="0" t="n">
        <v>0.10561542</v>
      </c>
      <c r="EP132" s="55" t="n">
        <f aca="false">SUMPRODUCT(B132:EO132,$B$5:$EO$5)</f>
        <v>0.09510473</v>
      </c>
      <c r="EQ132" s="55" t="n">
        <f aca="false">SUMIF('Mi portafolio'!$A$8:$A$19,$A132,'Mi portafolio'!$B$8:$B$19)</f>
        <v>0</v>
      </c>
    </row>
    <row r="133" customFormat="false" ht="15" hidden="false" customHeight="false" outlineLevel="0" collapsed="false">
      <c r="A133" s="54" t="s">
        <v>272</v>
      </c>
      <c r="B133" s="0" t="n">
        <v>0.01469509</v>
      </c>
      <c r="C133" s="0" t="n">
        <v>0.00099009</v>
      </c>
      <c r="D133" s="0" t="n">
        <v>0.00415934</v>
      </c>
      <c r="E133" s="0" t="n">
        <v>0.01132972</v>
      </c>
      <c r="F133" s="0" t="n">
        <v>3.656E-005</v>
      </c>
      <c r="G133" s="0" t="n">
        <v>-0.00505002</v>
      </c>
      <c r="H133" s="0" t="n">
        <v>-0.00640499</v>
      </c>
      <c r="I133" s="0" t="n">
        <v>0.01551117</v>
      </c>
      <c r="J133" s="0" t="n">
        <v>-0.01595066</v>
      </c>
      <c r="K133" s="0" t="n">
        <v>0.00112357</v>
      </c>
      <c r="L133" s="0" t="n">
        <v>0.00854534</v>
      </c>
      <c r="M133" s="0" t="n">
        <v>0.047629</v>
      </c>
      <c r="N133" s="0" t="n">
        <v>0.01498585</v>
      </c>
      <c r="O133" s="0" t="n">
        <v>0.00399091</v>
      </c>
      <c r="P133" s="0" t="n">
        <v>0.00250041</v>
      </c>
      <c r="Q133" s="0" t="n">
        <v>0.00549681</v>
      </c>
      <c r="R133" s="0" t="n">
        <v>0.00099563</v>
      </c>
      <c r="S133" s="0" t="n">
        <v>0.00498354</v>
      </c>
      <c r="T133" s="0" t="n">
        <v>0.04642075</v>
      </c>
      <c r="U133" s="0" t="n">
        <v>0.01870882</v>
      </c>
      <c r="V133" s="0" t="n">
        <v>0.01344437</v>
      </c>
      <c r="W133" s="0" t="n">
        <v>0.00870001</v>
      </c>
      <c r="X133" s="0" t="n">
        <v>0.0441222</v>
      </c>
      <c r="Y133" s="0" t="n">
        <v>0.05173846</v>
      </c>
      <c r="Z133" s="0" t="n">
        <v>0.01370322</v>
      </c>
      <c r="AA133" s="0" t="n">
        <v>0.00263349</v>
      </c>
      <c r="AB133" s="0" t="n">
        <v>0.05358078</v>
      </c>
      <c r="AC133" s="0" t="n">
        <v>0.00058694</v>
      </c>
      <c r="AD133" s="0" t="n">
        <v>0.00644618</v>
      </c>
      <c r="AE133" s="0" t="n">
        <v>0.02455278</v>
      </c>
      <c r="AF133" s="0" t="n">
        <v>0.01300356</v>
      </c>
      <c r="AG133" s="0" t="n">
        <v>-0.00873625</v>
      </c>
      <c r="AH133" s="0" t="n">
        <v>-0.0072139</v>
      </c>
      <c r="AI133" s="0" t="n">
        <v>-0.02422063</v>
      </c>
      <c r="AJ133" s="0" t="n">
        <v>-0.00250505</v>
      </c>
      <c r="AK133" s="0" t="n">
        <v>0.00682236</v>
      </c>
      <c r="AL133" s="0" t="n">
        <v>0.04387283</v>
      </c>
      <c r="AM133" s="0" t="n">
        <v>0.0224892</v>
      </c>
      <c r="AN133" s="0" t="n">
        <v>0.05721828</v>
      </c>
      <c r="AO133" s="0" t="n">
        <v>-0.00268049</v>
      </c>
      <c r="AP133" s="0" t="n">
        <v>0.05857733</v>
      </c>
      <c r="AQ133" s="0" t="n">
        <v>-0.02863428</v>
      </c>
      <c r="AR133" s="0" t="n">
        <v>0.04740437</v>
      </c>
      <c r="AS133" s="0" t="n">
        <v>0.0136621</v>
      </c>
      <c r="AT133" s="0" t="n">
        <v>0.09414425</v>
      </c>
      <c r="AU133" s="0" t="n">
        <v>-0.01311499</v>
      </c>
      <c r="AV133" s="0" t="n">
        <v>0.02250148</v>
      </c>
      <c r="AW133" s="0" t="n">
        <v>0.02165422</v>
      </c>
      <c r="AX133" s="0" t="n">
        <v>0.00920073</v>
      </c>
      <c r="AY133" s="0" t="n">
        <v>0.05364161</v>
      </c>
      <c r="AZ133" s="0" t="n">
        <v>0.02997347</v>
      </c>
      <c r="BA133" s="0" t="n">
        <v>0.03678442</v>
      </c>
      <c r="BB133" s="0" t="n">
        <v>0.08089142</v>
      </c>
      <c r="BC133" s="0" t="n">
        <v>0.01838224</v>
      </c>
      <c r="BD133" s="0" t="n">
        <v>0.0143469</v>
      </c>
      <c r="BE133" s="0" t="n">
        <v>0.00878451</v>
      </c>
      <c r="BF133" s="0" t="n">
        <v>0.02105025</v>
      </c>
      <c r="BG133" s="0" t="n">
        <v>0.06879081</v>
      </c>
      <c r="BH133" s="0" t="n">
        <v>0.02477954</v>
      </c>
      <c r="BI133" s="0" t="n">
        <v>0.03739033</v>
      </c>
      <c r="BJ133" s="0" t="n">
        <v>-0.0048617</v>
      </c>
      <c r="BK133" s="0" t="n">
        <v>0.02821468</v>
      </c>
      <c r="BL133" s="0" t="n">
        <v>0.03845291</v>
      </c>
      <c r="BM133" s="0" t="n">
        <v>0.04998379</v>
      </c>
      <c r="BN133" s="0" t="n">
        <v>-0.01058455</v>
      </c>
      <c r="BO133" s="0" t="n">
        <v>0.06188427</v>
      </c>
      <c r="BP133" s="0" t="n">
        <v>0.07749092</v>
      </c>
      <c r="BQ133" s="0" t="n">
        <v>0.0413476</v>
      </c>
      <c r="BR133" s="0" t="n">
        <v>0.06923906</v>
      </c>
      <c r="BS133" s="0" t="n">
        <v>-0.03162411</v>
      </c>
      <c r="BT133" s="0" t="n">
        <v>0.06065262</v>
      </c>
      <c r="BU133" s="0" t="n">
        <v>0.02190041</v>
      </c>
      <c r="BV133" s="0" t="n">
        <v>0.09474211</v>
      </c>
      <c r="BW133" s="0" t="n">
        <v>0.0618861</v>
      </c>
      <c r="BX133" s="0" t="n">
        <v>0.01856202</v>
      </c>
      <c r="BY133" s="0" t="n">
        <v>0.06781512</v>
      </c>
      <c r="BZ133" s="0" t="n">
        <v>0.07635897</v>
      </c>
      <c r="CA133" s="0" t="n">
        <v>0.00834571</v>
      </c>
      <c r="CB133" s="0" t="n">
        <v>0.00192026</v>
      </c>
      <c r="CC133" s="0" t="n">
        <v>0.02178796</v>
      </c>
      <c r="CD133" s="0" t="n">
        <v>0.08021585</v>
      </c>
      <c r="CE133" s="0" t="n">
        <v>0.05092307</v>
      </c>
      <c r="CF133" s="0" t="n">
        <v>-0.03105164</v>
      </c>
      <c r="CG133" s="0" t="n">
        <v>0.09903269</v>
      </c>
      <c r="CH133" s="0" t="n">
        <v>0.0359823</v>
      </c>
      <c r="CI133" s="0" t="n">
        <v>-0.03386706</v>
      </c>
      <c r="CJ133" s="0" t="n">
        <v>0.04732612</v>
      </c>
      <c r="CK133" s="0" t="n">
        <v>0.06412264</v>
      </c>
      <c r="CL133" s="0" t="n">
        <v>0.05636164</v>
      </c>
      <c r="CM133" s="0" t="n">
        <v>0.06390707</v>
      </c>
      <c r="CN133" s="0" t="n">
        <v>0.00778558</v>
      </c>
      <c r="CO133" s="0" t="n">
        <v>0.05534448</v>
      </c>
      <c r="CP133" s="0" t="n">
        <v>0.04430852</v>
      </c>
      <c r="CQ133" s="0" t="n">
        <v>0.10991904</v>
      </c>
      <c r="CR133" s="0" t="n">
        <v>0.07692274</v>
      </c>
      <c r="CS133" s="0" t="n">
        <v>0.045909</v>
      </c>
      <c r="CT133" s="0" t="n">
        <v>0.10112177</v>
      </c>
      <c r="CU133" s="0" t="n">
        <v>0.02989781</v>
      </c>
      <c r="CV133" s="0" t="n">
        <v>0.08322495</v>
      </c>
      <c r="CW133" s="0" t="n">
        <v>0.12277275</v>
      </c>
      <c r="CX133" s="0" t="n">
        <v>0.104677</v>
      </c>
      <c r="CY133" s="0" t="n">
        <v>0.09947905</v>
      </c>
      <c r="CZ133" s="0" t="n">
        <v>0.06734968</v>
      </c>
      <c r="DA133" s="0" t="n">
        <v>0.08942956</v>
      </c>
      <c r="DB133" s="0" t="n">
        <v>0.11592693</v>
      </c>
      <c r="DC133" s="0" t="n">
        <v>0.08457697</v>
      </c>
      <c r="DD133" s="0" t="n">
        <v>0.16280329</v>
      </c>
      <c r="DE133" s="0" t="n">
        <v>0.08667609</v>
      </c>
      <c r="DF133" s="0" t="n">
        <v>0.08646319</v>
      </c>
      <c r="DG133" s="0" t="n">
        <v>0.07609516</v>
      </c>
      <c r="DH133" s="0" t="n">
        <v>0.07548654</v>
      </c>
      <c r="DI133" s="0" t="n">
        <v>0.13693184</v>
      </c>
      <c r="DJ133" s="0" t="n">
        <v>0.09865774</v>
      </c>
      <c r="DK133" s="0" t="n">
        <v>0.14051194</v>
      </c>
      <c r="DL133" s="0" t="n">
        <v>0.0171242</v>
      </c>
      <c r="DM133" s="0" t="n">
        <v>0.12384819</v>
      </c>
      <c r="DN133" s="0" t="n">
        <v>0.12040271</v>
      </c>
      <c r="DO133" s="0" t="n">
        <v>0.08381497</v>
      </c>
      <c r="DP133" s="0" t="n">
        <v>0.12444982</v>
      </c>
      <c r="DQ133" s="0" t="n">
        <v>0.09236327</v>
      </c>
      <c r="DR133" s="0" t="n">
        <v>0.07542963</v>
      </c>
      <c r="DS133" s="0" t="n">
        <v>0.12811292</v>
      </c>
      <c r="DT133" s="0" t="n">
        <v>0.1212892</v>
      </c>
      <c r="DU133" s="0" t="n">
        <v>0.22529407</v>
      </c>
      <c r="DV133" s="0" t="n">
        <v>0.14779878</v>
      </c>
      <c r="DW133" s="0" t="n">
        <v>0.19603911</v>
      </c>
      <c r="DX133" s="0" t="n">
        <v>0.07501694</v>
      </c>
      <c r="DY133" s="0" t="n">
        <v>0.36050587</v>
      </c>
      <c r="DZ133" s="0" t="n">
        <v>0.09627704</v>
      </c>
      <c r="EA133" s="0" t="n">
        <v>0.11038247</v>
      </c>
      <c r="EB133" s="0" t="n">
        <v>0.29403614</v>
      </c>
      <c r="EC133" s="0" t="n">
        <v>-0.00486036</v>
      </c>
      <c r="ED133" s="0" t="n">
        <v>0.12586464</v>
      </c>
      <c r="EE133" s="0" t="n">
        <v>0.10505911</v>
      </c>
      <c r="EF133" s="0" t="n">
        <v>0.10756446</v>
      </c>
      <c r="EG133" s="0" t="n">
        <v>0.09994096</v>
      </c>
      <c r="EH133" s="0" t="n">
        <v>0.1738175</v>
      </c>
      <c r="EI133" s="0" t="n">
        <v>0.10764414</v>
      </c>
      <c r="EJ133" s="0" t="n">
        <v>0.11234892</v>
      </c>
      <c r="EK133" s="0" t="n">
        <v>0.15832996</v>
      </c>
      <c r="EL133" s="0" t="n">
        <v>0.16325821</v>
      </c>
      <c r="EM133" s="0" t="n">
        <v>0.14270172</v>
      </c>
      <c r="EN133" s="0" t="n">
        <v>0.17102934</v>
      </c>
      <c r="EO133" s="0" t="n">
        <v>0.25775533</v>
      </c>
      <c r="EP133" s="55" t="n">
        <f aca="false">SUMPRODUCT(B133:EO133,$B$5:$EO$5)</f>
        <v>0.066125528</v>
      </c>
      <c r="EQ133" s="55" t="n">
        <f aca="false">SUMIF('Mi portafolio'!$A$8:$A$19,$A133,'Mi portafolio'!$B$8:$B$19)</f>
        <v>0</v>
      </c>
    </row>
    <row r="134" customFormat="false" ht="15" hidden="false" customHeight="false" outlineLevel="0" collapsed="false">
      <c r="A134" s="54" t="s">
        <v>273</v>
      </c>
      <c r="B134" s="0" t="n">
        <v>0.00209805</v>
      </c>
      <c r="C134" s="0" t="n">
        <v>-0.01166729</v>
      </c>
      <c r="D134" s="0" t="n">
        <v>0.0159911</v>
      </c>
      <c r="E134" s="0" t="n">
        <v>0.00334653</v>
      </c>
      <c r="F134" s="0" t="n">
        <v>-0.00697185</v>
      </c>
      <c r="G134" s="0" t="n">
        <v>0.0053241</v>
      </c>
      <c r="H134" s="0" t="n">
        <v>0.00510969</v>
      </c>
      <c r="I134" s="0" t="n">
        <v>-0.00064487</v>
      </c>
      <c r="J134" s="0" t="n">
        <v>0.00044909</v>
      </c>
      <c r="K134" s="0" t="n">
        <v>-0.01206948</v>
      </c>
      <c r="L134" s="0" t="n">
        <v>0.01302081</v>
      </c>
      <c r="M134" s="0" t="n">
        <v>0.0132137</v>
      </c>
      <c r="N134" s="0" t="n">
        <v>0.01682118</v>
      </c>
      <c r="O134" s="0" t="n">
        <v>-0.01139309</v>
      </c>
      <c r="P134" s="0" t="n">
        <v>0.00119075</v>
      </c>
      <c r="Q134" s="0" t="n">
        <v>0.00647404</v>
      </c>
      <c r="R134" s="0" t="n">
        <v>-0.00730146</v>
      </c>
      <c r="S134" s="0" t="n">
        <v>0.00797906</v>
      </c>
      <c r="T134" s="0" t="n">
        <v>0.0158665</v>
      </c>
      <c r="U134" s="0" t="n">
        <v>0.00975423</v>
      </c>
      <c r="V134" s="0" t="n">
        <v>-0.01288164</v>
      </c>
      <c r="W134" s="0" t="n">
        <v>0.00337178</v>
      </c>
      <c r="X134" s="0" t="n">
        <v>0.01516301</v>
      </c>
      <c r="Y134" s="0" t="n">
        <v>0.01361917</v>
      </c>
      <c r="Z134" s="0" t="n">
        <v>0.00509594</v>
      </c>
      <c r="AA134" s="0" t="n">
        <v>0.00426169</v>
      </c>
      <c r="AB134" s="0" t="n">
        <v>0.01371675</v>
      </c>
      <c r="AC134" s="0" t="n">
        <v>-0.01106177</v>
      </c>
      <c r="AD134" s="0" t="n">
        <v>-0.00586418</v>
      </c>
      <c r="AE134" s="0" t="n">
        <v>-0.00505538</v>
      </c>
      <c r="AF134" s="0" t="n">
        <v>7.678E-005</v>
      </c>
      <c r="AG134" s="0" t="n">
        <v>-0.01312943</v>
      </c>
      <c r="AH134" s="0" t="n">
        <v>-0.00781438</v>
      </c>
      <c r="AI134" s="0" t="n">
        <v>0.00456666</v>
      </c>
      <c r="AJ134" s="0" t="n">
        <v>0.00637009</v>
      </c>
      <c r="AK134" s="0" t="n">
        <v>-0.01195982</v>
      </c>
      <c r="AL134" s="0" t="n">
        <v>0.02331147</v>
      </c>
      <c r="AM134" s="0" t="n">
        <v>0.02831926</v>
      </c>
      <c r="AN134" s="0" t="n">
        <v>0.00437077</v>
      </c>
      <c r="AO134" s="0" t="n">
        <v>-0.00206878</v>
      </c>
      <c r="AP134" s="0" t="n">
        <v>0.01546807</v>
      </c>
      <c r="AQ134" s="0" t="n">
        <v>-0.00681019</v>
      </c>
      <c r="AR134" s="0" t="n">
        <v>0.01859806</v>
      </c>
      <c r="AS134" s="0" t="n">
        <v>0.00507538</v>
      </c>
      <c r="AT134" s="0" t="n">
        <v>0.02414892</v>
      </c>
      <c r="AU134" s="0" t="n">
        <v>1.825E-005</v>
      </c>
      <c r="AV134" s="0" t="n">
        <v>0.00288664</v>
      </c>
      <c r="AW134" s="0" t="n">
        <v>0.00447036</v>
      </c>
      <c r="AX134" s="0" t="n">
        <v>0.00653495</v>
      </c>
      <c r="AY134" s="0" t="n">
        <v>0.00801138</v>
      </c>
      <c r="AZ134" s="0" t="n">
        <v>0.00256659</v>
      </c>
      <c r="BA134" s="0" t="n">
        <v>0.00016154</v>
      </c>
      <c r="BB134" s="0" t="n">
        <v>0.03474575</v>
      </c>
      <c r="BC134" s="0" t="n">
        <v>0.01093888</v>
      </c>
      <c r="BD134" s="0" t="n">
        <v>0.01162976</v>
      </c>
      <c r="BE134" s="0" t="n">
        <v>-0.00694945</v>
      </c>
      <c r="BF134" s="0" t="n">
        <v>0.012397</v>
      </c>
      <c r="BG134" s="0" t="n">
        <v>0.04572871</v>
      </c>
      <c r="BH134" s="0" t="n">
        <v>0.02237884</v>
      </c>
      <c r="BI134" s="0" t="n">
        <v>0.01637281</v>
      </c>
      <c r="BJ134" s="0" t="n">
        <v>-0.00504608</v>
      </c>
      <c r="BK134" s="0" t="n">
        <v>0.00923481</v>
      </c>
      <c r="BL134" s="0" t="n">
        <v>0.02487977</v>
      </c>
      <c r="BM134" s="0" t="n">
        <v>0.00603438</v>
      </c>
      <c r="BN134" s="0" t="n">
        <v>-0.01032448</v>
      </c>
      <c r="BO134" s="0" t="n">
        <v>0.03504138</v>
      </c>
      <c r="BP134" s="0" t="n">
        <v>0.07060814</v>
      </c>
      <c r="BQ134" s="0" t="n">
        <v>-0.00157821</v>
      </c>
      <c r="BR134" s="0" t="n">
        <v>0.03856521</v>
      </c>
      <c r="BS134" s="0" t="n">
        <v>0.01492891</v>
      </c>
      <c r="BT134" s="0" t="n">
        <v>0.00179709</v>
      </c>
      <c r="BU134" s="0" t="n">
        <v>0.0091441</v>
      </c>
      <c r="BV134" s="0" t="n">
        <v>0.04723954</v>
      </c>
      <c r="BW134" s="0" t="n">
        <v>0.04479884</v>
      </c>
      <c r="BX134" s="0" t="n">
        <v>0.03705431</v>
      </c>
      <c r="BY134" s="0" t="n">
        <v>0.01559443</v>
      </c>
      <c r="BZ134" s="0" t="n">
        <v>0.02819235</v>
      </c>
      <c r="CA134" s="0" t="n">
        <v>-0.00923563</v>
      </c>
      <c r="CB134" s="0" t="n">
        <v>-0.00302867</v>
      </c>
      <c r="CC134" s="0" t="n">
        <v>0.01765409</v>
      </c>
      <c r="CD134" s="0" t="n">
        <v>0.05496289</v>
      </c>
      <c r="CE134" s="0" t="n">
        <v>0.03443743</v>
      </c>
      <c r="CF134" s="0" t="n">
        <v>0.0219535</v>
      </c>
      <c r="CG134" s="0" t="n">
        <v>0.09506301</v>
      </c>
      <c r="CH134" s="0" t="n">
        <v>-0.00395601</v>
      </c>
      <c r="CI134" s="0" t="n">
        <v>0.01408603</v>
      </c>
      <c r="CJ134" s="0" t="n">
        <v>0.03271502</v>
      </c>
      <c r="CK134" s="0" t="n">
        <v>0.01784372</v>
      </c>
      <c r="CL134" s="0" t="n">
        <v>0.00491148</v>
      </c>
      <c r="CM134" s="0" t="n">
        <v>0.04954976</v>
      </c>
      <c r="CN134" s="0" t="n">
        <v>-0.00659337</v>
      </c>
      <c r="CO134" s="0" t="n">
        <v>0.01020832</v>
      </c>
      <c r="CP134" s="0" t="n">
        <v>0.07303183</v>
      </c>
      <c r="CQ134" s="0" t="n">
        <v>0.03521364</v>
      </c>
      <c r="CR134" s="0" t="n">
        <v>0.03415528</v>
      </c>
      <c r="CS134" s="0" t="n">
        <v>0.00309696</v>
      </c>
      <c r="CT134" s="0" t="n">
        <v>0.08154424</v>
      </c>
      <c r="CU134" s="0" t="n">
        <v>0.02680546</v>
      </c>
      <c r="CV134" s="0" t="n">
        <v>0.02235348</v>
      </c>
      <c r="CW134" s="0" t="n">
        <v>0.04515828</v>
      </c>
      <c r="CX134" s="0" t="n">
        <v>0.01942059</v>
      </c>
      <c r="CY134" s="0" t="n">
        <v>0.01029132</v>
      </c>
      <c r="CZ134" s="0" t="n">
        <v>0.14346713</v>
      </c>
      <c r="DA134" s="0" t="n">
        <v>0.06190385</v>
      </c>
      <c r="DB134" s="0" t="n">
        <v>0.06466007</v>
      </c>
      <c r="DC134" s="0" t="n">
        <v>0.01010573</v>
      </c>
      <c r="DD134" s="0" t="n">
        <v>0.09227581</v>
      </c>
      <c r="DE134" s="0" t="n">
        <v>0.01229078</v>
      </c>
      <c r="DF134" s="0" t="n">
        <v>0.15040938</v>
      </c>
      <c r="DG134" s="0" t="n">
        <v>0.01869852</v>
      </c>
      <c r="DH134" s="0" t="n">
        <v>0.04961452</v>
      </c>
      <c r="DI134" s="0" t="n">
        <v>0.03900985</v>
      </c>
      <c r="DJ134" s="0" t="n">
        <v>0.03893566</v>
      </c>
      <c r="DK134" s="0" t="n">
        <v>0.03676957</v>
      </c>
      <c r="DL134" s="0" t="n">
        <v>0.01107887</v>
      </c>
      <c r="DM134" s="0" t="n">
        <v>0.03237024</v>
      </c>
      <c r="DN134" s="0" t="n">
        <v>0.07720756</v>
      </c>
      <c r="DO134" s="0" t="n">
        <v>0.05826408</v>
      </c>
      <c r="DP134" s="0" t="n">
        <v>0.03604055</v>
      </c>
      <c r="DQ134" s="0" t="n">
        <v>0.05828113</v>
      </c>
      <c r="DR134" s="0" t="n">
        <v>0.0388665</v>
      </c>
      <c r="DS134" s="0" t="n">
        <v>0.08755024</v>
      </c>
      <c r="DT134" s="0" t="n">
        <v>0.12488958</v>
      </c>
      <c r="DU134" s="0" t="n">
        <v>0.0960403</v>
      </c>
      <c r="DV134" s="0" t="n">
        <v>0.14482811</v>
      </c>
      <c r="DW134" s="0" t="n">
        <v>0.13842958</v>
      </c>
      <c r="DX134" s="0" t="n">
        <v>0.03293007</v>
      </c>
      <c r="DY134" s="0" t="n">
        <v>0.09627704</v>
      </c>
      <c r="DZ134" s="0" t="n">
        <v>0.38218508</v>
      </c>
      <c r="EA134" s="0" t="n">
        <v>0.05353999</v>
      </c>
      <c r="EB134" s="0" t="n">
        <v>0.14384157</v>
      </c>
      <c r="EC134" s="0" t="n">
        <v>-0.00528803</v>
      </c>
      <c r="ED134" s="0" t="n">
        <v>0.07597481</v>
      </c>
      <c r="EE134" s="0" t="n">
        <v>0.03875961</v>
      </c>
      <c r="EF134" s="0" t="n">
        <v>0.0447964</v>
      </c>
      <c r="EG134" s="0" t="n">
        <v>0.04651623</v>
      </c>
      <c r="EH134" s="0" t="n">
        <v>0.12919243</v>
      </c>
      <c r="EI134" s="0" t="n">
        <v>0.04569124</v>
      </c>
      <c r="EJ134" s="0" t="n">
        <v>0.07175959</v>
      </c>
      <c r="EK134" s="0" t="n">
        <v>0.06954015</v>
      </c>
      <c r="EL134" s="0" t="n">
        <v>0.04874717</v>
      </c>
      <c r="EM134" s="0" t="n">
        <v>0.15789569</v>
      </c>
      <c r="EN134" s="0" t="n">
        <v>0.02531786</v>
      </c>
      <c r="EO134" s="0" t="n">
        <v>0.10940615</v>
      </c>
      <c r="EP134" s="55" t="n">
        <f aca="false">SUMPRODUCT(B134:EO134,$B$5:$EO$5)</f>
        <v>0.02875635</v>
      </c>
      <c r="EQ134" s="55" t="n">
        <f aca="false">SUMIF('Mi portafolio'!$A$8:$A$19,$A134,'Mi portafolio'!$B$8:$B$19)</f>
        <v>0</v>
      </c>
    </row>
    <row r="135" customFormat="false" ht="15" hidden="false" customHeight="false" outlineLevel="0" collapsed="false">
      <c r="A135" s="54" t="s">
        <v>274</v>
      </c>
      <c r="B135" s="0" t="n">
        <v>0.00019128</v>
      </c>
      <c r="C135" s="0" t="n">
        <v>0.00248178</v>
      </c>
      <c r="D135" s="0" t="n">
        <v>0.00606714</v>
      </c>
      <c r="E135" s="0" t="n">
        <v>0.00612084</v>
      </c>
      <c r="F135" s="0" t="n">
        <v>0.00169816</v>
      </c>
      <c r="G135" s="0" t="n">
        <v>0.00511627</v>
      </c>
      <c r="H135" s="0" t="n">
        <v>0.0133476</v>
      </c>
      <c r="I135" s="0" t="n">
        <v>0.01431021</v>
      </c>
      <c r="J135" s="0" t="n">
        <v>0.00287835</v>
      </c>
      <c r="K135" s="0" t="n">
        <v>0.0151927</v>
      </c>
      <c r="L135" s="0" t="n">
        <v>0.01601374</v>
      </c>
      <c r="M135" s="0" t="n">
        <v>0.0309905</v>
      </c>
      <c r="N135" s="0" t="n">
        <v>0.03211652</v>
      </c>
      <c r="O135" s="0" t="n">
        <v>0.00808634</v>
      </c>
      <c r="P135" s="0" t="n">
        <v>-0.01005129</v>
      </c>
      <c r="Q135" s="0" t="n">
        <v>0.00703748</v>
      </c>
      <c r="R135" s="0" t="n">
        <v>0.00084525</v>
      </c>
      <c r="S135" s="0" t="n">
        <v>0.00956436</v>
      </c>
      <c r="T135" s="0" t="n">
        <v>0.01973518</v>
      </c>
      <c r="U135" s="0" t="n">
        <v>0.01468782</v>
      </c>
      <c r="V135" s="0" t="n">
        <v>0.00901279</v>
      </c>
      <c r="W135" s="0" t="n">
        <v>0.00986564</v>
      </c>
      <c r="X135" s="0" t="n">
        <v>0.01421112</v>
      </c>
      <c r="Y135" s="0" t="n">
        <v>0.00993422</v>
      </c>
      <c r="Z135" s="0" t="n">
        <v>0.02527629</v>
      </c>
      <c r="AA135" s="0" t="n">
        <v>0.01030519</v>
      </c>
      <c r="AB135" s="0" t="n">
        <v>0.00482041</v>
      </c>
      <c r="AC135" s="0" t="n">
        <v>-0.01001694</v>
      </c>
      <c r="AD135" s="0" t="n">
        <v>0.01591471</v>
      </c>
      <c r="AE135" s="0" t="n">
        <v>0.02535736</v>
      </c>
      <c r="AF135" s="0" t="n">
        <v>0.02029761</v>
      </c>
      <c r="AG135" s="0" t="n">
        <v>-0.02841605</v>
      </c>
      <c r="AH135" s="0" t="n">
        <v>-0.02098532</v>
      </c>
      <c r="AI135" s="0" t="n">
        <v>-0.02826272</v>
      </c>
      <c r="AJ135" s="0" t="n">
        <v>0.03075335</v>
      </c>
      <c r="AK135" s="0" t="n">
        <v>0.01791799</v>
      </c>
      <c r="AL135" s="0" t="n">
        <v>0.03637403</v>
      </c>
      <c r="AM135" s="0" t="n">
        <v>0.00715759</v>
      </c>
      <c r="AN135" s="0" t="n">
        <v>0.0310637</v>
      </c>
      <c r="AO135" s="0" t="n">
        <v>0.01942091</v>
      </c>
      <c r="AP135" s="0" t="n">
        <v>0.04588883</v>
      </c>
      <c r="AQ135" s="0" t="n">
        <v>-0.03196921</v>
      </c>
      <c r="AR135" s="0" t="n">
        <v>0.0223974</v>
      </c>
      <c r="AS135" s="0" t="n">
        <v>0.01843669</v>
      </c>
      <c r="AT135" s="0" t="n">
        <v>0.04247</v>
      </c>
      <c r="AU135" s="0" t="n">
        <v>0.00262726</v>
      </c>
      <c r="AV135" s="0" t="n">
        <v>0.01721592</v>
      </c>
      <c r="AW135" s="0" t="n">
        <v>0.01462187</v>
      </c>
      <c r="AX135" s="0" t="n">
        <v>0.02165359</v>
      </c>
      <c r="AY135" s="0" t="n">
        <v>0.03734731</v>
      </c>
      <c r="AZ135" s="0" t="n">
        <v>0.03994387</v>
      </c>
      <c r="BA135" s="0" t="n">
        <v>0.0335694</v>
      </c>
      <c r="BB135" s="0" t="n">
        <v>0.0392307</v>
      </c>
      <c r="BC135" s="0" t="n">
        <v>0.0168702</v>
      </c>
      <c r="BD135" s="0" t="n">
        <v>0.02205973</v>
      </c>
      <c r="BE135" s="0" t="n">
        <v>0.02746889</v>
      </c>
      <c r="BF135" s="0" t="n">
        <v>0.01930048</v>
      </c>
      <c r="BG135" s="0" t="n">
        <v>0.04541787</v>
      </c>
      <c r="BH135" s="0" t="n">
        <v>0.02521527</v>
      </c>
      <c r="BI135" s="0" t="n">
        <v>-0.00435793</v>
      </c>
      <c r="BJ135" s="0" t="n">
        <v>0.01350981</v>
      </c>
      <c r="BK135" s="0" t="n">
        <v>0.04205525</v>
      </c>
      <c r="BL135" s="0" t="n">
        <v>0.06529288</v>
      </c>
      <c r="BM135" s="0" t="n">
        <v>0.01394889</v>
      </c>
      <c r="BN135" s="0" t="n">
        <v>0.0051035</v>
      </c>
      <c r="BO135" s="0" t="n">
        <v>0.04218451</v>
      </c>
      <c r="BP135" s="0" t="n">
        <v>0.02234867</v>
      </c>
      <c r="BQ135" s="0" t="n">
        <v>0.04103872</v>
      </c>
      <c r="BR135" s="0" t="n">
        <v>0.04048867</v>
      </c>
      <c r="BS135" s="0" t="n">
        <v>-0.03814726</v>
      </c>
      <c r="BT135" s="0" t="n">
        <v>0.05850841</v>
      </c>
      <c r="BU135" s="0" t="n">
        <v>0.02179622</v>
      </c>
      <c r="BV135" s="0" t="n">
        <v>0.02832529</v>
      </c>
      <c r="BW135" s="0" t="n">
        <v>0.02819473</v>
      </c>
      <c r="BX135" s="0" t="n">
        <v>0.0264896</v>
      </c>
      <c r="BY135" s="0" t="n">
        <v>0.04429022</v>
      </c>
      <c r="BZ135" s="0" t="n">
        <v>0.04085305</v>
      </c>
      <c r="CA135" s="0" t="n">
        <v>0.0235571</v>
      </c>
      <c r="CB135" s="0" t="n">
        <v>-0.01725138</v>
      </c>
      <c r="CC135" s="0" t="n">
        <v>0.01710741</v>
      </c>
      <c r="CD135" s="0" t="n">
        <v>0.06353817</v>
      </c>
      <c r="CE135" s="0" t="n">
        <v>0.0137592</v>
      </c>
      <c r="CF135" s="0" t="n">
        <v>-0.03409838</v>
      </c>
      <c r="CG135" s="0" t="n">
        <v>0.07435657</v>
      </c>
      <c r="CH135" s="0" t="n">
        <v>0.07700342</v>
      </c>
      <c r="CI135" s="0" t="n">
        <v>-0.02983922</v>
      </c>
      <c r="CJ135" s="0" t="n">
        <v>0.00504862</v>
      </c>
      <c r="CK135" s="0" t="n">
        <v>0.05735436</v>
      </c>
      <c r="CL135" s="0" t="n">
        <v>0.05477784</v>
      </c>
      <c r="CM135" s="0" t="n">
        <v>0.03589099</v>
      </c>
      <c r="CN135" s="0" t="n">
        <v>0.01229924</v>
      </c>
      <c r="CO135" s="0" t="n">
        <v>0.04728793</v>
      </c>
      <c r="CP135" s="0" t="n">
        <v>0.04539087</v>
      </c>
      <c r="CQ135" s="0" t="n">
        <v>0.06831304</v>
      </c>
      <c r="CR135" s="0" t="n">
        <v>0.06423922</v>
      </c>
      <c r="CS135" s="0" t="n">
        <v>0.05630705</v>
      </c>
      <c r="CT135" s="0" t="n">
        <v>0.06174866</v>
      </c>
      <c r="CU135" s="0" t="n">
        <v>0.05481639</v>
      </c>
      <c r="CV135" s="0" t="n">
        <v>0.05757625</v>
      </c>
      <c r="CW135" s="0" t="n">
        <v>0.05447739</v>
      </c>
      <c r="CX135" s="0" t="n">
        <v>0.05990689</v>
      </c>
      <c r="CY135" s="0" t="n">
        <v>0.06763123</v>
      </c>
      <c r="CZ135" s="0" t="n">
        <v>0.00185135</v>
      </c>
      <c r="DA135" s="0" t="n">
        <v>0.03987038</v>
      </c>
      <c r="DB135" s="0" t="n">
        <v>0.06905586</v>
      </c>
      <c r="DC135" s="0" t="n">
        <v>0.06368461</v>
      </c>
      <c r="DD135" s="0" t="n">
        <v>0.0724031</v>
      </c>
      <c r="DE135" s="0" t="n">
        <v>0.08646575</v>
      </c>
      <c r="DF135" s="0" t="n">
        <v>0.01836772</v>
      </c>
      <c r="DG135" s="0" t="n">
        <v>0.08609274</v>
      </c>
      <c r="DH135" s="0" t="n">
        <v>0.05725781</v>
      </c>
      <c r="DI135" s="0" t="n">
        <v>0.08578504</v>
      </c>
      <c r="DJ135" s="0" t="n">
        <v>0.07428231</v>
      </c>
      <c r="DK135" s="0" t="n">
        <v>0.09284522</v>
      </c>
      <c r="DL135" s="0" t="n">
        <v>0.07288001</v>
      </c>
      <c r="DM135" s="0" t="n">
        <v>0.08413315</v>
      </c>
      <c r="DN135" s="0" t="n">
        <v>0.06511402</v>
      </c>
      <c r="DO135" s="0" t="n">
        <v>0.06090926</v>
      </c>
      <c r="DP135" s="0" t="n">
        <v>0.0901907</v>
      </c>
      <c r="DQ135" s="0" t="n">
        <v>0.02807055</v>
      </c>
      <c r="DR135" s="0" t="n">
        <v>0.07197827</v>
      </c>
      <c r="DS135" s="0" t="n">
        <v>0.03232658</v>
      </c>
      <c r="DT135" s="0" t="n">
        <v>0.07702673</v>
      </c>
      <c r="DU135" s="0" t="n">
        <v>0.10127395</v>
      </c>
      <c r="DV135" s="0" t="n">
        <v>0.05946915</v>
      </c>
      <c r="DW135" s="0" t="n">
        <v>0.09186551</v>
      </c>
      <c r="DX135" s="0" t="n">
        <v>0.07399916</v>
      </c>
      <c r="DY135" s="0" t="n">
        <v>0.11038247</v>
      </c>
      <c r="DZ135" s="0" t="n">
        <v>0.05353999</v>
      </c>
      <c r="EA135" s="0" t="n">
        <v>0.43475022</v>
      </c>
      <c r="EB135" s="0" t="n">
        <v>0.14397004</v>
      </c>
      <c r="EC135" s="0" t="n">
        <v>0.04401739</v>
      </c>
      <c r="ED135" s="0" t="n">
        <v>0.10627368</v>
      </c>
      <c r="EE135" s="0" t="n">
        <v>0.12958455</v>
      </c>
      <c r="EF135" s="0" t="n">
        <v>0.10498464</v>
      </c>
      <c r="EG135" s="0" t="n">
        <v>0.11687742</v>
      </c>
      <c r="EH135" s="0" t="n">
        <v>0.03135895</v>
      </c>
      <c r="EI135" s="0" t="n">
        <v>0.12592497</v>
      </c>
      <c r="EJ135" s="0" t="n">
        <v>0.17793514</v>
      </c>
      <c r="EK135" s="0" t="n">
        <v>0.13744845</v>
      </c>
      <c r="EL135" s="0" t="n">
        <v>0.16372249</v>
      </c>
      <c r="EM135" s="0" t="n">
        <v>0.19859261</v>
      </c>
      <c r="EN135" s="0" t="n">
        <v>0.38876057</v>
      </c>
      <c r="EO135" s="0" t="n">
        <v>0.1102971</v>
      </c>
      <c r="EP135" s="55" t="n">
        <f aca="false">SUMPRODUCT(B135:EO135,$B$5:$EO$5)</f>
        <v>0.057308064</v>
      </c>
      <c r="EQ135" s="55" t="n">
        <f aca="false">SUMIF('Mi portafolio'!$A$8:$A$19,$A135,'Mi portafolio'!$B$8:$B$19)</f>
        <v>0</v>
      </c>
    </row>
    <row r="136" customFormat="false" ht="15" hidden="false" customHeight="false" outlineLevel="0" collapsed="false">
      <c r="A136" s="54" t="s">
        <v>275</v>
      </c>
      <c r="B136" s="0" t="n">
        <v>0.00553558</v>
      </c>
      <c r="C136" s="0" t="n">
        <v>-0.00901807</v>
      </c>
      <c r="D136" s="0" t="n">
        <v>0.00690536</v>
      </c>
      <c r="E136" s="0" t="n">
        <v>0.01546898</v>
      </c>
      <c r="F136" s="0" t="n">
        <v>-0.00762956</v>
      </c>
      <c r="G136" s="0" t="n">
        <v>0.00251396</v>
      </c>
      <c r="H136" s="0" t="n">
        <v>-0.00098844</v>
      </c>
      <c r="I136" s="0" t="n">
        <v>0.01256741</v>
      </c>
      <c r="J136" s="0" t="n">
        <v>-0.00911566</v>
      </c>
      <c r="K136" s="0" t="n">
        <v>-0.00071521</v>
      </c>
      <c r="L136" s="0" t="n">
        <v>0.00476632</v>
      </c>
      <c r="M136" s="0" t="n">
        <v>0.052568</v>
      </c>
      <c r="N136" s="0" t="n">
        <v>0.02445371</v>
      </c>
      <c r="O136" s="0" t="n">
        <v>0.00107013</v>
      </c>
      <c r="P136" s="0" t="n">
        <v>0.00010578</v>
      </c>
      <c r="Q136" s="0" t="n">
        <v>0.00557614</v>
      </c>
      <c r="R136" s="0" t="n">
        <v>-0.00247942</v>
      </c>
      <c r="S136" s="0" t="n">
        <v>-0.00053739</v>
      </c>
      <c r="T136" s="0" t="n">
        <v>0.05577184</v>
      </c>
      <c r="U136" s="0" t="n">
        <v>0.02821807</v>
      </c>
      <c r="V136" s="0" t="n">
        <v>0.00818056</v>
      </c>
      <c r="W136" s="0" t="n">
        <v>0.00677125</v>
      </c>
      <c r="X136" s="0" t="n">
        <v>0.04763378</v>
      </c>
      <c r="Y136" s="0" t="n">
        <v>0.03625402</v>
      </c>
      <c r="Z136" s="0" t="n">
        <v>0.02251753</v>
      </c>
      <c r="AA136" s="0" t="n">
        <v>-0.0012219</v>
      </c>
      <c r="AB136" s="0" t="n">
        <v>0.03859258</v>
      </c>
      <c r="AC136" s="0" t="n">
        <v>0.00590923</v>
      </c>
      <c r="AD136" s="0" t="n">
        <v>-0.00016083</v>
      </c>
      <c r="AE136" s="0" t="n">
        <v>0.02293098</v>
      </c>
      <c r="AF136" s="0" t="n">
        <v>0.01359827</v>
      </c>
      <c r="AG136" s="0" t="n">
        <v>-0.01480874</v>
      </c>
      <c r="AH136" s="0" t="n">
        <v>-0.01781802</v>
      </c>
      <c r="AI136" s="0" t="n">
        <v>-0.01842082</v>
      </c>
      <c r="AJ136" s="0" t="n">
        <v>-0.00152925</v>
      </c>
      <c r="AK136" s="0" t="n">
        <v>0.01932736</v>
      </c>
      <c r="AL136" s="0" t="n">
        <v>0.04441141</v>
      </c>
      <c r="AM136" s="0" t="n">
        <v>0.03666689</v>
      </c>
      <c r="AN136" s="0" t="n">
        <v>0.05558478</v>
      </c>
      <c r="AO136" s="0" t="n">
        <v>1.167E-005</v>
      </c>
      <c r="AP136" s="0" t="n">
        <v>0.05537595</v>
      </c>
      <c r="AQ136" s="0" t="n">
        <v>-0.02378113</v>
      </c>
      <c r="AR136" s="0" t="n">
        <v>0.05902522</v>
      </c>
      <c r="AS136" s="0" t="n">
        <v>0.01831557</v>
      </c>
      <c r="AT136" s="0" t="n">
        <v>0.09485423</v>
      </c>
      <c r="AU136" s="0" t="n">
        <v>-0.00139941</v>
      </c>
      <c r="AV136" s="0" t="n">
        <v>0.02855402</v>
      </c>
      <c r="AW136" s="0" t="n">
        <v>0.01863023</v>
      </c>
      <c r="AX136" s="0" t="n">
        <v>0.01902281</v>
      </c>
      <c r="AY136" s="0" t="n">
        <v>0.03856772</v>
      </c>
      <c r="AZ136" s="0" t="n">
        <v>0.02773271</v>
      </c>
      <c r="BA136" s="0" t="n">
        <v>0.04450809</v>
      </c>
      <c r="BB136" s="0" t="n">
        <v>0.10220611</v>
      </c>
      <c r="BC136" s="0" t="n">
        <v>0.01175856</v>
      </c>
      <c r="BD136" s="0" t="n">
        <v>0.00933885</v>
      </c>
      <c r="BE136" s="0" t="n">
        <v>0.02358014</v>
      </c>
      <c r="BF136" s="0" t="n">
        <v>0.02637755</v>
      </c>
      <c r="BG136" s="0" t="n">
        <v>0.07761995</v>
      </c>
      <c r="BH136" s="0" t="n">
        <v>0.02748712</v>
      </c>
      <c r="BI136" s="0" t="n">
        <v>0.0293733</v>
      </c>
      <c r="BJ136" s="0" t="n">
        <v>-0.0130006</v>
      </c>
      <c r="BK136" s="0" t="n">
        <v>0.03721751</v>
      </c>
      <c r="BL136" s="0" t="n">
        <v>0.03621721</v>
      </c>
      <c r="BM136" s="0" t="n">
        <v>0.05522553</v>
      </c>
      <c r="BN136" s="0" t="n">
        <v>-0.00817161</v>
      </c>
      <c r="BO136" s="0" t="n">
        <v>0.06523958</v>
      </c>
      <c r="BP136" s="0" t="n">
        <v>0.08008146</v>
      </c>
      <c r="BQ136" s="0" t="n">
        <v>0.03251547</v>
      </c>
      <c r="BR136" s="0" t="n">
        <v>0.07270235</v>
      </c>
      <c r="BS136" s="0" t="n">
        <v>-0.0207635</v>
      </c>
      <c r="BT136" s="0" t="n">
        <v>0.06622675</v>
      </c>
      <c r="BU136" s="0" t="n">
        <v>0.0340494</v>
      </c>
      <c r="BV136" s="0" t="n">
        <v>0.08708254</v>
      </c>
      <c r="BW136" s="0" t="n">
        <v>0.05556468</v>
      </c>
      <c r="BX136" s="0" t="n">
        <v>0.0276052</v>
      </c>
      <c r="BY136" s="0" t="n">
        <v>0.07552707</v>
      </c>
      <c r="BZ136" s="0" t="n">
        <v>0.08398822</v>
      </c>
      <c r="CA136" s="0" t="n">
        <v>0.02142956</v>
      </c>
      <c r="CB136" s="0" t="n">
        <v>0.00347728</v>
      </c>
      <c r="CC136" s="0" t="n">
        <v>0.03385032</v>
      </c>
      <c r="CD136" s="0" t="n">
        <v>0.07491005</v>
      </c>
      <c r="CE136" s="0" t="n">
        <v>0.06403745</v>
      </c>
      <c r="CF136" s="0" t="n">
        <v>-0.01642288</v>
      </c>
      <c r="CG136" s="0" t="n">
        <v>0.10434557</v>
      </c>
      <c r="CH136" s="0" t="n">
        <v>0.03617463</v>
      </c>
      <c r="CI136" s="0" t="n">
        <v>-0.02753111</v>
      </c>
      <c r="CJ136" s="0" t="n">
        <v>0.04569676</v>
      </c>
      <c r="CK136" s="0" t="n">
        <v>0.0722847</v>
      </c>
      <c r="CL136" s="0" t="n">
        <v>0.07107053</v>
      </c>
      <c r="CM136" s="0" t="n">
        <v>0.08600874</v>
      </c>
      <c r="CN136" s="0" t="n">
        <v>0.01569108</v>
      </c>
      <c r="CO136" s="0" t="n">
        <v>0.03461506</v>
      </c>
      <c r="CP136" s="0" t="n">
        <v>0.0552393</v>
      </c>
      <c r="CQ136" s="0" t="n">
        <v>0.13278058</v>
      </c>
      <c r="CR136" s="0" t="n">
        <v>0.09052941</v>
      </c>
      <c r="CS136" s="0" t="n">
        <v>0.06392392</v>
      </c>
      <c r="CT136" s="0" t="n">
        <v>0.10210902</v>
      </c>
      <c r="CU136" s="0" t="n">
        <v>0.03900318</v>
      </c>
      <c r="CV136" s="0" t="n">
        <v>0.08604836</v>
      </c>
      <c r="CW136" s="0" t="n">
        <v>0.10729439</v>
      </c>
      <c r="CX136" s="0" t="n">
        <v>0.11682442</v>
      </c>
      <c r="CY136" s="0" t="n">
        <v>0.11045796</v>
      </c>
      <c r="CZ136" s="0" t="n">
        <v>0.08876781</v>
      </c>
      <c r="DA136" s="0" t="n">
        <v>0.09438114</v>
      </c>
      <c r="DB136" s="0" t="n">
        <v>0.1261</v>
      </c>
      <c r="DC136" s="0" t="n">
        <v>0.08205259</v>
      </c>
      <c r="DD136" s="0" t="n">
        <v>0.17170601</v>
      </c>
      <c r="DE136" s="0" t="n">
        <v>0.09781401</v>
      </c>
      <c r="DF136" s="0" t="n">
        <v>0.09537321</v>
      </c>
      <c r="DG136" s="0" t="n">
        <v>0.07804703</v>
      </c>
      <c r="DH136" s="0" t="n">
        <v>0.09369658</v>
      </c>
      <c r="DI136" s="0" t="n">
        <v>0.14482821</v>
      </c>
      <c r="DJ136" s="0" t="n">
        <v>0.11998103</v>
      </c>
      <c r="DK136" s="0" t="n">
        <v>0.15114697</v>
      </c>
      <c r="DL136" s="0" t="n">
        <v>0.00797368</v>
      </c>
      <c r="DM136" s="0" t="n">
        <v>0.13590385</v>
      </c>
      <c r="DN136" s="0" t="n">
        <v>0.12575595</v>
      </c>
      <c r="DO136" s="0" t="n">
        <v>0.09495461</v>
      </c>
      <c r="DP136" s="0" t="n">
        <v>0.14643228</v>
      </c>
      <c r="DQ136" s="0" t="n">
        <v>0.09484543</v>
      </c>
      <c r="DR136" s="0" t="n">
        <v>0.08149305</v>
      </c>
      <c r="DS136" s="0" t="n">
        <v>0.15371906</v>
      </c>
      <c r="DT136" s="0" t="n">
        <v>0.14478584</v>
      </c>
      <c r="DU136" s="0" t="n">
        <v>0.26490353</v>
      </c>
      <c r="DV136" s="0" t="n">
        <v>0.17680789</v>
      </c>
      <c r="DW136" s="0" t="n">
        <v>0.20963377</v>
      </c>
      <c r="DX136" s="0" t="n">
        <v>0.10721164</v>
      </c>
      <c r="DY136" s="0" t="n">
        <v>0.29403614</v>
      </c>
      <c r="DZ136" s="0" t="n">
        <v>0.14384157</v>
      </c>
      <c r="EA136" s="0" t="n">
        <v>0.14397004</v>
      </c>
      <c r="EB136" s="0" t="n">
        <v>0.44161192</v>
      </c>
      <c r="EC136" s="0" t="n">
        <v>0.02877512</v>
      </c>
      <c r="ED136" s="0" t="n">
        <v>0.13659478</v>
      </c>
      <c r="EE136" s="0" t="n">
        <v>0.12473619</v>
      </c>
      <c r="EF136" s="0" t="n">
        <v>0.12111237</v>
      </c>
      <c r="EG136" s="0" t="n">
        <v>0.10260996</v>
      </c>
      <c r="EH136" s="0" t="n">
        <v>0.19004461</v>
      </c>
      <c r="EI136" s="0" t="n">
        <v>0.09847592</v>
      </c>
      <c r="EJ136" s="0" t="n">
        <v>0.18729728</v>
      </c>
      <c r="EK136" s="0" t="n">
        <v>0.22994164</v>
      </c>
      <c r="EL136" s="0" t="n">
        <v>0.21004231</v>
      </c>
      <c r="EM136" s="0" t="n">
        <v>0.2272774</v>
      </c>
      <c r="EN136" s="0" t="n">
        <v>0.21161538</v>
      </c>
      <c r="EO136" s="0" t="n">
        <v>0.31284175</v>
      </c>
      <c r="EP136" s="55" t="n">
        <f aca="false">SUMPRODUCT(B136:EO136,$B$5:$EO$5)</f>
        <v>0.070745252</v>
      </c>
      <c r="EQ136" s="55" t="n">
        <f aca="false">SUMIF('Mi portafolio'!$A$8:$A$19,$A136,'Mi portafolio'!$B$8:$B$19)</f>
        <v>0</v>
      </c>
    </row>
    <row r="137" customFormat="false" ht="15" hidden="false" customHeight="false" outlineLevel="0" collapsed="false">
      <c r="A137" s="54" t="s">
        <v>276</v>
      </c>
      <c r="B137" s="0" t="n">
        <v>-0.01282979</v>
      </c>
      <c r="C137" s="0" t="n">
        <v>0.0040421</v>
      </c>
      <c r="D137" s="0" t="n">
        <v>-0.00026084</v>
      </c>
      <c r="E137" s="0" t="n">
        <v>0.01150355</v>
      </c>
      <c r="F137" s="0" t="n">
        <v>-0.01731597</v>
      </c>
      <c r="G137" s="0" t="n">
        <v>0.02025952</v>
      </c>
      <c r="H137" s="0" t="n">
        <v>0.00539968</v>
      </c>
      <c r="I137" s="0" t="n">
        <v>-0.01129311</v>
      </c>
      <c r="J137" s="0" t="n">
        <v>0.00401406</v>
      </c>
      <c r="K137" s="0" t="n">
        <v>-0.01928214</v>
      </c>
      <c r="L137" s="0" t="n">
        <v>0.00457626</v>
      </c>
      <c r="M137" s="0" t="n">
        <v>0.00674971</v>
      </c>
      <c r="N137" s="0" t="n">
        <v>-0.00946217</v>
      </c>
      <c r="O137" s="0" t="n">
        <v>0.00221067</v>
      </c>
      <c r="P137" s="0" t="n">
        <v>-0.02083531</v>
      </c>
      <c r="Q137" s="0" t="n">
        <v>0.00742845</v>
      </c>
      <c r="R137" s="0" t="n">
        <v>-0.0174137</v>
      </c>
      <c r="S137" s="0" t="n">
        <v>0.01253541</v>
      </c>
      <c r="T137" s="0" t="n">
        <v>0.00803402</v>
      </c>
      <c r="U137" s="0" t="n">
        <v>0.01732562</v>
      </c>
      <c r="V137" s="0" t="n">
        <v>0.024331</v>
      </c>
      <c r="W137" s="0" t="n">
        <v>-0.00285491</v>
      </c>
      <c r="X137" s="0" t="n">
        <v>0.01106627</v>
      </c>
      <c r="Y137" s="0" t="n">
        <v>0.00539067</v>
      </c>
      <c r="Z137" s="0" t="n">
        <v>0.01471199</v>
      </c>
      <c r="AA137" s="0" t="n">
        <v>0.00365291</v>
      </c>
      <c r="AB137" s="0" t="n">
        <v>0.00252141</v>
      </c>
      <c r="AC137" s="0" t="n">
        <v>0.02334425</v>
      </c>
      <c r="AD137" s="0" t="n">
        <v>0.00716054</v>
      </c>
      <c r="AE137" s="0" t="n">
        <v>0.02121983</v>
      </c>
      <c r="AF137" s="0" t="n">
        <v>0.02161746</v>
      </c>
      <c r="AG137" s="0" t="n">
        <v>-0.02610611</v>
      </c>
      <c r="AH137" s="0" t="n">
        <v>-0.04141651</v>
      </c>
      <c r="AI137" s="0" t="n">
        <v>-0.0214708</v>
      </c>
      <c r="AJ137" s="0" t="n">
        <v>0.00431305</v>
      </c>
      <c r="AK137" s="0" t="n">
        <v>0.03878847</v>
      </c>
      <c r="AL137" s="0" t="n">
        <v>0.00036207</v>
      </c>
      <c r="AM137" s="0" t="n">
        <v>0.0069641</v>
      </c>
      <c r="AN137" s="0" t="n">
        <v>-0.00831337</v>
      </c>
      <c r="AO137" s="0" t="n">
        <v>-0.0073764</v>
      </c>
      <c r="AP137" s="0" t="n">
        <v>-0.00104663</v>
      </c>
      <c r="AQ137" s="0" t="n">
        <v>-0.00015838</v>
      </c>
      <c r="AR137" s="0" t="n">
        <v>0.00070475</v>
      </c>
      <c r="AS137" s="0" t="n">
        <v>0.02806572</v>
      </c>
      <c r="AT137" s="0" t="n">
        <v>0.00468849</v>
      </c>
      <c r="AU137" s="0" t="n">
        <v>-0.01883344</v>
      </c>
      <c r="AV137" s="0" t="n">
        <v>0.00706505</v>
      </c>
      <c r="AW137" s="0" t="n">
        <v>0.03254571</v>
      </c>
      <c r="AX137" s="0" t="n">
        <v>-0.02403619</v>
      </c>
      <c r="AY137" s="0" t="n">
        <v>-0.00598037</v>
      </c>
      <c r="AZ137" s="0" t="n">
        <v>0.0187689</v>
      </c>
      <c r="BA137" s="0" t="n">
        <v>0.00025158</v>
      </c>
      <c r="BB137" s="0" t="n">
        <v>0.02137289</v>
      </c>
      <c r="BC137" s="0" t="n">
        <v>0.00523634</v>
      </c>
      <c r="BD137" s="0" t="n">
        <v>0.01972637</v>
      </c>
      <c r="BE137" s="0" t="n">
        <v>-0.00435879</v>
      </c>
      <c r="BF137" s="0" t="n">
        <v>0.01784167</v>
      </c>
      <c r="BG137" s="0" t="n">
        <v>-0.00821228</v>
      </c>
      <c r="BH137" s="0" t="n">
        <v>0.00648074</v>
      </c>
      <c r="BI137" s="0" t="n">
        <v>0.00697673</v>
      </c>
      <c r="BJ137" s="0" t="n">
        <v>-0.00651959</v>
      </c>
      <c r="BK137" s="0" t="n">
        <v>0.00530315</v>
      </c>
      <c r="BL137" s="0" t="n">
        <v>0.03085958</v>
      </c>
      <c r="BM137" s="0" t="n">
        <v>-0.03314263</v>
      </c>
      <c r="BN137" s="0" t="n">
        <v>-0.00256924</v>
      </c>
      <c r="BO137" s="0" t="n">
        <v>-0.00533275</v>
      </c>
      <c r="BP137" s="0" t="n">
        <v>-0.00657167</v>
      </c>
      <c r="BQ137" s="0" t="n">
        <v>0.03790976</v>
      </c>
      <c r="BR137" s="0" t="n">
        <v>-0.00143994</v>
      </c>
      <c r="BS137" s="0" t="n">
        <v>-0.01713625</v>
      </c>
      <c r="BT137" s="0" t="n">
        <v>0.01553429</v>
      </c>
      <c r="BU137" s="0" t="n">
        <v>0.02003083</v>
      </c>
      <c r="BV137" s="0" t="n">
        <v>-0.0097209</v>
      </c>
      <c r="BW137" s="0" t="n">
        <v>0.00425624</v>
      </c>
      <c r="BX137" s="0" t="n">
        <v>-0.00809124</v>
      </c>
      <c r="BY137" s="0" t="n">
        <v>0.0049274</v>
      </c>
      <c r="BZ137" s="0" t="n">
        <v>-0.00576423</v>
      </c>
      <c r="CA137" s="0" t="n">
        <v>0.01024426</v>
      </c>
      <c r="CB137" s="0" t="n">
        <v>-0.03376935</v>
      </c>
      <c r="CC137" s="0" t="n">
        <v>0.01254628</v>
      </c>
      <c r="CD137" s="0" t="n">
        <v>-0.00466072</v>
      </c>
      <c r="CE137" s="0" t="n">
        <v>0.02160909</v>
      </c>
      <c r="CF137" s="0" t="n">
        <v>-0.02194974</v>
      </c>
      <c r="CG137" s="0" t="n">
        <v>-0.00071982</v>
      </c>
      <c r="CH137" s="0" t="n">
        <v>0.07249409</v>
      </c>
      <c r="CI137" s="0" t="n">
        <v>-0.01162793</v>
      </c>
      <c r="CJ137" s="0" t="n">
        <v>-0.00839643</v>
      </c>
      <c r="CK137" s="0" t="n">
        <v>-0.01003961</v>
      </c>
      <c r="CL137" s="0" t="n">
        <v>0.01224501</v>
      </c>
      <c r="CM137" s="0" t="n">
        <v>0.02960425</v>
      </c>
      <c r="CN137" s="0" t="n">
        <v>-0.00177081</v>
      </c>
      <c r="CO137" s="0" t="n">
        <v>0.01158713</v>
      </c>
      <c r="CP137" s="0" t="n">
        <v>-0.01121266</v>
      </c>
      <c r="CQ137" s="0" t="n">
        <v>-0.00141903</v>
      </c>
      <c r="CR137" s="0" t="n">
        <v>0.03935359</v>
      </c>
      <c r="CS137" s="0" t="n">
        <v>0.04028788</v>
      </c>
      <c r="CT137" s="0" t="n">
        <v>0.03738431</v>
      </c>
      <c r="CU137" s="0" t="n">
        <v>0.03669477</v>
      </c>
      <c r="CV137" s="0" t="n">
        <v>0.01814813</v>
      </c>
      <c r="CW137" s="0" t="n">
        <v>0.01079543</v>
      </c>
      <c r="CX137" s="0" t="n">
        <v>0.04724766</v>
      </c>
      <c r="CY137" s="0" t="n">
        <v>0.01913124</v>
      </c>
      <c r="CZ137" s="0" t="n">
        <v>-0.0031064</v>
      </c>
      <c r="DA137" s="0" t="n">
        <v>-0.00477242</v>
      </c>
      <c r="DB137" s="0" t="n">
        <v>0.02113051</v>
      </c>
      <c r="DC137" s="0" t="n">
        <v>0.00715042</v>
      </c>
      <c r="DD137" s="0" t="n">
        <v>0.02029761</v>
      </c>
      <c r="DE137" s="0" t="n">
        <v>0.08800135</v>
      </c>
      <c r="DF137" s="0" t="n">
        <v>-0.03382897</v>
      </c>
      <c r="DG137" s="0" t="n">
        <v>0.09666534</v>
      </c>
      <c r="DH137" s="0" t="n">
        <v>0.01484671</v>
      </c>
      <c r="DI137" s="0" t="n">
        <v>-0.00206525</v>
      </c>
      <c r="DJ137" s="0" t="n">
        <v>0.0242197</v>
      </c>
      <c r="DK137" s="0" t="n">
        <v>0.01608347</v>
      </c>
      <c r="DL137" s="0" t="n">
        <v>0.1055235</v>
      </c>
      <c r="DM137" s="0" t="n">
        <v>0.02258958</v>
      </c>
      <c r="DN137" s="0" t="n">
        <v>-0.02095573</v>
      </c>
      <c r="DO137" s="0" t="n">
        <v>0.01360409</v>
      </c>
      <c r="DP137" s="0" t="n">
        <v>0.0056004</v>
      </c>
      <c r="DQ137" s="0" t="n">
        <v>0.02367648</v>
      </c>
      <c r="DR137" s="0" t="n">
        <v>0.06807797</v>
      </c>
      <c r="DS137" s="0" t="n">
        <v>-0.03379102</v>
      </c>
      <c r="DT137" s="0" t="n">
        <v>0.03756374</v>
      </c>
      <c r="DU137" s="0" t="n">
        <v>0.01936969</v>
      </c>
      <c r="DV137" s="0" t="n">
        <v>-0.01584889</v>
      </c>
      <c r="DW137" s="0" t="n">
        <v>0.02035891</v>
      </c>
      <c r="DX137" s="0" t="n">
        <v>0.0622609</v>
      </c>
      <c r="DY137" s="0" t="n">
        <v>-0.00486036</v>
      </c>
      <c r="DZ137" s="0" t="n">
        <v>-0.00528803</v>
      </c>
      <c r="EA137" s="0" t="n">
        <v>0.04401739</v>
      </c>
      <c r="EB137" s="0" t="n">
        <v>0.02877512</v>
      </c>
      <c r="EC137" s="0" t="n">
        <v>0.43214838</v>
      </c>
      <c r="ED137" s="0" t="n">
        <v>0.04247384</v>
      </c>
      <c r="EE137" s="0" t="n">
        <v>0.0719151</v>
      </c>
      <c r="EF137" s="0" t="n">
        <v>0.03971296</v>
      </c>
      <c r="EG137" s="0" t="n">
        <v>0.10411423</v>
      </c>
      <c r="EH137" s="0" t="n">
        <v>-0.00622171</v>
      </c>
      <c r="EI137" s="0" t="n">
        <v>0.08570483</v>
      </c>
      <c r="EJ137" s="0" t="n">
        <v>0.0653112</v>
      </c>
      <c r="EK137" s="0" t="n">
        <v>0.09683114</v>
      </c>
      <c r="EL137" s="0" t="n">
        <v>0.11689083</v>
      </c>
      <c r="EM137" s="0" t="n">
        <v>0.00064981</v>
      </c>
      <c r="EN137" s="0" t="n">
        <v>0.03408774</v>
      </c>
      <c r="EO137" s="0" t="n">
        <v>0.03348251</v>
      </c>
      <c r="EP137" s="55" t="n">
        <f aca="false">SUMPRODUCT(B137:EO137,$B$5:$EO$5)</f>
        <v>0.028209664</v>
      </c>
      <c r="EQ137" s="55" t="n">
        <f aca="false">SUMIF('Mi portafolio'!$A$8:$A$19,$A137,'Mi portafolio'!$B$8:$B$19)</f>
        <v>0</v>
      </c>
    </row>
    <row r="138" customFormat="false" ht="15" hidden="false" customHeight="false" outlineLevel="0" collapsed="false">
      <c r="A138" s="54" t="s">
        <v>277</v>
      </c>
      <c r="B138" s="0" t="n">
        <v>0.00603948</v>
      </c>
      <c r="C138" s="0" t="n">
        <v>0.01577662</v>
      </c>
      <c r="D138" s="0" t="n">
        <v>0.01353387</v>
      </c>
      <c r="E138" s="0" t="n">
        <v>0.02591968</v>
      </c>
      <c r="F138" s="0" t="n">
        <v>-0.00388905</v>
      </c>
      <c r="G138" s="0" t="n">
        <v>0.01004484</v>
      </c>
      <c r="H138" s="0" t="n">
        <v>0.032012</v>
      </c>
      <c r="I138" s="0" t="n">
        <v>0.01432567</v>
      </c>
      <c r="J138" s="0" t="n">
        <v>-0.00904521</v>
      </c>
      <c r="K138" s="0" t="n">
        <v>-0.0103679</v>
      </c>
      <c r="L138" s="0" t="n">
        <v>0.01080112</v>
      </c>
      <c r="M138" s="0" t="n">
        <v>0.04443664</v>
      </c>
      <c r="N138" s="0" t="n">
        <v>0.03576149</v>
      </c>
      <c r="O138" s="0" t="n">
        <v>0.01383168</v>
      </c>
      <c r="P138" s="0" t="n">
        <v>-0.00695483</v>
      </c>
      <c r="Q138" s="0" t="n">
        <v>-0.01337054</v>
      </c>
      <c r="R138" s="0" t="n">
        <v>-0.00190704</v>
      </c>
      <c r="S138" s="0" t="n">
        <v>0.00770863</v>
      </c>
      <c r="T138" s="0" t="n">
        <v>0.03005703</v>
      </c>
      <c r="U138" s="0" t="n">
        <v>0.03356483</v>
      </c>
      <c r="V138" s="0" t="n">
        <v>0.02541067</v>
      </c>
      <c r="W138" s="0" t="n">
        <v>0.02323436</v>
      </c>
      <c r="X138" s="0" t="n">
        <v>0.03269783</v>
      </c>
      <c r="Y138" s="0" t="n">
        <v>0.00922452</v>
      </c>
      <c r="Z138" s="0" t="n">
        <v>0.02625616</v>
      </c>
      <c r="AA138" s="0" t="n">
        <v>0.01922855</v>
      </c>
      <c r="AB138" s="0" t="n">
        <v>0.01526384</v>
      </c>
      <c r="AC138" s="0" t="n">
        <v>0.00946206</v>
      </c>
      <c r="AD138" s="0" t="n">
        <v>0.00961894</v>
      </c>
      <c r="AE138" s="0" t="n">
        <v>0.04147151</v>
      </c>
      <c r="AF138" s="0" t="n">
        <v>0.03152112</v>
      </c>
      <c r="AG138" s="0" t="n">
        <v>-0.01311884</v>
      </c>
      <c r="AH138" s="0" t="n">
        <v>-0.00934601</v>
      </c>
      <c r="AI138" s="0" t="n">
        <v>-0.01326802</v>
      </c>
      <c r="AJ138" s="0" t="n">
        <v>0.03063313</v>
      </c>
      <c r="AK138" s="0" t="n">
        <v>0.02602368</v>
      </c>
      <c r="AL138" s="0" t="n">
        <v>0.03604747</v>
      </c>
      <c r="AM138" s="0" t="n">
        <v>0.03754982</v>
      </c>
      <c r="AN138" s="0" t="n">
        <v>0.02837395</v>
      </c>
      <c r="AO138" s="0" t="n">
        <v>0.0143445</v>
      </c>
      <c r="AP138" s="0" t="n">
        <v>0.04606793</v>
      </c>
      <c r="AQ138" s="0" t="n">
        <v>-0.01864611</v>
      </c>
      <c r="AR138" s="0" t="n">
        <v>0.02812439</v>
      </c>
      <c r="AS138" s="0" t="n">
        <v>0.02595643</v>
      </c>
      <c r="AT138" s="0" t="n">
        <v>0.04966866</v>
      </c>
      <c r="AU138" s="0" t="n">
        <v>0.00140515</v>
      </c>
      <c r="AV138" s="0" t="n">
        <v>0.03833472</v>
      </c>
      <c r="AW138" s="0" t="n">
        <v>0.0419828</v>
      </c>
      <c r="AX138" s="0" t="n">
        <v>0.03582799</v>
      </c>
      <c r="AY138" s="0" t="n">
        <v>0.02892575</v>
      </c>
      <c r="AZ138" s="0" t="n">
        <v>0.06152751</v>
      </c>
      <c r="BA138" s="0" t="n">
        <v>0.03726375</v>
      </c>
      <c r="BB138" s="0" t="n">
        <v>0.06082942</v>
      </c>
      <c r="BC138" s="0" t="n">
        <v>0.03570859</v>
      </c>
      <c r="BD138" s="0" t="n">
        <v>0.03062412</v>
      </c>
      <c r="BE138" s="0" t="n">
        <v>0.02161151</v>
      </c>
      <c r="BF138" s="0" t="n">
        <v>0.0454798</v>
      </c>
      <c r="BG138" s="0" t="n">
        <v>0.03607581</v>
      </c>
      <c r="BH138" s="0" t="n">
        <v>0.04408513</v>
      </c>
      <c r="BI138" s="0" t="n">
        <v>0.02741935</v>
      </c>
      <c r="BJ138" s="0" t="n">
        <v>-0.0044158</v>
      </c>
      <c r="BK138" s="0" t="n">
        <v>0.04229624</v>
      </c>
      <c r="BL138" s="0" t="n">
        <v>0.03417889</v>
      </c>
      <c r="BM138" s="0" t="n">
        <v>0.03726327</v>
      </c>
      <c r="BN138" s="0" t="n">
        <v>0.00814559</v>
      </c>
      <c r="BO138" s="0" t="n">
        <v>0.04846834</v>
      </c>
      <c r="BP138" s="0" t="n">
        <v>0.04492427</v>
      </c>
      <c r="BQ138" s="0" t="n">
        <v>0.05732003</v>
      </c>
      <c r="BR138" s="0" t="n">
        <v>0.07281269</v>
      </c>
      <c r="BS138" s="0" t="n">
        <v>-0.00664156</v>
      </c>
      <c r="BT138" s="0" t="n">
        <v>0.05291016</v>
      </c>
      <c r="BU138" s="0" t="n">
        <v>0.03387503</v>
      </c>
      <c r="BV138" s="0" t="n">
        <v>0.0368596</v>
      </c>
      <c r="BW138" s="0" t="n">
        <v>0.0568851</v>
      </c>
      <c r="BX138" s="0" t="n">
        <v>0.03368963</v>
      </c>
      <c r="BY138" s="0" t="n">
        <v>0.07676018</v>
      </c>
      <c r="BZ138" s="0" t="n">
        <v>0.06316329</v>
      </c>
      <c r="CA138" s="0" t="n">
        <v>0.03791306</v>
      </c>
      <c r="CB138" s="0" t="n">
        <v>-0.01687643</v>
      </c>
      <c r="CC138" s="0" t="n">
        <v>0.02881192</v>
      </c>
      <c r="CD138" s="0" t="n">
        <v>0.0299787</v>
      </c>
      <c r="CE138" s="0" t="n">
        <v>0.05350033</v>
      </c>
      <c r="CF138" s="0" t="n">
        <v>-0.01266648</v>
      </c>
      <c r="CG138" s="0" t="n">
        <v>0.07714718</v>
      </c>
      <c r="CH138" s="0" t="n">
        <v>0.07892297</v>
      </c>
      <c r="CI138" s="0" t="n">
        <v>-0.01686164</v>
      </c>
      <c r="CJ138" s="0" t="n">
        <v>0.04540239</v>
      </c>
      <c r="CK138" s="0" t="n">
        <v>0.04861643</v>
      </c>
      <c r="CL138" s="0" t="n">
        <v>0.07768815</v>
      </c>
      <c r="CM138" s="0" t="n">
        <v>0.04644691</v>
      </c>
      <c r="CN138" s="0" t="n">
        <v>0.02051157</v>
      </c>
      <c r="CO138" s="0" t="n">
        <v>0.0384318</v>
      </c>
      <c r="CP138" s="0" t="n">
        <v>0.04777751</v>
      </c>
      <c r="CQ138" s="0" t="n">
        <v>0.08604755</v>
      </c>
      <c r="CR138" s="0" t="n">
        <v>0.0834322</v>
      </c>
      <c r="CS138" s="0" t="n">
        <v>0.07336021</v>
      </c>
      <c r="CT138" s="0" t="n">
        <v>0.10840815</v>
      </c>
      <c r="CU138" s="0" t="n">
        <v>0.03121676</v>
      </c>
      <c r="CV138" s="0" t="n">
        <v>0.04900243</v>
      </c>
      <c r="CW138" s="0" t="n">
        <v>0.04680923</v>
      </c>
      <c r="CX138" s="0" t="n">
        <v>0.08354738</v>
      </c>
      <c r="CY138" s="0" t="n">
        <v>0.07058139</v>
      </c>
      <c r="CZ138" s="0" t="n">
        <v>0.04412992</v>
      </c>
      <c r="DA138" s="0" t="n">
        <v>0.06632329</v>
      </c>
      <c r="DB138" s="0" t="n">
        <v>0.13667253</v>
      </c>
      <c r="DC138" s="0" t="n">
        <v>0.10640572</v>
      </c>
      <c r="DD138" s="0" t="n">
        <v>0.11260535</v>
      </c>
      <c r="DE138" s="0" t="n">
        <v>0.11580431</v>
      </c>
      <c r="DF138" s="0" t="n">
        <v>0.05085099</v>
      </c>
      <c r="DG138" s="0" t="n">
        <v>0.10844031</v>
      </c>
      <c r="DH138" s="0" t="n">
        <v>0.09049898</v>
      </c>
      <c r="DI138" s="0" t="n">
        <v>0.09373154</v>
      </c>
      <c r="DJ138" s="0" t="n">
        <v>0.07218533</v>
      </c>
      <c r="DK138" s="0" t="n">
        <v>0.10510878</v>
      </c>
      <c r="DL138" s="0" t="n">
        <v>0.07500004</v>
      </c>
      <c r="DM138" s="0" t="n">
        <v>0.1010079</v>
      </c>
      <c r="DN138" s="0" t="n">
        <v>0.07719853</v>
      </c>
      <c r="DO138" s="0" t="n">
        <v>0.12597998</v>
      </c>
      <c r="DP138" s="0" t="n">
        <v>0.0752957</v>
      </c>
      <c r="DQ138" s="0" t="n">
        <v>0.09208993</v>
      </c>
      <c r="DR138" s="0" t="n">
        <v>0.09788675</v>
      </c>
      <c r="DS138" s="0" t="n">
        <v>-0.0362936</v>
      </c>
      <c r="DT138" s="0" t="n">
        <v>0.13140219</v>
      </c>
      <c r="DU138" s="0" t="n">
        <v>0.16914551</v>
      </c>
      <c r="DV138" s="0" t="n">
        <v>0.11502953</v>
      </c>
      <c r="DW138" s="0" t="n">
        <v>0.1022902</v>
      </c>
      <c r="DX138" s="0" t="n">
        <v>0.1276512</v>
      </c>
      <c r="DY138" s="0" t="n">
        <v>0.12586464</v>
      </c>
      <c r="DZ138" s="0" t="n">
        <v>0.07597481</v>
      </c>
      <c r="EA138" s="0" t="n">
        <v>0.10627368</v>
      </c>
      <c r="EB138" s="0" t="n">
        <v>0.13659478</v>
      </c>
      <c r="EC138" s="0" t="n">
        <v>0.04247384</v>
      </c>
      <c r="ED138" s="0" t="n">
        <v>0.49263265</v>
      </c>
      <c r="EE138" s="0" t="n">
        <v>0.1441924</v>
      </c>
      <c r="EF138" s="0" t="n">
        <v>0.05638796</v>
      </c>
      <c r="EG138" s="0" t="n">
        <v>0.13818888</v>
      </c>
      <c r="EH138" s="0" t="n">
        <v>0.09532354</v>
      </c>
      <c r="EI138" s="0" t="n">
        <v>0.13234482</v>
      </c>
      <c r="EJ138" s="0" t="n">
        <v>0.23418379</v>
      </c>
      <c r="EK138" s="0" t="n">
        <v>0.21699058</v>
      </c>
      <c r="EL138" s="0" t="n">
        <v>0.1741262</v>
      </c>
      <c r="EM138" s="0" t="n">
        <v>0.12768809</v>
      </c>
      <c r="EN138" s="0" t="n">
        <v>0.21255928</v>
      </c>
      <c r="EO138" s="0" t="n">
        <v>0.15473523</v>
      </c>
      <c r="EP138" s="55" t="n">
        <f aca="false">SUMPRODUCT(B138:EO138,$B$5:$EO$5)</f>
        <v>0.08237657</v>
      </c>
      <c r="EQ138" s="55" t="n">
        <f aca="false">SUMIF('Mi portafolio'!$A$8:$A$19,$A138,'Mi portafolio'!$B$8:$B$19)</f>
        <v>0</v>
      </c>
    </row>
    <row r="139" customFormat="false" ht="15" hidden="false" customHeight="false" outlineLevel="0" collapsed="false">
      <c r="A139" s="54" t="s">
        <v>278</v>
      </c>
      <c r="B139" s="0" t="n">
        <v>-0.01042106</v>
      </c>
      <c r="C139" s="0" t="n">
        <v>0.0037962</v>
      </c>
      <c r="D139" s="0" t="n">
        <v>0.00558363</v>
      </c>
      <c r="E139" s="0" t="n">
        <v>0.01000647</v>
      </c>
      <c r="F139" s="0" t="n">
        <v>-0.02505806</v>
      </c>
      <c r="G139" s="0" t="n">
        <v>0.00448051</v>
      </c>
      <c r="H139" s="0" t="n">
        <v>0.01395396</v>
      </c>
      <c r="I139" s="0" t="n">
        <v>-0.02011413</v>
      </c>
      <c r="J139" s="0" t="n">
        <v>-0.02169005</v>
      </c>
      <c r="K139" s="0" t="n">
        <v>-0.01125572</v>
      </c>
      <c r="L139" s="0" t="n">
        <v>0.01620792</v>
      </c>
      <c r="M139" s="0" t="n">
        <v>0.03315695</v>
      </c>
      <c r="N139" s="0" t="n">
        <v>-0.00559406</v>
      </c>
      <c r="O139" s="0" t="n">
        <v>0.01547967</v>
      </c>
      <c r="P139" s="0" t="n">
        <v>-0.01513796</v>
      </c>
      <c r="Q139" s="0" t="n">
        <v>0.00912277</v>
      </c>
      <c r="R139" s="0" t="n">
        <v>-0.02164671</v>
      </c>
      <c r="S139" s="0" t="n">
        <v>0.00621778</v>
      </c>
      <c r="T139" s="0" t="n">
        <v>0.02416877</v>
      </c>
      <c r="U139" s="0" t="n">
        <v>0.01968407</v>
      </c>
      <c r="V139" s="0" t="n">
        <v>0.00694923</v>
      </c>
      <c r="W139" s="0" t="n">
        <v>0.00932807</v>
      </c>
      <c r="X139" s="0" t="n">
        <v>0.03239627</v>
      </c>
      <c r="Y139" s="0" t="n">
        <v>-0.00949826</v>
      </c>
      <c r="Z139" s="0" t="n">
        <v>0.01204687</v>
      </c>
      <c r="AA139" s="0" t="n">
        <v>0.01288583</v>
      </c>
      <c r="AB139" s="0" t="n">
        <v>-0.01862735</v>
      </c>
      <c r="AC139" s="0" t="n">
        <v>0.01882331</v>
      </c>
      <c r="AD139" s="0" t="n">
        <v>0.02972162</v>
      </c>
      <c r="AE139" s="0" t="n">
        <v>0.03012913</v>
      </c>
      <c r="AF139" s="0" t="n">
        <v>0.02847906</v>
      </c>
      <c r="AG139" s="0" t="n">
        <v>-0.02714407</v>
      </c>
      <c r="AH139" s="0" t="n">
        <v>-0.03191924</v>
      </c>
      <c r="AI139" s="0" t="n">
        <v>-0.02841971</v>
      </c>
      <c r="AJ139" s="0" t="n">
        <v>0.01344833</v>
      </c>
      <c r="AK139" s="0" t="n">
        <v>0.03622093</v>
      </c>
      <c r="AL139" s="0" t="n">
        <v>0.01971421</v>
      </c>
      <c r="AM139" s="0" t="n">
        <v>0.03560794</v>
      </c>
      <c r="AN139" s="0" t="n">
        <v>0.01428184</v>
      </c>
      <c r="AO139" s="0" t="n">
        <v>-0.00928667</v>
      </c>
      <c r="AP139" s="0" t="n">
        <v>0.01442784</v>
      </c>
      <c r="AQ139" s="0" t="n">
        <v>-0.03004586</v>
      </c>
      <c r="AR139" s="0" t="n">
        <v>0.02573302</v>
      </c>
      <c r="AS139" s="0" t="n">
        <v>0.02230027</v>
      </c>
      <c r="AT139" s="0" t="n">
        <v>0.02699846</v>
      </c>
      <c r="AU139" s="0" t="n">
        <v>-0.01067601</v>
      </c>
      <c r="AV139" s="0" t="n">
        <v>0.01691128</v>
      </c>
      <c r="AW139" s="0" t="n">
        <v>0.03238214</v>
      </c>
      <c r="AX139" s="0" t="n">
        <v>-0.00535255</v>
      </c>
      <c r="AY139" s="0" t="n">
        <v>0.01733956</v>
      </c>
      <c r="AZ139" s="0" t="n">
        <v>0.04901767</v>
      </c>
      <c r="BA139" s="0" t="n">
        <v>0.03478179</v>
      </c>
      <c r="BB139" s="0" t="n">
        <v>0.06319446</v>
      </c>
      <c r="BC139" s="0" t="n">
        <v>0.02210541</v>
      </c>
      <c r="BD139" s="0" t="n">
        <v>0.03507244</v>
      </c>
      <c r="BE139" s="0" t="n">
        <v>-0.01384734</v>
      </c>
      <c r="BF139" s="0" t="n">
        <v>0.04128017</v>
      </c>
      <c r="BG139" s="0" t="n">
        <v>0.01860227</v>
      </c>
      <c r="BH139" s="0" t="n">
        <v>0.03017514</v>
      </c>
      <c r="BI139" s="0" t="n">
        <v>0.00146933</v>
      </c>
      <c r="BJ139" s="0" t="n">
        <v>0.00805452</v>
      </c>
      <c r="BK139" s="0" t="n">
        <v>0.05237532</v>
      </c>
      <c r="BL139" s="0" t="n">
        <v>0.0858155</v>
      </c>
      <c r="BM139" s="0" t="n">
        <v>0.00093131</v>
      </c>
      <c r="BN139" s="0" t="n">
        <v>0.02700247</v>
      </c>
      <c r="BO139" s="0" t="n">
        <v>0.05830519</v>
      </c>
      <c r="BP139" s="0" t="n">
        <v>0.03821363</v>
      </c>
      <c r="BQ139" s="0" t="n">
        <v>0.06961703</v>
      </c>
      <c r="BR139" s="0" t="n">
        <v>0.03702659</v>
      </c>
      <c r="BS139" s="0" t="n">
        <v>-0.01277932</v>
      </c>
      <c r="BT139" s="0" t="n">
        <v>0.07352096</v>
      </c>
      <c r="BU139" s="0" t="n">
        <v>0.01797312</v>
      </c>
      <c r="BV139" s="0" t="n">
        <v>0.06254298</v>
      </c>
      <c r="BW139" s="0" t="n">
        <v>0.03100774</v>
      </c>
      <c r="BX139" s="0" t="n">
        <v>-0.02196789</v>
      </c>
      <c r="BY139" s="0" t="n">
        <v>0.04772747</v>
      </c>
      <c r="BZ139" s="0" t="n">
        <v>0.06741477</v>
      </c>
      <c r="CA139" s="0" t="n">
        <v>0.02188099</v>
      </c>
      <c r="CB139" s="0" t="n">
        <v>-0.01689425</v>
      </c>
      <c r="CC139" s="0" t="n">
        <v>0.02318962</v>
      </c>
      <c r="CD139" s="0" t="n">
        <v>0.03981697</v>
      </c>
      <c r="CE139" s="0" t="n">
        <v>0.08534428</v>
      </c>
      <c r="CF139" s="0" t="n">
        <v>-0.02589498</v>
      </c>
      <c r="CG139" s="0" t="n">
        <v>0.01767421</v>
      </c>
      <c r="CH139" s="0" t="n">
        <v>0.09479047</v>
      </c>
      <c r="CI139" s="0" t="n">
        <v>-0.02814006</v>
      </c>
      <c r="CJ139" s="0" t="n">
        <v>-0.00188834</v>
      </c>
      <c r="CK139" s="0" t="n">
        <v>-0.00715226</v>
      </c>
      <c r="CL139" s="0" t="n">
        <v>0.06521534</v>
      </c>
      <c r="CM139" s="0" t="n">
        <v>0.13736023</v>
      </c>
      <c r="CN139" s="0" t="n">
        <v>0.0237189</v>
      </c>
      <c r="CO139" s="0" t="n">
        <v>0.04453977</v>
      </c>
      <c r="CP139" s="0" t="n">
        <v>0.05902935</v>
      </c>
      <c r="CQ139" s="0" t="n">
        <v>0.10214255</v>
      </c>
      <c r="CR139" s="0" t="n">
        <v>0.1828732</v>
      </c>
      <c r="CS139" s="0" t="n">
        <v>0.1598721</v>
      </c>
      <c r="CT139" s="0" t="n">
        <v>0.08231077</v>
      </c>
      <c r="CU139" s="0" t="n">
        <v>0.08412819</v>
      </c>
      <c r="CV139" s="0" t="n">
        <v>0.06473309</v>
      </c>
      <c r="CW139" s="0" t="n">
        <v>0.03266585</v>
      </c>
      <c r="CX139" s="0" t="n">
        <v>0.09502683</v>
      </c>
      <c r="CY139" s="0" t="n">
        <v>0.08229462</v>
      </c>
      <c r="CZ139" s="0" t="n">
        <v>0.01421789</v>
      </c>
      <c r="DA139" s="0" t="n">
        <v>0.0286277</v>
      </c>
      <c r="DB139" s="0" t="n">
        <v>0.14795423</v>
      </c>
      <c r="DC139" s="0" t="n">
        <v>0.08265897</v>
      </c>
      <c r="DD139" s="0" t="n">
        <v>0.07269899</v>
      </c>
      <c r="DE139" s="0" t="n">
        <v>0.16637191</v>
      </c>
      <c r="DF139" s="0" t="n">
        <v>-0.04773226</v>
      </c>
      <c r="DG139" s="0" t="n">
        <v>0.12917987</v>
      </c>
      <c r="DH139" s="0" t="n">
        <v>0.1728834</v>
      </c>
      <c r="DI139" s="0" t="n">
        <v>0.11573007</v>
      </c>
      <c r="DJ139" s="0" t="n">
        <v>0.07271176</v>
      </c>
      <c r="DK139" s="0" t="n">
        <v>0.13880855</v>
      </c>
      <c r="DL139" s="0" t="n">
        <v>0.07812302</v>
      </c>
      <c r="DM139" s="0" t="n">
        <v>0.09647006</v>
      </c>
      <c r="DN139" s="0" t="n">
        <v>0.03829034</v>
      </c>
      <c r="DO139" s="0" t="n">
        <v>0.19644347</v>
      </c>
      <c r="DP139" s="0" t="n">
        <v>0.08121469</v>
      </c>
      <c r="DQ139" s="0" t="n">
        <v>0.14590401</v>
      </c>
      <c r="DR139" s="0" t="n">
        <v>0.14018949</v>
      </c>
      <c r="DS139" s="0" t="n">
        <v>0.01555876</v>
      </c>
      <c r="DT139" s="0" t="n">
        <v>0.14262555</v>
      </c>
      <c r="DU139" s="0" t="n">
        <v>0.15957298</v>
      </c>
      <c r="DV139" s="0" t="n">
        <v>0.10197373</v>
      </c>
      <c r="DW139" s="0" t="n">
        <v>0.03678927</v>
      </c>
      <c r="DX139" s="0" t="n">
        <v>0.26622407</v>
      </c>
      <c r="DY139" s="0" t="n">
        <v>0.10505911</v>
      </c>
      <c r="DZ139" s="0" t="n">
        <v>0.03875961</v>
      </c>
      <c r="EA139" s="0" t="n">
        <v>0.12958455</v>
      </c>
      <c r="EB139" s="0" t="n">
        <v>0.12473619</v>
      </c>
      <c r="EC139" s="0" t="n">
        <v>0.0719151</v>
      </c>
      <c r="ED139" s="0" t="n">
        <v>0.1441924</v>
      </c>
      <c r="EE139" s="0" t="n">
        <v>0.46995247</v>
      </c>
      <c r="EF139" s="0" t="n">
        <v>0.13935588</v>
      </c>
      <c r="EG139" s="0" t="n">
        <v>0.35283031</v>
      </c>
      <c r="EH139" s="0" t="n">
        <v>0.01013566</v>
      </c>
      <c r="EI139" s="0" t="n">
        <v>0.35471447</v>
      </c>
      <c r="EJ139" s="0" t="n">
        <v>0.13812919</v>
      </c>
      <c r="EK139" s="0" t="n">
        <v>0.31514615</v>
      </c>
      <c r="EL139" s="0" t="n">
        <v>0.34889616</v>
      </c>
      <c r="EM139" s="0" t="n">
        <v>0.17005257</v>
      </c>
      <c r="EN139" s="0" t="n">
        <v>0.09660296</v>
      </c>
      <c r="EO139" s="0" t="n">
        <v>0.16350676</v>
      </c>
      <c r="EP139" s="55" t="n">
        <f aca="false">SUMPRODUCT(B139:EO139,$B$5:$EO$5)</f>
        <v>0.108710064</v>
      </c>
      <c r="EQ139" s="55" t="n">
        <f aca="false">SUMIF('Mi portafolio'!$A$8:$A$19,$A139,'Mi portafolio'!$B$8:$B$19)</f>
        <v>0</v>
      </c>
    </row>
    <row r="140" customFormat="false" ht="15" hidden="false" customHeight="false" outlineLevel="0" collapsed="false">
      <c r="A140" s="54" t="s">
        <v>279</v>
      </c>
      <c r="B140" s="0" t="n">
        <v>0.00635184</v>
      </c>
      <c r="C140" s="0" t="n">
        <v>0.01376206</v>
      </c>
      <c r="D140" s="0" t="n">
        <v>0.0121654</v>
      </c>
      <c r="E140" s="0" t="n">
        <v>0.00094322</v>
      </c>
      <c r="F140" s="0" t="n">
        <v>-0.00975874</v>
      </c>
      <c r="G140" s="0" t="n">
        <v>0.01125018</v>
      </c>
      <c r="H140" s="0" t="n">
        <v>-0.00060282</v>
      </c>
      <c r="I140" s="0" t="n">
        <v>-0.00074043</v>
      </c>
      <c r="J140" s="0" t="n">
        <v>0.00753609</v>
      </c>
      <c r="K140" s="0" t="n">
        <v>0.0172945</v>
      </c>
      <c r="L140" s="0" t="n">
        <v>0.01063272</v>
      </c>
      <c r="M140" s="0" t="n">
        <v>0.03823844</v>
      </c>
      <c r="N140" s="0" t="n">
        <v>0.02412424</v>
      </c>
      <c r="O140" s="0" t="n">
        <v>0.01165044</v>
      </c>
      <c r="P140" s="0" t="n">
        <v>-0.01049624</v>
      </c>
      <c r="Q140" s="0" t="n">
        <v>0.0107949</v>
      </c>
      <c r="R140" s="0" t="n">
        <v>0.01131066</v>
      </c>
      <c r="S140" s="0" t="n">
        <v>0.00174185</v>
      </c>
      <c r="T140" s="0" t="n">
        <v>0.04407395</v>
      </c>
      <c r="U140" s="0" t="n">
        <v>0.01293398</v>
      </c>
      <c r="V140" s="0" t="n">
        <v>0.01122341</v>
      </c>
      <c r="W140" s="0" t="n">
        <v>0.00769833</v>
      </c>
      <c r="X140" s="0" t="n">
        <v>0.04842869</v>
      </c>
      <c r="Y140" s="0" t="n">
        <v>0.0186129</v>
      </c>
      <c r="Z140" s="0" t="n">
        <v>0.02639974</v>
      </c>
      <c r="AA140" s="0" t="n">
        <v>0.00070302</v>
      </c>
      <c r="AB140" s="0" t="n">
        <v>0.01608978</v>
      </c>
      <c r="AC140" s="0" t="n">
        <v>-0.00544582</v>
      </c>
      <c r="AD140" s="0" t="n">
        <v>0.01356182</v>
      </c>
      <c r="AE140" s="0" t="n">
        <v>0.01705503</v>
      </c>
      <c r="AF140" s="0" t="n">
        <v>0.02869065</v>
      </c>
      <c r="AG140" s="0" t="n">
        <v>0.0017598</v>
      </c>
      <c r="AH140" s="0" t="n">
        <v>0.00378496</v>
      </c>
      <c r="AI140" s="0" t="n">
        <v>0.00268146</v>
      </c>
      <c r="AJ140" s="0" t="n">
        <v>0.01799425</v>
      </c>
      <c r="AK140" s="0" t="n">
        <v>0.02577079</v>
      </c>
      <c r="AL140" s="0" t="n">
        <v>0.04919864</v>
      </c>
      <c r="AM140" s="0" t="n">
        <v>0.0260946</v>
      </c>
      <c r="AN140" s="0" t="n">
        <v>0.0242608</v>
      </c>
      <c r="AO140" s="0" t="n">
        <v>0.0013966</v>
      </c>
      <c r="AP140" s="0" t="n">
        <v>0.02454085</v>
      </c>
      <c r="AQ140" s="0" t="n">
        <v>0.00272368</v>
      </c>
      <c r="AR140" s="0" t="n">
        <v>0.05258384</v>
      </c>
      <c r="AS140" s="0" t="n">
        <v>0.017239</v>
      </c>
      <c r="AT140" s="0" t="n">
        <v>0.02837922</v>
      </c>
      <c r="AU140" s="0" t="n">
        <v>-0.00120536</v>
      </c>
      <c r="AV140" s="0" t="n">
        <v>0.02159209</v>
      </c>
      <c r="AW140" s="0" t="n">
        <v>0.03406951</v>
      </c>
      <c r="AX140" s="0" t="n">
        <v>-0.00587752</v>
      </c>
      <c r="AY140" s="0" t="n">
        <v>0.03699537</v>
      </c>
      <c r="AZ140" s="0" t="n">
        <v>0.0297655</v>
      </c>
      <c r="BA140" s="0" t="n">
        <v>0.03802316</v>
      </c>
      <c r="BB140" s="0" t="n">
        <v>0.06780348</v>
      </c>
      <c r="BC140" s="0" t="n">
        <v>0.00762868</v>
      </c>
      <c r="BD140" s="0" t="n">
        <v>0.01860112</v>
      </c>
      <c r="BE140" s="0" t="n">
        <v>0.02777237</v>
      </c>
      <c r="BF140" s="0" t="n">
        <v>0.03103675</v>
      </c>
      <c r="BG140" s="0" t="n">
        <v>0.04063714</v>
      </c>
      <c r="BH140" s="0" t="n">
        <v>0.01686715</v>
      </c>
      <c r="BI140" s="0" t="n">
        <v>0.01339864</v>
      </c>
      <c r="BJ140" s="0" t="n">
        <v>0.01125263</v>
      </c>
      <c r="BK140" s="0" t="n">
        <v>0.02772156</v>
      </c>
      <c r="BL140" s="0" t="n">
        <v>0.10478648</v>
      </c>
      <c r="BM140" s="0" t="n">
        <v>0.02179943</v>
      </c>
      <c r="BN140" s="0" t="n">
        <v>0.02403587</v>
      </c>
      <c r="BO140" s="0" t="n">
        <v>0.01690343</v>
      </c>
      <c r="BP140" s="0" t="n">
        <v>0.01551906</v>
      </c>
      <c r="BQ140" s="0" t="n">
        <v>0.06192089</v>
      </c>
      <c r="BR140" s="0" t="n">
        <v>0.06005039</v>
      </c>
      <c r="BS140" s="0" t="n">
        <v>0.00543432</v>
      </c>
      <c r="BT140" s="0" t="n">
        <v>0.07203883</v>
      </c>
      <c r="BU140" s="0" t="n">
        <v>0.01043672</v>
      </c>
      <c r="BV140" s="0" t="n">
        <v>0.02682143</v>
      </c>
      <c r="BW140" s="0" t="n">
        <v>0.03548347</v>
      </c>
      <c r="BX140" s="0" t="n">
        <v>0.00186135</v>
      </c>
      <c r="BY140" s="0" t="n">
        <v>0.03103827</v>
      </c>
      <c r="BZ140" s="0" t="n">
        <v>0.06994088</v>
      </c>
      <c r="CA140" s="0" t="n">
        <v>0.01866718</v>
      </c>
      <c r="CB140" s="0" t="n">
        <v>0.01011716</v>
      </c>
      <c r="CC140" s="0" t="n">
        <v>0.02001233</v>
      </c>
      <c r="CD140" s="0" t="n">
        <v>0.01778488</v>
      </c>
      <c r="CE140" s="0" t="n">
        <v>0.06149311</v>
      </c>
      <c r="CF140" s="0" t="n">
        <v>0.00544131</v>
      </c>
      <c r="CG140" s="0" t="n">
        <v>0.02165049</v>
      </c>
      <c r="CH140" s="0" t="n">
        <v>0.08763033</v>
      </c>
      <c r="CI140" s="0" t="n">
        <v>0.00291773</v>
      </c>
      <c r="CJ140" s="0" t="n">
        <v>0.02387012</v>
      </c>
      <c r="CK140" s="0" t="n">
        <v>0.03516208</v>
      </c>
      <c r="CL140" s="0" t="n">
        <v>0.05140013</v>
      </c>
      <c r="CM140" s="0" t="n">
        <v>0.07385638</v>
      </c>
      <c r="CN140" s="0" t="n">
        <v>0.01823784</v>
      </c>
      <c r="CO140" s="0" t="n">
        <v>0.01620846</v>
      </c>
      <c r="CP140" s="0" t="n">
        <v>0.04660179</v>
      </c>
      <c r="CQ140" s="0" t="n">
        <v>0.08930178</v>
      </c>
      <c r="CR140" s="0" t="n">
        <v>0.08092101</v>
      </c>
      <c r="CS140" s="0" t="n">
        <v>0.0953959</v>
      </c>
      <c r="CT140" s="0" t="n">
        <v>0.04163301</v>
      </c>
      <c r="CU140" s="0" t="n">
        <v>0.06316887</v>
      </c>
      <c r="CV140" s="0" t="n">
        <v>0.0471637</v>
      </c>
      <c r="CW140" s="0" t="n">
        <v>0.0262133</v>
      </c>
      <c r="CX140" s="0" t="n">
        <v>0.06851422</v>
      </c>
      <c r="CY140" s="0" t="n">
        <v>0.07969511</v>
      </c>
      <c r="CZ140" s="0" t="n">
        <v>0.01443583</v>
      </c>
      <c r="DA140" s="0" t="n">
        <v>0.03120755</v>
      </c>
      <c r="DB140" s="0" t="n">
        <v>0.04920257</v>
      </c>
      <c r="DC140" s="0" t="n">
        <v>0.0484921</v>
      </c>
      <c r="DD140" s="0" t="n">
        <v>0.07396789</v>
      </c>
      <c r="DE140" s="0" t="n">
        <v>0.13702792</v>
      </c>
      <c r="DF140" s="0" t="n">
        <v>0.0068665</v>
      </c>
      <c r="DG140" s="0" t="n">
        <v>0.12705647</v>
      </c>
      <c r="DH140" s="0" t="n">
        <v>0.09280637</v>
      </c>
      <c r="DI140" s="0" t="n">
        <v>0.07189688</v>
      </c>
      <c r="DJ140" s="0" t="n">
        <v>0.06392224</v>
      </c>
      <c r="DK140" s="0" t="n">
        <v>0.11123915</v>
      </c>
      <c r="DL140" s="0" t="n">
        <v>0.07727902</v>
      </c>
      <c r="DM140" s="0" t="n">
        <v>0.0975395</v>
      </c>
      <c r="DN140" s="0" t="n">
        <v>0.06397766</v>
      </c>
      <c r="DO140" s="0" t="n">
        <v>0.11102589</v>
      </c>
      <c r="DP140" s="0" t="n">
        <v>0.09117809</v>
      </c>
      <c r="DQ140" s="0" t="n">
        <v>0.1015772</v>
      </c>
      <c r="DR140" s="0" t="n">
        <v>0.15687604</v>
      </c>
      <c r="DS140" s="0" t="n">
        <v>0.02645654</v>
      </c>
      <c r="DT140" s="0" t="n">
        <v>0.03906034</v>
      </c>
      <c r="DU140" s="0" t="n">
        <v>0.12780246</v>
      </c>
      <c r="DV140" s="0" t="n">
        <v>0.08091808</v>
      </c>
      <c r="DW140" s="0" t="n">
        <v>0.05757857</v>
      </c>
      <c r="DX140" s="0" t="n">
        <v>0.10771987</v>
      </c>
      <c r="DY140" s="0" t="n">
        <v>0.10756446</v>
      </c>
      <c r="DZ140" s="0" t="n">
        <v>0.0447964</v>
      </c>
      <c r="EA140" s="0" t="n">
        <v>0.10498464</v>
      </c>
      <c r="EB140" s="0" t="n">
        <v>0.12111237</v>
      </c>
      <c r="EC140" s="0" t="n">
        <v>0.03971296</v>
      </c>
      <c r="ED140" s="0" t="n">
        <v>0.05638796</v>
      </c>
      <c r="EE140" s="0" t="n">
        <v>0.13935588</v>
      </c>
      <c r="EF140" s="0" t="n">
        <v>0.4965349</v>
      </c>
      <c r="EG140" s="0" t="n">
        <v>0.14531461</v>
      </c>
      <c r="EH140" s="0" t="n">
        <v>0.02985772</v>
      </c>
      <c r="EI140" s="0" t="n">
        <v>0.16345435</v>
      </c>
      <c r="EJ140" s="0" t="n">
        <v>0.05179351</v>
      </c>
      <c r="EK140" s="0" t="n">
        <v>0.16721202</v>
      </c>
      <c r="EL140" s="0" t="n">
        <v>0.19873584</v>
      </c>
      <c r="EM140" s="0" t="n">
        <v>0.11424469</v>
      </c>
      <c r="EN140" s="0" t="n">
        <v>-0.0021082</v>
      </c>
      <c r="EO140" s="0" t="n">
        <v>0.02275245</v>
      </c>
      <c r="EP140" s="55" t="n">
        <f aca="false">SUMPRODUCT(B140:EO140,$B$5:$EO$5)</f>
        <v>0.061692718</v>
      </c>
      <c r="EQ140" s="55" t="n">
        <f aca="false">SUMIF('Mi portafolio'!$A$8:$A$19,$A140,'Mi portafolio'!$B$8:$B$19)</f>
        <v>0</v>
      </c>
    </row>
    <row r="141" customFormat="false" ht="15" hidden="false" customHeight="false" outlineLevel="0" collapsed="false">
      <c r="A141" s="54" t="s">
        <v>280</v>
      </c>
      <c r="B141" s="0" t="n">
        <v>-0.00826232</v>
      </c>
      <c r="C141" s="0" t="n">
        <v>0.00987041</v>
      </c>
      <c r="D141" s="0" t="n">
        <v>-0.00164508</v>
      </c>
      <c r="E141" s="0" t="n">
        <v>0.00788364</v>
      </c>
      <c r="F141" s="0" t="n">
        <v>-0.01471092</v>
      </c>
      <c r="G141" s="0" t="n">
        <v>0.00865559</v>
      </c>
      <c r="H141" s="0" t="n">
        <v>0.01447763</v>
      </c>
      <c r="I141" s="0" t="n">
        <v>-0.02575104</v>
      </c>
      <c r="J141" s="0" t="n">
        <v>-0.01629556</v>
      </c>
      <c r="K141" s="0" t="n">
        <v>-0.01339493</v>
      </c>
      <c r="L141" s="0" t="n">
        <v>0.03199725</v>
      </c>
      <c r="M141" s="0" t="n">
        <v>0.03877139</v>
      </c>
      <c r="N141" s="0" t="n">
        <v>0.00274379</v>
      </c>
      <c r="O141" s="0" t="n">
        <v>0.01821143</v>
      </c>
      <c r="P141" s="0" t="n">
        <v>-0.01048813</v>
      </c>
      <c r="Q141" s="0" t="n">
        <v>0.01741298</v>
      </c>
      <c r="R141" s="0" t="n">
        <v>-0.01802118</v>
      </c>
      <c r="S141" s="0" t="n">
        <v>0.01705318</v>
      </c>
      <c r="T141" s="0" t="n">
        <v>0.02385194</v>
      </c>
      <c r="U141" s="0" t="n">
        <v>0.01608403</v>
      </c>
      <c r="V141" s="0" t="n">
        <v>-0.00027717</v>
      </c>
      <c r="W141" s="0" t="n">
        <v>0.01689835</v>
      </c>
      <c r="X141" s="0" t="n">
        <v>0.02546477</v>
      </c>
      <c r="Y141" s="0" t="n">
        <v>-0.00584427</v>
      </c>
      <c r="Z141" s="0" t="n">
        <v>0.00911624</v>
      </c>
      <c r="AA141" s="0" t="n">
        <v>0.02123026</v>
      </c>
      <c r="AB141" s="0" t="n">
        <v>-0.01203021</v>
      </c>
      <c r="AC141" s="0" t="n">
        <v>0.00340642</v>
      </c>
      <c r="AD141" s="0" t="n">
        <v>0.03712533</v>
      </c>
      <c r="AE141" s="0" t="n">
        <v>0.02601776</v>
      </c>
      <c r="AF141" s="0" t="n">
        <v>0.04131371</v>
      </c>
      <c r="AG141" s="0" t="n">
        <v>-0.04161221</v>
      </c>
      <c r="AH141" s="0" t="n">
        <v>-0.03668277</v>
      </c>
      <c r="AI141" s="0" t="n">
        <v>-0.03049621</v>
      </c>
      <c r="AJ141" s="0" t="n">
        <v>0.00815597</v>
      </c>
      <c r="AK141" s="0" t="n">
        <v>0.04098026</v>
      </c>
      <c r="AL141" s="0" t="n">
        <v>0.01852959</v>
      </c>
      <c r="AM141" s="0" t="n">
        <v>0.02294405</v>
      </c>
      <c r="AN141" s="0" t="n">
        <v>0.01682907</v>
      </c>
      <c r="AO141" s="0" t="n">
        <v>-0.01599851</v>
      </c>
      <c r="AP141" s="0" t="n">
        <v>0.00688064</v>
      </c>
      <c r="AQ141" s="0" t="n">
        <v>-0.03098021</v>
      </c>
      <c r="AR141" s="0" t="n">
        <v>0.01820599</v>
      </c>
      <c r="AS141" s="0" t="n">
        <v>0.02653402</v>
      </c>
      <c r="AT141" s="0" t="n">
        <v>0.0233938</v>
      </c>
      <c r="AU141" s="0" t="n">
        <v>-0.00407069</v>
      </c>
      <c r="AV141" s="0" t="n">
        <v>0.02255144</v>
      </c>
      <c r="AW141" s="0" t="n">
        <v>0.04827577</v>
      </c>
      <c r="AX141" s="0" t="n">
        <v>-0.00771162</v>
      </c>
      <c r="AY141" s="0" t="n">
        <v>0.03953</v>
      </c>
      <c r="AZ141" s="0" t="n">
        <v>0.05556933</v>
      </c>
      <c r="BA141" s="0" t="n">
        <v>0.04114429</v>
      </c>
      <c r="BB141" s="0" t="n">
        <v>0.06427667</v>
      </c>
      <c r="BC141" s="0" t="n">
        <v>0.01955156</v>
      </c>
      <c r="BD141" s="0" t="n">
        <v>0.02969703</v>
      </c>
      <c r="BE141" s="0" t="n">
        <v>0.00225981</v>
      </c>
      <c r="BF141" s="0" t="n">
        <v>0.03179427</v>
      </c>
      <c r="BG141" s="0" t="n">
        <v>0.01564292</v>
      </c>
      <c r="BH141" s="0" t="n">
        <v>0.01865756</v>
      </c>
      <c r="BI141" s="0" t="n">
        <v>0.01498969</v>
      </c>
      <c r="BJ141" s="0" t="n">
        <v>0.01471256</v>
      </c>
      <c r="BK141" s="0" t="n">
        <v>0.04120551</v>
      </c>
      <c r="BL141" s="0" t="n">
        <v>0.08443438</v>
      </c>
      <c r="BM141" s="0" t="n">
        <v>0.00094859</v>
      </c>
      <c r="BN141" s="0" t="n">
        <v>0.01399383</v>
      </c>
      <c r="BO141" s="0" t="n">
        <v>0.05858868</v>
      </c>
      <c r="BP141" s="0" t="n">
        <v>0.00996108</v>
      </c>
      <c r="BQ141" s="0" t="n">
        <v>0.06867526</v>
      </c>
      <c r="BR141" s="0" t="n">
        <v>0.04625612</v>
      </c>
      <c r="BS141" s="0" t="n">
        <v>-0.01533831</v>
      </c>
      <c r="BT141" s="0" t="n">
        <v>0.06780354</v>
      </c>
      <c r="BU141" s="0" t="n">
        <v>0.00903183</v>
      </c>
      <c r="BV141" s="0" t="n">
        <v>0.05479649</v>
      </c>
      <c r="BW141" s="0" t="n">
        <v>0.02534957</v>
      </c>
      <c r="BX141" s="0" t="n">
        <v>-0.00453122</v>
      </c>
      <c r="BY141" s="0" t="n">
        <v>0.0405896</v>
      </c>
      <c r="BZ141" s="0" t="n">
        <v>0.07342428</v>
      </c>
      <c r="CA141" s="0" t="n">
        <v>0.02864352</v>
      </c>
      <c r="CB141" s="0" t="n">
        <v>-0.00959583</v>
      </c>
      <c r="CC141" s="0" t="n">
        <v>0.02292608</v>
      </c>
      <c r="CD141" s="0" t="n">
        <v>0.01059174</v>
      </c>
      <c r="CE141" s="0" t="n">
        <v>0.0736258</v>
      </c>
      <c r="CF141" s="0" t="n">
        <v>-0.01707238</v>
      </c>
      <c r="CG141" s="0" t="n">
        <v>0.02468958</v>
      </c>
      <c r="CH141" s="0" t="n">
        <v>0.09891066</v>
      </c>
      <c r="CI141" s="0" t="n">
        <v>-0.03583593</v>
      </c>
      <c r="CJ141" s="0" t="n">
        <v>-0.01665454</v>
      </c>
      <c r="CK141" s="0" t="n">
        <v>-0.00529238</v>
      </c>
      <c r="CL141" s="0" t="n">
        <v>0.03899431</v>
      </c>
      <c r="CM141" s="0" t="n">
        <v>0.11656344</v>
      </c>
      <c r="CN141" s="0" t="n">
        <v>0.02326879</v>
      </c>
      <c r="CO141" s="0" t="n">
        <v>0.04820205</v>
      </c>
      <c r="CP141" s="0" t="n">
        <v>0.06610641</v>
      </c>
      <c r="CQ141" s="0" t="n">
        <v>0.08907377</v>
      </c>
      <c r="CR141" s="0" t="n">
        <v>0.16588439</v>
      </c>
      <c r="CS141" s="0" t="n">
        <v>0.1561087</v>
      </c>
      <c r="CT141" s="0" t="n">
        <v>0.06595805</v>
      </c>
      <c r="CU141" s="0" t="n">
        <v>0.05534546</v>
      </c>
      <c r="CV141" s="0" t="n">
        <v>0.05786285</v>
      </c>
      <c r="CW141" s="0" t="n">
        <v>0.01031919</v>
      </c>
      <c r="CX141" s="0" t="n">
        <v>0.07121838</v>
      </c>
      <c r="CY141" s="0" t="n">
        <v>0.0926828</v>
      </c>
      <c r="CZ141" s="0" t="n">
        <v>0.02400933</v>
      </c>
      <c r="DA141" s="0" t="n">
        <v>0.00112399</v>
      </c>
      <c r="DB141" s="0" t="n">
        <v>0.13715421</v>
      </c>
      <c r="DC141" s="0" t="n">
        <v>0.09973514</v>
      </c>
      <c r="DD141" s="0" t="n">
        <v>0.06420549</v>
      </c>
      <c r="DE141" s="0" t="n">
        <v>0.14248377</v>
      </c>
      <c r="DF141" s="0" t="n">
        <v>-0.03838818</v>
      </c>
      <c r="DG141" s="0" t="n">
        <v>0.09832379</v>
      </c>
      <c r="DH141" s="0" t="n">
        <v>0.16180408</v>
      </c>
      <c r="DI141" s="0" t="n">
        <v>0.1147425</v>
      </c>
      <c r="DJ141" s="0" t="n">
        <v>0.07166025</v>
      </c>
      <c r="DK141" s="0" t="n">
        <v>0.13703838</v>
      </c>
      <c r="DL141" s="0" t="n">
        <v>0.07174597</v>
      </c>
      <c r="DM141" s="0" t="n">
        <v>0.08963347</v>
      </c>
      <c r="DN141" s="0" t="n">
        <v>0.05073734</v>
      </c>
      <c r="DO141" s="0" t="n">
        <v>0.20892547</v>
      </c>
      <c r="DP141" s="0" t="n">
        <v>0.07855323</v>
      </c>
      <c r="DQ141" s="0" t="n">
        <v>0.10588195</v>
      </c>
      <c r="DR141" s="0" t="n">
        <v>0.13224653</v>
      </c>
      <c r="DS141" s="0" t="n">
        <v>-0.00985277</v>
      </c>
      <c r="DT141" s="0" t="n">
        <v>0.09919915</v>
      </c>
      <c r="DU141" s="0" t="n">
        <v>0.1097361</v>
      </c>
      <c r="DV141" s="0" t="n">
        <v>0.04943214</v>
      </c>
      <c r="DW141" s="0" t="n">
        <v>0.01005585</v>
      </c>
      <c r="DX141" s="0" t="n">
        <v>0.27978072</v>
      </c>
      <c r="DY141" s="0" t="n">
        <v>0.09994096</v>
      </c>
      <c r="DZ141" s="0" t="n">
        <v>0.04651623</v>
      </c>
      <c r="EA141" s="0" t="n">
        <v>0.11687742</v>
      </c>
      <c r="EB141" s="0" t="n">
        <v>0.10260996</v>
      </c>
      <c r="EC141" s="0" t="n">
        <v>0.10411423</v>
      </c>
      <c r="ED141" s="0" t="n">
        <v>0.13818888</v>
      </c>
      <c r="EE141" s="0" t="n">
        <v>0.35283031</v>
      </c>
      <c r="EF141" s="0" t="n">
        <v>0.14531461</v>
      </c>
      <c r="EG141" s="0" t="n">
        <v>0.59853702</v>
      </c>
      <c r="EH141" s="0" t="n">
        <v>0.02284921</v>
      </c>
      <c r="EI141" s="0" t="n">
        <v>0.37560645</v>
      </c>
      <c r="EJ141" s="0" t="n">
        <v>0.13466532</v>
      </c>
      <c r="EK141" s="0" t="n">
        <v>0.26295637</v>
      </c>
      <c r="EL141" s="0" t="n">
        <v>0.2991624</v>
      </c>
      <c r="EM141" s="0" t="n">
        <v>0.11175488</v>
      </c>
      <c r="EN141" s="0" t="n">
        <v>0.11194773</v>
      </c>
      <c r="EO141" s="0" t="n">
        <v>0.1190278</v>
      </c>
      <c r="EP141" s="55" t="n">
        <f aca="false">SUMPRODUCT(B141:EO141,$B$5:$EO$5)</f>
        <v>0.105026578</v>
      </c>
      <c r="EQ141" s="55" t="n">
        <f aca="false">SUMIF('Mi portafolio'!$A$8:$A$19,$A141,'Mi portafolio'!$B$8:$B$19)</f>
        <v>0</v>
      </c>
    </row>
    <row r="142" customFormat="false" ht="15" hidden="false" customHeight="false" outlineLevel="0" collapsed="false">
      <c r="A142" s="54" t="s">
        <v>281</v>
      </c>
      <c r="B142" s="0" t="n">
        <v>0.00854188</v>
      </c>
      <c r="C142" s="0" t="n">
        <v>-0.00029547</v>
      </c>
      <c r="D142" s="0" t="n">
        <v>0.0107868</v>
      </c>
      <c r="E142" s="0" t="n">
        <v>-0.00351256</v>
      </c>
      <c r="F142" s="0" t="n">
        <v>0.00911485</v>
      </c>
      <c r="G142" s="0" t="n">
        <v>-0.01110691</v>
      </c>
      <c r="H142" s="0" t="n">
        <v>-0.00704909</v>
      </c>
      <c r="I142" s="0" t="n">
        <v>0.02269546</v>
      </c>
      <c r="J142" s="0" t="n">
        <v>0.0023186</v>
      </c>
      <c r="K142" s="0" t="n">
        <v>-0.00069278</v>
      </c>
      <c r="L142" s="0" t="n">
        <v>-1.235E-005</v>
      </c>
      <c r="M142" s="0" t="n">
        <v>0.0239783</v>
      </c>
      <c r="N142" s="0" t="n">
        <v>0.01947464</v>
      </c>
      <c r="O142" s="0" t="n">
        <v>-0.02073194</v>
      </c>
      <c r="P142" s="0" t="n">
        <v>0.01420983</v>
      </c>
      <c r="Q142" s="0" t="n">
        <v>0.00275603</v>
      </c>
      <c r="R142" s="0" t="n">
        <v>0.00266597</v>
      </c>
      <c r="S142" s="0" t="n">
        <v>-0.01408137</v>
      </c>
      <c r="T142" s="0" t="n">
        <v>0.02320303</v>
      </c>
      <c r="U142" s="0" t="n">
        <v>-0.00567567</v>
      </c>
      <c r="V142" s="0" t="n">
        <v>-0.01488545</v>
      </c>
      <c r="W142" s="0" t="n">
        <v>-0.00491323</v>
      </c>
      <c r="X142" s="0" t="n">
        <v>0.00900596</v>
      </c>
      <c r="Y142" s="0" t="n">
        <v>0.04050042</v>
      </c>
      <c r="Z142" s="0" t="n">
        <v>0.00434878</v>
      </c>
      <c r="AA142" s="0" t="n">
        <v>0.00340189</v>
      </c>
      <c r="AB142" s="0" t="n">
        <v>0.03994523</v>
      </c>
      <c r="AC142" s="0" t="n">
        <v>-0.01948956</v>
      </c>
      <c r="AD142" s="0" t="n">
        <v>-0.01524344</v>
      </c>
      <c r="AE142" s="0" t="n">
        <v>-0.01294044</v>
      </c>
      <c r="AF142" s="0" t="n">
        <v>-0.02538038</v>
      </c>
      <c r="AG142" s="0" t="n">
        <v>0.00789492</v>
      </c>
      <c r="AH142" s="0" t="n">
        <v>0.0006156</v>
      </c>
      <c r="AI142" s="0" t="n">
        <v>-0.01174901</v>
      </c>
      <c r="AJ142" s="0" t="n">
        <v>-0.00740722</v>
      </c>
      <c r="AK142" s="0" t="n">
        <v>-0.00778944</v>
      </c>
      <c r="AL142" s="0" t="n">
        <v>0.04408717</v>
      </c>
      <c r="AM142" s="0" t="n">
        <v>0.00999422</v>
      </c>
      <c r="AN142" s="0" t="n">
        <v>0.01895372</v>
      </c>
      <c r="AO142" s="0" t="n">
        <v>0.01565104</v>
      </c>
      <c r="AP142" s="0" t="n">
        <v>0.04184568</v>
      </c>
      <c r="AQ142" s="0" t="n">
        <v>-0.01494733</v>
      </c>
      <c r="AR142" s="0" t="n">
        <v>0.03147575</v>
      </c>
      <c r="AS142" s="0" t="n">
        <v>-0.00690119</v>
      </c>
      <c r="AT142" s="0" t="n">
        <v>0.05828242</v>
      </c>
      <c r="AU142" s="0" t="n">
        <v>0.00084552</v>
      </c>
      <c r="AV142" s="0" t="n">
        <v>0.00875535</v>
      </c>
      <c r="AW142" s="0" t="n">
        <v>-0.00838319</v>
      </c>
      <c r="AX142" s="0" t="n">
        <v>0.00728292</v>
      </c>
      <c r="AY142" s="0" t="n">
        <v>0.03236554</v>
      </c>
      <c r="AZ142" s="0" t="n">
        <v>-0.00329207</v>
      </c>
      <c r="BA142" s="0" t="n">
        <v>0.00150557</v>
      </c>
      <c r="BB142" s="0" t="n">
        <v>0.04942872</v>
      </c>
      <c r="BC142" s="0" t="n">
        <v>0.00848735</v>
      </c>
      <c r="BD142" s="0" t="n">
        <v>0.01357045</v>
      </c>
      <c r="BE142" s="0" t="n">
        <v>0.01987608</v>
      </c>
      <c r="BF142" s="0" t="n">
        <v>0.00096719</v>
      </c>
      <c r="BG142" s="0" t="n">
        <v>0.04756434</v>
      </c>
      <c r="BH142" s="0" t="n">
        <v>0.00548894</v>
      </c>
      <c r="BI142" s="0" t="n">
        <v>-0.01578948</v>
      </c>
      <c r="BJ142" s="0" t="n">
        <v>-0.02726589</v>
      </c>
      <c r="BK142" s="0" t="n">
        <v>-0.01436153</v>
      </c>
      <c r="BL142" s="0" t="n">
        <v>0.00530222</v>
      </c>
      <c r="BM142" s="0" t="n">
        <v>0.03583302</v>
      </c>
      <c r="BN142" s="0" t="n">
        <v>-0.01111495</v>
      </c>
      <c r="BO142" s="0" t="n">
        <v>0.05696253</v>
      </c>
      <c r="BP142" s="0" t="n">
        <v>0.07179803</v>
      </c>
      <c r="BQ142" s="0" t="n">
        <v>0.00452901</v>
      </c>
      <c r="BR142" s="0" t="n">
        <v>0.05688329</v>
      </c>
      <c r="BS142" s="0" t="n">
        <v>-0.01231396</v>
      </c>
      <c r="BT142" s="0" t="n">
        <v>0.02645471</v>
      </c>
      <c r="BU142" s="0" t="n">
        <v>-0.01648056</v>
      </c>
      <c r="BV142" s="0" t="n">
        <v>0.07200426</v>
      </c>
      <c r="BW142" s="0" t="n">
        <v>0.04874166</v>
      </c>
      <c r="BX142" s="0" t="n">
        <v>0.04022603</v>
      </c>
      <c r="BY142" s="0" t="n">
        <v>0.03560409</v>
      </c>
      <c r="BZ142" s="0" t="n">
        <v>0.05276126</v>
      </c>
      <c r="CA142" s="0" t="n">
        <v>-0.03098294</v>
      </c>
      <c r="CB142" s="0" t="n">
        <v>0.00191624</v>
      </c>
      <c r="CC142" s="0" t="n">
        <v>0.03417805</v>
      </c>
      <c r="CD142" s="0" t="n">
        <v>0.07310185</v>
      </c>
      <c r="CE142" s="0" t="n">
        <v>0.00595066</v>
      </c>
      <c r="CF142" s="0" t="n">
        <v>-0.01091553</v>
      </c>
      <c r="CG142" s="0" t="n">
        <v>0.08983428</v>
      </c>
      <c r="CH142" s="0" t="n">
        <v>-0.02191122</v>
      </c>
      <c r="CI142" s="0" t="n">
        <v>-0.03137965</v>
      </c>
      <c r="CJ142" s="0" t="n">
        <v>0.09424545</v>
      </c>
      <c r="CK142" s="0" t="n">
        <v>0.05387541</v>
      </c>
      <c r="CL142" s="0" t="n">
        <v>0.0414471</v>
      </c>
      <c r="CM142" s="0" t="n">
        <v>0.03911783</v>
      </c>
      <c r="CN142" s="0" t="n">
        <v>-0.02222196</v>
      </c>
      <c r="CO142" s="0" t="n">
        <v>0.02588386</v>
      </c>
      <c r="CP142" s="0" t="n">
        <v>0.05237302</v>
      </c>
      <c r="CQ142" s="0" t="n">
        <v>0.05031343</v>
      </c>
      <c r="CR142" s="0" t="n">
        <v>0.03082722</v>
      </c>
      <c r="CS142" s="0" t="n">
        <v>-0.02030805</v>
      </c>
      <c r="CT142" s="0" t="n">
        <v>0.06677391</v>
      </c>
      <c r="CU142" s="0" t="n">
        <v>0.0423851</v>
      </c>
      <c r="CV142" s="0" t="n">
        <v>0.05706636</v>
      </c>
      <c r="CW142" s="0" t="n">
        <v>0.1087236</v>
      </c>
      <c r="CX142" s="0" t="n">
        <v>0.0739864</v>
      </c>
      <c r="CY142" s="0" t="n">
        <v>0.05467016</v>
      </c>
      <c r="CZ142" s="0" t="n">
        <v>0.10410792</v>
      </c>
      <c r="DA142" s="0" t="n">
        <v>0.13803891</v>
      </c>
      <c r="DB142" s="0" t="n">
        <v>0.04723399</v>
      </c>
      <c r="DC142" s="0" t="n">
        <v>0.00055942</v>
      </c>
      <c r="DD142" s="0" t="n">
        <v>0.13365044</v>
      </c>
      <c r="DE142" s="0" t="n">
        <v>0.00662543</v>
      </c>
      <c r="DF142" s="0" t="n">
        <v>0.1207994</v>
      </c>
      <c r="DG142" s="0" t="n">
        <v>0.00264176</v>
      </c>
      <c r="DH142" s="0" t="n">
        <v>0.04271871</v>
      </c>
      <c r="DI142" s="0" t="n">
        <v>0.06071124</v>
      </c>
      <c r="DJ142" s="0" t="n">
        <v>0.04104796</v>
      </c>
      <c r="DK142" s="0" t="n">
        <v>0.05621636</v>
      </c>
      <c r="DL142" s="0" t="n">
        <v>-0.04183922</v>
      </c>
      <c r="DM142" s="0" t="n">
        <v>0.06087036</v>
      </c>
      <c r="DN142" s="0" t="n">
        <v>0.10308633</v>
      </c>
      <c r="DO142" s="0" t="n">
        <v>-0.00228732</v>
      </c>
      <c r="DP142" s="0" t="n">
        <v>0.08143065</v>
      </c>
      <c r="DQ142" s="0" t="n">
        <v>0.03589108</v>
      </c>
      <c r="DR142" s="0" t="n">
        <v>0.01393528</v>
      </c>
      <c r="DS142" s="0" t="n">
        <v>0.09833659</v>
      </c>
      <c r="DT142" s="0" t="n">
        <v>0.08166409</v>
      </c>
      <c r="DU142" s="0" t="n">
        <v>0.13294181</v>
      </c>
      <c r="DV142" s="0" t="n">
        <v>0.11190905</v>
      </c>
      <c r="DW142" s="0" t="n">
        <v>0.20190115</v>
      </c>
      <c r="DX142" s="0" t="n">
        <v>0.00068065</v>
      </c>
      <c r="DY142" s="0" t="n">
        <v>0.1738175</v>
      </c>
      <c r="DZ142" s="0" t="n">
        <v>0.12919243</v>
      </c>
      <c r="EA142" s="0" t="n">
        <v>0.03135895</v>
      </c>
      <c r="EB142" s="0" t="n">
        <v>0.19004461</v>
      </c>
      <c r="EC142" s="0" t="n">
        <v>-0.00622171</v>
      </c>
      <c r="ED142" s="0" t="n">
        <v>0.09532354</v>
      </c>
      <c r="EE142" s="0" t="n">
        <v>0.01013566</v>
      </c>
      <c r="EF142" s="0" t="n">
        <v>0.02985772</v>
      </c>
      <c r="EG142" s="0" t="n">
        <v>0.02284921</v>
      </c>
      <c r="EH142" s="0" t="n">
        <v>0.63029473</v>
      </c>
      <c r="EI142" s="0" t="n">
        <v>0.03150063</v>
      </c>
      <c r="EJ142" s="0" t="n">
        <v>0.1311233</v>
      </c>
      <c r="EK142" s="0" t="n">
        <v>0.1256958</v>
      </c>
      <c r="EL142" s="0" t="n">
        <v>0.08513656</v>
      </c>
      <c r="EM142" s="0" t="n">
        <v>0.29020443</v>
      </c>
      <c r="EN142" s="0" t="n">
        <v>0.11495515</v>
      </c>
      <c r="EO142" s="0" t="n">
        <v>0.08999932</v>
      </c>
      <c r="EP142" s="55" t="n">
        <f aca="false">SUMPRODUCT(B142:EO142,$B$5:$EO$5)</f>
        <v>0.025906604</v>
      </c>
      <c r="EQ142" s="55" t="n">
        <f aca="false">SUMIF('Mi portafolio'!$A$8:$A$19,$A142,'Mi portafolio'!$B$8:$B$19)</f>
        <v>0</v>
      </c>
    </row>
    <row r="143" customFormat="false" ht="15" hidden="false" customHeight="false" outlineLevel="0" collapsed="false">
      <c r="A143" s="54" t="s">
        <v>282</v>
      </c>
      <c r="B143" s="0" t="n">
        <v>-0.02635167</v>
      </c>
      <c r="C143" s="0" t="n">
        <v>0.00271397</v>
      </c>
      <c r="D143" s="0" t="n">
        <v>0.00929717</v>
      </c>
      <c r="E143" s="0" t="n">
        <v>-0.0033923</v>
      </c>
      <c r="F143" s="0" t="n">
        <v>-0.03352807</v>
      </c>
      <c r="G143" s="0" t="n">
        <v>0.00148677</v>
      </c>
      <c r="H143" s="0" t="n">
        <v>0.00507915</v>
      </c>
      <c r="I143" s="0" t="n">
        <v>-0.0380175</v>
      </c>
      <c r="J143" s="0" t="n">
        <v>-0.03056313</v>
      </c>
      <c r="K143" s="0" t="n">
        <v>-0.04083101</v>
      </c>
      <c r="L143" s="0" t="n">
        <v>0.01346183</v>
      </c>
      <c r="M143" s="0" t="n">
        <v>0.0325448</v>
      </c>
      <c r="N143" s="0" t="n">
        <v>-0.00664164</v>
      </c>
      <c r="O143" s="0" t="n">
        <v>0.00194297</v>
      </c>
      <c r="P143" s="0" t="n">
        <v>-0.03549058</v>
      </c>
      <c r="Q143" s="0" t="n">
        <v>0.00131066</v>
      </c>
      <c r="R143" s="0" t="n">
        <v>-0.04757093</v>
      </c>
      <c r="S143" s="0" t="n">
        <v>0.0006482</v>
      </c>
      <c r="T143" s="0" t="n">
        <v>0.01324784</v>
      </c>
      <c r="U143" s="0" t="n">
        <v>0.00330865</v>
      </c>
      <c r="V143" s="0" t="n">
        <v>-0.00464752</v>
      </c>
      <c r="W143" s="0" t="n">
        <v>0.00361595</v>
      </c>
      <c r="X143" s="0" t="n">
        <v>0.01759309</v>
      </c>
      <c r="Y143" s="0" t="n">
        <v>-0.02361686</v>
      </c>
      <c r="Z143" s="0" t="n">
        <v>0.01840209</v>
      </c>
      <c r="AA143" s="0" t="n">
        <v>0.01165461</v>
      </c>
      <c r="AB143" s="0" t="n">
        <v>-0.02778092</v>
      </c>
      <c r="AC143" s="0" t="n">
        <v>0.00430975</v>
      </c>
      <c r="AD143" s="0" t="n">
        <v>0.02263014</v>
      </c>
      <c r="AE143" s="0" t="n">
        <v>0.03531663</v>
      </c>
      <c r="AF143" s="0" t="n">
        <v>0.02429339</v>
      </c>
      <c r="AG143" s="0" t="n">
        <v>-0.04792572</v>
      </c>
      <c r="AH143" s="0" t="n">
        <v>-0.04482424</v>
      </c>
      <c r="AI143" s="0" t="n">
        <v>-0.04140804</v>
      </c>
      <c r="AJ143" s="0" t="n">
        <v>0.01518238</v>
      </c>
      <c r="AK143" s="0" t="n">
        <v>0.03496602</v>
      </c>
      <c r="AL143" s="0" t="n">
        <v>-3.292E-005</v>
      </c>
      <c r="AM143" s="0" t="n">
        <v>0.00510303</v>
      </c>
      <c r="AN143" s="0" t="n">
        <v>0.00263487</v>
      </c>
      <c r="AO143" s="0" t="n">
        <v>-0.02165318</v>
      </c>
      <c r="AP143" s="0" t="n">
        <v>-0.02000396</v>
      </c>
      <c r="AQ143" s="0" t="n">
        <v>-0.0345382</v>
      </c>
      <c r="AR143" s="0" t="n">
        <v>0.00634701</v>
      </c>
      <c r="AS143" s="0" t="n">
        <v>0.02473507</v>
      </c>
      <c r="AT143" s="0" t="n">
        <v>0.01657744</v>
      </c>
      <c r="AU143" s="0" t="n">
        <v>-0.03559703</v>
      </c>
      <c r="AV143" s="0" t="n">
        <v>-0.00054049</v>
      </c>
      <c r="AW143" s="0" t="n">
        <v>0.03256448</v>
      </c>
      <c r="AX143" s="0" t="n">
        <v>-0.02512427</v>
      </c>
      <c r="AY143" s="0" t="n">
        <v>0.01913025</v>
      </c>
      <c r="AZ143" s="0" t="n">
        <v>0.06599462</v>
      </c>
      <c r="BA143" s="0" t="n">
        <v>0.04479942</v>
      </c>
      <c r="BB143" s="0" t="n">
        <v>0.06449147</v>
      </c>
      <c r="BC143" s="0" t="n">
        <v>0.01646404</v>
      </c>
      <c r="BD143" s="0" t="n">
        <v>0.02253343</v>
      </c>
      <c r="BE143" s="0" t="n">
        <v>-0.00573877</v>
      </c>
      <c r="BF143" s="0" t="n">
        <v>0.02406013</v>
      </c>
      <c r="BG143" s="0" t="n">
        <v>0.01237728</v>
      </c>
      <c r="BH143" s="0" t="n">
        <v>0.01710818</v>
      </c>
      <c r="BI143" s="0" t="n">
        <v>0.00346922</v>
      </c>
      <c r="BJ143" s="0" t="n">
        <v>0.02066057</v>
      </c>
      <c r="BK143" s="0" t="n">
        <v>0.0427892</v>
      </c>
      <c r="BL143" s="0" t="n">
        <v>0.08388735</v>
      </c>
      <c r="BM143" s="0" t="n">
        <v>-0.01940784</v>
      </c>
      <c r="BN143" s="0" t="n">
        <v>0.00884591</v>
      </c>
      <c r="BO143" s="0" t="n">
        <v>0.04278498</v>
      </c>
      <c r="BP143" s="0" t="n">
        <v>0.01286382</v>
      </c>
      <c r="BQ143" s="0" t="n">
        <v>0.07076183</v>
      </c>
      <c r="BR143" s="0" t="n">
        <v>0.04068003</v>
      </c>
      <c r="BS143" s="0" t="n">
        <v>-0.00588066</v>
      </c>
      <c r="BT143" s="0" t="n">
        <v>0.07492106</v>
      </c>
      <c r="BU143" s="0" t="n">
        <v>0.01748542</v>
      </c>
      <c r="BV143" s="0" t="n">
        <v>0.04789571</v>
      </c>
      <c r="BW143" s="0" t="n">
        <v>0.03255165</v>
      </c>
      <c r="BX143" s="0" t="n">
        <v>-0.00828857</v>
      </c>
      <c r="BY143" s="0" t="n">
        <v>0.04670497</v>
      </c>
      <c r="BZ143" s="0" t="n">
        <v>0.06741507</v>
      </c>
      <c r="CA143" s="0" t="n">
        <v>0.01165974</v>
      </c>
      <c r="CB143" s="0" t="n">
        <v>-0.00587816</v>
      </c>
      <c r="CC143" s="0" t="n">
        <v>0.00591669</v>
      </c>
      <c r="CD143" s="0" t="n">
        <v>0.03149524</v>
      </c>
      <c r="CE143" s="0" t="n">
        <v>0.07032219</v>
      </c>
      <c r="CF143" s="0" t="n">
        <v>-0.02464477</v>
      </c>
      <c r="CG143" s="0" t="n">
        <v>0.01189559</v>
      </c>
      <c r="CH143" s="0" t="n">
        <v>0.11421351</v>
      </c>
      <c r="CI143" s="0" t="n">
        <v>-0.03478208</v>
      </c>
      <c r="CJ143" s="0" t="n">
        <v>-0.03302906</v>
      </c>
      <c r="CK143" s="0" t="n">
        <v>-0.02965287</v>
      </c>
      <c r="CL143" s="0" t="n">
        <v>0.07455964</v>
      </c>
      <c r="CM143" s="0" t="n">
        <v>0.13880161</v>
      </c>
      <c r="CN143" s="0" t="n">
        <v>0.01437463</v>
      </c>
      <c r="CO143" s="0" t="n">
        <v>0.0283909</v>
      </c>
      <c r="CP143" s="0" t="n">
        <v>0.02413863</v>
      </c>
      <c r="CQ143" s="0" t="n">
        <v>0.09676409</v>
      </c>
      <c r="CR143" s="0" t="n">
        <v>0.20297083</v>
      </c>
      <c r="CS143" s="0" t="n">
        <v>0.18423623</v>
      </c>
      <c r="CT143" s="0" t="n">
        <v>0.04517415</v>
      </c>
      <c r="CU143" s="0" t="n">
        <v>0.0562796</v>
      </c>
      <c r="CV143" s="0" t="n">
        <v>0.03251097</v>
      </c>
      <c r="CW143" s="0" t="n">
        <v>0.01066331</v>
      </c>
      <c r="CX143" s="0" t="n">
        <v>0.08150898</v>
      </c>
      <c r="CY143" s="0" t="n">
        <v>0.08434672</v>
      </c>
      <c r="CZ143" s="0" t="n">
        <v>0.00103307</v>
      </c>
      <c r="DA143" s="0" t="n">
        <v>-0.00510891</v>
      </c>
      <c r="DB143" s="0" t="n">
        <v>0.1289893</v>
      </c>
      <c r="DC143" s="0" t="n">
        <v>0.09970521</v>
      </c>
      <c r="DD143" s="0" t="n">
        <v>0.06375219</v>
      </c>
      <c r="DE143" s="0" t="n">
        <v>0.18748113</v>
      </c>
      <c r="DF143" s="0" t="n">
        <v>-0.05621893</v>
      </c>
      <c r="DG143" s="0" t="n">
        <v>0.14939845</v>
      </c>
      <c r="DH143" s="0" t="n">
        <v>0.19041384</v>
      </c>
      <c r="DI143" s="0" t="n">
        <v>0.10424837</v>
      </c>
      <c r="DJ143" s="0" t="n">
        <v>0.06790557</v>
      </c>
      <c r="DK143" s="0" t="n">
        <v>0.12920938</v>
      </c>
      <c r="DL143" s="0" t="n">
        <v>0.11076914</v>
      </c>
      <c r="DM143" s="0" t="n">
        <v>0.08979437</v>
      </c>
      <c r="DN143" s="0" t="n">
        <v>0.03190707</v>
      </c>
      <c r="DO143" s="0" t="n">
        <v>0.17611239</v>
      </c>
      <c r="DP143" s="0" t="n">
        <v>0.07713902</v>
      </c>
      <c r="DQ143" s="0" t="n">
        <v>0.16049339</v>
      </c>
      <c r="DR143" s="0" t="n">
        <v>0.16395842</v>
      </c>
      <c r="DS143" s="0" t="n">
        <v>-0.02179655</v>
      </c>
      <c r="DT143" s="0" t="n">
        <v>0.14662966</v>
      </c>
      <c r="DU143" s="0" t="n">
        <v>0.13602751</v>
      </c>
      <c r="DV143" s="0" t="n">
        <v>0.06438167</v>
      </c>
      <c r="DW143" s="0" t="n">
        <v>0.02218994</v>
      </c>
      <c r="DX143" s="0" t="n">
        <v>0.35638801</v>
      </c>
      <c r="DY143" s="0" t="n">
        <v>0.10764414</v>
      </c>
      <c r="DZ143" s="0" t="n">
        <v>0.04569124</v>
      </c>
      <c r="EA143" s="0" t="n">
        <v>0.12592497</v>
      </c>
      <c r="EB143" s="0" t="n">
        <v>0.09847592</v>
      </c>
      <c r="EC143" s="0" t="n">
        <v>0.08570483</v>
      </c>
      <c r="ED143" s="0" t="n">
        <v>0.13234482</v>
      </c>
      <c r="EE143" s="0" t="n">
        <v>0.35471447</v>
      </c>
      <c r="EF143" s="0" t="n">
        <v>0.16345435</v>
      </c>
      <c r="EG143" s="0" t="n">
        <v>0.37560645</v>
      </c>
      <c r="EH143" s="0" t="n">
        <v>0.03150063</v>
      </c>
      <c r="EI143" s="0" t="n">
        <v>0.65212714</v>
      </c>
      <c r="EJ143" s="0" t="n">
        <v>0.09040686</v>
      </c>
      <c r="EK143" s="0" t="n">
        <v>0.31131241</v>
      </c>
      <c r="EL143" s="0" t="n">
        <v>0.38512532</v>
      </c>
      <c r="EM143" s="0" t="n">
        <v>0.17148822</v>
      </c>
      <c r="EN143" s="0" t="n">
        <v>0.11827125</v>
      </c>
      <c r="EO143" s="0" t="n">
        <v>0.09202973</v>
      </c>
      <c r="EP143" s="55" t="n">
        <f aca="false">SUMPRODUCT(B143:EO143,$B$5:$EO$5)</f>
        <v>0.109432692</v>
      </c>
      <c r="EQ143" s="55" t="n">
        <f aca="false">SUMIF('Mi portafolio'!$A$8:$A$19,$A143,'Mi portafolio'!$B$8:$B$19)</f>
        <v>0</v>
      </c>
    </row>
    <row r="144" customFormat="false" ht="15" hidden="false" customHeight="false" outlineLevel="0" collapsed="false">
      <c r="A144" s="54" t="s">
        <v>283</v>
      </c>
      <c r="B144" s="0" t="n">
        <v>0.00840899</v>
      </c>
      <c r="C144" s="0" t="n">
        <v>-0.00303432</v>
      </c>
      <c r="D144" s="0" t="n">
        <v>0.00944369</v>
      </c>
      <c r="E144" s="0" t="n">
        <v>0.02925947</v>
      </c>
      <c r="F144" s="0" t="n">
        <v>0.00351804</v>
      </c>
      <c r="G144" s="0" t="n">
        <v>0.01934711</v>
      </c>
      <c r="H144" s="0" t="n">
        <v>0.01793195</v>
      </c>
      <c r="I144" s="0" t="n">
        <v>0.00513758</v>
      </c>
      <c r="J144" s="0" t="n">
        <v>-0.00661737</v>
      </c>
      <c r="K144" s="0" t="n">
        <v>0.00137945</v>
      </c>
      <c r="L144" s="0" t="n">
        <v>0.02548051</v>
      </c>
      <c r="M144" s="0" t="n">
        <v>0.05934779</v>
      </c>
      <c r="N144" s="0" t="n">
        <v>0.04645848</v>
      </c>
      <c r="O144" s="0" t="n">
        <v>0.01690757</v>
      </c>
      <c r="P144" s="0" t="n">
        <v>0.00242089</v>
      </c>
      <c r="Q144" s="0" t="n">
        <v>-0.00285042</v>
      </c>
      <c r="R144" s="0" t="n">
        <v>0.01032313</v>
      </c>
      <c r="S144" s="0" t="n">
        <v>0.01263043</v>
      </c>
      <c r="T144" s="0" t="n">
        <v>0.03675445</v>
      </c>
      <c r="U144" s="0" t="n">
        <v>0.03763547</v>
      </c>
      <c r="V144" s="0" t="n">
        <v>0.01184556</v>
      </c>
      <c r="W144" s="0" t="n">
        <v>0.00035193</v>
      </c>
      <c r="X144" s="0" t="n">
        <v>0.03757344</v>
      </c>
      <c r="Y144" s="0" t="n">
        <v>0.01388543</v>
      </c>
      <c r="Z144" s="0" t="n">
        <v>0.03495149</v>
      </c>
      <c r="AA144" s="0" t="n">
        <v>0.02005306</v>
      </c>
      <c r="AB144" s="0" t="n">
        <v>0.01817623</v>
      </c>
      <c r="AC144" s="0" t="n">
        <v>0.0201001</v>
      </c>
      <c r="AD144" s="0" t="n">
        <v>0.02742037</v>
      </c>
      <c r="AE144" s="0" t="n">
        <v>0.04919902</v>
      </c>
      <c r="AF144" s="0" t="n">
        <v>0.03187968</v>
      </c>
      <c r="AG144" s="0" t="n">
        <v>-0.00652696</v>
      </c>
      <c r="AH144" s="0" t="n">
        <v>-0.00464752</v>
      </c>
      <c r="AI144" s="0" t="n">
        <v>-0.00652846</v>
      </c>
      <c r="AJ144" s="0" t="n">
        <v>0.01481608</v>
      </c>
      <c r="AK144" s="0" t="n">
        <v>0.03177808</v>
      </c>
      <c r="AL144" s="0" t="n">
        <v>0.04226554</v>
      </c>
      <c r="AM144" s="0" t="n">
        <v>0.050793</v>
      </c>
      <c r="AN144" s="0" t="n">
        <v>0.03719141</v>
      </c>
      <c r="AO144" s="0" t="n">
        <v>0.02369583</v>
      </c>
      <c r="AP144" s="0" t="n">
        <v>0.05261252</v>
      </c>
      <c r="AQ144" s="0" t="n">
        <v>-0.01356216</v>
      </c>
      <c r="AR144" s="0" t="n">
        <v>0.05102931</v>
      </c>
      <c r="AS144" s="0" t="n">
        <v>0.03596264</v>
      </c>
      <c r="AT144" s="0" t="n">
        <v>0.07130341</v>
      </c>
      <c r="AU144" s="0" t="n">
        <v>-0.00221734</v>
      </c>
      <c r="AV144" s="0" t="n">
        <v>0.03928058</v>
      </c>
      <c r="AW144" s="0" t="n">
        <v>0.03470319</v>
      </c>
      <c r="AX144" s="0" t="n">
        <v>0.05671398</v>
      </c>
      <c r="AY144" s="0" t="n">
        <v>0.03358133</v>
      </c>
      <c r="AZ144" s="0" t="n">
        <v>0.05147447</v>
      </c>
      <c r="BA144" s="0" t="n">
        <v>0.03941609</v>
      </c>
      <c r="BB144" s="0" t="n">
        <v>0.06743182</v>
      </c>
      <c r="BC144" s="0" t="n">
        <v>0.03509098</v>
      </c>
      <c r="BD144" s="0" t="n">
        <v>0.04309728</v>
      </c>
      <c r="BE144" s="0" t="n">
        <v>0.04673375</v>
      </c>
      <c r="BF144" s="0" t="n">
        <v>0.05328475</v>
      </c>
      <c r="BG144" s="0" t="n">
        <v>0.05704836</v>
      </c>
      <c r="BH144" s="0" t="n">
        <v>0.03720891</v>
      </c>
      <c r="BI144" s="0" t="n">
        <v>0.02859011</v>
      </c>
      <c r="BJ144" s="0" t="n">
        <v>-0.0024677</v>
      </c>
      <c r="BK144" s="0" t="n">
        <v>0.05077395</v>
      </c>
      <c r="BL144" s="0" t="n">
        <v>0.03964967</v>
      </c>
      <c r="BM144" s="0" t="n">
        <v>0.03410746</v>
      </c>
      <c r="BN144" s="0" t="n">
        <v>0.00576959</v>
      </c>
      <c r="BO144" s="0" t="n">
        <v>0.06595215</v>
      </c>
      <c r="BP144" s="0" t="n">
        <v>0.0493622</v>
      </c>
      <c r="BQ144" s="0" t="n">
        <v>0.05354888</v>
      </c>
      <c r="BR144" s="0" t="n">
        <v>0.04831591</v>
      </c>
      <c r="BS144" s="0" t="n">
        <v>0.0068105</v>
      </c>
      <c r="BT144" s="0" t="n">
        <v>0.06757822</v>
      </c>
      <c r="BU144" s="0" t="n">
        <v>0.03392208</v>
      </c>
      <c r="BV144" s="0" t="n">
        <v>0.05403547</v>
      </c>
      <c r="BW144" s="0" t="n">
        <v>0.04535158</v>
      </c>
      <c r="BX144" s="0" t="n">
        <v>0.05541991</v>
      </c>
      <c r="BY144" s="0" t="n">
        <v>0.08181004</v>
      </c>
      <c r="BZ144" s="0" t="n">
        <v>0.07774227</v>
      </c>
      <c r="CA144" s="0" t="n">
        <v>0.0455433</v>
      </c>
      <c r="CB144" s="0" t="n">
        <v>0.01125893</v>
      </c>
      <c r="CC144" s="0" t="n">
        <v>0.03440104</v>
      </c>
      <c r="CD144" s="0" t="n">
        <v>0.07181785</v>
      </c>
      <c r="CE144" s="0" t="n">
        <v>0.02891937</v>
      </c>
      <c r="CF144" s="0" t="n">
        <v>-0.0015547</v>
      </c>
      <c r="CG144" s="0" t="n">
        <v>0.06136476</v>
      </c>
      <c r="CH144" s="0" t="n">
        <v>0.06790276</v>
      </c>
      <c r="CI144" s="0" t="n">
        <v>-0.00120866</v>
      </c>
      <c r="CJ144" s="0" t="n">
        <v>0.02679012</v>
      </c>
      <c r="CK144" s="0" t="n">
        <v>0.05863372</v>
      </c>
      <c r="CL144" s="0" t="n">
        <v>0.10305514</v>
      </c>
      <c r="CM144" s="0" t="n">
        <v>0.04803797</v>
      </c>
      <c r="CN144" s="0" t="n">
        <v>0.03816989</v>
      </c>
      <c r="CO144" s="0" t="n">
        <v>0.05710389</v>
      </c>
      <c r="CP144" s="0" t="n">
        <v>0.02910892</v>
      </c>
      <c r="CQ144" s="0" t="n">
        <v>0.13123439</v>
      </c>
      <c r="CR144" s="0" t="n">
        <v>0.10150987</v>
      </c>
      <c r="CS144" s="0" t="n">
        <v>0.08050958</v>
      </c>
      <c r="CT144" s="0" t="n">
        <v>0.08800687</v>
      </c>
      <c r="CU144" s="0" t="n">
        <v>0.06307372</v>
      </c>
      <c r="CV144" s="0" t="n">
        <v>0.05845674</v>
      </c>
      <c r="CW144" s="0" t="n">
        <v>0.05596689</v>
      </c>
      <c r="CX144" s="0" t="n">
        <v>0.09382112</v>
      </c>
      <c r="CY144" s="0" t="n">
        <v>0.12330326</v>
      </c>
      <c r="CZ144" s="0" t="n">
        <v>0.07657555</v>
      </c>
      <c r="DA144" s="0" t="n">
        <v>0.1220212</v>
      </c>
      <c r="DB144" s="0" t="n">
        <v>0.12396151</v>
      </c>
      <c r="DC144" s="0" t="n">
        <v>0.10679919</v>
      </c>
      <c r="DD144" s="0" t="n">
        <v>0.12121723</v>
      </c>
      <c r="DE144" s="0" t="n">
        <v>0.07605986</v>
      </c>
      <c r="DF144" s="0" t="n">
        <v>0.06234911</v>
      </c>
      <c r="DG144" s="0" t="n">
        <v>0.05222816</v>
      </c>
      <c r="DH144" s="0" t="n">
        <v>0.08364716</v>
      </c>
      <c r="DI144" s="0" t="n">
        <v>0.13254122</v>
      </c>
      <c r="DJ144" s="0" t="n">
        <v>0.14764301</v>
      </c>
      <c r="DK144" s="0" t="n">
        <v>0.14968577</v>
      </c>
      <c r="DL144" s="0" t="n">
        <v>0.02393282</v>
      </c>
      <c r="DM144" s="0" t="n">
        <v>0.13460311</v>
      </c>
      <c r="DN144" s="0" t="n">
        <v>0.0574817</v>
      </c>
      <c r="DO144" s="0" t="n">
        <v>0.1045259</v>
      </c>
      <c r="DP144" s="0" t="n">
        <v>0.13661977</v>
      </c>
      <c r="DQ144" s="0" t="n">
        <v>0.09761047</v>
      </c>
      <c r="DR144" s="0" t="n">
        <v>0.11835988</v>
      </c>
      <c r="DS144" s="0" t="n">
        <v>0.07685474</v>
      </c>
      <c r="DT144" s="0" t="n">
        <v>0.140014</v>
      </c>
      <c r="DU144" s="0" t="n">
        <v>0.16223915</v>
      </c>
      <c r="DV144" s="0" t="n">
        <v>0.09624081</v>
      </c>
      <c r="DW144" s="0" t="n">
        <v>0.1139104</v>
      </c>
      <c r="DX144" s="0" t="n">
        <v>0.09472368</v>
      </c>
      <c r="DY144" s="0" t="n">
        <v>0.11234892</v>
      </c>
      <c r="DZ144" s="0" t="n">
        <v>0.07175959</v>
      </c>
      <c r="EA144" s="0" t="n">
        <v>0.17793514</v>
      </c>
      <c r="EB144" s="0" t="n">
        <v>0.18729728</v>
      </c>
      <c r="EC144" s="0" t="n">
        <v>0.0653112</v>
      </c>
      <c r="ED144" s="0" t="n">
        <v>0.23418379</v>
      </c>
      <c r="EE144" s="0" t="n">
        <v>0.13812919</v>
      </c>
      <c r="EF144" s="0" t="n">
        <v>0.05179351</v>
      </c>
      <c r="EG144" s="0" t="n">
        <v>0.13466532</v>
      </c>
      <c r="EH144" s="0" t="n">
        <v>0.1311233</v>
      </c>
      <c r="EI144" s="0" t="n">
        <v>0.09040686</v>
      </c>
      <c r="EJ144" s="0" t="n">
        <v>0.6995876</v>
      </c>
      <c r="EK144" s="0" t="n">
        <v>0.24938724</v>
      </c>
      <c r="EL144" s="0" t="n">
        <v>0.21853725</v>
      </c>
      <c r="EM144" s="0" t="n">
        <v>0.29881145</v>
      </c>
      <c r="EN144" s="0" t="n">
        <v>0.24795305</v>
      </c>
      <c r="EO144" s="0" t="n">
        <v>0.11656583</v>
      </c>
      <c r="EP144" s="55" t="n">
        <f aca="false">SUMPRODUCT(B144:EO144,$B$5:$EO$5)</f>
        <v>0.079002492</v>
      </c>
      <c r="EQ144" s="55" t="n">
        <f aca="false">SUMIF('Mi portafolio'!$A$8:$A$19,$A144,'Mi portafolio'!$B$8:$B$19)</f>
        <v>0</v>
      </c>
    </row>
    <row r="145" customFormat="false" ht="15" hidden="false" customHeight="false" outlineLevel="0" collapsed="false">
      <c r="A145" s="54" t="s">
        <v>284</v>
      </c>
      <c r="B145" s="0" t="n">
        <v>-0.0042044</v>
      </c>
      <c r="C145" s="0" t="n">
        <v>0.00594633</v>
      </c>
      <c r="D145" s="0" t="n">
        <v>0.00667017</v>
      </c>
      <c r="E145" s="0" t="n">
        <v>0.0098461</v>
      </c>
      <c r="F145" s="0" t="n">
        <v>-0.00839449</v>
      </c>
      <c r="G145" s="0" t="n">
        <v>0.00856928</v>
      </c>
      <c r="H145" s="0" t="n">
        <v>0.009993</v>
      </c>
      <c r="I145" s="0" t="n">
        <v>-0.00176889</v>
      </c>
      <c r="J145" s="0" t="n">
        <v>-0.01469069</v>
      </c>
      <c r="K145" s="0" t="n">
        <v>-0.01315408</v>
      </c>
      <c r="L145" s="0" t="n">
        <v>0.01985655</v>
      </c>
      <c r="M145" s="0" t="n">
        <v>0.05277512</v>
      </c>
      <c r="N145" s="0" t="n">
        <v>0.02043957</v>
      </c>
      <c r="O145" s="0" t="n">
        <v>0.01576573</v>
      </c>
      <c r="P145" s="0" t="n">
        <v>-0.00752886</v>
      </c>
      <c r="Q145" s="0" t="n">
        <v>0.00268797</v>
      </c>
      <c r="R145" s="0" t="n">
        <v>-0.00387414</v>
      </c>
      <c r="S145" s="0" t="n">
        <v>-0.00944358</v>
      </c>
      <c r="T145" s="0" t="n">
        <v>0.03770941</v>
      </c>
      <c r="U145" s="0" t="n">
        <v>0.02751942</v>
      </c>
      <c r="V145" s="0" t="n">
        <v>0.00771875</v>
      </c>
      <c r="W145" s="0" t="n">
        <v>0.02414732</v>
      </c>
      <c r="X145" s="0" t="n">
        <v>0.05957476</v>
      </c>
      <c r="Y145" s="0" t="n">
        <v>0.00169673</v>
      </c>
      <c r="Z145" s="0" t="n">
        <v>0.02578423</v>
      </c>
      <c r="AA145" s="0" t="n">
        <v>0.01053286</v>
      </c>
      <c r="AB145" s="0" t="n">
        <v>-0.00200389</v>
      </c>
      <c r="AC145" s="0" t="n">
        <v>0.02982845</v>
      </c>
      <c r="AD145" s="0" t="n">
        <v>0.02355741</v>
      </c>
      <c r="AE145" s="0" t="n">
        <v>0.02251795</v>
      </c>
      <c r="AF145" s="0" t="n">
        <v>0.02189203</v>
      </c>
      <c r="AG145" s="0" t="n">
        <v>-0.00982167</v>
      </c>
      <c r="AH145" s="0" t="n">
        <v>-0.00728761</v>
      </c>
      <c r="AI145" s="0" t="n">
        <v>0.01041972</v>
      </c>
      <c r="AJ145" s="0" t="n">
        <v>0.02722046</v>
      </c>
      <c r="AK145" s="0" t="n">
        <v>0.0314168</v>
      </c>
      <c r="AL145" s="0" t="n">
        <v>0.01709196</v>
      </c>
      <c r="AM145" s="0" t="n">
        <v>0.03852638</v>
      </c>
      <c r="AN145" s="0" t="n">
        <v>0.02000734</v>
      </c>
      <c r="AO145" s="0" t="n">
        <v>-8.876E-005</v>
      </c>
      <c r="AP145" s="0" t="n">
        <v>0.03553151</v>
      </c>
      <c r="AQ145" s="0" t="n">
        <v>0.00400097</v>
      </c>
      <c r="AR145" s="0" t="n">
        <v>0.0446266</v>
      </c>
      <c r="AS145" s="0" t="n">
        <v>0.02261131</v>
      </c>
      <c r="AT145" s="0" t="n">
        <v>0.04997776</v>
      </c>
      <c r="AU145" s="0" t="n">
        <v>-0.00483925</v>
      </c>
      <c r="AV145" s="0" t="n">
        <v>0.0395413</v>
      </c>
      <c r="AW145" s="0" t="n">
        <v>0.03308195</v>
      </c>
      <c r="AX145" s="0" t="n">
        <v>0.02727485</v>
      </c>
      <c r="AY145" s="0" t="n">
        <v>0.03449696</v>
      </c>
      <c r="AZ145" s="0" t="n">
        <v>0.03576912</v>
      </c>
      <c r="BA145" s="0" t="n">
        <v>0.04328144</v>
      </c>
      <c r="BB145" s="0" t="n">
        <v>0.08720459</v>
      </c>
      <c r="BC145" s="0" t="n">
        <v>0.04751068</v>
      </c>
      <c r="BD145" s="0" t="n">
        <v>0.04128966</v>
      </c>
      <c r="BE145" s="0" t="n">
        <v>0.02453182</v>
      </c>
      <c r="BF145" s="0" t="n">
        <v>0.03942861</v>
      </c>
      <c r="BG145" s="0" t="n">
        <v>0.05169426</v>
      </c>
      <c r="BH145" s="0" t="n">
        <v>0.04581837</v>
      </c>
      <c r="BI145" s="0" t="n">
        <v>0.00583308</v>
      </c>
      <c r="BJ145" s="0" t="n">
        <v>0.01639179</v>
      </c>
      <c r="BK145" s="0" t="n">
        <v>0.04158708</v>
      </c>
      <c r="BL145" s="0" t="n">
        <v>0.08317567</v>
      </c>
      <c r="BM145" s="0" t="n">
        <v>0.03257011</v>
      </c>
      <c r="BN145" s="0" t="n">
        <v>0.01578541</v>
      </c>
      <c r="BO145" s="0" t="n">
        <v>0.05895587</v>
      </c>
      <c r="BP145" s="0" t="n">
        <v>0.07703673</v>
      </c>
      <c r="BQ145" s="0" t="n">
        <v>0.08056474</v>
      </c>
      <c r="BR145" s="0" t="n">
        <v>0.06802234</v>
      </c>
      <c r="BS145" s="0" t="n">
        <v>0.0241278</v>
      </c>
      <c r="BT145" s="0" t="n">
        <v>0.07911439</v>
      </c>
      <c r="BU145" s="0" t="n">
        <v>0.00218105</v>
      </c>
      <c r="BV145" s="0" t="n">
        <v>0.07217168</v>
      </c>
      <c r="BW145" s="0" t="n">
        <v>0.05037382</v>
      </c>
      <c r="BX145" s="0" t="n">
        <v>0.02228936</v>
      </c>
      <c r="BY145" s="0" t="n">
        <v>0.0750887</v>
      </c>
      <c r="BZ145" s="0" t="n">
        <v>0.0845147</v>
      </c>
      <c r="CA145" s="0" t="n">
        <v>0.03787298</v>
      </c>
      <c r="CB145" s="0" t="n">
        <v>0.00550963</v>
      </c>
      <c r="CC145" s="0" t="n">
        <v>0.04652451</v>
      </c>
      <c r="CD145" s="0" t="n">
        <v>0.04640946</v>
      </c>
      <c r="CE145" s="0" t="n">
        <v>0.08292405</v>
      </c>
      <c r="CF145" s="0" t="n">
        <v>0.01238031</v>
      </c>
      <c r="CG145" s="0" t="n">
        <v>0.02955961</v>
      </c>
      <c r="CH145" s="0" t="n">
        <v>0.11367339</v>
      </c>
      <c r="CI145" s="0" t="n">
        <v>0.02479314</v>
      </c>
      <c r="CJ145" s="0" t="n">
        <v>0.04494438</v>
      </c>
      <c r="CK145" s="0" t="n">
        <v>0.00625013</v>
      </c>
      <c r="CL145" s="0" t="n">
        <v>0.07294921</v>
      </c>
      <c r="CM145" s="0" t="n">
        <v>0.12857405</v>
      </c>
      <c r="CN145" s="0" t="n">
        <v>0.03694781</v>
      </c>
      <c r="CO145" s="0" t="n">
        <v>0.01738245</v>
      </c>
      <c r="CP145" s="0" t="n">
        <v>0.05898762</v>
      </c>
      <c r="CQ145" s="0" t="n">
        <v>0.10856993</v>
      </c>
      <c r="CR145" s="0" t="n">
        <v>0.16262453</v>
      </c>
      <c r="CS145" s="0" t="n">
        <v>0.16913479</v>
      </c>
      <c r="CT145" s="0" t="n">
        <v>0.09865229</v>
      </c>
      <c r="CU145" s="0" t="n">
        <v>0.101073</v>
      </c>
      <c r="CV145" s="0" t="n">
        <v>0.03471282</v>
      </c>
      <c r="CW145" s="0" t="n">
        <v>0.07095169</v>
      </c>
      <c r="CX145" s="0" t="n">
        <v>0.11832006</v>
      </c>
      <c r="CY145" s="0" t="n">
        <v>0.07866027</v>
      </c>
      <c r="CZ145" s="0" t="n">
        <v>0.04915731</v>
      </c>
      <c r="DA145" s="0" t="n">
        <v>0.0915851</v>
      </c>
      <c r="DB145" s="0" t="n">
        <v>0.15447163</v>
      </c>
      <c r="DC145" s="0" t="n">
        <v>0.0732864</v>
      </c>
      <c r="DD145" s="0" t="n">
        <v>0.14297052</v>
      </c>
      <c r="DE145" s="0" t="n">
        <v>0.18494657</v>
      </c>
      <c r="DF145" s="0" t="n">
        <v>0.02214135</v>
      </c>
      <c r="DG145" s="0" t="n">
        <v>0.1676199</v>
      </c>
      <c r="DH145" s="0" t="n">
        <v>0.16459773</v>
      </c>
      <c r="DI145" s="0" t="n">
        <v>0.12346303</v>
      </c>
      <c r="DJ145" s="0" t="n">
        <v>0.05449682</v>
      </c>
      <c r="DK145" s="0" t="n">
        <v>0.14578875</v>
      </c>
      <c r="DL145" s="0" t="n">
        <v>0.11289196</v>
      </c>
      <c r="DM145" s="0" t="n">
        <v>0.08630713</v>
      </c>
      <c r="DN145" s="0" t="n">
        <v>0.08070249</v>
      </c>
      <c r="DO145" s="0" t="n">
        <v>0.15215493</v>
      </c>
      <c r="DP145" s="0" t="n">
        <v>0.07185434</v>
      </c>
      <c r="DQ145" s="0" t="n">
        <v>0.11590082</v>
      </c>
      <c r="DR145" s="0" t="n">
        <v>0.15478083</v>
      </c>
      <c r="DS145" s="0" t="n">
        <v>-0.00333816</v>
      </c>
      <c r="DT145" s="0" t="n">
        <v>0.18576203</v>
      </c>
      <c r="DU145" s="0" t="n">
        <v>0.25923246</v>
      </c>
      <c r="DV145" s="0" t="n">
        <v>0.13227947</v>
      </c>
      <c r="DW145" s="0" t="n">
        <v>0.08477243</v>
      </c>
      <c r="DX145" s="0" t="n">
        <v>0.24390878</v>
      </c>
      <c r="DY145" s="0" t="n">
        <v>0.15832996</v>
      </c>
      <c r="DZ145" s="0" t="n">
        <v>0.06954015</v>
      </c>
      <c r="EA145" s="0" t="n">
        <v>0.13744845</v>
      </c>
      <c r="EB145" s="0" t="n">
        <v>0.22994164</v>
      </c>
      <c r="EC145" s="0" t="n">
        <v>0.09683114</v>
      </c>
      <c r="ED145" s="0" t="n">
        <v>0.21699058</v>
      </c>
      <c r="EE145" s="0" t="n">
        <v>0.31514615</v>
      </c>
      <c r="EF145" s="0" t="n">
        <v>0.16721202</v>
      </c>
      <c r="EG145" s="0" t="n">
        <v>0.26295637</v>
      </c>
      <c r="EH145" s="0" t="n">
        <v>0.1256958</v>
      </c>
      <c r="EI145" s="0" t="n">
        <v>0.31131241</v>
      </c>
      <c r="EJ145" s="0" t="n">
        <v>0.24938724</v>
      </c>
      <c r="EK145" s="0" t="n">
        <v>0.73070519</v>
      </c>
      <c r="EL145" s="0" t="n">
        <v>0.58426766</v>
      </c>
      <c r="EM145" s="0" t="n">
        <v>0.2391478</v>
      </c>
      <c r="EN145" s="0" t="n">
        <v>0.21700139</v>
      </c>
      <c r="EO145" s="0" t="n">
        <v>0.27755521</v>
      </c>
      <c r="EP145" s="55" t="n">
        <f aca="false">SUMPRODUCT(B145:EO145,$B$5:$EO$5)</f>
        <v>0.114452672</v>
      </c>
      <c r="EQ145" s="55" t="n">
        <f aca="false">SUMIF('Mi portafolio'!$A$8:$A$19,$A145,'Mi portafolio'!$B$8:$B$19)</f>
        <v>0</v>
      </c>
    </row>
    <row r="146" customFormat="false" ht="15" hidden="false" customHeight="false" outlineLevel="0" collapsed="false">
      <c r="A146" s="54" t="s">
        <v>285</v>
      </c>
      <c r="B146" s="0" t="n">
        <v>-0.01566089</v>
      </c>
      <c r="C146" s="0" t="n">
        <v>0.00245528</v>
      </c>
      <c r="D146" s="0" t="n">
        <v>0.01516864</v>
      </c>
      <c r="E146" s="0" t="n">
        <v>0.01479324</v>
      </c>
      <c r="F146" s="0" t="n">
        <v>-0.02838287</v>
      </c>
      <c r="G146" s="0" t="n">
        <v>0.00862281</v>
      </c>
      <c r="H146" s="0" t="n">
        <v>0.01731297</v>
      </c>
      <c r="I146" s="0" t="n">
        <v>-0.01720774</v>
      </c>
      <c r="J146" s="0" t="n">
        <v>-0.0136148</v>
      </c>
      <c r="K146" s="0" t="n">
        <v>-0.01756233</v>
      </c>
      <c r="L146" s="0" t="n">
        <v>0.02565909</v>
      </c>
      <c r="M146" s="0" t="n">
        <v>0.06097023</v>
      </c>
      <c r="N146" s="0" t="n">
        <v>0.00352495</v>
      </c>
      <c r="O146" s="0" t="n">
        <v>0.0335106</v>
      </c>
      <c r="P146" s="0" t="n">
        <v>-0.01793577</v>
      </c>
      <c r="Q146" s="0" t="n">
        <v>0.00510985</v>
      </c>
      <c r="R146" s="0" t="n">
        <v>-0.02673107</v>
      </c>
      <c r="S146" s="0" t="n">
        <v>0.00180536</v>
      </c>
      <c r="T146" s="0" t="n">
        <v>0.0437672</v>
      </c>
      <c r="U146" s="0" t="n">
        <v>0.04297756</v>
      </c>
      <c r="V146" s="0" t="n">
        <v>0.02318572</v>
      </c>
      <c r="W146" s="0" t="n">
        <v>0.02510324</v>
      </c>
      <c r="X146" s="0" t="n">
        <v>0.05543854</v>
      </c>
      <c r="Y146" s="0" t="n">
        <v>-0.01112472</v>
      </c>
      <c r="Z146" s="0" t="n">
        <v>0.02480104</v>
      </c>
      <c r="AA146" s="0" t="n">
        <v>0.02302835</v>
      </c>
      <c r="AB146" s="0" t="n">
        <v>-0.01374073</v>
      </c>
      <c r="AC146" s="0" t="n">
        <v>0.02667435</v>
      </c>
      <c r="AD146" s="0" t="n">
        <v>0.03459695</v>
      </c>
      <c r="AE146" s="0" t="n">
        <v>0.04157183</v>
      </c>
      <c r="AF146" s="0" t="n">
        <v>0.0378102</v>
      </c>
      <c r="AG146" s="0" t="n">
        <v>-0.04072835</v>
      </c>
      <c r="AH146" s="0" t="n">
        <v>-0.0446618</v>
      </c>
      <c r="AI146" s="0" t="n">
        <v>-0.03931948</v>
      </c>
      <c r="AJ146" s="0" t="n">
        <v>0.03918947</v>
      </c>
      <c r="AK146" s="0" t="n">
        <v>0.06161566</v>
      </c>
      <c r="AL146" s="0" t="n">
        <v>0.02343258</v>
      </c>
      <c r="AM146" s="0" t="n">
        <v>0.05214932</v>
      </c>
      <c r="AN146" s="0" t="n">
        <v>0.03011008</v>
      </c>
      <c r="AO146" s="0" t="n">
        <v>-0.01151326</v>
      </c>
      <c r="AP146" s="0" t="n">
        <v>0.02533111</v>
      </c>
      <c r="AQ146" s="0" t="n">
        <v>-0.03308729</v>
      </c>
      <c r="AR146" s="0" t="n">
        <v>0.03803791</v>
      </c>
      <c r="AS146" s="0" t="n">
        <v>0.04061304</v>
      </c>
      <c r="AT146" s="0" t="n">
        <v>0.04810219</v>
      </c>
      <c r="AU146" s="0" t="n">
        <v>-0.00452082</v>
      </c>
      <c r="AV146" s="0" t="n">
        <v>0.04161647</v>
      </c>
      <c r="AW146" s="0" t="n">
        <v>0.0417962</v>
      </c>
      <c r="AX146" s="0" t="n">
        <v>0.00021492</v>
      </c>
      <c r="AY146" s="0" t="n">
        <v>0.03321932</v>
      </c>
      <c r="AZ146" s="0" t="n">
        <v>0.06186244</v>
      </c>
      <c r="BA146" s="0" t="n">
        <v>0.04224772</v>
      </c>
      <c r="BB146" s="0" t="n">
        <v>0.09981241</v>
      </c>
      <c r="BC146" s="0" t="n">
        <v>0.04029547</v>
      </c>
      <c r="BD146" s="0" t="n">
        <v>0.06053425</v>
      </c>
      <c r="BE146" s="0" t="n">
        <v>0.01718043</v>
      </c>
      <c r="BF146" s="0" t="n">
        <v>0.04552421</v>
      </c>
      <c r="BG146" s="0" t="n">
        <v>0.04723386</v>
      </c>
      <c r="BH146" s="0" t="n">
        <v>0.04325857</v>
      </c>
      <c r="BI146" s="0" t="n">
        <v>0.02680823</v>
      </c>
      <c r="BJ146" s="0" t="n">
        <v>0.03117108</v>
      </c>
      <c r="BK146" s="0" t="n">
        <v>0.05891108</v>
      </c>
      <c r="BL146" s="0" t="n">
        <v>0.09852181</v>
      </c>
      <c r="BM146" s="0" t="n">
        <v>0.02034148</v>
      </c>
      <c r="BN146" s="0" t="n">
        <v>-0.00498587</v>
      </c>
      <c r="BO146" s="0" t="n">
        <v>0.05763027</v>
      </c>
      <c r="BP146" s="0" t="n">
        <v>0.06839088</v>
      </c>
      <c r="BQ146" s="0" t="n">
        <v>0.09613556</v>
      </c>
      <c r="BR146" s="0" t="n">
        <v>0.0808239</v>
      </c>
      <c r="BS146" s="0" t="n">
        <v>-0.02732355</v>
      </c>
      <c r="BT146" s="0" t="n">
        <v>0.11910652</v>
      </c>
      <c r="BU146" s="0" t="n">
        <v>0.02959171</v>
      </c>
      <c r="BV146" s="0" t="n">
        <v>0.06441336</v>
      </c>
      <c r="BW146" s="0" t="n">
        <v>0.05520334</v>
      </c>
      <c r="BX146" s="0" t="n">
        <v>0.01894769</v>
      </c>
      <c r="BY146" s="0" t="n">
        <v>0.06975779</v>
      </c>
      <c r="BZ146" s="0" t="n">
        <v>0.09449335</v>
      </c>
      <c r="CA146" s="0" t="n">
        <v>0.0589226</v>
      </c>
      <c r="CB146" s="0" t="n">
        <v>-0.02405573</v>
      </c>
      <c r="CC146" s="0" t="n">
        <v>0.01456662</v>
      </c>
      <c r="CD146" s="0" t="n">
        <v>0.05259236</v>
      </c>
      <c r="CE146" s="0" t="n">
        <v>0.06679256</v>
      </c>
      <c r="CF146" s="0" t="n">
        <v>-0.0445153</v>
      </c>
      <c r="CG146" s="0" t="n">
        <v>0.02357021</v>
      </c>
      <c r="CH146" s="0" t="n">
        <v>0.15254164</v>
      </c>
      <c r="CI146" s="0" t="n">
        <v>-0.04074477</v>
      </c>
      <c r="CJ146" s="0" t="n">
        <v>-0.01057263</v>
      </c>
      <c r="CK146" s="0" t="n">
        <v>-0.00890106</v>
      </c>
      <c r="CL146" s="0" t="n">
        <v>0.07048363</v>
      </c>
      <c r="CM146" s="0" t="n">
        <v>0.14400357</v>
      </c>
      <c r="CN146" s="0" t="n">
        <v>0.04741943</v>
      </c>
      <c r="CO146" s="0" t="n">
        <v>0.02788134</v>
      </c>
      <c r="CP146" s="0" t="n">
        <v>0.04640274</v>
      </c>
      <c r="CQ146" s="0" t="n">
        <v>0.13079588</v>
      </c>
      <c r="CR146" s="0" t="n">
        <v>0.20044725</v>
      </c>
      <c r="CS146" s="0" t="n">
        <v>0.18591461</v>
      </c>
      <c r="CT146" s="0" t="n">
        <v>0.09094992</v>
      </c>
      <c r="CU146" s="0" t="n">
        <v>0.10315972</v>
      </c>
      <c r="CV146" s="0" t="n">
        <v>0.04292407</v>
      </c>
      <c r="CW146" s="0" t="n">
        <v>0.08185656</v>
      </c>
      <c r="CX146" s="0" t="n">
        <v>0.1264702</v>
      </c>
      <c r="CY146" s="0" t="n">
        <v>0.11126319</v>
      </c>
      <c r="CZ146" s="0" t="n">
        <v>0.02882622</v>
      </c>
      <c r="DA146" s="0" t="n">
        <v>0.05704543</v>
      </c>
      <c r="DB146" s="0" t="n">
        <v>0.14468746</v>
      </c>
      <c r="DC146" s="0" t="n">
        <v>0.12807117</v>
      </c>
      <c r="DD146" s="0" t="n">
        <v>0.1172497</v>
      </c>
      <c r="DE146" s="0" t="n">
        <v>0.21629325</v>
      </c>
      <c r="DF146" s="0" t="n">
        <v>-0.02556866</v>
      </c>
      <c r="DG146" s="0" t="n">
        <v>0.1984797</v>
      </c>
      <c r="DH146" s="0" t="n">
        <v>0.17676799</v>
      </c>
      <c r="DI146" s="0" t="n">
        <v>0.13884292</v>
      </c>
      <c r="DJ146" s="0" t="n">
        <v>0.09298337</v>
      </c>
      <c r="DK146" s="0" t="n">
        <v>0.18310683</v>
      </c>
      <c r="DL146" s="0" t="n">
        <v>0.15831282</v>
      </c>
      <c r="DM146" s="0" t="n">
        <v>0.12732914</v>
      </c>
      <c r="DN146" s="0" t="n">
        <v>0.03927467</v>
      </c>
      <c r="DO146" s="0" t="n">
        <v>0.15570523</v>
      </c>
      <c r="DP146" s="0" t="n">
        <v>0.11654675</v>
      </c>
      <c r="DQ146" s="0" t="n">
        <v>0.13429585</v>
      </c>
      <c r="DR146" s="0" t="n">
        <v>0.17781117</v>
      </c>
      <c r="DS146" s="0" t="n">
        <v>0.01126064</v>
      </c>
      <c r="DT146" s="0" t="n">
        <v>0.18519361</v>
      </c>
      <c r="DU146" s="0" t="n">
        <v>0.25106394</v>
      </c>
      <c r="DV146" s="0" t="n">
        <v>0.10330307</v>
      </c>
      <c r="DW146" s="0" t="n">
        <v>0.09437701</v>
      </c>
      <c r="DX146" s="0" t="n">
        <v>0.29069713</v>
      </c>
      <c r="DY146" s="0" t="n">
        <v>0.16325821</v>
      </c>
      <c r="DZ146" s="0" t="n">
        <v>0.04874717</v>
      </c>
      <c r="EA146" s="0" t="n">
        <v>0.16372249</v>
      </c>
      <c r="EB146" s="0" t="n">
        <v>0.21004231</v>
      </c>
      <c r="EC146" s="0" t="n">
        <v>0.11689083</v>
      </c>
      <c r="ED146" s="0" t="n">
        <v>0.1741262</v>
      </c>
      <c r="EE146" s="0" t="n">
        <v>0.34889616</v>
      </c>
      <c r="EF146" s="0" t="n">
        <v>0.19873584</v>
      </c>
      <c r="EG146" s="0" t="n">
        <v>0.2991624</v>
      </c>
      <c r="EH146" s="0" t="n">
        <v>0.08513656</v>
      </c>
      <c r="EI146" s="0" t="n">
        <v>0.38512532</v>
      </c>
      <c r="EJ146" s="0" t="n">
        <v>0.21853725</v>
      </c>
      <c r="EK146" s="0" t="n">
        <v>0.58426766</v>
      </c>
      <c r="EL146" s="0" t="n">
        <v>0.77148317</v>
      </c>
      <c r="EM146" s="0" t="n">
        <v>0.27857308</v>
      </c>
      <c r="EN146" s="0" t="n">
        <v>0.17954568</v>
      </c>
      <c r="EO146" s="0" t="n">
        <v>0.21183942</v>
      </c>
      <c r="EP146" s="55" t="n">
        <f aca="false">SUMPRODUCT(B146:EO146,$B$5:$EO$5)</f>
        <v>0.125552584</v>
      </c>
      <c r="EQ146" s="55" t="n">
        <f aca="false">SUMIF('Mi portafolio'!$A$8:$A$19,$A146,'Mi portafolio'!$B$8:$B$19)</f>
        <v>0</v>
      </c>
    </row>
    <row r="147" customFormat="false" ht="15" hidden="false" customHeight="false" outlineLevel="0" collapsed="false">
      <c r="A147" s="54" t="s">
        <v>286</v>
      </c>
      <c r="B147" s="0" t="n">
        <v>-0.01379308</v>
      </c>
      <c r="C147" s="0" t="n">
        <v>-0.0110707</v>
      </c>
      <c r="D147" s="0" t="n">
        <v>0.0047183</v>
      </c>
      <c r="E147" s="0" t="n">
        <v>0.00872733</v>
      </c>
      <c r="F147" s="0" t="n">
        <v>-0.01905225</v>
      </c>
      <c r="G147" s="0" t="n">
        <v>-0.00965449</v>
      </c>
      <c r="H147" s="0" t="n">
        <v>0.00540652</v>
      </c>
      <c r="I147" s="0" t="n">
        <v>-0.0002314</v>
      </c>
      <c r="J147" s="0" t="n">
        <v>-0.01899272</v>
      </c>
      <c r="K147" s="0" t="n">
        <v>-0.02091744</v>
      </c>
      <c r="L147" s="0" t="n">
        <v>0.00391131</v>
      </c>
      <c r="M147" s="0" t="n">
        <v>0.04306573</v>
      </c>
      <c r="N147" s="0" t="n">
        <v>0.01865286</v>
      </c>
      <c r="O147" s="0" t="n">
        <v>0.0085647</v>
      </c>
      <c r="P147" s="0" t="n">
        <v>-0.04239034</v>
      </c>
      <c r="Q147" s="0" t="n">
        <v>0.0006974</v>
      </c>
      <c r="R147" s="0" t="n">
        <v>-0.0180729</v>
      </c>
      <c r="S147" s="0" t="n">
        <v>0.00745848</v>
      </c>
      <c r="T147" s="0" t="n">
        <v>0.01797549</v>
      </c>
      <c r="U147" s="0" t="n">
        <v>0.02347707</v>
      </c>
      <c r="V147" s="0" t="n">
        <v>-0.02580805</v>
      </c>
      <c r="W147" s="0" t="n">
        <v>0.00390304</v>
      </c>
      <c r="X147" s="0" t="n">
        <v>0.03023444</v>
      </c>
      <c r="Y147" s="0" t="n">
        <v>-0.00442806</v>
      </c>
      <c r="Z147" s="0" t="n">
        <v>0.02101852</v>
      </c>
      <c r="AA147" s="0" t="n">
        <v>-0.00344385</v>
      </c>
      <c r="AB147" s="0" t="n">
        <v>0.01426435</v>
      </c>
      <c r="AC147" s="0" t="n">
        <v>-0.00222096</v>
      </c>
      <c r="AD147" s="0" t="n">
        <v>0.01640183</v>
      </c>
      <c r="AE147" s="0" t="n">
        <v>-0.01550345</v>
      </c>
      <c r="AF147" s="0" t="n">
        <v>0.00312404</v>
      </c>
      <c r="AG147" s="0" t="n">
        <v>-0.02184462</v>
      </c>
      <c r="AH147" s="0" t="n">
        <v>-0.00988824</v>
      </c>
      <c r="AI147" s="0" t="n">
        <v>-0.01942743</v>
      </c>
      <c r="AJ147" s="0" t="n">
        <v>0.00710611</v>
      </c>
      <c r="AK147" s="0" t="n">
        <v>0.00381124</v>
      </c>
      <c r="AL147" s="0" t="n">
        <v>0.0220917</v>
      </c>
      <c r="AM147" s="0" t="n">
        <v>0.03277786</v>
      </c>
      <c r="AN147" s="0" t="n">
        <v>0.01088081</v>
      </c>
      <c r="AO147" s="0" t="n">
        <v>-0.01229629</v>
      </c>
      <c r="AP147" s="0" t="n">
        <v>0.04823076</v>
      </c>
      <c r="AQ147" s="0" t="n">
        <v>-0.01668665</v>
      </c>
      <c r="AR147" s="0" t="n">
        <v>0.02423518</v>
      </c>
      <c r="AS147" s="0" t="n">
        <v>-0.00872213</v>
      </c>
      <c r="AT147" s="0" t="n">
        <v>0.03532807</v>
      </c>
      <c r="AU147" s="0" t="n">
        <v>-0.01442857</v>
      </c>
      <c r="AV147" s="0" t="n">
        <v>0.01172953</v>
      </c>
      <c r="AW147" s="0" t="n">
        <v>0.01579037</v>
      </c>
      <c r="AX147" s="0" t="n">
        <v>0.0096378</v>
      </c>
      <c r="AY147" s="0" t="n">
        <v>0.02447187</v>
      </c>
      <c r="AZ147" s="0" t="n">
        <v>-0.01376625</v>
      </c>
      <c r="BA147" s="0" t="n">
        <v>0.05795041</v>
      </c>
      <c r="BB147" s="0" t="n">
        <v>0.04411905</v>
      </c>
      <c r="BC147" s="0" t="n">
        <v>0.02045951</v>
      </c>
      <c r="BD147" s="0" t="n">
        <v>0.02730175</v>
      </c>
      <c r="BE147" s="0" t="n">
        <v>0.02020403</v>
      </c>
      <c r="BF147" s="0" t="n">
        <v>-0.01040592</v>
      </c>
      <c r="BG147" s="0" t="n">
        <v>0.05107749</v>
      </c>
      <c r="BH147" s="0" t="n">
        <v>0.0368194</v>
      </c>
      <c r="BI147" s="0" t="n">
        <v>0.02719175</v>
      </c>
      <c r="BJ147" s="0" t="n">
        <v>0.01100324</v>
      </c>
      <c r="BK147" s="0" t="n">
        <v>-0.02338867</v>
      </c>
      <c r="BL147" s="0" t="n">
        <v>0.03132427</v>
      </c>
      <c r="BM147" s="0" t="n">
        <v>0.02380035</v>
      </c>
      <c r="BN147" s="0" t="n">
        <v>-0.00087235</v>
      </c>
      <c r="BO147" s="0" t="n">
        <v>0.05639133</v>
      </c>
      <c r="BP147" s="0" t="n">
        <v>0.11008776</v>
      </c>
      <c r="BQ147" s="0" t="n">
        <v>0.04737461</v>
      </c>
      <c r="BR147" s="0" t="n">
        <v>0.07000229</v>
      </c>
      <c r="BS147" s="0" t="n">
        <v>-0.00754576</v>
      </c>
      <c r="BT147" s="0" t="n">
        <v>0.06846241</v>
      </c>
      <c r="BU147" s="0" t="n">
        <v>0.03097817</v>
      </c>
      <c r="BV147" s="0" t="n">
        <v>0.06893333</v>
      </c>
      <c r="BW147" s="0" t="n">
        <v>0.07096085</v>
      </c>
      <c r="BX147" s="0" t="n">
        <v>0.04174847</v>
      </c>
      <c r="BY147" s="0" t="n">
        <v>0.03391046</v>
      </c>
      <c r="BZ147" s="0" t="n">
        <v>0.1005463</v>
      </c>
      <c r="CA147" s="0" t="n">
        <v>-0.01374139</v>
      </c>
      <c r="CB147" s="0" t="n">
        <v>-0.00035237</v>
      </c>
      <c r="CC147" s="0" t="n">
        <v>0.02118206</v>
      </c>
      <c r="CD147" s="0" t="n">
        <v>0.09037499</v>
      </c>
      <c r="CE147" s="0" t="n">
        <v>0.02753092</v>
      </c>
      <c r="CF147" s="0" t="n">
        <v>-0.00199392</v>
      </c>
      <c r="CG147" s="0" t="n">
        <v>0.04985498</v>
      </c>
      <c r="CH147" s="0" t="n">
        <v>0.07436866</v>
      </c>
      <c r="CI147" s="0" t="n">
        <v>-0.00582081</v>
      </c>
      <c r="CJ147" s="0" t="n">
        <v>0.03905457</v>
      </c>
      <c r="CK147" s="0" t="n">
        <v>0.05860309</v>
      </c>
      <c r="CL147" s="0" t="n">
        <v>0.09575904</v>
      </c>
      <c r="CM147" s="0" t="n">
        <v>0.09009607</v>
      </c>
      <c r="CN147" s="0" t="n">
        <v>0.04043043</v>
      </c>
      <c r="CO147" s="0" t="n">
        <v>0.02249601</v>
      </c>
      <c r="CP147" s="0" t="n">
        <v>0.0621776</v>
      </c>
      <c r="CQ147" s="0" t="n">
        <v>0.08620835</v>
      </c>
      <c r="CR147" s="0" t="n">
        <v>0.08906561</v>
      </c>
      <c r="CS147" s="0" t="n">
        <v>0.03247181</v>
      </c>
      <c r="CT147" s="0" t="n">
        <v>0.00738454</v>
      </c>
      <c r="CU147" s="0" t="n">
        <v>0.04082573</v>
      </c>
      <c r="CV147" s="0" t="n">
        <v>0.04767748</v>
      </c>
      <c r="CW147" s="0" t="n">
        <v>0.06969675</v>
      </c>
      <c r="CX147" s="0" t="n">
        <v>0.13945875</v>
      </c>
      <c r="CY147" s="0" t="n">
        <v>0.05409774</v>
      </c>
      <c r="CZ147" s="0" t="n">
        <v>0.07895159</v>
      </c>
      <c r="DA147" s="0" t="n">
        <v>0.05511914</v>
      </c>
      <c r="DB147" s="0" t="n">
        <v>0.07428427</v>
      </c>
      <c r="DC147" s="0" t="n">
        <v>0.03980085</v>
      </c>
      <c r="DD147" s="0" t="n">
        <v>0.11433321</v>
      </c>
      <c r="DE147" s="0" t="n">
        <v>0.08458952</v>
      </c>
      <c r="DF147" s="0" t="n">
        <v>0.10034574</v>
      </c>
      <c r="DG147" s="0" t="n">
        <v>0.07715544</v>
      </c>
      <c r="DH147" s="0" t="n">
        <v>0.09664439</v>
      </c>
      <c r="DI147" s="0" t="n">
        <v>0.08802567</v>
      </c>
      <c r="DJ147" s="0" t="n">
        <v>0.0683312</v>
      </c>
      <c r="DK147" s="0" t="n">
        <v>0.11319293</v>
      </c>
      <c r="DL147" s="0" t="n">
        <v>0.00173938</v>
      </c>
      <c r="DM147" s="0" t="n">
        <v>0.07182823</v>
      </c>
      <c r="DN147" s="0" t="n">
        <v>0.08116067</v>
      </c>
      <c r="DO147" s="0" t="n">
        <v>0.06865361</v>
      </c>
      <c r="DP147" s="0" t="n">
        <v>0.09336297</v>
      </c>
      <c r="DQ147" s="0" t="n">
        <v>0.13946632</v>
      </c>
      <c r="DR147" s="0" t="n">
        <v>0.14331119</v>
      </c>
      <c r="DS147" s="0" t="n">
        <v>0.10269154</v>
      </c>
      <c r="DT147" s="0" t="n">
        <v>0.23134288</v>
      </c>
      <c r="DU147" s="0" t="n">
        <v>0.2248169</v>
      </c>
      <c r="DV147" s="0" t="n">
        <v>0.20952359</v>
      </c>
      <c r="DW147" s="0" t="n">
        <v>0.15599366</v>
      </c>
      <c r="DX147" s="0" t="n">
        <v>0.08576031</v>
      </c>
      <c r="DY147" s="0" t="n">
        <v>0.14270172</v>
      </c>
      <c r="DZ147" s="0" t="n">
        <v>0.15789569</v>
      </c>
      <c r="EA147" s="0" t="n">
        <v>0.19859261</v>
      </c>
      <c r="EB147" s="0" t="n">
        <v>0.2272774</v>
      </c>
      <c r="EC147" s="0" t="n">
        <v>0.00064981</v>
      </c>
      <c r="ED147" s="0" t="n">
        <v>0.12768809</v>
      </c>
      <c r="EE147" s="0" t="n">
        <v>0.17005257</v>
      </c>
      <c r="EF147" s="0" t="n">
        <v>0.11424469</v>
      </c>
      <c r="EG147" s="0" t="n">
        <v>0.11175488</v>
      </c>
      <c r="EH147" s="0" t="n">
        <v>0.29020443</v>
      </c>
      <c r="EI147" s="0" t="n">
        <v>0.17148822</v>
      </c>
      <c r="EJ147" s="0" t="n">
        <v>0.29881145</v>
      </c>
      <c r="EK147" s="0" t="n">
        <v>0.2391478</v>
      </c>
      <c r="EL147" s="0" t="n">
        <v>0.27857308</v>
      </c>
      <c r="EM147" s="0" t="n">
        <v>1.25962377</v>
      </c>
      <c r="EN147" s="0" t="n">
        <v>0.19493143</v>
      </c>
      <c r="EO147" s="0" t="n">
        <v>0.11181263</v>
      </c>
      <c r="EP147" s="55" t="n">
        <f aca="false">SUMPRODUCT(B147:EO147,$B$5:$EO$5)</f>
        <v>0.069812652</v>
      </c>
      <c r="EQ147" s="55" t="n">
        <f aca="false">SUMIF('Mi portafolio'!$A$8:$A$19,$A147,'Mi portafolio'!$B$8:$B$19)</f>
        <v>0</v>
      </c>
    </row>
    <row r="148" customFormat="false" ht="15" hidden="false" customHeight="false" outlineLevel="0" collapsed="false">
      <c r="A148" s="54" t="s">
        <v>287</v>
      </c>
      <c r="B148" s="0" t="n">
        <v>0.00375763</v>
      </c>
      <c r="C148" s="0" t="n">
        <v>-0.00315498</v>
      </c>
      <c r="D148" s="0" t="n">
        <v>0.00249078</v>
      </c>
      <c r="E148" s="0" t="n">
        <v>0.00805959</v>
      </c>
      <c r="F148" s="0" t="n">
        <v>0.02124483</v>
      </c>
      <c r="G148" s="0" t="n">
        <v>0.00943361</v>
      </c>
      <c r="H148" s="0" t="n">
        <v>0.00747765</v>
      </c>
      <c r="I148" s="0" t="n">
        <v>0.02481304</v>
      </c>
      <c r="J148" s="0" t="n">
        <v>0.03818362</v>
      </c>
      <c r="K148" s="0" t="n">
        <v>0.02734232</v>
      </c>
      <c r="L148" s="0" t="n">
        <v>0.00038957</v>
      </c>
      <c r="M148" s="0" t="n">
        <v>0.05827071</v>
      </c>
      <c r="N148" s="0" t="n">
        <v>0.08273842</v>
      </c>
      <c r="O148" s="0" t="n">
        <v>-0.00348883</v>
      </c>
      <c r="P148" s="0" t="n">
        <v>0.0061983</v>
      </c>
      <c r="Q148" s="0" t="n">
        <v>-0.01924474</v>
      </c>
      <c r="R148" s="0" t="n">
        <v>0.02972886</v>
      </c>
      <c r="S148" s="0" t="n">
        <v>0.02136311</v>
      </c>
      <c r="T148" s="0" t="n">
        <v>0.01893377</v>
      </c>
      <c r="U148" s="0" t="n">
        <v>0.05558462</v>
      </c>
      <c r="V148" s="0" t="n">
        <v>-0.00394932</v>
      </c>
      <c r="W148" s="0" t="n">
        <v>0.03290677</v>
      </c>
      <c r="X148" s="0" t="n">
        <v>0.02403627</v>
      </c>
      <c r="Y148" s="0" t="n">
        <v>0.0263261</v>
      </c>
      <c r="Z148" s="0" t="n">
        <v>0.03217869</v>
      </c>
      <c r="AA148" s="0" t="n">
        <v>0.04774075</v>
      </c>
      <c r="AB148" s="0" t="n">
        <v>0.02397002</v>
      </c>
      <c r="AC148" s="0" t="n">
        <v>0.0081668</v>
      </c>
      <c r="AD148" s="0" t="n">
        <v>0.012883</v>
      </c>
      <c r="AE148" s="0" t="n">
        <v>0.0228172</v>
      </c>
      <c r="AF148" s="0" t="n">
        <v>0.01386033</v>
      </c>
      <c r="AG148" s="0" t="n">
        <v>-0.01550809</v>
      </c>
      <c r="AH148" s="0" t="n">
        <v>-0.00681391</v>
      </c>
      <c r="AI148" s="0" t="n">
        <v>-0.01984622</v>
      </c>
      <c r="AJ148" s="0" t="n">
        <v>0.03832315</v>
      </c>
      <c r="AK148" s="0" t="n">
        <v>0.01102593</v>
      </c>
      <c r="AL148" s="0" t="n">
        <v>0.06000346</v>
      </c>
      <c r="AM148" s="0" t="n">
        <v>0.0419976</v>
      </c>
      <c r="AN148" s="0" t="n">
        <v>0.06773574</v>
      </c>
      <c r="AO148" s="0" t="n">
        <v>0.07635118</v>
      </c>
      <c r="AP148" s="0" t="n">
        <v>0.08674418</v>
      </c>
      <c r="AQ148" s="0" t="n">
        <v>-0.02801417</v>
      </c>
      <c r="AR148" s="0" t="n">
        <v>0.01496567</v>
      </c>
      <c r="AS148" s="0" t="n">
        <v>0.02447237</v>
      </c>
      <c r="AT148" s="0" t="n">
        <v>0.0656267</v>
      </c>
      <c r="AU148" s="0" t="n">
        <v>0.0262989</v>
      </c>
      <c r="AV148" s="0" t="n">
        <v>0.00845809</v>
      </c>
      <c r="AW148" s="0" t="n">
        <v>0.03112967</v>
      </c>
      <c r="AX148" s="0" t="n">
        <v>0.08685397</v>
      </c>
      <c r="AY148" s="0" t="n">
        <v>0.03373315</v>
      </c>
      <c r="AZ148" s="0" t="n">
        <v>0.0435656</v>
      </c>
      <c r="BA148" s="0" t="n">
        <v>0.02421034</v>
      </c>
      <c r="BB148" s="0" t="n">
        <v>0.02950209</v>
      </c>
      <c r="BC148" s="0" t="n">
        <v>0.01033377</v>
      </c>
      <c r="BD148" s="0" t="n">
        <v>0.0216334</v>
      </c>
      <c r="BE148" s="0" t="n">
        <v>0.18067744</v>
      </c>
      <c r="BF148" s="0" t="n">
        <v>0.03438138</v>
      </c>
      <c r="BG148" s="0" t="n">
        <v>0.09490939</v>
      </c>
      <c r="BH148" s="0" t="n">
        <v>0.02312319</v>
      </c>
      <c r="BI148" s="0" t="n">
        <v>0.01020999</v>
      </c>
      <c r="BJ148" s="0" t="n">
        <v>0.01389006</v>
      </c>
      <c r="BK148" s="0" t="n">
        <v>0.03151026</v>
      </c>
      <c r="BL148" s="0" t="n">
        <v>0.05138004</v>
      </c>
      <c r="BM148" s="0" t="n">
        <v>0.05228093</v>
      </c>
      <c r="BN148" s="0" t="n">
        <v>0.00952935</v>
      </c>
      <c r="BO148" s="0" t="n">
        <v>0.06022227</v>
      </c>
      <c r="BP148" s="0" t="n">
        <v>0.03105839</v>
      </c>
      <c r="BQ148" s="0" t="n">
        <v>0.02619959</v>
      </c>
      <c r="BR148" s="0" t="n">
        <v>0.0185259</v>
      </c>
      <c r="BS148" s="0" t="n">
        <v>-0.02307662</v>
      </c>
      <c r="BT148" s="0" t="n">
        <v>0.02546237</v>
      </c>
      <c r="BU148" s="0" t="n">
        <v>0.0448683</v>
      </c>
      <c r="BV148" s="0" t="n">
        <v>0.0663029</v>
      </c>
      <c r="BW148" s="0" t="n">
        <v>0.05497128</v>
      </c>
      <c r="BX148" s="0" t="n">
        <v>0.11095052</v>
      </c>
      <c r="BY148" s="0" t="n">
        <v>0.06042866</v>
      </c>
      <c r="BZ148" s="0" t="n">
        <v>0.06839644</v>
      </c>
      <c r="CA148" s="0" t="n">
        <v>0.03965977</v>
      </c>
      <c r="CB148" s="0" t="n">
        <v>-0.03691126</v>
      </c>
      <c r="CC148" s="0" t="n">
        <v>0.04688859</v>
      </c>
      <c r="CD148" s="0" t="n">
        <v>0.1172131</v>
      </c>
      <c r="CE148" s="0" t="n">
        <v>0.02179276</v>
      </c>
      <c r="CF148" s="0" t="n">
        <v>-0.0170682</v>
      </c>
      <c r="CG148" s="0" t="n">
        <v>0.11542961</v>
      </c>
      <c r="CH148" s="0" t="n">
        <v>0.07698473</v>
      </c>
      <c r="CI148" s="0" t="n">
        <v>-0.01499964</v>
      </c>
      <c r="CJ148" s="0" t="n">
        <v>0.07782287</v>
      </c>
      <c r="CK148" s="0" t="n">
        <v>0.07279285</v>
      </c>
      <c r="CL148" s="0" t="n">
        <v>0.09166359</v>
      </c>
      <c r="CM148" s="0" t="n">
        <v>0.02023618</v>
      </c>
      <c r="CN148" s="0" t="n">
        <v>0.00270299</v>
      </c>
      <c r="CO148" s="0" t="n">
        <v>0.03654677</v>
      </c>
      <c r="CP148" s="0" t="n">
        <v>0.07194221</v>
      </c>
      <c r="CQ148" s="0" t="n">
        <v>0.05241086</v>
      </c>
      <c r="CR148" s="0" t="n">
        <v>0.06038847</v>
      </c>
      <c r="CS148" s="0" t="n">
        <v>0.02631801</v>
      </c>
      <c r="CT148" s="0" t="n">
        <v>0.07764819</v>
      </c>
      <c r="CU148" s="0" t="n">
        <v>0.01452909</v>
      </c>
      <c r="CV148" s="0" t="n">
        <v>0.05083127</v>
      </c>
      <c r="CW148" s="0" t="n">
        <v>0.129266</v>
      </c>
      <c r="CX148" s="0" t="n">
        <v>0.10097531</v>
      </c>
      <c r="CY148" s="0" t="n">
        <v>0.073047</v>
      </c>
      <c r="CZ148" s="0" t="n">
        <v>0.0617215</v>
      </c>
      <c r="DA148" s="0" t="n">
        <v>0.07178019</v>
      </c>
      <c r="DB148" s="0" t="n">
        <v>0.11819554</v>
      </c>
      <c r="DC148" s="0" t="n">
        <v>0.06237421</v>
      </c>
      <c r="DD148" s="0" t="n">
        <v>0.12602043</v>
      </c>
      <c r="DE148" s="0" t="n">
        <v>0.13615313</v>
      </c>
      <c r="DF148" s="0" t="n">
        <v>0.0551535</v>
      </c>
      <c r="DG148" s="0" t="n">
        <v>0.17700084</v>
      </c>
      <c r="DH148" s="0" t="n">
        <v>0.01268973</v>
      </c>
      <c r="DI148" s="0" t="n">
        <v>0.08258953</v>
      </c>
      <c r="DJ148" s="0" t="n">
        <v>0.09221305</v>
      </c>
      <c r="DK148" s="0" t="n">
        <v>0.07461585</v>
      </c>
      <c r="DL148" s="0" t="n">
        <v>0.07765095</v>
      </c>
      <c r="DM148" s="0" t="n">
        <v>0.09945585</v>
      </c>
      <c r="DN148" s="0" t="n">
        <v>0.08212003</v>
      </c>
      <c r="DO148" s="0" t="n">
        <v>0.0946375</v>
      </c>
      <c r="DP148" s="0" t="n">
        <v>0.09873152</v>
      </c>
      <c r="DQ148" s="0" t="n">
        <v>0.07300491</v>
      </c>
      <c r="DR148" s="0" t="n">
        <v>0.11930036</v>
      </c>
      <c r="DS148" s="0" t="n">
        <v>0.09434763</v>
      </c>
      <c r="DT148" s="0" t="n">
        <v>0.08117466</v>
      </c>
      <c r="DU148" s="0" t="n">
        <v>0.1596233</v>
      </c>
      <c r="DV148" s="0" t="n">
        <v>0.12319356</v>
      </c>
      <c r="DW148" s="0" t="n">
        <v>0.10243807</v>
      </c>
      <c r="DX148" s="0" t="n">
        <v>0.05342416</v>
      </c>
      <c r="DY148" s="0" t="n">
        <v>0.17102934</v>
      </c>
      <c r="DZ148" s="0" t="n">
        <v>0.02531786</v>
      </c>
      <c r="EA148" s="0" t="n">
        <v>0.38876057</v>
      </c>
      <c r="EB148" s="0" t="n">
        <v>0.21161538</v>
      </c>
      <c r="EC148" s="0" t="n">
        <v>0.03408774</v>
      </c>
      <c r="ED148" s="0" t="n">
        <v>0.21255928</v>
      </c>
      <c r="EE148" s="0" t="n">
        <v>0.09660296</v>
      </c>
      <c r="EF148" s="0" t="n">
        <v>-0.0021082</v>
      </c>
      <c r="EG148" s="0" t="n">
        <v>0.11194773</v>
      </c>
      <c r="EH148" s="0" t="n">
        <v>0.11495515</v>
      </c>
      <c r="EI148" s="0" t="n">
        <v>0.11827125</v>
      </c>
      <c r="EJ148" s="0" t="n">
        <v>0.24795305</v>
      </c>
      <c r="EK148" s="0" t="n">
        <v>0.21700139</v>
      </c>
      <c r="EL148" s="0" t="n">
        <v>0.17954568</v>
      </c>
      <c r="EM148" s="0" t="n">
        <v>0.19493143</v>
      </c>
      <c r="EN148" s="0" t="n">
        <v>1.68248234</v>
      </c>
      <c r="EO148" s="0" t="n">
        <v>0.25289767</v>
      </c>
      <c r="EP148" s="55" t="n">
        <f aca="false">SUMPRODUCT(B148:EO148,$B$5:$EO$5)</f>
        <v>0.058858372</v>
      </c>
      <c r="EQ148" s="55" t="n">
        <f aca="false">SUMIF('Mi portafolio'!$A$8:$A$19,$A148,'Mi portafolio'!$B$8:$B$19)</f>
        <v>0</v>
      </c>
    </row>
    <row r="149" customFormat="false" ht="15" hidden="false" customHeight="false" outlineLevel="0" collapsed="false">
      <c r="A149" s="54" t="s">
        <v>288</v>
      </c>
      <c r="B149" s="0" t="n">
        <v>-0.00095233</v>
      </c>
      <c r="C149" s="0" t="n">
        <v>0.01246263</v>
      </c>
      <c r="D149" s="0" t="n">
        <v>-0.02773732</v>
      </c>
      <c r="E149" s="0" t="n">
        <v>0.00835102</v>
      </c>
      <c r="F149" s="0" t="n">
        <v>0.03186527</v>
      </c>
      <c r="G149" s="0" t="n">
        <v>0.02878523</v>
      </c>
      <c r="H149" s="0" t="n">
        <v>0.00828206</v>
      </c>
      <c r="I149" s="0" t="n">
        <v>0.00899503</v>
      </c>
      <c r="J149" s="0" t="n">
        <v>-0.0105521</v>
      </c>
      <c r="K149" s="0" t="n">
        <v>0.0074068</v>
      </c>
      <c r="L149" s="0" t="n">
        <v>0.01418798</v>
      </c>
      <c r="M149" s="0" t="n">
        <v>0.04263591</v>
      </c>
      <c r="N149" s="0" t="n">
        <v>0.01273964</v>
      </c>
      <c r="O149" s="0" t="n">
        <v>0.00826922</v>
      </c>
      <c r="P149" s="0" t="n">
        <v>0.00605119</v>
      </c>
      <c r="Q149" s="0" t="n">
        <v>0.00844686</v>
      </c>
      <c r="R149" s="0" t="n">
        <v>0.01226688</v>
      </c>
      <c r="S149" s="0" t="n">
        <v>-0.02238558</v>
      </c>
      <c r="T149" s="0" t="n">
        <v>0.02216444</v>
      </c>
      <c r="U149" s="0" t="n">
        <v>0.03031846</v>
      </c>
      <c r="V149" s="0" t="n">
        <v>0.00137488</v>
      </c>
      <c r="W149" s="0" t="n">
        <v>-0.00394154</v>
      </c>
      <c r="X149" s="0" t="n">
        <v>0.03084343</v>
      </c>
      <c r="Y149" s="0" t="n">
        <v>0.01646911</v>
      </c>
      <c r="Z149" s="0" t="n">
        <v>0.02345912</v>
      </c>
      <c r="AA149" s="0" t="n">
        <v>-0.00816772</v>
      </c>
      <c r="AB149" s="0" t="n">
        <v>0.01788787</v>
      </c>
      <c r="AC149" s="0" t="n">
        <v>0.00909789</v>
      </c>
      <c r="AD149" s="0" t="n">
        <v>-0.01401747</v>
      </c>
      <c r="AE149" s="0" t="n">
        <v>0.0214593</v>
      </c>
      <c r="AF149" s="0" t="n">
        <v>-0.02617925</v>
      </c>
      <c r="AG149" s="0" t="n">
        <v>-0.04368124</v>
      </c>
      <c r="AH149" s="0" t="n">
        <v>-0.01559984</v>
      </c>
      <c r="AI149" s="0" t="n">
        <v>-0.00733392</v>
      </c>
      <c r="AJ149" s="0" t="n">
        <v>0.01015752</v>
      </c>
      <c r="AK149" s="0" t="n">
        <v>0.03199953</v>
      </c>
      <c r="AL149" s="0" t="n">
        <v>0.05546246</v>
      </c>
      <c r="AM149" s="0" t="n">
        <v>0.02523232</v>
      </c>
      <c r="AN149" s="0" t="n">
        <v>0.06208187</v>
      </c>
      <c r="AO149" s="0" t="n">
        <v>0.01459787</v>
      </c>
      <c r="AP149" s="0" t="n">
        <v>0.08992734</v>
      </c>
      <c r="AQ149" s="0" t="n">
        <v>-0.00567913</v>
      </c>
      <c r="AR149" s="0" t="n">
        <v>0.02772947</v>
      </c>
      <c r="AS149" s="0" t="n">
        <v>0.05970901</v>
      </c>
      <c r="AT149" s="0" t="n">
        <v>0.0764706</v>
      </c>
      <c r="AU149" s="0" t="n">
        <v>-0.00135406</v>
      </c>
      <c r="AV149" s="0" t="n">
        <v>0.04234089</v>
      </c>
      <c r="AW149" s="0" t="n">
        <v>0.0137155</v>
      </c>
      <c r="AX149" s="0" t="n">
        <v>0.03611411</v>
      </c>
      <c r="AY149" s="0" t="n">
        <v>0.02071962</v>
      </c>
      <c r="AZ149" s="0" t="n">
        <v>-0.022107</v>
      </c>
      <c r="BA149" s="0" t="n">
        <v>0.05582834</v>
      </c>
      <c r="BB149" s="0" t="n">
        <v>0.05773216</v>
      </c>
      <c r="BC149" s="0" t="n">
        <v>-0.03628279</v>
      </c>
      <c r="BD149" s="0" t="n">
        <v>0.06399614</v>
      </c>
      <c r="BE149" s="0" t="n">
        <v>0.03591437</v>
      </c>
      <c r="BF149" s="0" t="n">
        <v>0.07171989</v>
      </c>
      <c r="BG149" s="0" t="n">
        <v>0.08478683</v>
      </c>
      <c r="BH149" s="0" t="n">
        <v>0.03351025</v>
      </c>
      <c r="BI149" s="0" t="n">
        <v>-0.03388411</v>
      </c>
      <c r="BJ149" s="0" t="n">
        <v>-0.02861693</v>
      </c>
      <c r="BK149" s="0" t="n">
        <v>-0.06315033</v>
      </c>
      <c r="BL149" s="0" t="n">
        <v>0.0809431</v>
      </c>
      <c r="BM149" s="0" t="n">
        <v>0.10063336</v>
      </c>
      <c r="BN149" s="0" t="n">
        <v>0.0287582</v>
      </c>
      <c r="BO149" s="0" t="n">
        <v>0.0581522</v>
      </c>
      <c r="BP149" s="0" t="n">
        <v>0.06057084</v>
      </c>
      <c r="BQ149" s="0" t="n">
        <v>-0.00512247</v>
      </c>
      <c r="BR149" s="0" t="n">
        <v>0.06830689</v>
      </c>
      <c r="BS149" s="0" t="n">
        <v>-0.00211134</v>
      </c>
      <c r="BT149" s="0" t="n">
        <v>0.07179737</v>
      </c>
      <c r="BU149" s="0" t="n">
        <v>0.03531798</v>
      </c>
      <c r="BV149" s="0" t="n">
        <v>0.10100662</v>
      </c>
      <c r="BW149" s="0" t="n">
        <v>0.06368599</v>
      </c>
      <c r="BX149" s="0" t="n">
        <v>0.01651861</v>
      </c>
      <c r="BY149" s="0" t="n">
        <v>0.18064494</v>
      </c>
      <c r="BZ149" s="0" t="n">
        <v>0.0902137</v>
      </c>
      <c r="CA149" s="0" t="n">
        <v>-0.02443359</v>
      </c>
      <c r="CB149" s="0" t="n">
        <v>-0.05255942</v>
      </c>
      <c r="CC149" s="0" t="n">
        <v>0.05216797</v>
      </c>
      <c r="CD149" s="0" t="n">
        <v>0.06518068</v>
      </c>
      <c r="CE149" s="0" t="n">
        <v>0.06316414</v>
      </c>
      <c r="CF149" s="0" t="n">
        <v>-0.02832569</v>
      </c>
      <c r="CG149" s="0" t="n">
        <v>0.10435831</v>
      </c>
      <c r="CH149" s="0" t="n">
        <v>0.06669534</v>
      </c>
      <c r="CI149" s="0" t="n">
        <v>-0.02130952</v>
      </c>
      <c r="CJ149" s="0" t="n">
        <v>0.10208963</v>
      </c>
      <c r="CK149" s="0" t="n">
        <v>0.09178876</v>
      </c>
      <c r="CL149" s="0" t="n">
        <v>0.09688202</v>
      </c>
      <c r="CM149" s="0" t="n">
        <v>0.07219829</v>
      </c>
      <c r="CN149" s="0" t="n">
        <v>0.01665664</v>
      </c>
      <c r="CO149" s="0" t="n">
        <v>0.01183776</v>
      </c>
      <c r="CP149" s="0" t="n">
        <v>0.06316772</v>
      </c>
      <c r="CQ149" s="0" t="n">
        <v>0.09346749</v>
      </c>
      <c r="CR149" s="0" t="n">
        <v>0.09055776</v>
      </c>
      <c r="CS149" s="0" t="n">
        <v>0.06520255</v>
      </c>
      <c r="CT149" s="0" t="n">
        <v>0.13035943</v>
      </c>
      <c r="CU149" s="0" t="n">
        <v>0.08830628</v>
      </c>
      <c r="CV149" s="0" t="n">
        <v>0.05632954</v>
      </c>
      <c r="CW149" s="0" t="n">
        <v>0.11097897</v>
      </c>
      <c r="CX149" s="0" t="n">
        <v>0.09872961</v>
      </c>
      <c r="CY149" s="0" t="n">
        <v>0.09553566</v>
      </c>
      <c r="CZ149" s="0" t="n">
        <v>0.06431621</v>
      </c>
      <c r="DA149" s="0" t="n">
        <v>0.09386507</v>
      </c>
      <c r="DB149" s="0" t="n">
        <v>0.1309467</v>
      </c>
      <c r="DC149" s="0" t="n">
        <v>0.07980495</v>
      </c>
      <c r="DD149" s="0" t="n">
        <v>0.17129331</v>
      </c>
      <c r="DE149" s="0" t="n">
        <v>0.127928</v>
      </c>
      <c r="DF149" s="0" t="n">
        <v>0.11935447</v>
      </c>
      <c r="DG149" s="0" t="n">
        <v>0.03318928</v>
      </c>
      <c r="DH149" s="0" t="n">
        <v>0.05242728</v>
      </c>
      <c r="DI149" s="0" t="n">
        <v>0.08762817</v>
      </c>
      <c r="DJ149" s="0" t="n">
        <v>0.14113543</v>
      </c>
      <c r="DK149" s="0" t="n">
        <v>0.08874317</v>
      </c>
      <c r="DL149" s="0" t="n">
        <v>0.02033983</v>
      </c>
      <c r="DM149" s="0" t="n">
        <v>0.1615072</v>
      </c>
      <c r="DN149" s="0" t="n">
        <v>0.15169106</v>
      </c>
      <c r="DO149" s="0" t="n">
        <v>0.09546413</v>
      </c>
      <c r="DP149" s="0" t="n">
        <v>0.1588429</v>
      </c>
      <c r="DQ149" s="0" t="n">
        <v>0.03244559</v>
      </c>
      <c r="DR149" s="0" t="n">
        <v>0.05683016</v>
      </c>
      <c r="DS149" s="0" t="n">
        <v>0.13140492</v>
      </c>
      <c r="DT149" s="0" t="n">
        <v>0.14504348</v>
      </c>
      <c r="DU149" s="0" t="n">
        <v>0.2247597</v>
      </c>
      <c r="DV149" s="0" t="n">
        <v>0.14568571</v>
      </c>
      <c r="DW149" s="0" t="n">
        <v>0.10718013</v>
      </c>
      <c r="DX149" s="0" t="n">
        <v>0.10561542</v>
      </c>
      <c r="DY149" s="0" t="n">
        <v>0.25775533</v>
      </c>
      <c r="DZ149" s="0" t="n">
        <v>0.10940615</v>
      </c>
      <c r="EA149" s="0" t="n">
        <v>0.1102971</v>
      </c>
      <c r="EB149" s="0" t="n">
        <v>0.31284175</v>
      </c>
      <c r="EC149" s="0" t="n">
        <v>0.03348251</v>
      </c>
      <c r="ED149" s="0" t="n">
        <v>0.15473523</v>
      </c>
      <c r="EE149" s="0" t="n">
        <v>0.16350676</v>
      </c>
      <c r="EF149" s="0" t="n">
        <v>0.02275245</v>
      </c>
      <c r="EG149" s="0" t="n">
        <v>0.1190278</v>
      </c>
      <c r="EH149" s="0" t="n">
        <v>0.08999932</v>
      </c>
      <c r="EI149" s="0" t="n">
        <v>0.09202973</v>
      </c>
      <c r="EJ149" s="0" t="n">
        <v>0.11656583</v>
      </c>
      <c r="EK149" s="0" t="n">
        <v>0.27755521</v>
      </c>
      <c r="EL149" s="0" t="n">
        <v>0.21183942</v>
      </c>
      <c r="EM149" s="0" t="n">
        <v>0.11181263</v>
      </c>
      <c r="EN149" s="0" t="n">
        <v>0.25289767</v>
      </c>
      <c r="EO149" s="0" t="n">
        <v>2.89417346</v>
      </c>
      <c r="EP149" s="55" t="n">
        <f aca="false">SUMPRODUCT(B149:EO149,$B$5:$EO$5)</f>
        <v>0.06061981</v>
      </c>
      <c r="EQ149" s="55" t="n">
        <f aca="false">SUMIF('Mi portafolio'!$A$8:$A$19,$A149,'Mi portafolio'!$B$8:$B$19)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6"/>
  </cols>
  <sheetData>
    <row r="1" customFormat="false" ht="17.35" hidden="false" customHeight="false" outlineLevel="0" collapsed="false">
      <c r="A1" s="5" t="s">
        <v>298</v>
      </c>
    </row>
    <row r="2" customFormat="false" ht="15" hidden="false" customHeight="false" outlineLevel="0" collapsed="false">
      <c r="A2" s="25" t="s">
        <v>299</v>
      </c>
    </row>
    <row r="4" customFormat="false" ht="15" hidden="false" customHeight="false" outlineLevel="0" collapsed="false">
      <c r="A4" s="26" t="s">
        <v>32</v>
      </c>
      <c r="B4" s="26" t="s">
        <v>117</v>
      </c>
      <c r="C4" s="26" t="s">
        <v>118</v>
      </c>
      <c r="D4" s="26" t="s">
        <v>40</v>
      </c>
    </row>
    <row r="5" customFormat="false" ht="15" hidden="false" customHeight="false" outlineLevel="0" collapsed="false">
      <c r="A5" s="39" t="s">
        <v>149</v>
      </c>
      <c r="B5" s="32" t="n">
        <f aca="false">SUM(Covarianza!$B6:$EO6)/144/(SUM(Covarianza!$B$6:$EO$149)/144^2)</f>
        <v>0.21776111912198</v>
      </c>
      <c r="C5" s="41" t="n">
        <f aca="false">IF(ISNUMBER(INDEX(Acciones!$G$5:$G$148,MATCH($A5,Acciones!$A$5:$A$148,0))),INDEX(Acciones!$G$5:$G$148,MATCH($A5,Acciones!$A$5:$A$148,0)),1)+2*'Mi portafolio'!$C$5</f>
        <v>0.0335869619</v>
      </c>
      <c r="D5" s="56" t="str">
        <f aca="false">INDEX(Acciones!$J$5:$J$148,MATCH($A5,Acciones!$A$5:$A$148,0))</f>
        <v>Sí</v>
      </c>
    </row>
    <row r="6" customFormat="false" ht="15" hidden="false" customHeight="false" outlineLevel="0" collapsed="false">
      <c r="A6" s="39" t="s">
        <v>153</v>
      </c>
      <c r="B6" s="32" t="n">
        <f aca="false">SUM(Covarianza!$B7:$EO7)/144/(SUM(Covarianza!$B$6:$EO$149)/144^2)</f>
        <v>0.0764978985896922</v>
      </c>
      <c r="C6" s="41" t="n">
        <f aca="false">IF(ISNUMBER(INDEX(Acciones!$G$5:$G$148,MATCH($A6,Acciones!$A$5:$A$148,0))),INDEX(Acciones!$G$5:$G$148,MATCH($A6,Acciones!$A$5:$A$148,0)),1)+2*'Mi portafolio'!$C$5</f>
        <v>0.0028680954</v>
      </c>
      <c r="D6" s="56" t="str">
        <f aca="false">INDEX(Acciones!$J$5:$J$148,MATCH($A6,Acciones!$A$5:$A$148,0))</f>
        <v>Sí</v>
      </c>
    </row>
    <row r="7" customFormat="false" ht="15" hidden="false" customHeight="false" outlineLevel="0" collapsed="false">
      <c r="A7" s="39" t="s">
        <v>155</v>
      </c>
      <c r="B7" s="32" t="n">
        <f aca="false">SUM(Covarianza!$B8:$EO8)/144/(SUM(Covarianza!$B$6:$EO$149)/144^2)</f>
        <v>0.150279752972561</v>
      </c>
      <c r="C7" s="41" t="n">
        <f aca="false">IF(ISNUMBER(INDEX(Acciones!$G$5:$G$148,MATCH($A7,Acciones!$A$5:$A$148,0))),INDEX(Acciones!$G$5:$G$148,MATCH($A7,Acciones!$A$5:$A$148,0)),1)+2*'Mi portafolio'!$C$5</f>
        <v>0.0043702807</v>
      </c>
      <c r="D7" s="56" t="str">
        <f aca="false">INDEX(Acciones!$J$5:$J$148,MATCH($A7,Acciones!$A$5:$A$148,0))</f>
        <v>Sí</v>
      </c>
    </row>
    <row r="8" customFormat="false" ht="15" hidden="false" customHeight="false" outlineLevel="0" collapsed="false">
      <c r="A8" s="39" t="s">
        <v>156</v>
      </c>
      <c r="B8" s="32" t="n">
        <f aca="false">SUM(Covarianza!$B9:$EO9)/144/(SUM(Covarianza!$B$6:$EO$149)/144^2)</f>
        <v>0.330314719069122</v>
      </c>
      <c r="C8" s="41" t="n">
        <f aca="false">IF(ISNUMBER(INDEX(Acciones!$G$5:$G$148,MATCH($A8,Acciones!$A$5:$A$148,0))),INDEX(Acciones!$G$5:$G$148,MATCH($A8,Acciones!$A$5:$A$148,0)),1)+2*'Mi portafolio'!$C$5</f>
        <v>0.0027851851</v>
      </c>
      <c r="D8" s="56" t="str">
        <f aca="false">INDEX(Acciones!$J$5:$J$148,MATCH($A8,Acciones!$A$5:$A$148,0))</f>
        <v>Sí</v>
      </c>
    </row>
    <row r="9" customFormat="false" ht="15" hidden="false" customHeight="false" outlineLevel="0" collapsed="false">
      <c r="A9" s="39" t="s">
        <v>157</v>
      </c>
      <c r="B9" s="32" t="n">
        <f aca="false">SUM(Covarianza!$B10:$EO10)/144/(SUM(Covarianza!$B$6:$EO$149)/144^2)</f>
        <v>0.155104300956603</v>
      </c>
      <c r="C9" s="41" t="n">
        <f aca="false">IF(ISNUMBER(INDEX(Acciones!$G$5:$G$148,MATCH($A9,Acciones!$A$5:$A$148,0))),INDEX(Acciones!$G$5:$G$148,MATCH($A9,Acciones!$A$5:$A$148,0)),1)+2*'Mi portafolio'!$C$5</f>
        <v>0.0257535331</v>
      </c>
      <c r="D9" s="56" t="str">
        <f aca="false">INDEX(Acciones!$J$5:$J$148,MATCH($A9,Acciones!$A$5:$A$148,0))</f>
        <v>Sí</v>
      </c>
    </row>
    <row r="10" customFormat="false" ht="15" hidden="false" customHeight="false" outlineLevel="0" collapsed="false">
      <c r="A10" s="39" t="s">
        <v>158</v>
      </c>
      <c r="B10" s="32" t="n">
        <f aca="false">SUM(Covarianza!$B11:$EO11)/144/(SUM(Covarianza!$B$6:$EO$149)/144^2)</f>
        <v>0.108347232068706</v>
      </c>
      <c r="C10" s="41" t="n">
        <f aca="false">IF(ISNUMBER(INDEX(Acciones!$G$5:$G$148,MATCH($A10,Acciones!$A$5:$A$148,0))),INDEX(Acciones!$G$5:$G$148,MATCH($A10,Acciones!$A$5:$A$148,0)),1)+2*'Mi portafolio'!$C$5</f>
        <v>0.0054611263</v>
      </c>
      <c r="D10" s="56" t="str">
        <f aca="false">INDEX(Acciones!$J$5:$J$148,MATCH($A10,Acciones!$A$5:$A$148,0))</f>
        <v>Sí</v>
      </c>
    </row>
    <row r="11" customFormat="false" ht="15" hidden="false" customHeight="false" outlineLevel="0" collapsed="false">
      <c r="A11" s="39" t="s">
        <v>159</v>
      </c>
      <c r="B11" s="32" t="n">
        <f aca="false">SUM(Covarianza!$B12:$EO12)/144/(SUM(Covarianza!$B$6:$EO$149)/144^2)</f>
        <v>0.291761065735646</v>
      </c>
      <c r="C11" s="41" t="n">
        <f aca="false">IF(ISNUMBER(INDEX(Acciones!$G$5:$G$148,MATCH($A11,Acciones!$A$5:$A$148,0))),INDEX(Acciones!$G$5:$G$148,MATCH($A11,Acciones!$A$5:$A$148,0)),1)+2*'Mi portafolio'!$C$5</f>
        <v>0.0024828002</v>
      </c>
      <c r="D11" s="56" t="str">
        <f aca="false">INDEX(Acciones!$J$5:$J$148,MATCH($A11,Acciones!$A$5:$A$148,0))</f>
        <v>Sí</v>
      </c>
    </row>
    <row r="12" customFormat="false" ht="15" hidden="false" customHeight="false" outlineLevel="0" collapsed="false">
      <c r="A12" s="39" t="s">
        <v>160</v>
      </c>
      <c r="B12" s="32" t="n">
        <f aca="false">SUM(Covarianza!$B13:$EO13)/144/(SUM(Covarianza!$B$6:$EO$149)/144^2)</f>
        <v>0.342125083381855</v>
      </c>
      <c r="C12" s="41" t="n">
        <f aca="false">IF(ISNUMBER(INDEX(Acciones!$G$5:$G$148,MATCH($A12,Acciones!$A$5:$A$148,0))),INDEX(Acciones!$G$5:$G$148,MATCH($A12,Acciones!$A$5:$A$148,0)),1)+2*'Mi portafolio'!$C$5</f>
        <v>0.026060336</v>
      </c>
      <c r="D12" s="56" t="str">
        <f aca="false">INDEX(Acciones!$J$5:$J$148,MATCH($A12,Acciones!$A$5:$A$148,0))</f>
        <v>Sí</v>
      </c>
    </row>
    <row r="13" customFormat="false" ht="15" hidden="false" customHeight="false" outlineLevel="0" collapsed="false">
      <c r="A13" s="39" t="s">
        <v>161</v>
      </c>
      <c r="B13" s="32" t="n">
        <f aca="false">SUM(Covarianza!$B14:$EO14)/144/(SUM(Covarianza!$B$6:$EO$149)/144^2)</f>
        <v>0.176408473236555</v>
      </c>
      <c r="C13" s="41" t="n">
        <f aca="false">IF(ISNUMBER(INDEX(Acciones!$G$5:$G$148,MATCH($A13,Acciones!$A$5:$A$148,0))),INDEX(Acciones!$G$5:$G$148,MATCH($A13,Acciones!$A$5:$A$148,0)),1)+2*'Mi portafolio'!$C$5</f>
        <v>0.0348359542</v>
      </c>
      <c r="D13" s="56" t="str">
        <f aca="false">INDEX(Acciones!$J$5:$J$148,MATCH($A13,Acciones!$A$5:$A$148,0))</f>
        <v>Sí</v>
      </c>
    </row>
    <row r="14" customFormat="false" ht="15" hidden="false" customHeight="false" outlineLevel="0" collapsed="false">
      <c r="A14" s="39" t="s">
        <v>162</v>
      </c>
      <c r="B14" s="32" t="n">
        <f aca="false">SUM(Covarianza!$B15:$EO15)/144/(SUM(Covarianza!$B$6:$EO$149)/144^2)</f>
        <v>0.275286049994128</v>
      </c>
      <c r="C14" s="41" t="n">
        <f aca="false">IF(ISNUMBER(INDEX(Acciones!$G$5:$G$148,MATCH($A14,Acciones!$A$5:$A$148,0))),INDEX(Acciones!$G$5:$G$148,MATCH($A14,Acciones!$A$5:$A$148,0)),1)+2*'Mi portafolio'!$C$5</f>
        <v>0.0221437238</v>
      </c>
      <c r="D14" s="56" t="str">
        <f aca="false">INDEX(Acciones!$J$5:$J$148,MATCH($A14,Acciones!$A$5:$A$148,0))</f>
        <v>Sí</v>
      </c>
    </row>
    <row r="15" customFormat="false" ht="15" hidden="false" customHeight="false" outlineLevel="0" collapsed="false">
      <c r="A15" s="39" t="s">
        <v>163</v>
      </c>
      <c r="B15" s="32" t="n">
        <f aca="false">SUM(Covarianza!$B16:$EO16)/144/(SUM(Covarianza!$B$6:$EO$149)/144^2)</f>
        <v>0.358208763558157</v>
      </c>
      <c r="C15" s="41" t="n">
        <f aca="false">IF(ISNUMBER(INDEX(Acciones!$G$5:$G$148,MATCH($A15,Acciones!$A$5:$A$148,0))),INDEX(Acciones!$G$5:$G$148,MATCH($A15,Acciones!$A$5:$A$148,0)),1)+2*'Mi portafolio'!$C$5</f>
        <v>0.0027479906</v>
      </c>
      <c r="D15" s="56" t="str">
        <f aca="false">INDEX(Acciones!$J$5:$J$148,MATCH($A15,Acciones!$A$5:$A$148,0))</f>
        <v>Sí</v>
      </c>
    </row>
    <row r="16" customFormat="false" ht="15" hidden="false" customHeight="false" outlineLevel="0" collapsed="false">
      <c r="A16" s="39" t="s">
        <v>164</v>
      </c>
      <c r="B16" s="32" t="n">
        <f aca="false">SUM(Covarianza!$B17:$EO17)/144/(SUM(Covarianza!$B$6:$EO$149)/144^2)</f>
        <v>0.817587352630251</v>
      </c>
      <c r="C16" s="41" t="n">
        <f aca="false">IF(ISNUMBER(INDEX(Acciones!$G$5:$G$148,MATCH($A16,Acciones!$A$5:$A$148,0))),INDEX(Acciones!$G$5:$G$148,MATCH($A16,Acciones!$A$5:$A$148,0)),1)+2*'Mi portafolio'!$C$5</f>
        <v>0.0088139282</v>
      </c>
      <c r="D16" s="56" t="str">
        <f aca="false">INDEX(Acciones!$J$5:$J$148,MATCH($A16,Acciones!$A$5:$A$148,0))</f>
        <v>Sí</v>
      </c>
    </row>
    <row r="17" customFormat="false" ht="15" hidden="false" customHeight="false" outlineLevel="0" collapsed="false">
      <c r="A17" s="39" t="s">
        <v>165</v>
      </c>
      <c r="B17" s="32" t="n">
        <f aca="false">SUM(Covarianza!$B18:$EO18)/144/(SUM(Covarianza!$B$6:$EO$149)/144^2)</f>
        <v>0.552482193667646</v>
      </c>
      <c r="C17" s="41" t="n">
        <f aca="false">IF(ISNUMBER(INDEX(Acciones!$G$5:$G$148,MATCH($A17,Acciones!$A$5:$A$148,0))),INDEX(Acciones!$G$5:$G$148,MATCH($A17,Acciones!$A$5:$A$148,0)),1)+2*'Mi portafolio'!$C$5</f>
        <v>0.0144290416</v>
      </c>
      <c r="D17" s="56" t="str">
        <f aca="false">INDEX(Acciones!$J$5:$J$148,MATCH($A17,Acciones!$A$5:$A$148,0))</f>
        <v>Sí</v>
      </c>
    </row>
    <row r="18" customFormat="false" ht="15" hidden="false" customHeight="false" outlineLevel="0" collapsed="false">
      <c r="A18" s="39" t="s">
        <v>120</v>
      </c>
      <c r="B18" s="32" t="n">
        <f aca="false">SUM(Covarianza!$B19:$EO19)/144/(SUM(Covarianza!$B$6:$EO$149)/144^2)</f>
        <v>0.348691864930576</v>
      </c>
      <c r="C18" s="41" t="n">
        <f aca="false">IF(ISNUMBER(INDEX(Acciones!$G$5:$G$148,MATCH($A18,Acciones!$A$5:$A$148,0))),INDEX(Acciones!$G$5:$G$148,MATCH($A18,Acciones!$A$5:$A$148,0)),1)+2*'Mi portafolio'!$C$5</f>
        <v>0.0026278028</v>
      </c>
      <c r="D18" s="56" t="str">
        <f aca="false">INDEX(Acciones!$J$5:$J$148,MATCH($A18,Acciones!$A$5:$A$148,0))</f>
        <v>Sí</v>
      </c>
    </row>
    <row r="19" customFormat="false" ht="15" hidden="false" customHeight="false" outlineLevel="0" collapsed="false">
      <c r="A19" s="39" t="s">
        <v>166</v>
      </c>
      <c r="B19" s="32" t="n">
        <f aca="false">SUM(Covarianza!$B20:$EO20)/144/(SUM(Covarianza!$B$6:$EO$149)/144^2)</f>
        <v>0.224743273396448</v>
      </c>
      <c r="C19" s="41" t="n">
        <f aca="false">IF(ISNUMBER(INDEX(Acciones!$G$5:$G$148,MATCH($A19,Acciones!$A$5:$A$148,0))),INDEX(Acciones!$G$5:$G$148,MATCH($A19,Acciones!$A$5:$A$148,0)),1)+2*'Mi portafolio'!$C$5</f>
        <v>0.0143863421</v>
      </c>
      <c r="D19" s="56" t="str">
        <f aca="false">INDEX(Acciones!$J$5:$J$148,MATCH($A19,Acciones!$A$5:$A$148,0))</f>
        <v>Sí</v>
      </c>
    </row>
    <row r="20" customFormat="false" ht="15" hidden="false" customHeight="false" outlineLevel="0" collapsed="false">
      <c r="A20" s="39" t="s">
        <v>167</v>
      </c>
      <c r="B20" s="32" t="n">
        <f aca="false">SUM(Covarianza!$B21:$EO21)/144/(SUM(Covarianza!$B$6:$EO$149)/144^2)</f>
        <v>0.100289138093732</v>
      </c>
      <c r="C20" s="41" t="n">
        <f aca="false">IF(ISNUMBER(INDEX(Acciones!$G$5:$G$148,MATCH($A20,Acciones!$A$5:$A$148,0))),INDEX(Acciones!$G$5:$G$148,MATCH($A20,Acciones!$A$5:$A$148,0)),1)+2*'Mi portafolio'!$C$5</f>
        <v>0.0041778727</v>
      </c>
      <c r="D20" s="56" t="str">
        <f aca="false">INDEX(Acciones!$J$5:$J$148,MATCH($A20,Acciones!$A$5:$A$148,0))</f>
        <v>Sí</v>
      </c>
    </row>
    <row r="21" customFormat="false" ht="15" hidden="false" customHeight="false" outlineLevel="0" collapsed="false">
      <c r="A21" s="39" t="s">
        <v>168</v>
      </c>
      <c r="B21" s="32" t="n">
        <f aca="false">SUM(Covarianza!$B22:$EO22)/144/(SUM(Covarianza!$B$6:$EO$149)/144^2)</f>
        <v>0.256464578642844</v>
      </c>
      <c r="C21" s="41" t="n">
        <f aca="false">IF(ISNUMBER(INDEX(Acciones!$G$5:$G$148,MATCH($A21,Acciones!$A$5:$A$148,0))),INDEX(Acciones!$G$5:$G$148,MATCH($A21,Acciones!$A$5:$A$148,0)),1)+2*'Mi portafolio'!$C$5</f>
        <v>0.0046652539</v>
      </c>
      <c r="D21" s="56" t="str">
        <f aca="false">INDEX(Acciones!$J$5:$J$148,MATCH($A21,Acciones!$A$5:$A$148,0))</f>
        <v>Sí</v>
      </c>
    </row>
    <row r="22" customFormat="false" ht="15" hidden="false" customHeight="false" outlineLevel="0" collapsed="false">
      <c r="A22" s="39" t="s">
        <v>169</v>
      </c>
      <c r="B22" s="32" t="n">
        <f aca="false">SUM(Covarianza!$B23:$EO23)/144/(SUM(Covarianza!$B$6:$EO$149)/144^2)</f>
        <v>0.276954405840297</v>
      </c>
      <c r="C22" s="41" t="n">
        <f aca="false">IF(ISNUMBER(INDEX(Acciones!$G$5:$G$148,MATCH($A22,Acciones!$A$5:$A$148,0))),INDEX(Acciones!$G$5:$G$148,MATCH($A22,Acciones!$A$5:$A$148,0)),1)+2*'Mi portafolio'!$C$5</f>
        <v>0.0024354534</v>
      </c>
      <c r="D22" s="56" t="str">
        <f aca="false">INDEX(Acciones!$J$5:$J$148,MATCH($A22,Acciones!$A$5:$A$148,0))</f>
        <v>Sí</v>
      </c>
    </row>
    <row r="23" customFormat="false" ht="15" hidden="false" customHeight="false" outlineLevel="0" collapsed="false">
      <c r="A23" s="39" t="s">
        <v>170</v>
      </c>
      <c r="B23" s="32" t="n">
        <f aca="false">SUM(Covarianza!$B24:$EO24)/144/(SUM(Covarianza!$B$6:$EO$149)/144^2)</f>
        <v>0.711308789639706</v>
      </c>
      <c r="C23" s="41" t="n">
        <f aca="false">IF(ISNUMBER(INDEX(Acciones!$G$5:$G$148,MATCH($A23,Acciones!$A$5:$A$148,0))),INDEX(Acciones!$G$5:$G$148,MATCH($A23,Acciones!$A$5:$A$148,0)),1)+2*'Mi portafolio'!$C$5</f>
        <v>0.0138113658</v>
      </c>
      <c r="D23" s="56" t="str">
        <f aca="false">INDEX(Acciones!$J$5:$J$148,MATCH($A23,Acciones!$A$5:$A$148,0))</f>
        <v>Sí</v>
      </c>
    </row>
    <row r="24" customFormat="false" ht="15" hidden="false" customHeight="false" outlineLevel="0" collapsed="false">
      <c r="A24" s="39" t="s">
        <v>171</v>
      </c>
      <c r="B24" s="32" t="n">
        <f aca="false">SUM(Covarianza!$B25:$EO25)/144/(SUM(Covarianza!$B$6:$EO$149)/144^2)</f>
        <v>0.58084587689209</v>
      </c>
      <c r="C24" s="41" t="n">
        <f aca="false">IF(ISNUMBER(INDEX(Acciones!$G$5:$G$148,MATCH($A24,Acciones!$A$5:$A$148,0))),INDEX(Acciones!$G$5:$G$148,MATCH($A24,Acciones!$A$5:$A$148,0)),1)+2*'Mi portafolio'!$C$5</f>
        <v>0.0025604713</v>
      </c>
      <c r="D24" s="56" t="str">
        <f aca="false">INDEX(Acciones!$J$5:$J$148,MATCH($A24,Acciones!$A$5:$A$148,0))</f>
        <v>Sí</v>
      </c>
    </row>
    <row r="25" customFormat="false" ht="15" hidden="false" customHeight="false" outlineLevel="0" collapsed="false">
      <c r="A25" s="39" t="s">
        <v>121</v>
      </c>
      <c r="B25" s="32" t="n">
        <f aca="false">SUM(Covarianza!$B26:$EO26)/144/(SUM(Covarianza!$B$6:$EO$149)/144^2)</f>
        <v>0.306784116415061</v>
      </c>
      <c r="C25" s="41" t="n">
        <f aca="false">IF(ISNUMBER(INDEX(Acciones!$G$5:$G$148,MATCH($A25,Acciones!$A$5:$A$148,0))),INDEX(Acciones!$G$5:$G$148,MATCH($A25,Acciones!$A$5:$A$148,0)),1)+2*'Mi portafolio'!$C$5</f>
        <v>0.0026492181</v>
      </c>
      <c r="D25" s="56" t="str">
        <f aca="false">INDEX(Acciones!$J$5:$J$148,MATCH($A25,Acciones!$A$5:$A$148,0))</f>
        <v>Sí</v>
      </c>
    </row>
    <row r="26" customFormat="false" ht="15" hidden="false" customHeight="false" outlineLevel="0" collapsed="false">
      <c r="A26" s="39" t="s">
        <v>172</v>
      </c>
      <c r="B26" s="32" t="n">
        <f aca="false">SUM(Covarianza!$B27:$EO27)/144/(SUM(Covarianza!$B$6:$EO$149)/144^2)</f>
        <v>0.311677251857744</v>
      </c>
      <c r="C26" s="41" t="n">
        <f aca="false">IF(ISNUMBER(INDEX(Acciones!$G$5:$G$148,MATCH($A26,Acciones!$A$5:$A$148,0))),INDEX(Acciones!$G$5:$G$148,MATCH($A26,Acciones!$A$5:$A$148,0)),1)+2*'Mi portafolio'!$C$5</f>
        <v>0.0035702605</v>
      </c>
      <c r="D26" s="56" t="str">
        <f aca="false">INDEX(Acciones!$J$5:$J$148,MATCH($A26,Acciones!$A$5:$A$148,0))</f>
        <v>Sí</v>
      </c>
    </row>
    <row r="27" customFormat="false" ht="15" hidden="false" customHeight="false" outlineLevel="0" collapsed="false">
      <c r="A27" s="39" t="s">
        <v>173</v>
      </c>
      <c r="B27" s="32" t="n">
        <f aca="false">SUM(Covarianza!$B28:$EO28)/144/(SUM(Covarianza!$B$6:$EO$149)/144^2)</f>
        <v>0.78841526811901</v>
      </c>
      <c r="C27" s="41" t="n">
        <f aca="false">IF(ISNUMBER(INDEX(Acciones!$G$5:$G$148,MATCH($A27,Acciones!$A$5:$A$148,0))),INDEX(Acciones!$G$5:$G$148,MATCH($A27,Acciones!$A$5:$A$148,0)),1)+2*'Mi portafolio'!$C$5</f>
        <v>0.0237243304</v>
      </c>
      <c r="D27" s="56" t="str">
        <f aca="false">INDEX(Acciones!$J$5:$J$148,MATCH($A27,Acciones!$A$5:$A$148,0))</f>
        <v>Sí</v>
      </c>
    </row>
    <row r="28" customFormat="false" ht="15" hidden="false" customHeight="false" outlineLevel="0" collapsed="false">
      <c r="A28" s="39" t="s">
        <v>174</v>
      </c>
      <c r="B28" s="32" t="n">
        <f aca="false">SUM(Covarianza!$B29:$EO29)/144/(SUM(Covarianza!$B$6:$EO$149)/144^2)</f>
        <v>0.523164762224275</v>
      </c>
      <c r="C28" s="41" t="n">
        <f aca="false">IF(ISNUMBER(INDEX(Acciones!$G$5:$G$148,MATCH($A28,Acciones!$A$5:$A$148,0))),INDEX(Acciones!$G$5:$G$148,MATCH($A28,Acciones!$A$5:$A$148,0)),1)+2*'Mi portafolio'!$C$5</f>
        <v>0.0089575781</v>
      </c>
      <c r="D28" s="56" t="str">
        <f aca="false">INDEX(Acciones!$J$5:$J$148,MATCH($A28,Acciones!$A$5:$A$148,0))</f>
        <v>Sí</v>
      </c>
    </row>
    <row r="29" customFormat="false" ht="15" hidden="false" customHeight="false" outlineLevel="0" collapsed="false">
      <c r="A29" s="39" t="s">
        <v>175</v>
      </c>
      <c r="B29" s="32" t="n">
        <f aca="false">SUM(Covarianza!$B30:$EO30)/144/(SUM(Covarianza!$B$6:$EO$149)/144^2)</f>
        <v>0.463488380129762</v>
      </c>
      <c r="C29" s="41" t="n">
        <f aca="false">IF(ISNUMBER(INDEX(Acciones!$G$5:$G$148,MATCH($A29,Acciones!$A$5:$A$148,0))),INDEX(Acciones!$G$5:$G$148,MATCH($A29,Acciones!$A$5:$A$148,0)),1)+2*'Mi portafolio'!$C$5</f>
        <v>0.0028502227</v>
      </c>
      <c r="D29" s="56" t="str">
        <f aca="false">INDEX(Acciones!$J$5:$J$148,MATCH($A29,Acciones!$A$5:$A$148,0))</f>
        <v>Sí</v>
      </c>
    </row>
    <row r="30" customFormat="false" ht="15" hidden="false" customHeight="false" outlineLevel="0" collapsed="false">
      <c r="A30" s="39" t="s">
        <v>176</v>
      </c>
      <c r="B30" s="32" t="n">
        <f aca="false">SUM(Covarianza!$B31:$EO31)/144/(SUM(Covarianza!$B$6:$EO$149)/144^2)</f>
        <v>0.391507501478283</v>
      </c>
      <c r="C30" s="41" t="n">
        <f aca="false">IF(ISNUMBER(INDEX(Acciones!$G$5:$G$148,MATCH($A30,Acciones!$A$5:$A$148,0))),INDEX(Acciones!$G$5:$G$148,MATCH($A30,Acciones!$A$5:$A$148,0)),1)+2*'Mi portafolio'!$C$5</f>
        <v>0.0042809322</v>
      </c>
      <c r="D30" s="56" t="str">
        <f aca="false">INDEX(Acciones!$J$5:$J$148,MATCH($A30,Acciones!$A$5:$A$148,0))</f>
        <v>Sí</v>
      </c>
    </row>
    <row r="31" customFormat="false" ht="15" hidden="false" customHeight="false" outlineLevel="0" collapsed="false">
      <c r="A31" s="39" t="s">
        <v>177</v>
      </c>
      <c r="B31" s="32" t="n">
        <f aca="false">SUM(Covarianza!$B32:$EO32)/144/(SUM(Covarianza!$B$6:$EO$149)/144^2)</f>
        <v>0.505296954582976</v>
      </c>
      <c r="C31" s="41" t="n">
        <f aca="false">IF(ISNUMBER(INDEX(Acciones!$G$5:$G$148,MATCH($A31,Acciones!$A$5:$A$148,0))),INDEX(Acciones!$G$5:$G$148,MATCH($A31,Acciones!$A$5:$A$148,0)),1)+2*'Mi portafolio'!$C$5</f>
        <v>0.0264144578</v>
      </c>
      <c r="D31" s="56" t="str">
        <f aca="false">INDEX(Acciones!$J$5:$J$148,MATCH($A31,Acciones!$A$5:$A$148,0))</f>
        <v>Sí</v>
      </c>
    </row>
    <row r="32" customFormat="false" ht="15" hidden="false" customHeight="false" outlineLevel="0" collapsed="false">
      <c r="A32" s="39" t="s">
        <v>178</v>
      </c>
      <c r="B32" s="32" t="n">
        <f aca="false">SUM(Covarianza!$B33:$EO33)/144/(SUM(Covarianza!$B$6:$EO$149)/144^2)</f>
        <v>0.234814880279048</v>
      </c>
      <c r="C32" s="41" t="n">
        <f aca="false">IF(ISNUMBER(INDEX(Acciones!$G$5:$G$148,MATCH($A32,Acciones!$A$5:$A$148,0))),INDEX(Acciones!$G$5:$G$148,MATCH($A32,Acciones!$A$5:$A$148,0)),1)+2*'Mi portafolio'!$C$5</f>
        <v>0.0031108264</v>
      </c>
      <c r="D32" s="56" t="str">
        <f aca="false">INDEX(Acciones!$J$5:$J$148,MATCH($A32,Acciones!$A$5:$A$148,0))</f>
        <v>Sí</v>
      </c>
    </row>
    <row r="33" customFormat="false" ht="15" hidden="false" customHeight="false" outlineLevel="0" collapsed="false">
      <c r="A33" s="39" t="s">
        <v>179</v>
      </c>
      <c r="B33" s="32" t="n">
        <f aca="false">SUM(Covarianza!$B34:$EO34)/144/(SUM(Covarianza!$B$6:$EO$149)/144^2)</f>
        <v>0.336899870045222</v>
      </c>
      <c r="C33" s="41" t="n">
        <f aca="false">IF(ISNUMBER(INDEX(Acciones!$G$5:$G$148,MATCH($A33,Acciones!$A$5:$A$148,0))),INDEX(Acciones!$G$5:$G$148,MATCH($A33,Acciones!$A$5:$A$148,0)),1)+2*'Mi portafolio'!$C$5</f>
        <v>0.0028203753</v>
      </c>
      <c r="D33" s="56" t="str">
        <f aca="false">INDEX(Acciones!$J$5:$J$148,MATCH($A33,Acciones!$A$5:$A$148,0))</f>
        <v>Sí</v>
      </c>
    </row>
    <row r="34" customFormat="false" ht="15" hidden="false" customHeight="false" outlineLevel="0" collapsed="false">
      <c r="A34" s="39" t="s">
        <v>180</v>
      </c>
      <c r="B34" s="32" t="n">
        <f aca="false">SUM(Covarianza!$B35:$EO35)/144/(SUM(Covarianza!$B$6:$EO$149)/144^2)</f>
        <v>0.551759129512115</v>
      </c>
      <c r="C34" s="41" t="n">
        <f aca="false">IF(ISNUMBER(INDEX(Acciones!$G$5:$G$148,MATCH($A34,Acciones!$A$5:$A$148,0))),INDEX(Acciones!$G$5:$G$148,MATCH($A34,Acciones!$A$5:$A$148,0)),1)+2*'Mi portafolio'!$C$5</f>
        <v>0.0032884996</v>
      </c>
      <c r="D34" s="56" t="str">
        <f aca="false">INDEX(Acciones!$J$5:$J$148,MATCH($A34,Acciones!$A$5:$A$148,0))</f>
        <v>Sí</v>
      </c>
    </row>
    <row r="35" customFormat="false" ht="15" hidden="false" customHeight="false" outlineLevel="0" collapsed="false">
      <c r="A35" s="39" t="s">
        <v>181</v>
      </c>
      <c r="B35" s="32" t="n">
        <f aca="false">SUM(Covarianza!$B36:$EO36)/144/(SUM(Covarianza!$B$6:$EO$149)/144^2)</f>
        <v>0.482358551168289</v>
      </c>
      <c r="C35" s="41" t="n">
        <f aca="false">IF(ISNUMBER(INDEX(Acciones!$G$5:$G$148,MATCH($A35,Acciones!$A$5:$A$148,0))),INDEX(Acciones!$G$5:$G$148,MATCH($A35,Acciones!$A$5:$A$148,0)),1)+2*'Mi portafolio'!$C$5</f>
        <v>0.0025753859</v>
      </c>
      <c r="D35" s="56" t="str">
        <f aca="false">INDEX(Acciones!$J$5:$J$148,MATCH($A35,Acciones!$A$5:$A$148,0))</f>
        <v>Sí</v>
      </c>
    </row>
    <row r="36" customFormat="false" ht="15" hidden="false" customHeight="false" outlineLevel="0" collapsed="false">
      <c r="A36" s="39" t="s">
        <v>182</v>
      </c>
      <c r="B36" s="32" t="n">
        <f aca="false">SUM(Covarianza!$B37:$EO37)/144/(SUM(Covarianza!$B$6:$EO$149)/144^2)</f>
        <v>0.0264010277990869</v>
      </c>
      <c r="C36" s="41" t="n">
        <f aca="false">IF(ISNUMBER(INDEX(Acciones!$G$5:$G$148,MATCH($A36,Acciones!$A$5:$A$148,0))),INDEX(Acciones!$G$5:$G$148,MATCH($A36,Acciones!$A$5:$A$148,0)),1)+2*'Mi portafolio'!$C$5</f>
        <v>0.0459171595</v>
      </c>
      <c r="D36" s="56" t="str">
        <f aca="false">INDEX(Acciones!$J$5:$J$148,MATCH($A36,Acciones!$A$5:$A$148,0))</f>
        <v>Sí</v>
      </c>
    </row>
    <row r="37" customFormat="false" ht="15" hidden="false" customHeight="false" outlineLevel="0" collapsed="false">
      <c r="A37" s="39" t="s">
        <v>183</v>
      </c>
      <c r="B37" s="32" t="n">
        <f aca="false">SUM(Covarianza!$B38:$EO38)/144/(SUM(Covarianza!$B$6:$EO$149)/144^2)</f>
        <v>0.0513948070351041</v>
      </c>
      <c r="C37" s="41" t="n">
        <f aca="false">IF(ISNUMBER(INDEX(Acciones!$G$5:$G$148,MATCH($A37,Acciones!$A$5:$A$148,0))),INDEX(Acciones!$G$5:$G$148,MATCH($A37,Acciones!$A$5:$A$148,0)),1)+2*'Mi portafolio'!$C$5</f>
        <v>0.0374341389</v>
      </c>
      <c r="D37" s="56" t="str">
        <f aca="false">INDEX(Acciones!$J$5:$J$148,MATCH($A37,Acciones!$A$5:$A$148,0))</f>
        <v>Sí</v>
      </c>
    </row>
    <row r="38" customFormat="false" ht="15" hidden="false" customHeight="false" outlineLevel="0" collapsed="false">
      <c r="A38" s="39" t="s">
        <v>184</v>
      </c>
      <c r="B38" s="32" t="n">
        <f aca="false">SUM(Covarianza!$B39:$EO39)/144/(SUM(Covarianza!$B$6:$EO$149)/144^2)</f>
        <v>-0.153877231095258</v>
      </c>
      <c r="C38" s="41" t="n">
        <f aca="false">IF(ISNUMBER(INDEX(Acciones!$G$5:$G$148,MATCH($A38,Acciones!$A$5:$A$148,0))),INDEX(Acciones!$G$5:$G$148,MATCH($A38,Acciones!$A$5:$A$148,0)),1)+2*'Mi portafolio'!$C$5</f>
        <v>0.0295614569</v>
      </c>
      <c r="D38" s="56" t="str">
        <f aca="false">INDEX(Acciones!$J$5:$J$148,MATCH($A38,Acciones!$A$5:$A$148,0))</f>
        <v>Sí</v>
      </c>
    </row>
    <row r="39" customFormat="false" ht="15" hidden="false" customHeight="false" outlineLevel="0" collapsed="false">
      <c r="A39" s="39" t="s">
        <v>185</v>
      </c>
      <c r="B39" s="32" t="n">
        <f aca="false">SUM(Covarianza!$B40:$EO40)/144/(SUM(Covarianza!$B$6:$EO$149)/144^2)</f>
        <v>0.319800059964776</v>
      </c>
      <c r="C39" s="41" t="n">
        <f aca="false">IF(ISNUMBER(INDEX(Acciones!$G$5:$G$148,MATCH($A39,Acciones!$A$5:$A$148,0))),INDEX(Acciones!$G$5:$G$148,MATCH($A39,Acciones!$A$5:$A$148,0)),1)+2*'Mi portafolio'!$C$5</f>
        <v>0.0025309482</v>
      </c>
      <c r="D39" s="56" t="str">
        <f aca="false">INDEX(Acciones!$J$5:$J$148,MATCH($A39,Acciones!$A$5:$A$148,0))</f>
        <v>Sí</v>
      </c>
    </row>
    <row r="40" customFormat="false" ht="15" hidden="false" customHeight="false" outlineLevel="0" collapsed="false">
      <c r="A40" s="39" t="s">
        <v>119</v>
      </c>
      <c r="B40" s="32" t="n">
        <f aca="false">SUM(Covarianza!$B41:$EO41)/144/(SUM(Covarianza!$B$6:$EO$149)/144^2)</f>
        <v>0.574191279283089</v>
      </c>
      <c r="C40" s="41" t="n">
        <f aca="false">IF(ISNUMBER(INDEX(Acciones!$G$5:$G$148,MATCH($A40,Acciones!$A$5:$A$148,0))),INDEX(Acciones!$G$5:$G$148,MATCH($A40,Acciones!$A$5:$A$148,0)),1)+2*'Mi portafolio'!$C$5</f>
        <v>0.0026365893</v>
      </c>
      <c r="D40" s="56" t="str">
        <f aca="false">INDEX(Acciones!$J$5:$J$148,MATCH($A40,Acciones!$A$5:$A$148,0))</f>
        <v>Sí</v>
      </c>
    </row>
    <row r="41" customFormat="false" ht="15" hidden="false" customHeight="false" outlineLevel="0" collapsed="false">
      <c r="A41" s="39" t="s">
        <v>186</v>
      </c>
      <c r="B41" s="32" t="n">
        <f aca="false">SUM(Covarianza!$B42:$EO42)/144/(SUM(Covarianza!$B$6:$EO$149)/144^2)</f>
        <v>0.691288626530345</v>
      </c>
      <c r="C41" s="41" t="n">
        <f aca="false">IF(ISNUMBER(INDEX(Acciones!$G$5:$G$148,MATCH($A41,Acciones!$A$5:$A$148,0))),INDEX(Acciones!$G$5:$G$148,MATCH($A41,Acciones!$A$5:$A$148,0)),1)+2*'Mi portafolio'!$C$5</f>
        <v>0.0116262909</v>
      </c>
      <c r="D41" s="56" t="str">
        <f aca="false">INDEX(Acciones!$J$5:$J$148,MATCH($A41,Acciones!$A$5:$A$148,0))</f>
        <v>Sí</v>
      </c>
    </row>
    <row r="42" customFormat="false" ht="15" hidden="false" customHeight="false" outlineLevel="0" collapsed="false">
      <c r="A42" s="39" t="s">
        <v>187</v>
      </c>
      <c r="B42" s="32" t="n">
        <f aca="false">SUM(Covarianza!$B43:$EO43)/144/(SUM(Covarianza!$B$6:$EO$149)/144^2)</f>
        <v>0.612713430499348</v>
      </c>
      <c r="C42" s="41" t="n">
        <f aca="false">IF(ISNUMBER(INDEX(Acciones!$G$5:$G$148,MATCH($A42,Acciones!$A$5:$A$148,0))),INDEX(Acciones!$G$5:$G$148,MATCH($A42,Acciones!$A$5:$A$148,0)),1)+2*'Mi portafolio'!$C$5</f>
        <v>0.0031714261</v>
      </c>
      <c r="D42" s="56" t="str">
        <f aca="false">INDEX(Acciones!$J$5:$J$148,MATCH($A42,Acciones!$A$5:$A$148,0))</f>
        <v>Sí</v>
      </c>
    </row>
    <row r="43" customFormat="false" ht="15" hidden="false" customHeight="false" outlineLevel="0" collapsed="false">
      <c r="A43" s="39" t="s">
        <v>188</v>
      </c>
      <c r="B43" s="32" t="n">
        <f aca="false">SUM(Covarianza!$B44:$EO44)/144/(SUM(Covarianza!$B$6:$EO$149)/144^2)</f>
        <v>0.852917612313888</v>
      </c>
      <c r="C43" s="41" t="n">
        <f aca="false">IF(ISNUMBER(INDEX(Acciones!$G$5:$G$148,MATCH($A43,Acciones!$A$5:$A$148,0))),INDEX(Acciones!$G$5:$G$148,MATCH($A43,Acciones!$A$5:$A$148,0)),1)+2*'Mi portafolio'!$C$5</f>
        <v>0.0412248623</v>
      </c>
      <c r="D43" s="56" t="str">
        <f aca="false">INDEX(Acciones!$J$5:$J$148,MATCH($A43,Acciones!$A$5:$A$148,0))</f>
        <v>Sí</v>
      </c>
    </row>
    <row r="44" customFormat="false" ht="15" hidden="false" customHeight="false" outlineLevel="0" collapsed="false">
      <c r="A44" s="39" t="s">
        <v>189</v>
      </c>
      <c r="B44" s="32" t="n">
        <f aca="false">SUM(Covarianza!$B45:$EO45)/144/(SUM(Covarianza!$B$6:$EO$149)/144^2)</f>
        <v>0.278586538336266</v>
      </c>
      <c r="C44" s="41" t="n">
        <f aca="false">IF(ISNUMBER(INDEX(Acciones!$G$5:$G$148,MATCH($A44,Acciones!$A$5:$A$148,0))),INDEX(Acciones!$G$5:$G$148,MATCH($A44,Acciones!$A$5:$A$148,0)),1)+2*'Mi portafolio'!$C$5</f>
        <v>0.0358609939</v>
      </c>
      <c r="D44" s="56" t="str">
        <f aca="false">INDEX(Acciones!$J$5:$J$148,MATCH($A44,Acciones!$A$5:$A$148,0))</f>
        <v>Sí</v>
      </c>
    </row>
    <row r="45" customFormat="false" ht="15" hidden="false" customHeight="false" outlineLevel="0" collapsed="false">
      <c r="A45" s="39" t="s">
        <v>190</v>
      </c>
      <c r="B45" s="32" t="n">
        <f aca="false">SUM(Covarianza!$B46:$EO46)/144/(SUM(Covarianza!$B$6:$EO$149)/144^2)</f>
        <v>0.813176704099371</v>
      </c>
      <c r="C45" s="41" t="n">
        <f aca="false">IF(ISNUMBER(INDEX(Acciones!$G$5:$G$148,MATCH($A45,Acciones!$A$5:$A$148,0))),INDEX(Acciones!$G$5:$G$148,MATCH($A45,Acciones!$A$5:$A$148,0)),1)+2*'Mi portafolio'!$C$5</f>
        <v>0.0214620701</v>
      </c>
      <c r="D45" s="56" t="str">
        <f aca="false">INDEX(Acciones!$J$5:$J$148,MATCH($A45,Acciones!$A$5:$A$148,0))</f>
        <v>Sí</v>
      </c>
    </row>
    <row r="46" customFormat="false" ht="15" hidden="false" customHeight="false" outlineLevel="0" collapsed="false">
      <c r="A46" s="39" t="s">
        <v>191</v>
      </c>
      <c r="B46" s="32" t="n">
        <f aca="false">SUM(Covarianza!$B47:$EO47)/144/(SUM(Covarianza!$B$6:$EO$149)/144^2)</f>
        <v>-0.206348070790707</v>
      </c>
      <c r="C46" s="41" t="n">
        <f aca="false">IF(ISNUMBER(INDEX(Acciones!$G$5:$G$148,MATCH($A46,Acciones!$A$5:$A$148,0))),INDEX(Acciones!$G$5:$G$148,MATCH($A46,Acciones!$A$5:$A$148,0)),1)+2*'Mi portafolio'!$C$5</f>
        <v>0.0439361749</v>
      </c>
      <c r="D46" s="56" t="str">
        <f aca="false">INDEX(Acciones!$J$5:$J$148,MATCH($A46,Acciones!$A$5:$A$148,0))</f>
        <v>Sí</v>
      </c>
    </row>
    <row r="47" customFormat="false" ht="15" hidden="false" customHeight="false" outlineLevel="0" collapsed="false">
      <c r="A47" s="39" t="s">
        <v>192</v>
      </c>
      <c r="B47" s="32" t="n">
        <f aca="false">SUM(Covarianza!$B48:$EO48)/144/(SUM(Covarianza!$B$6:$EO$149)/144^2)</f>
        <v>0.780925648905971</v>
      </c>
      <c r="C47" s="41" t="n">
        <f aca="false">IF(ISNUMBER(INDEX(Acciones!$G$5:$G$148,MATCH($A47,Acciones!$A$5:$A$148,0))),INDEX(Acciones!$G$5:$G$148,MATCH($A47,Acciones!$A$5:$A$148,0)),1)+2*'Mi portafolio'!$C$5</f>
        <v>0.0394707226</v>
      </c>
      <c r="D47" s="56" t="str">
        <f aca="false">INDEX(Acciones!$J$5:$J$148,MATCH($A47,Acciones!$A$5:$A$148,0))</f>
        <v>Sí</v>
      </c>
    </row>
    <row r="48" customFormat="false" ht="15" hidden="false" customHeight="false" outlineLevel="0" collapsed="false">
      <c r="A48" s="39" t="s">
        <v>193</v>
      </c>
      <c r="B48" s="32" t="n">
        <f aca="false">SUM(Covarianza!$B49:$EO49)/144/(SUM(Covarianza!$B$6:$EO$149)/144^2)</f>
        <v>0.569494258111932</v>
      </c>
      <c r="C48" s="41" t="n">
        <f aca="false">IF(ISNUMBER(INDEX(Acciones!$G$5:$G$148,MATCH($A48,Acciones!$A$5:$A$148,0))),INDEX(Acciones!$G$5:$G$148,MATCH($A48,Acciones!$A$5:$A$148,0)),1)+2*'Mi portafolio'!$C$5</f>
        <v>0.0024929954</v>
      </c>
      <c r="D48" s="56" t="str">
        <f aca="false">INDEX(Acciones!$J$5:$J$148,MATCH($A48,Acciones!$A$5:$A$148,0))</f>
        <v>Sí</v>
      </c>
    </row>
    <row r="49" customFormat="false" ht="15" hidden="false" customHeight="false" outlineLevel="0" collapsed="false">
      <c r="A49" s="39" t="s">
        <v>194</v>
      </c>
      <c r="B49" s="32" t="n">
        <f aca="false">SUM(Covarianza!$B50:$EO50)/144/(SUM(Covarianza!$B$6:$EO$149)/144^2)</f>
        <v>0.991852377641401</v>
      </c>
      <c r="C49" s="41" t="n">
        <f aca="false">IF(ISNUMBER(INDEX(Acciones!$G$5:$G$148,MATCH($A49,Acciones!$A$5:$A$148,0))),INDEX(Acciones!$G$5:$G$148,MATCH($A49,Acciones!$A$5:$A$148,0)),1)+2*'Mi portafolio'!$C$5</f>
        <v>0.0205460877</v>
      </c>
      <c r="D49" s="56" t="str">
        <f aca="false">INDEX(Acciones!$J$5:$J$148,MATCH($A49,Acciones!$A$5:$A$148,0))</f>
        <v>Sí</v>
      </c>
    </row>
    <row r="50" customFormat="false" ht="15" hidden="false" customHeight="false" outlineLevel="0" collapsed="false">
      <c r="A50" s="39" t="s">
        <v>195</v>
      </c>
      <c r="B50" s="32" t="n">
        <f aca="false">SUM(Covarianza!$B51:$EO51)/144/(SUM(Covarianza!$B$6:$EO$149)/144^2)</f>
        <v>0.242573080182767</v>
      </c>
      <c r="C50" s="41" t="n">
        <f aca="false">IF(ISNUMBER(INDEX(Acciones!$G$5:$G$148,MATCH($A50,Acciones!$A$5:$A$148,0))),INDEX(Acciones!$G$5:$G$148,MATCH($A50,Acciones!$A$5:$A$148,0)),1)+2*'Mi portafolio'!$C$5</f>
        <v>0.0118411594</v>
      </c>
      <c r="D50" s="56" t="str">
        <f aca="false">INDEX(Acciones!$J$5:$J$148,MATCH($A50,Acciones!$A$5:$A$148,0))</f>
        <v>Sí</v>
      </c>
    </row>
    <row r="51" customFormat="false" ht="15" hidden="false" customHeight="false" outlineLevel="0" collapsed="false">
      <c r="A51" s="39" t="s">
        <v>196</v>
      </c>
      <c r="B51" s="32" t="n">
        <f aca="false">SUM(Covarianza!$B52:$EO52)/144/(SUM(Covarianza!$B$6:$EO$149)/144^2)</f>
        <v>0.569005461199006</v>
      </c>
      <c r="C51" s="41" t="n">
        <f aca="false">IF(ISNUMBER(INDEX(Acciones!$G$5:$G$148,MATCH($A51,Acciones!$A$5:$A$148,0))),INDEX(Acciones!$G$5:$G$148,MATCH($A51,Acciones!$A$5:$A$148,0)),1)+2*'Mi portafolio'!$C$5</f>
        <v>0.0028563368</v>
      </c>
      <c r="D51" s="56" t="str">
        <f aca="false">INDEX(Acciones!$J$5:$J$148,MATCH($A51,Acciones!$A$5:$A$148,0))</f>
        <v>Sí</v>
      </c>
    </row>
    <row r="52" customFormat="false" ht="15" hidden="false" customHeight="false" outlineLevel="0" collapsed="false">
      <c r="A52" s="39" t="s">
        <v>197</v>
      </c>
      <c r="B52" s="32" t="n">
        <f aca="false">SUM(Covarianza!$B53:$EO53)/144/(SUM(Covarianza!$B$6:$EO$149)/144^2)</f>
        <v>0.626430330664944</v>
      </c>
      <c r="C52" s="41" t="n">
        <f aca="false">IF(ISNUMBER(INDEX(Acciones!$G$5:$G$148,MATCH($A52,Acciones!$A$5:$A$148,0))),INDEX(Acciones!$G$5:$G$148,MATCH($A52,Acciones!$A$5:$A$148,0)),1)+2*'Mi portafolio'!$C$5</f>
        <v>0.0036903323</v>
      </c>
      <c r="D52" s="56" t="str">
        <f aca="false">INDEX(Acciones!$J$5:$J$148,MATCH($A52,Acciones!$A$5:$A$148,0))</f>
        <v>Sí</v>
      </c>
    </row>
    <row r="53" customFormat="false" ht="15" hidden="false" customHeight="false" outlineLevel="0" collapsed="false">
      <c r="A53" s="39" t="s">
        <v>198</v>
      </c>
      <c r="B53" s="32" t="n">
        <f aca="false">SUM(Covarianza!$B54:$EO54)/144/(SUM(Covarianza!$B$6:$EO$149)/144^2)</f>
        <v>0.58610886572652</v>
      </c>
      <c r="C53" s="41" t="n">
        <f aca="false">IF(ISNUMBER(INDEX(Acciones!$G$5:$G$148,MATCH($A53,Acciones!$A$5:$A$148,0))),INDEX(Acciones!$G$5:$G$148,MATCH($A53,Acciones!$A$5:$A$148,0)),1)+2*'Mi portafolio'!$C$5</f>
        <v>0.0504940917</v>
      </c>
      <c r="D53" s="56" t="str">
        <f aca="false">INDEX(Acciones!$J$5:$J$148,MATCH($A53,Acciones!$A$5:$A$148,0))</f>
        <v>Sí</v>
      </c>
    </row>
    <row r="54" customFormat="false" ht="15" hidden="false" customHeight="false" outlineLevel="0" collapsed="false">
      <c r="A54" s="39" t="s">
        <v>200</v>
      </c>
      <c r="B54" s="32" t="n">
        <f aca="false">SUM(Covarianza!$B55:$EO55)/144/(SUM(Covarianza!$B$6:$EO$149)/144^2)</f>
        <v>0.736418481342791</v>
      </c>
      <c r="C54" s="41" t="n">
        <f aca="false">IF(ISNUMBER(INDEX(Acciones!$G$5:$G$148,MATCH($A54,Acciones!$A$5:$A$148,0))),INDEX(Acciones!$G$5:$G$148,MATCH($A54,Acciones!$A$5:$A$148,0)),1)+2*'Mi portafolio'!$C$5</f>
        <v>0.038045013</v>
      </c>
      <c r="D54" s="56" t="str">
        <f aca="false">INDEX(Acciones!$J$5:$J$148,MATCH($A54,Acciones!$A$5:$A$148,0))</f>
        <v>Sí</v>
      </c>
    </row>
    <row r="55" customFormat="false" ht="15" hidden="false" customHeight="false" outlineLevel="0" collapsed="false">
      <c r="A55" s="39" t="s">
        <v>124</v>
      </c>
      <c r="B55" s="32" t="n">
        <f aca="false">SUM(Covarianza!$B56:$EO56)/144/(SUM(Covarianza!$B$6:$EO$149)/144^2)</f>
        <v>0.732577130127564</v>
      </c>
      <c r="C55" s="41" t="n">
        <f aca="false">IF(ISNUMBER(INDEX(Acciones!$G$5:$G$148,MATCH($A55,Acciones!$A$5:$A$148,0))),INDEX(Acciones!$G$5:$G$148,MATCH($A55,Acciones!$A$5:$A$148,0)),1)+2*'Mi portafolio'!$C$5</f>
        <v>0.0026168534</v>
      </c>
      <c r="D55" s="56" t="str">
        <f aca="false">INDEX(Acciones!$J$5:$J$148,MATCH($A55,Acciones!$A$5:$A$148,0))</f>
        <v>Sí</v>
      </c>
    </row>
    <row r="56" customFormat="false" ht="15" hidden="false" customHeight="false" outlineLevel="0" collapsed="false">
      <c r="A56" s="39" t="s">
        <v>201</v>
      </c>
      <c r="B56" s="32" t="n">
        <f aca="false">SUM(Covarianza!$B57:$EO57)/144/(SUM(Covarianza!$B$6:$EO$149)/144^2)</f>
        <v>0.866485818993188</v>
      </c>
      <c r="C56" s="41" t="n">
        <f aca="false">IF(ISNUMBER(INDEX(Acciones!$G$5:$G$148,MATCH($A56,Acciones!$A$5:$A$148,0))),INDEX(Acciones!$G$5:$G$148,MATCH($A56,Acciones!$A$5:$A$148,0)),1)+2*'Mi portafolio'!$C$5</f>
        <v>0.049935232</v>
      </c>
      <c r="D56" s="56" t="str">
        <f aca="false">INDEX(Acciones!$J$5:$J$148,MATCH($A56,Acciones!$A$5:$A$148,0))</f>
        <v>Sí</v>
      </c>
    </row>
    <row r="57" customFormat="false" ht="15" hidden="false" customHeight="false" outlineLevel="0" collapsed="false">
      <c r="A57" s="39" t="s">
        <v>202</v>
      </c>
      <c r="B57" s="32" t="n">
        <f aca="false">SUM(Covarianza!$B58:$EO58)/144/(SUM(Covarianza!$B$6:$EO$149)/144^2)</f>
        <v>1.17329417257328</v>
      </c>
      <c r="C57" s="41" t="n">
        <f aca="false">IF(ISNUMBER(INDEX(Acciones!$G$5:$G$148,MATCH($A57,Acciones!$A$5:$A$148,0))),INDEX(Acciones!$G$5:$G$148,MATCH($A57,Acciones!$A$5:$A$148,0)),1)+2*'Mi portafolio'!$C$5</f>
        <v>0.0425516871</v>
      </c>
      <c r="D57" s="56" t="str">
        <f aca="false">INDEX(Acciones!$J$5:$J$148,MATCH($A57,Acciones!$A$5:$A$148,0))</f>
        <v>Sí</v>
      </c>
    </row>
    <row r="58" customFormat="false" ht="15" hidden="false" customHeight="false" outlineLevel="0" collapsed="false">
      <c r="A58" s="39" t="s">
        <v>203</v>
      </c>
      <c r="B58" s="32" t="n">
        <f aca="false">SUM(Covarianza!$B59:$EO59)/144/(SUM(Covarianza!$B$6:$EO$149)/144^2)</f>
        <v>0.468515360837348</v>
      </c>
      <c r="C58" s="41" t="n">
        <f aca="false">IF(ISNUMBER(INDEX(Acciones!$G$5:$G$148,MATCH($A58,Acciones!$A$5:$A$148,0))),INDEX(Acciones!$G$5:$G$148,MATCH($A58,Acciones!$A$5:$A$148,0)),1)+2*'Mi portafolio'!$C$5</f>
        <v>0.0025807902</v>
      </c>
      <c r="D58" s="56" t="str">
        <f aca="false">INDEX(Acciones!$J$5:$J$148,MATCH($A58,Acciones!$A$5:$A$148,0))</f>
        <v>Sí</v>
      </c>
    </row>
    <row r="59" customFormat="false" ht="15" hidden="false" customHeight="false" outlineLevel="0" collapsed="false">
      <c r="A59" s="39" t="s">
        <v>204</v>
      </c>
      <c r="B59" s="32" t="n">
        <f aca="false">SUM(Covarianza!$B60:$EO60)/144/(SUM(Covarianza!$B$6:$EO$149)/144^2)</f>
        <v>0.68513805997984</v>
      </c>
      <c r="C59" s="41" t="n">
        <f aca="false">IF(ISNUMBER(INDEX(Acciones!$G$5:$G$148,MATCH($A59,Acciones!$A$5:$A$148,0))),INDEX(Acciones!$G$5:$G$148,MATCH($A59,Acciones!$A$5:$A$148,0)),1)+2*'Mi portafolio'!$C$5</f>
        <v>0.0033980896</v>
      </c>
      <c r="D59" s="56" t="str">
        <f aca="false">INDEX(Acciones!$J$5:$J$148,MATCH($A59,Acciones!$A$5:$A$148,0))</f>
        <v>Sí</v>
      </c>
    </row>
    <row r="60" customFormat="false" ht="15" hidden="false" customHeight="false" outlineLevel="0" collapsed="false">
      <c r="A60" s="39" t="s">
        <v>205</v>
      </c>
      <c r="B60" s="32" t="n">
        <f aca="false">SUM(Covarianza!$B61:$EO61)/144/(SUM(Covarianza!$B$6:$EO$149)/144^2)</f>
        <v>0.611520614929817</v>
      </c>
      <c r="C60" s="41" t="n">
        <f aca="false">IF(ISNUMBER(INDEX(Acciones!$G$5:$G$148,MATCH($A60,Acciones!$A$5:$A$148,0))),INDEX(Acciones!$G$5:$G$148,MATCH($A60,Acciones!$A$5:$A$148,0)),1)+2*'Mi portafolio'!$C$5</f>
        <v>0.050699229</v>
      </c>
      <c r="D60" s="56" t="str">
        <f aca="false">INDEX(Acciones!$J$5:$J$148,MATCH($A60,Acciones!$A$5:$A$148,0))</f>
        <v>Sí</v>
      </c>
    </row>
    <row r="61" customFormat="false" ht="15" hidden="false" customHeight="false" outlineLevel="0" collapsed="false">
      <c r="A61" s="39" t="s">
        <v>206</v>
      </c>
      <c r="B61" s="32" t="n">
        <f aca="false">SUM(Covarianza!$B62:$EO62)/144/(SUM(Covarianza!$B$6:$EO$149)/144^2)</f>
        <v>0.671521773345551</v>
      </c>
      <c r="C61" s="41" t="n">
        <f aca="false">IF(ISNUMBER(INDEX(Acciones!$G$5:$G$148,MATCH($A61,Acciones!$A$5:$A$148,0))),INDEX(Acciones!$G$5:$G$148,MATCH($A61,Acciones!$A$5:$A$148,0)),1)+2*'Mi portafolio'!$C$5</f>
        <v>0.0030826311</v>
      </c>
      <c r="D61" s="56" t="str">
        <f aca="false">INDEX(Acciones!$J$5:$J$148,MATCH($A61,Acciones!$A$5:$A$148,0))</f>
        <v>Sí</v>
      </c>
    </row>
    <row r="62" customFormat="false" ht="15" hidden="false" customHeight="false" outlineLevel="0" collapsed="false">
      <c r="A62" s="39" t="s">
        <v>207</v>
      </c>
      <c r="B62" s="32" t="n">
        <f aca="false">SUM(Covarianza!$B63:$EO63)/144/(SUM(Covarianza!$B$6:$EO$149)/144^2)</f>
        <v>0.872403166211988</v>
      </c>
      <c r="C62" s="41" t="n">
        <f aca="false">IF(ISNUMBER(INDEX(Acciones!$G$5:$G$148,MATCH($A62,Acciones!$A$5:$A$148,0))),INDEX(Acciones!$G$5:$G$148,MATCH($A62,Acciones!$A$5:$A$148,0)),1)+2*'Mi portafolio'!$C$5</f>
        <v>0.0514986059</v>
      </c>
      <c r="D62" s="56" t="str">
        <f aca="false">INDEX(Acciones!$J$5:$J$148,MATCH($A62,Acciones!$A$5:$A$148,0))</f>
        <v>Sí</v>
      </c>
    </row>
    <row r="63" customFormat="false" ht="15" hidden="false" customHeight="false" outlineLevel="0" collapsed="false">
      <c r="A63" s="39" t="s">
        <v>208</v>
      </c>
      <c r="B63" s="32" t="n">
        <f aca="false">SUM(Covarianza!$B64:$EO64)/144/(SUM(Covarianza!$B$6:$EO$149)/144^2)</f>
        <v>0.646244720130524</v>
      </c>
      <c r="C63" s="41" t="n">
        <f aca="false">IF(ISNUMBER(INDEX(Acciones!$G$5:$G$148,MATCH($A63,Acciones!$A$5:$A$148,0))),INDEX(Acciones!$G$5:$G$148,MATCH($A63,Acciones!$A$5:$A$148,0)),1)+2*'Mi portafolio'!$C$5</f>
        <v>0.0031046214</v>
      </c>
      <c r="D63" s="56" t="str">
        <f aca="false">INDEX(Acciones!$J$5:$J$148,MATCH($A63,Acciones!$A$5:$A$148,0))</f>
        <v>Sí</v>
      </c>
    </row>
    <row r="64" customFormat="false" ht="15" hidden="false" customHeight="false" outlineLevel="0" collapsed="false">
      <c r="A64" s="39" t="s">
        <v>209</v>
      </c>
      <c r="B64" s="32" t="n">
        <f aca="false">SUM(Covarianza!$B65:$EO65)/144/(SUM(Covarianza!$B$6:$EO$149)/144^2)</f>
        <v>0.413033563257565</v>
      </c>
      <c r="C64" s="41" t="n">
        <f aca="false">IF(ISNUMBER(INDEX(Acciones!$G$5:$G$148,MATCH($A64,Acciones!$A$5:$A$148,0))),INDEX(Acciones!$G$5:$G$148,MATCH($A64,Acciones!$A$5:$A$148,0)),1)+2*'Mi portafolio'!$C$5</f>
        <v>0.0030396833</v>
      </c>
      <c r="D64" s="56" t="str">
        <f aca="false">INDEX(Acciones!$J$5:$J$148,MATCH($A64,Acciones!$A$5:$A$148,0))</f>
        <v>Sí</v>
      </c>
    </row>
    <row r="65" customFormat="false" ht="15" hidden="false" customHeight="false" outlineLevel="0" collapsed="false">
      <c r="A65" s="39" t="s">
        <v>210</v>
      </c>
      <c r="B65" s="32" t="n">
        <f aca="false">SUM(Covarianza!$B66:$EO66)/144/(SUM(Covarianza!$B$6:$EO$149)/144^2)</f>
        <v>0.0443618403498035</v>
      </c>
      <c r="C65" s="41" t="n">
        <f aca="false">IF(ISNUMBER(INDEX(Acciones!$G$5:$G$148,MATCH($A65,Acciones!$A$5:$A$148,0))),INDEX(Acciones!$G$5:$G$148,MATCH($A65,Acciones!$A$5:$A$148,0)),1)+2*'Mi portafolio'!$C$5</f>
        <v>0.0053715716</v>
      </c>
      <c r="D65" s="56" t="str">
        <f aca="false">INDEX(Acciones!$J$5:$J$148,MATCH($A65,Acciones!$A$5:$A$148,0))</f>
        <v>Sí</v>
      </c>
    </row>
    <row r="66" customFormat="false" ht="15" hidden="false" customHeight="false" outlineLevel="0" collapsed="false">
      <c r="A66" s="39" t="s">
        <v>211</v>
      </c>
      <c r="B66" s="32" t="n">
        <f aca="false">SUM(Covarianza!$B67:$EO67)/144/(SUM(Covarianza!$B$6:$EO$149)/144^2)</f>
        <v>0.644574381141145</v>
      </c>
      <c r="C66" s="41" t="n">
        <f aca="false">IF(ISNUMBER(INDEX(Acciones!$G$5:$G$148,MATCH($A66,Acciones!$A$5:$A$148,0))),INDEX(Acciones!$G$5:$G$148,MATCH($A66,Acciones!$A$5:$A$148,0)),1)+2*'Mi portafolio'!$C$5</f>
        <v>0.0035326169</v>
      </c>
      <c r="D66" s="56" t="str">
        <f aca="false">INDEX(Acciones!$J$5:$J$148,MATCH($A66,Acciones!$A$5:$A$148,0))</f>
        <v>Sí</v>
      </c>
    </row>
    <row r="67" customFormat="false" ht="15" hidden="false" customHeight="false" outlineLevel="0" collapsed="false">
      <c r="A67" s="39" t="s">
        <v>212</v>
      </c>
      <c r="B67" s="32" t="n">
        <f aca="false">SUM(Covarianza!$B68:$EO68)/144/(SUM(Covarianza!$B$6:$EO$149)/144^2)</f>
        <v>1.06755168079872</v>
      </c>
      <c r="C67" s="41" t="n">
        <f aca="false">IF(ISNUMBER(INDEX(Acciones!$G$5:$G$148,MATCH($A67,Acciones!$A$5:$A$148,0))),INDEX(Acciones!$G$5:$G$148,MATCH($A67,Acciones!$A$5:$A$148,0)),1)+2*'Mi portafolio'!$C$5</f>
        <v>0.0499195316</v>
      </c>
      <c r="D67" s="56" t="str">
        <f aca="false">INDEX(Acciones!$J$5:$J$148,MATCH($A67,Acciones!$A$5:$A$148,0))</f>
        <v>Sí</v>
      </c>
    </row>
    <row r="68" customFormat="false" ht="15" hidden="false" customHeight="false" outlineLevel="0" collapsed="false">
      <c r="A68" s="39" t="s">
        <v>213</v>
      </c>
      <c r="B68" s="32" t="n">
        <f aca="false">SUM(Covarianza!$B69:$EO69)/144/(SUM(Covarianza!$B$6:$EO$149)/144^2)</f>
        <v>0.735302783001277</v>
      </c>
      <c r="C68" s="41" t="n">
        <f aca="false">IF(ISNUMBER(INDEX(Acciones!$G$5:$G$148,MATCH($A68,Acciones!$A$5:$A$148,0))),INDEX(Acciones!$G$5:$G$148,MATCH($A68,Acciones!$A$5:$A$148,0)),1)+2*'Mi portafolio'!$C$5</f>
        <v>0.0484667565</v>
      </c>
      <c r="D68" s="56" t="str">
        <f aca="false">INDEX(Acciones!$J$5:$J$148,MATCH($A68,Acciones!$A$5:$A$148,0))</f>
        <v>Sí</v>
      </c>
    </row>
    <row r="69" customFormat="false" ht="15" hidden="false" customHeight="false" outlineLevel="0" collapsed="false">
      <c r="A69" s="39" t="s">
        <v>214</v>
      </c>
      <c r="B69" s="32" t="n">
        <f aca="false">SUM(Covarianza!$B70:$EO70)/144/(SUM(Covarianza!$B$6:$EO$149)/144^2)</f>
        <v>0.36516310593928</v>
      </c>
      <c r="C69" s="41" t="n">
        <f aca="false">IF(ISNUMBER(INDEX(Acciones!$G$5:$G$148,MATCH($A69,Acciones!$A$5:$A$148,0))),INDEX(Acciones!$G$5:$G$148,MATCH($A69,Acciones!$A$5:$A$148,0)),1)+2*'Mi portafolio'!$C$5</f>
        <v>0.0499265492</v>
      </c>
      <c r="D69" s="56" t="str">
        <f aca="false">INDEX(Acciones!$J$5:$J$148,MATCH($A69,Acciones!$A$5:$A$148,0))</f>
        <v>Sí</v>
      </c>
    </row>
    <row r="70" customFormat="false" ht="15" hidden="false" customHeight="false" outlineLevel="0" collapsed="false">
      <c r="A70" s="39" t="s">
        <v>47</v>
      </c>
      <c r="B70" s="32" t="n">
        <f aca="false">SUM(Covarianza!$B71:$EO71)/144/(SUM(Covarianza!$B$6:$EO$149)/144^2)</f>
        <v>1.04580436052022</v>
      </c>
      <c r="C70" s="41" t="n">
        <f aca="false">IF(ISNUMBER(INDEX(Acciones!$G$5:$G$148,MATCH($A70,Acciones!$A$5:$A$148,0))),INDEX(Acciones!$G$5:$G$148,MATCH($A70,Acciones!$A$5:$A$148,0)),1)+2*'Mi portafolio'!$C$5</f>
        <v>0.0038919918</v>
      </c>
      <c r="D70" s="56" t="str">
        <f aca="false">INDEX(Acciones!$J$5:$J$148,MATCH($A70,Acciones!$A$5:$A$148,0))</f>
        <v>Sí</v>
      </c>
    </row>
    <row r="71" customFormat="false" ht="15" hidden="false" customHeight="false" outlineLevel="0" collapsed="false">
      <c r="A71" s="39" t="s">
        <v>122</v>
      </c>
      <c r="B71" s="32" t="n">
        <f aca="false">SUM(Covarianza!$B72:$EO72)/144/(SUM(Covarianza!$B$6:$EO$149)/144^2)</f>
        <v>0.793153749377906</v>
      </c>
      <c r="C71" s="41" t="n">
        <f aca="false">IF(ISNUMBER(INDEX(Acciones!$G$5:$G$148,MATCH($A71,Acciones!$A$5:$A$148,0))),INDEX(Acciones!$G$5:$G$148,MATCH($A71,Acciones!$A$5:$A$148,0)),1)+2*'Mi portafolio'!$C$5</f>
        <v>0.0041517049</v>
      </c>
      <c r="D71" s="56" t="str">
        <f aca="false">INDEX(Acciones!$J$5:$J$148,MATCH($A71,Acciones!$A$5:$A$148,0))</f>
        <v>Sí</v>
      </c>
    </row>
    <row r="72" customFormat="false" ht="15" hidden="false" customHeight="false" outlineLevel="0" collapsed="false">
      <c r="A72" s="39" t="s">
        <v>48</v>
      </c>
      <c r="B72" s="32" t="n">
        <f aca="false">SUM(Covarianza!$B73:$EO73)/144/(SUM(Covarianza!$B$6:$EO$149)/144^2)</f>
        <v>1.00726971888209</v>
      </c>
      <c r="C72" s="41" t="n">
        <f aca="false">IF(ISNUMBER(INDEX(Acciones!$G$5:$G$148,MATCH($A72,Acciones!$A$5:$A$148,0))),INDEX(Acciones!$G$5:$G$148,MATCH($A72,Acciones!$A$5:$A$148,0)),1)+2*'Mi portafolio'!$C$5</f>
        <v>0.002896535</v>
      </c>
      <c r="D72" s="56" t="str">
        <f aca="false">INDEX(Acciones!$J$5:$J$148,MATCH($A72,Acciones!$A$5:$A$148,0))</f>
        <v>Sí</v>
      </c>
    </row>
    <row r="73" customFormat="false" ht="15" hidden="false" customHeight="false" outlineLevel="0" collapsed="false">
      <c r="A73" s="39" t="s">
        <v>215</v>
      </c>
      <c r="B73" s="32" t="n">
        <f aca="false">SUM(Covarianza!$B74:$EO74)/144/(SUM(Covarianza!$B$6:$EO$149)/144^2)</f>
        <v>1.10273443293824</v>
      </c>
      <c r="C73" s="41" t="n">
        <f aca="false">IF(ISNUMBER(INDEX(Acciones!$G$5:$G$148,MATCH($A73,Acciones!$A$5:$A$148,0))),INDEX(Acciones!$G$5:$G$148,MATCH($A73,Acciones!$A$5:$A$148,0)),1)+2*'Mi portafolio'!$C$5</f>
        <v>0.0288223964</v>
      </c>
      <c r="D73" s="56" t="str">
        <f aca="false">INDEX(Acciones!$J$5:$J$148,MATCH($A73,Acciones!$A$5:$A$148,0))</f>
        <v>Sí</v>
      </c>
    </row>
    <row r="74" customFormat="false" ht="15" hidden="false" customHeight="false" outlineLevel="0" collapsed="false">
      <c r="A74" s="39" t="s">
        <v>216</v>
      </c>
      <c r="B74" s="32" t="n">
        <f aca="false">SUM(Covarianza!$B75:$EO75)/144/(SUM(Covarianza!$B$6:$EO$149)/144^2)</f>
        <v>-0.1310914705515</v>
      </c>
      <c r="C74" s="41" t="n">
        <f aca="false">IF(ISNUMBER(INDEX(Acciones!$G$5:$G$148,MATCH($A74,Acciones!$A$5:$A$148,0))),INDEX(Acciones!$G$5:$G$148,MATCH($A74,Acciones!$A$5:$A$148,0)),1)+2*'Mi portafolio'!$C$5</f>
        <v>1.00232</v>
      </c>
      <c r="D74" s="56" t="str">
        <f aca="false">INDEX(Acciones!$J$5:$J$148,MATCH($A74,Acciones!$A$5:$A$148,0))</f>
        <v>Sin contraparte</v>
      </c>
    </row>
    <row r="75" customFormat="false" ht="15" hidden="false" customHeight="false" outlineLevel="0" collapsed="false">
      <c r="A75" s="39" t="s">
        <v>218</v>
      </c>
      <c r="B75" s="32" t="n">
        <f aca="false">SUM(Covarianza!$B76:$EO76)/144/(SUM(Covarianza!$B$6:$EO$149)/144^2)</f>
        <v>1.19221860117057</v>
      </c>
      <c r="C75" s="41" t="n">
        <f aca="false">IF(ISNUMBER(INDEX(Acciones!$G$5:$G$148,MATCH($A75,Acciones!$A$5:$A$148,0))),INDEX(Acciones!$G$5:$G$148,MATCH($A75,Acciones!$A$5:$A$148,0)),1)+2*'Mi portafolio'!$C$5</f>
        <v>0.0492105168</v>
      </c>
      <c r="D75" s="56" t="str">
        <f aca="false">INDEX(Acciones!$J$5:$J$148,MATCH($A75,Acciones!$A$5:$A$148,0))</f>
        <v>Sí</v>
      </c>
    </row>
    <row r="76" customFormat="false" ht="15" hidden="false" customHeight="false" outlineLevel="0" collapsed="false">
      <c r="A76" s="39" t="s">
        <v>219</v>
      </c>
      <c r="B76" s="32" t="n">
        <f aca="false">SUM(Covarianza!$B77:$EO77)/144/(SUM(Covarianza!$B$6:$EO$149)/144^2)</f>
        <v>0.60749914698609</v>
      </c>
      <c r="C76" s="41" t="n">
        <f aca="false">IF(ISNUMBER(INDEX(Acciones!$G$5:$G$148,MATCH($A76,Acciones!$A$5:$A$148,0))),INDEX(Acciones!$G$5:$G$148,MATCH($A76,Acciones!$A$5:$A$148,0)),1)+2*'Mi portafolio'!$C$5</f>
        <v>0.0025950653</v>
      </c>
      <c r="D76" s="56" t="str">
        <f aca="false">INDEX(Acciones!$J$5:$J$148,MATCH($A76,Acciones!$A$5:$A$148,0))</f>
        <v>Sí</v>
      </c>
    </row>
    <row r="77" customFormat="false" ht="15" hidden="false" customHeight="false" outlineLevel="0" collapsed="false">
      <c r="A77" s="39" t="s">
        <v>220</v>
      </c>
      <c r="B77" s="32" t="n">
        <f aca="false">SUM(Covarianza!$B78:$EO78)/144/(SUM(Covarianza!$B$6:$EO$149)/144^2)</f>
        <v>1.08248481959605</v>
      </c>
      <c r="C77" s="41" t="n">
        <f aca="false">IF(ISNUMBER(INDEX(Acciones!$G$5:$G$148,MATCH($A77,Acciones!$A$5:$A$148,0))),INDEX(Acciones!$G$5:$G$148,MATCH($A77,Acciones!$A$5:$A$148,0)),1)+2*'Mi portafolio'!$C$5</f>
        <v>0.0061830736</v>
      </c>
      <c r="D77" s="56" t="str">
        <f aca="false">INDEX(Acciones!$J$5:$J$148,MATCH($A77,Acciones!$A$5:$A$148,0))</f>
        <v>Sí</v>
      </c>
    </row>
    <row r="78" customFormat="false" ht="15" hidden="false" customHeight="false" outlineLevel="0" collapsed="false">
      <c r="A78" s="39" t="s">
        <v>221</v>
      </c>
      <c r="B78" s="32" t="n">
        <f aca="false">SUM(Covarianza!$B79:$EO79)/144/(SUM(Covarianza!$B$6:$EO$149)/144^2)</f>
        <v>0.950498638773639</v>
      </c>
      <c r="C78" s="41" t="n">
        <f aca="false">IF(ISNUMBER(INDEX(Acciones!$G$5:$G$148,MATCH($A78,Acciones!$A$5:$A$148,0))),INDEX(Acciones!$G$5:$G$148,MATCH($A78,Acciones!$A$5:$A$148,0)),1)+2*'Mi portafolio'!$C$5</f>
        <v>0.0410823153</v>
      </c>
      <c r="D78" s="56" t="str">
        <f aca="false">INDEX(Acciones!$J$5:$J$148,MATCH($A78,Acciones!$A$5:$A$148,0))</f>
        <v>Sí</v>
      </c>
    </row>
    <row r="79" customFormat="false" ht="15" hidden="false" customHeight="false" outlineLevel="0" collapsed="false">
      <c r="A79" s="39" t="s">
        <v>222</v>
      </c>
      <c r="B79" s="32" t="n">
        <f aca="false">SUM(Covarianza!$B80:$EO80)/144/(SUM(Covarianza!$B$6:$EO$149)/144^2)</f>
        <v>0.580497308486275</v>
      </c>
      <c r="C79" s="41" t="n">
        <f aca="false">IF(ISNUMBER(INDEX(Acciones!$G$5:$G$148,MATCH($A79,Acciones!$A$5:$A$148,0))),INDEX(Acciones!$G$5:$G$148,MATCH($A79,Acciones!$A$5:$A$148,0)),1)+2*'Mi portafolio'!$C$5</f>
        <v>0.0279853745</v>
      </c>
      <c r="D79" s="56" t="str">
        <f aca="false">INDEX(Acciones!$J$5:$J$148,MATCH($A79,Acciones!$A$5:$A$148,0))</f>
        <v>Sí</v>
      </c>
    </row>
    <row r="80" customFormat="false" ht="15" hidden="false" customHeight="false" outlineLevel="0" collapsed="false">
      <c r="A80" s="39" t="s">
        <v>223</v>
      </c>
      <c r="B80" s="32" t="n">
        <f aca="false">SUM(Covarianza!$B81:$EO81)/144/(SUM(Covarianza!$B$6:$EO$149)/144^2)</f>
        <v>1.15388001746468</v>
      </c>
      <c r="C80" s="41" t="n">
        <f aca="false">IF(ISNUMBER(INDEX(Acciones!$G$5:$G$148,MATCH($A80,Acciones!$A$5:$A$148,0))),INDEX(Acciones!$G$5:$G$148,MATCH($A80,Acciones!$A$5:$A$148,0)),1)+2*'Mi portafolio'!$C$5</f>
        <v>0.0499254422</v>
      </c>
      <c r="D80" s="56" t="str">
        <f aca="false">INDEX(Acciones!$J$5:$J$148,MATCH($A80,Acciones!$A$5:$A$148,0))</f>
        <v>Sí</v>
      </c>
    </row>
    <row r="81" customFormat="false" ht="15" hidden="false" customHeight="false" outlineLevel="0" collapsed="false">
      <c r="A81" s="39" t="s">
        <v>224</v>
      </c>
      <c r="B81" s="32" t="n">
        <f aca="false">SUM(Covarianza!$B82:$EO82)/144/(SUM(Covarianza!$B$6:$EO$149)/144^2)</f>
        <v>1.23433524734382</v>
      </c>
      <c r="C81" s="41" t="n">
        <f aca="false">IF(ISNUMBER(INDEX(Acciones!$G$5:$G$148,MATCH($A81,Acciones!$A$5:$A$148,0))),INDEX(Acciones!$G$5:$G$148,MATCH($A81,Acciones!$A$5:$A$148,0)),1)+2*'Mi portafolio'!$C$5</f>
        <v>0.0318824047</v>
      </c>
      <c r="D81" s="56" t="str">
        <f aca="false">INDEX(Acciones!$J$5:$J$148,MATCH($A81,Acciones!$A$5:$A$148,0))</f>
        <v>Sí</v>
      </c>
    </row>
    <row r="82" customFormat="false" ht="15" hidden="false" customHeight="false" outlineLevel="0" collapsed="false">
      <c r="A82" s="39" t="s">
        <v>225</v>
      </c>
      <c r="B82" s="32" t="n">
        <f aca="false">SUM(Covarianza!$B83:$EO83)/144/(SUM(Covarianza!$B$6:$EO$149)/144^2)</f>
        <v>0.559128593909116</v>
      </c>
      <c r="C82" s="41" t="n">
        <f aca="false">IF(ISNUMBER(INDEX(Acciones!$G$5:$G$148,MATCH($A82,Acciones!$A$5:$A$148,0))),INDEX(Acciones!$G$5:$G$148,MATCH($A82,Acciones!$A$5:$A$148,0)),1)+2*'Mi portafolio'!$C$5</f>
        <v>0.0075144454</v>
      </c>
      <c r="D82" s="56" t="str">
        <f aca="false">INDEX(Acciones!$J$5:$J$148,MATCH($A82,Acciones!$A$5:$A$148,0))</f>
        <v>Sí</v>
      </c>
    </row>
    <row r="83" customFormat="false" ht="15" hidden="false" customHeight="false" outlineLevel="0" collapsed="false">
      <c r="A83" s="39" t="s">
        <v>226</v>
      </c>
      <c r="B83" s="32" t="n">
        <f aca="false">SUM(Covarianza!$B84:$EO84)/144/(SUM(Covarianza!$B$6:$EO$149)/144^2)</f>
        <v>-0.0748818565965884</v>
      </c>
      <c r="C83" s="41" t="n">
        <f aca="false">IF(ISNUMBER(INDEX(Acciones!$G$5:$G$148,MATCH($A83,Acciones!$A$5:$A$148,0))),INDEX(Acciones!$G$5:$G$148,MATCH($A83,Acciones!$A$5:$A$148,0)),1)+2*'Mi portafolio'!$C$5</f>
        <v>0.0030032935</v>
      </c>
      <c r="D83" s="56" t="str">
        <f aca="false">INDEX(Acciones!$J$5:$J$148,MATCH($A83,Acciones!$A$5:$A$148,0))</f>
        <v>Sí</v>
      </c>
    </row>
    <row r="84" customFormat="false" ht="15" hidden="false" customHeight="false" outlineLevel="0" collapsed="false">
      <c r="A84" s="39" t="s">
        <v>227</v>
      </c>
      <c r="B84" s="32" t="n">
        <f aca="false">SUM(Covarianza!$B85:$EO85)/144/(SUM(Covarianza!$B$6:$EO$149)/144^2)</f>
        <v>0.575529624887461</v>
      </c>
      <c r="C84" s="41" t="n">
        <f aca="false">IF(ISNUMBER(INDEX(Acciones!$G$5:$G$148,MATCH($A84,Acciones!$A$5:$A$148,0))),INDEX(Acciones!$G$5:$G$148,MATCH($A84,Acciones!$A$5:$A$148,0)),1)+2*'Mi portafolio'!$C$5</f>
        <v>0.0321374654</v>
      </c>
      <c r="D84" s="56" t="str">
        <f aca="false">INDEX(Acciones!$J$5:$J$148,MATCH($A84,Acciones!$A$5:$A$148,0))</f>
        <v>Sí</v>
      </c>
    </row>
    <row r="85" customFormat="false" ht="15" hidden="false" customHeight="false" outlineLevel="0" collapsed="false">
      <c r="A85" s="39" t="s">
        <v>228</v>
      </c>
      <c r="B85" s="32" t="n">
        <f aca="false">SUM(Covarianza!$B86:$EO86)/144/(SUM(Covarianza!$B$6:$EO$149)/144^2)</f>
        <v>1.0581497988434</v>
      </c>
      <c r="C85" s="41" t="n">
        <f aca="false">IF(ISNUMBER(INDEX(Acciones!$G$5:$G$148,MATCH($A85,Acciones!$A$5:$A$148,0))),INDEX(Acciones!$G$5:$G$148,MATCH($A85,Acciones!$A$5:$A$148,0)),1)+2*'Mi portafolio'!$C$5</f>
        <v>0.010672898</v>
      </c>
      <c r="D85" s="56" t="str">
        <f aca="false">INDEX(Acciones!$J$5:$J$148,MATCH($A85,Acciones!$A$5:$A$148,0))</f>
        <v>Sí</v>
      </c>
    </row>
    <row r="86" customFormat="false" ht="15" hidden="false" customHeight="false" outlineLevel="0" collapsed="false">
      <c r="A86" s="39" t="s">
        <v>229</v>
      </c>
      <c r="B86" s="32" t="n">
        <f aca="false">SUM(Covarianza!$B87:$EO87)/144/(SUM(Covarianza!$B$6:$EO$149)/144^2)</f>
        <v>0.85169827220392</v>
      </c>
      <c r="C86" s="41" t="n">
        <f aca="false">IF(ISNUMBER(INDEX(Acciones!$G$5:$G$148,MATCH($A86,Acciones!$A$5:$A$148,0))),INDEX(Acciones!$G$5:$G$148,MATCH($A86,Acciones!$A$5:$A$148,0)),1)+2*'Mi portafolio'!$C$5</f>
        <v>0.0503105325</v>
      </c>
      <c r="D86" s="56" t="str">
        <f aca="false">INDEX(Acciones!$J$5:$J$148,MATCH($A86,Acciones!$A$5:$A$148,0))</f>
        <v>Sí</v>
      </c>
    </row>
    <row r="87" customFormat="false" ht="15" hidden="false" customHeight="false" outlineLevel="0" collapsed="false">
      <c r="A87" s="39" t="s">
        <v>230</v>
      </c>
      <c r="B87" s="32" t="n">
        <f aca="false">SUM(Covarianza!$B88:$EO88)/144/(SUM(Covarianza!$B$6:$EO$149)/144^2)</f>
        <v>-0.181045921236389</v>
      </c>
      <c r="C87" s="41" t="n">
        <f aca="false">IF(ISNUMBER(INDEX(Acciones!$G$5:$G$148,MATCH($A87,Acciones!$A$5:$A$148,0))),INDEX(Acciones!$G$5:$G$148,MATCH($A87,Acciones!$A$5:$A$148,0)),1)+2*'Mi portafolio'!$C$5</f>
        <v>0.0488090494</v>
      </c>
      <c r="D87" s="56" t="str">
        <f aca="false">INDEX(Acciones!$J$5:$J$148,MATCH($A87,Acciones!$A$5:$A$148,0))</f>
        <v>Sí</v>
      </c>
    </row>
    <row r="88" customFormat="false" ht="15" hidden="false" customHeight="false" outlineLevel="0" collapsed="false">
      <c r="A88" s="39" t="s">
        <v>231</v>
      </c>
      <c r="B88" s="32" t="n">
        <f aca="false">SUM(Covarianza!$B89:$EO89)/144/(SUM(Covarianza!$B$6:$EO$149)/144^2)</f>
        <v>1.24393615631225</v>
      </c>
      <c r="C88" s="41" t="n">
        <f aca="false">IF(ISNUMBER(INDEX(Acciones!$G$5:$G$148,MATCH($A88,Acciones!$A$5:$A$148,0))),INDEX(Acciones!$G$5:$G$148,MATCH($A88,Acciones!$A$5:$A$148,0)),1)+2*'Mi portafolio'!$C$5</f>
        <v>0.0405297665</v>
      </c>
      <c r="D88" s="56" t="str">
        <f aca="false">INDEX(Acciones!$J$5:$J$148,MATCH($A88,Acciones!$A$5:$A$148,0))</f>
        <v>Sí</v>
      </c>
    </row>
    <row r="89" customFormat="false" ht="15" hidden="false" customHeight="false" outlineLevel="0" collapsed="false">
      <c r="A89" s="39" t="s">
        <v>49</v>
      </c>
      <c r="B89" s="32" t="n">
        <f aca="false">SUM(Covarianza!$B90:$EO90)/144/(SUM(Covarianza!$B$6:$EO$149)/144^2)</f>
        <v>1.28344348462357</v>
      </c>
      <c r="C89" s="41" t="n">
        <f aca="false">IF(ISNUMBER(INDEX(Acciones!$G$5:$G$148,MATCH($A89,Acciones!$A$5:$A$148,0))),INDEX(Acciones!$G$5:$G$148,MATCH($A89,Acciones!$A$5:$A$148,0)),1)+2*'Mi portafolio'!$C$5</f>
        <v>0.0024063595</v>
      </c>
      <c r="D89" s="56" t="str">
        <f aca="false">INDEX(Acciones!$J$5:$J$148,MATCH($A89,Acciones!$A$5:$A$148,0))</f>
        <v>Sí</v>
      </c>
    </row>
    <row r="90" customFormat="false" ht="15" hidden="false" customHeight="false" outlineLevel="0" collapsed="false">
      <c r="A90" s="39" t="s">
        <v>232</v>
      </c>
      <c r="B90" s="32" t="n">
        <f aca="false">SUM(Covarianza!$B91:$EO91)/144/(SUM(Covarianza!$B$6:$EO$149)/144^2)</f>
        <v>-0.200420819123714</v>
      </c>
      <c r="C90" s="41" t="n">
        <f aca="false">IF(ISNUMBER(INDEX(Acciones!$G$5:$G$148,MATCH($A90,Acciones!$A$5:$A$148,0))),INDEX(Acciones!$G$5:$G$148,MATCH($A90,Acciones!$A$5:$A$148,0)),1)+2*'Mi portafolio'!$C$5</f>
        <v>0.021845802</v>
      </c>
      <c r="D90" s="56" t="str">
        <f aca="false">INDEX(Acciones!$J$5:$J$148,MATCH($A90,Acciones!$A$5:$A$148,0))</f>
        <v>Sí</v>
      </c>
    </row>
    <row r="91" customFormat="false" ht="15" hidden="false" customHeight="false" outlineLevel="0" collapsed="false">
      <c r="A91" s="39" t="s">
        <v>233</v>
      </c>
      <c r="B91" s="32" t="n">
        <f aca="false">SUM(Covarianza!$B92:$EO92)/144/(SUM(Covarianza!$B$6:$EO$149)/144^2)</f>
        <v>0.630463967896552</v>
      </c>
      <c r="C91" s="41" t="n">
        <f aca="false">IF(ISNUMBER(INDEX(Acciones!$G$5:$G$148,MATCH($A91,Acciones!$A$5:$A$148,0))),INDEX(Acciones!$G$5:$G$148,MATCH($A91,Acciones!$A$5:$A$148,0)),1)+2*'Mi portafolio'!$C$5</f>
        <v>0.0030936944</v>
      </c>
      <c r="D91" s="56" t="str">
        <f aca="false">INDEX(Acciones!$J$5:$J$148,MATCH($A91,Acciones!$A$5:$A$148,0))</f>
        <v>Sí</v>
      </c>
    </row>
    <row r="92" customFormat="false" ht="15" hidden="false" customHeight="false" outlineLevel="0" collapsed="false">
      <c r="A92" s="39" t="s">
        <v>234</v>
      </c>
      <c r="B92" s="32" t="n">
        <f aca="false">SUM(Covarianza!$B93:$EO93)/144/(SUM(Covarianza!$B$6:$EO$149)/144^2)</f>
        <v>0.921225777347132</v>
      </c>
      <c r="C92" s="41" t="n">
        <f aca="false">IF(ISNUMBER(INDEX(Acciones!$G$5:$G$148,MATCH($A92,Acciones!$A$5:$A$148,0))),INDEX(Acciones!$G$5:$G$148,MATCH($A92,Acciones!$A$5:$A$148,0)),1)+2*'Mi portafolio'!$C$5</f>
        <v>0.0024965494</v>
      </c>
      <c r="D92" s="56" t="str">
        <f aca="false">INDEX(Acciones!$J$5:$J$148,MATCH($A92,Acciones!$A$5:$A$148,0))</f>
        <v>Sí</v>
      </c>
    </row>
    <row r="93" customFormat="false" ht="15" hidden="false" customHeight="false" outlineLevel="0" collapsed="false">
      <c r="A93" s="39" t="s">
        <v>235</v>
      </c>
      <c r="B93" s="32" t="n">
        <f aca="false">SUM(Covarianza!$B94:$EO94)/144/(SUM(Covarianza!$B$6:$EO$149)/144^2)</f>
        <v>1.12718689295287</v>
      </c>
      <c r="C93" s="41" t="n">
        <f aca="false">IF(ISNUMBER(INDEX(Acciones!$G$5:$G$148,MATCH($A93,Acciones!$A$5:$A$148,0))),INDEX(Acciones!$G$5:$G$148,MATCH($A93,Acciones!$A$5:$A$148,0)),1)+2*'Mi portafolio'!$C$5</f>
        <v>0.0218006683</v>
      </c>
      <c r="D93" s="56" t="str">
        <f aca="false">INDEX(Acciones!$J$5:$J$148,MATCH($A93,Acciones!$A$5:$A$148,0))</f>
        <v>Sí</v>
      </c>
    </row>
    <row r="94" customFormat="false" ht="15" hidden="false" customHeight="false" outlineLevel="0" collapsed="false">
      <c r="A94" s="39" t="s">
        <v>123</v>
      </c>
      <c r="B94" s="32" t="n">
        <f aca="false">SUM(Covarianza!$B95:$EO95)/144/(SUM(Covarianza!$B$6:$EO$149)/144^2)</f>
        <v>1.11777997426451</v>
      </c>
      <c r="C94" s="41" t="n">
        <f aca="false">IF(ISNUMBER(INDEX(Acciones!$G$5:$G$148,MATCH($A94,Acciones!$A$5:$A$148,0))),INDEX(Acciones!$G$5:$G$148,MATCH($A94,Acciones!$A$5:$A$148,0)),1)+2*'Mi portafolio'!$C$5</f>
        <v>0.0067540614</v>
      </c>
      <c r="D94" s="56" t="str">
        <f aca="false">INDEX(Acciones!$J$5:$J$148,MATCH($A94,Acciones!$A$5:$A$148,0))</f>
        <v>Sí</v>
      </c>
    </row>
    <row r="95" customFormat="false" ht="15" hidden="false" customHeight="false" outlineLevel="0" collapsed="false">
      <c r="A95" s="39" t="s">
        <v>236</v>
      </c>
      <c r="B95" s="32" t="n">
        <f aca="false">SUM(Covarianza!$B96:$EO96)/144/(SUM(Covarianza!$B$6:$EO$149)/144^2)</f>
        <v>0.466553367398717</v>
      </c>
      <c r="C95" s="41" t="n">
        <f aca="false">IF(ISNUMBER(INDEX(Acciones!$G$5:$G$148,MATCH($A95,Acciones!$A$5:$A$148,0))),INDEX(Acciones!$G$5:$G$148,MATCH($A95,Acciones!$A$5:$A$148,0)),1)+2*'Mi portafolio'!$C$5</f>
        <v>0.0027817871</v>
      </c>
      <c r="D95" s="56" t="str">
        <f aca="false">INDEX(Acciones!$J$5:$J$148,MATCH($A95,Acciones!$A$5:$A$148,0))</f>
        <v>Sí</v>
      </c>
    </row>
    <row r="96" customFormat="false" ht="15" hidden="false" customHeight="false" outlineLevel="0" collapsed="false">
      <c r="A96" s="39" t="s">
        <v>237</v>
      </c>
      <c r="B96" s="32" t="n">
        <f aca="false">SUM(Covarianza!$B97:$EO97)/144/(SUM(Covarianza!$B$6:$EO$149)/144^2)</f>
        <v>0.636419242729249</v>
      </c>
      <c r="C96" s="41" t="n">
        <f aca="false">IF(ISNUMBER(INDEX(Acciones!$G$5:$G$148,MATCH($A96,Acciones!$A$5:$A$148,0))),INDEX(Acciones!$G$5:$G$148,MATCH($A96,Acciones!$A$5:$A$148,0)),1)+2*'Mi portafolio'!$C$5</f>
        <v>0.0035882308</v>
      </c>
      <c r="D96" s="56" t="str">
        <f aca="false">INDEX(Acciones!$J$5:$J$148,MATCH($A96,Acciones!$A$5:$A$148,0))</f>
        <v>Sí</v>
      </c>
    </row>
    <row r="97" customFormat="false" ht="15" hidden="false" customHeight="false" outlineLevel="0" collapsed="false">
      <c r="A97" s="39" t="s">
        <v>238</v>
      </c>
      <c r="B97" s="32" t="n">
        <f aca="false">SUM(Covarianza!$B98:$EO98)/144/(SUM(Covarianza!$B$6:$EO$149)/144^2)</f>
        <v>0.804604747858794</v>
      </c>
      <c r="C97" s="41" t="n">
        <f aca="false">IF(ISNUMBER(INDEX(Acciones!$G$5:$G$148,MATCH($A97,Acciones!$A$5:$A$148,0))),INDEX(Acciones!$G$5:$G$148,MATCH($A97,Acciones!$A$5:$A$148,0)),1)+2*'Mi portafolio'!$C$5</f>
        <v>0.0389543042</v>
      </c>
      <c r="D97" s="56" t="str">
        <f aca="false">INDEX(Acciones!$J$5:$J$148,MATCH($A97,Acciones!$A$5:$A$148,0))</f>
        <v>Sí</v>
      </c>
    </row>
    <row r="98" customFormat="false" ht="15" hidden="false" customHeight="false" outlineLevel="0" collapsed="false">
      <c r="A98" s="39" t="s">
        <v>239</v>
      </c>
      <c r="B98" s="32" t="n">
        <f aca="false">SUM(Covarianza!$B99:$EO99)/144/(SUM(Covarianza!$B$6:$EO$149)/144^2)</f>
        <v>1.72607206585161</v>
      </c>
      <c r="C98" s="41" t="n">
        <f aca="false">IF(ISNUMBER(INDEX(Acciones!$G$5:$G$148,MATCH($A98,Acciones!$A$5:$A$148,0))),INDEX(Acciones!$G$5:$G$148,MATCH($A98,Acciones!$A$5:$A$148,0)),1)+2*'Mi portafolio'!$C$5</f>
        <v>0.0503065546</v>
      </c>
      <c r="D98" s="56" t="str">
        <f aca="false">INDEX(Acciones!$J$5:$J$148,MATCH($A98,Acciones!$A$5:$A$148,0))</f>
        <v>Sí</v>
      </c>
    </row>
    <row r="99" customFormat="false" ht="15" hidden="false" customHeight="false" outlineLevel="0" collapsed="false">
      <c r="A99" s="39" t="s">
        <v>240</v>
      </c>
      <c r="B99" s="32" t="n">
        <f aca="false">SUM(Covarianza!$B100:$EO100)/144/(SUM(Covarianza!$B$6:$EO$149)/144^2)</f>
        <v>1.50172676478942</v>
      </c>
      <c r="C99" s="41" t="n">
        <f aca="false">IF(ISNUMBER(INDEX(Acciones!$G$5:$G$148,MATCH($A99,Acciones!$A$5:$A$148,0))),INDEX(Acciones!$G$5:$G$148,MATCH($A99,Acciones!$A$5:$A$148,0)),1)+2*'Mi portafolio'!$C$5</f>
        <v>0.0085872266</v>
      </c>
      <c r="D99" s="56" t="str">
        <f aca="false">INDEX(Acciones!$J$5:$J$148,MATCH($A99,Acciones!$A$5:$A$148,0))</f>
        <v>Sí</v>
      </c>
    </row>
    <row r="100" customFormat="false" ht="15" hidden="false" customHeight="false" outlineLevel="0" collapsed="false">
      <c r="A100" s="39" t="s">
        <v>241</v>
      </c>
      <c r="B100" s="32" t="n">
        <f aca="false">SUM(Covarianza!$B101:$EO101)/144/(SUM(Covarianza!$B$6:$EO$149)/144^2)</f>
        <v>1.42310688606297</v>
      </c>
      <c r="C100" s="41" t="n">
        <f aca="false">IF(ISNUMBER(INDEX(Acciones!$G$5:$G$148,MATCH($A100,Acciones!$A$5:$A$148,0))),INDEX(Acciones!$G$5:$G$148,MATCH($A100,Acciones!$A$5:$A$148,0)),1)+2*'Mi portafolio'!$C$5</f>
        <v>0.0292839066</v>
      </c>
      <c r="D100" s="56" t="str">
        <f aca="false">INDEX(Acciones!$J$5:$J$148,MATCH($A100,Acciones!$A$5:$A$148,0))</f>
        <v>Sí</v>
      </c>
    </row>
    <row r="101" customFormat="false" ht="15" hidden="false" customHeight="false" outlineLevel="0" collapsed="false">
      <c r="A101" s="39" t="s">
        <v>242</v>
      </c>
      <c r="B101" s="32" t="n">
        <f aca="false">SUM(Covarianza!$B102:$EO102)/144/(SUM(Covarianza!$B$6:$EO$149)/144^2)</f>
        <v>1.41576485608603</v>
      </c>
      <c r="C101" s="41" t="n">
        <f aca="false">IF(ISNUMBER(INDEX(Acciones!$G$5:$G$148,MATCH($A101,Acciones!$A$5:$A$148,0))),INDEX(Acciones!$G$5:$G$148,MATCH($A101,Acciones!$A$5:$A$148,0)),1)+2*'Mi portafolio'!$C$5</f>
        <v>0.0460561061</v>
      </c>
      <c r="D101" s="56" t="str">
        <f aca="false">INDEX(Acciones!$J$5:$J$148,MATCH($A101,Acciones!$A$5:$A$148,0))</f>
        <v>Sí</v>
      </c>
    </row>
    <row r="102" customFormat="false" ht="15" hidden="false" customHeight="false" outlineLevel="0" collapsed="false">
      <c r="A102" s="39" t="s">
        <v>244</v>
      </c>
      <c r="B102" s="32" t="n">
        <f aca="false">SUM(Covarianza!$B103:$EO103)/144/(SUM(Covarianza!$B$6:$EO$149)/144^2)</f>
        <v>0.962067177927241</v>
      </c>
      <c r="C102" s="41" t="n">
        <f aca="false">IF(ISNUMBER(INDEX(Acciones!$G$5:$G$148,MATCH($A102,Acciones!$A$5:$A$148,0))),INDEX(Acciones!$G$5:$G$148,MATCH($A102,Acciones!$A$5:$A$148,0)),1)+2*'Mi portafolio'!$C$5</f>
        <v>0.0043880799</v>
      </c>
      <c r="D102" s="56" t="str">
        <f aca="false">INDEX(Acciones!$J$5:$J$148,MATCH($A102,Acciones!$A$5:$A$148,0))</f>
        <v>Sí</v>
      </c>
    </row>
    <row r="103" customFormat="false" ht="15" hidden="false" customHeight="false" outlineLevel="0" collapsed="false">
      <c r="A103" s="39" t="s">
        <v>245</v>
      </c>
      <c r="B103" s="32" t="n">
        <f aca="false">SUM(Covarianza!$B104:$EO104)/144/(SUM(Covarianza!$B$6:$EO$149)/144^2)</f>
        <v>1.02157765488061</v>
      </c>
      <c r="C103" s="41" t="n">
        <f aca="false">IF(ISNUMBER(INDEX(Acciones!$G$5:$G$148,MATCH($A103,Acciones!$A$5:$A$148,0))),INDEX(Acciones!$G$5:$G$148,MATCH($A103,Acciones!$A$5:$A$148,0)),1)+2*'Mi portafolio'!$C$5</f>
        <v>0.0089424229</v>
      </c>
      <c r="D103" s="56" t="str">
        <f aca="false">INDEX(Acciones!$J$5:$J$148,MATCH($A103,Acciones!$A$5:$A$148,0))</f>
        <v>Sí</v>
      </c>
    </row>
    <row r="104" customFormat="false" ht="15" hidden="false" customHeight="false" outlineLevel="0" collapsed="false">
      <c r="A104" s="39" t="s">
        <v>246</v>
      </c>
      <c r="B104" s="32" t="n">
        <f aca="false">SUM(Covarianza!$B105:$EO105)/144/(SUM(Covarianza!$B$6:$EO$149)/144^2)</f>
        <v>1.32332658758662</v>
      </c>
      <c r="C104" s="41" t="n">
        <f aca="false">IF(ISNUMBER(INDEX(Acciones!$G$5:$G$148,MATCH($A104,Acciones!$A$5:$A$148,0))),INDEX(Acciones!$G$5:$G$148,MATCH($A104,Acciones!$A$5:$A$148,0)),1)+2*'Mi portafolio'!$C$5</f>
        <v>0.0250411893</v>
      </c>
      <c r="D104" s="56" t="str">
        <f aca="false">INDEX(Acciones!$J$5:$J$148,MATCH($A104,Acciones!$A$5:$A$148,0))</f>
        <v>Sí</v>
      </c>
    </row>
    <row r="105" customFormat="false" ht="15" hidden="false" customHeight="false" outlineLevel="0" collapsed="false">
      <c r="A105" s="39" t="s">
        <v>247</v>
      </c>
      <c r="B105" s="32" t="n">
        <f aca="false">SUM(Covarianza!$B106:$EO106)/144/(SUM(Covarianza!$B$6:$EO$149)/144^2)</f>
        <v>1.55441924327433</v>
      </c>
      <c r="C105" s="41" t="n">
        <f aca="false">IF(ISNUMBER(INDEX(Acciones!$G$5:$G$148,MATCH($A105,Acciones!$A$5:$A$148,0))),INDEX(Acciones!$G$5:$G$148,MATCH($A105,Acciones!$A$5:$A$148,0)),1)+2*'Mi portafolio'!$C$5</f>
        <v>0.0058012262</v>
      </c>
      <c r="D105" s="56" t="str">
        <f aca="false">INDEX(Acciones!$J$5:$J$148,MATCH($A105,Acciones!$A$5:$A$148,0))</f>
        <v>Sí</v>
      </c>
    </row>
    <row r="106" customFormat="false" ht="15" hidden="false" customHeight="false" outlineLevel="0" collapsed="false">
      <c r="A106" s="39" t="s">
        <v>248</v>
      </c>
      <c r="B106" s="32" t="n">
        <f aca="false">SUM(Covarianza!$B107:$EO107)/144/(SUM(Covarianza!$B$6:$EO$149)/144^2)</f>
        <v>1.6055790731917</v>
      </c>
      <c r="C106" s="41" t="n">
        <f aca="false">IF(ISNUMBER(INDEX(Acciones!$G$5:$G$148,MATCH($A106,Acciones!$A$5:$A$148,0))),INDEX(Acciones!$G$5:$G$148,MATCH($A106,Acciones!$A$5:$A$148,0)),1)+2*'Mi portafolio'!$C$5</f>
        <v>1.00232</v>
      </c>
      <c r="D106" s="56" t="str">
        <f aca="false">INDEX(Acciones!$J$5:$J$148,MATCH($A106,Acciones!$A$5:$A$148,0))</f>
        <v>Sin contraparte</v>
      </c>
    </row>
    <row r="107" customFormat="false" ht="15" hidden="false" customHeight="false" outlineLevel="0" collapsed="false">
      <c r="A107" s="39" t="s">
        <v>249</v>
      </c>
      <c r="B107" s="32" t="n">
        <f aca="false">SUM(Covarianza!$B108:$EO108)/144/(SUM(Covarianza!$B$6:$EO$149)/144^2)</f>
        <v>1.08201952743731</v>
      </c>
      <c r="C107" s="41" t="n">
        <f aca="false">IF(ISNUMBER(INDEX(Acciones!$G$5:$G$148,MATCH($A107,Acciones!$A$5:$A$148,0))),INDEX(Acciones!$G$5:$G$148,MATCH($A107,Acciones!$A$5:$A$148,0)),1)+2*'Mi portafolio'!$C$5</f>
        <v>0.0450043894</v>
      </c>
      <c r="D107" s="56" t="str">
        <f aca="false">INDEX(Acciones!$J$5:$J$148,MATCH($A107,Acciones!$A$5:$A$148,0))</f>
        <v>Sí</v>
      </c>
    </row>
    <row r="108" customFormat="false" ht="15" hidden="false" customHeight="false" outlineLevel="0" collapsed="false">
      <c r="A108" s="39" t="s">
        <v>250</v>
      </c>
      <c r="B108" s="32" t="n">
        <f aca="false">SUM(Covarianza!$B109:$EO109)/144/(SUM(Covarianza!$B$6:$EO$149)/144^2)</f>
        <v>1.09669205755432</v>
      </c>
      <c r="C108" s="41" t="n">
        <f aca="false">IF(ISNUMBER(INDEX(Acciones!$G$5:$G$148,MATCH($A108,Acciones!$A$5:$A$148,0))),INDEX(Acciones!$G$5:$G$148,MATCH($A108,Acciones!$A$5:$A$148,0)),1)+2*'Mi portafolio'!$C$5</f>
        <v>0.0299953048</v>
      </c>
      <c r="D108" s="56" t="str">
        <f aca="false">INDEX(Acciones!$J$5:$J$148,MATCH($A108,Acciones!$A$5:$A$148,0))</f>
        <v>Sí</v>
      </c>
    </row>
    <row r="109" customFormat="false" ht="15" hidden="false" customHeight="false" outlineLevel="0" collapsed="false">
      <c r="A109" s="39" t="s">
        <v>50</v>
      </c>
      <c r="B109" s="32" t="n">
        <f aca="false">SUM(Covarianza!$B110:$EO110)/144/(SUM(Covarianza!$B$6:$EO$149)/144^2)</f>
        <v>1.71601900023124</v>
      </c>
      <c r="C109" s="41" t="n">
        <f aca="false">IF(ISNUMBER(INDEX(Acciones!$G$5:$G$148,MATCH($A109,Acciones!$A$5:$A$148,0))),INDEX(Acciones!$G$5:$G$148,MATCH($A109,Acciones!$A$5:$A$148,0)),1)+2*'Mi portafolio'!$C$5</f>
        <v>0.0057293415</v>
      </c>
      <c r="D109" s="56" t="str">
        <f aca="false">INDEX(Acciones!$J$5:$J$148,MATCH($A109,Acciones!$A$5:$A$148,0))</f>
        <v>Sí</v>
      </c>
    </row>
    <row r="110" customFormat="false" ht="15" hidden="false" customHeight="false" outlineLevel="0" collapsed="false">
      <c r="A110" s="39" t="s">
        <v>251</v>
      </c>
      <c r="B110" s="32" t="n">
        <f aca="false">SUM(Covarianza!$B111:$EO111)/144/(SUM(Covarianza!$B$6:$EO$149)/144^2)</f>
        <v>1.39786779989934</v>
      </c>
      <c r="C110" s="41" t="n">
        <f aca="false">IF(ISNUMBER(INDEX(Acciones!$G$5:$G$148,MATCH($A110,Acciones!$A$5:$A$148,0))),INDEX(Acciones!$G$5:$G$148,MATCH($A110,Acciones!$A$5:$A$148,0)),1)+2*'Mi portafolio'!$C$5</f>
        <v>0.0049298304</v>
      </c>
      <c r="D110" s="56" t="str">
        <f aca="false">INDEX(Acciones!$J$5:$J$148,MATCH($A110,Acciones!$A$5:$A$148,0))</f>
        <v>Sí</v>
      </c>
    </row>
    <row r="111" customFormat="false" ht="15" hidden="false" customHeight="false" outlineLevel="0" collapsed="false">
      <c r="A111" s="39" t="s">
        <v>252</v>
      </c>
      <c r="B111" s="32" t="n">
        <f aca="false">SUM(Covarianza!$B112:$EO112)/144/(SUM(Covarianza!$B$6:$EO$149)/144^2)</f>
        <v>1.85915277834213</v>
      </c>
      <c r="C111" s="41" t="n">
        <f aca="false">IF(ISNUMBER(INDEX(Acciones!$G$5:$G$148,MATCH($A111,Acciones!$A$5:$A$148,0))),INDEX(Acciones!$G$5:$G$148,MATCH($A111,Acciones!$A$5:$A$148,0)),1)+2*'Mi portafolio'!$C$5</f>
        <v>0.0439548046</v>
      </c>
      <c r="D111" s="56" t="str">
        <f aca="false">INDEX(Acciones!$J$5:$J$148,MATCH($A111,Acciones!$A$5:$A$148,0))</f>
        <v>Sí</v>
      </c>
    </row>
    <row r="112" customFormat="false" ht="15" hidden="false" customHeight="false" outlineLevel="0" collapsed="false">
      <c r="A112" s="39" t="s">
        <v>253</v>
      </c>
      <c r="B112" s="32" t="n">
        <f aca="false">SUM(Covarianza!$B113:$EO113)/144/(SUM(Covarianza!$B$6:$EO$149)/144^2)</f>
        <v>1.78163608218264</v>
      </c>
      <c r="C112" s="41" t="n">
        <f aca="false">IF(ISNUMBER(INDEX(Acciones!$G$5:$G$148,MATCH($A112,Acciones!$A$5:$A$148,0))),INDEX(Acciones!$G$5:$G$148,MATCH($A112,Acciones!$A$5:$A$148,0)),1)+2*'Mi portafolio'!$C$5</f>
        <v>0.0217219417</v>
      </c>
      <c r="D112" s="56" t="str">
        <f aca="false">INDEX(Acciones!$J$5:$J$148,MATCH($A112,Acciones!$A$5:$A$148,0))</f>
        <v>Sí</v>
      </c>
    </row>
    <row r="113" customFormat="false" ht="15" hidden="false" customHeight="false" outlineLevel="0" collapsed="false">
      <c r="A113" s="39" t="s">
        <v>254</v>
      </c>
      <c r="B113" s="32" t="n">
        <f aca="false">SUM(Covarianza!$B114:$EO114)/144/(SUM(Covarianza!$B$6:$EO$149)/144^2)</f>
        <v>0.762878828786369</v>
      </c>
      <c r="C113" s="41" t="n">
        <f aca="false">IF(ISNUMBER(INDEX(Acciones!$G$5:$G$148,MATCH($A113,Acciones!$A$5:$A$148,0))),INDEX(Acciones!$G$5:$G$148,MATCH($A113,Acciones!$A$5:$A$148,0)),1)+2*'Mi portafolio'!$C$5</f>
        <v>0.0305978247</v>
      </c>
      <c r="D113" s="56" t="str">
        <f aca="false">INDEX(Acciones!$J$5:$J$148,MATCH($A113,Acciones!$A$5:$A$148,0))</f>
        <v>Sí</v>
      </c>
    </row>
    <row r="114" customFormat="false" ht="15" hidden="false" customHeight="false" outlineLevel="0" collapsed="false">
      <c r="A114" s="39" t="s">
        <v>255</v>
      </c>
      <c r="B114" s="32" t="n">
        <f aca="false">SUM(Covarianza!$B115:$EO115)/144/(SUM(Covarianza!$B$6:$EO$149)/144^2)</f>
        <v>1.63215626270073</v>
      </c>
      <c r="C114" s="41" t="n">
        <f aca="false">IF(ISNUMBER(INDEX(Acciones!$G$5:$G$148,MATCH($A114,Acciones!$A$5:$A$148,0))),INDEX(Acciones!$G$5:$G$148,MATCH($A114,Acciones!$A$5:$A$148,0)),1)+2*'Mi portafolio'!$C$5</f>
        <v>0.0420530738</v>
      </c>
      <c r="D114" s="56" t="str">
        <f aca="false">INDEX(Acciones!$J$5:$J$148,MATCH($A114,Acciones!$A$5:$A$148,0))</f>
        <v>Sí</v>
      </c>
    </row>
    <row r="115" customFormat="false" ht="15" hidden="false" customHeight="false" outlineLevel="0" collapsed="false">
      <c r="A115" s="39" t="s">
        <v>51</v>
      </c>
      <c r="B115" s="32" t="n">
        <f aca="false">SUM(Covarianza!$B116:$EO116)/144/(SUM(Covarianza!$B$6:$EO$149)/144^2)</f>
        <v>1.41920110522912</v>
      </c>
      <c r="C115" s="41" t="n">
        <f aca="false">IF(ISNUMBER(INDEX(Acciones!$G$5:$G$148,MATCH($A115,Acciones!$A$5:$A$148,0))),INDEX(Acciones!$G$5:$G$148,MATCH($A115,Acciones!$A$5:$A$148,0)),1)+2*'Mi portafolio'!$C$5</f>
        <v>0.0040914792</v>
      </c>
      <c r="D115" s="56" t="str">
        <f aca="false">INDEX(Acciones!$J$5:$J$148,MATCH($A115,Acciones!$A$5:$A$148,0))</f>
        <v>Sí</v>
      </c>
    </row>
    <row r="116" customFormat="false" ht="15" hidden="false" customHeight="false" outlineLevel="0" collapsed="false">
      <c r="A116" s="39" t="s">
        <v>256</v>
      </c>
      <c r="B116" s="32" t="n">
        <f aca="false">SUM(Covarianza!$B117:$EO117)/144/(SUM(Covarianza!$B$6:$EO$149)/144^2)</f>
        <v>1.92071123940122</v>
      </c>
      <c r="C116" s="41" t="n">
        <f aca="false">IF(ISNUMBER(INDEX(Acciones!$G$5:$G$148,MATCH($A116,Acciones!$A$5:$A$148,0))),INDEX(Acciones!$G$5:$G$148,MATCH($A116,Acciones!$A$5:$A$148,0)),1)+2*'Mi portafolio'!$C$5</f>
        <v>0.0434712027</v>
      </c>
      <c r="D116" s="56" t="str">
        <f aca="false">INDEX(Acciones!$J$5:$J$148,MATCH($A116,Acciones!$A$5:$A$148,0))</f>
        <v>Sí</v>
      </c>
    </row>
    <row r="117" customFormat="false" ht="15" hidden="false" customHeight="false" outlineLevel="0" collapsed="false">
      <c r="A117" s="39" t="s">
        <v>257</v>
      </c>
      <c r="B117" s="32" t="n">
        <f aca="false">SUM(Covarianza!$B118:$EO118)/144/(SUM(Covarianza!$B$6:$EO$149)/144^2)</f>
        <v>1.73335635086738</v>
      </c>
      <c r="C117" s="41" t="n">
        <f aca="false">IF(ISNUMBER(INDEX(Acciones!$G$5:$G$148,MATCH($A117,Acciones!$A$5:$A$148,0))),INDEX(Acciones!$G$5:$G$148,MATCH($A117,Acciones!$A$5:$A$148,0)),1)+2*'Mi portafolio'!$C$5</f>
        <v>0.049935138</v>
      </c>
      <c r="D117" s="56" t="str">
        <f aca="false">INDEX(Acciones!$J$5:$J$148,MATCH($A117,Acciones!$A$5:$A$148,0))</f>
        <v>Sí</v>
      </c>
    </row>
    <row r="118" customFormat="false" ht="15" hidden="false" customHeight="false" outlineLevel="0" collapsed="false">
      <c r="A118" s="39" t="s">
        <v>258</v>
      </c>
      <c r="B118" s="32" t="n">
        <f aca="false">SUM(Covarianza!$B119:$EO119)/144/(SUM(Covarianza!$B$6:$EO$149)/144^2)</f>
        <v>2.12801093441941</v>
      </c>
      <c r="C118" s="41" t="n">
        <f aca="false">IF(ISNUMBER(INDEX(Acciones!$G$5:$G$148,MATCH($A118,Acciones!$A$5:$A$148,0))),INDEX(Acciones!$G$5:$G$148,MATCH($A118,Acciones!$A$5:$A$148,0)),1)+2*'Mi portafolio'!$C$5</f>
        <v>0.0333238768</v>
      </c>
      <c r="D118" s="56" t="str">
        <f aca="false">INDEX(Acciones!$J$5:$J$148,MATCH($A118,Acciones!$A$5:$A$148,0))</f>
        <v>Sí</v>
      </c>
    </row>
    <row r="119" customFormat="false" ht="15" hidden="false" customHeight="false" outlineLevel="0" collapsed="false">
      <c r="A119" s="39" t="s">
        <v>259</v>
      </c>
      <c r="B119" s="32" t="n">
        <f aca="false">SUM(Covarianza!$B120:$EO120)/144/(SUM(Covarianza!$B$6:$EO$149)/144^2)</f>
        <v>1.02658847184424</v>
      </c>
      <c r="C119" s="41" t="n">
        <f aca="false">IF(ISNUMBER(INDEX(Acciones!$G$5:$G$148,MATCH($A119,Acciones!$A$5:$A$148,0))),INDEX(Acciones!$G$5:$G$148,MATCH($A119,Acciones!$A$5:$A$148,0)),1)+2*'Mi portafolio'!$C$5</f>
        <v>0.0032235128</v>
      </c>
      <c r="D119" s="56" t="str">
        <f aca="false">INDEX(Acciones!$J$5:$J$148,MATCH($A119,Acciones!$A$5:$A$148,0))</f>
        <v>Sí</v>
      </c>
    </row>
    <row r="120" customFormat="false" ht="15" hidden="false" customHeight="false" outlineLevel="0" collapsed="false">
      <c r="A120" s="39" t="s">
        <v>260</v>
      </c>
      <c r="B120" s="32" t="n">
        <f aca="false">SUM(Covarianza!$B121:$EO121)/144/(SUM(Covarianza!$B$6:$EO$149)/144^2)</f>
        <v>2.12622565763278</v>
      </c>
      <c r="C120" s="41" t="n">
        <f aca="false">IF(ISNUMBER(INDEX(Acciones!$G$5:$G$148,MATCH($A120,Acciones!$A$5:$A$148,0))),INDEX(Acciones!$G$5:$G$148,MATCH($A120,Acciones!$A$5:$A$148,0)),1)+2*'Mi portafolio'!$C$5</f>
        <v>0.0424383682</v>
      </c>
      <c r="D120" s="56" t="str">
        <f aca="false">INDEX(Acciones!$J$5:$J$148,MATCH($A120,Acciones!$A$5:$A$148,0))</f>
        <v>Sí</v>
      </c>
    </row>
    <row r="121" customFormat="false" ht="15" hidden="false" customHeight="false" outlineLevel="0" collapsed="false">
      <c r="A121" s="39" t="s">
        <v>261</v>
      </c>
      <c r="B121" s="32" t="n">
        <f aca="false">SUM(Covarianza!$B122:$EO122)/144/(SUM(Covarianza!$B$6:$EO$149)/144^2)</f>
        <v>1.4102289118146</v>
      </c>
      <c r="C121" s="41" t="n">
        <f aca="false">IF(ISNUMBER(INDEX(Acciones!$G$5:$G$148,MATCH($A121,Acciones!$A$5:$A$148,0))),INDEX(Acciones!$G$5:$G$148,MATCH($A121,Acciones!$A$5:$A$148,0)),1)+2*'Mi portafolio'!$C$5</f>
        <v>0.129660824</v>
      </c>
      <c r="D121" s="56" t="str">
        <f aca="false">INDEX(Acciones!$J$5:$J$148,MATCH($A121,Acciones!$A$5:$A$148,0))</f>
        <v>Sí</v>
      </c>
    </row>
    <row r="122" customFormat="false" ht="15" hidden="false" customHeight="false" outlineLevel="0" collapsed="false">
      <c r="A122" s="39" t="s">
        <v>262</v>
      </c>
      <c r="B122" s="32" t="n">
        <f aca="false">SUM(Covarianza!$B123:$EO123)/144/(SUM(Covarianza!$B$6:$EO$149)/144^2)</f>
        <v>1.77067052279265</v>
      </c>
      <c r="C122" s="41" t="n">
        <f aca="false">IF(ISNUMBER(INDEX(Acciones!$G$5:$G$148,MATCH($A122,Acciones!$A$5:$A$148,0))),INDEX(Acciones!$G$5:$G$148,MATCH($A122,Acciones!$A$5:$A$148,0)),1)+2*'Mi portafolio'!$C$5</f>
        <v>0.0231396334</v>
      </c>
      <c r="D122" s="56" t="str">
        <f aca="false">INDEX(Acciones!$J$5:$J$148,MATCH($A122,Acciones!$A$5:$A$148,0))</f>
        <v>Sí</v>
      </c>
    </row>
    <row r="123" customFormat="false" ht="15" hidden="false" customHeight="false" outlineLevel="0" collapsed="false">
      <c r="A123" s="39" t="s">
        <v>263</v>
      </c>
      <c r="B123" s="32" t="n">
        <f aca="false">SUM(Covarianza!$B124:$EO124)/144/(SUM(Covarianza!$B$6:$EO$149)/144^2)</f>
        <v>2.04841281678217</v>
      </c>
      <c r="C123" s="41" t="n">
        <f aca="false">IF(ISNUMBER(INDEX(Acciones!$G$5:$G$148,MATCH($A123,Acciones!$A$5:$A$148,0))),INDEX(Acciones!$G$5:$G$148,MATCH($A123,Acciones!$A$5:$A$148,0)),1)+2*'Mi portafolio'!$C$5</f>
        <v>0.0435071155</v>
      </c>
      <c r="D123" s="56" t="str">
        <f aca="false">INDEX(Acciones!$J$5:$J$148,MATCH($A123,Acciones!$A$5:$A$148,0))</f>
        <v>Sí</v>
      </c>
    </row>
    <row r="124" customFormat="false" ht="15" hidden="false" customHeight="false" outlineLevel="0" collapsed="false">
      <c r="A124" s="39" t="s">
        <v>264</v>
      </c>
      <c r="B124" s="32" t="n">
        <f aca="false">SUM(Covarianza!$B125:$EO125)/144/(SUM(Covarianza!$B$6:$EO$149)/144^2)</f>
        <v>1.52782893234333</v>
      </c>
      <c r="C124" s="41" t="n">
        <f aca="false">IF(ISNUMBER(INDEX(Acciones!$G$5:$G$148,MATCH($A124,Acciones!$A$5:$A$148,0))),INDEX(Acciones!$G$5:$G$148,MATCH($A124,Acciones!$A$5:$A$148,0)),1)+2*'Mi portafolio'!$C$5</f>
        <v>0.0298971383</v>
      </c>
      <c r="D124" s="56" t="str">
        <f aca="false">INDEX(Acciones!$J$5:$J$148,MATCH($A124,Acciones!$A$5:$A$148,0))</f>
        <v>Sí</v>
      </c>
    </row>
    <row r="125" customFormat="false" ht="15" hidden="false" customHeight="false" outlineLevel="0" collapsed="false">
      <c r="A125" s="39" t="s">
        <v>265</v>
      </c>
      <c r="B125" s="32" t="n">
        <f aca="false">SUM(Covarianza!$B126:$EO126)/144/(SUM(Covarianza!$B$6:$EO$149)/144^2)</f>
        <v>1.61492943286106</v>
      </c>
      <c r="C125" s="41" t="n">
        <f aca="false">IF(ISNUMBER(INDEX(Acciones!$G$5:$G$148,MATCH($A125,Acciones!$A$5:$A$148,0))),INDEX(Acciones!$G$5:$G$148,MATCH($A125,Acciones!$A$5:$A$148,0)),1)+2*'Mi portafolio'!$C$5</f>
        <v>1.00232</v>
      </c>
      <c r="D125" s="56" t="str">
        <f aca="false">INDEX(Acciones!$J$5:$J$148,MATCH($A125,Acciones!$A$5:$A$148,0))</f>
        <v>Sin contraparte</v>
      </c>
    </row>
    <row r="126" customFormat="false" ht="15" hidden="false" customHeight="false" outlineLevel="0" collapsed="false">
      <c r="A126" s="39" t="s">
        <v>266</v>
      </c>
      <c r="B126" s="32" t="n">
        <f aca="false">SUM(Covarianza!$B127:$EO127)/144/(SUM(Covarianza!$B$6:$EO$149)/144^2)</f>
        <v>0.96569594407783</v>
      </c>
      <c r="C126" s="41" t="n">
        <f aca="false">IF(ISNUMBER(INDEX(Acciones!$G$5:$G$148,MATCH($A126,Acciones!$A$5:$A$148,0))),INDEX(Acciones!$G$5:$G$148,MATCH($A126,Acciones!$A$5:$A$148,0)),1)+2*'Mi portafolio'!$C$5</f>
        <v>0.0307739474</v>
      </c>
      <c r="D126" s="56" t="str">
        <f aca="false">INDEX(Acciones!$J$5:$J$148,MATCH($A126,Acciones!$A$5:$A$148,0))</f>
        <v>Sí</v>
      </c>
    </row>
    <row r="127" customFormat="false" ht="15" hidden="false" customHeight="false" outlineLevel="0" collapsed="false">
      <c r="A127" s="39" t="s">
        <v>267</v>
      </c>
      <c r="B127" s="32" t="n">
        <f aca="false">SUM(Covarianza!$B128:$EO128)/144/(SUM(Covarianza!$B$6:$EO$149)/144^2)</f>
        <v>1.60429396540485</v>
      </c>
      <c r="C127" s="41" t="n">
        <f aca="false">IF(ISNUMBER(INDEX(Acciones!$G$5:$G$148,MATCH($A127,Acciones!$A$5:$A$148,0))),INDEX(Acciones!$G$5:$G$148,MATCH($A127,Acciones!$A$5:$A$148,0)),1)+2*'Mi portafolio'!$C$5</f>
        <v>0.0120264923</v>
      </c>
      <c r="D127" s="56" t="str">
        <f aca="false">INDEX(Acciones!$J$5:$J$148,MATCH($A127,Acciones!$A$5:$A$148,0))</f>
        <v>Sí</v>
      </c>
    </row>
    <row r="128" customFormat="false" ht="15" hidden="false" customHeight="false" outlineLevel="0" collapsed="false">
      <c r="A128" s="39" t="s">
        <v>268</v>
      </c>
      <c r="B128" s="32" t="n">
        <f aca="false">SUM(Covarianza!$B129:$EO129)/144/(SUM(Covarianza!$B$6:$EO$149)/144^2)</f>
        <v>2.41125319440608</v>
      </c>
      <c r="C128" s="41" t="n">
        <f aca="false">IF(ISNUMBER(INDEX(Acciones!$G$5:$G$148,MATCH($A128,Acciones!$A$5:$A$148,0))),INDEX(Acciones!$G$5:$G$148,MATCH($A128,Acciones!$A$5:$A$148,0)),1)+2*'Mi portafolio'!$C$5</f>
        <v>0.0270438109</v>
      </c>
      <c r="D128" s="56" t="str">
        <f aca="false">INDEX(Acciones!$J$5:$J$148,MATCH($A128,Acciones!$A$5:$A$148,0))</f>
        <v>Sí</v>
      </c>
    </row>
    <row r="129" customFormat="false" ht="15" hidden="false" customHeight="false" outlineLevel="0" collapsed="false">
      <c r="A129" s="39" t="s">
        <v>269</v>
      </c>
      <c r="B129" s="32" t="n">
        <f aca="false">SUM(Covarianza!$B130:$EO130)/144/(SUM(Covarianza!$B$6:$EO$149)/144^2)</f>
        <v>1.71152208497072</v>
      </c>
      <c r="C129" s="41" t="n">
        <f aca="false">IF(ISNUMBER(INDEX(Acciones!$G$5:$G$148,MATCH($A129,Acciones!$A$5:$A$148,0))),INDEX(Acciones!$G$5:$G$148,MATCH($A129,Acciones!$A$5:$A$148,0)),1)+2*'Mi portafolio'!$C$5</f>
        <v>0.0103571869</v>
      </c>
      <c r="D129" s="56" t="str">
        <f aca="false">INDEX(Acciones!$J$5:$J$148,MATCH($A129,Acciones!$A$5:$A$148,0))</f>
        <v>Sí</v>
      </c>
    </row>
    <row r="130" customFormat="false" ht="15" hidden="false" customHeight="false" outlineLevel="0" collapsed="false">
      <c r="A130" s="39" t="s">
        <v>270</v>
      </c>
      <c r="B130" s="32" t="n">
        <f aca="false">SUM(Covarianza!$B131:$EO131)/144/(SUM(Covarianza!$B$6:$EO$149)/144^2)</f>
        <v>1.86793501255319</v>
      </c>
      <c r="C130" s="41" t="n">
        <f aca="false">IF(ISNUMBER(INDEX(Acciones!$G$5:$G$148,MATCH($A130,Acciones!$A$5:$A$148,0))),INDEX(Acciones!$G$5:$G$148,MATCH($A130,Acciones!$A$5:$A$148,0)),1)+2*'Mi portafolio'!$C$5</f>
        <v>0.031048216</v>
      </c>
      <c r="D130" s="56" t="str">
        <f aca="false">INDEX(Acciones!$J$5:$J$148,MATCH($A130,Acciones!$A$5:$A$148,0))</f>
        <v>Sí</v>
      </c>
    </row>
    <row r="131" customFormat="false" ht="15" hidden="false" customHeight="false" outlineLevel="0" collapsed="false">
      <c r="A131" s="39" t="s">
        <v>271</v>
      </c>
      <c r="B131" s="32" t="n">
        <f aca="false">SUM(Covarianza!$B132:$EO132)/144/(SUM(Covarianza!$B$6:$EO$149)/144^2)</f>
        <v>1.88293029077676</v>
      </c>
      <c r="C131" s="41" t="n">
        <f aca="false">IF(ISNUMBER(INDEX(Acciones!$G$5:$G$148,MATCH($A131,Acciones!$A$5:$A$148,0))),INDEX(Acciones!$G$5:$G$148,MATCH($A131,Acciones!$A$5:$A$148,0)),1)+2*'Mi portafolio'!$C$5</f>
        <v>0.0249295815</v>
      </c>
      <c r="D131" s="56" t="str">
        <f aca="false">INDEX(Acciones!$J$5:$J$148,MATCH($A131,Acciones!$A$5:$A$148,0))</f>
        <v>Sí</v>
      </c>
    </row>
    <row r="132" customFormat="false" ht="15" hidden="false" customHeight="false" outlineLevel="0" collapsed="false">
      <c r="A132" s="39" t="s">
        <v>272</v>
      </c>
      <c r="B132" s="32" t="n">
        <f aca="false">SUM(Covarianza!$B133:$EO133)/144/(SUM(Covarianza!$B$6:$EO$149)/144^2)</f>
        <v>2.39831978792464</v>
      </c>
      <c r="C132" s="41" t="n">
        <f aca="false">IF(ISNUMBER(INDEX(Acciones!$G$5:$G$148,MATCH($A132,Acciones!$A$5:$A$148,0))),INDEX(Acciones!$G$5:$G$148,MATCH($A132,Acciones!$A$5:$A$148,0)),1)+2*'Mi portafolio'!$C$5</f>
        <v>0.049549513</v>
      </c>
      <c r="D132" s="56" t="str">
        <f aca="false">INDEX(Acciones!$J$5:$J$148,MATCH($A132,Acciones!$A$5:$A$148,0))</f>
        <v>Sí</v>
      </c>
    </row>
    <row r="133" customFormat="false" ht="15" hidden="false" customHeight="false" outlineLevel="0" collapsed="false">
      <c r="A133" s="39" t="s">
        <v>273</v>
      </c>
      <c r="B133" s="32" t="n">
        <f aca="false">SUM(Covarianza!$B134:$EO134)/144/(SUM(Covarianza!$B$6:$EO$149)/144^2)</f>
        <v>1.2913667530299</v>
      </c>
      <c r="C133" s="41" t="n">
        <f aca="false">IF(ISNUMBER(INDEX(Acciones!$G$5:$G$148,MATCH($A133,Acciones!$A$5:$A$148,0))),INDEX(Acciones!$G$5:$G$148,MATCH($A133,Acciones!$A$5:$A$148,0)),1)+2*'Mi portafolio'!$C$5</f>
        <v>0.0488276829</v>
      </c>
      <c r="D133" s="56" t="str">
        <f aca="false">INDEX(Acciones!$J$5:$J$148,MATCH($A133,Acciones!$A$5:$A$148,0))</f>
        <v>Sí</v>
      </c>
    </row>
    <row r="134" customFormat="false" ht="15" hidden="false" customHeight="false" outlineLevel="0" collapsed="false">
      <c r="A134" s="39" t="s">
        <v>274</v>
      </c>
      <c r="B134" s="32" t="n">
        <f aca="false">SUM(Covarianza!$B135:$EO135)/144/(SUM(Covarianza!$B$6:$EO$149)/144^2)</f>
        <v>1.85213741205282</v>
      </c>
      <c r="C134" s="41" t="n">
        <f aca="false">IF(ISNUMBER(INDEX(Acciones!$G$5:$G$148,MATCH($A134,Acciones!$A$5:$A$148,0))),INDEX(Acciones!$G$5:$G$148,MATCH($A134,Acciones!$A$5:$A$148,0)),1)+2*'Mi portafolio'!$C$5</f>
        <v>0.0249177301</v>
      </c>
      <c r="D134" s="56" t="str">
        <f aca="false">INDEX(Acciones!$J$5:$J$148,MATCH($A134,Acciones!$A$5:$A$148,0))</f>
        <v>Sí</v>
      </c>
    </row>
    <row r="135" customFormat="false" ht="15" hidden="false" customHeight="false" outlineLevel="0" collapsed="false">
      <c r="A135" s="39" t="s">
        <v>275</v>
      </c>
      <c r="B135" s="32" t="n">
        <f aca="false">SUM(Covarianza!$B136:$EO136)/144/(SUM(Covarianza!$B$6:$EO$149)/144^2)</f>
        <v>2.74961424662219</v>
      </c>
      <c r="C135" s="41" t="n">
        <f aca="false">IF(ISNUMBER(INDEX(Acciones!$G$5:$G$148,MATCH($A135,Acciones!$A$5:$A$148,0))),INDEX(Acciones!$G$5:$G$148,MATCH($A135,Acciones!$A$5:$A$148,0)),1)+2*'Mi portafolio'!$C$5</f>
        <v>0.0510540302</v>
      </c>
      <c r="D135" s="56" t="str">
        <f aca="false">INDEX(Acciones!$J$5:$J$148,MATCH($A135,Acciones!$A$5:$A$148,0))</f>
        <v>Sí</v>
      </c>
    </row>
    <row r="136" customFormat="false" ht="15" hidden="false" customHeight="false" outlineLevel="0" collapsed="false">
      <c r="A136" s="39" t="s">
        <v>276</v>
      </c>
      <c r="B136" s="32" t="n">
        <f aca="false">SUM(Covarianza!$B137:$EO137)/144/(SUM(Covarianza!$B$6:$EO$149)/144^2)</f>
        <v>0.633571240623929</v>
      </c>
      <c r="C136" s="41" t="n">
        <f aca="false">IF(ISNUMBER(INDEX(Acciones!$G$5:$G$148,MATCH($A136,Acciones!$A$5:$A$148,0))),INDEX(Acciones!$G$5:$G$148,MATCH($A136,Acciones!$A$5:$A$148,0)),1)+2*'Mi portafolio'!$C$5</f>
        <v>0.0145377955</v>
      </c>
      <c r="D136" s="56" t="str">
        <f aca="false">INDEX(Acciones!$J$5:$J$148,MATCH($A136,Acciones!$A$5:$A$148,0))</f>
        <v>Sí</v>
      </c>
    </row>
    <row r="137" customFormat="false" ht="15" hidden="false" customHeight="false" outlineLevel="0" collapsed="false">
      <c r="A137" s="39" t="s">
        <v>277</v>
      </c>
      <c r="B137" s="32" t="n">
        <f aca="false">SUM(Covarianza!$B138:$EO138)/144/(SUM(Covarianza!$B$6:$EO$149)/144^2)</f>
        <v>2.31999632431793</v>
      </c>
      <c r="C137" s="41" t="n">
        <f aca="false">IF(ISNUMBER(INDEX(Acciones!$G$5:$G$148,MATCH($A137,Acciones!$A$5:$A$148,0))),INDEX(Acciones!$G$5:$G$148,MATCH($A137,Acciones!$A$5:$A$148,0)),1)+2*'Mi portafolio'!$C$5</f>
        <v>0.0173746464</v>
      </c>
      <c r="D137" s="56" t="str">
        <f aca="false">INDEX(Acciones!$J$5:$J$148,MATCH($A137,Acciones!$A$5:$A$148,0))</f>
        <v>Sí</v>
      </c>
    </row>
    <row r="138" customFormat="false" ht="15" hidden="false" customHeight="false" outlineLevel="0" collapsed="false">
      <c r="A138" s="39" t="s">
        <v>278</v>
      </c>
      <c r="B138" s="32" t="n">
        <f aca="false">SUM(Covarianza!$B139:$EO139)/144/(SUM(Covarianza!$B$6:$EO$149)/144^2)</f>
        <v>2.37369472120963</v>
      </c>
      <c r="C138" s="41" t="n">
        <f aca="false">IF(ISNUMBER(INDEX(Acciones!$G$5:$G$148,MATCH($A138,Acciones!$A$5:$A$148,0))),INDEX(Acciones!$G$5:$G$148,MATCH($A138,Acciones!$A$5:$A$148,0)),1)+2*'Mi portafolio'!$C$5</f>
        <v>0.0144004246</v>
      </c>
      <c r="D138" s="56" t="str">
        <f aca="false">INDEX(Acciones!$J$5:$J$148,MATCH($A138,Acciones!$A$5:$A$148,0))</f>
        <v>Sí</v>
      </c>
    </row>
    <row r="139" customFormat="false" ht="15" hidden="false" customHeight="false" outlineLevel="0" collapsed="false">
      <c r="A139" s="39" t="s">
        <v>279</v>
      </c>
      <c r="B139" s="32" t="n">
        <f aca="false">SUM(Covarianza!$B140:$EO140)/144/(SUM(Covarianza!$B$6:$EO$149)/144^2)</f>
        <v>1.89318650462973</v>
      </c>
      <c r="C139" s="41" t="n">
        <f aca="false">IF(ISNUMBER(INDEX(Acciones!$G$5:$G$148,MATCH($A139,Acciones!$A$5:$A$148,0))),INDEX(Acciones!$G$5:$G$148,MATCH($A139,Acciones!$A$5:$A$148,0)),1)+2*'Mi portafolio'!$C$5</f>
        <v>0.0614005644</v>
      </c>
      <c r="D139" s="56" t="str">
        <f aca="false">INDEX(Acciones!$J$5:$J$148,MATCH($A139,Acciones!$A$5:$A$148,0))</f>
        <v>Sí</v>
      </c>
    </row>
    <row r="140" customFormat="false" ht="15" hidden="false" customHeight="false" outlineLevel="0" collapsed="false">
      <c r="A140" s="39" t="s">
        <v>280</v>
      </c>
      <c r="B140" s="32" t="n">
        <f aca="false">SUM(Covarianza!$B141:$EO141)/144/(SUM(Covarianza!$B$6:$EO$149)/144^2)</f>
        <v>2.23526189111881</v>
      </c>
      <c r="C140" s="41" t="n">
        <f aca="false">IF(ISNUMBER(INDEX(Acciones!$G$5:$G$148,MATCH($A140,Acciones!$A$5:$A$148,0))),INDEX(Acciones!$G$5:$G$148,MATCH($A140,Acciones!$A$5:$A$148,0)),1)+2*'Mi portafolio'!$C$5</f>
        <v>0.012360201</v>
      </c>
      <c r="D140" s="56" t="str">
        <f aca="false">INDEX(Acciones!$J$5:$J$148,MATCH($A140,Acciones!$A$5:$A$148,0))</f>
        <v>Sí</v>
      </c>
    </row>
    <row r="141" customFormat="false" ht="15" hidden="false" customHeight="false" outlineLevel="0" collapsed="false">
      <c r="A141" s="39" t="s">
        <v>281</v>
      </c>
      <c r="B141" s="32" t="n">
        <f aca="false">SUM(Covarianza!$B142:$EO142)/144/(SUM(Covarianza!$B$6:$EO$149)/144^2)</f>
        <v>1.55560408683351</v>
      </c>
      <c r="C141" s="41" t="n">
        <f aca="false">IF(ISNUMBER(INDEX(Acciones!$G$5:$G$148,MATCH($A141,Acciones!$A$5:$A$148,0))),INDEX(Acciones!$G$5:$G$148,MATCH($A141,Acciones!$A$5:$A$148,0)),1)+2*'Mi portafolio'!$C$5</f>
        <v>0.1086797122</v>
      </c>
      <c r="D141" s="56" t="str">
        <f aca="false">INDEX(Acciones!$J$5:$J$148,MATCH($A141,Acciones!$A$5:$A$148,0))</f>
        <v>Sí</v>
      </c>
    </row>
    <row r="142" customFormat="false" ht="15" hidden="false" customHeight="false" outlineLevel="0" collapsed="false">
      <c r="A142" s="39" t="s">
        <v>282</v>
      </c>
      <c r="B142" s="32" t="n">
        <f aca="false">SUM(Covarianza!$B143:$EO143)/144/(SUM(Covarianza!$B$6:$EO$149)/144^2)</f>
        <v>2.18064323690254</v>
      </c>
      <c r="C142" s="41" t="n">
        <f aca="false">IF(ISNUMBER(INDEX(Acciones!$G$5:$G$148,MATCH($A142,Acciones!$A$5:$A$148,0))),INDEX(Acciones!$G$5:$G$148,MATCH($A142,Acciones!$A$5:$A$148,0)),1)+2*'Mi portafolio'!$C$5</f>
        <v>0.0113221865</v>
      </c>
      <c r="D142" s="56" t="str">
        <f aca="false">INDEX(Acciones!$J$5:$J$148,MATCH($A142,Acciones!$A$5:$A$148,0))</f>
        <v>Sí</v>
      </c>
    </row>
    <row r="143" customFormat="false" ht="15" hidden="false" customHeight="false" outlineLevel="0" collapsed="false">
      <c r="A143" s="39" t="s">
        <v>283</v>
      </c>
      <c r="B143" s="32" t="n">
        <f aca="false">SUM(Covarianza!$B144:$EO144)/144/(SUM(Covarianza!$B$6:$EO$149)/144^2)</f>
        <v>2.72611514326838</v>
      </c>
      <c r="C143" s="41" t="n">
        <f aca="false">IF(ISNUMBER(INDEX(Acciones!$G$5:$G$148,MATCH($A143,Acciones!$A$5:$A$148,0))),INDEX(Acciones!$G$5:$G$148,MATCH($A143,Acciones!$A$5:$A$148,0)),1)+2*'Mi portafolio'!$C$5</f>
        <v>0.0147423602</v>
      </c>
      <c r="D143" s="56" t="str">
        <f aca="false">INDEX(Acciones!$J$5:$J$148,MATCH($A143,Acciones!$A$5:$A$148,0))</f>
        <v>Sí</v>
      </c>
    </row>
    <row r="144" customFormat="false" ht="15" hidden="false" customHeight="false" outlineLevel="0" collapsed="false">
      <c r="A144" s="39" t="s">
        <v>284</v>
      </c>
      <c r="B144" s="32" t="n">
        <f aca="false">SUM(Covarianza!$B145:$EO145)/144/(SUM(Covarianza!$B$6:$EO$149)/144^2)</f>
        <v>3.16898776660684</v>
      </c>
      <c r="C144" s="41" t="n">
        <f aca="false">IF(ISNUMBER(INDEX(Acciones!$G$5:$G$148,MATCH($A144,Acciones!$A$5:$A$148,0))),INDEX(Acciones!$G$5:$G$148,MATCH($A144,Acciones!$A$5:$A$148,0)),1)+2*'Mi portafolio'!$C$5</f>
        <v>0.005449016</v>
      </c>
      <c r="D144" s="56" t="str">
        <f aca="false">INDEX(Acciones!$J$5:$J$148,MATCH($A144,Acciones!$A$5:$A$148,0))</f>
        <v>Sí</v>
      </c>
    </row>
    <row r="145" customFormat="false" ht="15" hidden="false" customHeight="false" outlineLevel="0" collapsed="false">
      <c r="A145" s="39" t="s">
        <v>285</v>
      </c>
      <c r="B145" s="32" t="n">
        <f aca="false">SUM(Covarianza!$B146:$EO146)/144/(SUM(Covarianza!$B$6:$EO$149)/144^2)</f>
        <v>3.24334821428916</v>
      </c>
      <c r="C145" s="41" t="n">
        <f aca="false">IF(ISNUMBER(INDEX(Acciones!$G$5:$G$148,MATCH($A145,Acciones!$A$5:$A$148,0))),INDEX(Acciones!$G$5:$G$148,MATCH($A145,Acciones!$A$5:$A$148,0)),1)+2*'Mi portafolio'!$C$5</f>
        <v>0.0262509597</v>
      </c>
      <c r="D145" s="56" t="str">
        <f aca="false">INDEX(Acciones!$J$5:$J$148,MATCH($A145,Acciones!$A$5:$A$148,0))</f>
        <v>Sí</v>
      </c>
    </row>
    <row r="146" customFormat="false" ht="15" hidden="false" customHeight="false" outlineLevel="0" collapsed="false">
      <c r="A146" s="39" t="s">
        <v>286</v>
      </c>
      <c r="B146" s="32" t="n">
        <f aca="false">SUM(Covarianza!$B147:$EO147)/144/(SUM(Covarianza!$B$6:$EO$149)/144^2)</f>
        <v>2.556753166599</v>
      </c>
      <c r="C146" s="41" t="n">
        <f aca="false">IF(ISNUMBER(INDEX(Acciones!$G$5:$G$148,MATCH($A146,Acciones!$A$5:$A$148,0))),INDEX(Acciones!$G$5:$G$148,MATCH($A146,Acciones!$A$5:$A$148,0)),1)+2*'Mi portafolio'!$C$5</f>
        <v>0.0147027392</v>
      </c>
      <c r="D146" s="56" t="str">
        <f aca="false">INDEX(Acciones!$J$5:$J$148,MATCH($A146,Acciones!$A$5:$A$148,0))</f>
        <v>Sí</v>
      </c>
    </row>
    <row r="147" customFormat="false" ht="15" hidden="false" customHeight="false" outlineLevel="0" collapsed="false">
      <c r="A147" s="39" t="s">
        <v>287</v>
      </c>
      <c r="B147" s="32" t="n">
        <f aca="false">SUM(Covarianza!$B148:$EO148)/144/(SUM(Covarianza!$B$6:$EO$149)/144^2)</f>
        <v>2.90305540875141</v>
      </c>
      <c r="C147" s="41" t="n">
        <f aca="false">IF(ISNUMBER(INDEX(Acciones!$G$5:$G$148,MATCH($A147,Acciones!$A$5:$A$148,0))),INDEX(Acciones!$G$5:$G$148,MATCH($A147,Acciones!$A$5:$A$148,0)),1)+2*'Mi portafolio'!$C$5</f>
        <v>0.0264242893</v>
      </c>
      <c r="D147" s="56" t="str">
        <f aca="false">INDEX(Acciones!$J$5:$J$148,MATCH($A147,Acciones!$A$5:$A$148,0))</f>
        <v>Sí</v>
      </c>
    </row>
    <row r="148" customFormat="false" ht="15" hidden="false" customHeight="false" outlineLevel="0" collapsed="false">
      <c r="A148" s="39" t="s">
        <v>288</v>
      </c>
      <c r="B148" s="32" t="n">
        <f aca="false">SUM(Covarianza!$B149:$EO149)/144/(SUM(Covarianza!$B$6:$EO$149)/144^2)</f>
        <v>3.23906064740073</v>
      </c>
      <c r="C148" s="41" t="n">
        <f aca="false">IF(ISNUMBER(INDEX(Acciones!$G$5:$G$148,MATCH($A148,Acciones!$A$5:$A$148,0))),INDEX(Acciones!$G$5:$G$148,MATCH($A148,Acciones!$A$5:$A$148,0)),1)+2*'Mi portafolio'!$C$5</f>
        <v>0.0166370618</v>
      </c>
      <c r="D148" s="56" t="str">
        <f aca="false">INDEX(Acciones!$J$5:$J$148,MATCH($A148,Acciones!$A$5:$A$148,0))</f>
        <v>Sí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2026-10-08T16:30:44Z</dcterms:created>
  <dc:creator>openpyxl</dc:creator>
  <dc:description/>
  <dc:language>en-US</dc:language>
  <cp:lastModifiedBy/>
  <dcterms:modified xsi:type="dcterms:W3CDTF">2026-10-08T16:54:50Z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