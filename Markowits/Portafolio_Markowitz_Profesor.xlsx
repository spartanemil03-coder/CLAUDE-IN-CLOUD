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  <sheet name="RENDIMIENTOS" sheetId="2" state="visible" r:id="rId4"/>
    <sheet name="Matriz" sheetId="3" state="visible" r:id="rId5"/>
    <sheet name="Portafol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<sst xmlns="http://schemas.openxmlformats.org/spreadsheetml/2006/main" count="198" uniqueCount="78">
  <si>
    <t xml:space="preserve">Fecha</t>
  </si>
  <si>
    <t xml:space="preserve">AC</t>
  </si>
  <si>
    <t xml:space="preserve">ALSEA</t>
  </si>
  <si>
    <t xml:space="preserve">AMXB</t>
  </si>
  <si>
    <t xml:space="preserve">BIMBOA</t>
  </si>
  <si>
    <t xml:space="preserve">CEMEXCPO</t>
  </si>
  <si>
    <t xml:space="preserve">GFNORTEO</t>
  </si>
  <si>
    <t xml:space="preserve">TLEVISACPO</t>
  </si>
  <si>
    <t xml:space="preserve">WALMEX</t>
  </si>
  <si>
    <t xml:space="preserve">IPC</t>
  </si>
  <si>
    <t xml:space="preserve">Matriz de desviaciones, correlaciones y varianzas-covarianzas (rendimientos logarítmicos diarios)</t>
  </si>
  <si>
    <t xml:space="preserve">SD</t>
  </si>
  <si>
    <t xml:space="preserve">Correlación</t>
  </si>
  <si>
    <t xml:space="preserve">VAR COVAR</t>
  </si>
  <si>
    <t xml:space="preserve">INVERSA DE VAR COVAR (Σ⁻¹) y constantes de la frontera automática</t>
  </si>
  <si>
    <t xml:space="preserve">Σ⁻¹</t>
  </si>
  <si>
    <t xml:space="preserve">Vectores</t>
  </si>
  <si>
    <t xml:space="preserve">u = Σ⁻¹·1</t>
  </si>
  <si>
    <t xml:space="preserve">v = Σ⁻¹·μ</t>
  </si>
  <si>
    <t xml:space="preserve">a = 1ᵀΣ⁻¹1</t>
  </si>
  <si>
    <t xml:space="preserve">Con estas 4 constantes la frontera se calcula con fórmulas (ver nota en la hoja Portafolio).</t>
  </si>
  <si>
    <t xml:space="preserve">b = 1ᵀΣ⁻¹μ</t>
  </si>
  <si>
    <t xml:space="preserve">c = μᵀΣ⁻¹μ</t>
  </si>
  <si>
    <t xml:space="preserve">d = a·c − b²</t>
  </si>
  <si>
    <t xml:space="preserve">PORTAFOLIO DE INVERSIÓN – MÉTODO DE MARKOWITZ</t>
  </si>
  <si>
    <t xml:space="preserve">DÍAS HÁBILES / AÑO</t>
  </si>
  <si>
    <t xml:space="preserve">R ANUAL IPC</t>
  </si>
  <si>
    <t xml:space="preserve">MÉTODO FRONTERA (1 ó 2)</t>
  </si>
  <si>
    <t xml:space="preserve">1 = fórmulas, se actualiza solo (permite ventas en corto) · 2 = Solver, solo largos (valores fijos)</t>
  </si>
  <si>
    <t xml:space="preserve">EMPRESA</t>
  </si>
  <si>
    <t xml:space="preserve">Wi</t>
  </si>
  <si>
    <t xml:space="preserve">R ANUAL</t>
  </si>
  <si>
    <t xml:space="preserve">BETA</t>
  </si>
  <si>
    <t xml:space="preserve">REND PORTAFOLIO</t>
  </si>
  <si>
    <t xml:space="preserve">VARIANZA PORT</t>
  </si>
  <si>
    <t xml:space="preserve">SD PORTAFOLIO</t>
  </si>
  <si>
    <t xml:space="preserve">TLR [RF]</t>
  </si>
  <si>
    <t xml:space="preserve">← Cetes 6.50% (dato que me diste)</t>
  </si>
  <si>
    <t xml:space="preserve">suma</t>
  </si>
  <si>
    <t xml:space="preserve">BETA P</t>
  </si>
  <si>
    <t xml:space="preserve">Wi = portafolio de mayor Sharpe de la frontera (fórmula). Puedes escribir tus propios pesos encima.</t>
  </si>
  <si>
    <t xml:space="preserve">I SHARPE</t>
  </si>
  <si>
    <t xml:space="preserve">PORTAFOLIO DE MARKOWITZ</t>
  </si>
  <si>
    <t xml:space="preserve">DESVIACIÓN ESTANDAR</t>
  </si>
  <si>
    <t xml:space="preserve">RENDIMIENTO ESPERADO</t>
  </si>
  <si>
    <t xml:space="preserve">ÍNDICE DE SHARPE</t>
  </si>
  <si>
    <t xml:space="preserve">BETA DEL PORTAFOLIO</t>
  </si>
  <si>
    <t xml:space="preserve">PESOS (Wi) QUE USA LA FRONTERA  =  según el método elegido en I5</t>
  </si>
  <si>
    <t xml:space="preserve">PORTAFOLIO</t>
  </si>
  <si>
    <t xml:space="preserve">SUMA</t>
  </si>
  <si>
    <t xml:space="preserve">R OBJETIVO</t>
  </si>
  <si>
    <t xml:space="preserve">R ANUAL →</t>
  </si>
  <si>
    <t xml:space="preserve">BETA →</t>
  </si>
  <si>
    <t xml:space="preserve">MÉTODO 1 – FRONTERA CON FÓRMULAS (Merton): w = [ (c − b·m)·u + (a·m − b)·v ] / d   · permite ventas en corto</t>
  </si>
  <si>
    <t xml:space="preserve">MÉTODO 2 – RESULTADO DE SOLVER (w ≥ 0, Σw = 100%, mín. SD por rendimiento objetivo) · valores fijos</t>
  </si>
  <si>
    <t xml:space="preserve">DATOS AUXILIARES DE LA GRÁFICA (líneas CML, SML y marco punteado)</t>
  </si>
  <si>
    <t xml:space="preserve">SD del IPC (diaria)</t>
  </si>
  <si>
    <t xml:space="preserve">CML: SD</t>
  </si>
  <si>
    <t xml:space="preserve">CML: Rend.</t>
  </si>
  <si>
    <t xml:space="preserve">(CML pasa por tu portafolio I7/I12)</t>
  </si>
  <si>
    <t xml:space="preserve">SML: Beta</t>
  </si>
  <si>
    <t xml:space="preserve">SML: β·SD IPC</t>
  </si>
  <si>
    <t xml:space="preserve">SML: Rend.</t>
  </si>
  <si>
    <t xml:space="preserve">Marco: SD</t>
  </si>
  <si>
    <t xml:space="preserve">Marco: Rend.</t>
  </si>
  <si>
    <t xml:space="preserve">NOTAS</t>
  </si>
  <si>
    <t xml:space="preserve">• Periodo del profesor (pizarrón): 3 oct 2025 al 2 oct 2026. Este archivo trae del 06/10/2025 al 02/10/2026: falta el cierre del 03/10/2025.</t>
  </si>
  <si>
    <t xml:space="preserve">• Rendimiento diario = LN(precio hoy / precio ayer). R ANUAL = promedio diario × días hábiles (I3). BETA = SLOPE(rend. acción, rend. IPC).</t>
  </si>
  <si>
    <t xml:space="preserve">• VAR COVAR = SD(col) × SD(fila) × Correlación (hoja Matriz). Varianza del portafolio = Wᵀ·Σ·W; SD = √varianza (diaria, como en la plantilla).</t>
  </si>
  <si>
    <t xml:space="preserve">• I SHARPE = (REND PORTAFOLIO − RF) / SD PORTAFOLIO, tal cual la plantilla (R anual entre SD diaria). RF = Cetes 6.50% (dato del usuario).</t>
  </si>
  <si>
    <t xml:space="preserve">• Frontera: 9 portafolios con rendimiento objetivo desde la TLR hasta el mayor R ANUAL individual (como la plantilla), cada uno con la mínima SD posible.</t>
  </si>
  <si>
    <t xml:space="preserve">• MÉTODO 1 (automático): para un rendimiento objetivo m, los pesos de mínima varianza son w = [(c − b·m)·u + (a·m − b)·v] / d, con</t>
  </si>
  <si>
    <t xml:space="preserve">  u = Σ⁻¹·1, v = Σ⁻¹·μ, a = 1ᵀu, b = 1ᵀv, c = μᵀv, d = a·c − b² (hoja Matriz, filas 41-59). Cambias PRECIOS y todo se recalcula solo.</t>
  </si>
  <si>
    <t xml:space="preserve">  Limitación: permite pesos negativos (venta en corto). Si el profesor pide solo posiciones largas, usa el MÉTODO 2.</t>
  </si>
  <si>
    <t xml:space="preserve">• MÉTODO 2 (Solver): Datos → Solver → minimizar la SD (I12) cambiando D7:D14, con D7:D14 ≥ 0, D15 = 100% y I7 = rendimiento objetivo (R OBJETIVO).</t>
  </si>
  <si>
    <t xml:space="preserve">  Eso se repite una vez por portafolio; aquí quedan los resultados fijos. Si cambias datos o la TLR, hay que volver a correr Solver.</t>
  </si>
  <si>
    <t xml:space="preserve">• El eje Y de la gráfica arranca en 6% (zoom). Si cambias TLR o datos, ajústalo: clic derecho en el eje → Dar formato al eje → Mínimo.</t>
  </si>
  <si>
    <t xml:space="preserve">• Gráfica: línea azul = frontera; roja = CML (de la TLR a tu portafolio); verde = SML (de la TLR por el IPC, con β·SD del IPC en el eje X).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</si>
</sst>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&quot; de &quot;mmm&quot; de &quot;yyyy"/>
    <numFmt numFmtId="166" formatCode="#,##0.00"/>
    <numFmt numFmtId="167" formatCode="0.00000"/>
    <numFmt numFmtId="168" formatCode="0.000000"/>
    <numFmt numFmtId="169" formatCode="0.00000000"/>
    <numFmt numFmtId="170" formatCode="0.00E+00"/>
    <numFmt numFmtId="171" formatCode="0.0000"/>
    <numFmt numFmtId="172" formatCode="0"/>
    <numFmt numFmtId="173" formatCode="0.000%"/>
    <numFmt numFmtId="174" formatCode="0.00%"/>
    <numFmt numFmtId="175" formatCode="0.00000E+00"/>
    <numFmt numFmtId="176" formatCode="0.0%"/>
    <numFmt numFmtId="177" formatCode="0.00"/>
    <numFmt numFmtId="178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4B084"/>
        <bgColor rgb="FFFFD966"/>
      </patternFill>
    </fill>
    <fill>
      <patternFill patternType="solid">
        <fgColor rgb="FFFFD966"/>
        <bgColor rgb="FFF4B084"/>
      </patternFill>
    </fill>
    <fill>
      <patternFill patternType="solid">
        <fgColor rgb="FFDDEBF7"/>
        <bgColor rgb="FFD9D9D9"/>
      </patternFill>
    </fill>
    <fill>
      <patternFill patternType="solid">
        <fgColor rgb="FF8A8A3A"/>
        <bgColor rgb="FF7F7F7F"/>
      </patternFill>
    </fill>
    <fill>
      <patternFill patternType="solid">
        <fgColor rgb="FF8497B0"/>
        <bgColor rgb="FF878787"/>
      </patternFill>
    </fill>
    <fill>
      <patternFill patternType="solid">
        <fgColor rgb="FF9C4F48"/>
        <bgColor rgb="FF993366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8A3A"/>
      <rgbColor rgb="FF800080"/>
      <rgbColor rgb="FF008080"/>
      <rgbColor rgb="FFA6A6A6"/>
      <rgbColor rgb="FF7F7F7F"/>
      <rgbColor rgb="FF9999FF"/>
      <rgbColor rgb="FF9C4F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084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878787"/>
      <rgbColor rgb="FF8497B0"/>
      <rgbColor rgb="FF003366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Frontera eficiente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"marco"</c:f>
              <c:strCache>
                <c:ptCount val="1"/>
                <c:pt idx="0">
                  <c:v>marco</c:v>
                </c:pt>
              </c:strCache>
            </c:strRef>
          </c:tx>
          <c:spPr>
            <a:solidFill>
              <a:srgbClr val="7f7f7f"/>
            </a:solidFill>
            <a:ln w="1260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Portafolio!$N$90:$N$92</c:f>
              <c:numCache>
                <c:formatCode>0.000000</c:formatCode>
                <c:ptCount val="3"/>
                <c:pt idx="0">
                  <c:v>0</c:v>
                </c:pt>
                <c:pt idx="1">
                  <c:v>0.0172079118776168</c:v>
                </c:pt>
                <c:pt idx="2">
                  <c:v>0.0172079118776168</c:v>
                </c:pt>
              </c:numCache>
            </c:numRef>
          </c:xVal>
          <c:yVal>
            <c:numRef>
              <c:f>Portafolio!$O$90:$O$92</c:f>
              <c:numCache>
                <c:formatCode>0.000%</c:formatCode>
                <c:ptCount val="3"/>
                <c:pt idx="0">
                  <c:v>0.0817875821358763</c:v>
                </c:pt>
                <c:pt idx="1">
                  <c:v>0.0817875821358763</c:v>
                </c:pt>
                <c:pt idx="2">
                  <c:v>0.065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"Security Market Line"</c:f>
              <c:strCache>
                <c:ptCount val="1"/>
                <c:pt idx="0">
                  <c:v>Security Market Line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Portafolio!$L$90:$L$92</c:f>
              <c:numCache>
                <c:formatCode>0.000000</c:formatCode>
                <c:ptCount val="3"/>
                <c:pt idx="0">
                  <c:v>0</c:v>
                </c:pt>
                <c:pt idx="1">
                  <c:v>0.0106681513686276</c:v>
                </c:pt>
                <c:pt idx="2">
                  <c:v>0.0160022270529414</c:v>
                </c:pt>
              </c:numCache>
            </c:numRef>
          </c:xVal>
          <c:yVal>
            <c:numRef>
              <c:f>Portafolio!$M$90:$M$92</c:f>
              <c:numCache>
                <c:formatCode>0.000%</c:formatCode>
                <c:ptCount val="3"/>
                <c:pt idx="0">
                  <c:v>0.065</c:v>
                </c:pt>
                <c:pt idx="1">
                  <c:v>0.0668941515629918</c:v>
                </c:pt>
                <c:pt idx="2">
                  <c:v>0.0678412273444877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"Capital Market Line"</c:f>
              <c:strCache>
                <c:ptCount val="1"/>
                <c:pt idx="0">
                  <c:v>Capital Market Line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Portafolio!$H$90:$H$92</c:f>
              <c:numCache>
                <c:formatCode>0.000000</c:formatCode>
                <c:ptCount val="3"/>
                <c:pt idx="0">
                  <c:v>0</c:v>
                </c:pt>
                <c:pt idx="1">
                  <c:v>0.0172079118776168</c:v>
                </c:pt>
                <c:pt idx="2">
                  <c:v>0.0258118678164251</c:v>
                </c:pt>
              </c:numCache>
            </c:numRef>
          </c:xVal>
          <c:yVal>
            <c:numRef>
              <c:f>Portafolio!$I$90:$I$92</c:f>
              <c:numCache>
                <c:formatCode>0.000%</c:formatCode>
                <c:ptCount val="3"/>
                <c:pt idx="0">
                  <c:v>0.065</c:v>
                </c:pt>
                <c:pt idx="1">
                  <c:v>0.0817875821358763</c:v>
                </c:pt>
                <c:pt idx="2">
                  <c:v>0.0901813732038145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"Frontera eficiente"</c:f>
              <c:strCache>
                <c:ptCount val="1"/>
                <c:pt idx="0">
                  <c:v>Frontera eficiente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4472c4"/>
                </a:solidFill>
              </c:spPr>
            </c:marker>
          </c:dPt>
          <c:dPt>
            <c:idx val="2"/>
            <c:marker>
              <c:symbol val="circle"/>
              <c:size val="7"/>
              <c:spPr>
                <a:solidFill>
                  <a:srgbClr val="4472c4"/>
                </a:solidFill>
              </c:spPr>
            </c:marker>
          </c:dPt>
          <c:dPt>
            <c:idx val="4"/>
            <c:marker>
              <c:symbol val="circle"/>
              <c:size val="7"/>
              <c:spPr>
                <a:solidFill>
                  <a:srgbClr val="4472c4"/>
                </a:solidFill>
              </c:spPr>
            </c:marker>
          </c:dPt>
          <c:dPt>
            <c:idx val="6"/>
            <c:marker>
              <c:symbol val="circle"/>
              <c:size val="7"/>
              <c:spPr>
                <a:solidFill>
                  <a:srgbClr val="4472c4"/>
                </a:solidFill>
              </c:spPr>
            </c:marker>
          </c:dPt>
          <c:dPt>
            <c:idx val="8"/>
            <c:marker>
              <c:symbol val="circle"/>
              <c:size val="7"/>
              <c:spPr>
                <a:solidFill>
                  <a:srgbClr val="4472c4"/>
                </a:solidFill>
              </c:spPr>
            </c:marker>
          </c:dPt>
          <c:dLbls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Portafolio!$I$19:$I$27</c:f>
              <c:numCache>
                <c:formatCode>0.00000000</c:formatCode>
                <c:ptCount val="9"/>
                <c:pt idx="0">
                  <c:v>0.0134292362819857</c:v>
                </c:pt>
                <c:pt idx="1">
                  <c:v>0.0137603941110514</c:v>
                </c:pt>
                <c:pt idx="2">
                  <c:v>0.0141262010297019</c:v>
                </c:pt>
                <c:pt idx="3">
                  <c:v>0.0145240464794026</c:v>
                </c:pt>
                <c:pt idx="4">
                  <c:v>0.0149513580978967</c:v>
                </c:pt>
                <c:pt idx="5">
                  <c:v>0.0154057133789584</c:v>
                </c:pt>
                <c:pt idx="6">
                  <c:v>0.0158847678278917</c:v>
                </c:pt>
                <c:pt idx="7">
                  <c:v>0.0164528228463165</c:v>
                </c:pt>
                <c:pt idx="8">
                  <c:v>0.0172079118776168</c:v>
                </c:pt>
              </c:numCache>
            </c:numRef>
          </c:xVal>
          <c:yVal>
            <c:numRef>
              <c:f>Portafolio!$J$19:$J$27</c:f>
              <c:numCache>
                <c:formatCode>0.0%</c:formatCode>
                <c:ptCount val="9"/>
                <c:pt idx="0">
                  <c:v>0.0649999951295349</c:v>
                </c:pt>
                <c:pt idx="1">
                  <c:v>0.0670984488211228</c:v>
                </c:pt>
                <c:pt idx="2">
                  <c:v>0.0691968808417637</c:v>
                </c:pt>
                <c:pt idx="3">
                  <c:v>0.0712953345333515</c:v>
                </c:pt>
                <c:pt idx="4">
                  <c:v>0.0733937303095967</c:v>
                </c:pt>
                <c:pt idx="5">
                  <c:v>0.0754922202455803</c:v>
                </c:pt>
                <c:pt idx="6">
                  <c:v>0.0775906739371681</c:v>
                </c:pt>
                <c:pt idx="7">
                  <c:v>0.0796891406688979</c:v>
                </c:pt>
                <c:pt idx="8">
                  <c:v>0.0817875821358763</c:v>
                </c:pt>
              </c:numCache>
            </c:numRef>
          </c:yVal>
          <c:smooth val="0"/>
        </c:ser>
        <c:axId val="8799847"/>
        <c:axId val="96165564"/>
      </c:scatterChart>
      <c:valAx>
        <c:axId val="87998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Desviación estándar (diaria)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65564"/>
        <c:crosses val="autoZero"/>
        <c:crossBetween val="midCat"/>
      </c:valAx>
      <c:valAx>
        <c:axId val="96165564"/>
        <c:scaling>
          <c:orientation val="minMax"/>
          <c:min val="0.06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Rendimiento esperado (anual)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98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190440</xdr:rowOff>
    </xdr:from>
    <xdr:to>
      <xdr:col>30</xdr:col>
      <xdr:colOff>473040</xdr:colOff>
      <xdr:row>20</xdr:row>
      <xdr:rowOff>81720</xdr:rowOff>
    </xdr:to>
    <xdr:graphicFrame>
      <xdr:nvGraphicFramePr>
        <xdr:cNvPr id="0" name="Chart 1"/>
        <xdr:cNvGraphicFramePr/>
      </xdr:nvGraphicFramePr>
      <xdr:xfrm>
        <a:off x="1844424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45936</v>
      </c>
      <c r="B2" s="3" t="n">
        <v>188.69</v>
      </c>
      <c r="C2" s="3" t="n">
        <v>57.84</v>
      </c>
      <c r="D2" s="3" t="n">
        <v>19.17</v>
      </c>
      <c r="E2" s="3" t="n">
        <v>65.01</v>
      </c>
      <c r="F2" s="3" t="n">
        <v>16.47</v>
      </c>
      <c r="G2" s="3" t="n">
        <v>175.48</v>
      </c>
      <c r="H2" s="3" t="n">
        <v>9.37</v>
      </c>
      <c r="I2" s="3" t="n">
        <v>54.63</v>
      </c>
      <c r="J2" s="3" t="n">
        <v>60404.19</v>
      </c>
    </row>
    <row r="3" customFormat="false" ht="15" hidden="false" customHeight="false" outlineLevel="0" collapsed="false">
      <c r="A3" s="2" t="n">
        <v>45937</v>
      </c>
      <c r="B3" s="3" t="n">
        <v>183.89</v>
      </c>
      <c r="C3" s="3" t="n">
        <v>55.68</v>
      </c>
      <c r="D3" s="3" t="n">
        <v>19.04</v>
      </c>
      <c r="E3" s="3" t="n">
        <v>62.89</v>
      </c>
      <c r="F3" s="3" t="n">
        <v>16.68</v>
      </c>
      <c r="G3" s="3" t="n">
        <v>175.03</v>
      </c>
      <c r="H3" s="3" t="n">
        <v>9.3</v>
      </c>
      <c r="I3" s="3" t="n">
        <v>54.69</v>
      </c>
      <c r="J3" s="3" t="n">
        <v>60215.75</v>
      </c>
    </row>
    <row r="4" customFormat="false" ht="15" hidden="false" customHeight="false" outlineLevel="0" collapsed="false">
      <c r="A4" s="2" t="n">
        <v>45938</v>
      </c>
      <c r="B4" s="3" t="n">
        <v>182.99</v>
      </c>
      <c r="C4" s="3" t="n">
        <v>56.6</v>
      </c>
      <c r="D4" s="3" t="n">
        <v>19.4</v>
      </c>
      <c r="E4" s="3" t="n">
        <v>61.02</v>
      </c>
      <c r="F4" s="3" t="n">
        <v>16.93</v>
      </c>
      <c r="G4" s="3" t="n">
        <v>176.85</v>
      </c>
      <c r="H4" s="3" t="n">
        <v>9.03</v>
      </c>
      <c r="I4" s="3" t="n">
        <v>55.9</v>
      </c>
      <c r="J4" s="3" t="n">
        <v>60888.56</v>
      </c>
    </row>
    <row r="5" customFormat="false" ht="15" hidden="false" customHeight="false" outlineLevel="0" collapsed="false">
      <c r="A5" s="2" t="n">
        <v>45939</v>
      </c>
      <c r="B5" s="3" t="n">
        <v>180.1</v>
      </c>
      <c r="C5" s="3" t="n">
        <v>55.38</v>
      </c>
      <c r="D5" s="3" t="n">
        <v>19.5</v>
      </c>
      <c r="E5" s="3" t="n">
        <v>62.06</v>
      </c>
      <c r="F5" s="3" t="n">
        <v>16.79</v>
      </c>
      <c r="G5" s="3" t="n">
        <v>177.07</v>
      </c>
      <c r="H5" s="3" t="n">
        <v>9</v>
      </c>
      <c r="I5" s="3" t="n">
        <v>56.64</v>
      </c>
      <c r="J5" s="3" t="n">
        <v>60819.31</v>
      </c>
    </row>
    <row r="6" customFormat="false" ht="15" hidden="false" customHeight="false" outlineLevel="0" collapsed="false">
      <c r="A6" s="2" t="n">
        <v>45940</v>
      </c>
      <c r="B6" s="3" t="n">
        <v>178.24</v>
      </c>
      <c r="C6" s="3" t="n">
        <v>54.11</v>
      </c>
      <c r="D6" s="3" t="n">
        <v>19.62</v>
      </c>
      <c r="E6" s="3" t="n">
        <v>61.33</v>
      </c>
      <c r="F6" s="3" t="n">
        <v>16.96</v>
      </c>
      <c r="G6" s="3" t="n">
        <v>174.73</v>
      </c>
      <c r="H6" s="3" t="n">
        <v>8.69</v>
      </c>
      <c r="I6" s="3" t="n">
        <v>56.47</v>
      </c>
      <c r="J6" s="3" t="n">
        <v>60568.93</v>
      </c>
    </row>
    <row r="7" customFormat="false" ht="15" hidden="false" customHeight="false" outlineLevel="0" collapsed="false">
      <c r="A7" s="2" t="n">
        <v>45943</v>
      </c>
      <c r="B7" s="3" t="n">
        <v>178.96</v>
      </c>
      <c r="C7" s="3" t="n">
        <v>55.15</v>
      </c>
      <c r="D7" s="3" t="n">
        <v>19.73</v>
      </c>
      <c r="E7" s="3" t="n">
        <v>61</v>
      </c>
      <c r="F7" s="3" t="n">
        <v>17.19</v>
      </c>
      <c r="G7" s="3" t="n">
        <v>176.96</v>
      </c>
      <c r="H7" s="3" t="n">
        <v>8.75</v>
      </c>
      <c r="I7" s="3" t="n">
        <v>57.03</v>
      </c>
      <c r="J7" s="3" t="n">
        <v>61045.09</v>
      </c>
    </row>
    <row r="8" customFormat="false" ht="15" hidden="false" customHeight="false" outlineLevel="0" collapsed="false">
      <c r="A8" s="2" t="n">
        <v>45944</v>
      </c>
      <c r="B8" s="3" t="n">
        <v>176.78</v>
      </c>
      <c r="C8" s="3" t="n">
        <v>54.19</v>
      </c>
      <c r="D8" s="3" t="n">
        <v>19.33</v>
      </c>
      <c r="E8" s="3" t="n">
        <v>61.45</v>
      </c>
      <c r="F8" s="3" t="n">
        <v>17.63</v>
      </c>
      <c r="G8" s="3" t="n">
        <v>173.31</v>
      </c>
      <c r="H8" s="3" t="n">
        <v>8.9</v>
      </c>
      <c r="I8" s="3" t="n">
        <v>58.05</v>
      </c>
      <c r="J8" s="3" t="n">
        <v>60785.62</v>
      </c>
    </row>
    <row r="9" customFormat="false" ht="15" hidden="false" customHeight="false" outlineLevel="0" collapsed="false">
      <c r="A9" s="2" t="n">
        <v>45945</v>
      </c>
      <c r="B9" s="3" t="n">
        <v>178.17</v>
      </c>
      <c r="C9" s="3" t="n">
        <v>54.6</v>
      </c>
      <c r="D9" s="3" t="n">
        <v>19.81</v>
      </c>
      <c r="E9" s="3" t="n">
        <v>60.91</v>
      </c>
      <c r="F9" s="3" t="n">
        <v>18.18</v>
      </c>
      <c r="G9" s="3" t="n">
        <v>176.26</v>
      </c>
      <c r="H9" s="3" t="n">
        <v>9.01</v>
      </c>
      <c r="I9" s="3" t="n">
        <v>61.09</v>
      </c>
      <c r="J9" s="3" t="n">
        <v>61637.54</v>
      </c>
    </row>
    <row r="10" customFormat="false" ht="15" hidden="false" customHeight="false" outlineLevel="0" collapsed="false">
      <c r="A10" s="2" t="n">
        <v>45946</v>
      </c>
      <c r="B10" s="3" t="n">
        <v>181.97</v>
      </c>
      <c r="C10" s="3" t="n">
        <v>54.89</v>
      </c>
      <c r="D10" s="3" t="n">
        <v>20.67</v>
      </c>
      <c r="E10" s="3" t="n">
        <v>62.7</v>
      </c>
      <c r="F10" s="3" t="n">
        <v>17.96</v>
      </c>
      <c r="G10" s="3" t="n">
        <v>178.07</v>
      </c>
      <c r="H10" s="3" t="n">
        <v>9.06</v>
      </c>
      <c r="I10" s="3" t="n">
        <v>62.31</v>
      </c>
      <c r="J10" s="3" t="n">
        <v>62544.56</v>
      </c>
    </row>
    <row r="11" customFormat="false" ht="15" hidden="false" customHeight="false" outlineLevel="0" collapsed="false">
      <c r="A11" s="2" t="n">
        <v>45947</v>
      </c>
      <c r="B11" s="3" t="n">
        <v>179.82</v>
      </c>
      <c r="C11" s="3" t="n">
        <v>54.31</v>
      </c>
      <c r="D11" s="3" t="n">
        <v>20.64</v>
      </c>
      <c r="E11" s="3" t="n">
        <v>62.05</v>
      </c>
      <c r="F11" s="3" t="n">
        <v>17.73</v>
      </c>
      <c r="G11" s="3" t="n">
        <v>173.04</v>
      </c>
      <c r="H11" s="3" t="n">
        <v>8.78</v>
      </c>
      <c r="I11" s="3" t="n">
        <v>61.76</v>
      </c>
      <c r="J11" s="3" t="n">
        <v>61743.92</v>
      </c>
    </row>
    <row r="12" customFormat="false" ht="15" hidden="false" customHeight="false" outlineLevel="0" collapsed="false">
      <c r="A12" s="2" t="n">
        <v>45950</v>
      </c>
      <c r="B12" s="3" t="n">
        <v>178.2</v>
      </c>
      <c r="C12" s="3" t="n">
        <v>54.42</v>
      </c>
      <c r="D12" s="3" t="n">
        <v>20.53</v>
      </c>
      <c r="E12" s="3" t="n">
        <v>62.66</v>
      </c>
      <c r="F12" s="3" t="n">
        <v>17.61</v>
      </c>
      <c r="G12" s="3" t="n">
        <v>171.21</v>
      </c>
      <c r="H12" s="3" t="n">
        <v>9.03</v>
      </c>
      <c r="I12" s="3" t="n">
        <v>61.63</v>
      </c>
      <c r="J12" s="3" t="n">
        <v>61672.35</v>
      </c>
    </row>
    <row r="13" customFormat="false" ht="15" hidden="false" customHeight="false" outlineLevel="0" collapsed="false">
      <c r="A13" s="2" t="n">
        <v>45951</v>
      </c>
      <c r="B13" s="3" t="n">
        <v>177.17</v>
      </c>
      <c r="C13" s="3" t="n">
        <v>53.47</v>
      </c>
      <c r="D13" s="3" t="n">
        <v>20.54</v>
      </c>
      <c r="E13" s="3" t="n">
        <v>61.09</v>
      </c>
      <c r="F13" s="3" t="n">
        <v>16.81</v>
      </c>
      <c r="G13" s="3" t="n">
        <v>173.17</v>
      </c>
      <c r="H13" s="3" t="n">
        <v>8.86</v>
      </c>
      <c r="I13" s="3" t="n">
        <v>61.7</v>
      </c>
      <c r="J13" s="3" t="n">
        <v>60773.78</v>
      </c>
    </row>
    <row r="14" customFormat="false" ht="15" hidden="false" customHeight="false" outlineLevel="0" collapsed="false">
      <c r="A14" s="2" t="n">
        <v>45952</v>
      </c>
      <c r="B14" s="3" t="n">
        <v>179.15</v>
      </c>
      <c r="C14" s="3" t="n">
        <v>53.94</v>
      </c>
      <c r="D14" s="3" t="n">
        <v>20.69</v>
      </c>
      <c r="E14" s="3" t="n">
        <v>61.58</v>
      </c>
      <c r="F14" s="3" t="n">
        <v>16.97</v>
      </c>
      <c r="G14" s="3" t="n">
        <v>172.79</v>
      </c>
      <c r="H14" s="3" t="n">
        <v>8.9</v>
      </c>
      <c r="I14" s="3" t="n">
        <v>62.07</v>
      </c>
      <c r="J14" s="3" t="n">
        <v>61308.2</v>
      </c>
    </row>
    <row r="15" customFormat="false" ht="15" hidden="false" customHeight="false" outlineLevel="0" collapsed="false">
      <c r="A15" s="2" t="n">
        <v>45953</v>
      </c>
      <c r="B15" s="3" t="n">
        <v>181.77</v>
      </c>
      <c r="C15" s="3" t="n">
        <v>52.01</v>
      </c>
      <c r="D15" s="3" t="n">
        <v>20.86</v>
      </c>
      <c r="E15" s="3" t="n">
        <v>63.04</v>
      </c>
      <c r="F15" s="3" t="n">
        <v>17.14</v>
      </c>
      <c r="G15" s="3" t="n">
        <v>171.82</v>
      </c>
      <c r="H15" s="3" t="n">
        <v>8.89</v>
      </c>
      <c r="I15" s="3" t="n">
        <v>61.22</v>
      </c>
      <c r="J15" s="3" t="n">
        <v>61511.95</v>
      </c>
    </row>
    <row r="16" customFormat="false" ht="15" hidden="false" customHeight="false" outlineLevel="0" collapsed="false">
      <c r="A16" s="2" t="n">
        <v>45954</v>
      </c>
      <c r="B16" s="3" t="n">
        <v>177.22</v>
      </c>
      <c r="C16" s="3" t="n">
        <v>51.8</v>
      </c>
      <c r="D16" s="3" t="n">
        <v>20.84</v>
      </c>
      <c r="E16" s="3" t="n">
        <v>61.5</v>
      </c>
      <c r="F16" s="3" t="n">
        <v>17.21</v>
      </c>
      <c r="G16" s="3" t="n">
        <v>171.44</v>
      </c>
      <c r="H16" s="3" t="n">
        <v>8.86</v>
      </c>
      <c r="I16" s="3" t="n">
        <v>60.96</v>
      </c>
      <c r="J16" s="3" t="n">
        <v>61145.49</v>
      </c>
    </row>
    <row r="17" customFormat="false" ht="15" hidden="false" customHeight="false" outlineLevel="0" collapsed="false">
      <c r="A17" s="2" t="n">
        <v>45957</v>
      </c>
      <c r="B17" s="3" t="n">
        <v>176.87</v>
      </c>
      <c r="C17" s="3" t="n">
        <v>52.18</v>
      </c>
      <c r="D17" s="3" t="n">
        <v>20.91</v>
      </c>
      <c r="E17" s="3" t="n">
        <v>62.33</v>
      </c>
      <c r="F17" s="3" t="n">
        <v>17.18</v>
      </c>
      <c r="G17" s="3" t="n">
        <v>172.35</v>
      </c>
      <c r="H17" s="3" t="n">
        <v>9.17</v>
      </c>
      <c r="I17" s="3" t="n">
        <v>61.51</v>
      </c>
      <c r="J17" s="3" t="n">
        <v>61860.3</v>
      </c>
    </row>
    <row r="18" customFormat="false" ht="15" hidden="false" customHeight="false" outlineLevel="0" collapsed="false">
      <c r="A18" s="2" t="n">
        <v>45958</v>
      </c>
      <c r="B18" s="3" t="n">
        <v>179.12</v>
      </c>
      <c r="C18" s="3" t="n">
        <v>51.87</v>
      </c>
      <c r="D18" s="3" t="n">
        <v>21.25</v>
      </c>
      <c r="E18" s="3" t="n">
        <v>66.07</v>
      </c>
      <c r="F18" s="3" t="n">
        <v>18.95</v>
      </c>
      <c r="G18" s="3" t="n">
        <v>173.24</v>
      </c>
      <c r="H18" s="3" t="n">
        <v>10.06</v>
      </c>
      <c r="I18" s="3" t="n">
        <v>62.57</v>
      </c>
      <c r="J18" s="3" t="n">
        <v>62795.24</v>
      </c>
    </row>
    <row r="19" customFormat="false" ht="15" hidden="false" customHeight="false" outlineLevel="0" collapsed="false">
      <c r="A19" s="2" t="n">
        <v>45959</v>
      </c>
      <c r="B19" s="3" t="n">
        <v>179.45</v>
      </c>
      <c r="C19" s="3" t="n">
        <v>51.9</v>
      </c>
      <c r="D19" s="3" t="n">
        <v>21.21</v>
      </c>
      <c r="E19" s="3" t="n">
        <v>65.84</v>
      </c>
      <c r="F19" s="3" t="n">
        <v>19.04</v>
      </c>
      <c r="G19" s="3" t="n">
        <v>174.99</v>
      </c>
      <c r="H19" s="3" t="n">
        <v>10.04</v>
      </c>
      <c r="I19" s="3" t="n">
        <v>61.87</v>
      </c>
      <c r="J19" s="3" t="n">
        <v>63352.85</v>
      </c>
    </row>
    <row r="20" customFormat="false" ht="15" hidden="false" customHeight="false" outlineLevel="0" collapsed="false">
      <c r="A20" s="2" t="n">
        <v>45960</v>
      </c>
      <c r="B20" s="3" t="n">
        <v>178.35</v>
      </c>
      <c r="C20" s="3" t="n">
        <v>50.72</v>
      </c>
      <c r="D20" s="3" t="n">
        <v>21.17</v>
      </c>
      <c r="E20" s="3" t="n">
        <v>65.33</v>
      </c>
      <c r="F20" s="3" t="n">
        <v>18.82</v>
      </c>
      <c r="G20" s="3" t="n">
        <v>173.18</v>
      </c>
      <c r="H20" s="3" t="n">
        <v>9.83</v>
      </c>
      <c r="I20" s="3" t="n">
        <v>60.75</v>
      </c>
      <c r="J20" s="3" t="n">
        <v>62889.86</v>
      </c>
    </row>
    <row r="21" customFormat="false" ht="15" hidden="false" customHeight="false" outlineLevel="0" collapsed="false">
      <c r="A21" s="2" t="n">
        <v>45961</v>
      </c>
      <c r="B21" s="3" t="n">
        <v>179.94</v>
      </c>
      <c r="C21" s="3" t="n">
        <v>51.31</v>
      </c>
      <c r="D21" s="3" t="n">
        <v>21.19</v>
      </c>
      <c r="E21" s="3" t="n">
        <v>64.2</v>
      </c>
      <c r="F21" s="3" t="n">
        <v>18.88</v>
      </c>
      <c r="G21" s="3" t="n">
        <v>174.85</v>
      </c>
      <c r="H21" s="3" t="n">
        <v>9.68</v>
      </c>
      <c r="I21" s="3" t="n">
        <v>61.42</v>
      </c>
      <c r="J21" s="3" t="n">
        <v>62769.18</v>
      </c>
    </row>
    <row r="22" customFormat="false" ht="15" hidden="false" customHeight="false" outlineLevel="0" collapsed="false">
      <c r="A22" s="2" t="n">
        <v>45964</v>
      </c>
      <c r="B22" s="3" t="n">
        <v>179.76</v>
      </c>
      <c r="C22" s="3" t="n">
        <v>50.83</v>
      </c>
      <c r="D22" s="3" t="n">
        <v>20.81</v>
      </c>
      <c r="E22" s="3" t="n">
        <v>64</v>
      </c>
      <c r="F22" s="3" t="n">
        <v>18.77</v>
      </c>
      <c r="G22" s="3" t="n">
        <v>174.25</v>
      </c>
      <c r="H22" s="3" t="n">
        <v>9.54</v>
      </c>
      <c r="I22" s="3" t="n">
        <v>61</v>
      </c>
      <c r="J22" s="3" t="n">
        <v>62653.89</v>
      </c>
    </row>
    <row r="23" customFormat="false" ht="15" hidden="false" customHeight="false" outlineLevel="0" collapsed="false">
      <c r="A23" s="2" t="n">
        <v>45965</v>
      </c>
      <c r="B23" s="3" t="n">
        <v>182.87</v>
      </c>
      <c r="C23" s="3" t="n">
        <v>49.95</v>
      </c>
      <c r="D23" s="3" t="n">
        <v>21.18</v>
      </c>
      <c r="E23" s="3" t="n">
        <v>65.91</v>
      </c>
      <c r="F23" s="3" t="n">
        <v>18.8</v>
      </c>
      <c r="G23" s="3" t="n">
        <v>177.57</v>
      </c>
      <c r="H23" s="3" t="n">
        <v>9.88</v>
      </c>
      <c r="I23" s="3" t="n">
        <v>61.6</v>
      </c>
      <c r="J23" s="3" t="n">
        <v>62390.73</v>
      </c>
    </row>
    <row r="24" customFormat="false" ht="15" hidden="false" customHeight="false" outlineLevel="0" collapsed="false">
      <c r="A24" s="2" t="n">
        <v>45966</v>
      </c>
      <c r="B24" s="3" t="n">
        <v>183.48</v>
      </c>
      <c r="C24" s="3" t="n">
        <v>51.18</v>
      </c>
      <c r="D24" s="3" t="n">
        <v>21.39</v>
      </c>
      <c r="E24" s="3" t="n">
        <v>65.91</v>
      </c>
      <c r="F24" s="3" t="n">
        <v>19.12</v>
      </c>
      <c r="G24" s="3" t="n">
        <v>176.59</v>
      </c>
      <c r="H24" s="3" t="n">
        <v>10.39</v>
      </c>
      <c r="I24" s="3" t="n">
        <v>62.2</v>
      </c>
      <c r="J24" s="3" t="n">
        <v>63378.51</v>
      </c>
    </row>
    <row r="25" customFormat="false" ht="15" hidden="false" customHeight="false" outlineLevel="0" collapsed="false">
      <c r="A25" s="2" t="n">
        <v>45967</v>
      </c>
      <c r="B25" s="3" t="n">
        <v>182.83</v>
      </c>
      <c r="C25" s="3" t="n">
        <v>50.71</v>
      </c>
      <c r="D25" s="3" t="n">
        <v>21.1</v>
      </c>
      <c r="E25" s="3" t="n">
        <v>64.69</v>
      </c>
      <c r="F25" s="3" t="n">
        <v>18.99</v>
      </c>
      <c r="G25" s="3" t="n">
        <v>177.1</v>
      </c>
      <c r="H25" s="3" t="n">
        <v>10.37</v>
      </c>
      <c r="I25" s="3" t="n">
        <v>61.97</v>
      </c>
      <c r="J25" s="3" t="n">
        <v>63093.12</v>
      </c>
    </row>
    <row r="26" customFormat="false" ht="15" hidden="false" customHeight="false" outlineLevel="0" collapsed="false">
      <c r="A26" s="2" t="n">
        <v>45968</v>
      </c>
      <c r="B26" s="3" t="n">
        <v>184.83</v>
      </c>
      <c r="C26" s="3" t="n">
        <v>50.34</v>
      </c>
      <c r="D26" s="3" t="n">
        <v>21.42</v>
      </c>
      <c r="E26" s="3" t="n">
        <v>65.29</v>
      </c>
      <c r="F26" s="3" t="n">
        <v>18.81</v>
      </c>
      <c r="G26" s="3" t="n">
        <v>177.89</v>
      </c>
      <c r="H26" s="3" t="n">
        <v>10.36</v>
      </c>
      <c r="I26" s="3" t="n">
        <v>62.6</v>
      </c>
      <c r="J26" s="3" t="n">
        <v>63376.13</v>
      </c>
    </row>
    <row r="27" customFormat="false" ht="15" hidden="false" customHeight="false" outlineLevel="0" collapsed="false">
      <c r="A27" s="2" t="n">
        <v>45971</v>
      </c>
      <c r="B27" s="3" t="n">
        <v>184.29</v>
      </c>
      <c r="C27" s="3" t="n">
        <v>50</v>
      </c>
      <c r="D27" s="3" t="n">
        <v>21.21</v>
      </c>
      <c r="E27" s="3" t="n">
        <v>63.57</v>
      </c>
      <c r="F27" s="3" t="n">
        <v>18.97</v>
      </c>
      <c r="G27" s="3" t="n">
        <v>179.26</v>
      </c>
      <c r="H27" s="3" t="n">
        <v>10.66</v>
      </c>
      <c r="I27" s="3" t="n">
        <v>61.88</v>
      </c>
      <c r="J27" s="3" t="n">
        <v>63094.01</v>
      </c>
    </row>
    <row r="28" customFormat="false" ht="15" hidden="false" customHeight="false" outlineLevel="0" collapsed="false">
      <c r="A28" s="2" t="n">
        <v>45972</v>
      </c>
      <c r="B28" s="3" t="n">
        <v>190.48</v>
      </c>
      <c r="C28" s="3" t="n">
        <v>50.61</v>
      </c>
      <c r="D28" s="3" t="n">
        <v>21.5</v>
      </c>
      <c r="E28" s="3" t="n">
        <v>64.96</v>
      </c>
      <c r="F28" s="3" t="n">
        <v>19.28</v>
      </c>
      <c r="G28" s="3" t="n">
        <v>185.18</v>
      </c>
      <c r="H28" s="3" t="n">
        <v>10.77</v>
      </c>
      <c r="I28" s="3" t="n">
        <v>63.58</v>
      </c>
      <c r="J28" s="3" t="n">
        <v>64321.27</v>
      </c>
    </row>
    <row r="29" customFormat="false" ht="15" hidden="false" customHeight="false" outlineLevel="0" collapsed="false">
      <c r="A29" s="2" t="n">
        <v>45973</v>
      </c>
      <c r="B29" s="3" t="n">
        <v>186.62</v>
      </c>
      <c r="C29" s="3" t="n">
        <v>49.97</v>
      </c>
      <c r="D29" s="3" t="n">
        <v>21.26</v>
      </c>
      <c r="E29" s="3" t="n">
        <v>62.56</v>
      </c>
      <c r="F29" s="3" t="n">
        <v>18.96</v>
      </c>
      <c r="G29" s="3" t="n">
        <v>178.84</v>
      </c>
      <c r="H29" s="3" t="n">
        <v>11.21</v>
      </c>
      <c r="I29" s="3" t="n">
        <v>62.39</v>
      </c>
      <c r="J29" s="3" t="n">
        <v>63190.66</v>
      </c>
    </row>
    <row r="30" customFormat="false" ht="15" hidden="false" customHeight="false" outlineLevel="0" collapsed="false">
      <c r="A30" s="2" t="n">
        <v>45974</v>
      </c>
      <c r="B30" s="3" t="n">
        <v>184</v>
      </c>
      <c r="C30" s="3" t="n">
        <v>49.73</v>
      </c>
      <c r="D30" s="3" t="n">
        <v>21.28</v>
      </c>
      <c r="E30" s="3" t="n">
        <v>61.11</v>
      </c>
      <c r="F30" s="3" t="n">
        <v>18.67</v>
      </c>
      <c r="G30" s="3" t="n">
        <v>175.55</v>
      </c>
      <c r="H30" s="3" t="n">
        <v>11.05</v>
      </c>
      <c r="I30" s="3" t="n">
        <v>61.39</v>
      </c>
      <c r="J30" s="3" t="n">
        <v>62529.44</v>
      </c>
    </row>
    <row r="31" customFormat="false" ht="15" hidden="false" customHeight="false" outlineLevel="0" collapsed="false">
      <c r="A31" s="2" t="n">
        <v>45975</v>
      </c>
      <c r="B31" s="3" t="n">
        <v>183.97</v>
      </c>
      <c r="C31" s="3" t="n">
        <v>49.4</v>
      </c>
      <c r="D31" s="3" t="n">
        <v>21.21</v>
      </c>
      <c r="E31" s="3" t="n">
        <v>60.12</v>
      </c>
      <c r="F31" s="3" t="n">
        <v>18.52</v>
      </c>
      <c r="G31" s="3" t="n">
        <v>175.08</v>
      </c>
      <c r="H31" s="3" t="n">
        <v>10.67</v>
      </c>
      <c r="I31" s="3" t="n">
        <v>61.95</v>
      </c>
      <c r="J31" s="3" t="n">
        <v>62328.63</v>
      </c>
    </row>
    <row r="32" customFormat="false" ht="15" hidden="false" customHeight="false" outlineLevel="0" collapsed="false">
      <c r="A32" s="2" t="n">
        <v>45979</v>
      </c>
      <c r="B32" s="3" t="n">
        <v>183.58</v>
      </c>
      <c r="C32" s="3" t="n">
        <v>49.43</v>
      </c>
      <c r="D32" s="3" t="n">
        <v>21.43</v>
      </c>
      <c r="E32" s="3" t="n">
        <v>60.23</v>
      </c>
      <c r="F32" s="3" t="n">
        <v>18.72</v>
      </c>
      <c r="G32" s="3" t="n">
        <v>172.64</v>
      </c>
      <c r="H32" s="3" t="n">
        <v>10.41</v>
      </c>
      <c r="I32" s="3" t="n">
        <v>61.32</v>
      </c>
      <c r="J32" s="3" t="n">
        <v>61984.45</v>
      </c>
    </row>
    <row r="33" customFormat="false" ht="15" hidden="false" customHeight="false" outlineLevel="0" collapsed="false">
      <c r="A33" s="2" t="n">
        <v>45980</v>
      </c>
      <c r="B33" s="3" t="n">
        <v>180.43</v>
      </c>
      <c r="C33" s="3" t="n">
        <v>48.79</v>
      </c>
      <c r="D33" s="3" t="n">
        <v>21.22</v>
      </c>
      <c r="E33" s="3" t="n">
        <v>59.14</v>
      </c>
      <c r="F33" s="3" t="n">
        <v>18.93</v>
      </c>
      <c r="G33" s="3" t="n">
        <v>173.47</v>
      </c>
      <c r="H33" s="3" t="n">
        <v>10.33</v>
      </c>
      <c r="I33" s="3" t="n">
        <v>61.63</v>
      </c>
      <c r="J33" s="3" t="n">
        <v>62080.58</v>
      </c>
    </row>
    <row r="34" customFormat="false" ht="15" hidden="false" customHeight="false" outlineLevel="0" collapsed="false">
      <c r="A34" s="2" t="n">
        <v>45981</v>
      </c>
      <c r="B34" s="3" t="n">
        <v>182.54</v>
      </c>
      <c r="C34" s="3" t="n">
        <v>47.7</v>
      </c>
      <c r="D34" s="3" t="n">
        <v>20.89</v>
      </c>
      <c r="E34" s="3" t="n">
        <v>58.16</v>
      </c>
      <c r="F34" s="3" t="n">
        <v>18.82</v>
      </c>
      <c r="G34" s="3" t="n">
        <v>175.67</v>
      </c>
      <c r="H34" s="3" t="n">
        <v>9.93</v>
      </c>
      <c r="I34" s="3" t="n">
        <v>61.67</v>
      </c>
      <c r="J34" s="3" t="n">
        <v>61672.19</v>
      </c>
    </row>
    <row r="35" customFormat="false" ht="15" hidden="false" customHeight="false" outlineLevel="0" collapsed="false">
      <c r="A35" s="2" t="n">
        <v>45982</v>
      </c>
      <c r="B35" s="3" t="n">
        <v>182.09</v>
      </c>
      <c r="C35" s="3" t="n">
        <v>48.32</v>
      </c>
      <c r="D35" s="3" t="n">
        <v>21.03</v>
      </c>
      <c r="E35" s="3" t="n">
        <v>57.11</v>
      </c>
      <c r="F35" s="3" t="n">
        <v>18.58</v>
      </c>
      <c r="G35" s="3" t="n">
        <v>172.86</v>
      </c>
      <c r="H35" s="3" t="n">
        <v>10.3</v>
      </c>
      <c r="I35" s="3" t="n">
        <v>61.74</v>
      </c>
      <c r="J35" s="3" t="n">
        <v>61877.27</v>
      </c>
    </row>
    <row r="36" customFormat="false" ht="15" hidden="false" customHeight="false" outlineLevel="0" collapsed="false">
      <c r="A36" s="2" t="n">
        <v>45985</v>
      </c>
      <c r="B36" s="3" t="n">
        <v>181.78</v>
      </c>
      <c r="C36" s="3" t="n">
        <v>49.13</v>
      </c>
      <c r="D36" s="3" t="n">
        <v>21.46</v>
      </c>
      <c r="E36" s="3" t="n">
        <v>58.56</v>
      </c>
      <c r="F36" s="3" t="n">
        <v>18.6</v>
      </c>
      <c r="G36" s="3" t="n">
        <v>172.4</v>
      </c>
      <c r="H36" s="3" t="n">
        <v>10.25</v>
      </c>
      <c r="I36" s="3" t="n">
        <v>61.29</v>
      </c>
      <c r="J36" s="3" t="n">
        <v>62522.61</v>
      </c>
    </row>
    <row r="37" customFormat="false" ht="15" hidden="false" customHeight="false" outlineLevel="0" collapsed="false">
      <c r="A37" s="2" t="n">
        <v>45986</v>
      </c>
      <c r="B37" s="3" t="n">
        <v>182.7</v>
      </c>
      <c r="C37" s="3" t="n">
        <v>49.51</v>
      </c>
      <c r="D37" s="3" t="n">
        <v>21.29</v>
      </c>
      <c r="E37" s="3" t="n">
        <v>59.2</v>
      </c>
      <c r="F37" s="3" t="n">
        <v>19.17</v>
      </c>
      <c r="G37" s="3" t="n">
        <v>176.89</v>
      </c>
      <c r="H37" s="3" t="n">
        <v>9.98</v>
      </c>
      <c r="I37" s="3" t="n">
        <v>61.47</v>
      </c>
      <c r="J37" s="3" t="n">
        <v>63214.56</v>
      </c>
    </row>
    <row r="38" customFormat="false" ht="15" hidden="false" customHeight="false" outlineLevel="0" collapsed="false">
      <c r="A38" s="2" t="n">
        <v>45987</v>
      </c>
      <c r="B38" s="3" t="n">
        <v>182.89</v>
      </c>
      <c r="C38" s="3" t="n">
        <v>49.9</v>
      </c>
      <c r="D38" s="3" t="n">
        <v>21.02</v>
      </c>
      <c r="E38" s="3" t="n">
        <v>57.59</v>
      </c>
      <c r="F38" s="3" t="n">
        <v>19.34</v>
      </c>
      <c r="G38" s="3" t="n">
        <v>176.7</v>
      </c>
      <c r="H38" s="3" t="n">
        <v>9.94</v>
      </c>
      <c r="I38" s="3" t="n">
        <v>61.81</v>
      </c>
      <c r="J38" s="3" t="n">
        <v>63242.71</v>
      </c>
    </row>
    <row r="39" customFormat="false" ht="15" hidden="false" customHeight="false" outlineLevel="0" collapsed="false">
      <c r="A39" s="2" t="n">
        <v>45988</v>
      </c>
      <c r="B39" s="3" t="n">
        <v>180.78</v>
      </c>
      <c r="C39" s="3" t="n">
        <v>48.89</v>
      </c>
      <c r="D39" s="3" t="n">
        <v>20.77</v>
      </c>
      <c r="E39" s="3" t="n">
        <v>57.66</v>
      </c>
      <c r="F39" s="3" t="n">
        <v>18.92</v>
      </c>
      <c r="G39" s="3" t="n">
        <v>176.15</v>
      </c>
      <c r="H39" s="3" t="n">
        <v>9.81</v>
      </c>
      <c r="I39" s="3" t="n">
        <v>60.6</v>
      </c>
      <c r="J39" s="3" t="n">
        <v>62694.73</v>
      </c>
    </row>
    <row r="40" customFormat="false" ht="15" hidden="false" customHeight="false" outlineLevel="0" collapsed="false">
      <c r="A40" s="2" t="n">
        <v>45989</v>
      </c>
      <c r="B40" s="3" t="n">
        <v>186.75</v>
      </c>
      <c r="C40" s="3" t="n">
        <v>50.17</v>
      </c>
      <c r="D40" s="3" t="n">
        <v>21.01</v>
      </c>
      <c r="E40" s="3" t="n">
        <v>58.15</v>
      </c>
      <c r="F40" s="3" t="n">
        <v>19.37</v>
      </c>
      <c r="G40" s="3" t="n">
        <v>174.99</v>
      </c>
      <c r="H40" s="3" t="n">
        <v>10.04</v>
      </c>
      <c r="I40" s="3" t="n">
        <v>61.99</v>
      </c>
      <c r="J40" s="3" t="n">
        <v>63596.78</v>
      </c>
    </row>
    <row r="41" customFormat="false" ht="15" hidden="false" customHeight="false" outlineLevel="0" collapsed="false">
      <c r="A41" s="2" t="n">
        <v>45992</v>
      </c>
      <c r="B41" s="3" t="n">
        <v>186.81</v>
      </c>
      <c r="C41" s="3" t="n">
        <v>49.82</v>
      </c>
      <c r="D41" s="3" t="n">
        <v>20.33</v>
      </c>
      <c r="E41" s="3" t="n">
        <v>58</v>
      </c>
      <c r="F41" s="3" t="n">
        <v>19.35</v>
      </c>
      <c r="G41" s="3" t="n">
        <v>175.9</v>
      </c>
      <c r="H41" s="3" t="n">
        <v>9.96</v>
      </c>
      <c r="I41" s="3" t="n">
        <v>61.2</v>
      </c>
      <c r="J41" s="3" t="n">
        <v>63551.13</v>
      </c>
    </row>
    <row r="42" customFormat="false" ht="15" hidden="false" customHeight="false" outlineLevel="0" collapsed="false">
      <c r="A42" s="2" t="n">
        <v>45993</v>
      </c>
      <c r="B42" s="3" t="n">
        <v>189.19</v>
      </c>
      <c r="C42" s="3" t="n">
        <v>50.81</v>
      </c>
      <c r="D42" s="3" t="n">
        <v>20.45</v>
      </c>
      <c r="E42" s="3" t="n">
        <v>60.64</v>
      </c>
      <c r="F42" s="3" t="n">
        <v>19.61</v>
      </c>
      <c r="G42" s="3" t="n">
        <v>177.27</v>
      </c>
      <c r="H42" s="3" t="n">
        <v>9.88</v>
      </c>
      <c r="I42" s="3" t="n">
        <v>60.74</v>
      </c>
      <c r="J42" s="3" t="n">
        <v>63820.61</v>
      </c>
    </row>
    <row r="43" customFormat="false" ht="15" hidden="false" customHeight="false" outlineLevel="0" collapsed="false">
      <c r="A43" s="2" t="n">
        <v>45994</v>
      </c>
      <c r="B43" s="3" t="n">
        <v>185.03</v>
      </c>
      <c r="C43" s="3" t="n">
        <v>49.87</v>
      </c>
      <c r="D43" s="3" t="n">
        <v>19.81</v>
      </c>
      <c r="E43" s="3" t="n">
        <v>59.43</v>
      </c>
      <c r="F43" s="3" t="n">
        <v>19.84</v>
      </c>
      <c r="G43" s="3" t="n">
        <v>176.02</v>
      </c>
      <c r="H43" s="3" t="n">
        <v>9.89</v>
      </c>
      <c r="I43" s="3" t="n">
        <v>59.82</v>
      </c>
      <c r="J43" s="3" t="n">
        <v>63597.44</v>
      </c>
    </row>
    <row r="44" customFormat="false" ht="15" hidden="false" customHeight="false" outlineLevel="0" collapsed="false">
      <c r="A44" s="2" t="n">
        <v>45995</v>
      </c>
      <c r="B44" s="3" t="n">
        <v>187.74</v>
      </c>
      <c r="C44" s="3" t="n">
        <v>50.71</v>
      </c>
      <c r="D44" s="3" t="n">
        <v>19.87</v>
      </c>
      <c r="E44" s="3" t="n">
        <v>58.89</v>
      </c>
      <c r="F44" s="3" t="n">
        <v>19.98</v>
      </c>
      <c r="G44" s="3" t="n">
        <v>174.81</v>
      </c>
      <c r="H44" s="3" t="n">
        <v>9.96</v>
      </c>
      <c r="I44" s="3" t="n">
        <v>58.87</v>
      </c>
      <c r="J44" s="3" t="n">
        <v>63714.86</v>
      </c>
    </row>
    <row r="45" customFormat="false" ht="15" hidden="false" customHeight="false" outlineLevel="0" collapsed="false">
      <c r="A45" s="2" t="n">
        <v>45996</v>
      </c>
      <c r="B45" s="3" t="n">
        <v>187.13</v>
      </c>
      <c r="C45" s="3" t="n">
        <v>50.15</v>
      </c>
      <c r="D45" s="3" t="n">
        <v>19.6</v>
      </c>
      <c r="E45" s="3" t="n">
        <v>59.88</v>
      </c>
      <c r="F45" s="3" t="n">
        <v>19.66</v>
      </c>
      <c r="G45" s="3" t="n">
        <v>175.06</v>
      </c>
      <c r="H45" s="3" t="n">
        <v>9.86</v>
      </c>
      <c r="I45" s="3" t="n">
        <v>58.98</v>
      </c>
      <c r="J45" s="3" t="n">
        <v>63378.3</v>
      </c>
    </row>
    <row r="46" customFormat="false" ht="15" hidden="false" customHeight="false" outlineLevel="0" collapsed="false">
      <c r="A46" s="2" t="n">
        <v>45999</v>
      </c>
      <c r="B46" s="3" t="n">
        <v>188.31</v>
      </c>
      <c r="C46" s="3" t="n">
        <v>50.46</v>
      </c>
      <c r="D46" s="3" t="n">
        <v>19.55</v>
      </c>
      <c r="E46" s="3" t="n">
        <v>59.53</v>
      </c>
      <c r="F46" s="3" t="n">
        <v>20.04</v>
      </c>
      <c r="G46" s="3" t="n">
        <v>169.12</v>
      </c>
      <c r="H46" s="3" t="n">
        <v>9.97</v>
      </c>
      <c r="I46" s="3" t="n">
        <v>58.81</v>
      </c>
      <c r="J46" s="3" t="n">
        <v>63528</v>
      </c>
    </row>
    <row r="47" customFormat="false" ht="15" hidden="false" customHeight="false" outlineLevel="0" collapsed="false">
      <c r="A47" s="2" t="n">
        <v>46000</v>
      </c>
      <c r="B47" s="3" t="n">
        <v>188.66</v>
      </c>
      <c r="C47" s="3" t="n">
        <v>50.95</v>
      </c>
      <c r="D47" s="3" t="n">
        <v>19.36</v>
      </c>
      <c r="E47" s="3" t="n">
        <v>59.64</v>
      </c>
      <c r="F47" s="3" t="n">
        <v>19.94</v>
      </c>
      <c r="G47" s="3" t="n">
        <v>170.7</v>
      </c>
      <c r="H47" s="3" t="n">
        <v>10.17</v>
      </c>
      <c r="I47" s="3" t="n">
        <v>58.8</v>
      </c>
      <c r="J47" s="3" t="n">
        <v>63694.68</v>
      </c>
    </row>
    <row r="48" customFormat="false" ht="15" hidden="false" customHeight="false" outlineLevel="0" collapsed="false">
      <c r="A48" s="2" t="n">
        <v>46001</v>
      </c>
      <c r="B48" s="3" t="n">
        <v>187.62</v>
      </c>
      <c r="C48" s="3" t="n">
        <v>50.89</v>
      </c>
      <c r="D48" s="3" t="n">
        <v>19.32</v>
      </c>
      <c r="E48" s="3" t="n">
        <v>59.92</v>
      </c>
      <c r="F48" s="3" t="n">
        <v>19.73</v>
      </c>
      <c r="G48" s="3" t="n">
        <v>169.25</v>
      </c>
      <c r="H48" s="3" t="n">
        <v>10.86</v>
      </c>
      <c r="I48" s="3" t="n">
        <v>58.57</v>
      </c>
      <c r="J48" s="3" t="n">
        <v>63409.4</v>
      </c>
    </row>
    <row r="49" customFormat="false" ht="15" hidden="false" customHeight="false" outlineLevel="0" collapsed="false">
      <c r="A49" s="2" t="n">
        <v>46002</v>
      </c>
      <c r="B49" s="3" t="n">
        <v>194.06</v>
      </c>
      <c r="C49" s="3" t="n">
        <v>50.95</v>
      </c>
      <c r="D49" s="3" t="n">
        <v>19.3</v>
      </c>
      <c r="E49" s="3" t="n">
        <v>59.72</v>
      </c>
      <c r="F49" s="3" t="n">
        <v>20.11</v>
      </c>
      <c r="G49" s="3" t="n">
        <v>175.03</v>
      </c>
      <c r="H49" s="3" t="n">
        <v>10.92</v>
      </c>
      <c r="I49" s="3" t="n">
        <v>59.3</v>
      </c>
      <c r="J49" s="3" t="n">
        <v>64712.07</v>
      </c>
    </row>
    <row r="50" customFormat="false" ht="15" hidden="false" customHeight="false" outlineLevel="0" collapsed="false">
      <c r="A50" s="2" t="n">
        <v>46006</v>
      </c>
      <c r="B50" s="3" t="n">
        <v>192.45</v>
      </c>
      <c r="C50" s="3" t="n">
        <v>51.05</v>
      </c>
      <c r="D50" s="3" t="n">
        <v>19.01</v>
      </c>
      <c r="E50" s="3" t="n">
        <v>58.68</v>
      </c>
      <c r="F50" s="3" t="n">
        <v>20.97</v>
      </c>
      <c r="G50" s="3" t="n">
        <v>174.49</v>
      </c>
      <c r="H50" s="3" t="n">
        <v>10.85</v>
      </c>
      <c r="I50" s="3" t="n">
        <v>58.9</v>
      </c>
      <c r="J50" s="3" t="n">
        <v>64326.16</v>
      </c>
    </row>
    <row r="51" customFormat="false" ht="15" hidden="false" customHeight="false" outlineLevel="0" collapsed="false">
      <c r="A51" s="2" t="n">
        <v>46007</v>
      </c>
      <c r="B51" s="3" t="n">
        <v>189.77</v>
      </c>
      <c r="C51" s="3" t="n">
        <v>50.4</v>
      </c>
      <c r="D51" s="3" t="n">
        <v>18.77</v>
      </c>
      <c r="E51" s="3" t="n">
        <v>58.02</v>
      </c>
      <c r="F51" s="3" t="n">
        <v>20.65</v>
      </c>
      <c r="G51" s="3" t="n">
        <v>166.86</v>
      </c>
      <c r="H51" s="3" t="n">
        <v>11.08</v>
      </c>
      <c r="I51" s="3" t="n">
        <v>57.11</v>
      </c>
      <c r="J51" s="3" t="n">
        <v>63230.87</v>
      </c>
    </row>
    <row r="52" customFormat="false" ht="15" hidden="false" customHeight="false" outlineLevel="0" collapsed="false">
      <c r="A52" s="2" t="n">
        <v>46008</v>
      </c>
      <c r="B52" s="3" t="n">
        <v>189.62</v>
      </c>
      <c r="C52" s="3" t="n">
        <v>51.47</v>
      </c>
      <c r="D52" s="3" t="n">
        <v>18.43</v>
      </c>
      <c r="E52" s="3" t="n">
        <v>57.82</v>
      </c>
      <c r="F52" s="3" t="n">
        <v>20.1</v>
      </c>
      <c r="G52" s="3" t="n">
        <v>164.44</v>
      </c>
      <c r="H52" s="3" t="n">
        <v>11.12</v>
      </c>
      <c r="I52" s="3" t="n">
        <v>55.74</v>
      </c>
      <c r="J52" s="3" t="n">
        <v>62528.06</v>
      </c>
    </row>
    <row r="53" customFormat="false" ht="15" hidden="false" customHeight="false" outlineLevel="0" collapsed="false">
      <c r="A53" s="2" t="n">
        <v>46009</v>
      </c>
      <c r="B53" s="3" t="n">
        <v>190.01</v>
      </c>
      <c r="C53" s="3" t="n">
        <v>52.4</v>
      </c>
      <c r="D53" s="3" t="n">
        <v>18.58</v>
      </c>
      <c r="E53" s="3" t="n">
        <v>58.96</v>
      </c>
      <c r="F53" s="3" t="n">
        <v>20.87</v>
      </c>
      <c r="G53" s="3" t="n">
        <v>169.59</v>
      </c>
      <c r="H53" s="3" t="n">
        <v>11.41</v>
      </c>
      <c r="I53" s="3" t="n">
        <v>56.62</v>
      </c>
      <c r="J53" s="3" t="n">
        <v>63807.32</v>
      </c>
    </row>
    <row r="54" customFormat="false" ht="15" hidden="false" customHeight="false" outlineLevel="0" collapsed="false">
      <c r="A54" s="2" t="n">
        <v>46010</v>
      </c>
      <c r="B54" s="3" t="n">
        <v>195.05</v>
      </c>
      <c r="C54" s="3" t="n">
        <v>53.16</v>
      </c>
      <c r="D54" s="3" t="n">
        <v>18.23</v>
      </c>
      <c r="E54" s="3" t="n">
        <v>59.51</v>
      </c>
      <c r="F54" s="3" t="n">
        <v>20.96</v>
      </c>
      <c r="G54" s="3" t="n">
        <v>168.91</v>
      </c>
      <c r="H54" s="3" t="n">
        <v>10.39</v>
      </c>
      <c r="I54" s="3" t="n">
        <v>56.61</v>
      </c>
      <c r="J54" s="3" t="n">
        <v>63966.98</v>
      </c>
    </row>
    <row r="55" customFormat="false" ht="15" hidden="false" customHeight="false" outlineLevel="0" collapsed="false">
      <c r="A55" s="2" t="n">
        <v>46013</v>
      </c>
      <c r="B55" s="3" t="n">
        <v>195.6</v>
      </c>
      <c r="C55" s="3" t="n">
        <v>54.03</v>
      </c>
      <c r="D55" s="3" t="n">
        <v>18.51</v>
      </c>
      <c r="E55" s="3" t="n">
        <v>58.92</v>
      </c>
      <c r="F55" s="3" t="n">
        <v>21.13</v>
      </c>
      <c r="G55" s="3" t="n">
        <v>169.8</v>
      </c>
      <c r="H55" s="3" t="n">
        <v>10.82</v>
      </c>
      <c r="I55" s="3" t="n">
        <v>56.95</v>
      </c>
      <c r="J55" s="3" t="n">
        <v>64778.18</v>
      </c>
    </row>
    <row r="56" customFormat="false" ht="15" hidden="false" customHeight="false" outlineLevel="0" collapsed="false">
      <c r="A56" s="2" t="n">
        <v>46014</v>
      </c>
      <c r="B56" s="3" t="n">
        <v>198.06</v>
      </c>
      <c r="C56" s="3" t="n">
        <v>54.81</v>
      </c>
      <c r="D56" s="3" t="n">
        <v>18.68</v>
      </c>
      <c r="E56" s="3" t="n">
        <v>59.62</v>
      </c>
      <c r="F56" s="3" t="n">
        <v>21.3</v>
      </c>
      <c r="G56" s="3" t="n">
        <v>170.4</v>
      </c>
      <c r="H56" s="3" t="n">
        <v>10.72</v>
      </c>
      <c r="I56" s="3" t="n">
        <v>57.13</v>
      </c>
      <c r="J56" s="3" t="n">
        <v>65595.41</v>
      </c>
    </row>
    <row r="57" customFormat="false" ht="15" hidden="false" customHeight="false" outlineLevel="0" collapsed="false">
      <c r="A57" s="2" t="n">
        <v>46015</v>
      </c>
      <c r="B57" s="3" t="n">
        <v>197.06</v>
      </c>
      <c r="C57" s="3" t="n">
        <v>55.77</v>
      </c>
      <c r="D57" s="3" t="n">
        <v>18.76</v>
      </c>
      <c r="E57" s="3" t="n">
        <v>60.06</v>
      </c>
      <c r="F57" s="3" t="n">
        <v>21.29</v>
      </c>
      <c r="G57" s="3" t="n">
        <v>172</v>
      </c>
      <c r="H57" s="3" t="n">
        <v>10.51</v>
      </c>
      <c r="I57" s="3" t="n">
        <v>57.24</v>
      </c>
      <c r="J57" s="3" t="n">
        <v>65616.43</v>
      </c>
    </row>
    <row r="58" customFormat="false" ht="15" hidden="false" customHeight="false" outlineLevel="0" collapsed="false">
      <c r="A58" s="2" t="n">
        <v>46017</v>
      </c>
      <c r="B58" s="3" t="n">
        <v>197.35</v>
      </c>
      <c r="C58" s="3" t="n">
        <v>56.32</v>
      </c>
      <c r="D58" s="3" t="n">
        <v>18.65</v>
      </c>
      <c r="E58" s="3" t="n">
        <v>60.15</v>
      </c>
      <c r="F58" s="3" t="n">
        <v>21.42</v>
      </c>
      <c r="G58" s="3" t="n">
        <v>171.71</v>
      </c>
      <c r="H58" s="3" t="n">
        <v>10.56</v>
      </c>
      <c r="I58" s="3" t="n">
        <v>57.16</v>
      </c>
      <c r="J58" s="3" t="n">
        <v>65636.36</v>
      </c>
    </row>
    <row r="59" customFormat="false" ht="15" hidden="false" customHeight="false" outlineLevel="0" collapsed="false">
      <c r="A59" s="2" t="n">
        <v>46020</v>
      </c>
      <c r="B59" s="3" t="n">
        <v>197.47</v>
      </c>
      <c r="C59" s="3" t="n">
        <v>55.83</v>
      </c>
      <c r="D59" s="3" t="n">
        <v>18.76</v>
      </c>
      <c r="E59" s="3" t="n">
        <v>59.72</v>
      </c>
      <c r="F59" s="3" t="n">
        <v>21.27</v>
      </c>
      <c r="G59" s="3" t="n">
        <v>171.02</v>
      </c>
      <c r="H59" s="3" t="n">
        <v>10.44</v>
      </c>
      <c r="I59" s="3" t="n">
        <v>57.1</v>
      </c>
      <c r="J59" s="3" t="n">
        <v>65347.08</v>
      </c>
    </row>
    <row r="60" customFormat="false" ht="15" hidden="false" customHeight="false" outlineLevel="0" collapsed="false">
      <c r="A60" s="2" t="n">
        <v>46021</v>
      </c>
      <c r="B60" s="3" t="n">
        <v>194.66</v>
      </c>
      <c r="C60" s="3" t="n">
        <v>54.2</v>
      </c>
      <c r="D60" s="3" t="n">
        <v>18.76</v>
      </c>
      <c r="E60" s="3" t="n">
        <v>58.5</v>
      </c>
      <c r="F60" s="3" t="n">
        <v>20.89</v>
      </c>
      <c r="G60" s="3" t="n">
        <v>167</v>
      </c>
      <c r="H60" s="3" t="n">
        <v>10.47</v>
      </c>
      <c r="I60" s="3" t="n">
        <v>56.05</v>
      </c>
      <c r="J60" s="3" t="n">
        <v>64366.7</v>
      </c>
    </row>
    <row r="61" customFormat="false" ht="15" hidden="false" customHeight="false" outlineLevel="0" collapsed="false">
      <c r="A61" s="2" t="n">
        <v>46022</v>
      </c>
      <c r="B61" s="3" t="n">
        <v>194.88</v>
      </c>
      <c r="C61" s="3" t="n">
        <v>53.87</v>
      </c>
      <c r="D61" s="3" t="n">
        <v>18.63</v>
      </c>
      <c r="E61" s="3" t="n">
        <v>59.12</v>
      </c>
      <c r="F61" s="3" t="n">
        <v>20.67</v>
      </c>
      <c r="G61" s="3" t="n">
        <v>166.94</v>
      </c>
      <c r="H61" s="3" t="n">
        <v>10.49</v>
      </c>
      <c r="I61" s="3" t="n">
        <v>56.13</v>
      </c>
      <c r="J61" s="3" t="n">
        <v>64308.29</v>
      </c>
    </row>
    <row r="62" customFormat="false" ht="15" hidden="false" customHeight="false" outlineLevel="0" collapsed="false">
      <c r="A62" s="2" t="n">
        <v>46024</v>
      </c>
      <c r="B62" s="3" t="n">
        <v>194.01</v>
      </c>
      <c r="C62" s="3" t="n">
        <v>53.61</v>
      </c>
      <c r="D62" s="3" t="n">
        <v>18.53</v>
      </c>
      <c r="E62" s="3" t="n">
        <v>59.11</v>
      </c>
      <c r="F62" s="3" t="n">
        <v>20.68</v>
      </c>
      <c r="G62" s="3" t="n">
        <v>171.16</v>
      </c>
      <c r="H62" s="3" t="n">
        <v>10.71</v>
      </c>
      <c r="I62" s="3" t="n">
        <v>56.25</v>
      </c>
      <c r="J62" s="3" t="n">
        <v>64141.36</v>
      </c>
    </row>
    <row r="63" customFormat="false" ht="15" hidden="false" customHeight="false" outlineLevel="0" collapsed="false">
      <c r="A63" s="2" t="n">
        <v>46027</v>
      </c>
      <c r="B63" s="3" t="n">
        <v>194.76</v>
      </c>
      <c r="C63" s="3" t="n">
        <v>53.13</v>
      </c>
      <c r="D63" s="3" t="n">
        <v>18.68</v>
      </c>
      <c r="E63" s="3" t="n">
        <v>59.07</v>
      </c>
      <c r="F63" s="3" t="n">
        <v>21.18</v>
      </c>
      <c r="G63" s="3" t="n">
        <v>173.78</v>
      </c>
      <c r="H63" s="3" t="n">
        <v>10.73</v>
      </c>
      <c r="I63" s="3" t="n">
        <v>56.15</v>
      </c>
      <c r="J63" s="3" t="n">
        <v>65014.37</v>
      </c>
    </row>
    <row r="64" customFormat="false" ht="15" hidden="false" customHeight="false" outlineLevel="0" collapsed="false">
      <c r="A64" s="2" t="n">
        <v>46028</v>
      </c>
      <c r="B64" s="3" t="n">
        <v>191.48</v>
      </c>
      <c r="C64" s="3" t="n">
        <v>53.22</v>
      </c>
      <c r="D64" s="3" t="n">
        <v>18.18</v>
      </c>
      <c r="E64" s="3" t="n">
        <v>57.56</v>
      </c>
      <c r="F64" s="3" t="n">
        <v>21.36</v>
      </c>
      <c r="G64" s="3" t="n">
        <v>170.21</v>
      </c>
      <c r="H64" s="3" t="n">
        <v>10.6</v>
      </c>
      <c r="I64" s="3" t="n">
        <v>57.8</v>
      </c>
      <c r="J64" s="3" t="n">
        <v>65022.24</v>
      </c>
    </row>
    <row r="65" customFormat="false" ht="15" hidden="false" customHeight="false" outlineLevel="0" collapsed="false">
      <c r="A65" s="2" t="n">
        <v>46029</v>
      </c>
      <c r="B65" s="3" t="n">
        <v>192.85</v>
      </c>
      <c r="C65" s="3" t="n">
        <v>53.58</v>
      </c>
      <c r="D65" s="3" t="n">
        <v>18.22</v>
      </c>
      <c r="E65" s="3" t="n">
        <v>58.33</v>
      </c>
      <c r="F65" s="3" t="n">
        <v>20.76</v>
      </c>
      <c r="G65" s="3" t="n">
        <v>169.46</v>
      </c>
      <c r="H65" s="3" t="n">
        <v>10.38</v>
      </c>
      <c r="I65" s="3" t="n">
        <v>58.02</v>
      </c>
      <c r="J65" s="3" t="n">
        <v>64871.7</v>
      </c>
    </row>
    <row r="66" customFormat="false" ht="15" hidden="false" customHeight="false" outlineLevel="0" collapsed="false">
      <c r="A66" s="2" t="n">
        <v>46030</v>
      </c>
      <c r="B66" s="3" t="n">
        <v>194.41</v>
      </c>
      <c r="C66" s="3" t="n">
        <v>53.91</v>
      </c>
      <c r="D66" s="3" t="n">
        <v>18.42</v>
      </c>
      <c r="E66" s="3" t="n">
        <v>60.63</v>
      </c>
      <c r="F66" s="3" t="n">
        <v>22.03</v>
      </c>
      <c r="G66" s="3" t="n">
        <v>168.86</v>
      </c>
      <c r="H66" s="3" t="n">
        <v>10.49</v>
      </c>
      <c r="I66" s="3" t="n">
        <v>57.15</v>
      </c>
      <c r="J66" s="3" t="n">
        <v>65521.01</v>
      </c>
    </row>
    <row r="67" customFormat="false" ht="15" hidden="false" customHeight="false" outlineLevel="0" collapsed="false">
      <c r="A67" s="2" t="n">
        <v>46031</v>
      </c>
      <c r="B67" s="3" t="n">
        <v>195.93</v>
      </c>
      <c r="C67" s="3" t="n">
        <v>54.21</v>
      </c>
      <c r="D67" s="3" t="n">
        <v>18.27</v>
      </c>
      <c r="E67" s="3" t="n">
        <v>62.6</v>
      </c>
      <c r="F67" s="3" t="n">
        <v>22.36</v>
      </c>
      <c r="G67" s="3" t="n">
        <v>169.05</v>
      </c>
      <c r="H67" s="3" t="n">
        <v>10.64</v>
      </c>
      <c r="I67" s="3" t="n">
        <v>57.46</v>
      </c>
      <c r="J67" s="3" t="n">
        <v>66062.62</v>
      </c>
    </row>
    <row r="68" customFormat="false" ht="15" hidden="false" customHeight="false" outlineLevel="0" collapsed="false">
      <c r="A68" s="2" t="n">
        <v>46034</v>
      </c>
      <c r="B68" s="3" t="n">
        <v>196.22</v>
      </c>
      <c r="C68" s="3" t="n">
        <v>54.02</v>
      </c>
      <c r="D68" s="3" t="n">
        <v>18.33</v>
      </c>
      <c r="E68" s="3" t="n">
        <v>63.51</v>
      </c>
      <c r="F68" s="3" t="n">
        <v>22.26</v>
      </c>
      <c r="G68" s="3" t="n">
        <v>168.91</v>
      </c>
      <c r="H68" s="3" t="n">
        <v>10.63</v>
      </c>
      <c r="I68" s="3" t="n">
        <v>57.89</v>
      </c>
      <c r="J68" s="3" t="n">
        <v>66745.61</v>
      </c>
    </row>
    <row r="69" customFormat="false" ht="15" hidden="false" customHeight="false" outlineLevel="0" collapsed="false">
      <c r="A69" s="2" t="n">
        <v>46035</v>
      </c>
      <c r="B69" s="3" t="n">
        <v>188.96</v>
      </c>
      <c r="C69" s="3" t="n">
        <v>53.57</v>
      </c>
      <c r="D69" s="3" t="n">
        <v>18.23</v>
      </c>
      <c r="E69" s="3" t="n">
        <v>61.31</v>
      </c>
      <c r="F69" s="3" t="n">
        <v>22.05</v>
      </c>
      <c r="G69" s="3" t="n">
        <v>169.84</v>
      </c>
      <c r="H69" s="3" t="n">
        <v>10.55</v>
      </c>
      <c r="I69" s="3" t="n">
        <v>57.87</v>
      </c>
      <c r="J69" s="3" t="n">
        <v>66337.42</v>
      </c>
    </row>
    <row r="70" customFormat="false" ht="15" hidden="false" customHeight="false" outlineLevel="0" collapsed="false">
      <c r="A70" s="2" t="n">
        <v>46036</v>
      </c>
      <c r="B70" s="3" t="n">
        <v>196.94</v>
      </c>
      <c r="C70" s="3" t="n">
        <v>53.52</v>
      </c>
      <c r="D70" s="3" t="n">
        <v>18.24</v>
      </c>
      <c r="E70" s="3" t="n">
        <v>62.07</v>
      </c>
      <c r="F70" s="3" t="n">
        <v>22.35</v>
      </c>
      <c r="G70" s="3" t="n">
        <v>178.64</v>
      </c>
      <c r="H70" s="3" t="n">
        <v>10.75</v>
      </c>
      <c r="I70" s="3" t="n">
        <v>58.85</v>
      </c>
      <c r="J70" s="3" t="n">
        <v>67403.08</v>
      </c>
    </row>
    <row r="71" customFormat="false" ht="15" hidden="false" customHeight="false" outlineLevel="0" collapsed="false">
      <c r="A71" s="2" t="n">
        <v>46037</v>
      </c>
      <c r="B71" s="3" t="n">
        <v>198.23</v>
      </c>
      <c r="C71" s="3" t="n">
        <v>52.96</v>
      </c>
      <c r="D71" s="3" t="n">
        <v>17.57</v>
      </c>
      <c r="E71" s="3" t="n">
        <v>62.64</v>
      </c>
      <c r="F71" s="3" t="n">
        <v>21.8</v>
      </c>
      <c r="G71" s="3" t="n">
        <v>180.04</v>
      </c>
      <c r="H71" s="3" t="n">
        <v>10.49</v>
      </c>
      <c r="I71" s="3" t="n">
        <v>58.89</v>
      </c>
      <c r="J71" s="3" t="n">
        <v>66649.28</v>
      </c>
    </row>
    <row r="72" customFormat="false" ht="15" hidden="false" customHeight="false" outlineLevel="0" collapsed="false">
      <c r="A72" s="2" t="n">
        <v>46038</v>
      </c>
      <c r="B72" s="3" t="n">
        <v>199.06</v>
      </c>
      <c r="C72" s="3" t="n">
        <v>53.09</v>
      </c>
      <c r="D72" s="3" t="n">
        <v>18.06</v>
      </c>
      <c r="E72" s="3" t="n">
        <v>62.44</v>
      </c>
      <c r="F72" s="3" t="n">
        <v>22.07</v>
      </c>
      <c r="G72" s="3" t="n">
        <v>183.8</v>
      </c>
      <c r="H72" s="3" t="n">
        <v>10.51</v>
      </c>
      <c r="I72" s="3" t="n">
        <v>57.88</v>
      </c>
      <c r="J72" s="3" t="n">
        <v>67141.11</v>
      </c>
    </row>
    <row r="73" customFormat="false" ht="15" hidden="false" customHeight="false" outlineLevel="0" collapsed="false">
      <c r="A73" s="2" t="n">
        <v>46041</v>
      </c>
      <c r="B73" s="3" t="n">
        <v>202.69</v>
      </c>
      <c r="C73" s="3" t="n">
        <v>53.43</v>
      </c>
      <c r="D73" s="3" t="n">
        <v>18.05</v>
      </c>
      <c r="E73" s="3" t="n">
        <v>62.49</v>
      </c>
      <c r="F73" s="3" t="n">
        <v>22.19</v>
      </c>
      <c r="G73" s="3" t="n">
        <v>182.3</v>
      </c>
      <c r="H73" s="3" t="n">
        <v>10.69</v>
      </c>
      <c r="I73" s="3" t="n">
        <v>58.29</v>
      </c>
      <c r="J73" s="3" t="n">
        <v>67467.82</v>
      </c>
    </row>
    <row r="74" customFormat="false" ht="15" hidden="false" customHeight="false" outlineLevel="0" collapsed="false">
      <c r="A74" s="2" t="n">
        <v>46042</v>
      </c>
      <c r="B74" s="3" t="n">
        <v>198.33</v>
      </c>
      <c r="C74" s="3" t="n">
        <v>53.67</v>
      </c>
      <c r="D74" s="3" t="n">
        <v>18.16</v>
      </c>
      <c r="E74" s="3" t="n">
        <v>61.1</v>
      </c>
      <c r="F74" s="3" t="n">
        <v>22.02</v>
      </c>
      <c r="G74" s="3" t="n">
        <v>183.05</v>
      </c>
      <c r="H74" s="3" t="n">
        <v>10.97</v>
      </c>
      <c r="I74" s="3" t="n">
        <v>58.03</v>
      </c>
      <c r="J74" s="3" t="n">
        <v>67683.38</v>
      </c>
    </row>
    <row r="75" customFormat="false" ht="15" hidden="false" customHeight="false" outlineLevel="0" collapsed="false">
      <c r="A75" s="2" t="n">
        <v>46043</v>
      </c>
      <c r="B75" s="3" t="n">
        <v>199.68</v>
      </c>
      <c r="C75" s="3" t="n">
        <v>53.74</v>
      </c>
      <c r="D75" s="3" t="n">
        <v>18.1</v>
      </c>
      <c r="E75" s="3" t="n">
        <v>60.88</v>
      </c>
      <c r="F75" s="3" t="n">
        <v>22.62</v>
      </c>
      <c r="G75" s="3" t="n">
        <v>186.82</v>
      </c>
      <c r="H75" s="3" t="n">
        <v>11.38</v>
      </c>
      <c r="I75" s="3" t="n">
        <v>57.52</v>
      </c>
      <c r="J75" s="3" t="n">
        <v>68036.13</v>
      </c>
    </row>
    <row r="76" customFormat="false" ht="15" hidden="false" customHeight="false" outlineLevel="0" collapsed="false">
      <c r="A76" s="2" t="n">
        <v>46044</v>
      </c>
      <c r="B76" s="3" t="n">
        <v>198.56</v>
      </c>
      <c r="C76" s="3" t="n">
        <v>56.59</v>
      </c>
      <c r="D76" s="3" t="n">
        <v>18.13</v>
      </c>
      <c r="E76" s="3" t="n">
        <v>61.54</v>
      </c>
      <c r="F76" s="3" t="n">
        <v>22.58</v>
      </c>
      <c r="G76" s="3" t="n">
        <v>185.84</v>
      </c>
      <c r="H76" s="3" t="n">
        <v>11.8</v>
      </c>
      <c r="I76" s="3" t="n">
        <v>58.28</v>
      </c>
      <c r="J76" s="3" t="n">
        <v>68347.98</v>
      </c>
    </row>
    <row r="77" customFormat="false" ht="15" hidden="false" customHeight="false" outlineLevel="0" collapsed="false">
      <c r="A77" s="2" t="n">
        <v>46045</v>
      </c>
      <c r="B77" s="3" t="n">
        <v>199.32</v>
      </c>
      <c r="C77" s="3" t="n">
        <v>56.02</v>
      </c>
      <c r="D77" s="3" t="n">
        <v>18.05</v>
      </c>
      <c r="E77" s="3" t="n">
        <v>61.67</v>
      </c>
      <c r="F77" s="3" t="n">
        <v>22.47</v>
      </c>
      <c r="G77" s="3" t="n">
        <v>186.27</v>
      </c>
      <c r="H77" s="3" t="n">
        <v>11.54</v>
      </c>
      <c r="I77" s="3" t="n">
        <v>58.02</v>
      </c>
      <c r="J77" s="3" t="n">
        <v>68195.15</v>
      </c>
    </row>
    <row r="78" customFormat="false" ht="15" hidden="false" customHeight="false" outlineLevel="0" collapsed="false">
      <c r="A78" s="2" t="n">
        <v>46048</v>
      </c>
      <c r="B78" s="3" t="n">
        <v>198.82</v>
      </c>
      <c r="C78" s="3" t="n">
        <v>55.66</v>
      </c>
      <c r="D78" s="3" t="n">
        <v>17.94</v>
      </c>
      <c r="E78" s="3" t="n">
        <v>61.36</v>
      </c>
      <c r="F78" s="3" t="n">
        <v>22.21</v>
      </c>
      <c r="G78" s="3" t="n">
        <v>187.62</v>
      </c>
      <c r="H78" s="3" t="n">
        <v>11.57</v>
      </c>
      <c r="I78" s="3" t="n">
        <v>57.22</v>
      </c>
      <c r="J78" s="3" t="n">
        <v>68706.03</v>
      </c>
    </row>
    <row r="79" customFormat="false" ht="15" hidden="false" customHeight="false" outlineLevel="0" collapsed="false">
      <c r="A79" s="2" t="n">
        <v>46049</v>
      </c>
      <c r="B79" s="3" t="n">
        <v>198.81</v>
      </c>
      <c r="C79" s="3" t="n">
        <v>55.68</v>
      </c>
      <c r="D79" s="3" t="n">
        <v>18.11</v>
      </c>
      <c r="E79" s="3" t="n">
        <v>60.23</v>
      </c>
      <c r="F79" s="3" t="n">
        <v>22.09</v>
      </c>
      <c r="G79" s="3" t="n">
        <v>190.07</v>
      </c>
      <c r="H79" s="3" t="n">
        <v>11.34</v>
      </c>
      <c r="I79" s="3" t="n">
        <v>58.04</v>
      </c>
      <c r="J79" s="3" t="n">
        <v>68877.64</v>
      </c>
    </row>
    <row r="80" customFormat="false" ht="15" hidden="false" customHeight="false" outlineLevel="0" collapsed="false">
      <c r="A80" s="2" t="n">
        <v>46050</v>
      </c>
      <c r="B80" s="3" t="n">
        <v>200.39</v>
      </c>
      <c r="C80" s="3" t="n">
        <v>55.8</v>
      </c>
      <c r="D80" s="3" t="n">
        <v>18.61</v>
      </c>
      <c r="E80" s="3" t="n">
        <v>60.37</v>
      </c>
      <c r="F80" s="3" t="n">
        <v>22.65</v>
      </c>
      <c r="G80" s="3" t="n">
        <v>199.84</v>
      </c>
      <c r="H80" s="3" t="n">
        <v>11.52</v>
      </c>
      <c r="I80" s="3" t="n">
        <v>57.89</v>
      </c>
      <c r="J80" s="3" t="n">
        <v>69959.73</v>
      </c>
    </row>
    <row r="81" customFormat="false" ht="15" hidden="false" customHeight="false" outlineLevel="0" collapsed="false">
      <c r="A81" s="2" t="n">
        <v>46051</v>
      </c>
      <c r="B81" s="3" t="n">
        <v>198.63</v>
      </c>
      <c r="C81" s="3" t="n">
        <v>54.13</v>
      </c>
      <c r="D81" s="3" t="n">
        <v>18.49</v>
      </c>
      <c r="E81" s="3" t="n">
        <v>59.94</v>
      </c>
      <c r="F81" s="3" t="n">
        <v>22.16</v>
      </c>
      <c r="G81" s="3" t="n">
        <v>204.85</v>
      </c>
      <c r="H81" s="3" t="n">
        <v>11.16</v>
      </c>
      <c r="I81" s="3" t="n">
        <v>55.74</v>
      </c>
      <c r="J81" s="3" t="n">
        <v>69492.43</v>
      </c>
    </row>
    <row r="82" customFormat="false" ht="15" hidden="false" customHeight="false" outlineLevel="0" collapsed="false">
      <c r="A82" s="2" t="n">
        <v>46052</v>
      </c>
      <c r="B82" s="3" t="n">
        <v>196.94</v>
      </c>
      <c r="C82" s="3" t="n">
        <v>53.37</v>
      </c>
      <c r="D82" s="3" t="n">
        <v>18.01</v>
      </c>
      <c r="E82" s="3" t="n">
        <v>60.7</v>
      </c>
      <c r="F82" s="3" t="n">
        <v>21.68</v>
      </c>
      <c r="G82" s="3" t="n">
        <v>197.57</v>
      </c>
      <c r="H82" s="3" t="n">
        <v>11.45</v>
      </c>
      <c r="I82" s="3" t="n">
        <v>55.46</v>
      </c>
      <c r="J82" s="3" t="n">
        <v>67598.95</v>
      </c>
    </row>
    <row r="83" customFormat="false" ht="15" hidden="false" customHeight="false" outlineLevel="0" collapsed="false">
      <c r="A83" s="2" t="n">
        <v>46056</v>
      </c>
      <c r="B83" s="3" t="n">
        <v>207.04</v>
      </c>
      <c r="C83" s="3" t="n">
        <v>52.7</v>
      </c>
      <c r="D83" s="3" t="n">
        <v>18.85</v>
      </c>
      <c r="E83" s="3" t="n">
        <v>62.76</v>
      </c>
      <c r="F83" s="3" t="n">
        <v>21.86</v>
      </c>
      <c r="G83" s="3" t="n">
        <v>206.02</v>
      </c>
      <c r="H83" s="3" t="n">
        <v>11.07</v>
      </c>
      <c r="I83" s="3" t="n">
        <v>56.02</v>
      </c>
      <c r="J83" s="3" t="n">
        <v>69735.06</v>
      </c>
    </row>
    <row r="84" customFormat="false" ht="15" hidden="false" customHeight="false" outlineLevel="0" collapsed="false">
      <c r="A84" s="2" t="n">
        <v>46057</v>
      </c>
      <c r="B84" s="3" t="n">
        <v>204.58</v>
      </c>
      <c r="C84" s="3" t="n">
        <v>54.02</v>
      </c>
      <c r="D84" s="3" t="n">
        <v>18.66</v>
      </c>
      <c r="E84" s="3" t="n">
        <v>63.1</v>
      </c>
      <c r="F84" s="3" t="n">
        <v>21.04</v>
      </c>
      <c r="G84" s="3" t="n">
        <v>199.76</v>
      </c>
      <c r="H84" s="3" t="n">
        <v>11.06</v>
      </c>
      <c r="I84" s="3" t="n">
        <v>55.42</v>
      </c>
      <c r="J84" s="3" t="n">
        <v>68730.69</v>
      </c>
    </row>
    <row r="85" customFormat="false" ht="15" hidden="false" customHeight="false" outlineLevel="0" collapsed="false">
      <c r="A85" s="2" t="n">
        <v>46058</v>
      </c>
      <c r="B85" s="3" t="n">
        <v>205.66</v>
      </c>
      <c r="C85" s="3" t="n">
        <v>53.34</v>
      </c>
      <c r="D85" s="3" t="n">
        <v>18.53</v>
      </c>
      <c r="E85" s="3" t="n">
        <v>63.23</v>
      </c>
      <c r="F85" s="3" t="n">
        <v>20.79</v>
      </c>
      <c r="G85" s="3" t="n">
        <v>200.58</v>
      </c>
      <c r="H85" s="3" t="n">
        <v>10.91</v>
      </c>
      <c r="I85" s="3" t="n">
        <v>56.54</v>
      </c>
      <c r="J85" s="3" t="n">
        <v>68858.28</v>
      </c>
    </row>
    <row r="86" customFormat="false" ht="15" hidden="false" customHeight="false" outlineLevel="0" collapsed="false">
      <c r="A86" s="2" t="n">
        <v>46059</v>
      </c>
      <c r="B86" s="3" t="n">
        <v>205.62</v>
      </c>
      <c r="C86" s="3" t="n">
        <v>54.72</v>
      </c>
      <c r="D86" s="3" t="n">
        <v>18.58</v>
      </c>
      <c r="E86" s="3" t="n">
        <v>67.5</v>
      </c>
      <c r="F86" s="3" t="n">
        <v>21.04</v>
      </c>
      <c r="G86" s="3" t="n">
        <v>208.76</v>
      </c>
      <c r="H86" s="3" t="n">
        <v>10.88</v>
      </c>
      <c r="I86" s="3" t="n">
        <v>58.68</v>
      </c>
      <c r="J86" s="3" t="n">
        <v>70809.57</v>
      </c>
    </row>
    <row r="87" customFormat="false" ht="15" hidden="false" customHeight="false" outlineLevel="0" collapsed="false">
      <c r="A87" s="2" t="n">
        <v>46062</v>
      </c>
      <c r="B87" s="3" t="n">
        <v>205.21</v>
      </c>
      <c r="C87" s="3" t="n">
        <v>55.39</v>
      </c>
      <c r="D87" s="3" t="n">
        <v>19.09</v>
      </c>
      <c r="E87" s="3" t="n">
        <v>67.28</v>
      </c>
      <c r="F87" s="3" t="n">
        <v>21.94</v>
      </c>
      <c r="G87" s="3" t="n">
        <v>207.13</v>
      </c>
      <c r="H87" s="3" t="n">
        <v>11.01</v>
      </c>
      <c r="I87" s="3" t="n">
        <v>58.3</v>
      </c>
      <c r="J87" s="3" t="n">
        <v>71509.45</v>
      </c>
    </row>
    <row r="88" customFormat="false" ht="15" hidden="false" customHeight="false" outlineLevel="0" collapsed="false">
      <c r="A88" s="2" t="n">
        <v>46063</v>
      </c>
      <c r="B88" s="3" t="n">
        <v>204.42</v>
      </c>
      <c r="C88" s="3" t="n">
        <v>55.75</v>
      </c>
      <c r="D88" s="3" t="n">
        <v>19.31</v>
      </c>
      <c r="E88" s="3" t="n">
        <v>67.71</v>
      </c>
      <c r="F88" s="3" t="n">
        <v>22.2</v>
      </c>
      <c r="G88" s="3" t="n">
        <v>208.11</v>
      </c>
      <c r="H88" s="3" t="n">
        <v>11.28</v>
      </c>
      <c r="I88" s="3" t="n">
        <v>57.4</v>
      </c>
      <c r="J88" s="3" t="n">
        <v>71271.56</v>
      </c>
    </row>
    <row r="89" customFormat="false" ht="15" hidden="false" customHeight="false" outlineLevel="0" collapsed="false">
      <c r="A89" s="2" t="n">
        <v>46064</v>
      </c>
      <c r="B89" s="3" t="n">
        <v>204.67</v>
      </c>
      <c r="C89" s="3" t="n">
        <v>55.28</v>
      </c>
      <c r="D89" s="3" t="n">
        <v>20.22</v>
      </c>
      <c r="E89" s="3" t="n">
        <v>67.75</v>
      </c>
      <c r="F89" s="3" t="n">
        <v>22.27</v>
      </c>
      <c r="G89" s="3" t="n">
        <v>203.43</v>
      </c>
      <c r="H89" s="3" t="n">
        <v>11.36</v>
      </c>
      <c r="I89" s="3" t="n">
        <v>57.8</v>
      </c>
      <c r="J89" s="3" t="n">
        <v>71601.35</v>
      </c>
    </row>
    <row r="90" customFormat="false" ht="15" hidden="false" customHeight="false" outlineLevel="0" collapsed="false">
      <c r="A90" s="2" t="n">
        <v>46065</v>
      </c>
      <c r="B90" s="3" t="n">
        <v>206.82</v>
      </c>
      <c r="C90" s="3" t="n">
        <v>55.25</v>
      </c>
      <c r="D90" s="3" t="n">
        <v>20.63</v>
      </c>
      <c r="E90" s="3" t="n">
        <v>66.47</v>
      </c>
      <c r="F90" s="3" t="n">
        <v>21.21</v>
      </c>
      <c r="G90" s="3" t="n">
        <v>201.35</v>
      </c>
      <c r="H90" s="3" t="n">
        <v>11.35</v>
      </c>
      <c r="I90" s="3" t="n">
        <v>58.02</v>
      </c>
      <c r="J90" s="3" t="n">
        <v>70888.04</v>
      </c>
    </row>
    <row r="91" customFormat="false" ht="15" hidden="false" customHeight="false" outlineLevel="0" collapsed="false">
      <c r="A91" s="2" t="n">
        <v>46066</v>
      </c>
      <c r="B91" s="3" t="n">
        <v>210.37</v>
      </c>
      <c r="C91" s="3" t="n">
        <v>56.69</v>
      </c>
      <c r="D91" s="3" t="n">
        <v>20.41</v>
      </c>
      <c r="E91" s="3" t="n">
        <v>67.87</v>
      </c>
      <c r="F91" s="3" t="n">
        <v>21.54</v>
      </c>
      <c r="G91" s="3" t="n">
        <v>204.87</v>
      </c>
      <c r="H91" s="3" t="n">
        <v>11.44</v>
      </c>
      <c r="I91" s="3" t="n">
        <v>58.36</v>
      </c>
      <c r="J91" s="3" t="n">
        <v>71478.81</v>
      </c>
    </row>
    <row r="92" customFormat="false" ht="15" hidden="false" customHeight="false" outlineLevel="0" collapsed="false">
      <c r="A92" s="2" t="n">
        <v>46069</v>
      </c>
      <c r="B92" s="3" t="n">
        <v>209.04</v>
      </c>
      <c r="C92" s="3" t="n">
        <v>56.41</v>
      </c>
      <c r="D92" s="3" t="n">
        <v>20.44</v>
      </c>
      <c r="E92" s="3" t="n">
        <v>67.86</v>
      </c>
      <c r="F92" s="3" t="n">
        <v>21.76</v>
      </c>
      <c r="G92" s="3" t="n">
        <v>202.14</v>
      </c>
      <c r="H92" s="3" t="n">
        <v>11.47</v>
      </c>
      <c r="I92" s="3" t="n">
        <v>58.01</v>
      </c>
      <c r="J92" s="3" t="n">
        <v>71353.29</v>
      </c>
    </row>
    <row r="93" customFormat="false" ht="15" hidden="false" customHeight="false" outlineLevel="0" collapsed="false">
      <c r="A93" s="2" t="n">
        <v>46070</v>
      </c>
      <c r="B93" s="3" t="n">
        <v>211.77</v>
      </c>
      <c r="C93" s="3" t="n">
        <v>57.98</v>
      </c>
      <c r="D93" s="3" t="n">
        <v>20.9</v>
      </c>
      <c r="E93" s="3" t="n">
        <v>68.44</v>
      </c>
      <c r="F93" s="3" t="n">
        <v>21.5</v>
      </c>
      <c r="G93" s="3" t="n">
        <v>203.7</v>
      </c>
      <c r="H93" s="3" t="n">
        <v>11.09</v>
      </c>
      <c r="I93" s="3" t="n">
        <v>59.06</v>
      </c>
      <c r="J93" s="3" t="n">
        <v>71155.69</v>
      </c>
    </row>
    <row r="94" customFormat="false" ht="15" hidden="false" customHeight="false" outlineLevel="0" collapsed="false">
      <c r="A94" s="2" t="n">
        <v>46071</v>
      </c>
      <c r="B94" s="3" t="n">
        <v>208.52</v>
      </c>
      <c r="C94" s="3" t="n">
        <v>58.45</v>
      </c>
      <c r="D94" s="3" t="n">
        <v>20.61</v>
      </c>
      <c r="E94" s="3" t="n">
        <v>66.42</v>
      </c>
      <c r="F94" s="3" t="n">
        <v>21.62</v>
      </c>
      <c r="G94" s="3" t="n">
        <v>201.78</v>
      </c>
      <c r="H94" s="3" t="n">
        <v>11.51</v>
      </c>
      <c r="I94" s="3" t="n">
        <v>57.79</v>
      </c>
      <c r="J94" s="3" t="n">
        <v>70885.22</v>
      </c>
    </row>
    <row r="95" customFormat="false" ht="15" hidden="false" customHeight="false" outlineLevel="0" collapsed="false">
      <c r="A95" s="2" t="n">
        <v>46072</v>
      </c>
      <c r="B95" s="3" t="n">
        <v>209.96</v>
      </c>
      <c r="C95" s="3" t="n">
        <v>61.05</v>
      </c>
      <c r="D95" s="3" t="n">
        <v>20.56</v>
      </c>
      <c r="E95" s="3" t="n">
        <v>64.89</v>
      </c>
      <c r="F95" s="3" t="n">
        <v>21.86</v>
      </c>
      <c r="G95" s="3" t="n">
        <v>200.34</v>
      </c>
      <c r="H95" s="3" t="n">
        <v>11.67</v>
      </c>
      <c r="I95" s="3" t="n">
        <v>57.76</v>
      </c>
      <c r="J95" s="3" t="n">
        <v>70845.66</v>
      </c>
    </row>
    <row r="96" customFormat="false" ht="15" hidden="false" customHeight="false" outlineLevel="0" collapsed="false">
      <c r="A96" s="2" t="n">
        <v>46073</v>
      </c>
      <c r="B96" s="3" t="n">
        <v>210.64</v>
      </c>
      <c r="C96" s="3" t="n">
        <v>61.2</v>
      </c>
      <c r="D96" s="3" t="n">
        <v>20.6</v>
      </c>
      <c r="E96" s="3" t="n">
        <v>64.13</v>
      </c>
      <c r="F96" s="3" t="n">
        <v>22.04</v>
      </c>
      <c r="G96" s="3" t="n">
        <v>200</v>
      </c>
      <c r="H96" s="3" t="n">
        <v>11.76</v>
      </c>
      <c r="I96" s="3" t="n">
        <v>57.92</v>
      </c>
      <c r="J96" s="3" t="n">
        <v>71436.55</v>
      </c>
    </row>
    <row r="97" customFormat="false" ht="15" hidden="false" customHeight="false" outlineLevel="0" collapsed="false">
      <c r="A97" s="2" t="n">
        <v>46076</v>
      </c>
      <c r="B97" s="3" t="n">
        <v>206.51</v>
      </c>
      <c r="C97" s="3" t="n">
        <v>60.67</v>
      </c>
      <c r="D97" s="3" t="n">
        <v>20.56</v>
      </c>
      <c r="E97" s="3" t="n">
        <v>63.23</v>
      </c>
      <c r="F97" s="3" t="n">
        <v>21.41</v>
      </c>
      <c r="G97" s="3" t="n">
        <v>198.88</v>
      </c>
      <c r="H97" s="3" t="n">
        <v>11.51</v>
      </c>
      <c r="I97" s="3" t="n">
        <v>57.37</v>
      </c>
      <c r="J97" s="3" t="n">
        <v>70633.77</v>
      </c>
    </row>
    <row r="98" customFormat="false" ht="15" hidden="false" customHeight="false" outlineLevel="0" collapsed="false">
      <c r="A98" s="2" t="n">
        <v>46077</v>
      </c>
      <c r="B98" s="3" t="n">
        <v>205.06</v>
      </c>
      <c r="C98" s="3" t="n">
        <v>60.97</v>
      </c>
      <c r="D98" s="3" t="n">
        <v>21.92</v>
      </c>
      <c r="E98" s="3" t="n">
        <v>62.87</v>
      </c>
      <c r="F98" s="3" t="n">
        <v>21.59</v>
      </c>
      <c r="G98" s="3" t="n">
        <v>199.8</v>
      </c>
      <c r="H98" s="3" t="n">
        <v>11.4</v>
      </c>
      <c r="I98" s="3" t="n">
        <v>58.04</v>
      </c>
      <c r="J98" s="3" t="n">
        <v>70934.82</v>
      </c>
    </row>
    <row r="99" customFormat="false" ht="15" hidden="false" customHeight="false" outlineLevel="0" collapsed="false">
      <c r="A99" s="2" t="n">
        <v>46078</v>
      </c>
      <c r="B99" s="3" t="n">
        <v>205.05</v>
      </c>
      <c r="C99" s="3" t="n">
        <v>59.99</v>
      </c>
      <c r="D99" s="3" t="n">
        <v>21.65</v>
      </c>
      <c r="E99" s="3" t="n">
        <v>62.76</v>
      </c>
      <c r="F99" s="3" t="n">
        <v>21.93</v>
      </c>
      <c r="G99" s="3" t="n">
        <v>198.87</v>
      </c>
      <c r="H99" s="3" t="n">
        <v>10.95</v>
      </c>
      <c r="I99" s="3" t="n">
        <v>56.6</v>
      </c>
      <c r="J99" s="3" t="n">
        <v>71144.35</v>
      </c>
    </row>
    <row r="100" customFormat="false" ht="15" hidden="false" customHeight="false" outlineLevel="0" collapsed="false">
      <c r="A100" s="2" t="n">
        <v>46079</v>
      </c>
      <c r="B100" s="3" t="n">
        <v>210.66</v>
      </c>
      <c r="C100" s="3" t="n">
        <v>60.4</v>
      </c>
      <c r="D100" s="3" t="n">
        <v>21.82</v>
      </c>
      <c r="E100" s="3" t="n">
        <v>64.36</v>
      </c>
      <c r="F100" s="3" t="n">
        <v>21.94</v>
      </c>
      <c r="G100" s="3" t="n">
        <v>198.83</v>
      </c>
      <c r="H100" s="3" t="n">
        <v>10.97</v>
      </c>
      <c r="I100" s="3" t="n">
        <v>56.49</v>
      </c>
      <c r="J100" s="3" t="n">
        <v>71390.1</v>
      </c>
    </row>
    <row r="101" customFormat="false" ht="15" hidden="false" customHeight="false" outlineLevel="0" collapsed="false">
      <c r="A101" s="2" t="n">
        <v>46080</v>
      </c>
      <c r="B101" s="3" t="n">
        <v>207.28</v>
      </c>
      <c r="C101" s="3" t="n">
        <v>60.75</v>
      </c>
      <c r="D101" s="3" t="n">
        <v>22.39</v>
      </c>
      <c r="E101" s="3" t="n">
        <v>62.48</v>
      </c>
      <c r="F101" s="3" t="n">
        <v>21.56</v>
      </c>
      <c r="G101" s="3" t="n">
        <v>196.39</v>
      </c>
      <c r="H101" s="3" t="n">
        <v>10.29</v>
      </c>
      <c r="I101" s="3" t="n">
        <v>55.74</v>
      </c>
      <c r="J101" s="3" t="n">
        <v>71405.77</v>
      </c>
    </row>
    <row r="102" customFormat="false" ht="15" hidden="false" customHeight="false" outlineLevel="0" collapsed="false">
      <c r="A102" s="2" t="n">
        <v>46083</v>
      </c>
      <c r="B102" s="3" t="n">
        <v>205.73</v>
      </c>
      <c r="C102" s="3" t="n">
        <v>60.11</v>
      </c>
      <c r="D102" s="3" t="n">
        <v>22.43</v>
      </c>
      <c r="E102" s="3" t="n">
        <v>61.78</v>
      </c>
      <c r="F102" s="3" t="n">
        <v>21.12</v>
      </c>
      <c r="G102" s="3" t="n">
        <v>191.03</v>
      </c>
      <c r="H102" s="3" t="n">
        <v>9.75</v>
      </c>
      <c r="I102" s="3" t="n">
        <v>55.98</v>
      </c>
      <c r="J102" s="3" t="n">
        <v>70584.75</v>
      </c>
    </row>
    <row r="103" customFormat="false" ht="15" hidden="false" customHeight="false" outlineLevel="0" collapsed="false">
      <c r="A103" s="2" t="n">
        <v>46084</v>
      </c>
      <c r="B103" s="3" t="n">
        <v>201.23</v>
      </c>
      <c r="C103" s="3" t="n">
        <v>58.84</v>
      </c>
      <c r="D103" s="3" t="n">
        <v>21.66</v>
      </c>
      <c r="E103" s="3" t="n">
        <v>61.15</v>
      </c>
      <c r="F103" s="3" t="n">
        <v>20.27</v>
      </c>
      <c r="G103" s="3" t="n">
        <v>189.44</v>
      </c>
      <c r="H103" s="3" t="n">
        <v>9.81</v>
      </c>
      <c r="I103" s="3" t="n">
        <v>55.69</v>
      </c>
      <c r="J103" s="3" t="n">
        <v>68436.26</v>
      </c>
    </row>
    <row r="104" customFormat="false" ht="15" hidden="false" customHeight="false" outlineLevel="0" collapsed="false">
      <c r="A104" s="2" t="n">
        <v>46085</v>
      </c>
      <c r="B104" s="3" t="n">
        <v>206.67</v>
      </c>
      <c r="C104" s="3" t="n">
        <v>59.41</v>
      </c>
      <c r="D104" s="3" t="n">
        <v>22.05</v>
      </c>
      <c r="E104" s="3" t="n">
        <v>64.51</v>
      </c>
      <c r="F104" s="3" t="n">
        <v>21.05</v>
      </c>
      <c r="G104" s="3" t="n">
        <v>197.41</v>
      </c>
      <c r="H104" s="3" t="n">
        <v>10.21</v>
      </c>
      <c r="I104" s="3" t="n">
        <v>56.76</v>
      </c>
      <c r="J104" s="3" t="n">
        <v>70428.03</v>
      </c>
    </row>
    <row r="105" customFormat="false" ht="15" hidden="false" customHeight="false" outlineLevel="0" collapsed="false">
      <c r="A105" s="2" t="n">
        <v>46086</v>
      </c>
      <c r="B105" s="3" t="n">
        <v>205.27</v>
      </c>
      <c r="C105" s="3" t="n">
        <v>58.45</v>
      </c>
      <c r="D105" s="3" t="n">
        <v>21.61</v>
      </c>
      <c r="E105" s="3" t="n">
        <v>62.89</v>
      </c>
      <c r="F105" s="3" t="n">
        <v>20.03</v>
      </c>
      <c r="G105" s="3" t="n">
        <v>192.88</v>
      </c>
      <c r="H105" s="3" t="n">
        <v>10.01</v>
      </c>
      <c r="I105" s="3" t="n">
        <v>56.31</v>
      </c>
      <c r="J105" s="3" t="n">
        <v>68379.42</v>
      </c>
    </row>
    <row r="106" customFormat="false" ht="15" hidden="false" customHeight="false" outlineLevel="0" collapsed="false">
      <c r="A106" s="2" t="n">
        <v>46087</v>
      </c>
      <c r="B106" s="3" t="n">
        <v>206.81</v>
      </c>
      <c r="C106" s="3" t="n">
        <v>56.9</v>
      </c>
      <c r="D106" s="3" t="n">
        <v>21.19</v>
      </c>
      <c r="E106" s="3" t="n">
        <v>61.23</v>
      </c>
      <c r="F106" s="3" t="n">
        <v>19.5</v>
      </c>
      <c r="G106" s="3" t="n">
        <v>190.01</v>
      </c>
      <c r="H106" s="3" t="n">
        <v>10.11</v>
      </c>
      <c r="I106" s="3" t="n">
        <v>55.53</v>
      </c>
      <c r="J106" s="3" t="n">
        <v>67313.5</v>
      </c>
    </row>
    <row r="107" customFormat="false" ht="15" hidden="false" customHeight="false" outlineLevel="0" collapsed="false">
      <c r="A107" s="2" t="n">
        <v>46090</v>
      </c>
      <c r="B107" s="3" t="n">
        <v>203.49</v>
      </c>
      <c r="C107" s="3" t="n">
        <v>56.4</v>
      </c>
      <c r="D107" s="3" t="n">
        <v>21.16</v>
      </c>
      <c r="E107" s="3" t="n">
        <v>61.3</v>
      </c>
      <c r="F107" s="3" t="n">
        <v>19.25</v>
      </c>
      <c r="G107" s="3" t="n">
        <v>189.27</v>
      </c>
      <c r="H107" s="3" t="n">
        <v>10.48</v>
      </c>
      <c r="I107" s="3" t="n">
        <v>55.76</v>
      </c>
      <c r="J107" s="3" t="n">
        <v>66890.27</v>
      </c>
    </row>
    <row r="108" customFormat="false" ht="15" hidden="false" customHeight="false" outlineLevel="0" collapsed="false">
      <c r="A108" s="2" t="n">
        <v>46091</v>
      </c>
      <c r="B108" s="3" t="n">
        <v>199.12</v>
      </c>
      <c r="C108" s="3" t="n">
        <v>57.03</v>
      </c>
      <c r="D108" s="3" t="n">
        <v>21.02</v>
      </c>
      <c r="E108" s="3" t="n">
        <v>60.58</v>
      </c>
      <c r="F108" s="3" t="n">
        <v>18.95</v>
      </c>
      <c r="G108" s="3" t="n">
        <v>194.49</v>
      </c>
      <c r="H108" s="3" t="n">
        <v>10.41</v>
      </c>
      <c r="I108" s="3" t="n">
        <v>55.35</v>
      </c>
      <c r="J108" s="3" t="n">
        <v>67397.94</v>
      </c>
    </row>
    <row r="109" customFormat="false" ht="15" hidden="false" customHeight="false" outlineLevel="0" collapsed="false">
      <c r="A109" s="2" t="n">
        <v>46092</v>
      </c>
      <c r="B109" s="3" t="n">
        <v>204.04</v>
      </c>
      <c r="C109" s="3" t="n">
        <v>57.59</v>
      </c>
      <c r="D109" s="3" t="n">
        <v>20.96</v>
      </c>
      <c r="E109" s="3" t="n">
        <v>60.62</v>
      </c>
      <c r="F109" s="3" t="n">
        <v>18.76</v>
      </c>
      <c r="G109" s="3" t="n">
        <v>194.25</v>
      </c>
      <c r="H109" s="3" t="n">
        <v>10.42</v>
      </c>
      <c r="I109" s="3" t="n">
        <v>56.56</v>
      </c>
      <c r="J109" s="3" t="n">
        <v>67559.78</v>
      </c>
    </row>
    <row r="110" customFormat="false" ht="15" hidden="false" customHeight="false" outlineLevel="0" collapsed="false">
      <c r="A110" s="2" t="n">
        <v>46093</v>
      </c>
      <c r="B110" s="3" t="n">
        <v>198.77</v>
      </c>
      <c r="C110" s="3" t="n">
        <v>57.02</v>
      </c>
      <c r="D110" s="3" t="n">
        <v>20.56</v>
      </c>
      <c r="E110" s="3" t="n">
        <v>59.64</v>
      </c>
      <c r="F110" s="3" t="n">
        <v>18.7</v>
      </c>
      <c r="G110" s="3" t="n">
        <v>187.9</v>
      </c>
      <c r="H110" s="3" t="n">
        <v>10.21</v>
      </c>
      <c r="I110" s="3" t="n">
        <v>56.01</v>
      </c>
      <c r="J110" s="3" t="n">
        <v>66085.81</v>
      </c>
    </row>
    <row r="111" customFormat="false" ht="15" hidden="false" customHeight="false" outlineLevel="0" collapsed="false">
      <c r="A111" s="2" t="n">
        <v>46094</v>
      </c>
      <c r="B111" s="3" t="n">
        <v>197.04</v>
      </c>
      <c r="C111" s="3" t="n">
        <v>56.32</v>
      </c>
      <c r="D111" s="3" t="n">
        <v>20.56</v>
      </c>
      <c r="E111" s="3" t="n">
        <v>59.4</v>
      </c>
      <c r="F111" s="3" t="n">
        <v>18.65</v>
      </c>
      <c r="G111" s="3" t="n">
        <v>189.02</v>
      </c>
      <c r="H111" s="3" t="n">
        <v>10.31</v>
      </c>
      <c r="I111" s="3" t="n">
        <v>57.13</v>
      </c>
      <c r="J111" s="3" t="n">
        <v>65648.91</v>
      </c>
    </row>
    <row r="112" customFormat="false" ht="15" hidden="false" customHeight="false" outlineLevel="0" collapsed="false">
      <c r="A112" s="2" t="n">
        <v>46098</v>
      </c>
      <c r="B112" s="3" t="n">
        <v>198.23</v>
      </c>
      <c r="C112" s="3" t="n">
        <v>58.17</v>
      </c>
      <c r="D112" s="3" t="n">
        <v>21.01</v>
      </c>
      <c r="E112" s="3" t="n">
        <v>59.13</v>
      </c>
      <c r="F112" s="3" t="n">
        <v>18.68</v>
      </c>
      <c r="G112" s="3" t="n">
        <v>192.23</v>
      </c>
      <c r="H112" s="3" t="n">
        <v>10.4</v>
      </c>
      <c r="I112" s="3" t="n">
        <v>57.67</v>
      </c>
      <c r="J112" s="3" t="n">
        <v>66196.92</v>
      </c>
    </row>
    <row r="113" customFormat="false" ht="15" hidden="false" customHeight="false" outlineLevel="0" collapsed="false">
      <c r="A113" s="2" t="n">
        <v>46099</v>
      </c>
      <c r="B113" s="3" t="n">
        <v>198.85</v>
      </c>
      <c r="C113" s="3" t="n">
        <v>58.49</v>
      </c>
      <c r="D113" s="3" t="n">
        <v>21.18</v>
      </c>
      <c r="E113" s="3" t="n">
        <v>58.03</v>
      </c>
      <c r="F113" s="3" t="n">
        <v>18.36</v>
      </c>
      <c r="G113" s="3" t="n">
        <v>191.86</v>
      </c>
      <c r="H113" s="3" t="n">
        <v>10.43</v>
      </c>
      <c r="I113" s="3" t="n">
        <v>56.07</v>
      </c>
      <c r="J113" s="3" t="n">
        <v>65779.23</v>
      </c>
    </row>
    <row r="114" customFormat="false" ht="15" hidden="false" customHeight="false" outlineLevel="0" collapsed="false">
      <c r="A114" s="2" t="n">
        <v>46100</v>
      </c>
      <c r="B114" s="3" t="n">
        <v>197.05</v>
      </c>
      <c r="C114" s="3" t="n">
        <v>58.99</v>
      </c>
      <c r="D114" s="3" t="n">
        <v>21.21</v>
      </c>
      <c r="E114" s="3" t="n">
        <v>58.64</v>
      </c>
      <c r="F114" s="3" t="n">
        <v>18.31</v>
      </c>
      <c r="G114" s="3" t="n">
        <v>189.66</v>
      </c>
      <c r="H114" s="3" t="n">
        <v>10.54</v>
      </c>
      <c r="I114" s="3" t="n">
        <v>56.67</v>
      </c>
      <c r="J114" s="3" t="n">
        <v>65199.4</v>
      </c>
    </row>
    <row r="115" customFormat="false" ht="15" hidden="false" customHeight="false" outlineLevel="0" collapsed="false">
      <c r="A115" s="2" t="n">
        <v>46101</v>
      </c>
      <c r="B115" s="3" t="n">
        <v>192.38</v>
      </c>
      <c r="C115" s="3" t="n">
        <v>59.92</v>
      </c>
      <c r="D115" s="3" t="n">
        <v>20.93</v>
      </c>
      <c r="E115" s="3" t="n">
        <v>57.63</v>
      </c>
      <c r="F115" s="3" t="n">
        <v>18</v>
      </c>
      <c r="G115" s="3" t="n">
        <v>184.22</v>
      </c>
      <c r="H115" s="3" t="n">
        <v>10.21</v>
      </c>
      <c r="I115" s="3" t="n">
        <v>56.09</v>
      </c>
      <c r="J115" s="3" t="n">
        <v>64134.9</v>
      </c>
    </row>
    <row r="116" customFormat="false" ht="15" hidden="false" customHeight="false" outlineLevel="0" collapsed="false">
      <c r="A116" s="2" t="n">
        <v>46104</v>
      </c>
      <c r="B116" s="3" t="n">
        <v>190.42</v>
      </c>
      <c r="C116" s="3" t="n">
        <v>56.98</v>
      </c>
      <c r="D116" s="3" t="n">
        <v>21.09</v>
      </c>
      <c r="E116" s="3" t="n">
        <v>57.25</v>
      </c>
      <c r="F116" s="3" t="n">
        <v>18.91</v>
      </c>
      <c r="G116" s="3" t="n">
        <v>185.62</v>
      </c>
      <c r="H116" s="3" t="n">
        <v>10.23</v>
      </c>
      <c r="I116" s="3" t="n">
        <v>56.13</v>
      </c>
      <c r="J116" s="3" t="n">
        <v>64370.95</v>
      </c>
    </row>
    <row r="117" customFormat="false" ht="15" hidden="false" customHeight="false" outlineLevel="0" collapsed="false">
      <c r="A117" s="2" t="n">
        <v>46105</v>
      </c>
      <c r="B117" s="3" t="n">
        <v>194.44</v>
      </c>
      <c r="C117" s="3" t="n">
        <v>57.92</v>
      </c>
      <c r="D117" s="3" t="n">
        <v>22.03</v>
      </c>
      <c r="E117" s="3" t="n">
        <v>58.04</v>
      </c>
      <c r="F117" s="3" t="n">
        <v>19.35</v>
      </c>
      <c r="G117" s="3" t="n">
        <v>189.5</v>
      </c>
      <c r="H117" s="3" t="n">
        <v>10.36</v>
      </c>
      <c r="I117" s="3" t="n">
        <v>56.27</v>
      </c>
      <c r="J117" s="3" t="n">
        <v>65775.14</v>
      </c>
    </row>
    <row r="118" customFormat="false" ht="15" hidden="false" customHeight="false" outlineLevel="0" collapsed="false">
      <c r="A118" s="2" t="n">
        <v>46106</v>
      </c>
      <c r="B118" s="3" t="n">
        <v>200.97</v>
      </c>
      <c r="C118" s="3" t="n">
        <v>58.97</v>
      </c>
      <c r="D118" s="3" t="n">
        <v>22.59</v>
      </c>
      <c r="E118" s="3" t="n">
        <v>59.68</v>
      </c>
      <c r="F118" s="3" t="n">
        <v>20.16</v>
      </c>
      <c r="G118" s="3" t="n">
        <v>195.93</v>
      </c>
      <c r="H118" s="3" t="n">
        <v>10.24</v>
      </c>
      <c r="I118" s="3" t="n">
        <v>57.98</v>
      </c>
      <c r="J118" s="3" t="n">
        <v>68187.6</v>
      </c>
    </row>
    <row r="119" customFormat="false" ht="15" hidden="false" customHeight="false" outlineLevel="0" collapsed="false">
      <c r="A119" s="2" t="n">
        <v>46107</v>
      </c>
      <c r="B119" s="3" t="n">
        <v>199.88</v>
      </c>
      <c r="C119" s="3" t="n">
        <v>58.83</v>
      </c>
      <c r="D119" s="3" t="n">
        <v>22.38</v>
      </c>
      <c r="E119" s="3" t="n">
        <v>58.72</v>
      </c>
      <c r="F119" s="3" t="n">
        <v>19.7</v>
      </c>
      <c r="G119" s="3" t="n">
        <v>191.17</v>
      </c>
      <c r="H119" s="3" t="n">
        <v>10.32</v>
      </c>
      <c r="I119" s="3" t="n">
        <v>57.52</v>
      </c>
      <c r="J119" s="3" t="n">
        <v>67061.34</v>
      </c>
    </row>
    <row r="120" customFormat="false" ht="15" hidden="false" customHeight="false" outlineLevel="0" collapsed="false">
      <c r="A120" s="2" t="n">
        <v>46108</v>
      </c>
      <c r="B120" s="3" t="n">
        <v>200.92</v>
      </c>
      <c r="C120" s="3" t="n">
        <v>57.82</v>
      </c>
      <c r="D120" s="3" t="n">
        <v>22.46</v>
      </c>
      <c r="E120" s="3" t="n">
        <v>58.49</v>
      </c>
      <c r="F120" s="3" t="n">
        <v>19.44</v>
      </c>
      <c r="G120" s="3" t="n">
        <v>189.91</v>
      </c>
      <c r="H120" s="3" t="n">
        <v>10.39</v>
      </c>
      <c r="I120" s="3" t="n">
        <v>58.18</v>
      </c>
      <c r="J120" s="3" t="n">
        <v>66685.76</v>
      </c>
    </row>
    <row r="121" customFormat="false" ht="15" hidden="false" customHeight="false" outlineLevel="0" collapsed="false">
      <c r="A121" s="2" t="n">
        <v>46111</v>
      </c>
      <c r="B121" s="3" t="n">
        <v>204.97</v>
      </c>
      <c r="C121" s="3" t="n">
        <v>57.47</v>
      </c>
      <c r="D121" s="3" t="n">
        <v>22.33</v>
      </c>
      <c r="E121" s="3" t="n">
        <v>59.98</v>
      </c>
      <c r="F121" s="3" t="n">
        <v>19.43</v>
      </c>
      <c r="G121" s="3" t="n">
        <v>191.81</v>
      </c>
      <c r="H121" s="3" t="n">
        <v>10.4</v>
      </c>
      <c r="I121" s="3" t="n">
        <v>57.9</v>
      </c>
      <c r="J121" s="3" t="n">
        <v>67087.64</v>
      </c>
    </row>
    <row r="122" customFormat="false" ht="15" hidden="false" customHeight="false" outlineLevel="0" collapsed="false">
      <c r="A122" s="2" t="n">
        <v>46112</v>
      </c>
      <c r="B122" s="3" t="n">
        <v>206.72</v>
      </c>
      <c r="C122" s="3" t="n">
        <v>57.85</v>
      </c>
      <c r="D122" s="3" t="n">
        <v>22.78</v>
      </c>
      <c r="E122" s="3" t="n">
        <v>60.1</v>
      </c>
      <c r="F122" s="3" t="n">
        <v>20.55</v>
      </c>
      <c r="G122" s="3" t="n">
        <v>198.78</v>
      </c>
      <c r="H122" s="3" t="n">
        <v>10.41</v>
      </c>
      <c r="I122" s="3" t="n">
        <v>58.2</v>
      </c>
      <c r="J122" s="3" t="n">
        <v>68610.72</v>
      </c>
    </row>
    <row r="123" customFormat="false" ht="15" hidden="false" customHeight="false" outlineLevel="0" collapsed="false">
      <c r="A123" s="2" t="n">
        <v>46113</v>
      </c>
      <c r="B123" s="3" t="n">
        <v>209.5</v>
      </c>
      <c r="C123" s="3" t="n">
        <v>58.02</v>
      </c>
      <c r="D123" s="3" t="n">
        <v>22.8</v>
      </c>
      <c r="E123" s="3" t="n">
        <v>59.24</v>
      </c>
      <c r="F123" s="3" t="n">
        <v>20.77</v>
      </c>
      <c r="G123" s="3" t="n">
        <v>201.62</v>
      </c>
      <c r="H123" s="3" t="n">
        <v>10.48</v>
      </c>
      <c r="I123" s="3" t="n">
        <v>59.17</v>
      </c>
      <c r="J123" s="3" t="n">
        <v>69702.02</v>
      </c>
    </row>
    <row r="124" customFormat="false" ht="15" hidden="false" customHeight="false" outlineLevel="0" collapsed="false">
      <c r="A124" s="2" t="n">
        <v>46118</v>
      </c>
      <c r="B124" s="3" t="n">
        <v>208.63</v>
      </c>
      <c r="C124" s="3" t="n">
        <v>57.49</v>
      </c>
      <c r="D124" s="3" t="n">
        <v>22.5</v>
      </c>
      <c r="E124" s="3" t="n">
        <v>58.47</v>
      </c>
      <c r="F124" s="3" t="n">
        <v>20.24</v>
      </c>
      <c r="G124" s="3" t="n">
        <v>199.69</v>
      </c>
      <c r="H124" s="3" t="n">
        <v>10.36</v>
      </c>
      <c r="I124" s="3" t="n">
        <v>58.51</v>
      </c>
      <c r="J124" s="3" t="n">
        <v>68986.63</v>
      </c>
    </row>
    <row r="125" customFormat="false" ht="15" hidden="false" customHeight="false" outlineLevel="0" collapsed="false">
      <c r="A125" s="2" t="n">
        <v>46119</v>
      </c>
      <c r="B125" s="3" t="n">
        <v>205.15</v>
      </c>
      <c r="C125" s="3" t="n">
        <v>57.61</v>
      </c>
      <c r="D125" s="3" t="n">
        <v>22.79</v>
      </c>
      <c r="E125" s="3" t="n">
        <v>58.6</v>
      </c>
      <c r="F125" s="3" t="n">
        <v>20.08</v>
      </c>
      <c r="G125" s="3" t="n">
        <v>197.95</v>
      </c>
      <c r="H125" s="3" t="n">
        <v>10.34</v>
      </c>
      <c r="I125" s="3" t="n">
        <v>57.94</v>
      </c>
      <c r="J125" s="3" t="n">
        <v>68529.22</v>
      </c>
    </row>
    <row r="126" customFormat="false" ht="15" hidden="false" customHeight="false" outlineLevel="0" collapsed="false">
      <c r="A126" s="2" t="n">
        <v>46120</v>
      </c>
      <c r="B126" s="3" t="n">
        <v>210.34</v>
      </c>
      <c r="C126" s="3" t="n">
        <v>57.31</v>
      </c>
      <c r="D126" s="3" t="n">
        <v>22.89</v>
      </c>
      <c r="E126" s="3" t="n">
        <v>59.35</v>
      </c>
      <c r="F126" s="3" t="n">
        <v>20.59</v>
      </c>
      <c r="G126" s="3" t="n">
        <v>200.81</v>
      </c>
      <c r="H126" s="3" t="n">
        <v>10.34</v>
      </c>
      <c r="I126" s="3" t="n">
        <v>59.14</v>
      </c>
      <c r="J126" s="3" t="n">
        <v>70221.76</v>
      </c>
    </row>
    <row r="127" customFormat="false" ht="15" hidden="false" customHeight="false" outlineLevel="0" collapsed="false">
      <c r="A127" s="2" t="n">
        <v>46121</v>
      </c>
      <c r="B127" s="3" t="n">
        <v>212.72</v>
      </c>
      <c r="C127" s="3" t="n">
        <v>55.9</v>
      </c>
      <c r="D127" s="3" t="n">
        <v>23.56</v>
      </c>
      <c r="E127" s="3" t="n">
        <v>57.65</v>
      </c>
      <c r="F127" s="3" t="n">
        <v>20.65</v>
      </c>
      <c r="G127" s="3" t="n">
        <v>200.37</v>
      </c>
      <c r="H127" s="3" t="n">
        <v>10.07</v>
      </c>
      <c r="I127" s="3" t="n">
        <v>58.54</v>
      </c>
      <c r="J127" s="3" t="n">
        <v>70314.19</v>
      </c>
    </row>
    <row r="128" customFormat="false" ht="15" hidden="false" customHeight="false" outlineLevel="0" collapsed="false">
      <c r="A128" s="2" t="n">
        <v>46122</v>
      </c>
      <c r="B128" s="3" t="n">
        <v>214.03</v>
      </c>
      <c r="C128" s="3" t="n">
        <v>55.46</v>
      </c>
      <c r="D128" s="3" t="n">
        <v>23.58</v>
      </c>
      <c r="E128" s="3" t="n">
        <v>57.91</v>
      </c>
      <c r="F128" s="3" t="n">
        <v>20.63</v>
      </c>
      <c r="G128" s="3" t="n">
        <v>198.95</v>
      </c>
      <c r="H128" s="3" t="n">
        <v>10.37</v>
      </c>
      <c r="I128" s="3" t="n">
        <v>57.77</v>
      </c>
      <c r="J128" s="3" t="n">
        <v>70023.39</v>
      </c>
    </row>
    <row r="129" customFormat="false" ht="15" hidden="false" customHeight="false" outlineLevel="0" collapsed="false">
      <c r="A129" s="2" t="n">
        <v>46125</v>
      </c>
      <c r="B129" s="3" t="n">
        <v>212.4</v>
      </c>
      <c r="C129" s="3" t="n">
        <v>54.78</v>
      </c>
      <c r="D129" s="3" t="n">
        <v>23.07</v>
      </c>
      <c r="E129" s="3" t="n">
        <v>57.34</v>
      </c>
      <c r="F129" s="3" t="n">
        <v>20.57</v>
      </c>
      <c r="G129" s="3" t="n">
        <v>196.36</v>
      </c>
      <c r="H129" s="3" t="n">
        <v>10.14</v>
      </c>
      <c r="I129" s="3" t="n">
        <v>58.36</v>
      </c>
      <c r="J129" s="3" t="n">
        <v>69595.13</v>
      </c>
    </row>
    <row r="130" customFormat="false" ht="15" hidden="false" customHeight="false" outlineLevel="0" collapsed="false">
      <c r="A130" s="2" t="n">
        <v>46126</v>
      </c>
      <c r="B130" s="3" t="n">
        <v>207.82</v>
      </c>
      <c r="C130" s="3" t="n">
        <v>54.27</v>
      </c>
      <c r="D130" s="3" t="n">
        <v>22.7</v>
      </c>
      <c r="E130" s="3" t="n">
        <v>57.39</v>
      </c>
      <c r="F130" s="3" t="n">
        <v>20.4</v>
      </c>
      <c r="G130" s="3" t="n">
        <v>195.79</v>
      </c>
      <c r="H130" s="3" t="n">
        <v>10.1</v>
      </c>
      <c r="I130" s="3" t="n">
        <v>57.22</v>
      </c>
      <c r="J130" s="3" t="n">
        <v>68941.46</v>
      </c>
    </row>
    <row r="131" customFormat="false" ht="15" hidden="false" customHeight="false" outlineLevel="0" collapsed="false">
      <c r="A131" s="2" t="n">
        <v>46127</v>
      </c>
      <c r="B131" s="3" t="n">
        <v>205.73</v>
      </c>
      <c r="C131" s="3" t="n">
        <v>53.65</v>
      </c>
      <c r="D131" s="3" t="n">
        <v>22.77</v>
      </c>
      <c r="E131" s="3" t="n">
        <v>57.95</v>
      </c>
      <c r="F131" s="3" t="n">
        <v>20.57</v>
      </c>
      <c r="G131" s="3" t="n">
        <v>198.12</v>
      </c>
      <c r="H131" s="3" t="n">
        <v>10.77</v>
      </c>
      <c r="I131" s="3" t="n">
        <v>57.51</v>
      </c>
      <c r="J131" s="3" t="n">
        <v>69634.71</v>
      </c>
    </row>
    <row r="132" customFormat="false" ht="15" hidden="false" customHeight="false" outlineLevel="0" collapsed="false">
      <c r="A132" s="2" t="n">
        <v>46128</v>
      </c>
      <c r="B132" s="3" t="n">
        <v>204.34</v>
      </c>
      <c r="C132" s="3" t="n">
        <v>52.88</v>
      </c>
      <c r="D132" s="3" t="n">
        <v>22.56</v>
      </c>
      <c r="E132" s="3" t="n">
        <v>57.42</v>
      </c>
      <c r="F132" s="3" t="n">
        <v>20.2</v>
      </c>
      <c r="G132" s="3" t="n">
        <v>197</v>
      </c>
      <c r="H132" s="3" t="n">
        <v>10.89</v>
      </c>
      <c r="I132" s="3" t="n">
        <v>56.69</v>
      </c>
      <c r="J132" s="3" t="n">
        <v>69095.02</v>
      </c>
    </row>
    <row r="133" customFormat="false" ht="15" hidden="false" customHeight="false" outlineLevel="0" collapsed="false">
      <c r="A133" s="2" t="n">
        <v>46129</v>
      </c>
      <c r="B133" s="3" t="n">
        <v>203.88</v>
      </c>
      <c r="C133" s="3" t="n">
        <v>52.3</v>
      </c>
      <c r="D133" s="3" t="n">
        <v>22.74</v>
      </c>
      <c r="E133" s="3" t="n">
        <v>57.44</v>
      </c>
      <c r="F133" s="3" t="n">
        <v>20.79</v>
      </c>
      <c r="G133" s="3" t="n">
        <v>195.11</v>
      </c>
      <c r="H133" s="3" t="n">
        <v>11.34</v>
      </c>
      <c r="I133" s="3" t="n">
        <v>56.23</v>
      </c>
      <c r="J133" s="3" t="n">
        <v>69825.94</v>
      </c>
    </row>
    <row r="134" customFormat="false" ht="15" hidden="false" customHeight="false" outlineLevel="0" collapsed="false">
      <c r="A134" s="2" t="n">
        <v>46132</v>
      </c>
      <c r="B134" s="3" t="n">
        <v>208.06</v>
      </c>
      <c r="C134" s="3" t="n">
        <v>53.46</v>
      </c>
      <c r="D134" s="3" t="n">
        <v>22.77</v>
      </c>
      <c r="E134" s="3" t="n">
        <v>57.7</v>
      </c>
      <c r="F134" s="3" t="n">
        <v>20.76</v>
      </c>
      <c r="G134" s="3" t="n">
        <v>200.21</v>
      </c>
      <c r="H134" s="3" t="n">
        <v>11.42</v>
      </c>
      <c r="I134" s="3" t="n">
        <v>55.64</v>
      </c>
      <c r="J134" s="3" t="n">
        <v>70083.73</v>
      </c>
    </row>
    <row r="135" customFormat="false" ht="15" hidden="false" customHeight="false" outlineLevel="0" collapsed="false">
      <c r="A135" s="2" t="n">
        <v>46133</v>
      </c>
      <c r="B135" s="3" t="n">
        <v>202.29</v>
      </c>
      <c r="C135" s="3" t="n">
        <v>51.24</v>
      </c>
      <c r="D135" s="3" t="n">
        <v>22.3</v>
      </c>
      <c r="E135" s="3" t="n">
        <v>56.4</v>
      </c>
      <c r="F135" s="3" t="n">
        <v>20.61</v>
      </c>
      <c r="G135" s="3" t="n">
        <v>196.19</v>
      </c>
      <c r="H135" s="3" t="n">
        <v>11.17</v>
      </c>
      <c r="I135" s="3" t="n">
        <v>55.33</v>
      </c>
      <c r="J135" s="3" t="n">
        <v>68809.17</v>
      </c>
    </row>
    <row r="136" customFormat="false" ht="15" hidden="false" customHeight="false" outlineLevel="0" collapsed="false">
      <c r="A136" s="2" t="n">
        <v>46134</v>
      </c>
      <c r="B136" s="3" t="n">
        <v>205.02</v>
      </c>
      <c r="C136" s="3" t="n">
        <v>51.87</v>
      </c>
      <c r="D136" s="3" t="n">
        <v>22.38</v>
      </c>
      <c r="E136" s="3" t="n">
        <v>54.73</v>
      </c>
      <c r="F136" s="3" t="n">
        <v>20.44</v>
      </c>
      <c r="G136" s="3" t="n">
        <v>194.76</v>
      </c>
      <c r="H136" s="3" t="n">
        <v>10.76</v>
      </c>
      <c r="I136" s="3" t="n">
        <v>54.87</v>
      </c>
      <c r="J136" s="3" t="n">
        <v>68836.92</v>
      </c>
    </row>
    <row r="137" customFormat="false" ht="15" hidden="false" customHeight="false" outlineLevel="0" collapsed="false">
      <c r="A137" s="2" t="n">
        <v>46135</v>
      </c>
      <c r="B137" s="3" t="n">
        <v>213.04</v>
      </c>
      <c r="C137" s="3" t="n">
        <v>51.35</v>
      </c>
      <c r="D137" s="3" t="n">
        <v>22.79</v>
      </c>
      <c r="E137" s="3" t="n">
        <v>54.14</v>
      </c>
      <c r="F137" s="3" t="n">
        <v>21.8</v>
      </c>
      <c r="G137" s="3" t="n">
        <v>193.37</v>
      </c>
      <c r="H137" s="3" t="n">
        <v>10.65</v>
      </c>
      <c r="I137" s="3" t="n">
        <v>54.19</v>
      </c>
      <c r="J137" s="3" t="n">
        <v>68631.16</v>
      </c>
    </row>
    <row r="138" customFormat="false" ht="15" hidden="false" customHeight="false" outlineLevel="0" collapsed="false">
      <c r="A138" s="2" t="n">
        <v>46136</v>
      </c>
      <c r="B138" s="3" t="n">
        <v>218.48</v>
      </c>
      <c r="C138" s="3" t="n">
        <v>52.7</v>
      </c>
      <c r="D138" s="3" t="n">
        <v>23.19</v>
      </c>
      <c r="E138" s="3" t="n">
        <v>54.8</v>
      </c>
      <c r="F138" s="3" t="n">
        <v>21.48</v>
      </c>
      <c r="G138" s="3" t="n">
        <v>194.62</v>
      </c>
      <c r="H138" s="3" t="n">
        <v>10.7</v>
      </c>
      <c r="I138" s="3" t="n">
        <v>54.23</v>
      </c>
      <c r="J138" s="3" t="n">
        <v>69230.56</v>
      </c>
    </row>
    <row r="139" customFormat="false" ht="15" hidden="false" customHeight="false" outlineLevel="0" collapsed="false">
      <c r="A139" s="2" t="n">
        <v>46139</v>
      </c>
      <c r="B139" s="3" t="n">
        <v>216.1</v>
      </c>
      <c r="C139" s="3" t="n">
        <v>51.96</v>
      </c>
      <c r="D139" s="3" t="n">
        <v>22.45</v>
      </c>
      <c r="E139" s="3" t="n">
        <v>53.65</v>
      </c>
      <c r="F139" s="3" t="n">
        <v>21.33</v>
      </c>
      <c r="G139" s="3" t="n">
        <v>191.92</v>
      </c>
      <c r="H139" s="3" t="n">
        <v>10.26</v>
      </c>
      <c r="I139" s="3" t="n">
        <v>53.61</v>
      </c>
      <c r="J139" s="3" t="n">
        <v>67992.36</v>
      </c>
    </row>
    <row r="140" customFormat="false" ht="15" hidden="false" customHeight="false" outlineLevel="0" collapsed="false">
      <c r="A140" s="2" t="n">
        <v>46140</v>
      </c>
      <c r="B140" s="3" t="n">
        <v>212.13</v>
      </c>
      <c r="C140" s="3" t="n">
        <v>51.45</v>
      </c>
      <c r="D140" s="3" t="n">
        <v>22.75</v>
      </c>
      <c r="E140" s="3" t="n">
        <v>53.55</v>
      </c>
      <c r="F140" s="3" t="n">
        <v>21.08</v>
      </c>
      <c r="G140" s="3" t="n">
        <v>192.38</v>
      </c>
      <c r="H140" s="3" t="n">
        <v>9.93</v>
      </c>
      <c r="I140" s="3" t="n">
        <v>53.27</v>
      </c>
      <c r="J140" s="3" t="n">
        <v>67269.29</v>
      </c>
    </row>
    <row r="141" customFormat="false" ht="15" hidden="false" customHeight="false" outlineLevel="0" collapsed="false">
      <c r="A141" s="2" t="n">
        <v>46141</v>
      </c>
      <c r="B141" s="3" t="n">
        <v>207.55</v>
      </c>
      <c r="C141" s="3" t="n">
        <v>50.76</v>
      </c>
      <c r="D141" s="3" t="n">
        <v>23.03</v>
      </c>
      <c r="E141" s="3" t="n">
        <v>54.53</v>
      </c>
      <c r="F141" s="3" t="n">
        <v>21.3</v>
      </c>
      <c r="G141" s="3" t="n">
        <v>190.04</v>
      </c>
      <c r="H141" s="3" t="n">
        <v>9.99</v>
      </c>
      <c r="I141" s="3" t="n">
        <v>55.53</v>
      </c>
      <c r="J141" s="3" t="n">
        <v>67097.06</v>
      </c>
    </row>
    <row r="142" customFormat="false" ht="15" hidden="false" customHeight="false" outlineLevel="0" collapsed="false">
      <c r="A142" s="2" t="n">
        <v>46142</v>
      </c>
      <c r="B142" s="3" t="n">
        <v>209.87</v>
      </c>
      <c r="C142" s="3" t="n">
        <v>51.42</v>
      </c>
      <c r="D142" s="3" t="n">
        <v>23.21</v>
      </c>
      <c r="E142" s="3" t="n">
        <v>59.48</v>
      </c>
      <c r="F142" s="3" t="n">
        <v>21.45</v>
      </c>
      <c r="G142" s="3" t="n">
        <v>189.68</v>
      </c>
      <c r="H142" s="3" t="n">
        <v>9.96</v>
      </c>
      <c r="I142" s="3" t="n">
        <v>55.07</v>
      </c>
      <c r="J142" s="3" t="n">
        <v>67858.09</v>
      </c>
    </row>
    <row r="143" customFormat="false" ht="15" hidden="false" customHeight="false" outlineLevel="0" collapsed="false">
      <c r="A143" s="2" t="n">
        <v>46146</v>
      </c>
      <c r="B143" s="3" t="n">
        <v>209.05</v>
      </c>
      <c r="C143" s="3" t="n">
        <v>50.93</v>
      </c>
      <c r="D143" s="3" t="n">
        <v>23.26</v>
      </c>
      <c r="E143" s="3" t="n">
        <v>58.53</v>
      </c>
      <c r="F143" s="3" t="n">
        <v>20.77</v>
      </c>
      <c r="G143" s="3" t="n">
        <v>189.53</v>
      </c>
      <c r="H143" s="3" t="n">
        <v>9.91</v>
      </c>
      <c r="I143" s="3" t="n">
        <v>53.99</v>
      </c>
      <c r="J143" s="3" t="n">
        <v>67283.6</v>
      </c>
    </row>
    <row r="144" customFormat="false" ht="15" hidden="false" customHeight="false" outlineLevel="0" collapsed="false">
      <c r="A144" s="2" t="n">
        <v>46147</v>
      </c>
      <c r="B144" s="3" t="n">
        <v>214.28</v>
      </c>
      <c r="C144" s="3" t="n">
        <v>52.27</v>
      </c>
      <c r="D144" s="3" t="n">
        <v>23.68</v>
      </c>
      <c r="E144" s="3" t="n">
        <v>58.69</v>
      </c>
      <c r="F144" s="3" t="n">
        <v>22.38</v>
      </c>
      <c r="G144" s="3" t="n">
        <v>189.13</v>
      </c>
      <c r="H144" s="3" t="n">
        <v>9.99</v>
      </c>
      <c r="I144" s="3" t="n">
        <v>55.45</v>
      </c>
      <c r="J144" s="3" t="n">
        <v>68590.57</v>
      </c>
    </row>
    <row r="145" customFormat="false" ht="15" hidden="false" customHeight="false" outlineLevel="0" collapsed="false">
      <c r="A145" s="2" t="n">
        <v>46148</v>
      </c>
      <c r="B145" s="3" t="n">
        <v>218.12</v>
      </c>
      <c r="C145" s="3" t="n">
        <v>52.56</v>
      </c>
      <c r="D145" s="3" t="n">
        <v>23.41</v>
      </c>
      <c r="E145" s="3" t="n">
        <v>59.66</v>
      </c>
      <c r="F145" s="3" t="n">
        <v>23.39</v>
      </c>
      <c r="G145" s="3" t="n">
        <v>193.33</v>
      </c>
      <c r="H145" s="3" t="n">
        <v>9.92</v>
      </c>
      <c r="I145" s="3" t="n">
        <v>55.94</v>
      </c>
      <c r="J145" s="3" t="n">
        <v>69855.23</v>
      </c>
    </row>
    <row r="146" customFormat="false" ht="15" hidden="false" customHeight="false" outlineLevel="0" collapsed="false">
      <c r="A146" s="2" t="n">
        <v>46149</v>
      </c>
      <c r="B146" s="3" t="n">
        <v>218.57</v>
      </c>
      <c r="C146" s="3" t="n">
        <v>53.36</v>
      </c>
      <c r="D146" s="3" t="n">
        <v>23.17</v>
      </c>
      <c r="E146" s="3" t="n">
        <v>60.29</v>
      </c>
      <c r="F146" s="3" t="n">
        <v>22.84</v>
      </c>
      <c r="G146" s="3" t="n">
        <v>194.85</v>
      </c>
      <c r="H146" s="3" t="n">
        <v>9.89</v>
      </c>
      <c r="I146" s="3" t="n">
        <v>56.62</v>
      </c>
      <c r="J146" s="3" t="n">
        <v>70019.45</v>
      </c>
    </row>
    <row r="147" customFormat="false" ht="15" hidden="false" customHeight="false" outlineLevel="0" collapsed="false">
      <c r="A147" s="2" t="n">
        <v>46150</v>
      </c>
      <c r="B147" s="3" t="n">
        <v>221.39</v>
      </c>
      <c r="C147" s="3" t="n">
        <v>53.52</v>
      </c>
      <c r="D147" s="3" t="n">
        <v>23.4</v>
      </c>
      <c r="E147" s="3" t="n">
        <v>58.54</v>
      </c>
      <c r="F147" s="3" t="n">
        <v>22.59</v>
      </c>
      <c r="G147" s="3" t="n">
        <v>193</v>
      </c>
      <c r="H147" s="3" t="n">
        <v>9.91</v>
      </c>
      <c r="I147" s="3" t="n">
        <v>57.02</v>
      </c>
      <c r="J147" s="3" t="n">
        <v>69855.58</v>
      </c>
    </row>
    <row r="148" customFormat="false" ht="15" hidden="false" customHeight="false" outlineLevel="0" collapsed="false">
      <c r="A148" s="2" t="n">
        <v>46153</v>
      </c>
      <c r="B148" s="3" t="n">
        <v>219.22</v>
      </c>
      <c r="C148" s="3" t="n">
        <v>53.68</v>
      </c>
      <c r="D148" s="3" t="n">
        <v>23.67</v>
      </c>
      <c r="E148" s="3" t="n">
        <v>59.32</v>
      </c>
      <c r="F148" s="3" t="n">
        <v>22.83</v>
      </c>
      <c r="G148" s="3" t="n">
        <v>192.15</v>
      </c>
      <c r="H148" s="3" t="n">
        <v>9.86</v>
      </c>
      <c r="I148" s="3" t="n">
        <v>57.24</v>
      </c>
      <c r="J148" s="3" t="n">
        <v>70246.3</v>
      </c>
    </row>
    <row r="149" customFormat="false" ht="15" hidden="false" customHeight="false" outlineLevel="0" collapsed="false">
      <c r="A149" s="2" t="n">
        <v>46154</v>
      </c>
      <c r="B149" s="3" t="n">
        <v>215.36</v>
      </c>
      <c r="C149" s="3" t="n">
        <v>52.96</v>
      </c>
      <c r="D149" s="3" t="n">
        <v>23.36</v>
      </c>
      <c r="E149" s="3" t="n">
        <v>58.84</v>
      </c>
      <c r="F149" s="3" t="n">
        <v>22.72</v>
      </c>
      <c r="G149" s="3" t="n">
        <v>192.1</v>
      </c>
      <c r="H149" s="3" t="n">
        <v>9.9</v>
      </c>
      <c r="I149" s="3" t="n">
        <v>55.71</v>
      </c>
      <c r="J149" s="3" t="n">
        <v>70036.66</v>
      </c>
    </row>
    <row r="150" customFormat="false" ht="15" hidden="false" customHeight="false" outlineLevel="0" collapsed="false">
      <c r="A150" s="2" t="n">
        <v>46155</v>
      </c>
      <c r="B150" s="3" t="n">
        <v>217.85</v>
      </c>
      <c r="C150" s="3" t="n">
        <v>53.24</v>
      </c>
      <c r="D150" s="3" t="n">
        <v>23.38</v>
      </c>
      <c r="E150" s="3" t="n">
        <v>58.44</v>
      </c>
      <c r="F150" s="3" t="n">
        <v>22.78</v>
      </c>
      <c r="G150" s="3" t="n">
        <v>193.19</v>
      </c>
      <c r="H150" s="3" t="n">
        <v>9.85</v>
      </c>
      <c r="I150" s="3" t="n">
        <v>55.64</v>
      </c>
      <c r="J150" s="3" t="n">
        <v>70187.45</v>
      </c>
    </row>
    <row r="151" customFormat="false" ht="15" hidden="false" customHeight="false" outlineLevel="0" collapsed="false">
      <c r="A151" s="2" t="n">
        <v>46156</v>
      </c>
      <c r="B151" s="3" t="n">
        <v>215.24</v>
      </c>
      <c r="C151" s="3" t="n">
        <v>52.29</v>
      </c>
      <c r="D151" s="3" t="n">
        <v>23.39</v>
      </c>
      <c r="E151" s="3" t="n">
        <v>59.03</v>
      </c>
      <c r="F151" s="3" t="n">
        <v>22.66</v>
      </c>
      <c r="G151" s="3" t="n">
        <v>185.87</v>
      </c>
      <c r="H151" s="3" t="n">
        <v>9.8</v>
      </c>
      <c r="I151" s="3" t="n">
        <v>54.53</v>
      </c>
      <c r="J151" s="3" t="n">
        <v>69206.85</v>
      </c>
    </row>
    <row r="152" customFormat="false" ht="15" hidden="false" customHeight="false" outlineLevel="0" collapsed="false">
      <c r="A152" s="2" t="n">
        <v>46157</v>
      </c>
      <c r="B152" s="3" t="n">
        <v>216.39</v>
      </c>
      <c r="C152" s="3" t="n">
        <v>52.02</v>
      </c>
      <c r="D152" s="3" t="n">
        <v>23.14</v>
      </c>
      <c r="E152" s="3" t="n">
        <v>59.26</v>
      </c>
      <c r="F152" s="3" t="n">
        <v>21.82</v>
      </c>
      <c r="G152" s="3" t="n">
        <v>184.23</v>
      </c>
      <c r="H152" s="3" t="n">
        <v>9.91</v>
      </c>
      <c r="I152" s="3" t="n">
        <v>54.74</v>
      </c>
      <c r="J152" s="3" t="n">
        <v>67976.5</v>
      </c>
    </row>
    <row r="153" customFormat="false" ht="15" hidden="false" customHeight="false" outlineLevel="0" collapsed="false">
      <c r="A153" s="2" t="n">
        <v>46160</v>
      </c>
      <c r="B153" s="3" t="n">
        <v>219.47</v>
      </c>
      <c r="C153" s="3" t="n">
        <v>50.92</v>
      </c>
      <c r="D153" s="3" t="n">
        <v>23.23</v>
      </c>
      <c r="E153" s="3" t="n">
        <v>58</v>
      </c>
      <c r="F153" s="3" t="n">
        <v>21.97</v>
      </c>
      <c r="G153" s="3" t="n">
        <v>188.68</v>
      </c>
      <c r="H153" s="3" t="n">
        <v>9.81</v>
      </c>
      <c r="I153" s="3" t="n">
        <v>56.07</v>
      </c>
      <c r="J153" s="3" t="n">
        <v>68405.2</v>
      </c>
    </row>
    <row r="154" customFormat="false" ht="15" hidden="false" customHeight="false" outlineLevel="0" collapsed="false">
      <c r="A154" s="2" t="n">
        <v>46161</v>
      </c>
      <c r="B154" s="3" t="n">
        <v>218.87</v>
      </c>
      <c r="C154" s="3" t="n">
        <v>50.88</v>
      </c>
      <c r="D154" s="3" t="n">
        <v>23.19</v>
      </c>
      <c r="E154" s="3" t="n">
        <v>59.8</v>
      </c>
      <c r="F154" s="3" t="n">
        <v>21.39</v>
      </c>
      <c r="G154" s="3" t="n">
        <v>191.91</v>
      </c>
      <c r="H154" s="3" t="n">
        <v>9.86</v>
      </c>
      <c r="I154" s="3" t="n">
        <v>55.57</v>
      </c>
      <c r="J154" s="3" t="n">
        <v>68555.63</v>
      </c>
    </row>
    <row r="155" customFormat="false" ht="15" hidden="false" customHeight="false" outlineLevel="0" collapsed="false">
      <c r="A155" s="2" t="n">
        <v>46162</v>
      </c>
      <c r="B155" s="3" t="n">
        <v>220.32</v>
      </c>
      <c r="C155" s="3" t="n">
        <v>52.18</v>
      </c>
      <c r="D155" s="3" t="n">
        <v>23.12</v>
      </c>
      <c r="E155" s="3" t="n">
        <v>59.76</v>
      </c>
      <c r="F155" s="3" t="n">
        <v>21.87</v>
      </c>
      <c r="G155" s="3" t="n">
        <v>188.87</v>
      </c>
      <c r="H155" s="3" t="n">
        <v>9.81</v>
      </c>
      <c r="I155" s="3" t="n">
        <v>55.65</v>
      </c>
      <c r="J155" s="3" t="n">
        <v>68893.93</v>
      </c>
    </row>
    <row r="156" customFormat="false" ht="15" hidden="false" customHeight="false" outlineLevel="0" collapsed="false">
      <c r="A156" s="2" t="n">
        <v>46163</v>
      </c>
      <c r="B156" s="3" t="n">
        <v>222.15</v>
      </c>
      <c r="C156" s="3" t="n">
        <v>52.03</v>
      </c>
      <c r="D156" s="3" t="n">
        <v>22.8</v>
      </c>
      <c r="E156" s="3" t="n">
        <v>57.95</v>
      </c>
      <c r="F156" s="3" t="n">
        <v>21.76</v>
      </c>
      <c r="G156" s="3" t="n">
        <v>186.93</v>
      </c>
      <c r="H156" s="3" t="n">
        <v>9.68</v>
      </c>
      <c r="I156" s="3" t="n">
        <v>55.29</v>
      </c>
      <c r="J156" s="3" t="n">
        <v>68384.41</v>
      </c>
    </row>
    <row r="157" customFormat="false" ht="15" hidden="false" customHeight="false" outlineLevel="0" collapsed="false">
      <c r="A157" s="2" t="n">
        <v>46164</v>
      </c>
      <c r="B157" s="3" t="n">
        <v>220.96</v>
      </c>
      <c r="C157" s="3" t="n">
        <v>51.77</v>
      </c>
      <c r="D157" s="3" t="n">
        <v>22.74</v>
      </c>
      <c r="E157" s="3" t="n">
        <v>58.05</v>
      </c>
      <c r="F157" s="3" t="n">
        <v>21.8</v>
      </c>
      <c r="G157" s="3" t="n">
        <v>190.75</v>
      </c>
      <c r="H157" s="3" t="n">
        <v>9.76</v>
      </c>
      <c r="I157" s="3" t="n">
        <v>55.55</v>
      </c>
      <c r="J157" s="3" t="n">
        <v>68333.47</v>
      </c>
    </row>
    <row r="158" customFormat="false" ht="15" hidden="false" customHeight="false" outlineLevel="0" collapsed="false">
      <c r="A158" s="2" t="n">
        <v>46167</v>
      </c>
      <c r="B158" s="3" t="n">
        <v>221.59</v>
      </c>
      <c r="C158" s="3" t="n">
        <v>51.36</v>
      </c>
      <c r="D158" s="3" t="n">
        <v>22.28</v>
      </c>
      <c r="E158" s="3" t="n">
        <v>57.96</v>
      </c>
      <c r="F158" s="3" t="n">
        <v>22.07</v>
      </c>
      <c r="G158" s="3" t="n">
        <v>188.63</v>
      </c>
      <c r="H158" s="3" t="n">
        <v>9.65</v>
      </c>
      <c r="I158" s="3" t="n">
        <v>55.2</v>
      </c>
      <c r="J158" s="3" t="n">
        <v>68261.17</v>
      </c>
    </row>
    <row r="159" customFormat="false" ht="15" hidden="false" customHeight="false" outlineLevel="0" collapsed="false">
      <c r="A159" s="2" t="n">
        <v>46168</v>
      </c>
      <c r="B159" s="3" t="n">
        <v>225.77</v>
      </c>
      <c r="C159" s="3" t="n">
        <v>51.62</v>
      </c>
      <c r="D159" s="3" t="n">
        <v>22.5</v>
      </c>
      <c r="E159" s="3" t="n">
        <v>58.67</v>
      </c>
      <c r="F159" s="3" t="n">
        <v>22.63</v>
      </c>
      <c r="G159" s="3" t="n">
        <v>192.78</v>
      </c>
      <c r="H159" s="3" t="n">
        <v>9.87</v>
      </c>
      <c r="I159" s="3" t="n">
        <v>54.39</v>
      </c>
      <c r="J159" s="3" t="n">
        <v>69197.57</v>
      </c>
    </row>
    <row r="160" customFormat="false" ht="15" hidden="false" customHeight="false" outlineLevel="0" collapsed="false">
      <c r="A160" s="2" t="n">
        <v>46169</v>
      </c>
      <c r="B160" s="3" t="n">
        <v>229.4</v>
      </c>
      <c r="C160" s="3" t="n">
        <v>52.95</v>
      </c>
      <c r="D160" s="3" t="n">
        <v>22.61</v>
      </c>
      <c r="E160" s="3" t="n">
        <v>59.36</v>
      </c>
      <c r="F160" s="3" t="n">
        <v>22.94</v>
      </c>
      <c r="G160" s="3" t="n">
        <v>199.42</v>
      </c>
      <c r="H160" s="3" t="n">
        <v>9.88</v>
      </c>
      <c r="I160" s="3" t="n">
        <v>54.58</v>
      </c>
      <c r="J160" s="3" t="n">
        <v>70021.35</v>
      </c>
    </row>
    <row r="161" customFormat="false" ht="15" hidden="false" customHeight="false" outlineLevel="0" collapsed="false">
      <c r="A161" s="2" t="n">
        <v>46170</v>
      </c>
      <c r="B161" s="3" t="n">
        <v>225.1</v>
      </c>
      <c r="C161" s="3" t="n">
        <v>53.04</v>
      </c>
      <c r="D161" s="3" t="n">
        <v>22.4</v>
      </c>
      <c r="E161" s="3" t="n">
        <v>58.81</v>
      </c>
      <c r="F161" s="3" t="n">
        <v>22.71</v>
      </c>
      <c r="G161" s="3" t="n">
        <v>185.11</v>
      </c>
      <c r="H161" s="3" t="n">
        <v>9.69</v>
      </c>
      <c r="I161" s="3" t="n">
        <v>52.46</v>
      </c>
      <c r="J161" s="3" t="n">
        <v>68866.28</v>
      </c>
    </row>
    <row r="162" customFormat="false" ht="15" hidden="false" customHeight="false" outlineLevel="0" collapsed="false">
      <c r="A162" s="2" t="n">
        <v>46171</v>
      </c>
      <c r="B162" s="3" t="n">
        <v>225.13</v>
      </c>
      <c r="C162" s="3" t="n">
        <v>53.07</v>
      </c>
      <c r="D162" s="3" t="n">
        <v>21.98</v>
      </c>
      <c r="E162" s="3" t="n">
        <v>59.69</v>
      </c>
      <c r="F162" s="3" t="n">
        <v>22.83</v>
      </c>
      <c r="G162" s="3" t="n">
        <v>180.79</v>
      </c>
      <c r="H162" s="3" t="n">
        <v>9.31</v>
      </c>
      <c r="I162" s="3" t="n">
        <v>52.4</v>
      </c>
      <c r="J162" s="3" t="n">
        <v>68587.74</v>
      </c>
    </row>
    <row r="163" customFormat="false" ht="15" hidden="false" customHeight="false" outlineLevel="0" collapsed="false">
      <c r="A163" s="2" t="n">
        <v>46174</v>
      </c>
      <c r="B163" s="3" t="n">
        <v>222.09</v>
      </c>
      <c r="C163" s="3" t="n">
        <v>52.54</v>
      </c>
      <c r="D163" s="3" t="n">
        <v>21.94</v>
      </c>
      <c r="E163" s="3" t="n">
        <v>57.53</v>
      </c>
      <c r="F163" s="3" t="n">
        <v>22.83</v>
      </c>
      <c r="G163" s="3" t="n">
        <v>180.43</v>
      </c>
      <c r="H163" s="3" t="n">
        <v>9.32</v>
      </c>
      <c r="I163" s="3" t="n">
        <v>52.13</v>
      </c>
      <c r="J163" s="3" t="n">
        <v>68137.03</v>
      </c>
    </row>
    <row r="164" customFormat="false" ht="15" hidden="false" customHeight="false" outlineLevel="0" collapsed="false">
      <c r="A164" s="2" t="n">
        <v>46175</v>
      </c>
      <c r="B164" s="3" t="n">
        <v>222.4</v>
      </c>
      <c r="C164" s="3" t="n">
        <v>53.32</v>
      </c>
      <c r="D164" s="3" t="n">
        <v>22.25</v>
      </c>
      <c r="E164" s="3" t="n">
        <v>58.18</v>
      </c>
      <c r="F164" s="3" t="n">
        <v>22.75</v>
      </c>
      <c r="G164" s="3" t="n">
        <v>182.25</v>
      </c>
      <c r="H164" s="3" t="n">
        <v>9.22</v>
      </c>
      <c r="I164" s="3" t="n">
        <v>51.95</v>
      </c>
      <c r="J164" s="3" t="n">
        <v>68890.33</v>
      </c>
    </row>
    <row r="165" customFormat="false" ht="15" hidden="false" customHeight="false" outlineLevel="0" collapsed="false">
      <c r="A165" s="2" t="n">
        <v>46176</v>
      </c>
      <c r="B165" s="3" t="n">
        <v>220.54</v>
      </c>
      <c r="C165" s="3" t="n">
        <v>52.25</v>
      </c>
      <c r="D165" s="3" t="n">
        <v>22.2</v>
      </c>
      <c r="E165" s="3" t="n">
        <v>58.38</v>
      </c>
      <c r="F165" s="3" t="n">
        <v>22.45</v>
      </c>
      <c r="G165" s="3" t="n">
        <v>180.69</v>
      </c>
      <c r="H165" s="3" t="n">
        <v>9.04</v>
      </c>
      <c r="I165" s="3" t="n">
        <v>52.17</v>
      </c>
      <c r="J165" s="3" t="n">
        <v>68285.82</v>
      </c>
    </row>
    <row r="166" customFormat="false" ht="15" hidden="false" customHeight="false" outlineLevel="0" collapsed="false">
      <c r="A166" s="2" t="n">
        <v>46177</v>
      </c>
      <c r="B166" s="3" t="n">
        <v>217.84</v>
      </c>
      <c r="C166" s="3" t="n">
        <v>51.25</v>
      </c>
      <c r="D166" s="3" t="n">
        <v>21.86</v>
      </c>
      <c r="E166" s="3" t="n">
        <v>57.1</v>
      </c>
      <c r="F166" s="3" t="n">
        <v>22.44</v>
      </c>
      <c r="G166" s="3" t="n">
        <v>179.48</v>
      </c>
      <c r="H166" s="3" t="n">
        <v>9.33</v>
      </c>
      <c r="I166" s="3" t="n">
        <v>51.49</v>
      </c>
      <c r="J166" s="3" t="n">
        <v>67392.19</v>
      </c>
    </row>
    <row r="167" customFormat="false" ht="15" hidden="false" customHeight="false" outlineLevel="0" collapsed="false">
      <c r="A167" s="2" t="n">
        <v>46178</v>
      </c>
      <c r="B167" s="3" t="n">
        <v>215.61</v>
      </c>
      <c r="C167" s="3" t="n">
        <v>49.51</v>
      </c>
      <c r="D167" s="3" t="n">
        <v>21.67</v>
      </c>
      <c r="E167" s="3" t="n">
        <v>55.85</v>
      </c>
      <c r="F167" s="3" t="n">
        <v>21.77</v>
      </c>
      <c r="G167" s="3" t="n">
        <v>177.45</v>
      </c>
      <c r="H167" s="3" t="n">
        <v>9.24</v>
      </c>
      <c r="I167" s="3" t="n">
        <v>51.09</v>
      </c>
      <c r="J167" s="3" t="n">
        <v>66141.38</v>
      </c>
    </row>
    <row r="168" customFormat="false" ht="15" hidden="false" customHeight="false" outlineLevel="0" collapsed="false">
      <c r="A168" s="2" t="n">
        <v>46181</v>
      </c>
      <c r="B168" s="3" t="n">
        <v>214.96</v>
      </c>
      <c r="C168" s="3" t="n">
        <v>49.5</v>
      </c>
      <c r="D168" s="3" t="n">
        <v>21.71</v>
      </c>
      <c r="E168" s="3" t="n">
        <v>55.88</v>
      </c>
      <c r="F168" s="3" t="n">
        <v>21.12</v>
      </c>
      <c r="G168" s="3" t="n">
        <v>175.28</v>
      </c>
      <c r="H168" s="3" t="n">
        <v>9.3</v>
      </c>
      <c r="I168" s="3" t="n">
        <v>51.35</v>
      </c>
      <c r="J168" s="3" t="n">
        <v>65650.23</v>
      </c>
    </row>
    <row r="169" customFormat="false" ht="15" hidden="false" customHeight="false" outlineLevel="0" collapsed="false">
      <c r="A169" s="2" t="n">
        <v>46182</v>
      </c>
      <c r="B169" s="3" t="n">
        <v>211.38</v>
      </c>
      <c r="C169" s="3" t="n">
        <v>48.21</v>
      </c>
      <c r="D169" s="3" t="n">
        <v>22.06</v>
      </c>
      <c r="E169" s="3" t="n">
        <v>55.61</v>
      </c>
      <c r="F169" s="3" t="n">
        <v>21.03</v>
      </c>
      <c r="G169" s="3" t="n">
        <v>174.81</v>
      </c>
      <c r="H169" s="3" t="n">
        <v>9.71</v>
      </c>
      <c r="I169" s="3" t="n">
        <v>50.62</v>
      </c>
      <c r="J169" s="3" t="n">
        <v>65409.48</v>
      </c>
    </row>
    <row r="170" customFormat="false" ht="15" hidden="false" customHeight="false" outlineLevel="0" collapsed="false">
      <c r="A170" s="2" t="n">
        <v>46183</v>
      </c>
      <c r="B170" s="3" t="n">
        <v>209.47</v>
      </c>
      <c r="C170" s="3" t="n">
        <v>48.08</v>
      </c>
      <c r="D170" s="3" t="n">
        <v>22.12</v>
      </c>
      <c r="E170" s="3" t="n">
        <v>56.67</v>
      </c>
      <c r="F170" s="3" t="n">
        <v>20.63</v>
      </c>
      <c r="G170" s="3" t="n">
        <v>175.13</v>
      </c>
      <c r="H170" s="3" t="n">
        <v>9.81</v>
      </c>
      <c r="I170" s="3" t="n">
        <v>50.21</v>
      </c>
      <c r="J170" s="3" t="n">
        <v>64821.61</v>
      </c>
    </row>
    <row r="171" customFormat="false" ht="15" hidden="false" customHeight="false" outlineLevel="0" collapsed="false">
      <c r="A171" s="2" t="n">
        <v>46184</v>
      </c>
      <c r="B171" s="3" t="n">
        <v>209.74</v>
      </c>
      <c r="C171" s="3" t="n">
        <v>48.11</v>
      </c>
      <c r="D171" s="3" t="n">
        <v>23.84</v>
      </c>
      <c r="E171" s="3" t="n">
        <v>58.24</v>
      </c>
      <c r="F171" s="3" t="n">
        <v>21.88</v>
      </c>
      <c r="G171" s="3" t="n">
        <v>182.62</v>
      </c>
      <c r="H171" s="3" t="n">
        <v>9.85</v>
      </c>
      <c r="I171" s="3" t="n">
        <v>51.81</v>
      </c>
      <c r="J171" s="3" t="n">
        <v>66977.05</v>
      </c>
    </row>
    <row r="172" customFormat="false" ht="15" hidden="false" customHeight="false" outlineLevel="0" collapsed="false">
      <c r="A172" s="2" t="n">
        <v>46185</v>
      </c>
      <c r="B172" s="3" t="n">
        <v>209.61</v>
      </c>
      <c r="C172" s="3" t="n">
        <v>48.16</v>
      </c>
      <c r="D172" s="3" t="n">
        <v>23.88</v>
      </c>
      <c r="E172" s="3" t="n">
        <v>58.15</v>
      </c>
      <c r="F172" s="3" t="n">
        <v>22.37</v>
      </c>
      <c r="G172" s="3" t="n">
        <v>188.65</v>
      </c>
      <c r="H172" s="3" t="n">
        <v>9.95</v>
      </c>
      <c r="I172" s="3" t="n">
        <v>52.08</v>
      </c>
      <c r="J172" s="3" t="n">
        <v>67954.55</v>
      </c>
    </row>
    <row r="173" customFormat="false" ht="15" hidden="false" customHeight="false" outlineLevel="0" collapsed="false">
      <c r="A173" s="2" t="n">
        <v>46188</v>
      </c>
      <c r="B173" s="3" t="n">
        <v>212.42</v>
      </c>
      <c r="C173" s="3" t="n">
        <v>46.47</v>
      </c>
      <c r="D173" s="3" t="n">
        <v>23.35</v>
      </c>
      <c r="E173" s="3" t="n">
        <v>58.09</v>
      </c>
      <c r="F173" s="3" t="n">
        <v>22.24</v>
      </c>
      <c r="G173" s="3" t="n">
        <v>187.61</v>
      </c>
      <c r="H173" s="3" t="n">
        <v>10.18</v>
      </c>
      <c r="I173" s="3" t="n">
        <v>52.64</v>
      </c>
      <c r="J173" s="3" t="n">
        <v>68207.6</v>
      </c>
    </row>
    <row r="174" customFormat="false" ht="15" hidden="false" customHeight="false" outlineLevel="0" collapsed="false">
      <c r="A174" s="2" t="n">
        <v>46189</v>
      </c>
      <c r="B174" s="3" t="n">
        <v>214.79</v>
      </c>
      <c r="C174" s="3" t="n">
        <v>46.9</v>
      </c>
      <c r="D174" s="3" t="n">
        <v>23.13</v>
      </c>
      <c r="E174" s="3" t="n">
        <v>58</v>
      </c>
      <c r="F174" s="3" t="n">
        <v>22.35</v>
      </c>
      <c r="G174" s="3" t="n">
        <v>189.38</v>
      </c>
      <c r="H174" s="3" t="n">
        <v>10.24</v>
      </c>
      <c r="I174" s="3" t="n">
        <v>52.2</v>
      </c>
      <c r="J174" s="3" t="n">
        <v>68482.94</v>
      </c>
    </row>
    <row r="175" customFormat="false" ht="15" hidden="false" customHeight="false" outlineLevel="0" collapsed="false">
      <c r="A175" s="2" t="n">
        <v>46190</v>
      </c>
      <c r="B175" s="3" t="n">
        <v>214.42</v>
      </c>
      <c r="C175" s="3" t="n">
        <v>48.14</v>
      </c>
      <c r="D175" s="3" t="n">
        <v>22.92</v>
      </c>
      <c r="E175" s="3" t="n">
        <v>57.72</v>
      </c>
      <c r="F175" s="3" t="n">
        <v>21.84</v>
      </c>
      <c r="G175" s="3" t="n">
        <v>191.11</v>
      </c>
      <c r="H175" s="3" t="n">
        <v>10.51</v>
      </c>
      <c r="I175" s="3" t="n">
        <v>51.79</v>
      </c>
      <c r="J175" s="3" t="n">
        <v>68304.73</v>
      </c>
    </row>
    <row r="176" customFormat="false" ht="15" hidden="false" customHeight="false" outlineLevel="0" collapsed="false">
      <c r="A176" s="2" t="n">
        <v>46191</v>
      </c>
      <c r="B176" s="3" t="n">
        <v>210.45</v>
      </c>
      <c r="C176" s="3" t="n">
        <v>46.78</v>
      </c>
      <c r="D176" s="3" t="n">
        <v>22.98</v>
      </c>
      <c r="E176" s="3" t="n">
        <v>57.02</v>
      </c>
      <c r="F176" s="3" t="n">
        <v>22.22</v>
      </c>
      <c r="G176" s="3" t="n">
        <v>191.53</v>
      </c>
      <c r="H176" s="3" t="n">
        <v>10.49</v>
      </c>
      <c r="I176" s="3" t="n">
        <v>50.29</v>
      </c>
      <c r="J176" s="3" t="n">
        <v>68265.11</v>
      </c>
    </row>
    <row r="177" customFormat="false" ht="15" hidden="false" customHeight="false" outlineLevel="0" collapsed="false">
      <c r="A177" s="2" t="n">
        <v>46192</v>
      </c>
      <c r="B177" s="3" t="n">
        <v>208.87</v>
      </c>
      <c r="C177" s="3" t="n">
        <v>47.04</v>
      </c>
      <c r="D177" s="3" t="n">
        <v>23.47</v>
      </c>
      <c r="E177" s="3" t="n">
        <v>58.74</v>
      </c>
      <c r="F177" s="3" t="n">
        <v>21.53</v>
      </c>
      <c r="G177" s="3" t="n">
        <v>189.25</v>
      </c>
      <c r="H177" s="3" t="n">
        <v>10.21</v>
      </c>
      <c r="I177" s="3" t="n">
        <v>51.38</v>
      </c>
      <c r="J177" s="3" t="n">
        <v>67705.37</v>
      </c>
    </row>
    <row r="178" customFormat="false" ht="15" hidden="false" customHeight="false" outlineLevel="0" collapsed="false">
      <c r="A178" s="2" t="n">
        <v>46195</v>
      </c>
      <c r="B178" s="3" t="n">
        <v>206.73</v>
      </c>
      <c r="C178" s="3" t="n">
        <v>46.19</v>
      </c>
      <c r="D178" s="3" t="n">
        <v>22.66</v>
      </c>
      <c r="E178" s="3" t="n">
        <v>56.22</v>
      </c>
      <c r="F178" s="3" t="n">
        <v>21.76</v>
      </c>
      <c r="G178" s="3" t="n">
        <v>187.88</v>
      </c>
      <c r="H178" s="3" t="n">
        <v>9.5</v>
      </c>
      <c r="I178" s="3" t="n">
        <v>50.57</v>
      </c>
      <c r="J178" s="3" t="n">
        <v>67125.26</v>
      </c>
    </row>
    <row r="179" customFormat="false" ht="15" hidden="false" customHeight="false" outlineLevel="0" collapsed="false">
      <c r="A179" s="2" t="n">
        <v>46196</v>
      </c>
      <c r="B179" s="3" t="n">
        <v>209.95</v>
      </c>
      <c r="C179" s="3" t="n">
        <v>46.34</v>
      </c>
      <c r="D179" s="3" t="n">
        <v>22.71</v>
      </c>
      <c r="E179" s="3" t="n">
        <v>55.89</v>
      </c>
      <c r="F179" s="3" t="n">
        <v>21.34</v>
      </c>
      <c r="G179" s="3" t="n">
        <v>184.77</v>
      </c>
      <c r="H179" s="3" t="n">
        <v>9.48</v>
      </c>
      <c r="I179" s="3" t="n">
        <v>50.82</v>
      </c>
      <c r="J179" s="3" t="n">
        <v>66848.42</v>
      </c>
    </row>
    <row r="180" customFormat="false" ht="15" hidden="false" customHeight="false" outlineLevel="0" collapsed="false">
      <c r="A180" s="2" t="n">
        <v>46197</v>
      </c>
      <c r="B180" s="3" t="n">
        <v>210.68</v>
      </c>
      <c r="C180" s="3" t="n">
        <v>44.89</v>
      </c>
      <c r="D180" s="3" t="n">
        <v>22.9</v>
      </c>
      <c r="E180" s="3" t="n">
        <v>55.21</v>
      </c>
      <c r="F180" s="3" t="n">
        <v>21.09</v>
      </c>
      <c r="G180" s="3" t="n">
        <v>182.29</v>
      </c>
      <c r="H180" s="3" t="n">
        <v>9.74</v>
      </c>
      <c r="I180" s="3" t="n">
        <v>51.51</v>
      </c>
      <c r="J180" s="3" t="n">
        <v>66278.01</v>
      </c>
    </row>
    <row r="181" customFormat="false" ht="15" hidden="false" customHeight="false" outlineLevel="0" collapsed="false">
      <c r="A181" s="2" t="n">
        <v>46198</v>
      </c>
      <c r="B181" s="3" t="n">
        <v>211.35</v>
      </c>
      <c r="C181" s="3" t="n">
        <v>44.32</v>
      </c>
      <c r="D181" s="3" t="n">
        <v>23.03</v>
      </c>
      <c r="E181" s="3" t="n">
        <v>56.16</v>
      </c>
      <c r="F181" s="3" t="n">
        <v>21.72</v>
      </c>
      <c r="G181" s="3" t="n">
        <v>185.85</v>
      </c>
      <c r="H181" s="3" t="n">
        <v>9.62</v>
      </c>
      <c r="I181" s="3" t="n">
        <v>51.12</v>
      </c>
      <c r="J181" s="3" t="n">
        <v>67416.22</v>
      </c>
    </row>
    <row r="182" customFormat="false" ht="15" hidden="false" customHeight="false" outlineLevel="0" collapsed="false">
      <c r="A182" s="2" t="n">
        <v>46199</v>
      </c>
      <c r="B182" s="3" t="n">
        <v>211.49</v>
      </c>
      <c r="C182" s="3" t="n">
        <v>44.46</v>
      </c>
      <c r="D182" s="3" t="n">
        <v>23.21</v>
      </c>
      <c r="E182" s="3" t="n">
        <v>57.01</v>
      </c>
      <c r="F182" s="3" t="n">
        <v>21.54</v>
      </c>
      <c r="G182" s="3" t="n">
        <v>182.23</v>
      </c>
      <c r="H182" s="3" t="n">
        <v>9.49</v>
      </c>
      <c r="I182" s="3" t="n">
        <v>50.8</v>
      </c>
      <c r="J182" s="3" t="n">
        <v>67226.01</v>
      </c>
    </row>
    <row r="183" customFormat="false" ht="15" hidden="false" customHeight="false" outlineLevel="0" collapsed="false">
      <c r="A183" s="2" t="n">
        <v>46202</v>
      </c>
      <c r="B183" s="3" t="n">
        <v>210.84</v>
      </c>
      <c r="C183" s="3" t="n">
        <v>44.66</v>
      </c>
      <c r="D183" s="3" t="n">
        <v>23.33</v>
      </c>
      <c r="E183" s="3" t="n">
        <v>56.98</v>
      </c>
      <c r="F183" s="3" t="n">
        <v>21.27</v>
      </c>
      <c r="G183" s="3" t="n">
        <v>185.02</v>
      </c>
      <c r="H183" s="3" t="n">
        <v>9.67</v>
      </c>
      <c r="I183" s="3" t="n">
        <v>51.14</v>
      </c>
      <c r="J183" s="3" t="n">
        <v>67640.59</v>
      </c>
    </row>
    <row r="184" customFormat="false" ht="15" hidden="false" customHeight="false" outlineLevel="0" collapsed="false">
      <c r="A184" s="2" t="n">
        <v>46203</v>
      </c>
      <c r="B184" s="3" t="n">
        <v>209.58</v>
      </c>
      <c r="C184" s="3" t="n">
        <v>45.8</v>
      </c>
      <c r="D184" s="3" t="n">
        <v>22.65</v>
      </c>
      <c r="E184" s="3" t="n">
        <v>57.15</v>
      </c>
      <c r="F184" s="3" t="n">
        <v>21</v>
      </c>
      <c r="G184" s="3" t="n">
        <v>184.57</v>
      </c>
      <c r="H184" s="3" t="n">
        <v>9.57</v>
      </c>
      <c r="I184" s="3" t="n">
        <v>51.37</v>
      </c>
      <c r="J184" s="3" t="n">
        <v>66966.68</v>
      </c>
    </row>
    <row r="185" customFormat="false" ht="15" hidden="false" customHeight="false" outlineLevel="0" collapsed="false">
      <c r="A185" s="2" t="n">
        <v>46204</v>
      </c>
      <c r="B185" s="3" t="n">
        <v>208.58</v>
      </c>
      <c r="C185" s="3" t="n">
        <v>45.22</v>
      </c>
      <c r="D185" s="3" t="n">
        <v>22.54</v>
      </c>
      <c r="E185" s="3" t="n">
        <v>56.27</v>
      </c>
      <c r="F185" s="3" t="n">
        <v>21.36</v>
      </c>
      <c r="G185" s="3" t="n">
        <v>189.77</v>
      </c>
      <c r="H185" s="3" t="n">
        <v>9.54</v>
      </c>
      <c r="I185" s="3" t="n">
        <v>51.07</v>
      </c>
      <c r="J185" s="3" t="n">
        <v>67247.79</v>
      </c>
    </row>
    <row r="186" customFormat="false" ht="15" hidden="false" customHeight="false" outlineLevel="0" collapsed="false">
      <c r="A186" s="2" t="n">
        <v>46205</v>
      </c>
      <c r="B186" s="3" t="n">
        <v>208.63</v>
      </c>
      <c r="C186" s="3" t="n">
        <v>45.53</v>
      </c>
      <c r="D186" s="3" t="n">
        <v>22.42</v>
      </c>
      <c r="E186" s="3" t="n">
        <v>56.39</v>
      </c>
      <c r="F186" s="3" t="n">
        <v>21.37</v>
      </c>
      <c r="G186" s="3" t="n">
        <v>187.7</v>
      </c>
      <c r="H186" s="3" t="n">
        <v>9.34</v>
      </c>
      <c r="I186" s="3" t="n">
        <v>49.76</v>
      </c>
      <c r="J186" s="3" t="n">
        <v>67071.11</v>
      </c>
    </row>
    <row r="187" customFormat="false" ht="15" hidden="false" customHeight="false" outlineLevel="0" collapsed="false">
      <c r="A187" s="2" t="n">
        <v>46206</v>
      </c>
      <c r="B187" s="3" t="n">
        <v>206.85</v>
      </c>
      <c r="C187" s="3" t="n">
        <v>45.1</v>
      </c>
      <c r="D187" s="3" t="n">
        <v>22.54</v>
      </c>
      <c r="E187" s="3" t="n">
        <v>56.28</v>
      </c>
      <c r="F187" s="3" t="n">
        <v>21.43</v>
      </c>
      <c r="G187" s="3" t="n">
        <v>187.05</v>
      </c>
      <c r="H187" s="3" t="n">
        <v>9.43</v>
      </c>
      <c r="I187" s="3" t="n">
        <v>50.11</v>
      </c>
      <c r="J187" s="3" t="n">
        <v>67060.49</v>
      </c>
    </row>
    <row r="188" customFormat="false" ht="15" hidden="false" customHeight="false" outlineLevel="0" collapsed="false">
      <c r="A188" s="2" t="n">
        <v>46209</v>
      </c>
      <c r="B188" s="3" t="n">
        <v>205.57</v>
      </c>
      <c r="C188" s="3" t="n">
        <v>44.69</v>
      </c>
      <c r="D188" s="3" t="n">
        <v>22.77</v>
      </c>
      <c r="E188" s="3" t="n">
        <v>57.04</v>
      </c>
      <c r="F188" s="3" t="n">
        <v>21.41</v>
      </c>
      <c r="G188" s="3" t="n">
        <v>188.41</v>
      </c>
      <c r="H188" s="3" t="n">
        <v>9.58</v>
      </c>
      <c r="I188" s="3" t="n">
        <v>49.06</v>
      </c>
      <c r="J188" s="3" t="n">
        <v>67466.46</v>
      </c>
    </row>
    <row r="189" customFormat="false" ht="15" hidden="false" customHeight="false" outlineLevel="0" collapsed="false">
      <c r="A189" s="2" t="n">
        <v>46210</v>
      </c>
      <c r="B189" s="3" t="n">
        <v>208.25</v>
      </c>
      <c r="C189" s="3" t="n">
        <v>44.52</v>
      </c>
      <c r="D189" s="3" t="n">
        <v>22.96</v>
      </c>
      <c r="E189" s="3" t="n">
        <v>56.68</v>
      </c>
      <c r="F189" s="3" t="n">
        <v>21.21</v>
      </c>
      <c r="G189" s="3" t="n">
        <v>188.18</v>
      </c>
      <c r="H189" s="3" t="n">
        <v>9.62</v>
      </c>
      <c r="I189" s="3" t="n">
        <v>50.08</v>
      </c>
      <c r="J189" s="3" t="n">
        <v>66674.7</v>
      </c>
    </row>
    <row r="190" customFormat="false" ht="15" hidden="false" customHeight="false" outlineLevel="0" collapsed="false">
      <c r="A190" s="2" t="n">
        <v>46211</v>
      </c>
      <c r="B190" s="3" t="n">
        <v>205.83</v>
      </c>
      <c r="C190" s="3" t="n">
        <v>44.58</v>
      </c>
      <c r="D190" s="3" t="n">
        <v>23.22</v>
      </c>
      <c r="E190" s="3" t="n">
        <v>56.86</v>
      </c>
      <c r="F190" s="3" t="n">
        <v>21.39</v>
      </c>
      <c r="G190" s="3" t="n">
        <v>186.93</v>
      </c>
      <c r="H190" s="3" t="n">
        <v>9.54</v>
      </c>
      <c r="I190" s="3" t="n">
        <v>49.68</v>
      </c>
      <c r="J190" s="3" t="n">
        <v>66609.64</v>
      </c>
    </row>
    <row r="191" customFormat="false" ht="15" hidden="false" customHeight="false" outlineLevel="0" collapsed="false">
      <c r="A191" s="2" t="n">
        <v>46212</v>
      </c>
      <c r="B191" s="3" t="n">
        <v>202.08</v>
      </c>
      <c r="C191" s="3" t="n">
        <v>44.93</v>
      </c>
      <c r="D191" s="3" t="n">
        <v>22.64</v>
      </c>
      <c r="E191" s="3" t="n">
        <v>55.93</v>
      </c>
      <c r="F191" s="3" t="n">
        <v>21.71</v>
      </c>
      <c r="G191" s="3" t="n">
        <v>185.35</v>
      </c>
      <c r="H191" s="3" t="n">
        <v>9.49</v>
      </c>
      <c r="I191" s="3" t="n">
        <v>49.02</v>
      </c>
      <c r="J191" s="3" t="n">
        <v>66107.28</v>
      </c>
    </row>
    <row r="192" customFormat="false" ht="15" hidden="false" customHeight="false" outlineLevel="0" collapsed="false">
      <c r="A192" s="2" t="n">
        <v>46213</v>
      </c>
      <c r="B192" s="3" t="n">
        <v>198.23</v>
      </c>
      <c r="C192" s="3" t="n">
        <v>44.41</v>
      </c>
      <c r="D192" s="3" t="n">
        <v>22.73</v>
      </c>
      <c r="E192" s="3" t="n">
        <v>56.1</v>
      </c>
      <c r="F192" s="3" t="n">
        <v>21.86</v>
      </c>
      <c r="G192" s="3" t="n">
        <v>186.59</v>
      </c>
      <c r="H192" s="3" t="n">
        <v>9.73</v>
      </c>
      <c r="I192" s="3" t="n">
        <v>49.32</v>
      </c>
      <c r="J192" s="3" t="n">
        <v>66496.1</v>
      </c>
    </row>
    <row r="193" customFormat="false" ht="15" hidden="false" customHeight="false" outlineLevel="0" collapsed="false">
      <c r="A193" s="2" t="n">
        <v>46216</v>
      </c>
      <c r="B193" s="3" t="n">
        <v>197.91</v>
      </c>
      <c r="C193" s="3" t="n">
        <v>43.9</v>
      </c>
      <c r="D193" s="3" t="n">
        <v>22.79</v>
      </c>
      <c r="E193" s="3" t="n">
        <v>55.87</v>
      </c>
      <c r="F193" s="3" t="n">
        <v>21.78</v>
      </c>
      <c r="G193" s="3" t="n">
        <v>182.07</v>
      </c>
      <c r="H193" s="3" t="n">
        <v>9.61</v>
      </c>
      <c r="I193" s="3" t="n">
        <v>49.65</v>
      </c>
      <c r="J193" s="3" t="n">
        <v>65973.08</v>
      </c>
    </row>
    <row r="194" customFormat="false" ht="15" hidden="false" customHeight="false" outlineLevel="0" collapsed="false">
      <c r="A194" s="2" t="n">
        <v>46217</v>
      </c>
      <c r="B194" s="3" t="n">
        <v>197.4</v>
      </c>
      <c r="C194" s="3" t="n">
        <v>42.83</v>
      </c>
      <c r="D194" s="3" t="n">
        <v>22.86</v>
      </c>
      <c r="E194" s="3" t="n">
        <v>56.36</v>
      </c>
      <c r="F194" s="3" t="n">
        <v>22.2</v>
      </c>
      <c r="G194" s="3" t="n">
        <v>186.19</v>
      </c>
      <c r="H194" s="3" t="n">
        <v>9.53</v>
      </c>
      <c r="I194" s="3" t="n">
        <v>49.27</v>
      </c>
      <c r="J194" s="3" t="n">
        <v>66514.3</v>
      </c>
    </row>
    <row r="195" customFormat="false" ht="15" hidden="false" customHeight="false" outlineLevel="0" collapsed="false">
      <c r="A195" s="2" t="n">
        <v>46218</v>
      </c>
      <c r="B195" s="3" t="n">
        <v>196.22</v>
      </c>
      <c r="C195" s="3" t="n">
        <v>41.65</v>
      </c>
      <c r="D195" s="3" t="n">
        <v>22.72</v>
      </c>
      <c r="E195" s="3" t="n">
        <v>57.52</v>
      </c>
      <c r="F195" s="3" t="n">
        <v>22.62</v>
      </c>
      <c r="G195" s="3" t="n">
        <v>183.46</v>
      </c>
      <c r="H195" s="3" t="n">
        <v>9.56</v>
      </c>
      <c r="I195" s="3" t="n">
        <v>49.7</v>
      </c>
      <c r="J195" s="3" t="n">
        <v>66399.71</v>
      </c>
    </row>
    <row r="196" customFormat="false" ht="15" hidden="false" customHeight="false" outlineLevel="0" collapsed="false">
      <c r="A196" s="2" t="n">
        <v>46219</v>
      </c>
      <c r="B196" s="3" t="n">
        <v>196.01</v>
      </c>
      <c r="C196" s="3" t="n">
        <v>41.79</v>
      </c>
      <c r="D196" s="3" t="n">
        <v>22.84</v>
      </c>
      <c r="E196" s="3" t="n">
        <v>57.92</v>
      </c>
      <c r="F196" s="3" t="n">
        <v>22.78</v>
      </c>
      <c r="G196" s="3" t="n">
        <v>180.39</v>
      </c>
      <c r="H196" s="3" t="n">
        <v>9.51</v>
      </c>
      <c r="I196" s="3" t="n">
        <v>49.56</v>
      </c>
      <c r="J196" s="3" t="n">
        <v>66356.09</v>
      </c>
    </row>
    <row r="197" customFormat="false" ht="15" hidden="false" customHeight="false" outlineLevel="0" collapsed="false">
      <c r="A197" s="2" t="n">
        <v>46220</v>
      </c>
      <c r="B197" s="3" t="n">
        <v>200.45</v>
      </c>
      <c r="C197" s="3" t="n">
        <v>41.45</v>
      </c>
      <c r="D197" s="3" t="n">
        <v>23.07</v>
      </c>
      <c r="E197" s="3" t="n">
        <v>58</v>
      </c>
      <c r="F197" s="3" t="n">
        <v>22.73</v>
      </c>
      <c r="G197" s="3" t="n">
        <v>181.15</v>
      </c>
      <c r="H197" s="3" t="n">
        <v>9.57</v>
      </c>
      <c r="I197" s="3" t="n">
        <v>49.49</v>
      </c>
      <c r="J197" s="3" t="n">
        <v>66634.23</v>
      </c>
    </row>
    <row r="198" customFormat="false" ht="15" hidden="false" customHeight="false" outlineLevel="0" collapsed="false">
      <c r="A198" s="2" t="n">
        <v>46223</v>
      </c>
      <c r="B198" s="3" t="n">
        <v>201.66</v>
      </c>
      <c r="C198" s="3" t="n">
        <v>41.4</v>
      </c>
      <c r="D198" s="3" t="n">
        <v>22.75</v>
      </c>
      <c r="E198" s="3" t="n">
        <v>59.5</v>
      </c>
      <c r="F198" s="3" t="n">
        <v>21.88</v>
      </c>
      <c r="G198" s="3" t="n">
        <v>179.98</v>
      </c>
      <c r="H198" s="3" t="n">
        <v>9.71</v>
      </c>
      <c r="I198" s="3" t="n">
        <v>49.34</v>
      </c>
      <c r="J198" s="3" t="n">
        <v>66122.78</v>
      </c>
    </row>
    <row r="199" customFormat="false" ht="15" hidden="false" customHeight="false" outlineLevel="0" collapsed="false">
      <c r="A199" s="2" t="n">
        <v>46224</v>
      </c>
      <c r="B199" s="3" t="n">
        <v>203.83</v>
      </c>
      <c r="C199" s="3" t="n">
        <v>40.02</v>
      </c>
      <c r="D199" s="3" t="n">
        <v>22.75</v>
      </c>
      <c r="E199" s="3" t="n">
        <v>59.33</v>
      </c>
      <c r="F199" s="3" t="n">
        <v>22.07</v>
      </c>
      <c r="G199" s="3" t="n">
        <v>187.07</v>
      </c>
      <c r="H199" s="3" t="n">
        <v>9.76</v>
      </c>
      <c r="I199" s="3" t="n">
        <v>49.12</v>
      </c>
      <c r="J199" s="3" t="n">
        <v>66713.83</v>
      </c>
    </row>
    <row r="200" customFormat="false" ht="15" hidden="false" customHeight="false" outlineLevel="0" collapsed="false">
      <c r="A200" s="2" t="n">
        <v>46225</v>
      </c>
      <c r="B200" s="3" t="n">
        <v>205.54</v>
      </c>
      <c r="C200" s="3" t="n">
        <v>40.18</v>
      </c>
      <c r="D200" s="3" t="n">
        <v>22.69</v>
      </c>
      <c r="E200" s="3" t="n">
        <v>60.21</v>
      </c>
      <c r="F200" s="3" t="n">
        <v>22.17</v>
      </c>
      <c r="G200" s="3" t="n">
        <v>191.62</v>
      </c>
      <c r="H200" s="3" t="n">
        <v>9.87</v>
      </c>
      <c r="I200" s="3" t="n">
        <v>48.53</v>
      </c>
      <c r="J200" s="3" t="n">
        <v>67303.83</v>
      </c>
    </row>
    <row r="201" customFormat="false" ht="15" hidden="false" customHeight="false" outlineLevel="0" collapsed="false">
      <c r="A201" s="2" t="n">
        <v>46226</v>
      </c>
      <c r="B201" s="3" t="n">
        <v>196.39</v>
      </c>
      <c r="C201" s="3" t="n">
        <v>40.02</v>
      </c>
      <c r="D201" s="3" t="n">
        <v>22.76</v>
      </c>
      <c r="E201" s="3" t="n">
        <v>59</v>
      </c>
      <c r="F201" s="3" t="n">
        <v>21.5</v>
      </c>
      <c r="G201" s="3" t="n">
        <v>189.26</v>
      </c>
      <c r="H201" s="3" t="n">
        <v>9.84</v>
      </c>
      <c r="I201" s="3" t="n">
        <v>47.34</v>
      </c>
      <c r="J201" s="3" t="n">
        <v>66266.01</v>
      </c>
    </row>
    <row r="202" customFormat="false" ht="15" hidden="false" customHeight="false" outlineLevel="0" collapsed="false">
      <c r="A202" s="2" t="n">
        <v>46227</v>
      </c>
      <c r="B202" s="3" t="n">
        <v>199.09</v>
      </c>
      <c r="C202" s="3" t="n">
        <v>40.76</v>
      </c>
      <c r="D202" s="3" t="n">
        <v>22.81</v>
      </c>
      <c r="E202" s="3" t="n">
        <v>58.31</v>
      </c>
      <c r="F202" s="3" t="n">
        <v>21.14</v>
      </c>
      <c r="G202" s="3" t="n">
        <v>192.27</v>
      </c>
      <c r="H202" s="3" t="n">
        <v>9.81</v>
      </c>
      <c r="I202" s="3" t="n">
        <v>48.08</v>
      </c>
      <c r="J202" s="3" t="n">
        <v>66383.26</v>
      </c>
    </row>
    <row r="203" customFormat="false" ht="15" hidden="false" customHeight="false" outlineLevel="0" collapsed="false">
      <c r="A203" s="2" t="n">
        <v>46230</v>
      </c>
      <c r="B203" s="3" t="n">
        <v>199.3</v>
      </c>
      <c r="C203" s="3" t="n">
        <v>40.98</v>
      </c>
      <c r="D203" s="3" t="n">
        <v>22.46</v>
      </c>
      <c r="E203" s="3" t="n">
        <v>59.11</v>
      </c>
      <c r="F203" s="3" t="n">
        <v>21.37</v>
      </c>
      <c r="G203" s="3" t="n">
        <v>196.43</v>
      </c>
      <c r="H203" s="3" t="n">
        <v>9.88</v>
      </c>
      <c r="I203" s="3" t="n">
        <v>48.4</v>
      </c>
      <c r="J203" s="3" t="n">
        <v>67157.91</v>
      </c>
    </row>
    <row r="204" customFormat="false" ht="15" hidden="false" customHeight="false" outlineLevel="0" collapsed="false">
      <c r="A204" s="2" t="n">
        <v>46231</v>
      </c>
      <c r="B204" s="3" t="n">
        <v>197.7</v>
      </c>
      <c r="C204" s="3" t="n">
        <v>41.74</v>
      </c>
      <c r="D204" s="3" t="n">
        <v>22.5</v>
      </c>
      <c r="E204" s="3" t="n">
        <v>59.9</v>
      </c>
      <c r="F204" s="3" t="n">
        <v>20.95</v>
      </c>
      <c r="G204" s="3" t="n">
        <v>199.63</v>
      </c>
      <c r="H204" s="3" t="n">
        <v>9.83</v>
      </c>
      <c r="I204" s="3" t="n">
        <v>48.77</v>
      </c>
      <c r="J204" s="3" t="n">
        <v>67307.54</v>
      </c>
    </row>
    <row r="205" customFormat="false" ht="15" hidden="false" customHeight="false" outlineLevel="0" collapsed="false">
      <c r="A205" s="2" t="n">
        <v>46232</v>
      </c>
      <c r="B205" s="3" t="n">
        <v>198.13</v>
      </c>
      <c r="C205" s="3" t="n">
        <v>41.95</v>
      </c>
      <c r="D205" s="3" t="n">
        <v>21.83</v>
      </c>
      <c r="E205" s="3" t="n">
        <v>59.88</v>
      </c>
      <c r="F205" s="3" t="n">
        <v>20.59</v>
      </c>
      <c r="G205" s="3" t="n">
        <v>196.71</v>
      </c>
      <c r="H205" s="3" t="n">
        <v>9.86</v>
      </c>
      <c r="I205" s="3" t="n">
        <v>49.46</v>
      </c>
      <c r="J205" s="3" t="n">
        <v>66479.89</v>
      </c>
    </row>
    <row r="206" customFormat="false" ht="15" hidden="false" customHeight="false" outlineLevel="0" collapsed="false">
      <c r="A206" s="2" t="n">
        <v>46233</v>
      </c>
      <c r="B206" s="3" t="n">
        <v>199.18</v>
      </c>
      <c r="C206" s="3" t="n">
        <v>42.27</v>
      </c>
      <c r="D206" s="3" t="n">
        <v>22</v>
      </c>
      <c r="E206" s="3" t="n">
        <v>60.71</v>
      </c>
      <c r="F206" s="3" t="n">
        <v>20.69</v>
      </c>
      <c r="G206" s="3" t="n">
        <v>200.28</v>
      </c>
      <c r="H206" s="3" t="n">
        <v>9.88</v>
      </c>
      <c r="I206" s="3" t="n">
        <v>50.19</v>
      </c>
      <c r="J206" s="3" t="n">
        <v>67290.4</v>
      </c>
    </row>
    <row r="207" customFormat="false" ht="15" hidden="false" customHeight="false" outlineLevel="0" collapsed="false">
      <c r="A207" s="2" t="n">
        <v>46234</v>
      </c>
      <c r="B207" s="3" t="n">
        <v>198.46</v>
      </c>
      <c r="C207" s="3" t="n">
        <v>42.12</v>
      </c>
      <c r="D207" s="3" t="n">
        <v>22.07</v>
      </c>
      <c r="E207" s="3" t="n">
        <v>61.96</v>
      </c>
      <c r="F207" s="3" t="n">
        <v>20.51</v>
      </c>
      <c r="G207" s="3" t="n">
        <v>200.58</v>
      </c>
      <c r="H207" s="3" t="n">
        <v>9.81</v>
      </c>
      <c r="I207" s="3" t="n">
        <v>50.25</v>
      </c>
      <c r="J207" s="3" t="n">
        <v>66936.99</v>
      </c>
    </row>
    <row r="208" customFormat="false" ht="15" hidden="false" customHeight="false" outlineLevel="0" collapsed="false">
      <c r="A208" s="2" t="n">
        <v>46237</v>
      </c>
      <c r="B208" s="3" t="n">
        <v>195.63</v>
      </c>
      <c r="C208" s="3" t="n">
        <v>41.71</v>
      </c>
      <c r="D208" s="3" t="n">
        <v>21.61</v>
      </c>
      <c r="E208" s="3" t="n">
        <v>61.29</v>
      </c>
      <c r="F208" s="3" t="n">
        <v>20.6</v>
      </c>
      <c r="G208" s="3" t="n">
        <v>198.64</v>
      </c>
      <c r="H208" s="3" t="n">
        <v>9.72</v>
      </c>
      <c r="I208" s="3" t="n">
        <v>49.79</v>
      </c>
      <c r="J208" s="3" t="n">
        <v>66697.22</v>
      </c>
    </row>
    <row r="209" customFormat="false" ht="15" hidden="false" customHeight="false" outlineLevel="0" collapsed="false">
      <c r="A209" s="2" t="n">
        <v>46238</v>
      </c>
      <c r="B209" s="3" t="n">
        <v>194.29</v>
      </c>
      <c r="C209" s="3" t="n">
        <v>41.15</v>
      </c>
      <c r="D209" s="3" t="n">
        <v>21.48</v>
      </c>
      <c r="E209" s="3" t="n">
        <v>60.9</v>
      </c>
      <c r="F209" s="3" t="n">
        <v>20.08</v>
      </c>
      <c r="G209" s="3" t="n">
        <v>197.73</v>
      </c>
      <c r="H209" s="3" t="n">
        <v>9.62</v>
      </c>
      <c r="I209" s="3" t="n">
        <v>49.89</v>
      </c>
      <c r="J209" s="3" t="n">
        <v>66833.16</v>
      </c>
    </row>
    <row r="210" customFormat="false" ht="15" hidden="false" customHeight="false" outlineLevel="0" collapsed="false">
      <c r="A210" s="2" t="n">
        <v>46239</v>
      </c>
      <c r="B210" s="3" t="n">
        <v>193.35</v>
      </c>
      <c r="C210" s="3" t="n">
        <v>41.46</v>
      </c>
      <c r="D210" s="3" t="n">
        <v>20.79</v>
      </c>
      <c r="E210" s="3" t="n">
        <v>61.16</v>
      </c>
      <c r="F210" s="3" t="n">
        <v>19.96</v>
      </c>
      <c r="G210" s="3" t="n">
        <v>198.93</v>
      </c>
      <c r="H210" s="3" t="n">
        <v>9.52</v>
      </c>
      <c r="I210" s="3" t="n">
        <v>48.53</v>
      </c>
      <c r="J210" s="3" t="n">
        <v>66525.18</v>
      </c>
    </row>
    <row r="211" customFormat="false" ht="15" hidden="false" customHeight="false" outlineLevel="0" collapsed="false">
      <c r="A211" s="2" t="n">
        <v>46240</v>
      </c>
      <c r="B211" s="3" t="n">
        <v>194.66</v>
      </c>
      <c r="C211" s="3" t="n">
        <v>41.81</v>
      </c>
      <c r="D211" s="3" t="n">
        <v>20.61</v>
      </c>
      <c r="E211" s="3" t="n">
        <v>60.8</v>
      </c>
      <c r="F211" s="3" t="n">
        <v>19.52</v>
      </c>
      <c r="G211" s="3" t="n">
        <v>198.86</v>
      </c>
      <c r="H211" s="3" t="n">
        <v>9.76</v>
      </c>
      <c r="I211" s="3" t="n">
        <v>48.99</v>
      </c>
      <c r="J211" s="3" t="n">
        <v>66396.15</v>
      </c>
    </row>
    <row r="212" customFormat="false" ht="15" hidden="false" customHeight="false" outlineLevel="0" collapsed="false">
      <c r="A212" s="2" t="n">
        <v>46241</v>
      </c>
      <c r="B212" s="3" t="n">
        <v>197.42</v>
      </c>
      <c r="C212" s="3" t="n">
        <v>41.89</v>
      </c>
      <c r="D212" s="3" t="n">
        <v>20.43</v>
      </c>
      <c r="E212" s="3" t="n">
        <v>61.15</v>
      </c>
      <c r="F212" s="3" t="n">
        <v>19.54</v>
      </c>
      <c r="G212" s="3" t="n">
        <v>199.78</v>
      </c>
      <c r="H212" s="3" t="n">
        <v>9.79</v>
      </c>
      <c r="I212" s="3" t="n">
        <v>49.47</v>
      </c>
      <c r="J212" s="3" t="n">
        <v>66938.64</v>
      </c>
    </row>
    <row r="213" customFormat="false" ht="15" hidden="false" customHeight="false" outlineLevel="0" collapsed="false">
      <c r="A213" s="2" t="n">
        <v>46244</v>
      </c>
      <c r="B213" s="3" t="n">
        <v>195.62</v>
      </c>
      <c r="C213" s="3" t="n">
        <v>41.67</v>
      </c>
      <c r="D213" s="3" t="n">
        <v>20.48</v>
      </c>
      <c r="E213" s="3" t="n">
        <v>61.59</v>
      </c>
      <c r="F213" s="3" t="n">
        <v>19.48</v>
      </c>
      <c r="G213" s="3" t="n">
        <v>197.15</v>
      </c>
      <c r="H213" s="3" t="n">
        <v>9.97</v>
      </c>
      <c r="I213" s="3" t="n">
        <v>48.18</v>
      </c>
      <c r="J213" s="3" t="n">
        <v>66438.58</v>
      </c>
    </row>
    <row r="214" customFormat="false" ht="15" hidden="false" customHeight="false" outlineLevel="0" collapsed="false">
      <c r="A214" s="2" t="n">
        <v>46245</v>
      </c>
      <c r="B214" s="3" t="n">
        <v>194.04</v>
      </c>
      <c r="C214" s="3" t="n">
        <v>41.26</v>
      </c>
      <c r="D214" s="3" t="n">
        <v>19.99</v>
      </c>
      <c r="E214" s="3" t="n">
        <v>61.57</v>
      </c>
      <c r="F214" s="3" t="n">
        <v>19.15</v>
      </c>
      <c r="G214" s="3" t="n">
        <v>191.71</v>
      </c>
      <c r="H214" s="3" t="n">
        <v>9.69</v>
      </c>
      <c r="I214" s="3" t="n">
        <v>48.37</v>
      </c>
      <c r="J214" s="3" t="n">
        <v>65564.76</v>
      </c>
    </row>
    <row r="215" customFormat="false" ht="15" hidden="false" customHeight="false" outlineLevel="0" collapsed="false">
      <c r="A215" s="2" t="n">
        <v>46246</v>
      </c>
      <c r="B215" s="3" t="n">
        <v>194.19</v>
      </c>
      <c r="C215" s="3" t="n">
        <v>41.64</v>
      </c>
      <c r="D215" s="3" t="n">
        <v>19.88</v>
      </c>
      <c r="E215" s="3" t="n">
        <v>60.83</v>
      </c>
      <c r="F215" s="3" t="n">
        <v>19.21</v>
      </c>
      <c r="G215" s="3" t="n">
        <v>194.58</v>
      </c>
      <c r="H215" s="3" t="n">
        <v>9.78</v>
      </c>
      <c r="I215" s="3" t="n">
        <v>47.86</v>
      </c>
      <c r="J215" s="3" t="n">
        <v>65755.97</v>
      </c>
    </row>
    <row r="216" customFormat="false" ht="15" hidden="false" customHeight="false" outlineLevel="0" collapsed="false">
      <c r="A216" s="2" t="n">
        <v>46247</v>
      </c>
      <c r="B216" s="3" t="n">
        <v>192.89</v>
      </c>
      <c r="C216" s="3" t="n">
        <v>40.65</v>
      </c>
      <c r="D216" s="3" t="n">
        <v>19.87</v>
      </c>
      <c r="E216" s="3" t="n">
        <v>60.85</v>
      </c>
      <c r="F216" s="3" t="n">
        <v>18.97</v>
      </c>
      <c r="G216" s="3" t="n">
        <v>192.21</v>
      </c>
      <c r="H216" s="3" t="n">
        <v>9.79</v>
      </c>
      <c r="I216" s="3" t="n">
        <v>47.12</v>
      </c>
      <c r="J216" s="3" t="n">
        <v>64826.39</v>
      </c>
    </row>
    <row r="217" customFormat="false" ht="15" hidden="false" customHeight="false" outlineLevel="0" collapsed="false">
      <c r="A217" s="2" t="n">
        <v>46248</v>
      </c>
      <c r="B217" s="3" t="n">
        <v>192.78</v>
      </c>
      <c r="C217" s="3" t="n">
        <v>40.4</v>
      </c>
      <c r="D217" s="3" t="n">
        <v>20.01</v>
      </c>
      <c r="E217" s="3" t="n">
        <v>60.37</v>
      </c>
      <c r="F217" s="3" t="n">
        <v>18.92</v>
      </c>
      <c r="G217" s="3" t="n">
        <v>188.04</v>
      </c>
      <c r="H217" s="3" t="n">
        <v>9.86</v>
      </c>
      <c r="I217" s="3" t="n">
        <v>47.42</v>
      </c>
      <c r="J217" s="3" t="n">
        <v>64397.45</v>
      </c>
    </row>
    <row r="218" customFormat="false" ht="15" hidden="false" customHeight="false" outlineLevel="0" collapsed="false">
      <c r="A218" s="2" t="n">
        <v>46251</v>
      </c>
      <c r="B218" s="3" t="n">
        <v>190.98</v>
      </c>
      <c r="C218" s="3" t="n">
        <v>40.49</v>
      </c>
      <c r="D218" s="3" t="n">
        <v>20.16</v>
      </c>
      <c r="E218" s="3" t="n">
        <v>58.23</v>
      </c>
      <c r="F218" s="3" t="n">
        <v>18.98</v>
      </c>
      <c r="G218" s="3" t="n">
        <v>188.09</v>
      </c>
      <c r="H218" s="3" t="n">
        <v>9.76</v>
      </c>
      <c r="I218" s="3" t="n">
        <v>47.01</v>
      </c>
      <c r="J218" s="3" t="n">
        <v>64254.98</v>
      </c>
    </row>
    <row r="219" customFormat="false" ht="15" hidden="false" customHeight="false" outlineLevel="0" collapsed="false">
      <c r="A219" s="2" t="n">
        <v>46252</v>
      </c>
      <c r="B219" s="3" t="n">
        <v>190.8</v>
      </c>
      <c r="C219" s="3" t="n">
        <v>40.06</v>
      </c>
      <c r="D219" s="3" t="n">
        <v>20.2</v>
      </c>
      <c r="E219" s="3" t="n">
        <v>59.06</v>
      </c>
      <c r="F219" s="3" t="n">
        <v>18.29</v>
      </c>
      <c r="G219" s="3" t="n">
        <v>187.55</v>
      </c>
      <c r="H219" s="3" t="n">
        <v>9.43</v>
      </c>
      <c r="I219" s="3" t="n">
        <v>47.18</v>
      </c>
      <c r="J219" s="3" t="n">
        <v>63933.69</v>
      </c>
    </row>
    <row r="220" customFormat="false" ht="15" hidden="false" customHeight="false" outlineLevel="0" collapsed="false">
      <c r="A220" s="2" t="n">
        <v>46253</v>
      </c>
      <c r="B220" s="3" t="n">
        <v>188.6</v>
      </c>
      <c r="C220" s="3" t="n">
        <v>40.32</v>
      </c>
      <c r="D220" s="3" t="n">
        <v>19.96</v>
      </c>
      <c r="E220" s="3" t="n">
        <v>58.97</v>
      </c>
      <c r="F220" s="3" t="n">
        <v>18.12</v>
      </c>
      <c r="G220" s="3" t="n">
        <v>184.68</v>
      </c>
      <c r="H220" s="3" t="n">
        <v>9.32</v>
      </c>
      <c r="I220" s="3" t="n">
        <v>46.95</v>
      </c>
      <c r="J220" s="3" t="n">
        <v>63999.26</v>
      </c>
    </row>
    <row r="221" customFormat="false" ht="15" hidden="false" customHeight="false" outlineLevel="0" collapsed="false">
      <c r="A221" s="2" t="n">
        <v>46254</v>
      </c>
      <c r="B221" s="3" t="n">
        <v>189.82</v>
      </c>
      <c r="C221" s="3" t="n">
        <v>39.69</v>
      </c>
      <c r="D221" s="3" t="n">
        <v>19.86</v>
      </c>
      <c r="E221" s="3" t="n">
        <v>58.48</v>
      </c>
      <c r="F221" s="3" t="n">
        <v>18.02</v>
      </c>
      <c r="G221" s="3" t="n">
        <v>185.51</v>
      </c>
      <c r="H221" s="3" t="n">
        <v>9.23</v>
      </c>
      <c r="I221" s="3" t="n">
        <v>47.65</v>
      </c>
      <c r="J221" s="3" t="n">
        <v>64349.8</v>
      </c>
    </row>
    <row r="222" customFormat="false" ht="15" hidden="false" customHeight="false" outlineLevel="0" collapsed="false">
      <c r="A222" s="2" t="n">
        <v>46255</v>
      </c>
      <c r="B222" s="3" t="n">
        <v>192.16</v>
      </c>
      <c r="C222" s="3" t="n">
        <v>40.24</v>
      </c>
      <c r="D222" s="3" t="n">
        <v>20.14</v>
      </c>
      <c r="E222" s="3" t="n">
        <v>59.86</v>
      </c>
      <c r="F222" s="3" t="n">
        <v>18.77</v>
      </c>
      <c r="G222" s="3" t="n">
        <v>187.92</v>
      </c>
      <c r="H222" s="3" t="n">
        <v>9.36</v>
      </c>
      <c r="I222" s="3" t="n">
        <v>46.57</v>
      </c>
      <c r="J222" s="3" t="n">
        <v>65729.18</v>
      </c>
    </row>
    <row r="223" customFormat="false" ht="15" hidden="false" customHeight="false" outlineLevel="0" collapsed="false">
      <c r="A223" s="2" t="n">
        <v>46258</v>
      </c>
      <c r="B223" s="3" t="n">
        <v>195.35</v>
      </c>
      <c r="C223" s="3" t="n">
        <v>40.21</v>
      </c>
      <c r="D223" s="3" t="n">
        <v>20.19</v>
      </c>
      <c r="E223" s="3" t="n">
        <v>60.37</v>
      </c>
      <c r="F223" s="3" t="n">
        <v>18.79</v>
      </c>
      <c r="G223" s="3" t="n">
        <v>187.78</v>
      </c>
      <c r="H223" s="3" t="n">
        <v>9.44</v>
      </c>
      <c r="I223" s="3" t="n">
        <v>46.79</v>
      </c>
      <c r="J223" s="3" t="n">
        <v>65770.85</v>
      </c>
    </row>
    <row r="224" customFormat="false" ht="15" hidden="false" customHeight="false" outlineLevel="0" collapsed="false">
      <c r="A224" s="2" t="n">
        <v>46259</v>
      </c>
      <c r="B224" s="3" t="n">
        <v>197.95</v>
      </c>
      <c r="C224" s="3" t="n">
        <v>41.18</v>
      </c>
      <c r="D224" s="3" t="n">
        <v>20.14</v>
      </c>
      <c r="E224" s="3" t="n">
        <v>60</v>
      </c>
      <c r="F224" s="3" t="n">
        <v>18.73</v>
      </c>
      <c r="G224" s="3" t="n">
        <v>190.28</v>
      </c>
      <c r="H224" s="3" t="n">
        <v>9.36</v>
      </c>
      <c r="I224" s="3" t="n">
        <v>47.73</v>
      </c>
      <c r="J224" s="3" t="n">
        <v>66293.07</v>
      </c>
    </row>
    <row r="225" customFormat="false" ht="15" hidden="false" customHeight="false" outlineLevel="0" collapsed="false">
      <c r="A225" s="2" t="n">
        <v>46260</v>
      </c>
      <c r="B225" s="3" t="n">
        <v>195.68</v>
      </c>
      <c r="C225" s="3" t="n">
        <v>41.28</v>
      </c>
      <c r="D225" s="3" t="n">
        <v>20.09</v>
      </c>
      <c r="E225" s="3" t="n">
        <v>59.96</v>
      </c>
      <c r="F225" s="3" t="n">
        <v>18.64</v>
      </c>
      <c r="G225" s="3" t="n">
        <v>193.49</v>
      </c>
      <c r="H225" s="3" t="n">
        <v>9.66</v>
      </c>
      <c r="I225" s="3" t="n">
        <v>47.93</v>
      </c>
      <c r="J225" s="3" t="n">
        <v>66191.11</v>
      </c>
    </row>
    <row r="226" customFormat="false" ht="15" hidden="false" customHeight="false" outlineLevel="0" collapsed="false">
      <c r="A226" s="2" t="n">
        <v>46261</v>
      </c>
      <c r="B226" s="3" t="n">
        <v>194.04</v>
      </c>
      <c r="C226" s="3" t="n">
        <v>41.2</v>
      </c>
      <c r="D226" s="3" t="n">
        <v>19.97</v>
      </c>
      <c r="E226" s="3" t="n">
        <v>58.97</v>
      </c>
      <c r="F226" s="3" t="n">
        <v>18.58</v>
      </c>
      <c r="G226" s="3" t="n">
        <v>191.2</v>
      </c>
      <c r="H226" s="3" t="n">
        <v>9.36</v>
      </c>
      <c r="I226" s="3" t="n">
        <v>47.75</v>
      </c>
      <c r="J226" s="3" t="n">
        <v>65829.98</v>
      </c>
    </row>
    <row r="227" customFormat="false" ht="15" hidden="false" customHeight="false" outlineLevel="0" collapsed="false">
      <c r="A227" s="2" t="n">
        <v>46262</v>
      </c>
      <c r="B227" s="3" t="n">
        <v>194.11</v>
      </c>
      <c r="C227" s="3" t="n">
        <v>40.99</v>
      </c>
      <c r="D227" s="3" t="n">
        <v>19.8</v>
      </c>
      <c r="E227" s="3" t="n">
        <v>58.87</v>
      </c>
      <c r="F227" s="3" t="n">
        <v>18.6</v>
      </c>
      <c r="G227" s="3" t="n">
        <v>190.56</v>
      </c>
      <c r="H227" s="3" t="n">
        <v>9.34</v>
      </c>
      <c r="I227" s="3" t="n">
        <v>48.04</v>
      </c>
      <c r="J227" s="3" t="n">
        <v>65484.32</v>
      </c>
    </row>
    <row r="228" customFormat="false" ht="15" hidden="false" customHeight="false" outlineLevel="0" collapsed="false">
      <c r="A228" s="2" t="n">
        <v>46265</v>
      </c>
      <c r="B228" s="3" t="n">
        <v>194.79</v>
      </c>
      <c r="C228" s="3" t="n">
        <v>41.63</v>
      </c>
      <c r="D228" s="3" t="n">
        <v>19.61</v>
      </c>
      <c r="E228" s="3" t="n">
        <v>59.17</v>
      </c>
      <c r="F228" s="3" t="n">
        <v>18.32</v>
      </c>
      <c r="G228" s="3" t="n">
        <v>192.46</v>
      </c>
      <c r="H228" s="3" t="n">
        <v>9.36</v>
      </c>
      <c r="I228" s="3" t="n">
        <v>47.07</v>
      </c>
      <c r="J228" s="3" t="n">
        <v>65430.32</v>
      </c>
    </row>
    <row r="229" customFormat="false" ht="15" hidden="false" customHeight="false" outlineLevel="0" collapsed="false">
      <c r="A229" s="2" t="n">
        <v>46266</v>
      </c>
      <c r="B229" s="3" t="n">
        <v>192.62</v>
      </c>
      <c r="C229" s="3" t="n">
        <v>41.42</v>
      </c>
      <c r="D229" s="3" t="n">
        <v>19.59</v>
      </c>
      <c r="E229" s="3" t="n">
        <v>58.27</v>
      </c>
      <c r="F229" s="3" t="n">
        <v>17.81</v>
      </c>
      <c r="G229" s="3" t="n">
        <v>192.67</v>
      </c>
      <c r="H229" s="3" t="n">
        <v>9.01</v>
      </c>
      <c r="I229" s="3" t="n">
        <v>46.89</v>
      </c>
      <c r="J229" s="3" t="n">
        <v>64514.25</v>
      </c>
    </row>
    <row r="230" customFormat="false" ht="15" hidden="false" customHeight="false" outlineLevel="0" collapsed="false">
      <c r="A230" s="2" t="n">
        <v>46267</v>
      </c>
      <c r="B230" s="3" t="n">
        <v>193.3</v>
      </c>
      <c r="C230" s="3" t="n">
        <v>41.67</v>
      </c>
      <c r="D230" s="3" t="n">
        <v>19.42</v>
      </c>
      <c r="E230" s="3" t="n">
        <v>57.88</v>
      </c>
      <c r="F230" s="3" t="n">
        <v>18.02</v>
      </c>
      <c r="G230" s="3" t="n">
        <v>196.19</v>
      </c>
      <c r="H230" s="3" t="n">
        <v>9.05</v>
      </c>
      <c r="I230" s="3" t="n">
        <v>46.79</v>
      </c>
      <c r="J230" s="3" t="n">
        <v>64884.28</v>
      </c>
    </row>
    <row r="231" customFormat="false" ht="15" hidden="false" customHeight="false" outlineLevel="0" collapsed="false">
      <c r="A231" s="2" t="n">
        <v>46268</v>
      </c>
      <c r="B231" s="3" t="n">
        <v>194.03</v>
      </c>
      <c r="C231" s="3" t="n">
        <v>42.83</v>
      </c>
      <c r="D231" s="3" t="n">
        <v>19.6</v>
      </c>
      <c r="E231" s="3" t="n">
        <v>57.89</v>
      </c>
      <c r="F231" s="3" t="n">
        <v>18.45</v>
      </c>
      <c r="G231" s="3" t="n">
        <v>198.44</v>
      </c>
      <c r="H231" s="3" t="n">
        <v>9.07</v>
      </c>
      <c r="I231" s="3" t="n">
        <v>47.51</v>
      </c>
      <c r="J231" s="3" t="n">
        <v>65436.16</v>
      </c>
    </row>
    <row r="232" customFormat="false" ht="15" hidden="false" customHeight="false" outlineLevel="0" collapsed="false">
      <c r="A232" s="2" t="n">
        <v>46269</v>
      </c>
      <c r="B232" s="3" t="n">
        <v>192.58</v>
      </c>
      <c r="C232" s="3" t="n">
        <v>42.86</v>
      </c>
      <c r="D232" s="3" t="n">
        <v>19.45</v>
      </c>
      <c r="E232" s="3" t="n">
        <v>56.38</v>
      </c>
      <c r="F232" s="3" t="n">
        <v>18.66</v>
      </c>
      <c r="G232" s="3" t="n">
        <v>196.57</v>
      </c>
      <c r="H232" s="3" t="n">
        <v>8.9</v>
      </c>
      <c r="I232" s="3" t="n">
        <v>47.23</v>
      </c>
      <c r="J232" s="3" t="n">
        <v>64866.61</v>
      </c>
    </row>
    <row r="233" customFormat="false" ht="15" hidden="false" customHeight="false" outlineLevel="0" collapsed="false">
      <c r="A233" s="2" t="n">
        <v>46272</v>
      </c>
      <c r="B233" s="3" t="n">
        <v>190.97</v>
      </c>
      <c r="C233" s="3" t="n">
        <v>43.74</v>
      </c>
      <c r="D233" s="3" t="n">
        <v>19.44</v>
      </c>
      <c r="E233" s="3" t="n">
        <v>56.14</v>
      </c>
      <c r="F233" s="3" t="n">
        <v>18.76</v>
      </c>
      <c r="G233" s="3" t="n">
        <v>195.69</v>
      </c>
      <c r="H233" s="3" t="n">
        <v>7.74</v>
      </c>
      <c r="I233" s="3" t="n">
        <v>47.07</v>
      </c>
      <c r="J233" s="3" t="n">
        <v>64727.54</v>
      </c>
    </row>
    <row r="234" customFormat="false" ht="15" hidden="false" customHeight="false" outlineLevel="0" collapsed="false">
      <c r="A234" s="2" t="n">
        <v>46273</v>
      </c>
      <c r="B234" s="3" t="n">
        <v>192.07</v>
      </c>
      <c r="C234" s="3" t="n">
        <v>43.81</v>
      </c>
      <c r="D234" s="3" t="n">
        <v>19.47</v>
      </c>
      <c r="E234" s="3" t="n">
        <v>55.89</v>
      </c>
      <c r="F234" s="3" t="n">
        <v>18.72</v>
      </c>
      <c r="G234" s="3" t="n">
        <v>200.09</v>
      </c>
      <c r="H234" s="3" t="n">
        <v>8.45</v>
      </c>
      <c r="I234" s="3" t="n">
        <v>46.37</v>
      </c>
      <c r="J234" s="3" t="n">
        <v>65065.56</v>
      </c>
    </row>
    <row r="235" customFormat="false" ht="15" hidden="false" customHeight="false" outlineLevel="0" collapsed="false">
      <c r="A235" s="2" t="n">
        <v>46274</v>
      </c>
      <c r="B235" s="3" t="n">
        <v>193.56</v>
      </c>
      <c r="C235" s="3" t="n">
        <v>43.1</v>
      </c>
      <c r="D235" s="3" t="n">
        <v>19.52</v>
      </c>
      <c r="E235" s="3" t="n">
        <v>56.57</v>
      </c>
      <c r="F235" s="3" t="n">
        <v>18.45</v>
      </c>
      <c r="G235" s="3" t="n">
        <v>198.67</v>
      </c>
      <c r="H235" s="3" t="n">
        <v>8.05</v>
      </c>
      <c r="I235" s="3" t="n">
        <v>45.8</v>
      </c>
      <c r="J235" s="3" t="n">
        <v>64814.97</v>
      </c>
    </row>
    <row r="236" customFormat="false" ht="15" hidden="false" customHeight="false" outlineLevel="0" collapsed="false">
      <c r="A236" s="2" t="n">
        <v>46275</v>
      </c>
      <c r="B236" s="3" t="n">
        <v>195.03</v>
      </c>
      <c r="C236" s="3" t="n">
        <v>43.22</v>
      </c>
      <c r="D236" s="3" t="n">
        <v>19.37</v>
      </c>
      <c r="E236" s="3" t="n">
        <v>55.87</v>
      </c>
      <c r="F236" s="3" t="n">
        <v>18.11</v>
      </c>
      <c r="G236" s="3" t="n">
        <v>199.4</v>
      </c>
      <c r="H236" s="3" t="n">
        <v>7.96</v>
      </c>
      <c r="I236" s="3" t="n">
        <v>46.1</v>
      </c>
      <c r="J236" s="3" t="n">
        <v>64106.82</v>
      </c>
    </row>
    <row r="237" customFormat="false" ht="15" hidden="false" customHeight="false" outlineLevel="0" collapsed="false">
      <c r="A237" s="2" t="n">
        <v>46276</v>
      </c>
      <c r="B237" s="3" t="n">
        <v>195.87</v>
      </c>
      <c r="C237" s="3" t="n">
        <v>42.95</v>
      </c>
      <c r="D237" s="3" t="n">
        <v>19.34</v>
      </c>
      <c r="E237" s="3" t="n">
        <v>55.34</v>
      </c>
      <c r="F237" s="3" t="n">
        <v>18.13</v>
      </c>
      <c r="G237" s="3" t="n">
        <v>199.12</v>
      </c>
      <c r="H237" s="3" t="n">
        <v>7.97</v>
      </c>
      <c r="I237" s="3" t="n">
        <v>45.55</v>
      </c>
      <c r="J237" s="3" t="n">
        <v>63924.77</v>
      </c>
    </row>
    <row r="238" customFormat="false" ht="15" hidden="false" customHeight="false" outlineLevel="0" collapsed="false">
      <c r="A238" s="2" t="n">
        <v>46279</v>
      </c>
      <c r="B238" s="3" t="n">
        <v>198.99</v>
      </c>
      <c r="C238" s="3" t="n">
        <v>42.99</v>
      </c>
      <c r="D238" s="3" t="n">
        <v>19.84</v>
      </c>
      <c r="E238" s="3" t="n">
        <v>55.52</v>
      </c>
      <c r="F238" s="3" t="n">
        <v>17.91</v>
      </c>
      <c r="G238" s="3" t="n">
        <v>200.75</v>
      </c>
      <c r="H238" s="3" t="n">
        <v>8</v>
      </c>
      <c r="I238" s="3" t="n">
        <v>46.04</v>
      </c>
      <c r="J238" s="3" t="n">
        <v>64216.98</v>
      </c>
    </row>
    <row r="239" customFormat="false" ht="15" hidden="false" customHeight="false" outlineLevel="0" collapsed="false">
      <c r="A239" s="2" t="n">
        <v>46280</v>
      </c>
      <c r="B239" s="3" t="n">
        <v>199.78</v>
      </c>
      <c r="C239" s="3" t="n">
        <v>43.76</v>
      </c>
      <c r="D239" s="3" t="n">
        <v>19.91</v>
      </c>
      <c r="E239" s="3" t="n">
        <v>55.08</v>
      </c>
      <c r="F239" s="3" t="n">
        <v>17.56</v>
      </c>
      <c r="G239" s="3" t="n">
        <v>195.26</v>
      </c>
      <c r="H239" s="3" t="n">
        <v>7.63</v>
      </c>
      <c r="I239" s="3" t="n">
        <v>45.54</v>
      </c>
      <c r="J239" s="3" t="n">
        <v>63507.11</v>
      </c>
    </row>
    <row r="240" customFormat="false" ht="15" hidden="false" customHeight="false" outlineLevel="0" collapsed="false">
      <c r="A240" s="2" t="n">
        <v>46282</v>
      </c>
      <c r="B240" s="3" t="n">
        <v>200.36</v>
      </c>
      <c r="C240" s="3" t="n">
        <v>43.15</v>
      </c>
      <c r="D240" s="3" t="n">
        <v>19.75</v>
      </c>
      <c r="E240" s="3" t="n">
        <v>55.15</v>
      </c>
      <c r="F240" s="3" t="n">
        <v>17.55</v>
      </c>
      <c r="G240" s="3" t="n">
        <v>196.04</v>
      </c>
      <c r="H240" s="3" t="n">
        <v>7.93</v>
      </c>
      <c r="I240" s="3" t="n">
        <v>46.21</v>
      </c>
      <c r="J240" s="3" t="n">
        <v>63873.32</v>
      </c>
    </row>
    <row r="241" customFormat="false" ht="15" hidden="false" customHeight="false" outlineLevel="0" collapsed="false">
      <c r="A241" s="2" t="n">
        <v>46283</v>
      </c>
      <c r="B241" s="3" t="n">
        <v>201.27</v>
      </c>
      <c r="C241" s="3" t="n">
        <v>44.01</v>
      </c>
      <c r="D241" s="3" t="n">
        <v>19.4</v>
      </c>
      <c r="E241" s="3" t="n">
        <v>54.2</v>
      </c>
      <c r="F241" s="3" t="n">
        <v>17.42</v>
      </c>
      <c r="G241" s="3" t="n">
        <v>190.82</v>
      </c>
      <c r="H241" s="3" t="n">
        <v>8</v>
      </c>
      <c r="I241" s="3" t="n">
        <v>46.32</v>
      </c>
      <c r="J241" s="3" t="n">
        <v>63375.93</v>
      </c>
    </row>
    <row r="242" customFormat="false" ht="15" hidden="false" customHeight="false" outlineLevel="0" collapsed="false">
      <c r="A242" s="2" t="n">
        <v>46286</v>
      </c>
      <c r="B242" s="3" t="n">
        <v>196.68</v>
      </c>
      <c r="C242" s="3" t="n">
        <v>43.65</v>
      </c>
      <c r="D242" s="3" t="n">
        <v>19.36</v>
      </c>
      <c r="E242" s="3" t="n">
        <v>54.44</v>
      </c>
      <c r="F242" s="3" t="n">
        <v>17.29</v>
      </c>
      <c r="G242" s="3" t="n">
        <v>193.28</v>
      </c>
      <c r="H242" s="3" t="n">
        <v>8.71</v>
      </c>
      <c r="I242" s="3" t="n">
        <v>45.18</v>
      </c>
      <c r="J242" s="3" t="n">
        <v>63536.96</v>
      </c>
    </row>
    <row r="243" customFormat="false" ht="15" hidden="false" customHeight="false" outlineLevel="0" collapsed="false">
      <c r="A243" s="2" t="n">
        <v>46287</v>
      </c>
      <c r="B243" s="3" t="n">
        <v>197.6</v>
      </c>
      <c r="C243" s="3" t="n">
        <v>43.22</v>
      </c>
      <c r="D243" s="3" t="n">
        <v>19.32</v>
      </c>
      <c r="E243" s="3" t="n">
        <v>55.41</v>
      </c>
      <c r="F243" s="3" t="n">
        <v>17.77</v>
      </c>
      <c r="G243" s="3" t="n">
        <v>196.72</v>
      </c>
      <c r="H243" s="3" t="n">
        <v>8.54</v>
      </c>
      <c r="I243" s="3" t="n">
        <v>45.78</v>
      </c>
      <c r="J243" s="3" t="n">
        <v>64456.59</v>
      </c>
    </row>
    <row r="244" customFormat="false" ht="15" hidden="false" customHeight="false" outlineLevel="0" collapsed="false">
      <c r="A244" s="2" t="n">
        <v>46288</v>
      </c>
      <c r="B244" s="3" t="n">
        <v>197.79</v>
      </c>
      <c r="C244" s="3" t="n">
        <v>43.3</v>
      </c>
      <c r="D244" s="3" t="n">
        <v>19.33</v>
      </c>
      <c r="E244" s="3" t="n">
        <v>55.09</v>
      </c>
      <c r="F244" s="3" t="n">
        <v>17.23</v>
      </c>
      <c r="G244" s="3" t="n">
        <v>195.87</v>
      </c>
      <c r="H244" s="3" t="n">
        <v>8.5</v>
      </c>
      <c r="I244" s="3" t="n">
        <v>45.89</v>
      </c>
      <c r="J244" s="3" t="n">
        <v>64276.72</v>
      </c>
    </row>
    <row r="245" customFormat="false" ht="15" hidden="false" customHeight="false" outlineLevel="0" collapsed="false">
      <c r="A245" s="2" t="n">
        <v>46289</v>
      </c>
      <c r="B245" s="3" t="n">
        <v>197.71</v>
      </c>
      <c r="C245" s="3" t="n">
        <v>43.1</v>
      </c>
      <c r="D245" s="3" t="n">
        <v>19.6</v>
      </c>
      <c r="E245" s="3" t="n">
        <v>55.08</v>
      </c>
      <c r="F245" s="3" t="n">
        <v>16.95</v>
      </c>
      <c r="G245" s="3" t="n">
        <v>193.89</v>
      </c>
      <c r="H245" s="3" t="n">
        <v>8.39</v>
      </c>
      <c r="I245" s="3" t="n">
        <v>45.92</v>
      </c>
      <c r="J245" s="3" t="n">
        <v>64264.16</v>
      </c>
    </row>
    <row r="246" customFormat="false" ht="15" hidden="false" customHeight="false" outlineLevel="0" collapsed="false">
      <c r="A246" s="2" t="n">
        <v>46290</v>
      </c>
      <c r="B246" s="3" t="n">
        <v>199.64</v>
      </c>
      <c r="C246" s="3" t="n">
        <v>44.88</v>
      </c>
      <c r="D246" s="3" t="n">
        <v>19.51</v>
      </c>
      <c r="E246" s="3" t="n">
        <v>55.16</v>
      </c>
      <c r="F246" s="3" t="n">
        <v>17.31</v>
      </c>
      <c r="G246" s="3" t="n">
        <v>196.17</v>
      </c>
      <c r="H246" s="3" t="n">
        <v>8.33</v>
      </c>
      <c r="I246" s="3" t="n">
        <v>46.61</v>
      </c>
      <c r="J246" s="3" t="n">
        <v>64992.23</v>
      </c>
    </row>
    <row r="247" customFormat="false" ht="15" hidden="false" customHeight="false" outlineLevel="0" collapsed="false">
      <c r="A247" s="2" t="n">
        <v>46293</v>
      </c>
      <c r="B247" s="3" t="n">
        <v>197.47</v>
      </c>
      <c r="C247" s="3" t="n">
        <v>46.11</v>
      </c>
      <c r="D247" s="3" t="n">
        <v>19.51</v>
      </c>
      <c r="E247" s="3" t="n">
        <v>56.15</v>
      </c>
      <c r="F247" s="3" t="n">
        <v>17.14</v>
      </c>
      <c r="G247" s="3" t="n">
        <v>194.18</v>
      </c>
      <c r="H247" s="3" t="n">
        <v>8.4</v>
      </c>
      <c r="I247" s="3" t="n">
        <v>46.89</v>
      </c>
      <c r="J247" s="3" t="n">
        <v>64944.41</v>
      </c>
    </row>
    <row r="248" customFormat="false" ht="15" hidden="false" customHeight="false" outlineLevel="0" collapsed="false">
      <c r="A248" s="2" t="n">
        <v>46294</v>
      </c>
      <c r="B248" s="3" t="n">
        <v>194.93</v>
      </c>
      <c r="C248" s="3" t="n">
        <v>46.45</v>
      </c>
      <c r="D248" s="3" t="n">
        <v>19.7</v>
      </c>
      <c r="E248" s="3" t="n">
        <v>55.5</v>
      </c>
      <c r="F248" s="3" t="n">
        <v>17.49</v>
      </c>
      <c r="G248" s="3" t="n">
        <v>195.33</v>
      </c>
      <c r="H248" s="3" t="n">
        <v>8.5</v>
      </c>
      <c r="I248" s="3" t="n">
        <v>46.81</v>
      </c>
      <c r="J248" s="3" t="n">
        <v>65110.57</v>
      </c>
    </row>
    <row r="249" customFormat="false" ht="15" hidden="false" customHeight="false" outlineLevel="0" collapsed="false">
      <c r="A249" s="2" t="n">
        <v>46295</v>
      </c>
      <c r="B249" s="3" t="n">
        <v>193.58</v>
      </c>
      <c r="C249" s="3" t="n">
        <v>45.59</v>
      </c>
      <c r="D249" s="3" t="n">
        <v>19.21</v>
      </c>
      <c r="E249" s="3" t="n">
        <v>55.02</v>
      </c>
      <c r="F249" s="3" t="n">
        <v>17.27</v>
      </c>
      <c r="G249" s="3" t="n">
        <v>190.2</v>
      </c>
      <c r="H249" s="3" t="n">
        <v>8.21</v>
      </c>
      <c r="I249" s="3" t="n">
        <v>46.13</v>
      </c>
      <c r="J249" s="3" t="n">
        <v>64214.36</v>
      </c>
    </row>
    <row r="250" customFormat="false" ht="15" hidden="false" customHeight="false" outlineLevel="0" collapsed="false">
      <c r="A250" s="2" t="n">
        <v>46296</v>
      </c>
      <c r="B250" s="3" t="n">
        <v>193.9</v>
      </c>
      <c r="C250" s="3" t="n">
        <v>45.5</v>
      </c>
      <c r="D250" s="3" t="n">
        <v>18.99</v>
      </c>
      <c r="E250" s="3" t="n">
        <v>55.13</v>
      </c>
      <c r="F250" s="3" t="n">
        <v>17.29</v>
      </c>
      <c r="G250" s="3" t="n">
        <v>187.01</v>
      </c>
      <c r="H250" s="3" t="n">
        <v>8.1</v>
      </c>
      <c r="I250" s="3" t="n">
        <v>46.65</v>
      </c>
      <c r="J250" s="3" t="n">
        <v>63828.6</v>
      </c>
    </row>
    <row r="251" customFormat="false" ht="15" hidden="false" customHeight="false" outlineLevel="0" collapsed="false">
      <c r="A251" s="2" t="n">
        <v>46297</v>
      </c>
      <c r="B251" s="3" t="n">
        <v>195.57</v>
      </c>
      <c r="C251" s="3" t="n">
        <v>45.79</v>
      </c>
      <c r="D251" s="3" t="n">
        <v>19.36</v>
      </c>
      <c r="E251" s="3" t="n">
        <v>55.1</v>
      </c>
      <c r="F251" s="3" t="n">
        <v>17.44</v>
      </c>
      <c r="G251" s="3" t="n">
        <v>190.25</v>
      </c>
      <c r="H251" s="3" t="n">
        <v>8.21</v>
      </c>
      <c r="I251" s="3" t="n">
        <v>46.17</v>
      </c>
      <c r="J251" s="3" t="n">
        <v>64531.68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4" t="n">
        <f aca="false">PRECIOS!A2</f>
        <v>45936</v>
      </c>
    </row>
    <row r="3" customFormat="false" ht="15" hidden="false" customHeight="false" outlineLevel="0" collapsed="false">
      <c r="A3" s="4" t="n">
        <f aca="false">PRECIOS!A3</f>
        <v>45937</v>
      </c>
      <c r="B3" s="5" t="n">
        <f aca="false">+LN(PRECIOS!B3/PRECIOS!B2)</f>
        <v>-0.0257677040468609</v>
      </c>
      <c r="C3" s="5" t="n">
        <f aca="false">+LN(PRECIOS!C3/PRECIOS!C2)</f>
        <v>-0.0380595618243451</v>
      </c>
      <c r="D3" s="5" t="n">
        <f aca="false">+LN(PRECIOS!D3/PRECIOS!D2)</f>
        <v>-0.00680452769433401</v>
      </c>
      <c r="E3" s="5" t="n">
        <f aca="false">+LN(PRECIOS!E3/PRECIOS!E2)</f>
        <v>-0.0331539356609655</v>
      </c>
      <c r="F3" s="5" t="n">
        <f aca="false">+LN(PRECIOS!F3/PRECIOS!F2)</f>
        <v>0.0126698527410519</v>
      </c>
      <c r="G3" s="5" t="n">
        <f aca="false">+LN(PRECIOS!G3/PRECIOS!G2)</f>
        <v>-0.00256768849526898</v>
      </c>
      <c r="H3" s="5" t="n">
        <f aca="false">+LN(PRECIOS!H3/PRECIOS!H2)</f>
        <v>-0.0074986960911204</v>
      </c>
      <c r="I3" s="5" t="n">
        <f aca="false">+LN(PRECIOS!I3/PRECIOS!I2)</f>
        <v>0.00109769495105499</v>
      </c>
      <c r="J3" s="5" t="n">
        <f aca="false">+LN(PRECIOS!J3/PRECIOS!J2)</f>
        <v>-0.00312452739251012</v>
      </c>
    </row>
    <row r="4" customFormat="false" ht="15" hidden="false" customHeight="false" outlineLevel="0" collapsed="false">
      <c r="A4" s="4" t="n">
        <f aca="false">PRECIOS!A4</f>
        <v>45938</v>
      </c>
      <c r="B4" s="5" t="n">
        <f aca="false">+LN(PRECIOS!B4/PRECIOS!B3)</f>
        <v>-0.0049062462131659</v>
      </c>
      <c r="C4" s="5" t="n">
        <f aca="false">+LN(PRECIOS!C4/PRECIOS!C3)</f>
        <v>0.0163879691829731</v>
      </c>
      <c r="D4" s="5" t="n">
        <f aca="false">+LN(PRECIOS!D4/PRECIOS!D3)</f>
        <v>0.0187310367060631</v>
      </c>
      <c r="E4" s="5" t="n">
        <f aca="false">+LN(PRECIOS!E4/PRECIOS!E3)</f>
        <v>-0.0301854892668884</v>
      </c>
      <c r="F4" s="5" t="n">
        <f aca="false">+LN(PRECIOS!F4/PRECIOS!F3)</f>
        <v>0.0148767992144432</v>
      </c>
      <c r="G4" s="5" t="n">
        <f aca="false">+LN(PRECIOS!G4/PRECIOS!G3)</f>
        <v>0.0103445278487454</v>
      </c>
      <c r="H4" s="5" t="n">
        <f aca="false">+LN(PRECIOS!H4/PRECIOS!H3)</f>
        <v>-0.0294620327303163</v>
      </c>
      <c r="I4" s="5" t="n">
        <f aca="false">+LN(PRECIOS!I4/PRECIOS!I3)</f>
        <v>0.0218835028023721</v>
      </c>
      <c r="J4" s="5" t="n">
        <f aca="false">+LN(PRECIOS!J4/PRECIOS!J3)</f>
        <v>0.0111113621342146</v>
      </c>
    </row>
    <row r="5" customFormat="false" ht="15" hidden="false" customHeight="false" outlineLevel="0" collapsed="false">
      <c r="A5" s="4" t="n">
        <f aca="false">PRECIOS!A5</f>
        <v>45939</v>
      </c>
      <c r="B5" s="5" t="n">
        <f aca="false">+LN(PRECIOS!B5/PRECIOS!B4)</f>
        <v>-0.0159192543576856</v>
      </c>
      <c r="C5" s="5" t="n">
        <f aca="false">+LN(PRECIOS!C5/PRECIOS!C4)</f>
        <v>-0.0217904674663215</v>
      </c>
      <c r="D5" s="5" t="n">
        <f aca="false">+LN(PRECIOS!D5/PRECIOS!D4)</f>
        <v>0.00514139950041865</v>
      </c>
      <c r="E5" s="5" t="n">
        <f aca="false">+LN(PRECIOS!E5/PRECIOS!E4)</f>
        <v>0.0168999797317105</v>
      </c>
      <c r="F5" s="5" t="n">
        <f aca="false">+LN(PRECIOS!F5/PRECIOS!F4)</f>
        <v>-0.00830372505559454</v>
      </c>
      <c r="G5" s="5" t="n">
        <f aca="false">+LN(PRECIOS!G5/PRECIOS!G4)</f>
        <v>0.00124321896663574</v>
      </c>
      <c r="H5" s="5" t="n">
        <f aca="false">+LN(PRECIOS!H5/PRECIOS!H4)</f>
        <v>-0.00332779009267458</v>
      </c>
      <c r="I5" s="5" t="n">
        <f aca="false">+LN(PRECIOS!I5/PRECIOS!I4)</f>
        <v>0.0131510692244109</v>
      </c>
      <c r="J5" s="5" t="n">
        <f aca="false">+LN(PRECIOS!J5/PRECIOS!J4)</f>
        <v>-0.00113797090480836</v>
      </c>
    </row>
    <row r="6" customFormat="false" ht="15" hidden="false" customHeight="false" outlineLevel="0" collapsed="false">
      <c r="A6" s="4" t="n">
        <f aca="false">PRECIOS!A6</f>
        <v>45940</v>
      </c>
      <c r="B6" s="5" t="n">
        <f aca="false">+LN(PRECIOS!B6/PRECIOS!B5)</f>
        <v>-0.0103812954429911</v>
      </c>
      <c r="C6" s="5" t="n">
        <f aca="false">+LN(PRECIOS!C6/PRECIOS!C5)</f>
        <v>-0.023199506088172</v>
      </c>
      <c r="D6" s="5" t="n">
        <f aca="false">+LN(PRECIOS!D6/PRECIOS!D5)</f>
        <v>0.00613498856751593</v>
      </c>
      <c r="E6" s="5" t="n">
        <f aca="false">+LN(PRECIOS!E6/PRECIOS!E5)</f>
        <v>-0.0118325393823419</v>
      </c>
      <c r="F6" s="5" t="n">
        <f aca="false">+LN(PRECIOS!F6/PRECIOS!F5)</f>
        <v>0.0100741592743076</v>
      </c>
      <c r="G6" s="5" t="n">
        <f aca="false">+LN(PRECIOS!G6/PRECIOS!G5)</f>
        <v>-0.0133032092671784</v>
      </c>
      <c r="H6" s="5" t="n">
        <f aca="false">+LN(PRECIOS!H6/PRECIOS!H5)</f>
        <v>-0.0350516380589188</v>
      </c>
      <c r="I6" s="5" t="n">
        <f aca="false">+LN(PRECIOS!I6/PRECIOS!I5)</f>
        <v>-0.00300592570071903</v>
      </c>
      <c r="J6" s="5" t="n">
        <f aca="false">+LN(PRECIOS!J6/PRECIOS!J5)</f>
        <v>-0.00412528190670593</v>
      </c>
    </row>
    <row r="7" customFormat="false" ht="15" hidden="false" customHeight="false" outlineLevel="0" collapsed="false">
      <c r="A7" s="4" t="n">
        <f aca="false">PRECIOS!A7</f>
        <v>45943</v>
      </c>
      <c r="B7" s="5" t="n">
        <f aca="false">+LN(PRECIOS!B7/PRECIOS!B6)</f>
        <v>0.00403136044295488</v>
      </c>
      <c r="C7" s="5" t="n">
        <f aca="false">+LN(PRECIOS!C7/PRECIOS!C6)</f>
        <v>0.0190377340448675</v>
      </c>
      <c r="D7" s="5" t="n">
        <f aca="false">+LN(PRECIOS!D7/PRECIOS!D6)</f>
        <v>0.00559086589730686</v>
      </c>
      <c r="E7" s="5" t="n">
        <f aca="false">+LN(PRECIOS!E7/PRECIOS!E6)</f>
        <v>-0.00539525546458112</v>
      </c>
      <c r="F7" s="5" t="n">
        <f aca="false">+LN(PRECIOS!F7/PRECIOS!F6)</f>
        <v>0.0134701890310008</v>
      </c>
      <c r="G7" s="5" t="n">
        <f aca="false">+LN(PRECIOS!G7/PRECIOS!G6)</f>
        <v>0.012681792983023</v>
      </c>
      <c r="H7" s="5" t="n">
        <f aca="false">+LN(PRECIOS!H7/PRECIOS!H6)</f>
        <v>0.00688076109222251</v>
      </c>
      <c r="I7" s="5" t="n">
        <f aca="false">+LN(PRECIOS!I7/PRECIOS!I6)</f>
        <v>0.00986792148370216</v>
      </c>
      <c r="J7" s="5" t="n">
        <f aca="false">+LN(PRECIOS!J7/PRECIOS!J6)</f>
        <v>0.00783071611611347</v>
      </c>
    </row>
    <row r="8" customFormat="false" ht="15" hidden="false" customHeight="false" outlineLevel="0" collapsed="false">
      <c r="A8" s="4" t="n">
        <f aca="false">PRECIOS!A8</f>
        <v>45944</v>
      </c>
      <c r="B8" s="5" t="n">
        <f aca="false">+LN(PRECIOS!B8/PRECIOS!B7)</f>
        <v>-0.0122562955490723</v>
      </c>
      <c r="C8" s="5" t="n">
        <f aca="false">+LN(PRECIOS!C8/PRECIOS!C7)</f>
        <v>-0.0175603561214887</v>
      </c>
      <c r="D8" s="5" t="n">
        <f aca="false">+LN(PRECIOS!D8/PRECIOS!D7)</f>
        <v>-0.0204820268142846</v>
      </c>
      <c r="E8" s="5" t="n">
        <f aca="false">+LN(PRECIOS!E8/PRECIOS!E7)</f>
        <v>0.00734997183873271</v>
      </c>
      <c r="F8" s="5" t="n">
        <f aca="false">+LN(PRECIOS!F8/PRECIOS!F7)</f>
        <v>0.0252741770150207</v>
      </c>
      <c r="G8" s="5" t="n">
        <f aca="false">+LN(PRECIOS!G8/PRECIOS!G7)</f>
        <v>-0.0208418198726861</v>
      </c>
      <c r="H8" s="5" t="n">
        <f aca="false">+LN(PRECIOS!H8/PRECIOS!H7)</f>
        <v>0.0169975763685711</v>
      </c>
      <c r="I8" s="5" t="n">
        <f aca="false">+LN(PRECIOS!I8/PRECIOS!I7)</f>
        <v>0.017727262975453</v>
      </c>
      <c r="J8" s="5" t="n">
        <f aca="false">+LN(PRECIOS!J8/PRECIOS!J7)</f>
        <v>-0.00425952360137433</v>
      </c>
    </row>
    <row r="9" customFormat="false" ht="15" hidden="false" customHeight="false" outlineLevel="0" collapsed="false">
      <c r="A9" s="4" t="n">
        <f aca="false">PRECIOS!A9</f>
        <v>45945</v>
      </c>
      <c r="B9" s="5" t="n">
        <f aca="false">+LN(PRECIOS!B9/PRECIOS!B8)</f>
        <v>0.00783212906307648</v>
      </c>
      <c r="C9" s="5" t="n">
        <f aca="false">+LN(PRECIOS!C9/PRECIOS!C8)</f>
        <v>0.00753749317283657</v>
      </c>
      <c r="D9" s="5" t="n">
        <f aca="false">+LN(PRECIOS!D9/PRECIOS!D8)</f>
        <v>0.02452856749022</v>
      </c>
      <c r="E9" s="5" t="n">
        <f aca="false">+LN(PRECIOS!E9/PRECIOS!E8)</f>
        <v>-0.00882647116365072</v>
      </c>
      <c r="F9" s="5" t="n">
        <f aca="false">+LN(PRECIOS!F9/PRECIOS!F8)</f>
        <v>0.030720092339554</v>
      </c>
      <c r="G9" s="5" t="n">
        <f aca="false">+LN(PRECIOS!G9/PRECIOS!G8)</f>
        <v>0.0168782792102306</v>
      </c>
      <c r="H9" s="5" t="n">
        <f aca="false">+LN(PRECIOS!H9/PRECIOS!H8)</f>
        <v>0.0122837948821524</v>
      </c>
      <c r="I9" s="5" t="n">
        <f aca="false">+LN(PRECIOS!I9/PRECIOS!I8)</f>
        <v>0.0510434785177751</v>
      </c>
      <c r="J9" s="5" t="n">
        <f aca="false">+LN(PRECIOS!J9/PRECIOS!J8)</f>
        <v>0.0139178526650422</v>
      </c>
    </row>
    <row r="10" customFormat="false" ht="15" hidden="false" customHeight="false" outlineLevel="0" collapsed="false">
      <c r="A10" s="4" t="n">
        <f aca="false">PRECIOS!A10</f>
        <v>45946</v>
      </c>
      <c r="B10" s="5" t="n">
        <f aca="false">+LN(PRECIOS!B10/PRECIOS!B9)</f>
        <v>0.0211036876292729</v>
      </c>
      <c r="C10" s="5" t="n">
        <f aca="false">+LN(PRECIOS!C10/PRECIOS!C9)</f>
        <v>0.00529729981093847</v>
      </c>
      <c r="D10" s="5" t="n">
        <f aca="false">+LN(PRECIOS!D10/PRECIOS!D9)</f>
        <v>0.0424965129832175</v>
      </c>
      <c r="E10" s="5" t="n">
        <f aca="false">+LN(PRECIOS!E10/PRECIOS!E9)</f>
        <v>0.028964082790482</v>
      </c>
      <c r="F10" s="5" t="n">
        <f aca="false">+LN(PRECIOS!F10/PRECIOS!F9)</f>
        <v>-0.0121750258752792</v>
      </c>
      <c r="G10" s="5" t="n">
        <f aca="false">+LN(PRECIOS!G10/PRECIOS!G9)</f>
        <v>0.0102165537417085</v>
      </c>
      <c r="H10" s="5" t="n">
        <f aca="false">+LN(PRECIOS!H10/PRECIOS!H9)</f>
        <v>0.00553404843464148</v>
      </c>
      <c r="I10" s="5" t="n">
        <f aca="false">+LN(PRECIOS!I10/PRECIOS!I9)</f>
        <v>0.0197737398944551</v>
      </c>
      <c r="J10" s="5" t="n">
        <f aca="false">+LN(PRECIOS!J10/PRECIOS!J9)</f>
        <v>0.0146081622014914</v>
      </c>
    </row>
    <row r="11" customFormat="false" ht="15" hidden="false" customHeight="false" outlineLevel="0" collapsed="false">
      <c r="A11" s="4" t="n">
        <f aca="false">PRECIOS!A11</f>
        <v>45947</v>
      </c>
      <c r="B11" s="5" t="n">
        <f aca="false">+LN(PRECIOS!B11/PRECIOS!B10)</f>
        <v>-0.0118854877685246</v>
      </c>
      <c r="C11" s="5" t="n">
        <f aca="false">+LN(PRECIOS!C11/PRECIOS!C10)</f>
        <v>-0.010622810515044</v>
      </c>
      <c r="D11" s="5" t="n">
        <f aca="false">+LN(PRECIOS!D11/PRECIOS!D10)</f>
        <v>-0.00145243308031499</v>
      </c>
      <c r="E11" s="5" t="n">
        <f aca="false">+LN(PRECIOS!E11/PRECIOS!E10)</f>
        <v>-0.0104209359882589</v>
      </c>
      <c r="F11" s="5" t="n">
        <f aca="false">+LN(PRECIOS!F11/PRECIOS!F10)</f>
        <v>-0.012888942787937</v>
      </c>
      <c r="G11" s="5" t="n">
        <f aca="false">+LN(PRECIOS!G11/PRECIOS!G10)</f>
        <v>-0.0286539497684197</v>
      </c>
      <c r="H11" s="5" t="n">
        <f aca="false">+LN(PRECIOS!H11/PRECIOS!H10)</f>
        <v>-0.0313927124078628</v>
      </c>
      <c r="I11" s="5" t="n">
        <f aca="false">+LN(PRECIOS!I11/PRECIOS!I10)</f>
        <v>-0.00886602083960996</v>
      </c>
      <c r="J11" s="5" t="n">
        <f aca="false">+LN(PRECIOS!J11/PRECIOS!J10)</f>
        <v>-0.0128837535851429</v>
      </c>
    </row>
    <row r="12" customFormat="false" ht="15" hidden="false" customHeight="false" outlineLevel="0" collapsed="false">
      <c r="A12" s="4" t="n">
        <f aca="false">PRECIOS!A12</f>
        <v>45950</v>
      </c>
      <c r="B12" s="5" t="n">
        <f aca="false">+LN(PRECIOS!B12/PRECIOS!B11)</f>
        <v>-0.00904983551991793</v>
      </c>
      <c r="C12" s="5" t="n">
        <f aca="false">+LN(PRECIOS!C12/PRECIOS!C11)</f>
        <v>0.00202336130834634</v>
      </c>
      <c r="D12" s="5" t="n">
        <f aca="false">+LN(PRECIOS!D12/PRECIOS!D11)</f>
        <v>-0.00534370958251979</v>
      </c>
      <c r="E12" s="5" t="n">
        <f aca="false">+LN(PRECIOS!E12/PRECIOS!E11)</f>
        <v>0.00978277387342954</v>
      </c>
      <c r="F12" s="5" t="n">
        <f aca="false">+LN(PRECIOS!F12/PRECIOS!F11)</f>
        <v>-0.00679119757800185</v>
      </c>
      <c r="G12" s="5" t="n">
        <f aca="false">+LN(PRECIOS!G12/PRECIOS!G11)</f>
        <v>-0.0106319084280769</v>
      </c>
      <c r="H12" s="5" t="n">
        <f aca="false">+LN(PRECIOS!H12/PRECIOS!H11)</f>
        <v>0.0280759597818687</v>
      </c>
      <c r="I12" s="5" t="n">
        <f aca="false">+LN(PRECIOS!I12/PRECIOS!I11)</f>
        <v>-0.00210714074236885</v>
      </c>
      <c r="J12" s="5" t="n">
        <f aca="false">+LN(PRECIOS!J12/PRECIOS!J11)</f>
        <v>-0.00115981479626344</v>
      </c>
    </row>
    <row r="13" customFormat="false" ht="15" hidden="false" customHeight="false" outlineLevel="0" collapsed="false">
      <c r="A13" s="4" t="n">
        <f aca="false">PRECIOS!A13</f>
        <v>45951</v>
      </c>
      <c r="B13" s="5" t="n">
        <f aca="false">+LN(PRECIOS!B13/PRECIOS!B12)</f>
        <v>-0.0057967914243629</v>
      </c>
      <c r="C13" s="5" t="n">
        <f aca="false">+LN(PRECIOS!C13/PRECIOS!C12)</f>
        <v>-0.0176109843944601</v>
      </c>
      <c r="D13" s="5" t="n">
        <f aca="false">+LN(PRECIOS!D13/PRECIOS!D12)</f>
        <v>0.000486973469569761</v>
      </c>
      <c r="E13" s="5" t="n">
        <f aca="false">+LN(PRECIOS!E13/PRECIOS!E12)</f>
        <v>-0.02537509886237</v>
      </c>
      <c r="F13" s="5" t="n">
        <f aca="false">+LN(PRECIOS!F13/PRECIOS!F12)</f>
        <v>-0.0464929750875906</v>
      </c>
      <c r="G13" s="5" t="n">
        <f aca="false">+LN(PRECIOS!G13/PRECIOS!G12)</f>
        <v>0.011382897747333</v>
      </c>
      <c r="H13" s="5" t="n">
        <f aca="false">+LN(PRECIOS!H13/PRECIOS!H12)</f>
        <v>-0.0190056028119044</v>
      </c>
      <c r="I13" s="5" t="n">
        <f aca="false">+LN(PRECIOS!I13/PRECIOS!I12)</f>
        <v>0.00113516593719033</v>
      </c>
      <c r="J13" s="5" t="n">
        <f aca="false">+LN(PRECIOS!J13/PRECIOS!J12)</f>
        <v>-0.0146772483686088</v>
      </c>
    </row>
    <row r="14" customFormat="false" ht="15" hidden="false" customHeight="false" outlineLevel="0" collapsed="false">
      <c r="A14" s="4" t="n">
        <f aca="false">PRECIOS!A14</f>
        <v>45952</v>
      </c>
      <c r="B14" s="5" t="n">
        <f aca="false">+LN(PRECIOS!B14/PRECIOS!B13)</f>
        <v>0.011113720138617</v>
      </c>
      <c r="C14" s="5" t="n">
        <f aca="false">+LN(PRECIOS!C14/PRECIOS!C13)</f>
        <v>0.00875156875094375</v>
      </c>
      <c r="D14" s="5" t="n">
        <f aca="false">+LN(PRECIOS!D14/PRECIOS!D13)</f>
        <v>0.00727628725703951</v>
      </c>
      <c r="E14" s="5" t="n">
        <f aca="false">+LN(PRECIOS!E14/PRECIOS!E13)</f>
        <v>0.00798895583467872</v>
      </c>
      <c r="F14" s="5" t="n">
        <f aca="false">+LN(PRECIOS!F14/PRECIOS!F13)</f>
        <v>0.00947313182561069</v>
      </c>
      <c r="G14" s="5" t="n">
        <f aca="false">+LN(PRECIOS!G14/PRECIOS!G13)</f>
        <v>-0.00219678663902907</v>
      </c>
      <c r="H14" s="5" t="n">
        <f aca="false">+LN(PRECIOS!H14/PRECIOS!H13)</f>
        <v>0.00450451212110473</v>
      </c>
      <c r="I14" s="5" t="n">
        <f aca="false">+LN(PRECIOS!I14/PRECIOS!I13)</f>
        <v>0.00597884951421914</v>
      </c>
      <c r="J14" s="5" t="n">
        <f aca="false">+LN(PRECIOS!J14/PRECIOS!J13)</f>
        <v>0.00875515639124549</v>
      </c>
    </row>
    <row r="15" customFormat="false" ht="15" hidden="false" customHeight="false" outlineLevel="0" collapsed="false">
      <c r="A15" s="4" t="n">
        <f aca="false">PRECIOS!A15</f>
        <v>45953</v>
      </c>
      <c r="B15" s="5" t="n">
        <f aca="false">+LN(PRECIOS!B15/PRECIOS!B14)</f>
        <v>0.0145187078740445</v>
      </c>
      <c r="C15" s="5" t="n">
        <f aca="false">+LN(PRECIOS!C15/PRECIOS!C14)</f>
        <v>-0.0364363099266028</v>
      </c>
      <c r="D15" s="5" t="n">
        <f aca="false">+LN(PRECIOS!D15/PRECIOS!D14)</f>
        <v>0.00818295781517462</v>
      </c>
      <c r="E15" s="5" t="n">
        <f aca="false">+LN(PRECIOS!E15/PRECIOS!E14)</f>
        <v>0.0234323030532694</v>
      </c>
      <c r="F15" s="5" t="n">
        <f aca="false">+LN(PRECIOS!F15/PRECIOS!F14)</f>
        <v>0.00996783392349886</v>
      </c>
      <c r="G15" s="5" t="n">
        <f aca="false">+LN(PRECIOS!G15/PRECIOS!G14)</f>
        <v>-0.00562956711511994</v>
      </c>
      <c r="H15" s="5" t="n">
        <f aca="false">+LN(PRECIOS!H15/PRECIOS!H14)</f>
        <v>-0.00112422721228088</v>
      </c>
      <c r="I15" s="5" t="n">
        <f aca="false">+LN(PRECIOS!I15/PRECIOS!I14)</f>
        <v>-0.0137888469082949</v>
      </c>
      <c r="J15" s="5" t="n">
        <f aca="false">+LN(PRECIOS!J15/PRECIOS!J14)</f>
        <v>0.00331786253168122</v>
      </c>
    </row>
    <row r="16" customFormat="false" ht="15" hidden="false" customHeight="false" outlineLevel="0" collapsed="false">
      <c r="A16" s="4" t="n">
        <f aca="false">PRECIOS!A16</f>
        <v>45954</v>
      </c>
      <c r="B16" s="5" t="n">
        <f aca="false">+LN(PRECIOS!B16/PRECIOS!B15)</f>
        <v>-0.0253502530058511</v>
      </c>
      <c r="C16" s="5" t="n">
        <f aca="false">+LN(PRECIOS!C16/PRECIOS!C15)</f>
        <v>-0.0040458585195438</v>
      </c>
      <c r="D16" s="5" t="n">
        <f aca="false">+LN(PRECIOS!D16/PRECIOS!D15)</f>
        <v>-0.000959232687460233</v>
      </c>
      <c r="E16" s="5" t="n">
        <f aca="false">+LN(PRECIOS!E16/PRECIOS!E15)</f>
        <v>-0.0247322707371514</v>
      </c>
      <c r="F16" s="5" t="n">
        <f aca="false">+LN(PRECIOS!F16/PRECIOS!F15)</f>
        <v>0.00407569705381431</v>
      </c>
      <c r="G16" s="5" t="n">
        <f aca="false">+LN(PRECIOS!G16/PRECIOS!G15)</f>
        <v>-0.00221406604458887</v>
      </c>
      <c r="H16" s="5" t="n">
        <f aca="false">+LN(PRECIOS!H16/PRECIOS!H15)</f>
        <v>-0.00338028490882375</v>
      </c>
      <c r="I16" s="5" t="n">
        <f aca="false">+LN(PRECIOS!I16/PRECIOS!I15)</f>
        <v>-0.00425602213887556</v>
      </c>
      <c r="J16" s="5" t="n">
        <f aca="false">+LN(PRECIOS!J16/PRECIOS!J15)</f>
        <v>-0.00597535853296432</v>
      </c>
    </row>
    <row r="17" customFormat="false" ht="15" hidden="false" customHeight="false" outlineLevel="0" collapsed="false">
      <c r="A17" s="4" t="n">
        <f aca="false">PRECIOS!A17</f>
        <v>45957</v>
      </c>
      <c r="B17" s="5" t="n">
        <f aca="false">+LN(PRECIOS!B17/PRECIOS!B16)</f>
        <v>-0.00197689917245407</v>
      </c>
      <c r="C17" s="5" t="n">
        <f aca="false">+LN(PRECIOS!C17/PRECIOS!C16)</f>
        <v>0.00730913044314505</v>
      </c>
      <c r="D17" s="5" t="n">
        <f aca="false">+LN(PRECIOS!D17/PRECIOS!D16)</f>
        <v>0.00335329655537597</v>
      </c>
      <c r="E17" s="5" t="n">
        <f aca="false">+LN(PRECIOS!E17/PRECIOS!E16)</f>
        <v>0.013405676008287</v>
      </c>
      <c r="F17" s="5" t="n">
        <f aca="false">+LN(PRECIOS!F17/PRECIOS!F16)</f>
        <v>-0.00174469366733875</v>
      </c>
      <c r="G17" s="5" t="n">
        <f aca="false">+LN(PRECIOS!G17/PRECIOS!G16)</f>
        <v>0.00529394179755285</v>
      </c>
      <c r="H17" s="5" t="n">
        <f aca="false">+LN(PRECIOS!H17/PRECIOS!H16)</f>
        <v>0.0343905216513839</v>
      </c>
      <c r="I17" s="5" t="n">
        <f aca="false">+LN(PRECIOS!I17/PRECIOS!I16)</f>
        <v>0.00898185184188602</v>
      </c>
      <c r="J17" s="5" t="n">
        <f aca="false">+LN(PRECIOS!J17/PRECIOS!J16)</f>
        <v>0.0116225105586281</v>
      </c>
    </row>
    <row r="18" customFormat="false" ht="15" hidden="false" customHeight="false" outlineLevel="0" collapsed="false">
      <c r="A18" s="4" t="n">
        <f aca="false">PRECIOS!A18</f>
        <v>45958</v>
      </c>
      <c r="B18" s="5" t="n">
        <f aca="false">+LN(PRECIOS!B18/PRECIOS!B17)</f>
        <v>0.0126409728437971</v>
      </c>
      <c r="C18" s="5" t="n">
        <f aca="false">+LN(PRECIOS!C18/PRECIOS!C17)</f>
        <v>-0.00595869134527361</v>
      </c>
      <c r="D18" s="5" t="n">
        <f aca="false">+LN(PRECIOS!D18/PRECIOS!D17)</f>
        <v>0.0161293819298837</v>
      </c>
      <c r="E18" s="5" t="n">
        <f aca="false">+LN(PRECIOS!E18/PRECIOS!E17)</f>
        <v>0.058271935221035</v>
      </c>
      <c r="F18" s="5" t="n">
        <f aca="false">+LN(PRECIOS!F18/PRECIOS!F17)</f>
        <v>0.0980580149723261</v>
      </c>
      <c r="G18" s="5" t="n">
        <f aca="false">+LN(PRECIOS!G18/PRECIOS!G17)</f>
        <v>0.00515062338355161</v>
      </c>
      <c r="H18" s="5" t="n">
        <f aca="false">+LN(PRECIOS!H18/PRECIOS!H17)</f>
        <v>0.0926298784032198</v>
      </c>
      <c r="I18" s="5" t="n">
        <f aca="false">+LN(PRECIOS!I18/PRECIOS!I17)</f>
        <v>0.0170861667899953</v>
      </c>
      <c r="J18" s="5" t="n">
        <f aca="false">+LN(PRECIOS!J18/PRECIOS!J17)</f>
        <v>0.0150006575174457</v>
      </c>
    </row>
    <row r="19" customFormat="false" ht="15" hidden="false" customHeight="false" outlineLevel="0" collapsed="false">
      <c r="A19" s="4" t="n">
        <f aca="false">PRECIOS!A19</f>
        <v>45959</v>
      </c>
      <c r="B19" s="5" t="n">
        <f aca="false">+LN(PRECIOS!B19/PRECIOS!B18)</f>
        <v>0.00184064530311676</v>
      </c>
      <c r="C19" s="5" t="n">
        <f aca="false">+LN(PRECIOS!C19/PRECIOS!C18)</f>
        <v>0.000578201808534151</v>
      </c>
      <c r="D19" s="5" t="n">
        <f aca="false">+LN(PRECIOS!D19/PRECIOS!D18)</f>
        <v>-0.00188412679383473</v>
      </c>
      <c r="E19" s="5" t="n">
        <f aca="false">+LN(PRECIOS!E19/PRECIOS!E18)</f>
        <v>-0.00348722967297981</v>
      </c>
      <c r="F19" s="5" t="n">
        <f aca="false">+LN(PRECIOS!F19/PRECIOS!F18)</f>
        <v>0.00473809783478399</v>
      </c>
      <c r="G19" s="5" t="n">
        <f aca="false">+LN(PRECIOS!G19/PRECIOS!G18)</f>
        <v>0.0100509130872299</v>
      </c>
      <c r="H19" s="5" t="n">
        <f aca="false">+LN(PRECIOS!H19/PRECIOS!H18)</f>
        <v>-0.00199005040801015</v>
      </c>
      <c r="I19" s="5" t="n">
        <f aca="false">+LN(PRECIOS!I19/PRECIOS!I18)</f>
        <v>-0.0112505204673747</v>
      </c>
      <c r="J19" s="5" t="n">
        <f aca="false">+LN(PRECIOS!J19/PRECIOS!J18)</f>
        <v>0.0088406194930879</v>
      </c>
    </row>
    <row r="20" customFormat="false" ht="15" hidden="false" customHeight="false" outlineLevel="0" collapsed="false">
      <c r="A20" s="4" t="n">
        <f aca="false">PRECIOS!A20</f>
        <v>45960</v>
      </c>
      <c r="B20" s="5" t="n">
        <f aca="false">+LN(PRECIOS!B20/PRECIOS!B19)</f>
        <v>-0.00614870578871577</v>
      </c>
      <c r="C20" s="5" t="n">
        <f aca="false">+LN(PRECIOS!C20/PRECIOS!C19)</f>
        <v>-0.0229984800428725</v>
      </c>
      <c r="D20" s="5" t="n">
        <f aca="false">+LN(PRECIOS!D20/PRECIOS!D19)</f>
        <v>-0.00188768342981728</v>
      </c>
      <c r="E20" s="5" t="n">
        <f aca="false">+LN(PRECIOS!E20/PRECIOS!E19)</f>
        <v>-0.00777620751615549</v>
      </c>
      <c r="F20" s="5" t="n">
        <f aca="false">+LN(PRECIOS!F20/PRECIOS!F19)</f>
        <v>-0.0116218952059856</v>
      </c>
      <c r="G20" s="5" t="n">
        <f aca="false">+LN(PRECIOS!G20/PRECIOS!G19)</f>
        <v>-0.0103973134140008</v>
      </c>
      <c r="H20" s="5" t="n">
        <f aca="false">+LN(PRECIOS!H20/PRECIOS!H19)</f>
        <v>-0.0211381801045078</v>
      </c>
      <c r="I20" s="5" t="n">
        <f aca="false">+LN(PRECIOS!I20/PRECIOS!I19)</f>
        <v>-0.0182683273222396</v>
      </c>
      <c r="J20" s="5" t="n">
        <f aca="false">+LN(PRECIOS!J20/PRECIOS!J19)</f>
        <v>-0.00733495147236643</v>
      </c>
    </row>
    <row r="21" customFormat="false" ht="15" hidden="false" customHeight="false" outlineLevel="0" collapsed="false">
      <c r="A21" s="4" t="n">
        <f aca="false">PRECIOS!A21</f>
        <v>45961</v>
      </c>
      <c r="B21" s="5" t="n">
        <f aca="false">+LN(PRECIOS!B21/PRECIOS!B20)</f>
        <v>0.00887555018407222</v>
      </c>
      <c r="C21" s="5" t="n">
        <f aca="false">+LN(PRECIOS!C21/PRECIOS!C20)</f>
        <v>0.0115653548249029</v>
      </c>
      <c r="D21" s="5" t="n">
        <f aca="false">+LN(PRECIOS!D21/PRECIOS!D20)</f>
        <v>0.000944287133433864</v>
      </c>
      <c r="E21" s="5" t="n">
        <f aca="false">+LN(PRECIOS!E21/PRECIOS!E20)</f>
        <v>-0.0174481381567434</v>
      </c>
      <c r="F21" s="5" t="n">
        <f aca="false">+LN(PRECIOS!F21/PRECIOS!F20)</f>
        <v>0.00318302656012089</v>
      </c>
      <c r="G21" s="5" t="n">
        <f aca="false">+LN(PRECIOS!G21/PRECIOS!G20)</f>
        <v>0.00959694748972963</v>
      </c>
      <c r="H21" s="5" t="n">
        <f aca="false">+LN(PRECIOS!H21/PRECIOS!H20)</f>
        <v>-0.0153770328705895</v>
      </c>
      <c r="I21" s="5" t="n">
        <f aca="false">+LN(PRECIOS!I21/PRECIOS!I20)</f>
        <v>0.0109684327920186</v>
      </c>
      <c r="J21" s="5" t="n">
        <f aca="false">+LN(PRECIOS!J21/PRECIOS!J20)</f>
        <v>-0.00192075376514116</v>
      </c>
    </row>
    <row r="22" customFormat="false" ht="15" hidden="false" customHeight="false" outlineLevel="0" collapsed="false">
      <c r="A22" s="4" t="n">
        <f aca="false">PRECIOS!A22</f>
        <v>45964</v>
      </c>
      <c r="B22" s="5" t="n">
        <f aca="false">+LN(PRECIOS!B22/PRECIOS!B21)</f>
        <v>-0.00100083411189908</v>
      </c>
      <c r="C22" s="5" t="n">
        <f aca="false">+LN(PRECIOS!C22/PRECIOS!C21)</f>
        <v>-0.00939893349506237</v>
      </c>
      <c r="D22" s="5" t="n">
        <f aca="false">+LN(PRECIOS!D22/PRECIOS!D21)</f>
        <v>-0.0180957318746648</v>
      </c>
      <c r="E22" s="5" t="n">
        <f aca="false">+LN(PRECIOS!E22/PRECIOS!E21)</f>
        <v>-0.00312012733624363</v>
      </c>
      <c r="F22" s="5" t="n">
        <f aca="false">+LN(PRECIOS!F22/PRECIOS!F21)</f>
        <v>-0.00584331011893714</v>
      </c>
      <c r="G22" s="5" t="n">
        <f aca="false">+LN(PRECIOS!G22/PRECIOS!G21)</f>
        <v>-0.0034374138687516</v>
      </c>
      <c r="H22" s="5" t="n">
        <f aca="false">+LN(PRECIOS!H22/PRECIOS!H21)</f>
        <v>-0.0145684158282905</v>
      </c>
      <c r="I22" s="5" t="n">
        <f aca="false">+LN(PRECIOS!I22/PRECIOS!I21)</f>
        <v>-0.00686165083936505</v>
      </c>
      <c r="J22" s="5" t="n">
        <f aca="false">+LN(PRECIOS!J22/PRECIOS!J21)</f>
        <v>-0.00183841828255766</v>
      </c>
    </row>
    <row r="23" customFormat="false" ht="15" hidden="false" customHeight="false" outlineLevel="0" collapsed="false">
      <c r="A23" s="4" t="n">
        <f aca="false">PRECIOS!A23</f>
        <v>45965</v>
      </c>
      <c r="B23" s="5" t="n">
        <f aca="false">+LN(PRECIOS!B23/PRECIOS!B22)</f>
        <v>0.017152890009468</v>
      </c>
      <c r="C23" s="5" t="n">
        <f aca="false">+LN(PRECIOS!C23/PRECIOS!C22)</f>
        <v>-0.0174642263642485</v>
      </c>
      <c r="D23" s="5" t="n">
        <f aca="false">+LN(PRECIOS!D23/PRECIOS!D22)</f>
        <v>0.0176236997677174</v>
      </c>
      <c r="E23" s="5" t="n">
        <f aca="false">+LN(PRECIOS!E23/PRECIOS!E22)</f>
        <v>0.0294070917049566</v>
      </c>
      <c r="F23" s="5" t="n">
        <f aca="false">+LN(PRECIOS!F23/PRECIOS!F22)</f>
        <v>0.0015970192374861</v>
      </c>
      <c r="G23" s="5" t="n">
        <f aca="false">+LN(PRECIOS!G23/PRECIOS!G22)</f>
        <v>0.0188738477301101</v>
      </c>
      <c r="H23" s="5" t="n">
        <f aca="false">+LN(PRECIOS!H23/PRECIOS!H22)</f>
        <v>0.0350190262995814</v>
      </c>
      <c r="I23" s="5" t="n">
        <f aca="false">+LN(PRECIOS!I23/PRECIOS!I22)</f>
        <v>0.00978800636616294</v>
      </c>
      <c r="J23" s="5" t="n">
        <f aca="false">+LN(PRECIOS!J23/PRECIOS!J22)</f>
        <v>-0.00420906374886876</v>
      </c>
    </row>
    <row r="24" customFormat="false" ht="15" hidden="false" customHeight="false" outlineLevel="0" collapsed="false">
      <c r="A24" s="4" t="n">
        <f aca="false">PRECIOS!A24</f>
        <v>45966</v>
      </c>
      <c r="B24" s="5" t="n">
        <f aca="false">+LN(PRECIOS!B24/PRECIOS!B23)</f>
        <v>0.00333015184242951</v>
      </c>
      <c r="C24" s="5" t="n">
        <f aca="false">+LN(PRECIOS!C24/PRECIOS!C23)</f>
        <v>0.0243263256370803</v>
      </c>
      <c r="D24" s="5" t="n">
        <f aca="false">+LN(PRECIOS!D24/PRECIOS!D23)</f>
        <v>0.00986618292105398</v>
      </c>
      <c r="E24" s="5" t="n">
        <f aca="false">+LN(PRECIOS!E24/PRECIOS!E23)</f>
        <v>0</v>
      </c>
      <c r="F24" s="5" t="n">
        <f aca="false">+LN(PRECIOS!F24/PRECIOS!F23)</f>
        <v>0.0168780377873517</v>
      </c>
      <c r="G24" s="5" t="n">
        <f aca="false">+LN(PRECIOS!G24/PRECIOS!G23)</f>
        <v>-0.00553423594571036</v>
      </c>
      <c r="H24" s="5" t="n">
        <f aca="false">+LN(PRECIOS!H24/PRECIOS!H23)</f>
        <v>0.0503312933513596</v>
      </c>
      <c r="I24" s="5" t="n">
        <f aca="false">+LN(PRECIOS!I24/PRECIOS!I23)</f>
        <v>0.00969312920565975</v>
      </c>
      <c r="J24" s="5" t="n">
        <f aca="false">+LN(PRECIOS!J24/PRECIOS!J23)</f>
        <v>0.0157081383457733</v>
      </c>
    </row>
    <row r="25" customFormat="false" ht="15" hidden="false" customHeight="false" outlineLevel="0" collapsed="false">
      <c r="A25" s="4" t="n">
        <f aca="false">PRECIOS!A25</f>
        <v>45967</v>
      </c>
      <c r="B25" s="5" t="n">
        <f aca="false">+LN(PRECIOS!B25/PRECIOS!B24)</f>
        <v>-0.00354891038855761</v>
      </c>
      <c r="C25" s="5" t="n">
        <f aca="false">+LN(PRECIOS!C25/PRECIOS!C24)</f>
        <v>-0.00922570092471508</v>
      </c>
      <c r="D25" s="5" t="n">
        <f aca="false">+LN(PRECIOS!D25/PRECIOS!D24)</f>
        <v>-0.0136504826122934</v>
      </c>
      <c r="E25" s="5" t="n">
        <f aca="false">+LN(PRECIOS!E25/PRECIOS!E24)</f>
        <v>-0.0186835450087344</v>
      </c>
      <c r="F25" s="5" t="n">
        <f aca="false">+LN(PRECIOS!F25/PRECIOS!F24)</f>
        <v>-0.00682238279906087</v>
      </c>
      <c r="G25" s="5" t="n">
        <f aca="false">+LN(PRECIOS!G25/PRECIOS!G24)</f>
        <v>0.00288388336375484</v>
      </c>
      <c r="H25" s="5" t="n">
        <f aca="false">+LN(PRECIOS!H25/PRECIOS!H24)</f>
        <v>-0.00192678286970017</v>
      </c>
      <c r="I25" s="5" t="n">
        <f aca="false">+LN(PRECIOS!I25/PRECIOS!I24)</f>
        <v>-0.00370460277111769</v>
      </c>
      <c r="J25" s="5" t="n">
        <f aca="false">+LN(PRECIOS!J25/PRECIOS!J24)</f>
        <v>-0.00451311467096051</v>
      </c>
    </row>
    <row r="26" customFormat="false" ht="15" hidden="false" customHeight="false" outlineLevel="0" collapsed="false">
      <c r="A26" s="4" t="n">
        <f aca="false">PRECIOS!A26</f>
        <v>45968</v>
      </c>
      <c r="B26" s="5" t="n">
        <f aca="false">+LN(PRECIOS!B26/PRECIOS!B25)</f>
        <v>0.0108797243541755</v>
      </c>
      <c r="C26" s="5" t="n">
        <f aca="false">+LN(PRECIOS!C26/PRECIOS!C25)</f>
        <v>-0.00732314009975784</v>
      </c>
      <c r="D26" s="5" t="n">
        <f aca="false">+LN(PRECIOS!D26/PRECIOS!D25)</f>
        <v>0.0150520245375818</v>
      </c>
      <c r="E26" s="5" t="n">
        <f aca="false">+LN(PRECIOS!E26/PRECIOS!E25)</f>
        <v>0.00923225514264813</v>
      </c>
      <c r="F26" s="5" t="n">
        <f aca="false">+LN(PRECIOS!F26/PRECIOS!F25)</f>
        <v>-0.00952388151125548</v>
      </c>
      <c r="G26" s="5" t="n">
        <f aca="false">+LN(PRECIOS!G26/PRECIOS!G25)</f>
        <v>0.00445083694839059</v>
      </c>
      <c r="H26" s="5" t="n">
        <f aca="false">+LN(PRECIOS!H26/PRECIOS!H25)</f>
        <v>-0.00096478541009889</v>
      </c>
      <c r="I26" s="5" t="n">
        <f aca="false">+LN(PRECIOS!I26/PRECIOS!I25)</f>
        <v>0.0101148811320368</v>
      </c>
      <c r="J26" s="5" t="n">
        <f aca="false">+LN(PRECIOS!J26/PRECIOS!J25)</f>
        <v>0.00447556180504132</v>
      </c>
    </row>
    <row r="27" customFormat="false" ht="15" hidden="false" customHeight="false" outlineLevel="0" collapsed="false">
      <c r="A27" s="4" t="n">
        <f aca="false">PRECIOS!A27</f>
        <v>45971</v>
      </c>
      <c r="B27" s="5" t="n">
        <f aca="false">+LN(PRECIOS!B27/PRECIOS!B26)</f>
        <v>-0.00292587985064342</v>
      </c>
      <c r="C27" s="5" t="n">
        <f aca="false">+LN(PRECIOS!C27/PRECIOS!C26)</f>
        <v>-0.00677698427902382</v>
      </c>
      <c r="D27" s="5" t="n">
        <f aca="false">+LN(PRECIOS!D27/PRECIOS!D26)</f>
        <v>-0.00985229644301171</v>
      </c>
      <c r="E27" s="5" t="n">
        <f aca="false">+LN(PRECIOS!E27/PRECIOS!E26)</f>
        <v>-0.0266972242502248</v>
      </c>
      <c r="F27" s="5" t="n">
        <f aca="false">+LN(PRECIOS!F27/PRECIOS!F26)</f>
        <v>0.00847014063398384</v>
      </c>
      <c r="G27" s="5" t="n">
        <f aca="false">+LN(PRECIOS!G27/PRECIOS!G26)</f>
        <v>0.00767188419203734</v>
      </c>
      <c r="H27" s="5" t="n">
        <f aca="false">+LN(PRECIOS!H27/PRECIOS!H26)</f>
        <v>0.0285461819063615</v>
      </c>
      <c r="I27" s="5" t="n">
        <f aca="false">+LN(PRECIOS!I27/PRECIOS!I26)</f>
        <v>-0.0115682524011874</v>
      </c>
      <c r="J27" s="5" t="n">
        <f aca="false">+LN(PRECIOS!J27/PRECIOS!J26)</f>
        <v>-0.0044614557706142</v>
      </c>
    </row>
    <row r="28" customFormat="false" ht="15" hidden="false" customHeight="false" outlineLevel="0" collapsed="false">
      <c r="A28" s="4" t="n">
        <f aca="false">PRECIOS!A28</f>
        <v>45972</v>
      </c>
      <c r="B28" s="5" t="n">
        <f aca="false">+LN(PRECIOS!B28/PRECIOS!B27)</f>
        <v>0.0330365983346617</v>
      </c>
      <c r="C28" s="5" t="n">
        <f aca="false">+LN(PRECIOS!C28/PRECIOS!C27)</f>
        <v>0.0121261797978406</v>
      </c>
      <c r="D28" s="5" t="n">
        <f aca="false">+LN(PRECIOS!D28/PRECIOS!D27)</f>
        <v>0.013580166557026</v>
      </c>
      <c r="E28" s="5" t="n">
        <f aca="false">+LN(PRECIOS!E28/PRECIOS!E27)</f>
        <v>0.021630034905105</v>
      </c>
      <c r="F28" s="5" t="n">
        <f aca="false">+LN(PRECIOS!F28/PRECIOS!F27)</f>
        <v>0.0162095052354769</v>
      </c>
      <c r="G28" s="5" t="n">
        <f aca="false">+LN(PRECIOS!G28/PRECIOS!G27)</f>
        <v>0.0324910590906855</v>
      </c>
      <c r="H28" s="5" t="n">
        <f aca="false">+LN(PRECIOS!H28/PRECIOS!H27)</f>
        <v>0.0102660724305987</v>
      </c>
      <c r="I28" s="5" t="n">
        <f aca="false">+LN(PRECIOS!I28/PRECIOS!I27)</f>
        <v>0.0271019297777912</v>
      </c>
      <c r="J28" s="5" t="n">
        <f aca="false">+LN(PRECIOS!J28/PRECIOS!J27)</f>
        <v>0.0192645333441288</v>
      </c>
    </row>
    <row r="29" customFormat="false" ht="15" hidden="false" customHeight="false" outlineLevel="0" collapsed="false">
      <c r="A29" s="4" t="n">
        <f aca="false">PRECIOS!A29</f>
        <v>45973</v>
      </c>
      <c r="B29" s="5" t="n">
        <f aca="false">+LN(PRECIOS!B29/PRECIOS!B28)</f>
        <v>-0.0204727383727313</v>
      </c>
      <c r="C29" s="5" t="n">
        <f aca="false">+LN(PRECIOS!C29/PRECIOS!C28)</f>
        <v>-0.012726359869873</v>
      </c>
      <c r="D29" s="5" t="n">
        <f aca="false">+LN(PRECIOS!D29/PRECIOS!D28)</f>
        <v>-0.0112255622198152</v>
      </c>
      <c r="E29" s="5" t="n">
        <f aca="false">+LN(PRECIOS!E29/PRECIOS!E28)</f>
        <v>-0.0376455996163668</v>
      </c>
      <c r="F29" s="5" t="n">
        <f aca="false">+LN(PRECIOS!F29/PRECIOS!F28)</f>
        <v>-0.0167367923555239</v>
      </c>
      <c r="G29" s="5" t="n">
        <f aca="false">+LN(PRECIOS!G29/PRECIOS!G28)</f>
        <v>-0.0348367736541212</v>
      </c>
      <c r="H29" s="5" t="n">
        <f aca="false">+LN(PRECIOS!H29/PRECIOS!H28)</f>
        <v>0.0400417459157715</v>
      </c>
      <c r="I29" s="5" t="n">
        <f aca="false">+LN(PRECIOS!I29/PRECIOS!I28)</f>
        <v>-0.0188939493599616</v>
      </c>
      <c r="J29" s="5" t="n">
        <f aca="false">+LN(PRECIOS!J29/PRECIOS!J28)</f>
        <v>-0.0177338642792219</v>
      </c>
    </row>
    <row r="30" customFormat="false" ht="15" hidden="false" customHeight="false" outlineLevel="0" collapsed="false">
      <c r="A30" s="4" t="n">
        <f aca="false">PRECIOS!A30</f>
        <v>45974</v>
      </c>
      <c r="B30" s="5" t="n">
        <f aca="false">+LN(PRECIOS!B30/PRECIOS!B29)</f>
        <v>-0.0141387061968903</v>
      </c>
      <c r="C30" s="5" t="n">
        <f aca="false">+LN(PRECIOS!C30/PRECIOS!C29)</f>
        <v>-0.00481445262946647</v>
      </c>
      <c r="D30" s="5" t="n">
        <f aca="false">+LN(PRECIOS!D30/PRECIOS!D29)</f>
        <v>0.000940291559641722</v>
      </c>
      <c r="E30" s="5" t="n">
        <f aca="false">+LN(PRECIOS!E30/PRECIOS!E29)</f>
        <v>-0.0234505773302316</v>
      </c>
      <c r="F30" s="5" t="n">
        <f aca="false">+LN(PRECIOS!F30/PRECIOS!F29)</f>
        <v>-0.0154135392732445</v>
      </c>
      <c r="G30" s="5" t="n">
        <f aca="false">+LN(PRECIOS!G30/PRECIOS!G29)</f>
        <v>-0.0185676487513386</v>
      </c>
      <c r="H30" s="5" t="n">
        <f aca="false">+LN(PRECIOS!H30/PRECIOS!H29)</f>
        <v>-0.0143758091203068</v>
      </c>
      <c r="I30" s="5" t="n">
        <f aca="false">+LN(PRECIOS!I30/PRECIOS!I29)</f>
        <v>-0.01615805068329</v>
      </c>
      <c r="J30" s="5" t="n">
        <f aca="false">+LN(PRECIOS!J30/PRECIOS!J29)</f>
        <v>-0.0105190195835935</v>
      </c>
    </row>
    <row r="31" customFormat="false" ht="15" hidden="false" customHeight="false" outlineLevel="0" collapsed="false">
      <c r="A31" s="4" t="n">
        <f aca="false">PRECIOS!A31</f>
        <v>45975</v>
      </c>
      <c r="B31" s="5" t="n">
        <f aca="false">+LN(PRECIOS!B31/PRECIOS!B30)</f>
        <v>-0.000163056771293721</v>
      </c>
      <c r="C31" s="5" t="n">
        <f aca="false">+LN(PRECIOS!C31/PRECIOS!C30)</f>
        <v>-0.00665794853277027</v>
      </c>
      <c r="D31" s="5" t="n">
        <f aca="false">+LN(PRECIOS!D31/PRECIOS!D30)</f>
        <v>-0.00329489589685254</v>
      </c>
      <c r="E31" s="5" t="n">
        <f aca="false">+LN(PRECIOS!E31/PRECIOS!E30)</f>
        <v>-0.0163329540220505</v>
      </c>
      <c r="F31" s="5" t="n">
        <f aca="false">+LN(PRECIOS!F31/PRECIOS!F30)</f>
        <v>-0.00806672833559799</v>
      </c>
      <c r="G31" s="5" t="n">
        <f aca="false">+LN(PRECIOS!G31/PRECIOS!G30)</f>
        <v>-0.00268089029174664</v>
      </c>
      <c r="H31" s="5" t="n">
        <f aca="false">+LN(PRECIOS!H31/PRECIOS!H30)</f>
        <v>-0.0349943626500999</v>
      </c>
      <c r="I31" s="5" t="n">
        <f aca="false">+LN(PRECIOS!I31/PRECIOS!I30)</f>
        <v>0.00908065263574656</v>
      </c>
      <c r="J31" s="5" t="n">
        <f aca="false">+LN(PRECIOS!J31/PRECIOS!J30)</f>
        <v>-0.00321661504365569</v>
      </c>
    </row>
    <row r="32" customFormat="false" ht="15" hidden="false" customHeight="false" outlineLevel="0" collapsed="false">
      <c r="A32" s="4" t="n">
        <f aca="false">PRECIOS!A32</f>
        <v>45979</v>
      </c>
      <c r="B32" s="5" t="n">
        <f aca="false">+LN(PRECIOS!B32/PRECIOS!B31)</f>
        <v>-0.00212216104674691</v>
      </c>
      <c r="C32" s="5" t="n">
        <f aca="false">+LN(PRECIOS!C32/PRECIOS!C31)</f>
        <v>0.000607103124991151</v>
      </c>
      <c r="D32" s="5" t="n">
        <f aca="false">+LN(PRECIOS!D32/PRECIOS!D31)</f>
        <v>0.0103190409088944</v>
      </c>
      <c r="E32" s="5" t="n">
        <f aca="false">+LN(PRECIOS!E32/PRECIOS!E31)</f>
        <v>0.00182800217085585</v>
      </c>
      <c r="F32" s="5" t="n">
        <f aca="false">+LN(PRECIOS!F32/PRECIOS!F31)</f>
        <v>0.0107412418314126</v>
      </c>
      <c r="G32" s="5" t="n">
        <f aca="false">+LN(PRECIOS!G32/PRECIOS!G31)</f>
        <v>-0.0140345108128702</v>
      </c>
      <c r="H32" s="5" t="n">
        <f aca="false">+LN(PRECIOS!H32/PRECIOS!H31)</f>
        <v>-0.0246691826867845</v>
      </c>
      <c r="I32" s="5" t="n">
        <f aca="false">+LN(PRECIOS!I32/PRECIOS!I31)</f>
        <v>-0.0102215540715381</v>
      </c>
      <c r="J32" s="5" t="n">
        <f aca="false">+LN(PRECIOS!J32/PRECIOS!J31)</f>
        <v>-0.00553732365790425</v>
      </c>
    </row>
    <row r="33" customFormat="false" ht="15" hidden="false" customHeight="false" outlineLevel="0" collapsed="false">
      <c r="A33" s="4" t="n">
        <f aca="false">PRECIOS!A33</f>
        <v>45980</v>
      </c>
      <c r="B33" s="5" t="n">
        <f aca="false">+LN(PRECIOS!B33/PRECIOS!B32)</f>
        <v>-0.0173076488707379</v>
      </c>
      <c r="C33" s="5" t="n">
        <f aca="false">+LN(PRECIOS!C33/PRECIOS!C32)</f>
        <v>-0.0130321534911221</v>
      </c>
      <c r="D33" s="5" t="n">
        <f aca="false">+LN(PRECIOS!D33/PRECIOS!D32)</f>
        <v>-0.00984767629964857</v>
      </c>
      <c r="E33" s="5" t="n">
        <f aca="false">+LN(PRECIOS!E33/PRECIOS!E32)</f>
        <v>-0.0182630526312985</v>
      </c>
      <c r="F33" s="5" t="n">
        <f aca="false">+LN(PRECIOS!F33/PRECIOS!F32)</f>
        <v>0.0111554941717855</v>
      </c>
      <c r="G33" s="5" t="n">
        <f aca="false">+LN(PRECIOS!G33/PRECIOS!G32)</f>
        <v>0.00479617226349301</v>
      </c>
      <c r="H33" s="5" t="n">
        <f aca="false">+LN(PRECIOS!H33/PRECIOS!H32)</f>
        <v>-0.00771459949533032</v>
      </c>
      <c r="I33" s="5" t="n">
        <f aca="false">+LN(PRECIOS!I33/PRECIOS!I32)</f>
        <v>0.00504271097053833</v>
      </c>
      <c r="J33" s="5" t="n">
        <f aca="false">+LN(PRECIOS!J33/PRECIOS!J32)</f>
        <v>0.00154967147854429</v>
      </c>
    </row>
    <row r="34" customFormat="false" ht="15" hidden="false" customHeight="false" outlineLevel="0" collapsed="false">
      <c r="A34" s="4" t="n">
        <f aca="false">PRECIOS!A34</f>
        <v>45981</v>
      </c>
      <c r="B34" s="5" t="n">
        <f aca="false">+LN(PRECIOS!B34/PRECIOS!B33)</f>
        <v>0.011626436168524</v>
      </c>
      <c r="C34" s="5" t="n">
        <f aca="false">+LN(PRECIOS!C34/PRECIOS!C33)</f>
        <v>-0.0225939759334503</v>
      </c>
      <c r="D34" s="5" t="n">
        <f aca="false">+LN(PRECIOS!D34/PRECIOS!D33)</f>
        <v>-0.0156735576173626</v>
      </c>
      <c r="E34" s="5" t="n">
        <f aca="false">+LN(PRECIOS!E34/PRECIOS!E33)</f>
        <v>-0.0167096811990674</v>
      </c>
      <c r="F34" s="5" t="n">
        <f aca="false">+LN(PRECIOS!F34/PRECIOS!F33)</f>
        <v>-0.00582783106399789</v>
      </c>
      <c r="G34" s="5" t="n">
        <f aca="false">+LN(PRECIOS!G34/PRECIOS!G33)</f>
        <v>0.0126025612519739</v>
      </c>
      <c r="H34" s="5" t="n">
        <f aca="false">+LN(PRECIOS!H34/PRECIOS!H33)</f>
        <v>-0.039491805074466</v>
      </c>
      <c r="I34" s="5" t="n">
        <f aca="false">+LN(PRECIOS!I34/PRECIOS!I33)</f>
        <v>0.000648824029249624</v>
      </c>
      <c r="J34" s="5" t="n">
        <f aca="false">+LN(PRECIOS!J34/PRECIOS!J33)</f>
        <v>-0.00660011864797729</v>
      </c>
    </row>
    <row r="35" customFormat="false" ht="15" hidden="false" customHeight="false" outlineLevel="0" collapsed="false">
      <c r="A35" s="4" t="n">
        <f aca="false">PRECIOS!A35</f>
        <v>45982</v>
      </c>
      <c r="B35" s="5" t="n">
        <f aca="false">+LN(PRECIOS!B35/PRECIOS!B34)</f>
        <v>-0.00246825674497928</v>
      </c>
      <c r="C35" s="5" t="n">
        <f aca="false">+LN(PRECIOS!C35/PRECIOS!C34)</f>
        <v>0.0129141557322638</v>
      </c>
      <c r="D35" s="5" t="n">
        <f aca="false">+LN(PRECIOS!D35/PRECIOS!D34)</f>
        <v>0.0066794141461341</v>
      </c>
      <c r="E35" s="5" t="n">
        <f aca="false">+LN(PRECIOS!E35/PRECIOS!E34)</f>
        <v>-0.0182186005484923</v>
      </c>
      <c r="F35" s="5" t="n">
        <f aca="false">+LN(PRECIOS!F35/PRECIOS!F34)</f>
        <v>-0.0128344007715412</v>
      </c>
      <c r="G35" s="5" t="n">
        <f aca="false">+LN(PRECIOS!G35/PRECIOS!G34)</f>
        <v>-0.0161252167007993</v>
      </c>
      <c r="H35" s="5" t="n">
        <f aca="false">+LN(PRECIOS!H35/PRECIOS!H34)</f>
        <v>0.036583417178509</v>
      </c>
      <c r="I35" s="5" t="n">
        <f aca="false">+LN(PRECIOS!I35/PRECIOS!I34)</f>
        <v>0.00113443007061182</v>
      </c>
      <c r="J35" s="5" t="n">
        <f aca="false">+LN(PRECIOS!J35/PRECIOS!J34)</f>
        <v>0.00331980711774682</v>
      </c>
    </row>
    <row r="36" customFormat="false" ht="15" hidden="false" customHeight="false" outlineLevel="0" collapsed="false">
      <c r="A36" s="4" t="n">
        <f aca="false">PRECIOS!A36</f>
        <v>45985</v>
      </c>
      <c r="B36" s="5" t="n">
        <f aca="false">+LN(PRECIOS!B36/PRECIOS!B35)</f>
        <v>-0.00170390565312756</v>
      </c>
      <c r="C36" s="5" t="n">
        <f aca="false">+LN(PRECIOS!C36/PRECIOS!C35)</f>
        <v>0.0166242925539973</v>
      </c>
      <c r="D36" s="5" t="n">
        <f aca="false">+LN(PRECIOS!D36/PRECIOS!D35)</f>
        <v>0.0202407474879441</v>
      </c>
      <c r="E36" s="5" t="n">
        <f aca="false">+LN(PRECIOS!E36/PRECIOS!E35)</f>
        <v>0.0250726369762846</v>
      </c>
      <c r="F36" s="5" t="n">
        <f aca="false">+LN(PRECIOS!F36/PRECIOS!F35)</f>
        <v>0.00107584733346333</v>
      </c>
      <c r="G36" s="5" t="n">
        <f aca="false">+LN(PRECIOS!G36/PRECIOS!G35)</f>
        <v>-0.00266466009489943</v>
      </c>
      <c r="H36" s="5" t="n">
        <f aca="false">+LN(PRECIOS!H36/PRECIOS!H35)</f>
        <v>-0.00486618965117301</v>
      </c>
      <c r="I36" s="5" t="n">
        <f aca="false">+LN(PRECIOS!I36/PRECIOS!I35)</f>
        <v>-0.00731532157637288</v>
      </c>
      <c r="J36" s="5" t="n">
        <f aca="false">+LN(PRECIOS!J36/PRECIOS!J35)</f>
        <v>0.0103753442383895</v>
      </c>
    </row>
    <row r="37" customFormat="false" ht="15" hidden="false" customHeight="false" outlineLevel="0" collapsed="false">
      <c r="A37" s="4" t="n">
        <f aca="false">PRECIOS!A37</f>
        <v>45986</v>
      </c>
      <c r="B37" s="5" t="n">
        <f aca="false">+LN(PRECIOS!B37/PRECIOS!B36)</f>
        <v>0.00504829869333668</v>
      </c>
      <c r="C37" s="5" t="n">
        <f aca="false">+LN(PRECIOS!C37/PRECIOS!C36)</f>
        <v>0.00770482319277474</v>
      </c>
      <c r="D37" s="5" t="n">
        <f aca="false">+LN(PRECIOS!D37/PRECIOS!D36)</f>
        <v>-0.00795325829716441</v>
      </c>
      <c r="E37" s="5" t="n">
        <f aca="false">+LN(PRECIOS!E37/PRECIOS!E36)</f>
        <v>0.0108696722369039</v>
      </c>
      <c r="F37" s="5" t="n">
        <f aca="false">+LN(PRECIOS!F37/PRECIOS!F36)</f>
        <v>0.0301849763383977</v>
      </c>
      <c r="G37" s="5" t="n">
        <f aca="false">+LN(PRECIOS!G37/PRECIOS!G36)</f>
        <v>0.0257107122258233</v>
      </c>
      <c r="H37" s="5" t="n">
        <f aca="false">+LN(PRECIOS!H37/PRECIOS!H36)</f>
        <v>-0.0266946152610445</v>
      </c>
      <c r="I37" s="5" t="n">
        <f aca="false">+LN(PRECIOS!I37/PRECIOS!I36)</f>
        <v>0.00293255342127772</v>
      </c>
      <c r="J37" s="5" t="n">
        <f aca="false">+LN(PRECIOS!J37/PRECIOS!J36)</f>
        <v>0.0110064030433243</v>
      </c>
    </row>
    <row r="38" customFormat="false" ht="15" hidden="false" customHeight="false" outlineLevel="0" collapsed="false">
      <c r="A38" s="4" t="n">
        <f aca="false">PRECIOS!A38</f>
        <v>45987</v>
      </c>
      <c r="B38" s="5" t="n">
        <f aca="false">+LN(PRECIOS!B38/PRECIOS!B37)</f>
        <v>0.00103941583252328</v>
      </c>
      <c r="C38" s="5" t="n">
        <f aca="false">+LN(PRECIOS!C38/PRECIOS!C37)</f>
        <v>0.00784633338414126</v>
      </c>
      <c r="D38" s="5" t="n">
        <f aca="false">+LN(PRECIOS!D38/PRECIOS!D37)</f>
        <v>-0.0127631134565831</v>
      </c>
      <c r="E38" s="5" t="n">
        <f aca="false">+LN(PRECIOS!E38/PRECIOS!E37)</f>
        <v>-0.027572600371379</v>
      </c>
      <c r="F38" s="5" t="n">
        <f aca="false">+LN(PRECIOS!F38/PRECIOS!F37)</f>
        <v>0.00882893296759512</v>
      </c>
      <c r="G38" s="5" t="n">
        <f aca="false">+LN(PRECIOS!G38/PRECIOS!G37)</f>
        <v>-0.00107469112976541</v>
      </c>
      <c r="H38" s="5" t="n">
        <f aca="false">+LN(PRECIOS!H38/PRECIOS!H37)</f>
        <v>-0.00401606965489005</v>
      </c>
      <c r="I38" s="5" t="n">
        <f aca="false">+LN(PRECIOS!I38/PRECIOS!I37)</f>
        <v>0.00551591275226385</v>
      </c>
      <c r="J38" s="5" t="n">
        <f aca="false">+LN(PRECIOS!J38/PRECIOS!J37)</f>
        <v>0.000445209681736383</v>
      </c>
    </row>
    <row r="39" customFormat="false" ht="15" hidden="false" customHeight="false" outlineLevel="0" collapsed="false">
      <c r="A39" s="4" t="n">
        <f aca="false">PRECIOS!A39</f>
        <v>45988</v>
      </c>
      <c r="B39" s="5" t="n">
        <f aca="false">+LN(PRECIOS!B39/PRECIOS!B38)</f>
        <v>-0.0116040568462194</v>
      </c>
      <c r="C39" s="5" t="n">
        <f aca="false">+LN(PRECIOS!C39/PRECIOS!C38)</f>
        <v>-0.0204481261669187</v>
      </c>
      <c r="D39" s="5" t="n">
        <f aca="false">+LN(PRECIOS!D39/PRECIOS!D38)</f>
        <v>-0.0119647275607842</v>
      </c>
      <c r="E39" s="5" t="n">
        <f aca="false">+LN(PRECIOS!E39/PRECIOS!E38)</f>
        <v>0.00121475069167498</v>
      </c>
      <c r="F39" s="5" t="n">
        <f aca="false">+LN(PRECIOS!F39/PRECIOS!F38)</f>
        <v>-0.021955926401416</v>
      </c>
      <c r="G39" s="5" t="n">
        <f aca="false">+LN(PRECIOS!G39/PRECIOS!G38)</f>
        <v>-0.00311747453840393</v>
      </c>
      <c r="H39" s="5" t="n">
        <f aca="false">+LN(PRECIOS!H39/PRECIOS!H38)</f>
        <v>-0.0131647470912109</v>
      </c>
      <c r="I39" s="5" t="n">
        <f aca="false">+LN(PRECIOS!I39/PRECIOS!I38)</f>
        <v>-0.0197702705959132</v>
      </c>
      <c r="J39" s="5" t="n">
        <f aca="false">+LN(PRECIOS!J39/PRECIOS!J38)</f>
        <v>-0.00870247097833852</v>
      </c>
    </row>
    <row r="40" customFormat="false" ht="15" hidden="false" customHeight="false" outlineLevel="0" collapsed="false">
      <c r="A40" s="4" t="n">
        <f aca="false">PRECIOS!A40</f>
        <v>45989</v>
      </c>
      <c r="B40" s="5" t="n">
        <f aca="false">+LN(PRECIOS!B40/PRECIOS!B39)</f>
        <v>0.0324900016426618</v>
      </c>
      <c r="C40" s="5" t="n">
        <f aca="false">+LN(PRECIOS!C40/PRECIOS!C39)</f>
        <v>0.0258443619056075</v>
      </c>
      <c r="D40" s="5" t="n">
        <f aca="false">+LN(PRECIOS!D40/PRECIOS!D39)</f>
        <v>0.0114888769688881</v>
      </c>
      <c r="E40" s="5" t="n">
        <f aca="false">+LN(PRECIOS!E40/PRECIOS!E39)</f>
        <v>0.00846218675441733</v>
      </c>
      <c r="F40" s="5" t="n">
        <f aca="false">+LN(PRECIOS!F40/PRECIOS!F39)</f>
        <v>0.0235059137951722</v>
      </c>
      <c r="G40" s="5" t="n">
        <f aca="false">+LN(PRECIOS!G40/PRECIOS!G39)</f>
        <v>-0.00660707535359069</v>
      </c>
      <c r="H40" s="5" t="n">
        <f aca="false">+LN(PRECIOS!H40/PRECIOS!H39)</f>
        <v>0.0231748406863113</v>
      </c>
      <c r="I40" s="5" t="n">
        <f aca="false">+LN(PRECIOS!I40/PRECIOS!I39)</f>
        <v>0.0226781886385594</v>
      </c>
      <c r="J40" s="5" t="n">
        <f aca="false">+LN(PRECIOS!J40/PRECIOS!J39)</f>
        <v>0.0142854470638652</v>
      </c>
    </row>
    <row r="41" customFormat="false" ht="15" hidden="false" customHeight="false" outlineLevel="0" collapsed="false">
      <c r="A41" s="4" t="n">
        <f aca="false">PRECIOS!A41</f>
        <v>45992</v>
      </c>
      <c r="B41" s="5" t="n">
        <f aca="false">+LN(PRECIOS!B41/PRECIOS!B40)</f>
        <v>0.000321233539543647</v>
      </c>
      <c r="C41" s="5" t="n">
        <f aca="false">+LN(PRECIOS!C41/PRECIOS!C40)</f>
        <v>-0.00700072866212722</v>
      </c>
      <c r="D41" s="5" t="n">
        <f aca="false">+LN(PRECIOS!D41/PRECIOS!D40)</f>
        <v>-0.032900887216654</v>
      </c>
      <c r="E41" s="5" t="n">
        <f aca="false">+LN(PRECIOS!E41/PRECIOS!E40)</f>
        <v>-0.00258286841825408</v>
      </c>
      <c r="F41" s="5" t="n">
        <f aca="false">+LN(PRECIOS!F41/PRECIOS!F40)</f>
        <v>-0.00103305794311368</v>
      </c>
      <c r="G41" s="5" t="n">
        <f aca="false">+LN(PRECIOS!G41/PRECIOS!G40)</f>
        <v>0.00518682230985656</v>
      </c>
      <c r="H41" s="5" t="n">
        <f aca="false">+LN(PRECIOS!H41/PRECIOS!H40)</f>
        <v>-0.00800004266707615</v>
      </c>
      <c r="I41" s="5" t="n">
        <f aca="false">+LN(PRECIOS!I41/PRECIOS!I40)</f>
        <v>-0.0128258921955476</v>
      </c>
      <c r="J41" s="5" t="n">
        <f aca="false">+LN(PRECIOS!J41/PRECIOS!J40)</f>
        <v>-0.000718061381606267</v>
      </c>
    </row>
    <row r="42" customFormat="false" ht="15" hidden="false" customHeight="false" outlineLevel="0" collapsed="false">
      <c r="A42" s="4" t="n">
        <f aca="false">PRECIOS!A42</f>
        <v>45993</v>
      </c>
      <c r="B42" s="5" t="n">
        <f aca="false">+LN(PRECIOS!B42/PRECIOS!B41)</f>
        <v>0.0126597435458577</v>
      </c>
      <c r="C42" s="5" t="n">
        <f aca="false">+LN(PRECIOS!C42/PRECIOS!C41)</f>
        <v>0.0196766757716063</v>
      </c>
      <c r="D42" s="5" t="n">
        <f aca="false">+LN(PRECIOS!D42/PRECIOS!D41)</f>
        <v>0.00588525484855553</v>
      </c>
      <c r="E42" s="5" t="n">
        <f aca="false">+LN(PRECIOS!E42/PRECIOS!E41)</f>
        <v>0.0445117307876969</v>
      </c>
      <c r="F42" s="5" t="n">
        <f aca="false">+LN(PRECIOS!F42/PRECIOS!F41)</f>
        <v>0.0133472207324639</v>
      </c>
      <c r="G42" s="5" t="n">
        <f aca="false">+LN(PRECIOS!G42/PRECIOS!G41)</f>
        <v>0.00775834228218056</v>
      </c>
      <c r="H42" s="5" t="n">
        <f aca="false">+LN(PRECIOS!H42/PRECIOS!H41)</f>
        <v>-0.00806455983673041</v>
      </c>
      <c r="I42" s="5" t="n">
        <f aca="false">+LN(PRECIOS!I42/PRECIOS!I41)</f>
        <v>-0.00754472990067766</v>
      </c>
      <c r="J42" s="5" t="n">
        <f aca="false">+LN(PRECIOS!J42/PRECIOS!J41)</f>
        <v>0.00423140018470083</v>
      </c>
    </row>
    <row r="43" customFormat="false" ht="15" hidden="false" customHeight="false" outlineLevel="0" collapsed="false">
      <c r="A43" s="4" t="n">
        <f aca="false">PRECIOS!A43</f>
        <v>45994</v>
      </c>
      <c r="B43" s="5" t="n">
        <f aca="false">+LN(PRECIOS!B43/PRECIOS!B42)</f>
        <v>-0.0222338270047032</v>
      </c>
      <c r="C43" s="5" t="n">
        <f aca="false">+LN(PRECIOS!C43/PRECIOS!C42)</f>
        <v>-0.0186735660476095</v>
      </c>
      <c r="D43" s="5" t="n">
        <f aca="false">+LN(PRECIOS!D43/PRECIOS!D42)</f>
        <v>-0.0317960217783512</v>
      </c>
      <c r="E43" s="5" t="n">
        <f aca="false">+LN(PRECIOS!E43/PRECIOS!E42)</f>
        <v>-0.020155591955547</v>
      </c>
      <c r="F43" s="5" t="n">
        <f aca="false">+LN(PRECIOS!F43/PRECIOS!F42)</f>
        <v>0.0116604616484719</v>
      </c>
      <c r="G43" s="5" t="n">
        <f aca="false">+LN(PRECIOS!G43/PRECIOS!G42)</f>
        <v>-0.00707636908002723</v>
      </c>
      <c r="H43" s="5" t="n">
        <f aca="false">+LN(PRECIOS!H43/PRECIOS!H42)</f>
        <v>0.00101163387484423</v>
      </c>
      <c r="I43" s="5" t="n">
        <f aca="false">+LN(PRECIOS!I43/PRECIOS!I42)</f>
        <v>-0.0152624064158008</v>
      </c>
      <c r="J43" s="5" t="n">
        <f aca="false">+LN(PRECIOS!J43/PRECIOS!J42)</f>
        <v>-0.00350296097303259</v>
      </c>
    </row>
    <row r="44" customFormat="false" ht="15" hidden="false" customHeight="false" outlineLevel="0" collapsed="false">
      <c r="A44" s="4" t="n">
        <f aca="false">PRECIOS!A44</f>
        <v>45995</v>
      </c>
      <c r="B44" s="5" t="n">
        <f aca="false">+LN(PRECIOS!B44/PRECIOS!B43)</f>
        <v>0.0145400528152211</v>
      </c>
      <c r="C44" s="5" t="n">
        <f aca="false">+LN(PRECIOS!C44/PRECIOS!C43)</f>
        <v>0.0167035102488967</v>
      </c>
      <c r="D44" s="5" t="n">
        <f aca="false">+LN(PRECIOS!D44/PRECIOS!D43)</f>
        <v>0.003024195853266</v>
      </c>
      <c r="E44" s="5" t="n">
        <f aca="false">+LN(PRECIOS!E44/PRECIOS!E43)</f>
        <v>-0.0091278524220899</v>
      </c>
      <c r="F44" s="5" t="n">
        <f aca="false">+LN(PRECIOS!F44/PRECIOS!F43)</f>
        <v>0.00703167136368075</v>
      </c>
      <c r="G44" s="5" t="n">
        <f aca="false">+LN(PRECIOS!G44/PRECIOS!G43)</f>
        <v>-0.00689795512257321</v>
      </c>
      <c r="H44" s="5" t="n">
        <f aca="false">+LN(PRECIOS!H44/PRECIOS!H43)</f>
        <v>0.00705292596188608</v>
      </c>
      <c r="I44" s="5" t="n">
        <f aca="false">+LN(PRECIOS!I44/PRECIOS!I43)</f>
        <v>-0.016008430161632</v>
      </c>
      <c r="J44" s="5" t="n">
        <f aca="false">+LN(PRECIOS!J44/PRECIOS!J43)</f>
        <v>0.00184459841341158</v>
      </c>
    </row>
    <row r="45" customFormat="false" ht="15" hidden="false" customHeight="false" outlineLevel="0" collapsed="false">
      <c r="A45" s="4" t="n">
        <f aca="false">PRECIOS!A45</f>
        <v>45996</v>
      </c>
      <c r="B45" s="5" t="n">
        <f aca="false">+LN(PRECIOS!B45/PRECIOS!B44)</f>
        <v>-0.0032544644191487</v>
      </c>
      <c r="C45" s="5" t="n">
        <f aca="false">+LN(PRECIOS!C45/PRECIOS!C44)</f>
        <v>-0.0111046153989832</v>
      </c>
      <c r="D45" s="5" t="n">
        <f aca="false">+LN(PRECIOS!D45/PRECIOS!D44)</f>
        <v>-0.013681490327254</v>
      </c>
      <c r="E45" s="5" t="n">
        <f aca="false">+LN(PRECIOS!E45/PRECIOS!E44)</f>
        <v>0.0166712625949483</v>
      </c>
      <c r="F45" s="5" t="n">
        <f aca="false">+LN(PRECIOS!F45/PRECIOS!F44)</f>
        <v>-0.0161456585013869</v>
      </c>
      <c r="G45" s="5" t="n">
        <f aca="false">+LN(PRECIOS!G45/PRECIOS!G44)</f>
        <v>0.00142910248119947</v>
      </c>
      <c r="H45" s="5" t="n">
        <f aca="false">+LN(PRECIOS!H45/PRECIOS!H44)</f>
        <v>-0.0100909029819629</v>
      </c>
      <c r="I45" s="5" t="n">
        <f aca="false">+LN(PRECIOS!I45/PRECIOS!I44)</f>
        <v>0.00186678034696023</v>
      </c>
      <c r="J45" s="5" t="n">
        <f aca="false">+LN(PRECIOS!J45/PRECIOS!J44)</f>
        <v>-0.00529628481542803</v>
      </c>
    </row>
    <row r="46" customFormat="false" ht="15" hidden="false" customHeight="false" outlineLevel="0" collapsed="false">
      <c r="A46" s="4" t="n">
        <f aca="false">PRECIOS!A46</f>
        <v>45999</v>
      </c>
      <c r="B46" s="5" t="n">
        <f aca="false">+LN(PRECIOS!B46/PRECIOS!B45)</f>
        <v>0.00628597850785283</v>
      </c>
      <c r="C46" s="5" t="n">
        <f aca="false">+LN(PRECIOS!C46/PRECIOS!C45)</f>
        <v>0.00616242880496725</v>
      </c>
      <c r="D46" s="5" t="n">
        <f aca="false">+LN(PRECIOS!D46/PRECIOS!D45)</f>
        <v>-0.00255427980509685</v>
      </c>
      <c r="E46" s="5" t="n">
        <f aca="false">+LN(PRECIOS!E46/PRECIOS!E45)</f>
        <v>-0.00586217238612887</v>
      </c>
      <c r="F46" s="5" t="n">
        <f aca="false">+LN(PRECIOS!F46/PRECIOS!F45)</f>
        <v>0.0191441614976435</v>
      </c>
      <c r="G46" s="5" t="n">
        <f aca="false">+LN(PRECIOS!G46/PRECIOS!G45)</f>
        <v>-0.0345202501823645</v>
      </c>
      <c r="H46" s="5" t="n">
        <f aca="false">+LN(PRECIOS!H46/PRECIOS!H45)</f>
        <v>0.0110944153592031</v>
      </c>
      <c r="I46" s="5" t="n">
        <f aca="false">+LN(PRECIOS!I46/PRECIOS!I45)</f>
        <v>-0.00288649491526548</v>
      </c>
      <c r="J46" s="5" t="n">
        <f aca="false">+LN(PRECIOS!J46/PRECIOS!J45)</f>
        <v>0.00235922203129322</v>
      </c>
    </row>
    <row r="47" customFormat="false" ht="15" hidden="false" customHeight="false" outlineLevel="0" collapsed="false">
      <c r="A47" s="4" t="n">
        <f aca="false">PRECIOS!A47</f>
        <v>46000</v>
      </c>
      <c r="B47" s="5" t="n">
        <f aca="false">+LN(PRECIOS!B47/PRECIOS!B46)</f>
        <v>0.00185691222415695</v>
      </c>
      <c r="C47" s="5" t="n">
        <f aca="false">+LN(PRECIOS!C47/PRECIOS!C46)</f>
        <v>0.00966381645582217</v>
      </c>
      <c r="D47" s="5" t="n">
        <f aca="false">+LN(PRECIOS!D47/PRECIOS!D46)</f>
        <v>-0.00976620458294392</v>
      </c>
      <c r="E47" s="5" t="n">
        <f aca="false">+LN(PRECIOS!E47/PRECIOS!E46)</f>
        <v>0.00184610273123881</v>
      </c>
      <c r="F47" s="5" t="n">
        <f aca="false">+LN(PRECIOS!F47/PRECIOS!F46)</f>
        <v>-0.00500251168297169</v>
      </c>
      <c r="G47" s="5" t="n">
        <f aca="false">+LN(PRECIOS!G47/PRECIOS!G46)</f>
        <v>0.00929910767846738</v>
      </c>
      <c r="H47" s="5" t="n">
        <f aca="false">+LN(PRECIOS!H47/PRECIOS!H46)</f>
        <v>0.0198616260867215</v>
      </c>
      <c r="I47" s="5" t="n">
        <f aca="false">+LN(PRECIOS!I47/PRECIOS!I46)</f>
        <v>-0.000170053567283457</v>
      </c>
      <c r="J47" s="5" t="n">
        <f aca="false">+LN(PRECIOS!J47/PRECIOS!J46)</f>
        <v>0.00262028901399568</v>
      </c>
    </row>
    <row r="48" customFormat="false" ht="15" hidden="false" customHeight="false" outlineLevel="0" collapsed="false">
      <c r="A48" s="4" t="n">
        <f aca="false">PRECIOS!A48</f>
        <v>46001</v>
      </c>
      <c r="B48" s="5" t="n">
        <f aca="false">+LN(PRECIOS!B48/PRECIOS!B47)</f>
        <v>-0.00552781252390219</v>
      </c>
      <c r="C48" s="5" t="n">
        <f aca="false">+LN(PRECIOS!C48/PRECIOS!C47)</f>
        <v>-0.00117831906799251</v>
      </c>
      <c r="D48" s="5" t="n">
        <f aca="false">+LN(PRECIOS!D48/PRECIOS!D47)</f>
        <v>-0.00206825306405896</v>
      </c>
      <c r="E48" s="5" t="n">
        <f aca="false">+LN(PRECIOS!E48/PRECIOS!E47)</f>
        <v>0.00468384931242644</v>
      </c>
      <c r="F48" s="5" t="n">
        <f aca="false">+LN(PRECIOS!F48/PRECIOS!F47)</f>
        <v>-0.0105874444991683</v>
      </c>
      <c r="G48" s="5" t="n">
        <f aca="false">+LN(PRECIOS!G48/PRECIOS!G47)</f>
        <v>-0.00853071800801044</v>
      </c>
      <c r="H48" s="5" t="n">
        <f aca="false">+LN(PRECIOS!H48/PRECIOS!H47)</f>
        <v>0.0656441044453208</v>
      </c>
      <c r="I48" s="5" t="n">
        <f aca="false">+LN(PRECIOS!I48/PRECIOS!I47)</f>
        <v>-0.00391923480289028</v>
      </c>
      <c r="J48" s="5" t="n">
        <f aca="false">+LN(PRECIOS!J48/PRECIOS!J47)</f>
        <v>-0.00448892716966459</v>
      </c>
    </row>
    <row r="49" customFormat="false" ht="15" hidden="false" customHeight="false" outlineLevel="0" collapsed="false">
      <c r="A49" s="4" t="n">
        <f aca="false">PRECIOS!A49</f>
        <v>46002</v>
      </c>
      <c r="B49" s="5" t="n">
        <f aca="false">+LN(PRECIOS!B49/PRECIOS!B48)</f>
        <v>0.0337487488993484</v>
      </c>
      <c r="C49" s="5" t="n">
        <f aca="false">+LN(PRECIOS!C49/PRECIOS!C48)</f>
        <v>0.00117831906799261</v>
      </c>
      <c r="D49" s="5" t="n">
        <f aca="false">+LN(PRECIOS!D49/PRECIOS!D48)</f>
        <v>-0.00103573287353209</v>
      </c>
      <c r="E49" s="5" t="n">
        <f aca="false">+LN(PRECIOS!E49/PRECIOS!E48)</f>
        <v>-0.00334336653797444</v>
      </c>
      <c r="F49" s="5" t="n">
        <f aca="false">+LN(PRECIOS!F49/PRECIOS!F48)</f>
        <v>0.0190768837500367</v>
      </c>
      <c r="G49" s="5" t="n">
        <f aca="false">+LN(PRECIOS!G49/PRECIOS!G48)</f>
        <v>0.0335804760103597</v>
      </c>
      <c r="H49" s="5" t="n">
        <f aca="false">+LN(PRECIOS!H49/PRECIOS!H48)</f>
        <v>0.0055096558109697</v>
      </c>
      <c r="I49" s="5" t="n">
        <f aca="false">+LN(PRECIOS!I49/PRECIOS!I48)</f>
        <v>0.0123866859019888</v>
      </c>
      <c r="J49" s="5" t="n">
        <f aca="false">+LN(PRECIOS!J49/PRECIOS!J48)</f>
        <v>0.0203356219937359</v>
      </c>
    </row>
    <row r="50" customFormat="false" ht="15" hidden="false" customHeight="false" outlineLevel="0" collapsed="false">
      <c r="A50" s="4" t="n">
        <f aca="false">PRECIOS!A50</f>
        <v>46006</v>
      </c>
      <c r="B50" s="5" t="n">
        <f aca="false">+LN(PRECIOS!B50/PRECIOS!B49)</f>
        <v>-0.00833100986739833</v>
      </c>
      <c r="C50" s="5" t="n">
        <f aca="false">+LN(PRECIOS!C50/PRECIOS!C49)</f>
        <v>0.00196078494194062</v>
      </c>
      <c r="D50" s="5" t="n">
        <f aca="false">+LN(PRECIOS!D50/PRECIOS!D49)</f>
        <v>-0.015139939410502</v>
      </c>
      <c r="E50" s="5" t="n">
        <f aca="false">+LN(PRECIOS!E50/PRECIOS!E49)</f>
        <v>-0.0175680193962087</v>
      </c>
      <c r="F50" s="5" t="n">
        <f aca="false">+LN(PRECIOS!F50/PRECIOS!F49)</f>
        <v>0.041875641129268</v>
      </c>
      <c r="G50" s="5" t="n">
        <f aca="false">+LN(PRECIOS!G50/PRECIOS!G49)</f>
        <v>-0.00308995439260548</v>
      </c>
      <c r="H50" s="5" t="n">
        <f aca="false">+LN(PRECIOS!H50/PRECIOS!H49)</f>
        <v>-0.0064308903302904</v>
      </c>
      <c r="I50" s="5" t="n">
        <f aca="false">+LN(PRECIOS!I50/PRECIOS!I49)</f>
        <v>-0.00676821534613874</v>
      </c>
      <c r="J50" s="5" t="n">
        <f aca="false">+LN(PRECIOS!J50/PRECIOS!J49)</f>
        <v>-0.00598134600175054</v>
      </c>
    </row>
    <row r="51" customFormat="false" ht="15" hidden="false" customHeight="false" outlineLevel="0" collapsed="false">
      <c r="A51" s="4" t="n">
        <f aca="false">PRECIOS!A51</f>
        <v>46007</v>
      </c>
      <c r="B51" s="5" t="n">
        <f aca="false">+LN(PRECIOS!B51/PRECIOS!B50)</f>
        <v>-0.0140235671638676</v>
      </c>
      <c r="C51" s="5" t="n">
        <f aca="false">+LN(PRECIOS!C51/PRECIOS!C50)</f>
        <v>-0.0128143695333517</v>
      </c>
      <c r="D51" s="5" t="n">
        <f aca="false">+LN(PRECIOS!D51/PRECIOS!D50)</f>
        <v>-0.0127053059019204</v>
      </c>
      <c r="E51" s="5" t="n">
        <f aca="false">+LN(PRECIOS!E51/PRECIOS!E50)</f>
        <v>-0.0113111745815229</v>
      </c>
      <c r="F51" s="5" t="n">
        <f aca="false">+LN(PRECIOS!F51/PRECIOS!F50)</f>
        <v>-0.0153775255067868</v>
      </c>
      <c r="G51" s="5" t="n">
        <f aca="false">+LN(PRECIOS!G51/PRECIOS!G50)</f>
        <v>-0.04471229593621</v>
      </c>
      <c r="H51" s="5" t="n">
        <f aca="false">+LN(PRECIOS!H51/PRECIOS!H50)</f>
        <v>0.0209766013326692</v>
      </c>
      <c r="I51" s="5" t="n">
        <f aca="false">+LN(PRECIOS!I51/PRECIOS!I50)</f>
        <v>-0.0308618579807695</v>
      </c>
      <c r="J51" s="5" t="n">
        <f aca="false">+LN(PRECIOS!J51/PRECIOS!J50)</f>
        <v>-0.0171737601618871</v>
      </c>
    </row>
    <row r="52" customFormat="false" ht="15" hidden="false" customHeight="false" outlineLevel="0" collapsed="false">
      <c r="A52" s="4" t="n">
        <f aca="false">PRECIOS!A52</f>
        <v>46008</v>
      </c>
      <c r="B52" s="5" t="n">
        <f aca="false">+LN(PRECIOS!B52/PRECIOS!B51)</f>
        <v>-0.000790743076074443</v>
      </c>
      <c r="C52" s="5" t="n">
        <f aca="false">+LN(PRECIOS!C52/PRECIOS!C51)</f>
        <v>0.0210079385873402</v>
      </c>
      <c r="D52" s="5" t="n">
        <f aca="false">+LN(PRECIOS!D52/PRECIOS!D51)</f>
        <v>-0.0182800789166856</v>
      </c>
      <c r="E52" s="5" t="n">
        <f aca="false">+LN(PRECIOS!E52/PRECIOS!E51)</f>
        <v>-0.003453042105058</v>
      </c>
      <c r="F52" s="5" t="n">
        <f aca="false">+LN(PRECIOS!F52/PRECIOS!F51)</f>
        <v>-0.0269955043420115</v>
      </c>
      <c r="G52" s="5" t="n">
        <f aca="false">+LN(PRECIOS!G52/PRECIOS!G51)</f>
        <v>-0.0146093754442509</v>
      </c>
      <c r="H52" s="5" t="n">
        <f aca="false">+LN(PRECIOS!H52/PRECIOS!H51)</f>
        <v>0.0036036075032984</v>
      </c>
      <c r="I52" s="5" t="n">
        <f aca="false">+LN(PRECIOS!I52/PRECIOS!I51)</f>
        <v>-0.0242812106229693</v>
      </c>
      <c r="J52" s="5" t="n">
        <f aca="false">+LN(PRECIOS!J52/PRECIOS!J51)</f>
        <v>-0.0111772152773696</v>
      </c>
    </row>
    <row r="53" customFormat="false" ht="15" hidden="false" customHeight="false" outlineLevel="0" collapsed="false">
      <c r="A53" s="4" t="n">
        <f aca="false">PRECIOS!A53</f>
        <v>46009</v>
      </c>
      <c r="B53" s="5" t="n">
        <f aca="false">+LN(PRECIOS!B53/PRECIOS!B52)</f>
        <v>0.00205463286462733</v>
      </c>
      <c r="C53" s="5" t="n">
        <f aca="false">+LN(PRECIOS!C53/PRECIOS!C52)</f>
        <v>0.0179074776623333</v>
      </c>
      <c r="D53" s="5" t="n">
        <f aca="false">+LN(PRECIOS!D53/PRECIOS!D52)</f>
        <v>0.00810596170396048</v>
      </c>
      <c r="E53" s="5" t="n">
        <f aca="false">+LN(PRECIOS!E53/PRECIOS!E52)</f>
        <v>0.0195245112928811</v>
      </c>
      <c r="F53" s="5" t="n">
        <f aca="false">+LN(PRECIOS!F53/PRECIOS!F52)</f>
        <v>0.0375929060240793</v>
      </c>
      <c r="G53" s="5" t="n">
        <f aca="false">+LN(PRECIOS!G53/PRECIOS!G52)</f>
        <v>0.0308379973256315</v>
      </c>
      <c r="H53" s="5" t="n">
        <f aca="false">+LN(PRECIOS!H53/PRECIOS!H52)</f>
        <v>0.0257448750515481</v>
      </c>
      <c r="I53" s="5" t="n">
        <f aca="false">+LN(PRECIOS!I53/PRECIOS!I52)</f>
        <v>0.0156642576299513</v>
      </c>
      <c r="J53" s="5" t="n">
        <f aca="false">+LN(PRECIOS!J53/PRECIOS!J52)</f>
        <v>0.0202525013217048</v>
      </c>
    </row>
    <row r="54" customFormat="false" ht="15" hidden="false" customHeight="false" outlineLevel="0" collapsed="false">
      <c r="A54" s="4" t="n">
        <f aca="false">PRECIOS!A54</f>
        <v>46010</v>
      </c>
      <c r="B54" s="5" t="n">
        <f aca="false">+LN(PRECIOS!B54/PRECIOS!B53)</f>
        <v>0.0261792335982251</v>
      </c>
      <c r="C54" s="5" t="n">
        <f aca="false">+LN(PRECIOS!C54/PRECIOS!C53)</f>
        <v>0.0143996425180481</v>
      </c>
      <c r="D54" s="5" t="n">
        <f aca="false">+LN(PRECIOS!D54/PRECIOS!D53)</f>
        <v>-0.0190171446951207</v>
      </c>
      <c r="E54" s="5" t="n">
        <f aca="false">+LN(PRECIOS!E54/PRECIOS!E53)</f>
        <v>0.00928511777567948</v>
      </c>
      <c r="F54" s="5" t="n">
        <f aca="false">+LN(PRECIOS!F54/PRECIOS!F53)</f>
        <v>0.00430313836373211</v>
      </c>
      <c r="G54" s="5" t="n">
        <f aca="false">+LN(PRECIOS!G54/PRECIOS!G53)</f>
        <v>-0.00401773066305546</v>
      </c>
      <c r="H54" s="5" t="n">
        <f aca="false">+LN(PRECIOS!H54/PRECIOS!H53)</f>
        <v>-0.0936463587628483</v>
      </c>
      <c r="I54" s="5" t="n">
        <f aca="false">+LN(PRECIOS!I54/PRECIOS!I53)</f>
        <v>-0.000176631635185</v>
      </c>
      <c r="J54" s="5" t="n">
        <f aca="false">+LN(PRECIOS!J54/PRECIOS!J53)</f>
        <v>0.00249909540644834</v>
      </c>
    </row>
    <row r="55" customFormat="false" ht="15" hidden="false" customHeight="false" outlineLevel="0" collapsed="false">
      <c r="A55" s="4" t="n">
        <f aca="false">PRECIOS!A55</f>
        <v>46013</v>
      </c>
      <c r="B55" s="5" t="n">
        <f aca="false">+LN(PRECIOS!B55/PRECIOS!B54)</f>
        <v>0.00281582164805138</v>
      </c>
      <c r="C55" s="5" t="n">
        <f aca="false">+LN(PRECIOS!C55/PRECIOS!C54)</f>
        <v>0.0162332140109299</v>
      </c>
      <c r="D55" s="5" t="n">
        <f aca="false">+LN(PRECIOS!D55/PRECIOS!D54)</f>
        <v>0.0152425378948346</v>
      </c>
      <c r="E55" s="5" t="n">
        <f aca="false">+LN(PRECIOS!E55/PRECIOS!E54)</f>
        <v>-0.00996377406233106</v>
      </c>
      <c r="F55" s="5" t="n">
        <f aca="false">+LN(PRECIOS!F55/PRECIOS!F54)</f>
        <v>0.00807797217512379</v>
      </c>
      <c r="G55" s="5" t="n">
        <f aca="false">+LN(PRECIOS!G55/PRECIOS!G54)</f>
        <v>0.00525524518499339</v>
      </c>
      <c r="H55" s="5" t="n">
        <f aca="false">+LN(PRECIOS!H55/PRECIOS!H54)</f>
        <v>0.0405524683071994</v>
      </c>
      <c r="I55" s="5" t="n">
        <f aca="false">+LN(PRECIOS!I55/PRECIOS!I54)</f>
        <v>0.00598804184462269</v>
      </c>
      <c r="J55" s="5" t="n">
        <f aca="false">+LN(PRECIOS!J55/PRECIOS!J54)</f>
        <v>0.0126018055393084</v>
      </c>
    </row>
    <row r="56" customFormat="false" ht="15" hidden="false" customHeight="false" outlineLevel="0" collapsed="false">
      <c r="A56" s="4" t="n">
        <f aca="false">PRECIOS!A56</f>
        <v>46014</v>
      </c>
      <c r="B56" s="5" t="n">
        <f aca="false">+LN(PRECIOS!B56/PRECIOS!B55)</f>
        <v>0.0124982574924397</v>
      </c>
      <c r="C56" s="5" t="n">
        <f aca="false">+LN(PRECIOS!C56/PRECIOS!C55)</f>
        <v>0.0143332112020506</v>
      </c>
      <c r="D56" s="5" t="n">
        <f aca="false">+LN(PRECIOS!D56/PRECIOS!D55)</f>
        <v>0.00914230621529024</v>
      </c>
      <c r="E56" s="5" t="n">
        <f aca="false">+LN(PRECIOS!E56/PRECIOS!E55)</f>
        <v>0.0118104966554957</v>
      </c>
      <c r="F56" s="5" t="n">
        <f aca="false">+LN(PRECIOS!F56/PRECIOS!F55)</f>
        <v>0.00801324108741408</v>
      </c>
      <c r="G56" s="5" t="n">
        <f aca="false">+LN(PRECIOS!G56/PRECIOS!G55)</f>
        <v>0.00352734051796844</v>
      </c>
      <c r="H56" s="5" t="n">
        <f aca="false">+LN(PRECIOS!H56/PRECIOS!H55)</f>
        <v>-0.00928511777567954</v>
      </c>
      <c r="I56" s="5" t="n">
        <f aca="false">+LN(PRECIOS!I56/PRECIOS!I55)</f>
        <v>0.0031556828431801</v>
      </c>
      <c r="J56" s="5" t="n">
        <f aca="false">+LN(PRECIOS!J56/PRECIOS!J55)</f>
        <v>0.0125369057324365</v>
      </c>
    </row>
    <row r="57" customFormat="false" ht="15" hidden="false" customHeight="false" outlineLevel="0" collapsed="false">
      <c r="A57" s="4" t="n">
        <f aca="false">PRECIOS!A57</f>
        <v>46015</v>
      </c>
      <c r="B57" s="5" t="n">
        <f aca="false">+LN(PRECIOS!B57/PRECIOS!B56)</f>
        <v>-0.00506176419882817</v>
      </c>
      <c r="C57" s="5" t="n">
        <f aca="false">+LN(PRECIOS!C57/PRECIOS!C56)</f>
        <v>0.0173634313434374</v>
      </c>
      <c r="D57" s="5" t="n">
        <f aca="false">+LN(PRECIOS!D57/PRECIOS!D56)</f>
        <v>0.00427351077738209</v>
      </c>
      <c r="E57" s="5" t="n">
        <f aca="false">+LN(PRECIOS!E57/PRECIOS!E56)</f>
        <v>0.00735297430525895</v>
      </c>
      <c r="F57" s="5" t="n">
        <f aca="false">+LN(PRECIOS!F57/PRECIOS!F56)</f>
        <v>-0.000469593809991399</v>
      </c>
      <c r="G57" s="5" t="n">
        <f aca="false">+LN(PRECIOS!G57/PRECIOS!G56)</f>
        <v>0.0093458624182376</v>
      </c>
      <c r="H57" s="5" t="n">
        <f aca="false">+LN(PRECIOS!H57/PRECIOS!H56)</f>
        <v>-0.0197839707537963</v>
      </c>
      <c r="I57" s="5" t="n">
        <f aca="false">+LN(PRECIOS!I57/PRECIOS!I56)</f>
        <v>0.0019235819518789</v>
      </c>
      <c r="J57" s="5" t="n">
        <f aca="false">+LN(PRECIOS!J57/PRECIOS!J56)</f>
        <v>0.000320397918050759</v>
      </c>
    </row>
    <row r="58" customFormat="false" ht="15" hidden="false" customHeight="false" outlineLevel="0" collapsed="false">
      <c r="A58" s="4" t="n">
        <f aca="false">PRECIOS!A58</f>
        <v>46017</v>
      </c>
      <c r="B58" s="5" t="n">
        <f aca="false">+LN(PRECIOS!B58/PRECIOS!B57)</f>
        <v>0.00147055121452759</v>
      </c>
      <c r="C58" s="5" t="n">
        <f aca="false">+LN(PRECIOS!C58/PRECIOS!C57)</f>
        <v>0.00981362144832467</v>
      </c>
      <c r="D58" s="5" t="n">
        <f aca="false">+LN(PRECIOS!D58/PRECIOS!D57)</f>
        <v>-0.00588079748825419</v>
      </c>
      <c r="E58" s="5" t="n">
        <f aca="false">+LN(PRECIOS!E58/PRECIOS!E57)</f>
        <v>0.00149737986550356</v>
      </c>
      <c r="F58" s="5" t="n">
        <f aca="false">+LN(PRECIOS!F58/PRECIOS!F57)</f>
        <v>0.00608758611421468</v>
      </c>
      <c r="G58" s="5" t="n">
        <f aca="false">+LN(PRECIOS!G58/PRECIOS!G57)</f>
        <v>-0.00168746948774174</v>
      </c>
      <c r="H58" s="5" t="n">
        <f aca="false">+LN(PRECIOS!H58/PRECIOS!H57)</f>
        <v>0.00474609338925576</v>
      </c>
      <c r="I58" s="5" t="n">
        <f aca="false">+LN(PRECIOS!I58/PRECIOS!I57)</f>
        <v>-0.0013986016265836</v>
      </c>
      <c r="J58" s="5" t="n">
        <f aca="false">+LN(PRECIOS!J58/PRECIOS!J57)</f>
        <v>0.000303688784873651</v>
      </c>
    </row>
    <row r="59" customFormat="false" ht="15" hidden="false" customHeight="false" outlineLevel="0" collapsed="false">
      <c r="A59" s="4" t="n">
        <f aca="false">PRECIOS!A59</f>
        <v>46020</v>
      </c>
      <c r="B59" s="5" t="n">
        <f aca="false">+LN(PRECIOS!B59/PRECIOS!B58)</f>
        <v>0.000607871960362104</v>
      </c>
      <c r="C59" s="5" t="n">
        <f aca="false">+LN(PRECIOS!C59/PRECIOS!C58)</f>
        <v>-0.00873835252751796</v>
      </c>
      <c r="D59" s="5" t="n">
        <f aca="false">+LN(PRECIOS!D59/PRECIOS!D58)</f>
        <v>0.00588079748825416</v>
      </c>
      <c r="E59" s="5" t="n">
        <f aca="false">+LN(PRECIOS!E59/PRECIOS!E58)</f>
        <v>-0.00717446974969826</v>
      </c>
      <c r="F59" s="5" t="n">
        <f aca="false">+LN(PRECIOS!F59/PRECIOS!F58)</f>
        <v>-0.00702743580745697</v>
      </c>
      <c r="G59" s="5" t="n">
        <f aca="false">+LN(PRECIOS!G59/PRECIOS!G58)</f>
        <v>-0.00402649859790199</v>
      </c>
      <c r="H59" s="5" t="n">
        <f aca="false">+LN(PRECIOS!H59/PRECIOS!H58)</f>
        <v>-0.0114286958236229</v>
      </c>
      <c r="I59" s="5" t="n">
        <f aca="false">+LN(PRECIOS!I59/PRECIOS!I58)</f>
        <v>-0.00105023639970203</v>
      </c>
      <c r="J59" s="5" t="n">
        <f aca="false">+LN(PRECIOS!J59/PRECIOS!J58)</f>
        <v>-0.00441705409981226</v>
      </c>
    </row>
    <row r="60" customFormat="false" ht="15" hidden="false" customHeight="false" outlineLevel="0" collapsed="false">
      <c r="A60" s="4" t="n">
        <f aca="false">PRECIOS!A60</f>
        <v>46021</v>
      </c>
      <c r="B60" s="5" t="n">
        <f aca="false">+LN(PRECIOS!B60/PRECIOS!B59)</f>
        <v>-0.0143322270708707</v>
      </c>
      <c r="C60" s="5" t="n">
        <f aca="false">+LN(PRECIOS!C60/PRECIOS!C59)</f>
        <v>-0.0296304508766685</v>
      </c>
      <c r="D60" s="5" t="n">
        <f aca="false">+LN(PRECIOS!D60/PRECIOS!D59)</f>
        <v>0</v>
      </c>
      <c r="E60" s="5" t="n">
        <f aca="false">+LN(PRECIOS!E60/PRECIOS!E59)</f>
        <v>-0.0206402184331788</v>
      </c>
      <c r="F60" s="5" t="n">
        <f aca="false">+LN(PRECIOS!F60/PRECIOS!F59)</f>
        <v>-0.0180270536436714</v>
      </c>
      <c r="G60" s="5" t="n">
        <f aca="false">+LN(PRECIOS!G60/PRECIOS!G59)</f>
        <v>-0.0237866963110542</v>
      </c>
      <c r="H60" s="5" t="n">
        <f aca="false">+LN(PRECIOS!H60/PRECIOS!H59)</f>
        <v>0.00286944242795296</v>
      </c>
      <c r="I60" s="5" t="n">
        <f aca="false">+LN(PRECIOS!I60/PRECIOS!I59)</f>
        <v>-0.0185599671437957</v>
      </c>
      <c r="J60" s="5" t="n">
        <f aca="false">+LN(PRECIOS!J60/PRECIOS!J59)</f>
        <v>-0.0151163379603644</v>
      </c>
    </row>
    <row r="61" customFormat="false" ht="15" hidden="false" customHeight="false" outlineLevel="0" collapsed="false">
      <c r="A61" s="4" t="n">
        <f aca="false">PRECIOS!A61</f>
        <v>46022</v>
      </c>
      <c r="B61" s="5" t="n">
        <f aca="false">+LN(PRECIOS!B61/PRECIOS!B60)</f>
        <v>0.00112953752318464</v>
      </c>
      <c r="C61" s="5" t="n">
        <f aca="false">+LN(PRECIOS!C61/PRECIOS!C60)</f>
        <v>-0.00610717175315822</v>
      </c>
      <c r="D61" s="5" t="n">
        <f aca="false">+LN(PRECIOS!D61/PRECIOS!D60)</f>
        <v>-0.00695375896458162</v>
      </c>
      <c r="E61" s="5" t="n">
        <f aca="false">+LN(PRECIOS!E61/PRECIOS!E60)</f>
        <v>0.0105425224021356</v>
      </c>
      <c r="F61" s="5" t="n">
        <f aca="false">+LN(PRECIOS!F61/PRECIOS!F60)</f>
        <v>-0.0105872018747974</v>
      </c>
      <c r="G61" s="5" t="n">
        <f aca="false">+LN(PRECIOS!G61/PRECIOS!G60)</f>
        <v>-0.000359345994164472</v>
      </c>
      <c r="H61" s="5" t="n">
        <f aca="false">+LN(PRECIOS!H61/PRECIOS!H60)</f>
        <v>0.00190839752576017</v>
      </c>
      <c r="I61" s="5" t="n">
        <f aca="false">+LN(PRECIOS!I61/PRECIOS!I60)</f>
        <v>0.00142627943593913</v>
      </c>
      <c r="J61" s="5" t="n">
        <f aca="false">+LN(PRECIOS!J61/PRECIOS!J60)</f>
        <v>-0.000907868794268696</v>
      </c>
    </row>
    <row r="62" customFormat="false" ht="15" hidden="false" customHeight="false" outlineLevel="0" collapsed="false">
      <c r="A62" s="4" t="n">
        <f aca="false">PRECIOS!A62</f>
        <v>46024</v>
      </c>
      <c r="B62" s="5" t="n">
        <f aca="false">+LN(PRECIOS!B62/PRECIOS!B61)</f>
        <v>-0.00447428039492108</v>
      </c>
      <c r="C62" s="5" t="n">
        <f aca="false">+LN(PRECIOS!C62/PRECIOS!C61)</f>
        <v>-0.00483811885299595</v>
      </c>
      <c r="D62" s="5" t="n">
        <f aca="false">+LN(PRECIOS!D62/PRECIOS!D61)</f>
        <v>-0.00538214431622859</v>
      </c>
      <c r="E62" s="5" t="n">
        <f aca="false">+LN(PRECIOS!E62/PRECIOS!E61)</f>
        <v>-0.000169161803668169</v>
      </c>
      <c r="F62" s="5" t="n">
        <f aca="false">+LN(PRECIOS!F62/PRECIOS!F61)</f>
        <v>0.000483675946551403</v>
      </c>
      <c r="G62" s="5" t="n">
        <f aca="false">+LN(PRECIOS!G62/PRECIOS!G61)</f>
        <v>0.0249643251260255</v>
      </c>
      <c r="H62" s="5" t="n">
        <f aca="false">+LN(PRECIOS!H62/PRECIOS!H61)</f>
        <v>0.0207554620514517</v>
      </c>
      <c r="I62" s="5" t="n">
        <f aca="false">+LN(PRECIOS!I62/PRECIOS!I61)</f>
        <v>0.00213561213042146</v>
      </c>
      <c r="J62" s="5" t="n">
        <f aca="false">+LN(PRECIOS!J62/PRECIOS!J61)</f>
        <v>-0.00259915218104378</v>
      </c>
    </row>
    <row r="63" customFormat="false" ht="15" hidden="false" customHeight="false" outlineLevel="0" collapsed="false">
      <c r="A63" s="4" t="n">
        <f aca="false">PRECIOS!A63</f>
        <v>46027</v>
      </c>
      <c r="B63" s="5" t="n">
        <f aca="false">+LN(PRECIOS!B63/PRECIOS!B62)</f>
        <v>0.00385832718788902</v>
      </c>
      <c r="C63" s="5" t="n">
        <f aca="false">+LN(PRECIOS!C63/PRECIOS!C62)</f>
        <v>-0.00899387737659444</v>
      </c>
      <c r="D63" s="5" t="n">
        <f aca="false">+LN(PRECIOS!D63/PRECIOS!D62)</f>
        <v>0.008062392503428</v>
      </c>
      <c r="E63" s="5" t="n">
        <f aca="false">+LN(PRECIOS!E63/PRECIOS!E62)</f>
        <v>-0.00067693351713427</v>
      </c>
      <c r="F63" s="5" t="n">
        <f aca="false">+LN(PRECIOS!F63/PRECIOS!F62)</f>
        <v>0.0238902905330321</v>
      </c>
      <c r="G63" s="5" t="n">
        <f aca="false">+LN(PRECIOS!G63/PRECIOS!G62)</f>
        <v>0.0151913398624438</v>
      </c>
      <c r="H63" s="5" t="n">
        <f aca="false">+LN(PRECIOS!H63/PRECIOS!H62)</f>
        <v>0.0018656721829497</v>
      </c>
      <c r="I63" s="5" t="n">
        <f aca="false">+LN(PRECIOS!I63/PRECIOS!I62)</f>
        <v>-0.00177935990007732</v>
      </c>
      <c r="J63" s="5" t="n">
        <f aca="false">+LN(PRECIOS!J63/PRECIOS!J62)</f>
        <v>0.0135189247275092</v>
      </c>
    </row>
    <row r="64" customFormat="false" ht="15" hidden="false" customHeight="false" outlineLevel="0" collapsed="false">
      <c r="A64" s="4" t="n">
        <f aca="false">PRECIOS!A64</f>
        <v>46028</v>
      </c>
      <c r="B64" s="5" t="n">
        <f aca="false">+LN(PRECIOS!B64/PRECIOS!B63)</f>
        <v>-0.0169846667901918</v>
      </c>
      <c r="C64" s="5" t="n">
        <f aca="false">+LN(PRECIOS!C64/PRECIOS!C63)</f>
        <v>0.00169252508669109</v>
      </c>
      <c r="D64" s="5" t="n">
        <f aca="false">+LN(PRECIOS!D64/PRECIOS!D63)</f>
        <v>-0.0271313440513638</v>
      </c>
      <c r="E64" s="5" t="n">
        <f aca="false">+LN(PRECIOS!E64/PRECIOS!E63)</f>
        <v>-0.0258952992999768</v>
      </c>
      <c r="F64" s="5" t="n">
        <f aca="false">+LN(PRECIOS!F64/PRECIOS!F63)</f>
        <v>0.00846267391873373</v>
      </c>
      <c r="G64" s="5" t="n">
        <f aca="false">+LN(PRECIOS!G64/PRECIOS!G63)</f>
        <v>-0.0207571625911781</v>
      </c>
      <c r="H64" s="5" t="n">
        <f aca="false">+LN(PRECIOS!H64/PRECIOS!H63)</f>
        <v>-0.0121895555245857</v>
      </c>
      <c r="I64" s="5" t="n">
        <f aca="false">+LN(PRECIOS!I64/PRECIOS!I63)</f>
        <v>0.0289620944938796</v>
      </c>
      <c r="J64" s="5" t="n">
        <f aca="false">+LN(PRECIOS!J64/PRECIOS!J63)</f>
        <v>0.000121042835699895</v>
      </c>
    </row>
    <row r="65" customFormat="false" ht="15" hidden="false" customHeight="false" outlineLevel="0" collapsed="false">
      <c r="A65" s="4" t="n">
        <f aca="false">PRECIOS!A65</f>
        <v>46029</v>
      </c>
      <c r="B65" s="5" t="n">
        <f aca="false">+LN(PRECIOS!B65/PRECIOS!B64)</f>
        <v>0.00712932012992854</v>
      </c>
      <c r="C65" s="5" t="n">
        <f aca="false">+LN(PRECIOS!C65/PRECIOS!C64)</f>
        <v>0.00674159856691945</v>
      </c>
      <c r="D65" s="5" t="n">
        <f aca="false">+LN(PRECIOS!D65/PRECIOS!D64)</f>
        <v>0.00219780308247944</v>
      </c>
      <c r="E65" s="5" t="n">
        <f aca="false">+LN(PRECIOS!E65/PRECIOS!E64)</f>
        <v>0.0132886587463791</v>
      </c>
      <c r="F65" s="5" t="n">
        <f aca="false">+LN(PRECIOS!F65/PRECIOS!F64)</f>
        <v>-0.028491955794306</v>
      </c>
      <c r="G65" s="5" t="n">
        <f aca="false">+LN(PRECIOS!G65/PRECIOS!G64)</f>
        <v>-0.00441605804956366</v>
      </c>
      <c r="H65" s="5" t="n">
        <f aca="false">+LN(PRECIOS!H65/PRECIOS!H64)</f>
        <v>-0.0209731233802788</v>
      </c>
      <c r="I65" s="5" t="n">
        <f aca="false">+LN(PRECIOS!I65/PRECIOS!I64)</f>
        <v>0.00379900301492634</v>
      </c>
      <c r="J65" s="5" t="n">
        <f aca="false">+LN(PRECIOS!J65/PRECIOS!J64)</f>
        <v>-0.002317892080255</v>
      </c>
    </row>
    <row r="66" customFormat="false" ht="15" hidden="false" customHeight="false" outlineLevel="0" collapsed="false">
      <c r="A66" s="4" t="n">
        <f aca="false">PRECIOS!A66</f>
        <v>46030</v>
      </c>
      <c r="B66" s="5" t="n">
        <f aca="false">+LN(PRECIOS!B66/PRECIOS!B65)</f>
        <v>0.00805664637831174</v>
      </c>
      <c r="C66" s="5" t="n">
        <f aca="false">+LN(PRECIOS!C66/PRECIOS!C65)</f>
        <v>0.00614012534711456</v>
      </c>
      <c r="D66" s="5" t="n">
        <f aca="false">+LN(PRECIOS!D66/PRECIOS!D65)</f>
        <v>0.0109171389953487</v>
      </c>
      <c r="E66" s="5" t="n">
        <f aca="false">+LN(PRECIOS!E66/PRECIOS!E65)</f>
        <v>0.0386732793180932</v>
      </c>
      <c r="F66" s="5" t="n">
        <f aca="false">+LN(PRECIOS!F66/PRECIOS!F65)</f>
        <v>0.0593771025165639</v>
      </c>
      <c r="G66" s="5" t="n">
        <f aca="false">+LN(PRECIOS!G66/PRECIOS!G65)</f>
        <v>-0.00354694152896418</v>
      </c>
      <c r="H66" s="5" t="n">
        <f aca="false">+LN(PRECIOS!H66/PRECIOS!H65)</f>
        <v>0.0105415446704632</v>
      </c>
      <c r="I66" s="5" t="n">
        <f aca="false">+LN(PRECIOS!I66/PRECIOS!I65)</f>
        <v>-0.0151083884524384</v>
      </c>
      <c r="J66" s="5" t="n">
        <f aca="false">+LN(PRECIOS!J66/PRECIOS!J65)</f>
        <v>0.00995938142615981</v>
      </c>
    </row>
    <row r="67" customFormat="false" ht="15" hidden="false" customHeight="false" outlineLevel="0" collapsed="false">
      <c r="A67" s="4" t="n">
        <f aca="false">PRECIOS!A67</f>
        <v>46031</v>
      </c>
      <c r="B67" s="5" t="n">
        <f aca="false">+LN(PRECIOS!B67/PRECIOS!B66)</f>
        <v>0.00778812155012699</v>
      </c>
      <c r="C67" s="5" t="n">
        <f aca="false">+LN(PRECIOS!C67/PRECIOS!C66)</f>
        <v>0.0055494038086695</v>
      </c>
      <c r="D67" s="5" t="n">
        <f aca="false">+LN(PRECIOS!D67/PRECIOS!D66)</f>
        <v>-0.00817666043724556</v>
      </c>
      <c r="E67" s="5" t="n">
        <f aca="false">+LN(PRECIOS!E67/PRECIOS!E66)</f>
        <v>0.0319754580224136</v>
      </c>
      <c r="F67" s="5" t="n">
        <f aca="false">+LN(PRECIOS!F67/PRECIOS!F66)</f>
        <v>0.0148684874726465</v>
      </c>
      <c r="G67" s="5" t="n">
        <f aca="false">+LN(PRECIOS!G67/PRECIOS!G66)</f>
        <v>0.00112455991254109</v>
      </c>
      <c r="H67" s="5" t="n">
        <f aca="false">+LN(PRECIOS!H67/PRECIOS!H66)</f>
        <v>0.0141980615052924</v>
      </c>
      <c r="I67" s="5" t="n">
        <f aca="false">+LN(PRECIOS!I67/PRECIOS!I66)</f>
        <v>0.00540966331032397</v>
      </c>
      <c r="J67" s="5" t="n">
        <f aca="false">+LN(PRECIOS!J67/PRECIOS!J66)</f>
        <v>0.00823222552407346</v>
      </c>
    </row>
    <row r="68" customFormat="false" ht="15" hidden="false" customHeight="false" outlineLevel="0" collapsed="false">
      <c r="A68" s="4" t="n">
        <f aca="false">PRECIOS!A68</f>
        <v>46034</v>
      </c>
      <c r="B68" s="5" t="n">
        <f aca="false">+LN(PRECIOS!B68/PRECIOS!B67)</f>
        <v>0.00147902615256915</v>
      </c>
      <c r="C68" s="5" t="n">
        <f aca="false">+LN(PRECIOS!C68/PRECIOS!C67)</f>
        <v>-0.00351104490777729</v>
      </c>
      <c r="D68" s="5" t="n">
        <f aca="false">+LN(PRECIOS!D68/PRECIOS!D67)</f>
        <v>0.0032786914616983</v>
      </c>
      <c r="E68" s="5" t="n">
        <f aca="false">+LN(PRECIOS!E68/PRECIOS!E67)</f>
        <v>0.0144320957088305</v>
      </c>
      <c r="F68" s="5" t="n">
        <f aca="false">+LN(PRECIOS!F68/PRECIOS!F67)</f>
        <v>-0.0044823024394995</v>
      </c>
      <c r="G68" s="5" t="n">
        <f aca="false">+LN(PRECIOS!G68/PRECIOS!G67)</f>
        <v>-0.000828500461641456</v>
      </c>
      <c r="H68" s="5" t="n">
        <f aca="false">+LN(PRECIOS!H68/PRECIOS!H67)</f>
        <v>-0.000940291559641744</v>
      </c>
      <c r="I68" s="5" t="n">
        <f aca="false">+LN(PRECIOS!I68/PRECIOS!I67)</f>
        <v>0.00745560453976965</v>
      </c>
      <c r="J68" s="5" t="n">
        <f aca="false">+LN(PRECIOS!J68/PRECIOS!J67)</f>
        <v>0.0102854472368103</v>
      </c>
    </row>
    <row r="69" customFormat="false" ht="15" hidden="false" customHeight="false" outlineLevel="0" collapsed="false">
      <c r="A69" s="4" t="n">
        <f aca="false">PRECIOS!A69</f>
        <v>46035</v>
      </c>
      <c r="B69" s="5" t="n">
        <f aca="false">+LN(PRECIOS!B69/PRECIOS!B68)</f>
        <v>-0.0377011262861926</v>
      </c>
      <c r="C69" s="5" t="n">
        <f aca="false">+LN(PRECIOS!C69/PRECIOS!C68)</f>
        <v>-0.00836513847160056</v>
      </c>
      <c r="D69" s="5" t="n">
        <f aca="false">+LN(PRECIOS!D69/PRECIOS!D68)</f>
        <v>-0.00547047316104191</v>
      </c>
      <c r="E69" s="5" t="n">
        <f aca="false">+LN(PRECIOS!E69/PRECIOS!E68)</f>
        <v>-0.0352544120402869</v>
      </c>
      <c r="F69" s="5" t="n">
        <f aca="false">+LN(PRECIOS!F69/PRECIOS!F68)</f>
        <v>-0.00947874395454377</v>
      </c>
      <c r="G69" s="5" t="n">
        <f aca="false">+LN(PRECIOS!G69/PRECIOS!G68)</f>
        <v>0.00549078870274714</v>
      </c>
      <c r="H69" s="5" t="n">
        <f aca="false">+LN(PRECIOS!H69/PRECIOS!H68)</f>
        <v>-0.00755433243178104</v>
      </c>
      <c r="I69" s="5" t="n">
        <f aca="false">+LN(PRECIOS!I69/PRECIOS!I68)</f>
        <v>-0.000345542505165883</v>
      </c>
      <c r="J69" s="5" t="n">
        <f aca="false">+LN(PRECIOS!J69/PRECIOS!J68)</f>
        <v>-0.00613438512841447</v>
      </c>
    </row>
    <row r="70" customFormat="false" ht="15" hidden="false" customHeight="false" outlineLevel="0" collapsed="false">
      <c r="A70" s="4" t="n">
        <f aca="false">PRECIOS!A70</f>
        <v>46036</v>
      </c>
      <c r="B70" s="5" t="n">
        <f aca="false">+LN(PRECIOS!B70/PRECIOS!B69)</f>
        <v>0.0413637613706039</v>
      </c>
      <c r="C70" s="5" t="n">
        <f aca="false">+LN(PRECIOS!C70/PRECIOS!C69)</f>
        <v>-0.000933794072895885</v>
      </c>
      <c r="D70" s="5" t="n">
        <f aca="false">+LN(PRECIOS!D70/PRECIOS!D69)</f>
        <v>0.000548395955613515</v>
      </c>
      <c r="E70" s="5" t="n">
        <f aca="false">+LN(PRECIOS!E70/PRECIOS!E69)</f>
        <v>0.0123198186509648</v>
      </c>
      <c r="F70" s="5" t="n">
        <f aca="false">+LN(PRECIOS!F70/PRECIOS!F69)</f>
        <v>0.0135137191667229</v>
      </c>
      <c r="G70" s="5" t="n">
        <f aca="false">+LN(PRECIOS!G70/PRECIOS!G69)</f>
        <v>0.0505157901369017</v>
      </c>
      <c r="H70" s="5" t="n">
        <f aca="false">+LN(PRECIOS!H70/PRECIOS!H69)</f>
        <v>0.0187798946515963</v>
      </c>
      <c r="I70" s="5" t="n">
        <f aca="false">+LN(PRECIOS!I70/PRECIOS!I69)</f>
        <v>0.0167927181205383</v>
      </c>
      <c r="J70" s="5" t="n">
        <f aca="false">+LN(PRECIOS!J70/PRECIOS!J69)</f>
        <v>0.0159365720046608</v>
      </c>
    </row>
    <row r="71" customFormat="false" ht="15" hidden="false" customHeight="false" outlineLevel="0" collapsed="false">
      <c r="A71" s="4" t="n">
        <f aca="false">PRECIOS!A71</f>
        <v>46037</v>
      </c>
      <c r="B71" s="5" t="n">
        <f aca="false">+LN(PRECIOS!B71/PRECIOS!B70)</f>
        <v>0.00652885888246341</v>
      </c>
      <c r="C71" s="5" t="n">
        <f aca="false">+LN(PRECIOS!C71/PRECIOS!C70)</f>
        <v>-0.0105185041912202</v>
      </c>
      <c r="D71" s="5" t="n">
        <f aca="false">+LN(PRECIOS!D71/PRECIOS!D70)</f>
        <v>-0.0374240824471794</v>
      </c>
      <c r="E71" s="5" t="n">
        <f aca="false">+LN(PRECIOS!E71/PRECIOS!E70)</f>
        <v>0.00914127125698625</v>
      </c>
      <c r="F71" s="5" t="n">
        <f aca="false">+LN(PRECIOS!F71/PRECIOS!F70)</f>
        <v>-0.0249163512645346</v>
      </c>
      <c r="G71" s="5" t="n">
        <f aca="false">+LN(PRECIOS!G71/PRECIOS!G70)</f>
        <v>0.00780644089282949</v>
      </c>
      <c r="H71" s="5" t="n">
        <f aca="false">+LN(PRECIOS!H71/PRECIOS!H70)</f>
        <v>-0.024483332165466</v>
      </c>
      <c r="I71" s="5" t="n">
        <f aca="false">+LN(PRECIOS!I71/PRECIOS!I70)</f>
        <v>0.000679463250193733</v>
      </c>
      <c r="J71" s="5" t="n">
        <f aca="false">+LN(PRECIOS!J71/PRECIOS!J70)</f>
        <v>-0.0112464703378542</v>
      </c>
    </row>
    <row r="72" customFormat="false" ht="15" hidden="false" customHeight="false" outlineLevel="0" collapsed="false">
      <c r="A72" s="4" t="n">
        <f aca="false">PRECIOS!A72</f>
        <v>46038</v>
      </c>
      <c r="B72" s="5" t="n">
        <f aca="false">+LN(PRECIOS!B72/PRECIOS!B71)</f>
        <v>0.00417831411579796</v>
      </c>
      <c r="C72" s="5" t="n">
        <f aca="false">+LN(PRECIOS!C72/PRECIOS!C71)</f>
        <v>0.00245167496682742</v>
      </c>
      <c r="D72" s="5" t="n">
        <f aca="false">+LN(PRECIOS!D72/PRECIOS!D71)</f>
        <v>0.0275066457898335</v>
      </c>
      <c r="E72" s="5" t="n">
        <f aca="false">+LN(PRECIOS!E72/PRECIOS!E71)</f>
        <v>-0.00319795603531641</v>
      </c>
      <c r="F72" s="5" t="n">
        <f aca="false">+LN(PRECIOS!F72/PRECIOS!F71)</f>
        <v>0.0123092504736018</v>
      </c>
      <c r="G72" s="5" t="n">
        <f aca="false">+LN(PRECIOS!G72/PRECIOS!G71)</f>
        <v>0.0206691614968548</v>
      </c>
      <c r="H72" s="5" t="n">
        <f aca="false">+LN(PRECIOS!H72/PRECIOS!H71)</f>
        <v>0.00190476248065388</v>
      </c>
      <c r="I72" s="5" t="n">
        <f aca="false">+LN(PRECIOS!I72/PRECIOS!I71)</f>
        <v>-0.0172993951931963</v>
      </c>
      <c r="J72" s="5" t="n">
        <f aca="false">+LN(PRECIOS!J72/PRECIOS!J71)</f>
        <v>0.00735228016794309</v>
      </c>
    </row>
    <row r="73" customFormat="false" ht="15" hidden="false" customHeight="false" outlineLevel="0" collapsed="false">
      <c r="A73" s="4" t="n">
        <f aca="false">PRECIOS!A73</f>
        <v>46041</v>
      </c>
      <c r="B73" s="5" t="n">
        <f aca="false">+LN(PRECIOS!B73/PRECIOS!B72)</f>
        <v>0.0180714314319556</v>
      </c>
      <c r="C73" s="5" t="n">
        <f aca="false">+LN(PRECIOS!C73/PRECIOS!C72)</f>
        <v>0.00638379937409975</v>
      </c>
      <c r="D73" s="5" t="n">
        <f aca="false">+LN(PRECIOS!D73/PRECIOS!D72)</f>
        <v>-0.000553863209949309</v>
      </c>
      <c r="E73" s="5" t="n">
        <f aca="false">+LN(PRECIOS!E73/PRECIOS!E72)</f>
        <v>0.000800448293759045</v>
      </c>
      <c r="F73" s="5" t="n">
        <f aca="false">+LN(PRECIOS!F73/PRECIOS!F72)</f>
        <v>0.00542251667585763</v>
      </c>
      <c r="G73" s="5" t="n">
        <f aca="false">+LN(PRECIOS!G73/PRECIOS!G72)</f>
        <v>-0.00819452823696936</v>
      </c>
      <c r="H73" s="5" t="n">
        <f aca="false">+LN(PRECIOS!H73/PRECIOS!H72)</f>
        <v>0.0169815401480941</v>
      </c>
      <c r="I73" s="5" t="n">
        <f aca="false">+LN(PRECIOS!I73/PRECIOS!I72)</f>
        <v>0.00705865029417514</v>
      </c>
      <c r="J73" s="5" t="n">
        <f aca="false">+LN(PRECIOS!J73/PRECIOS!J72)</f>
        <v>0.00485421942710949</v>
      </c>
    </row>
    <row r="74" customFormat="false" ht="15" hidden="false" customHeight="false" outlineLevel="0" collapsed="false">
      <c r="A74" s="4" t="n">
        <f aca="false">PRECIOS!A74</f>
        <v>46042</v>
      </c>
      <c r="B74" s="5" t="n">
        <f aca="false">+LN(PRECIOS!B74/PRECIOS!B73)</f>
        <v>-0.0217454082362766</v>
      </c>
      <c r="C74" s="5" t="n">
        <f aca="false">+LN(PRECIOS!C74/PRECIOS!C73)</f>
        <v>0.00448180021905752</v>
      </c>
      <c r="D74" s="5" t="n">
        <f aca="false">+LN(PRECIOS!D74/PRECIOS!D73)</f>
        <v>0.00607568839425734</v>
      </c>
      <c r="E74" s="5" t="n">
        <f aca="false">+LN(PRECIOS!E74/PRECIOS!E73)</f>
        <v>-0.0224946777634407</v>
      </c>
      <c r="F74" s="5" t="n">
        <f aca="false">+LN(PRECIOS!F74/PRECIOS!F73)</f>
        <v>-0.00769060564996873</v>
      </c>
      <c r="G74" s="5" t="n">
        <f aca="false">+LN(PRECIOS!G74/PRECIOS!G73)</f>
        <v>0.00410565788162777</v>
      </c>
      <c r="H74" s="5" t="n">
        <f aca="false">+LN(PRECIOS!H74/PRECIOS!H73)</f>
        <v>0.0258555492501852</v>
      </c>
      <c r="I74" s="5" t="n">
        <f aca="false">+LN(PRECIOS!I74/PRECIOS!I73)</f>
        <v>-0.00447043385494143</v>
      </c>
      <c r="J74" s="5" t="n">
        <f aca="false">+LN(PRECIOS!J74/PRECIOS!J73)</f>
        <v>0.00318991148856235</v>
      </c>
    </row>
    <row r="75" customFormat="false" ht="15" hidden="false" customHeight="false" outlineLevel="0" collapsed="false">
      <c r="A75" s="4" t="n">
        <f aca="false">PRECIOS!A75</f>
        <v>46043</v>
      </c>
      <c r="B75" s="5" t="n">
        <f aca="false">+LN(PRECIOS!B75/PRECIOS!B74)</f>
        <v>0.00678377516746639</v>
      </c>
      <c r="C75" s="5" t="n">
        <f aca="false">+LN(PRECIOS!C75/PRECIOS!C74)</f>
        <v>0.00130341699860766</v>
      </c>
      <c r="D75" s="5" t="n">
        <f aca="false">+LN(PRECIOS!D75/PRECIOS!D74)</f>
        <v>-0.00330943490136714</v>
      </c>
      <c r="E75" s="5" t="n">
        <f aca="false">+LN(PRECIOS!E75/PRECIOS!E74)</f>
        <v>-0.00360715262411924</v>
      </c>
      <c r="F75" s="5" t="n">
        <f aca="false">+LN(PRECIOS!F75/PRECIOS!F74)</f>
        <v>0.0268833393934405</v>
      </c>
      <c r="G75" s="5" t="n">
        <f aca="false">+LN(PRECIOS!G75/PRECIOS!G74)</f>
        <v>0.0203862468784574</v>
      </c>
      <c r="H75" s="5" t="n">
        <f aca="false">+LN(PRECIOS!H75/PRECIOS!H74)</f>
        <v>0.0366931544110461</v>
      </c>
      <c r="I75" s="5" t="n">
        <f aca="false">+LN(PRECIOS!I75/PRECIOS!I74)</f>
        <v>-0.00882740478972568</v>
      </c>
      <c r="J75" s="5" t="n">
        <f aca="false">+LN(PRECIOS!J75/PRECIOS!J74)</f>
        <v>0.00519823265384265</v>
      </c>
    </row>
    <row r="76" customFormat="false" ht="15" hidden="false" customHeight="false" outlineLevel="0" collapsed="false">
      <c r="A76" s="4" t="n">
        <f aca="false">PRECIOS!A76</f>
        <v>46044</v>
      </c>
      <c r="B76" s="5" t="n">
        <f aca="false">+LN(PRECIOS!B76/PRECIOS!B75)</f>
        <v>-0.00562476372476575</v>
      </c>
      <c r="C76" s="5" t="n">
        <f aca="false">+LN(PRECIOS!C76/PRECIOS!C75)</f>
        <v>0.0516746879670873</v>
      </c>
      <c r="D76" s="5" t="n">
        <f aca="false">+LN(PRECIOS!D76/PRECIOS!D75)</f>
        <v>0.00165608649497954</v>
      </c>
      <c r="E76" s="5" t="n">
        <f aca="false">+LN(PRECIOS!E76/PRECIOS!E75)</f>
        <v>0.0107826563404653</v>
      </c>
      <c r="F76" s="5" t="n">
        <f aca="false">+LN(PRECIOS!F76/PRECIOS!F75)</f>
        <v>-0.00176991196645858</v>
      </c>
      <c r="G76" s="5" t="n">
        <f aca="false">+LN(PRECIOS!G76/PRECIOS!G75)</f>
        <v>-0.00525949798254892</v>
      </c>
      <c r="H76" s="5" t="n">
        <f aca="false">+LN(PRECIOS!H76/PRECIOS!H75)</f>
        <v>0.0362421027734343</v>
      </c>
      <c r="I76" s="5" t="n">
        <f aca="false">+LN(PRECIOS!I76/PRECIOS!I75)</f>
        <v>0.0131262679142129</v>
      </c>
      <c r="J76" s="5" t="n">
        <f aca="false">+LN(PRECIOS!J76/PRECIOS!J75)</f>
        <v>0.00457312136271287</v>
      </c>
    </row>
    <row r="77" customFormat="false" ht="15" hidden="false" customHeight="false" outlineLevel="0" collapsed="false">
      <c r="A77" s="4" t="n">
        <f aca="false">PRECIOS!A77</f>
        <v>46045</v>
      </c>
      <c r="B77" s="5" t="n">
        <f aca="false">+LN(PRECIOS!B77/PRECIOS!B76)</f>
        <v>0.00382025195690664</v>
      </c>
      <c r="C77" s="5" t="n">
        <f aca="false">+LN(PRECIOS!C77/PRECIOS!C76)</f>
        <v>-0.01012352132247</v>
      </c>
      <c r="D77" s="5" t="n">
        <f aca="false">+LN(PRECIOS!D77/PRECIOS!D76)</f>
        <v>-0.00442233998786967</v>
      </c>
      <c r="E77" s="5" t="n">
        <f aca="false">+LN(PRECIOS!E77/PRECIOS!E76)</f>
        <v>0.00211021910950571</v>
      </c>
      <c r="F77" s="5" t="n">
        <f aca="false">+LN(PRECIOS!F77/PRECIOS!F76)</f>
        <v>-0.00488347252427815</v>
      </c>
      <c r="G77" s="5" t="n">
        <f aca="false">+LN(PRECIOS!G77/PRECIOS!G76)</f>
        <v>0.00231114558275738</v>
      </c>
      <c r="H77" s="5" t="n">
        <f aca="false">+LN(PRECIOS!H77/PRECIOS!H76)</f>
        <v>-0.0222802703916657</v>
      </c>
      <c r="I77" s="5" t="n">
        <f aca="false">+LN(PRECIOS!I77/PRECIOS!I76)</f>
        <v>-0.0044712026337461</v>
      </c>
      <c r="J77" s="5" t="n">
        <f aca="false">+LN(PRECIOS!J77/PRECIOS!J76)</f>
        <v>-0.00223856101469533</v>
      </c>
    </row>
    <row r="78" customFormat="false" ht="15" hidden="false" customHeight="false" outlineLevel="0" collapsed="false">
      <c r="A78" s="4" t="n">
        <f aca="false">PRECIOS!A78</f>
        <v>46048</v>
      </c>
      <c r="B78" s="5" t="n">
        <f aca="false">+LN(PRECIOS!B78/PRECIOS!B77)</f>
        <v>-0.00251168062920474</v>
      </c>
      <c r="C78" s="5" t="n">
        <f aca="false">+LN(PRECIOS!C78/PRECIOS!C77)</f>
        <v>-0.00644701373421791</v>
      </c>
      <c r="D78" s="5" t="n">
        <f aca="false">+LN(PRECIOS!D78/PRECIOS!D77)</f>
        <v>-0.00611282814823979</v>
      </c>
      <c r="E78" s="5" t="n">
        <f aca="false">+LN(PRECIOS!E78/PRECIOS!E77)</f>
        <v>-0.00503943194440071</v>
      </c>
      <c r="F78" s="5" t="n">
        <f aca="false">+LN(PRECIOS!F78/PRECIOS!F77)</f>
        <v>-0.0116384482909017</v>
      </c>
      <c r="G78" s="5" t="n">
        <f aca="false">+LN(PRECIOS!G78/PRECIOS!G77)</f>
        <v>0.00722140665289386</v>
      </c>
      <c r="H78" s="5" t="n">
        <f aca="false">+LN(PRECIOS!H78/PRECIOS!H77)</f>
        <v>0.0025962801256319</v>
      </c>
      <c r="I78" s="5" t="n">
        <f aca="false">+LN(PRECIOS!I78/PRECIOS!I77)</f>
        <v>-0.0138842910712938</v>
      </c>
      <c r="J78" s="5" t="n">
        <f aca="false">+LN(PRECIOS!J78/PRECIOS!J77)</f>
        <v>0.00746352035108172</v>
      </c>
    </row>
    <row r="79" customFormat="false" ht="15" hidden="false" customHeight="false" outlineLevel="0" collapsed="false">
      <c r="A79" s="4" t="n">
        <f aca="false">PRECIOS!A79</f>
        <v>46049</v>
      </c>
      <c r="B79" s="5" t="n">
        <f aca="false">+LN(PRECIOS!B79/PRECIOS!B78)</f>
        <v>-5.02980157538901E-005</v>
      </c>
      <c r="C79" s="5" t="n">
        <f aca="false">+LN(PRECIOS!C79/PRECIOS!C78)</f>
        <v>0.000359259928419505</v>
      </c>
      <c r="D79" s="5" t="n">
        <f aca="false">+LN(PRECIOS!D79/PRECIOS!D78)</f>
        <v>0.00943141526467191</v>
      </c>
      <c r="E79" s="5" t="n">
        <f aca="false">+LN(PRECIOS!E79/PRECIOS!E78)</f>
        <v>-0.0185875900033711</v>
      </c>
      <c r="F79" s="5" t="n">
        <f aca="false">+LN(PRECIOS!F79/PRECIOS!F78)</f>
        <v>-0.00541762047431031</v>
      </c>
      <c r="G79" s="5" t="n">
        <f aca="false">+LN(PRECIOS!G79/PRECIOS!G78)</f>
        <v>0.0129737846649411</v>
      </c>
      <c r="H79" s="5" t="n">
        <f aca="false">+LN(PRECIOS!H79/PRECIOS!H78)</f>
        <v>-0.0200792429059792</v>
      </c>
      <c r="I79" s="5" t="n">
        <f aca="false">+LN(PRECIOS!I79/PRECIOS!I78)</f>
        <v>0.0142289403940229</v>
      </c>
      <c r="J79" s="5" t="n">
        <f aca="false">+LN(PRECIOS!J79/PRECIOS!J78)</f>
        <v>0.00249462874477097</v>
      </c>
    </row>
    <row r="80" customFormat="false" ht="15" hidden="false" customHeight="false" outlineLevel="0" collapsed="false">
      <c r="A80" s="4" t="n">
        <f aca="false">PRECIOS!A80</f>
        <v>46050</v>
      </c>
      <c r="B80" s="5" t="n">
        <f aca="false">+LN(PRECIOS!B80/PRECIOS!B79)</f>
        <v>0.00791587299780727</v>
      </c>
      <c r="C80" s="5" t="n">
        <f aca="false">+LN(PRECIOS!C80/PRECIOS!C79)</f>
        <v>0.00215285336110109</v>
      </c>
      <c r="D80" s="5" t="n">
        <f aca="false">+LN(PRECIOS!D80/PRECIOS!D79)</f>
        <v>0.0272347987588373</v>
      </c>
      <c r="E80" s="5" t="n">
        <f aca="false">+LN(PRECIOS!E80/PRECIOS!E79)</f>
        <v>0.00232172575270503</v>
      </c>
      <c r="F80" s="5" t="n">
        <f aca="false">+LN(PRECIOS!F80/PRECIOS!F79)</f>
        <v>0.0250348344970173</v>
      </c>
      <c r="G80" s="5" t="n">
        <f aca="false">+LN(PRECIOS!G80/PRECIOS!G79)</f>
        <v>0.0501246210145214</v>
      </c>
      <c r="H80" s="5" t="n">
        <f aca="false">+LN(PRECIOS!H80/PRECIOS!H79)</f>
        <v>0.0157483569681391</v>
      </c>
      <c r="I80" s="5" t="n">
        <f aca="false">+LN(PRECIOS!I80/PRECIOS!I79)</f>
        <v>-0.00258776992507383</v>
      </c>
      <c r="J80" s="5" t="n">
        <f aca="false">+LN(PRECIOS!J80/PRECIOS!J79)</f>
        <v>0.0155881937477341</v>
      </c>
    </row>
    <row r="81" customFormat="false" ht="15" hidden="false" customHeight="false" outlineLevel="0" collapsed="false">
      <c r="A81" s="4" t="n">
        <f aca="false">PRECIOS!A81</f>
        <v>46051</v>
      </c>
      <c r="B81" s="5" t="n">
        <f aca="false">+LN(PRECIOS!B81/PRECIOS!B80)</f>
        <v>-0.00882167016118805</v>
      </c>
      <c r="C81" s="5" t="n">
        <f aca="false">+LN(PRECIOS!C81/PRECIOS!C80)</f>
        <v>-0.0303853085783787</v>
      </c>
      <c r="D81" s="5" t="n">
        <f aca="false">+LN(PRECIOS!D81/PRECIOS!D80)</f>
        <v>-0.00646902525512595</v>
      </c>
      <c r="E81" s="5" t="n">
        <f aca="false">+LN(PRECIOS!E81/PRECIOS!E80)</f>
        <v>-0.00714823091981761</v>
      </c>
      <c r="F81" s="5" t="n">
        <f aca="false">+LN(PRECIOS!F81/PRECIOS!F80)</f>
        <v>-0.0218709900499599</v>
      </c>
      <c r="G81" s="5" t="n">
        <f aca="false">+LN(PRECIOS!G81/PRECIOS!G80)</f>
        <v>0.0247609576156125</v>
      </c>
      <c r="H81" s="5" t="n">
        <f aca="false">+LN(PRECIOS!H81/PRECIOS!H80)</f>
        <v>-0.0317486983145803</v>
      </c>
      <c r="I81" s="5" t="n">
        <f aca="false">+LN(PRECIOS!I81/PRECIOS!I80)</f>
        <v>-0.037846636037111</v>
      </c>
      <c r="J81" s="5" t="n">
        <f aca="false">+LN(PRECIOS!J81/PRECIOS!J80)</f>
        <v>-0.00670196501962604</v>
      </c>
    </row>
    <row r="82" customFormat="false" ht="15" hidden="false" customHeight="false" outlineLevel="0" collapsed="false">
      <c r="A82" s="4" t="n">
        <f aca="false">PRECIOS!A82</f>
        <v>46052</v>
      </c>
      <c r="B82" s="5" t="n">
        <f aca="false">+LN(PRECIOS!B82/PRECIOS!B81)</f>
        <v>-0.00854468378520834</v>
      </c>
      <c r="C82" s="5" t="n">
        <f aca="false">+LN(PRECIOS!C82/PRECIOS!C81)</f>
        <v>-0.0141397704630331</v>
      </c>
      <c r="D82" s="5" t="n">
        <f aca="false">+LN(PRECIOS!D82/PRECIOS!D81)</f>
        <v>-0.0263028862111686</v>
      </c>
      <c r="E82" s="5" t="n">
        <f aca="false">+LN(PRECIOS!E82/PRECIOS!E81)</f>
        <v>0.0125996361769356</v>
      </c>
      <c r="F82" s="5" t="n">
        <f aca="false">+LN(PRECIOS!F82/PRECIOS!F81)</f>
        <v>-0.0218986853076376</v>
      </c>
      <c r="G82" s="5" t="n">
        <f aca="false">+LN(PRECIOS!G82/PRECIOS!G81)</f>
        <v>-0.0361850520675664</v>
      </c>
      <c r="H82" s="5" t="n">
        <f aca="false">+LN(PRECIOS!H82/PRECIOS!H81)</f>
        <v>0.0256537730470836</v>
      </c>
      <c r="I82" s="5" t="n">
        <f aca="false">+LN(PRECIOS!I82/PRECIOS!I81)</f>
        <v>-0.00503598186617016</v>
      </c>
      <c r="J82" s="5" t="n">
        <f aca="false">+LN(PRECIOS!J82/PRECIOS!J81)</f>
        <v>-0.0276253753912206</v>
      </c>
    </row>
    <row r="83" customFormat="false" ht="15" hidden="false" customHeight="false" outlineLevel="0" collapsed="false">
      <c r="A83" s="4" t="n">
        <f aca="false">PRECIOS!A83</f>
        <v>46056</v>
      </c>
      <c r="B83" s="5" t="n">
        <f aca="false">+LN(PRECIOS!B83/PRECIOS!B82)</f>
        <v>0.0500128974928797</v>
      </c>
      <c r="C83" s="5" t="n">
        <f aca="false">+LN(PRECIOS!C83/PRECIOS!C82)</f>
        <v>-0.0126333347985367</v>
      </c>
      <c r="D83" s="5" t="n">
        <f aca="false">+LN(PRECIOS!D83/PRECIOS!D82)</f>
        <v>0.045585754706155</v>
      </c>
      <c r="E83" s="5" t="n">
        <f aca="false">+LN(PRECIOS!E83/PRECIOS!E82)</f>
        <v>0.0333742297993791</v>
      </c>
      <c r="F83" s="5" t="n">
        <f aca="false">+LN(PRECIOS!F83/PRECIOS!F82)</f>
        <v>0.0082683061769471</v>
      </c>
      <c r="G83" s="5" t="n">
        <f aca="false">+LN(PRECIOS!G83/PRECIOS!G82)</f>
        <v>0.0418802995302338</v>
      </c>
      <c r="H83" s="5" t="n">
        <f aca="false">+LN(PRECIOS!H83/PRECIOS!H82)</f>
        <v>-0.0337509832797031</v>
      </c>
      <c r="I83" s="5" t="n">
        <f aca="false">+LN(PRECIOS!I83/PRECIOS!I82)</f>
        <v>0.0100467296443305</v>
      </c>
      <c r="J83" s="5" t="n">
        <f aca="false">+LN(PRECIOS!J83/PRECIOS!J82)</f>
        <v>0.0311107538264652</v>
      </c>
    </row>
    <row r="84" customFormat="false" ht="15" hidden="false" customHeight="false" outlineLevel="0" collapsed="false">
      <c r="A84" s="4" t="n">
        <f aca="false">PRECIOS!A84</f>
        <v>46057</v>
      </c>
      <c r="B84" s="5" t="n">
        <f aca="false">+LN(PRECIOS!B84/PRECIOS!B83)</f>
        <v>-0.0119529142836743</v>
      </c>
      <c r="C84" s="5" t="n">
        <f aca="false">+LN(PRECIOS!C84/PRECIOS!C83)</f>
        <v>0.024738892817153</v>
      </c>
      <c r="D84" s="5" t="n">
        <f aca="false">+LN(PRECIOS!D84/PRECIOS!D83)</f>
        <v>-0.0101307184748221</v>
      </c>
      <c r="E84" s="5" t="n">
        <f aca="false">+LN(PRECIOS!E84/PRECIOS!E83)</f>
        <v>0.00540284168233558</v>
      </c>
      <c r="F84" s="5" t="n">
        <f aca="false">+LN(PRECIOS!F84/PRECIOS!F83)</f>
        <v>-0.0382330948788834</v>
      </c>
      <c r="G84" s="5" t="n">
        <f aca="false">+LN(PRECIOS!G84/PRECIOS!G83)</f>
        <v>-0.0308566054840296</v>
      </c>
      <c r="H84" s="5" t="n">
        <f aca="false">+LN(PRECIOS!H84/PRECIOS!H83)</f>
        <v>-0.0009037506263567</v>
      </c>
      <c r="I84" s="5" t="n">
        <f aca="false">+LN(PRECIOS!I84/PRECIOS!I83)</f>
        <v>-0.0107682303971301</v>
      </c>
      <c r="J84" s="5" t="n">
        <f aca="false">+LN(PRECIOS!J84/PRECIOS!J83)</f>
        <v>-0.0145073798430977</v>
      </c>
    </row>
    <row r="85" customFormat="false" ht="15" hidden="false" customHeight="false" outlineLevel="0" collapsed="false">
      <c r="A85" s="4" t="n">
        <f aca="false">PRECIOS!A85</f>
        <v>46058</v>
      </c>
      <c r="B85" s="5" t="n">
        <f aca="false">+LN(PRECIOS!B85/PRECIOS!B84)</f>
        <v>0.00526522277218313</v>
      </c>
      <c r="C85" s="5" t="n">
        <f aca="false">+LN(PRECIOS!C85/PRECIOS!C84)</f>
        <v>-0.0126678296106013</v>
      </c>
      <c r="D85" s="5" t="n">
        <f aca="false">+LN(PRECIOS!D85/PRECIOS!D84)</f>
        <v>-0.00699115512192932</v>
      </c>
      <c r="E85" s="5" t="n">
        <f aca="false">+LN(PRECIOS!E85/PRECIOS!E84)</f>
        <v>0.00205810252335422</v>
      </c>
      <c r="F85" s="5" t="n">
        <f aca="false">+LN(PRECIOS!F85/PRECIOS!F84)</f>
        <v>-0.0119532859995875</v>
      </c>
      <c r="G85" s="5" t="n">
        <f aca="false">+LN(PRECIOS!G85/PRECIOS!G84)</f>
        <v>0.00409652368854461</v>
      </c>
      <c r="H85" s="5" t="n">
        <f aca="false">+LN(PRECIOS!H85/PRECIOS!H84)</f>
        <v>-0.0136551962492093</v>
      </c>
      <c r="I85" s="5" t="n">
        <f aca="false">+LN(PRECIOS!I85/PRECIOS!I84)</f>
        <v>0.0200078128306119</v>
      </c>
      <c r="J85" s="5" t="n">
        <f aca="false">+LN(PRECIOS!J85/PRECIOS!J84)</f>
        <v>0.00185465501446923</v>
      </c>
    </row>
    <row r="86" customFormat="false" ht="15" hidden="false" customHeight="false" outlineLevel="0" collapsed="false">
      <c r="A86" s="4" t="n">
        <f aca="false">PRECIOS!A86</f>
        <v>46059</v>
      </c>
      <c r="B86" s="5" t="n">
        <f aca="false">+LN(PRECIOS!B86/PRECIOS!B85)</f>
        <v>-0.000194514686472051</v>
      </c>
      <c r="C86" s="5" t="n">
        <f aca="false">+LN(PRECIOS!C86/PRECIOS!C85)</f>
        <v>0.0255427545604267</v>
      </c>
      <c r="D86" s="5" t="n">
        <f aca="false">+LN(PRECIOS!D86/PRECIOS!D85)</f>
        <v>0.00269469308842385</v>
      </c>
      <c r="E86" s="5" t="n">
        <f aca="false">+LN(PRECIOS!E86/PRECIOS!E85)</f>
        <v>0.0653487258079624</v>
      </c>
      <c r="F86" s="5" t="n">
        <f aca="false">+LN(PRECIOS!F86/PRECIOS!F85)</f>
        <v>0.0119532859995876</v>
      </c>
      <c r="G86" s="5" t="n">
        <f aca="false">+LN(PRECIOS!G86/PRECIOS!G85)</f>
        <v>0.0399720971151502</v>
      </c>
      <c r="H86" s="5" t="n">
        <f aca="false">+LN(PRECIOS!H86/PRECIOS!H85)</f>
        <v>-0.00275355841718281</v>
      </c>
      <c r="I86" s="5" t="n">
        <f aca="false">+LN(PRECIOS!I86/PRECIOS!I85)</f>
        <v>0.0371506010093366</v>
      </c>
      <c r="J86" s="5" t="n">
        <f aca="false">+LN(PRECIOS!J86/PRECIOS!J85)</f>
        <v>0.0279436816748817</v>
      </c>
    </row>
    <row r="87" customFormat="false" ht="15" hidden="false" customHeight="false" outlineLevel="0" collapsed="false">
      <c r="A87" s="4" t="n">
        <f aca="false">PRECIOS!A87</f>
        <v>46062</v>
      </c>
      <c r="B87" s="5" t="n">
        <f aca="false">+LN(PRECIOS!B87/PRECIOS!B86)</f>
        <v>-0.00199596006189956</v>
      </c>
      <c r="C87" s="5" t="n">
        <f aca="false">+LN(PRECIOS!C87/PRECIOS!C86)</f>
        <v>0.0121697987307176</v>
      </c>
      <c r="D87" s="5" t="n">
        <f aca="false">+LN(PRECIOS!D87/PRECIOS!D86)</f>
        <v>0.0270789043519638</v>
      </c>
      <c r="E87" s="5" t="n">
        <f aca="false">+LN(PRECIOS!E87/PRECIOS!E86)</f>
        <v>-0.00326458221379156</v>
      </c>
      <c r="F87" s="5" t="n">
        <f aca="false">+LN(PRECIOS!F87/PRECIOS!F86)</f>
        <v>0.0418860669775752</v>
      </c>
      <c r="G87" s="5" t="n">
        <f aca="false">+LN(PRECIOS!G87/PRECIOS!G86)</f>
        <v>-0.00783865130778087</v>
      </c>
      <c r="H87" s="5" t="n">
        <f aca="false">+LN(PRECIOS!H87/PRECIOS!H86)</f>
        <v>0.011877709306792</v>
      </c>
      <c r="I87" s="5" t="n">
        <f aca="false">+LN(PRECIOS!I87/PRECIOS!I86)</f>
        <v>-0.00649685991833436</v>
      </c>
      <c r="J87" s="5" t="n">
        <f aca="false">+LN(PRECIOS!J87/PRECIOS!J86)</f>
        <v>0.00983544774210429</v>
      </c>
    </row>
    <row r="88" customFormat="false" ht="15" hidden="false" customHeight="false" outlineLevel="0" collapsed="false">
      <c r="A88" s="4" t="n">
        <f aca="false">PRECIOS!A88</f>
        <v>46063</v>
      </c>
      <c r="B88" s="5" t="n">
        <f aca="false">+LN(PRECIOS!B88/PRECIOS!B87)</f>
        <v>-0.00385714415174281</v>
      </c>
      <c r="C88" s="5" t="n">
        <f aca="false">+LN(PRECIOS!C88/PRECIOS!C87)</f>
        <v>0.00647833829521568</v>
      </c>
      <c r="D88" s="5" t="n">
        <f aca="false">+LN(PRECIOS!D88/PRECIOS!D87)</f>
        <v>0.0114584587027667</v>
      </c>
      <c r="E88" s="5" t="n">
        <f aca="false">+LN(PRECIOS!E88/PRECIOS!E87)</f>
        <v>0.00637086383286123</v>
      </c>
      <c r="F88" s="5" t="n">
        <f aca="false">+LN(PRECIOS!F88/PRECIOS!F87)</f>
        <v>0.0117808340311496</v>
      </c>
      <c r="G88" s="5" t="n">
        <f aca="false">+LN(PRECIOS!G88/PRECIOS!G87)</f>
        <v>0.00472017059788807</v>
      </c>
      <c r="H88" s="5" t="n">
        <f aca="false">+LN(PRECIOS!H88/PRECIOS!H87)</f>
        <v>0.0242272953353243</v>
      </c>
      <c r="I88" s="5" t="n">
        <f aca="false">+LN(PRECIOS!I88/PRECIOS!I87)</f>
        <v>-0.0155577900309259</v>
      </c>
      <c r="J88" s="5" t="n">
        <f aca="false">+LN(PRECIOS!J88/PRECIOS!J87)</f>
        <v>-0.00333223893182808</v>
      </c>
    </row>
    <row r="89" customFormat="false" ht="15" hidden="false" customHeight="false" outlineLevel="0" collapsed="false">
      <c r="A89" s="4" t="n">
        <f aca="false">PRECIOS!A89</f>
        <v>46064</v>
      </c>
      <c r="B89" s="5" t="n">
        <f aca="false">+LN(PRECIOS!B89/PRECIOS!B88)</f>
        <v>0.00122222509042772</v>
      </c>
      <c r="C89" s="5" t="n">
        <f aca="false">+LN(PRECIOS!C89/PRECIOS!C88)</f>
        <v>-0.0084662308808137</v>
      </c>
      <c r="D89" s="5" t="n">
        <f aca="false">+LN(PRECIOS!D89/PRECIOS!D88)</f>
        <v>0.0460491171519023</v>
      </c>
      <c r="E89" s="5" t="n">
        <f aca="false">+LN(PRECIOS!E89/PRECIOS!E88)</f>
        <v>0.000590580262256433</v>
      </c>
      <c r="F89" s="5" t="n">
        <f aca="false">+LN(PRECIOS!F89/PRECIOS!F88)</f>
        <v>0.00314819239104257</v>
      </c>
      <c r="G89" s="5" t="n">
        <f aca="false">+LN(PRECIOS!G89/PRECIOS!G88)</f>
        <v>-0.0227448207014592</v>
      </c>
      <c r="H89" s="5" t="n">
        <f aca="false">+LN(PRECIOS!H89/PRECIOS!H88)</f>
        <v>0.00706716722309235</v>
      </c>
      <c r="I89" s="5" t="n">
        <f aca="false">+LN(PRECIOS!I89/PRECIOS!I88)</f>
        <v>0.006944472352811</v>
      </c>
      <c r="J89" s="5" t="n">
        <f aca="false">+LN(PRECIOS!J89/PRECIOS!J88)</f>
        <v>0.0046165586705516</v>
      </c>
    </row>
    <row r="90" customFormat="false" ht="15" hidden="false" customHeight="false" outlineLevel="0" collapsed="false">
      <c r="A90" s="4" t="n">
        <f aca="false">PRECIOS!A90</f>
        <v>46065</v>
      </c>
      <c r="B90" s="5" t="n">
        <f aca="false">+LN(PRECIOS!B90/PRECIOS!B89)</f>
        <v>0.010449923765471</v>
      </c>
      <c r="C90" s="5" t="n">
        <f aca="false">+LN(PRECIOS!C90/PRECIOS!C89)</f>
        <v>-0.000542839061552332</v>
      </c>
      <c r="D90" s="5" t="n">
        <f aca="false">+LN(PRECIOS!D90/PRECIOS!D89)</f>
        <v>0.0200741134908351</v>
      </c>
      <c r="E90" s="5" t="n">
        <f aca="false">+LN(PRECIOS!E90/PRECIOS!E89)</f>
        <v>-0.0190737417063198</v>
      </c>
      <c r="F90" s="5" t="n">
        <f aca="false">+LN(PRECIOS!F90/PRECIOS!F89)</f>
        <v>-0.0487677126926851</v>
      </c>
      <c r="G90" s="5" t="n">
        <f aca="false">+LN(PRECIOS!G90/PRECIOS!G89)</f>
        <v>-0.0102772780663973</v>
      </c>
      <c r="H90" s="5" t="n">
        <f aca="false">+LN(PRECIOS!H90/PRECIOS!H89)</f>
        <v>-0.000880669365593636</v>
      </c>
      <c r="I90" s="5" t="n">
        <f aca="false">+LN(PRECIOS!I90/PRECIOS!I89)</f>
        <v>0.00379900301492634</v>
      </c>
      <c r="J90" s="5" t="n">
        <f aca="false">+LN(PRECIOS!J90/PRECIOS!J89)</f>
        <v>-0.0100121975222145</v>
      </c>
    </row>
    <row r="91" customFormat="false" ht="15" hidden="false" customHeight="false" outlineLevel="0" collapsed="false">
      <c r="A91" s="4" t="n">
        <f aca="false">PRECIOS!A91</f>
        <v>46066</v>
      </c>
      <c r="B91" s="5" t="n">
        <f aca="false">+LN(PRECIOS!B91/PRECIOS!B90)</f>
        <v>0.017019035389109</v>
      </c>
      <c r="C91" s="5" t="n">
        <f aca="false">+LN(PRECIOS!C91/PRECIOS!C90)</f>
        <v>0.0257294879383501</v>
      </c>
      <c r="D91" s="5" t="n">
        <f aca="false">+LN(PRECIOS!D91/PRECIOS!D90)</f>
        <v>-0.0107213502614069</v>
      </c>
      <c r="E91" s="5" t="n">
        <f aca="false">+LN(PRECIOS!E91/PRECIOS!E90)</f>
        <v>0.0208433926621766</v>
      </c>
      <c r="F91" s="5" t="n">
        <f aca="false">+LN(PRECIOS!F91/PRECIOS!F90)</f>
        <v>0.0154389031516514</v>
      </c>
      <c r="G91" s="5" t="n">
        <f aca="false">+LN(PRECIOS!G91/PRECIOS!G90)</f>
        <v>0.0173309443436445</v>
      </c>
      <c r="H91" s="5" t="n">
        <f aca="false">+LN(PRECIOS!H91/PRECIOS!H90)</f>
        <v>0.00789824202424013</v>
      </c>
      <c r="I91" s="5" t="n">
        <f aca="false">+LN(PRECIOS!I91/PRECIOS!I90)</f>
        <v>0.0058429449613268</v>
      </c>
      <c r="J91" s="5" t="n">
        <f aca="false">+LN(PRECIOS!J91/PRECIOS!J90)</f>
        <v>0.00829931112397675</v>
      </c>
    </row>
    <row r="92" customFormat="false" ht="15" hidden="false" customHeight="false" outlineLevel="0" collapsed="false">
      <c r="A92" s="4" t="n">
        <f aca="false">PRECIOS!A92</f>
        <v>46069</v>
      </c>
      <c r="B92" s="5" t="n">
        <f aca="false">+LN(PRECIOS!B92/PRECIOS!B91)</f>
        <v>-0.00634226393358085</v>
      </c>
      <c r="C92" s="5" t="n">
        <f aca="false">+LN(PRECIOS!C92/PRECIOS!C91)</f>
        <v>-0.00495138058432763</v>
      </c>
      <c r="D92" s="5" t="n">
        <f aca="false">+LN(PRECIOS!D92/PRECIOS!D91)</f>
        <v>0.00146878851375038</v>
      </c>
      <c r="E92" s="5" t="n">
        <f aca="false">+LN(PRECIOS!E92/PRECIOS!E91)</f>
        <v>-0.000147351359583015</v>
      </c>
      <c r="F92" s="5" t="n">
        <f aca="false">+LN(PRECIOS!F92/PRECIOS!F91)</f>
        <v>0.0101617502594995</v>
      </c>
      <c r="G92" s="5" t="n">
        <f aca="false">+LN(PRECIOS!G92/PRECIOS!G91)</f>
        <v>-0.0134151049945911</v>
      </c>
      <c r="H92" s="5" t="n">
        <f aca="false">+LN(PRECIOS!H92/PRECIOS!H91)</f>
        <v>0.00261894518962757</v>
      </c>
      <c r="I92" s="5" t="n">
        <f aca="false">+LN(PRECIOS!I92/PRECIOS!I91)</f>
        <v>-0.00601531417661202</v>
      </c>
      <c r="J92" s="5" t="n">
        <f aca="false">+LN(PRECIOS!J92/PRECIOS!J91)</f>
        <v>-0.00175758855764451</v>
      </c>
    </row>
    <row r="93" customFormat="false" ht="15" hidden="false" customHeight="false" outlineLevel="0" collapsed="false">
      <c r="A93" s="4" t="n">
        <f aca="false">PRECIOS!A93</f>
        <v>46070</v>
      </c>
      <c r="B93" s="5" t="n">
        <f aca="false">+LN(PRECIOS!B93/PRECIOS!B92)</f>
        <v>0.0129751588631335</v>
      </c>
      <c r="C93" s="5" t="n">
        <f aca="false">+LN(PRECIOS!C93/PRECIOS!C92)</f>
        <v>0.0274516757416247</v>
      </c>
      <c r="D93" s="5" t="n">
        <f aca="false">+LN(PRECIOS!D93/PRECIOS!D92)</f>
        <v>0.0222553936352614</v>
      </c>
      <c r="E93" s="5" t="n">
        <f aca="false">+LN(PRECIOS!E93/PRECIOS!E92)</f>
        <v>0.00851068966790861</v>
      </c>
      <c r="F93" s="5" t="n">
        <f aca="false">+LN(PRECIOS!F93/PRECIOS!F92)</f>
        <v>-0.0120204868541249</v>
      </c>
      <c r="G93" s="5" t="n">
        <f aca="false">+LN(PRECIOS!G93/PRECIOS!G92)</f>
        <v>0.00768779658624369</v>
      </c>
      <c r="H93" s="5" t="n">
        <f aca="false">+LN(PRECIOS!H93/PRECIOS!H92)</f>
        <v>-0.0336911297790037</v>
      </c>
      <c r="I93" s="5" t="n">
        <f aca="false">+LN(PRECIOS!I93/PRECIOS!I92)</f>
        <v>0.0179384668378036</v>
      </c>
      <c r="J93" s="5" t="n">
        <f aca="false">+LN(PRECIOS!J93/PRECIOS!J92)</f>
        <v>-0.00277316035291991</v>
      </c>
    </row>
    <row r="94" customFormat="false" ht="15" hidden="false" customHeight="false" outlineLevel="0" collapsed="false">
      <c r="A94" s="4" t="n">
        <f aca="false">PRECIOS!A94</f>
        <v>46071</v>
      </c>
      <c r="B94" s="5" t="n">
        <f aca="false">+LN(PRECIOS!B94/PRECIOS!B93)</f>
        <v>-0.0154658201755853</v>
      </c>
      <c r="C94" s="5" t="n">
        <f aca="false">+LN(PRECIOS!C94/PRECIOS!C93)</f>
        <v>0.00807356442456802</v>
      </c>
      <c r="D94" s="5" t="n">
        <f aca="false">+LN(PRECIOS!D94/PRECIOS!D93)</f>
        <v>-0.0139727640683976</v>
      </c>
      <c r="E94" s="5" t="n">
        <f aca="false">+LN(PRECIOS!E94/PRECIOS!E93)</f>
        <v>-0.0299592330753922</v>
      </c>
      <c r="F94" s="5" t="n">
        <f aca="false">+LN(PRECIOS!F94/PRECIOS!F93)</f>
        <v>0.00556587707744518</v>
      </c>
      <c r="G94" s="5" t="n">
        <f aca="false">+LN(PRECIOS!G94/PRECIOS!G93)</f>
        <v>-0.00947032825252687</v>
      </c>
      <c r="H94" s="5" t="n">
        <f aca="false">+LN(PRECIOS!H94/PRECIOS!H93)</f>
        <v>0.0371724213715155</v>
      </c>
      <c r="I94" s="5" t="n">
        <f aca="false">+LN(PRECIOS!I94/PRECIOS!I93)</f>
        <v>-0.02173812598609</v>
      </c>
      <c r="J94" s="5" t="n">
        <f aca="false">+LN(PRECIOS!J94/PRECIOS!J93)</f>
        <v>-0.00380834404533699</v>
      </c>
    </row>
    <row r="95" customFormat="false" ht="15" hidden="false" customHeight="false" outlineLevel="0" collapsed="false">
      <c r="A95" s="4" t="n">
        <f aca="false">PRECIOS!A95</f>
        <v>46072</v>
      </c>
      <c r="B95" s="5" t="n">
        <f aca="false">+LN(PRECIOS!B95/PRECIOS!B94)</f>
        <v>0.00688207648419382</v>
      </c>
      <c r="C95" s="5" t="n">
        <f aca="false">+LN(PRECIOS!C95/PRECIOS!C94)</f>
        <v>0.0435215126386361</v>
      </c>
      <c r="D95" s="5" t="n">
        <f aca="false">+LN(PRECIOS!D95/PRECIOS!D94)</f>
        <v>-0.0024289543154033</v>
      </c>
      <c r="E95" s="5" t="n">
        <f aca="false">+LN(PRECIOS!E95/PRECIOS!E94)</f>
        <v>-0.0233046873155235</v>
      </c>
      <c r="F95" s="5" t="n">
        <f aca="false">+LN(PRECIOS!F95/PRECIOS!F94)</f>
        <v>0.0110396705373303</v>
      </c>
      <c r="G95" s="5" t="n">
        <f aca="false">+LN(PRECIOS!G95/PRECIOS!G94)</f>
        <v>-0.00716207179661506</v>
      </c>
      <c r="H95" s="5" t="n">
        <f aca="false">+LN(PRECIOS!H95/PRECIOS!H94)</f>
        <v>0.0138052235646733</v>
      </c>
      <c r="I95" s="5" t="n">
        <f aca="false">+LN(PRECIOS!I95/PRECIOS!I94)</f>
        <v>-0.000519255745115843</v>
      </c>
      <c r="J95" s="5" t="n">
        <f aca="false">+LN(PRECIOS!J95/PRECIOS!J94)</f>
        <v>-0.000558241097879978</v>
      </c>
    </row>
    <row r="96" customFormat="false" ht="15" hidden="false" customHeight="false" outlineLevel="0" collapsed="false">
      <c r="A96" s="4" t="n">
        <f aca="false">PRECIOS!A96</f>
        <v>46073</v>
      </c>
      <c r="B96" s="5" t="n">
        <f aca="false">+LN(PRECIOS!B96/PRECIOS!B95)</f>
        <v>0.0032334788039548</v>
      </c>
      <c r="C96" s="5" t="n">
        <f aca="false">+LN(PRECIOS!C96/PRECIOS!C95)</f>
        <v>0.00245398896156679</v>
      </c>
      <c r="D96" s="5" t="n">
        <f aca="false">+LN(PRECIOS!D96/PRECIOS!D95)</f>
        <v>0.00194363520857125</v>
      </c>
      <c r="E96" s="5" t="n">
        <f aca="false">+LN(PRECIOS!E96/PRECIOS!E95)</f>
        <v>-0.0117812554723056</v>
      </c>
      <c r="F96" s="5" t="n">
        <f aca="false">+LN(PRECIOS!F96/PRECIOS!F95)</f>
        <v>0.00820050153632119</v>
      </c>
      <c r="G96" s="5" t="n">
        <f aca="false">+LN(PRECIOS!G96/PRECIOS!G95)</f>
        <v>-0.00169855663558147</v>
      </c>
      <c r="H96" s="5" t="n">
        <f aca="false">+LN(PRECIOS!H96/PRECIOS!H95)</f>
        <v>0.00768249617201621</v>
      </c>
      <c r="I96" s="5" t="n">
        <f aca="false">+LN(PRECIOS!I96/PRECIOS!I95)</f>
        <v>0.00276625349289011</v>
      </c>
      <c r="J96" s="5" t="n">
        <f aca="false">+LN(PRECIOS!J96/PRECIOS!J95)</f>
        <v>0.00830593504346233</v>
      </c>
    </row>
    <row r="97" customFormat="false" ht="15" hidden="false" customHeight="false" outlineLevel="0" collapsed="false">
      <c r="A97" s="4" t="n">
        <f aca="false">PRECIOS!A97</f>
        <v>46076</v>
      </c>
      <c r="B97" s="5" t="n">
        <f aca="false">+LN(PRECIOS!B97/PRECIOS!B96)</f>
        <v>-0.0198016778093535</v>
      </c>
      <c r="C97" s="5" t="n">
        <f aca="false">+LN(PRECIOS!C97/PRECIOS!C96)</f>
        <v>-0.00869784756407389</v>
      </c>
      <c r="D97" s="5" t="n">
        <f aca="false">+LN(PRECIOS!D97/PRECIOS!D96)</f>
        <v>-0.00194363520857113</v>
      </c>
      <c r="E97" s="5" t="n">
        <f aca="false">+LN(PRECIOS!E97/PRECIOS!E96)</f>
        <v>-0.0141334010902497</v>
      </c>
      <c r="F97" s="5" t="n">
        <f aca="false">+LN(PRECIOS!F97/PRECIOS!F96)</f>
        <v>-0.0290008816831223</v>
      </c>
      <c r="G97" s="5" t="n">
        <f aca="false">+LN(PRECIOS!G97/PRECIOS!G96)</f>
        <v>-0.00561573878563575</v>
      </c>
      <c r="H97" s="5" t="n">
        <f aca="false">+LN(PRECIOS!H97/PRECIOS!H96)</f>
        <v>-0.0214877197366896</v>
      </c>
      <c r="I97" s="5" t="n">
        <f aca="false">+LN(PRECIOS!I97/PRECIOS!I96)</f>
        <v>-0.00954122946368125</v>
      </c>
      <c r="J97" s="5" t="n">
        <f aca="false">+LN(PRECIOS!J97/PRECIOS!J96)</f>
        <v>-0.0113012843804668</v>
      </c>
    </row>
    <row r="98" customFormat="false" ht="15" hidden="false" customHeight="false" outlineLevel="0" collapsed="false">
      <c r="A98" s="4" t="n">
        <f aca="false">PRECIOS!A98</f>
        <v>46077</v>
      </c>
      <c r="B98" s="5" t="n">
        <f aca="false">+LN(PRECIOS!B98/PRECIOS!B97)</f>
        <v>-0.00704621813675515</v>
      </c>
      <c r="C98" s="5" t="n">
        <f aca="false">+LN(PRECIOS!C98/PRECIOS!C97)</f>
        <v>0.0049325979655182</v>
      </c>
      <c r="D98" s="5" t="n">
        <f aca="false">+LN(PRECIOS!D98/PRECIOS!D97)</f>
        <v>0.0640520214928506</v>
      </c>
      <c r="E98" s="5" t="n">
        <f aca="false">+LN(PRECIOS!E98/PRECIOS!E97)</f>
        <v>-0.00570976967555211</v>
      </c>
      <c r="F98" s="5" t="n">
        <f aca="false">+LN(PRECIOS!F98/PRECIOS!F97)</f>
        <v>0.00837214192512453</v>
      </c>
      <c r="G98" s="5" t="n">
        <f aca="false">+LN(PRECIOS!G98/PRECIOS!G97)</f>
        <v>0.00461523845205222</v>
      </c>
      <c r="H98" s="5" t="n">
        <f aca="false">+LN(PRECIOS!H98/PRECIOS!H97)</f>
        <v>-0.00960286733334147</v>
      </c>
      <c r="I98" s="5" t="n">
        <f aca="false">+LN(PRECIOS!I98/PRECIOS!I97)</f>
        <v>0.0116109094022073</v>
      </c>
      <c r="J98" s="5" t="n">
        <f aca="false">+LN(PRECIOS!J98/PRECIOS!J97)</f>
        <v>0.00425306847793585</v>
      </c>
    </row>
    <row r="99" customFormat="false" ht="15" hidden="false" customHeight="false" outlineLevel="0" collapsed="false">
      <c r="A99" s="4" t="n">
        <f aca="false">PRECIOS!A99</f>
        <v>46078</v>
      </c>
      <c r="B99" s="5" t="n">
        <f aca="false">+LN(PRECIOS!B99/PRECIOS!B98)</f>
        <v>-4.87674038768597E-005</v>
      </c>
      <c r="C99" s="5" t="n">
        <f aca="false">+LN(PRECIOS!C99/PRECIOS!C98)</f>
        <v>-0.0162040582547229</v>
      </c>
      <c r="D99" s="5" t="n">
        <f aca="false">+LN(PRECIOS!D99/PRECIOS!D98)</f>
        <v>-0.012394007631316</v>
      </c>
      <c r="E99" s="5" t="n">
        <f aca="false">+LN(PRECIOS!E99/PRECIOS!E98)</f>
        <v>-0.00175117453013791</v>
      </c>
      <c r="F99" s="5" t="n">
        <f aca="false">+LN(PRECIOS!F99/PRECIOS!F98)</f>
        <v>0.0156253179030808</v>
      </c>
      <c r="G99" s="5" t="n">
        <f aca="false">+LN(PRECIOS!G99/PRECIOS!G98)</f>
        <v>-0.00466552129304326</v>
      </c>
      <c r="H99" s="5" t="n">
        <f aca="false">+LN(PRECIOS!H99/PRECIOS!H98)</f>
        <v>-0.0402738991379401</v>
      </c>
      <c r="I99" s="5" t="n">
        <f aca="false">+LN(PRECIOS!I99/PRECIOS!I98)</f>
        <v>-0.0251234428068499</v>
      </c>
      <c r="J99" s="5" t="n">
        <f aca="false">+LN(PRECIOS!J99/PRECIOS!J98)</f>
        <v>0.00294948445855605</v>
      </c>
    </row>
    <row r="100" customFormat="false" ht="15" hidden="false" customHeight="false" outlineLevel="0" collapsed="false">
      <c r="A100" s="4" t="n">
        <f aca="false">PRECIOS!A100</f>
        <v>46079</v>
      </c>
      <c r="B100" s="5" t="n">
        <f aca="false">+LN(PRECIOS!B100/PRECIOS!B99)</f>
        <v>0.0269916075703274</v>
      </c>
      <c r="C100" s="5" t="n">
        <f aca="false">+LN(PRECIOS!C100/PRECIOS!C99)</f>
        <v>0.00681122327576744</v>
      </c>
      <c r="D100" s="5" t="n">
        <f aca="false">+LN(PRECIOS!D100/PRECIOS!D99)</f>
        <v>0.00782152595642591</v>
      </c>
      <c r="E100" s="5" t="n">
        <f aca="false">+LN(PRECIOS!E100/PRECIOS!E99)</f>
        <v>0.0251743942593506</v>
      </c>
      <c r="F100" s="5" t="n">
        <f aca="false">+LN(PRECIOS!F100/PRECIOS!F99)</f>
        <v>0.000455892417287374</v>
      </c>
      <c r="G100" s="5" t="n">
        <f aca="false">+LN(PRECIOS!G100/PRECIOS!G99)</f>
        <v>-0.000201156651420021</v>
      </c>
      <c r="H100" s="5" t="n">
        <f aca="false">+LN(PRECIOS!H100/PRECIOS!H99)</f>
        <v>0.00182481802462912</v>
      </c>
      <c r="I100" s="5" t="n">
        <f aca="false">+LN(PRECIOS!I100/PRECIOS!I99)</f>
        <v>-0.00194535387196646</v>
      </c>
      <c r="J100" s="5" t="n">
        <f aca="false">+LN(PRECIOS!J100/PRECIOS!J99)</f>
        <v>0.00344829258487377</v>
      </c>
    </row>
    <row r="101" customFormat="false" ht="15" hidden="false" customHeight="false" outlineLevel="0" collapsed="false">
      <c r="A101" s="4" t="n">
        <f aca="false">PRECIOS!A101</f>
        <v>46080</v>
      </c>
      <c r="B101" s="5" t="n">
        <f aca="false">+LN(PRECIOS!B101/PRECIOS!B100)</f>
        <v>-0.0161749231545413</v>
      </c>
      <c r="C101" s="5" t="n">
        <f aca="false">+LN(PRECIOS!C101/PRECIOS!C100)</f>
        <v>0.00577797727988863</v>
      </c>
      <c r="D101" s="5" t="n">
        <f aca="false">+LN(PRECIOS!D101/PRECIOS!D100)</f>
        <v>0.0257874502057388</v>
      </c>
      <c r="E101" s="5" t="n">
        <f aca="false">+LN(PRECIOS!E101/PRECIOS!E100)</f>
        <v>-0.0296458165927519</v>
      </c>
      <c r="F101" s="5" t="n">
        <f aca="false">+LN(PRECIOS!F101/PRECIOS!F100)</f>
        <v>-0.0174717088062879</v>
      </c>
      <c r="G101" s="5" t="n">
        <f aca="false">+LN(PRECIOS!G101/PRECIOS!G100)</f>
        <v>-0.0123477101428582</v>
      </c>
      <c r="H101" s="5" t="n">
        <f aca="false">+LN(PRECIOS!H101/PRECIOS!H100)</f>
        <v>-0.0639917244411808</v>
      </c>
      <c r="I101" s="5" t="n">
        <f aca="false">+LN(PRECIOS!I101/PRECIOS!I100)</f>
        <v>-0.0133656092833686</v>
      </c>
      <c r="J101" s="5" t="n">
        <f aca="false">+LN(PRECIOS!J101/PRECIOS!J100)</f>
        <v>0.000219474135532124</v>
      </c>
    </row>
    <row r="102" customFormat="false" ht="15" hidden="false" customHeight="false" outlineLevel="0" collapsed="false">
      <c r="A102" s="4" t="n">
        <f aca="false">PRECIOS!A102</f>
        <v>46083</v>
      </c>
      <c r="B102" s="5" t="n">
        <f aca="false">+LN(PRECIOS!B102/PRECIOS!B101)</f>
        <v>-0.00750590676771533</v>
      </c>
      <c r="C102" s="5" t="n">
        <f aca="false">+LN(PRECIOS!C102/PRECIOS!C101)</f>
        <v>-0.0105908651695871</v>
      </c>
      <c r="D102" s="5" t="n">
        <f aca="false">+LN(PRECIOS!D102/PRECIOS!D101)</f>
        <v>0.0017849179214534</v>
      </c>
      <c r="E102" s="5" t="n">
        <f aca="false">+LN(PRECIOS!E102/PRECIOS!E101)</f>
        <v>-0.0112668180409948</v>
      </c>
      <c r="F102" s="5" t="n">
        <f aca="false">+LN(PRECIOS!F102/PRECIOS!F101)</f>
        <v>-0.0206192872027356</v>
      </c>
      <c r="G102" s="5" t="n">
        <f aca="false">+LN(PRECIOS!G102/PRECIOS!G101)</f>
        <v>-0.0276719943515712</v>
      </c>
      <c r="H102" s="5" t="n">
        <f aca="false">+LN(PRECIOS!H102/PRECIOS!H101)</f>
        <v>-0.0539052648362023</v>
      </c>
      <c r="I102" s="5" t="n">
        <f aca="false">+LN(PRECIOS!I102/PRECIOS!I101)</f>
        <v>0.00429646203350511</v>
      </c>
      <c r="J102" s="5" t="n">
        <f aca="false">+LN(PRECIOS!J102/PRECIOS!J101)</f>
        <v>-0.0115645629044385</v>
      </c>
    </row>
    <row r="103" customFormat="false" ht="15" hidden="false" customHeight="false" outlineLevel="0" collapsed="false">
      <c r="A103" s="4" t="n">
        <f aca="false">PRECIOS!A103</f>
        <v>46084</v>
      </c>
      <c r="B103" s="5" t="n">
        <f aca="false">+LN(PRECIOS!B103/PRECIOS!B102)</f>
        <v>-0.0221160970078624</v>
      </c>
      <c r="C103" s="5" t="n">
        <f aca="false">+LN(PRECIOS!C103/PRECIOS!C102)</f>
        <v>-0.0213543213178338</v>
      </c>
      <c r="D103" s="5" t="n">
        <f aca="false">+LN(PRECIOS!D103/PRECIOS!D102)</f>
        <v>-0.0349321069592724</v>
      </c>
      <c r="E103" s="5" t="n">
        <f aca="false">+LN(PRECIOS!E103/PRECIOS!E102)</f>
        <v>-0.0102498253572543</v>
      </c>
      <c r="F103" s="5" t="n">
        <f aca="false">+LN(PRECIOS!F103/PRECIOS!F102)</f>
        <v>-0.0410784983741521</v>
      </c>
      <c r="G103" s="5" t="n">
        <f aca="false">+LN(PRECIOS!G103/PRECIOS!G102)</f>
        <v>-0.00835813207991961</v>
      </c>
      <c r="H103" s="5" t="n">
        <f aca="false">+LN(PRECIOS!H103/PRECIOS!H102)</f>
        <v>0.00613498856751593</v>
      </c>
      <c r="I103" s="5" t="n">
        <f aca="false">+LN(PRECIOS!I103/PRECIOS!I102)</f>
        <v>-0.00519388648573016</v>
      </c>
      <c r="J103" s="5" t="n">
        <f aca="false">+LN(PRECIOS!J103/PRECIOS!J102)</f>
        <v>-0.0309113143756775</v>
      </c>
    </row>
    <row r="104" customFormat="false" ht="15" hidden="false" customHeight="false" outlineLevel="0" collapsed="false">
      <c r="A104" s="4" t="n">
        <f aca="false">PRECIOS!A104</f>
        <v>46085</v>
      </c>
      <c r="B104" s="5" t="n">
        <f aca="false">+LN(PRECIOS!B104/PRECIOS!B103)</f>
        <v>0.0266747857949372</v>
      </c>
      <c r="C104" s="5" t="n">
        <f aca="false">+LN(PRECIOS!C104/PRECIOS!C103)</f>
        <v>0.00964066663441329</v>
      </c>
      <c r="D104" s="5" t="n">
        <f aca="false">+LN(PRECIOS!D104/PRECIOS!D103)</f>
        <v>0.0178453603200104</v>
      </c>
      <c r="E104" s="5" t="n">
        <f aca="false">+LN(PRECIOS!E104/PRECIOS!E103)</f>
        <v>0.0534903884109691</v>
      </c>
      <c r="F104" s="5" t="n">
        <f aca="false">+LN(PRECIOS!F104/PRECIOS!F103)</f>
        <v>0.0377585996644819</v>
      </c>
      <c r="G104" s="5" t="n">
        <f aca="false">+LN(PRECIOS!G104/PRECIOS!G103)</f>
        <v>0.0412104325819356</v>
      </c>
      <c r="H104" s="5" t="n">
        <f aca="false">+LN(PRECIOS!H104/PRECIOS!H103)</f>
        <v>0.0399653585993024</v>
      </c>
      <c r="I104" s="5" t="n">
        <f aca="false">+LN(PRECIOS!I104/PRECIOS!I103)</f>
        <v>0.0190312546902647</v>
      </c>
      <c r="J104" s="5" t="n">
        <f aca="false">+LN(PRECIOS!J104/PRECIOS!J103)</f>
        <v>0.0286885362058393</v>
      </c>
    </row>
    <row r="105" customFormat="false" ht="15" hidden="false" customHeight="false" outlineLevel="0" collapsed="false">
      <c r="A105" s="4" t="n">
        <f aca="false">PRECIOS!A105</f>
        <v>46086</v>
      </c>
      <c r="B105" s="5" t="n">
        <f aca="false">+LN(PRECIOS!B105/PRECIOS!B104)</f>
        <v>-0.00679713254412661</v>
      </c>
      <c r="C105" s="5" t="n">
        <f aca="false">+LN(PRECIOS!C105/PRECIOS!C104)</f>
        <v>-0.0162908744495725</v>
      </c>
      <c r="D105" s="5" t="n">
        <f aca="false">+LN(PRECIOS!D105/PRECIOS!D104)</f>
        <v>-0.0201564313740605</v>
      </c>
      <c r="E105" s="5" t="n">
        <f aca="false">+LN(PRECIOS!E105/PRECIOS!E104)</f>
        <v>-0.0254330819887383</v>
      </c>
      <c r="F105" s="5" t="n">
        <f aca="false">+LN(PRECIOS!F105/PRECIOS!F104)</f>
        <v>-0.0496694104506635</v>
      </c>
      <c r="G105" s="5" t="n">
        <f aca="false">+LN(PRECIOS!G105/PRECIOS!G104)</f>
        <v>-0.0232145504046609</v>
      </c>
      <c r="H105" s="5" t="n">
        <f aca="false">+LN(PRECIOS!H105/PRECIOS!H104)</f>
        <v>-0.0197830388494451</v>
      </c>
      <c r="I105" s="5" t="n">
        <f aca="false">+LN(PRECIOS!I105/PRECIOS!I104)</f>
        <v>-0.00795971302531469</v>
      </c>
      <c r="J105" s="5" t="n">
        <f aca="false">+LN(PRECIOS!J105/PRECIOS!J104)</f>
        <v>-0.0295194351681536</v>
      </c>
    </row>
    <row r="106" customFormat="false" ht="15" hidden="false" customHeight="false" outlineLevel="0" collapsed="false">
      <c r="A106" s="4" t="n">
        <f aca="false">PRECIOS!A106</f>
        <v>46087</v>
      </c>
      <c r="B106" s="5" t="n">
        <f aca="false">+LN(PRECIOS!B106/PRECIOS!B105)</f>
        <v>0.00747431163549738</v>
      </c>
      <c r="C106" s="5" t="n">
        <f aca="false">+LN(PRECIOS!C106/PRECIOS!C105)</f>
        <v>-0.0268763467857923</v>
      </c>
      <c r="D106" s="5" t="n">
        <f aca="false">+LN(PRECIOS!D106/PRECIOS!D105)</f>
        <v>-0.0196267982385869</v>
      </c>
      <c r="E106" s="5" t="n">
        <f aca="false">+LN(PRECIOS!E106/PRECIOS!E105)</f>
        <v>-0.026749903065549</v>
      </c>
      <c r="F106" s="5" t="n">
        <f aca="false">+LN(PRECIOS!F106/PRECIOS!F105)</f>
        <v>-0.0268166841080259</v>
      </c>
      <c r="G106" s="5" t="n">
        <f aca="false">+LN(PRECIOS!G106/PRECIOS!G105)</f>
        <v>-0.014991531518475</v>
      </c>
      <c r="H106" s="5" t="n">
        <f aca="false">+LN(PRECIOS!H106/PRECIOS!H105)</f>
        <v>0.00994043970525072</v>
      </c>
      <c r="I106" s="5" t="n">
        <f aca="false">+LN(PRECIOS!I106/PRECIOS!I105)</f>
        <v>-0.0139487240130113</v>
      </c>
      <c r="J106" s="5" t="n">
        <f aca="false">+LN(PRECIOS!J106/PRECIOS!J105)</f>
        <v>-0.0157110912749331</v>
      </c>
    </row>
    <row r="107" customFormat="false" ht="15" hidden="false" customHeight="false" outlineLevel="0" collapsed="false">
      <c r="A107" s="4" t="n">
        <f aca="false">PRECIOS!A107</f>
        <v>46090</v>
      </c>
      <c r="B107" s="5" t="n">
        <f aca="false">+LN(PRECIOS!B107/PRECIOS!B106)</f>
        <v>-0.0161836337384871</v>
      </c>
      <c r="C107" s="5" t="n">
        <f aca="false">+LN(PRECIOS!C107/PRECIOS!C106)</f>
        <v>-0.00882618262827207</v>
      </c>
      <c r="D107" s="5" t="n">
        <f aca="false">+LN(PRECIOS!D107/PRECIOS!D106)</f>
        <v>-0.00141676529010909</v>
      </c>
      <c r="E107" s="5" t="n">
        <f aca="false">+LN(PRECIOS!E107/PRECIOS!E106)</f>
        <v>0.00114257745230267</v>
      </c>
      <c r="F107" s="5" t="n">
        <f aca="false">+LN(PRECIOS!F107/PRECIOS!F106)</f>
        <v>-0.0129034048359078</v>
      </c>
      <c r="G107" s="5" t="n">
        <f aca="false">+LN(PRECIOS!G107/PRECIOS!G106)</f>
        <v>-0.00390213530361262</v>
      </c>
      <c r="H107" s="5" t="n">
        <f aca="false">+LN(PRECIOS!H107/PRECIOS!H106)</f>
        <v>0.0359436458605162</v>
      </c>
      <c r="I107" s="5" t="n">
        <f aca="false">+LN(PRECIOS!I107/PRECIOS!I106)</f>
        <v>0.00413335119875256</v>
      </c>
      <c r="J107" s="5" t="n">
        <f aca="false">+LN(PRECIOS!J107/PRECIOS!J106)</f>
        <v>-0.00630729528799578</v>
      </c>
    </row>
    <row r="108" customFormat="false" ht="15" hidden="false" customHeight="false" outlineLevel="0" collapsed="false">
      <c r="A108" s="4" t="n">
        <f aca="false">PRECIOS!A108</f>
        <v>46091</v>
      </c>
      <c r="B108" s="5" t="n">
        <f aca="false">+LN(PRECIOS!B108/PRECIOS!B107)</f>
        <v>-0.0217092055667613</v>
      </c>
      <c r="C108" s="5" t="n">
        <f aca="false">+LN(PRECIOS!C108/PRECIOS!C107)</f>
        <v>0.0111082866644342</v>
      </c>
      <c r="D108" s="5" t="n">
        <f aca="false">+LN(PRECIOS!D108/PRECIOS!D107)</f>
        <v>-0.00663824154129363</v>
      </c>
      <c r="E108" s="5" t="n">
        <f aca="false">+LN(PRECIOS!E108/PRECIOS!E107)</f>
        <v>-0.0118150373430745</v>
      </c>
      <c r="F108" s="5" t="n">
        <f aca="false">+LN(PRECIOS!F108/PRECIOS!F107)</f>
        <v>-0.0157071292053579</v>
      </c>
      <c r="G108" s="5" t="n">
        <f aca="false">+LN(PRECIOS!G108/PRECIOS!G107)</f>
        <v>0.0272061808041861</v>
      </c>
      <c r="H108" s="5" t="n">
        <f aca="false">+LN(PRECIOS!H108/PRECIOS!H107)</f>
        <v>-0.00670179626601867</v>
      </c>
      <c r="I108" s="5" t="n">
        <f aca="false">+LN(PRECIOS!I108/PRECIOS!I107)</f>
        <v>-0.00738010729762253</v>
      </c>
      <c r="J108" s="5" t="n">
        <f aca="false">+LN(PRECIOS!J108/PRECIOS!J107)</f>
        <v>0.00756093805298979</v>
      </c>
    </row>
    <row r="109" customFormat="false" ht="15" hidden="false" customHeight="false" outlineLevel="0" collapsed="false">
      <c r="A109" s="4" t="n">
        <f aca="false">PRECIOS!A109</f>
        <v>46092</v>
      </c>
      <c r="B109" s="5" t="n">
        <f aca="false">+LN(PRECIOS!B109/PRECIOS!B108)</f>
        <v>0.0244083949953893</v>
      </c>
      <c r="C109" s="5" t="n">
        <f aca="false">+LN(PRECIOS!C109/PRECIOS!C108)</f>
        <v>0.00977149635013348</v>
      </c>
      <c r="D109" s="5" t="n">
        <f aca="false">+LN(PRECIOS!D109/PRECIOS!D108)</f>
        <v>-0.00285850599596354</v>
      </c>
      <c r="E109" s="5" t="n">
        <f aca="false">+LN(PRECIOS!E109/PRECIOS!E108)</f>
        <v>0.000660066030565744</v>
      </c>
      <c r="F109" s="5" t="n">
        <f aca="false">+LN(PRECIOS!F109/PRECIOS!F108)</f>
        <v>-0.0100769879503566</v>
      </c>
      <c r="G109" s="5" t="n">
        <f aca="false">+LN(PRECIOS!G109/PRECIOS!G108)</f>
        <v>-0.00123475860725719</v>
      </c>
      <c r="H109" s="5" t="n">
        <f aca="false">+LN(PRECIOS!H109/PRECIOS!H108)</f>
        <v>0.000960153698343287</v>
      </c>
      <c r="I109" s="5" t="n">
        <f aca="false">+LN(PRECIOS!I109/PRECIOS!I108)</f>
        <v>0.0216253624336713</v>
      </c>
      <c r="J109" s="5" t="n">
        <f aca="false">+LN(PRECIOS!J109/PRECIOS!J108)</f>
        <v>0.00239838191662517</v>
      </c>
    </row>
    <row r="110" customFormat="false" ht="15" hidden="false" customHeight="false" outlineLevel="0" collapsed="false">
      <c r="A110" s="4" t="n">
        <f aca="false">PRECIOS!A110</f>
        <v>46093</v>
      </c>
      <c r="B110" s="5" t="n">
        <f aca="false">+LN(PRECIOS!B110/PRECIOS!B109)</f>
        <v>-0.0261676756522181</v>
      </c>
      <c r="C110" s="5" t="n">
        <f aca="false">+LN(PRECIOS!C110/PRECIOS!C109)</f>
        <v>-0.00994685803405506</v>
      </c>
      <c r="D110" s="5" t="n">
        <f aca="false">+LN(PRECIOS!D110/PRECIOS!D109)</f>
        <v>-0.0192684188658771</v>
      </c>
      <c r="E110" s="5" t="n">
        <f aca="false">+LN(PRECIOS!E110/PRECIOS!E109)</f>
        <v>-0.0162983817331194</v>
      </c>
      <c r="F110" s="5" t="n">
        <f aca="false">+LN(PRECIOS!F110/PRECIOS!F109)</f>
        <v>-0.00320341971753781</v>
      </c>
      <c r="G110" s="5" t="n">
        <f aca="false">+LN(PRECIOS!G110/PRECIOS!G109)</f>
        <v>-0.0332360828283371</v>
      </c>
      <c r="H110" s="5" t="n">
        <f aca="false">+LN(PRECIOS!H110/PRECIOS!H109)</f>
        <v>-0.0203594041486466</v>
      </c>
      <c r="I110" s="5" t="n">
        <f aca="false">+LN(PRECIOS!I110/PRECIOS!I109)</f>
        <v>-0.00977177536657645</v>
      </c>
      <c r="J110" s="5" t="n">
        <f aca="false">+LN(PRECIOS!J110/PRECIOS!J109)</f>
        <v>-0.0220587864931128</v>
      </c>
    </row>
    <row r="111" customFormat="false" ht="15" hidden="false" customHeight="false" outlineLevel="0" collapsed="false">
      <c r="A111" s="4" t="n">
        <f aca="false">PRECIOS!A111</f>
        <v>46094</v>
      </c>
      <c r="B111" s="5" t="n">
        <f aca="false">+LN(PRECIOS!B111/PRECIOS!B110)</f>
        <v>-0.00874162359022532</v>
      </c>
      <c r="C111" s="5" t="n">
        <f aca="false">+LN(PRECIOS!C111/PRECIOS!C110)</f>
        <v>-0.0123523716347391</v>
      </c>
      <c r="D111" s="5" t="n">
        <f aca="false">+LN(PRECIOS!D111/PRECIOS!D110)</f>
        <v>0</v>
      </c>
      <c r="E111" s="5" t="n">
        <f aca="false">+LN(PRECIOS!E111/PRECIOS!E110)</f>
        <v>-0.00403226352793845</v>
      </c>
      <c r="F111" s="5" t="n">
        <f aca="false">+LN(PRECIOS!F111/PRECIOS!F110)</f>
        <v>-0.0026773777707164</v>
      </c>
      <c r="G111" s="5" t="n">
        <f aca="false">+LN(PRECIOS!G111/PRECIOS!G110)</f>
        <v>0.00594292314749037</v>
      </c>
      <c r="H111" s="5" t="n">
        <f aca="false">+LN(PRECIOS!H111/PRECIOS!H110)</f>
        <v>0.00974666585229426</v>
      </c>
      <c r="I111" s="5" t="n">
        <f aca="false">+LN(PRECIOS!I111/PRECIOS!I110)</f>
        <v>0.0197991265146304</v>
      </c>
      <c r="J111" s="5" t="n">
        <f aca="false">+LN(PRECIOS!J111/PRECIOS!J110)</f>
        <v>-0.00663305166428241</v>
      </c>
    </row>
    <row r="112" customFormat="false" ht="15" hidden="false" customHeight="false" outlineLevel="0" collapsed="false">
      <c r="A112" s="4" t="n">
        <f aca="false">PRECIOS!A112</f>
        <v>46098</v>
      </c>
      <c r="B112" s="5" t="n">
        <f aca="false">+LN(PRECIOS!B112/PRECIOS!B111)</f>
        <v>0.00602121888983718</v>
      </c>
      <c r="C112" s="5" t="n">
        <f aca="false">+LN(PRECIOS!C112/PRECIOS!C111)</f>
        <v>0.0323200460728833</v>
      </c>
      <c r="D112" s="5" t="n">
        <f aca="false">+LN(PRECIOS!D112/PRECIOS!D111)</f>
        <v>0.0216510742699448</v>
      </c>
      <c r="E112" s="5" t="n">
        <f aca="false">+LN(PRECIOS!E112/PRECIOS!E111)</f>
        <v>-0.00455581653586069</v>
      </c>
      <c r="F112" s="5" t="n">
        <f aca="false">+LN(PRECIOS!F112/PRECIOS!F111)</f>
        <v>0.00160728671087206</v>
      </c>
      <c r="G112" s="5" t="n">
        <f aca="false">+LN(PRECIOS!G112/PRECIOS!G111)</f>
        <v>0.0168397421978588</v>
      </c>
      <c r="H112" s="5" t="n">
        <f aca="false">+LN(PRECIOS!H112/PRECIOS!H111)</f>
        <v>0.00869150811845839</v>
      </c>
      <c r="I112" s="5" t="n">
        <f aca="false">+LN(PRECIOS!I112/PRECIOS!I111)</f>
        <v>0.00940773489095009</v>
      </c>
      <c r="J112" s="5" t="n">
        <f aca="false">+LN(PRECIOS!J112/PRECIOS!J111)</f>
        <v>0.00831293876866207</v>
      </c>
    </row>
    <row r="113" customFormat="false" ht="15" hidden="false" customHeight="false" outlineLevel="0" collapsed="false">
      <c r="A113" s="4" t="n">
        <f aca="false">PRECIOS!A113</f>
        <v>46099</v>
      </c>
      <c r="B113" s="5" t="n">
        <f aca="false">+LN(PRECIOS!B113/PRECIOS!B112)</f>
        <v>0.00312279895158002</v>
      </c>
      <c r="C113" s="5" t="n">
        <f aca="false">+LN(PRECIOS!C113/PRECIOS!C112)</f>
        <v>0.00548604153226426</v>
      </c>
      <c r="D113" s="5" t="n">
        <f aca="false">+LN(PRECIOS!D113/PRECIOS!D112)</f>
        <v>0.00805882531635123</v>
      </c>
      <c r="E113" s="5" t="n">
        <f aca="false">+LN(PRECIOS!E113/PRECIOS!E112)</f>
        <v>-0.0187782916302216</v>
      </c>
      <c r="F113" s="5" t="n">
        <f aca="false">+LN(PRECIOS!F113/PRECIOS!F112)</f>
        <v>-0.0172790476083522</v>
      </c>
      <c r="G113" s="5" t="n">
        <f aca="false">+LN(PRECIOS!G113/PRECIOS!G112)</f>
        <v>-0.00192663237496736</v>
      </c>
      <c r="H113" s="5" t="n">
        <f aca="false">+LN(PRECIOS!H113/PRECIOS!H112)</f>
        <v>0.00288046286535409</v>
      </c>
      <c r="I113" s="5" t="n">
        <f aca="false">+LN(PRECIOS!I113/PRECIOS!I112)</f>
        <v>-0.0281361974917401</v>
      </c>
      <c r="J113" s="5" t="n">
        <f aca="false">+LN(PRECIOS!J113/PRECIOS!J112)</f>
        <v>-0.00632980117407118</v>
      </c>
    </row>
    <row r="114" customFormat="false" ht="15" hidden="false" customHeight="false" outlineLevel="0" collapsed="false">
      <c r="A114" s="4" t="n">
        <f aca="false">PRECIOS!A114</f>
        <v>46100</v>
      </c>
      <c r="B114" s="5" t="n">
        <f aca="false">+LN(PRECIOS!B114/PRECIOS!B113)</f>
        <v>-0.00909326801268683</v>
      </c>
      <c r="C114" s="5" t="n">
        <f aca="false">+LN(PRECIOS!C114/PRECIOS!C113)</f>
        <v>0.00851213856004953</v>
      </c>
      <c r="D114" s="5" t="n">
        <f aca="false">+LN(PRECIOS!D114/PRECIOS!D113)</f>
        <v>0.00141542840333076</v>
      </c>
      <c r="E114" s="5" t="n">
        <f aca="false">+LN(PRECIOS!E114/PRECIOS!E113)</f>
        <v>0.010456939375879</v>
      </c>
      <c r="F114" s="5" t="n">
        <f aca="false">+LN(PRECIOS!F114/PRECIOS!F113)</f>
        <v>-0.00272702650592513</v>
      </c>
      <c r="G114" s="5" t="n">
        <f aca="false">+LN(PRECIOS!G114/PRECIOS!G113)</f>
        <v>-0.0115329439342202</v>
      </c>
      <c r="H114" s="5" t="n">
        <f aca="false">+LN(PRECIOS!H114/PRECIOS!H113)</f>
        <v>0.0104912741005351</v>
      </c>
      <c r="I114" s="5" t="n">
        <f aca="false">+LN(PRECIOS!I114/PRECIOS!I113)</f>
        <v>0.0106440600459467</v>
      </c>
      <c r="J114" s="5" t="n">
        <f aca="false">+LN(PRECIOS!J114/PRECIOS!J113)</f>
        <v>-0.00885386857050327</v>
      </c>
    </row>
    <row r="115" customFormat="false" ht="15" hidden="false" customHeight="false" outlineLevel="0" collapsed="false">
      <c r="A115" s="4" t="n">
        <f aca="false">PRECIOS!A115</f>
        <v>46101</v>
      </c>
      <c r="B115" s="5" t="n">
        <f aca="false">+LN(PRECIOS!B115/PRECIOS!B114)</f>
        <v>-0.0239849209165433</v>
      </c>
      <c r="C115" s="5" t="n">
        <f aca="false">+LN(PRECIOS!C115/PRECIOS!C114)</f>
        <v>0.0156424011939801</v>
      </c>
      <c r="D115" s="5" t="n">
        <f aca="false">+LN(PRECIOS!D115/PRECIOS!D114)</f>
        <v>-0.0132892321186828</v>
      </c>
      <c r="E115" s="5" t="n">
        <f aca="false">+LN(PRECIOS!E115/PRECIOS!E114)</f>
        <v>-0.0173737921298211</v>
      </c>
      <c r="F115" s="5" t="n">
        <f aca="false">+LN(PRECIOS!F115/PRECIOS!F114)</f>
        <v>-0.0170756007902546</v>
      </c>
      <c r="G115" s="5" t="n">
        <f aca="false">+LN(PRECIOS!G115/PRECIOS!G114)</f>
        <v>-0.0291022998954919</v>
      </c>
      <c r="H115" s="5" t="n">
        <f aca="false">+LN(PRECIOS!H115/PRECIOS!H114)</f>
        <v>-0.0318099109366419</v>
      </c>
      <c r="I115" s="5" t="n">
        <f aca="false">+LN(PRECIOS!I115/PRECIOS!I114)</f>
        <v>-0.0102874266612823</v>
      </c>
      <c r="J115" s="5" t="n">
        <f aca="false">+LN(PRECIOS!J115/PRECIOS!J114)</f>
        <v>-0.0164615888967174</v>
      </c>
    </row>
    <row r="116" customFormat="false" ht="15" hidden="false" customHeight="false" outlineLevel="0" collapsed="false">
      <c r="A116" s="4" t="n">
        <f aca="false">PRECIOS!A116</f>
        <v>46104</v>
      </c>
      <c r="B116" s="5" t="n">
        <f aca="false">+LN(PRECIOS!B116/PRECIOS!B115)</f>
        <v>-0.0102404238669242</v>
      </c>
      <c r="C116" s="5" t="n">
        <f aca="false">+LN(PRECIOS!C116/PRECIOS!C115)</f>
        <v>-0.0503100101392018</v>
      </c>
      <c r="D116" s="5" t="n">
        <f aca="false">+LN(PRECIOS!D116/PRECIOS!D115)</f>
        <v>0.00761545803277483</v>
      </c>
      <c r="E116" s="5" t="n">
        <f aca="false">+LN(PRECIOS!E116/PRECIOS!E115)</f>
        <v>-0.00661562301422597</v>
      </c>
      <c r="F116" s="5" t="n">
        <f aca="false">+LN(PRECIOS!F116/PRECIOS!F115)</f>
        <v>0.0493191247742014</v>
      </c>
      <c r="G116" s="5" t="n">
        <f aca="false">+LN(PRECIOS!G116/PRECIOS!G115)</f>
        <v>0.00757087760715722</v>
      </c>
      <c r="H116" s="5" t="n">
        <f aca="false">+LN(PRECIOS!H116/PRECIOS!H115)</f>
        <v>0.00195694778696095</v>
      </c>
      <c r="I116" s="5" t="n">
        <f aca="false">+LN(PRECIOS!I116/PRECIOS!I115)</f>
        <v>0.000712885433862349</v>
      </c>
      <c r="J116" s="5" t="n">
        <f aca="false">+LN(PRECIOS!J116/PRECIOS!J115)</f>
        <v>0.00367376684389964</v>
      </c>
    </row>
    <row r="117" customFormat="false" ht="15" hidden="false" customHeight="false" outlineLevel="0" collapsed="false">
      <c r="A117" s="4" t="n">
        <f aca="false">PRECIOS!A117</f>
        <v>46105</v>
      </c>
      <c r="B117" s="5" t="n">
        <f aca="false">+LN(PRECIOS!B117/PRECIOS!B116)</f>
        <v>0.0208914733197096</v>
      </c>
      <c r="C117" s="5" t="n">
        <f aca="false">+LN(PRECIOS!C117/PRECIOS!C116)</f>
        <v>0.0163624190076988</v>
      </c>
      <c r="D117" s="5" t="n">
        <f aca="false">+LN(PRECIOS!D117/PRECIOS!D116)</f>
        <v>0.0436061663235685</v>
      </c>
      <c r="E117" s="5" t="n">
        <f aca="false">+LN(PRECIOS!E117/PRECIOS!E116)</f>
        <v>0.013704785581638</v>
      </c>
      <c r="F117" s="5" t="n">
        <f aca="false">+LN(PRECIOS!F117/PRECIOS!F116)</f>
        <v>0.0230015368054247</v>
      </c>
      <c r="G117" s="5" t="n">
        <f aca="false">+LN(PRECIOS!G117/PRECIOS!G116)</f>
        <v>0.0206874513552342</v>
      </c>
      <c r="H117" s="5" t="n">
        <f aca="false">+LN(PRECIOS!H117/PRECIOS!H116)</f>
        <v>0.0126276568678019</v>
      </c>
      <c r="I117" s="5" t="n">
        <f aca="false">+LN(PRECIOS!I117/PRECIOS!I116)</f>
        <v>0.00249110449107966</v>
      </c>
      <c r="J117" s="5" t="n">
        <f aca="false">+LN(PRECIOS!J117/PRECIOS!J116)</f>
        <v>0.0215795110088953</v>
      </c>
    </row>
    <row r="118" customFormat="false" ht="15" hidden="false" customHeight="false" outlineLevel="0" collapsed="false">
      <c r="A118" s="4" t="n">
        <f aca="false">PRECIOS!A118</f>
        <v>46106</v>
      </c>
      <c r="B118" s="5" t="n">
        <f aca="false">+LN(PRECIOS!B118/PRECIOS!B117)</f>
        <v>0.0330320110110311</v>
      </c>
      <c r="C118" s="5" t="n">
        <f aca="false">+LN(PRECIOS!C118/PRECIOS!C117)</f>
        <v>0.0179660919349519</v>
      </c>
      <c r="D118" s="5" t="n">
        <f aca="false">+LN(PRECIOS!D118/PRECIOS!D117)</f>
        <v>0.0251021696656601</v>
      </c>
      <c r="E118" s="5" t="n">
        <f aca="false">+LN(PRECIOS!E118/PRECIOS!E117)</f>
        <v>0.0278645278795183</v>
      </c>
      <c r="F118" s="5" t="n">
        <f aca="false">+LN(PRECIOS!F118/PRECIOS!F117)</f>
        <v>0.041008023727377</v>
      </c>
      <c r="G118" s="5" t="n">
        <f aca="false">+LN(PRECIOS!G118/PRECIOS!G117)</f>
        <v>0.0333684280601944</v>
      </c>
      <c r="H118" s="5" t="n">
        <f aca="false">+LN(PRECIOS!H118/PRECIOS!H117)</f>
        <v>-0.0116506172199753</v>
      </c>
      <c r="I118" s="5" t="n">
        <f aca="false">+LN(PRECIOS!I118/PRECIOS!I117)</f>
        <v>0.0299365900483218</v>
      </c>
      <c r="J118" s="5" t="n">
        <f aca="false">+LN(PRECIOS!J118/PRECIOS!J117)</f>
        <v>0.0360207747443146</v>
      </c>
    </row>
    <row r="119" customFormat="false" ht="15" hidden="false" customHeight="false" outlineLevel="0" collapsed="false">
      <c r="A119" s="4" t="n">
        <f aca="false">PRECIOS!A119</f>
        <v>46107</v>
      </c>
      <c r="B119" s="5" t="n">
        <f aca="false">+LN(PRECIOS!B119/PRECIOS!B118)</f>
        <v>-0.00543845671228167</v>
      </c>
      <c r="C119" s="5" t="n">
        <f aca="false">+LN(PRECIOS!C119/PRECIOS!C118)</f>
        <v>-0.00237691113604814</v>
      </c>
      <c r="D119" s="5" t="n">
        <f aca="false">+LN(PRECIOS!D119/PRECIOS!D118)</f>
        <v>-0.00933962759613272</v>
      </c>
      <c r="E119" s="5" t="n">
        <f aca="false">+LN(PRECIOS!E119/PRECIOS!E118)</f>
        <v>-0.0162165715892453</v>
      </c>
      <c r="F119" s="5" t="n">
        <f aca="false">+LN(PRECIOS!F119/PRECIOS!F118)</f>
        <v>-0.0230818074592251</v>
      </c>
      <c r="G119" s="5" t="n">
        <f aca="false">+LN(PRECIOS!G119/PRECIOS!G118)</f>
        <v>-0.0245943680417487</v>
      </c>
      <c r="H119" s="5" t="n">
        <f aca="false">+LN(PRECIOS!H119/PRECIOS!H118)</f>
        <v>0.00778214044205495</v>
      </c>
      <c r="I119" s="5" t="n">
        <f aca="false">+LN(PRECIOS!I119/PRECIOS!I118)</f>
        <v>-0.00796541008071806</v>
      </c>
      <c r="J119" s="5" t="n">
        <f aca="false">+LN(PRECIOS!J119/PRECIOS!J118)</f>
        <v>-0.016655007192649</v>
      </c>
    </row>
    <row r="120" customFormat="false" ht="15" hidden="false" customHeight="false" outlineLevel="0" collapsed="false">
      <c r="A120" s="4" t="n">
        <f aca="false">PRECIOS!A120</f>
        <v>46108</v>
      </c>
      <c r="B120" s="5" t="n">
        <f aca="false">+LN(PRECIOS!B120/PRECIOS!B119)</f>
        <v>0.00518963240583971</v>
      </c>
      <c r="C120" s="5" t="n">
        <f aca="false">+LN(PRECIOS!C120/PRECIOS!C119)</f>
        <v>-0.0173171922881646</v>
      </c>
      <c r="D120" s="5" t="n">
        <f aca="false">+LN(PRECIOS!D120/PRECIOS!D119)</f>
        <v>0.0035682464265181</v>
      </c>
      <c r="E120" s="5" t="n">
        <f aca="false">+LN(PRECIOS!E120/PRECIOS!E119)</f>
        <v>-0.00392458485132569</v>
      </c>
      <c r="F120" s="5" t="n">
        <f aca="false">+LN(PRECIOS!F120/PRECIOS!F119)</f>
        <v>-0.0132858367116497</v>
      </c>
      <c r="G120" s="5" t="n">
        <f aca="false">+LN(PRECIOS!G120/PRECIOS!G119)</f>
        <v>-0.00661280881477326</v>
      </c>
      <c r="H120" s="5" t="n">
        <f aca="false">+LN(PRECIOS!H120/PRECIOS!H119)</f>
        <v>0.00676004505771936</v>
      </c>
      <c r="I120" s="5" t="n">
        <f aca="false">+LN(PRECIOS!I120/PRECIOS!I119)</f>
        <v>0.0114089396542642</v>
      </c>
      <c r="J120" s="5" t="n">
        <f aca="false">+LN(PRECIOS!J120/PRECIOS!J119)</f>
        <v>-0.00561628606874404</v>
      </c>
    </row>
    <row r="121" customFormat="false" ht="15" hidden="false" customHeight="false" outlineLevel="0" collapsed="false">
      <c r="A121" s="4" t="n">
        <f aca="false">PRECIOS!A121</f>
        <v>46111</v>
      </c>
      <c r="B121" s="5" t="n">
        <f aca="false">+LN(PRECIOS!B121/PRECIOS!B120)</f>
        <v>0.0199568080841929</v>
      </c>
      <c r="C121" s="5" t="n">
        <f aca="false">+LN(PRECIOS!C121/PRECIOS!C120)</f>
        <v>-0.00607166406854991</v>
      </c>
      <c r="D121" s="5" t="n">
        <f aca="false">+LN(PRECIOS!D121/PRECIOS!D120)</f>
        <v>-0.00580488345823077</v>
      </c>
      <c r="E121" s="5" t="n">
        <f aca="false">+LN(PRECIOS!E121/PRECIOS!E120)</f>
        <v>0.0251553738659286</v>
      </c>
      <c r="F121" s="5" t="n">
        <f aca="false">+LN(PRECIOS!F121/PRECIOS!F120)</f>
        <v>-0.000514535642944338</v>
      </c>
      <c r="G121" s="5" t="n">
        <f aca="false">+LN(PRECIOS!G121/PRECIOS!G120)</f>
        <v>0.00995502300744308</v>
      </c>
      <c r="H121" s="5" t="n">
        <f aca="false">+LN(PRECIOS!H121/PRECIOS!H120)</f>
        <v>0.000962001036190841</v>
      </c>
      <c r="I121" s="5" t="n">
        <f aca="false">+LN(PRECIOS!I121/PRECIOS!I120)</f>
        <v>-0.00482426848810602</v>
      </c>
      <c r="J121" s="5" t="n">
        <f aca="false">+LN(PRECIOS!J121/PRECIOS!J120)</f>
        <v>0.00600838745239902</v>
      </c>
    </row>
    <row r="122" customFormat="false" ht="15" hidden="false" customHeight="false" outlineLevel="0" collapsed="false">
      <c r="A122" s="4" t="n">
        <f aca="false">PRECIOS!A122</f>
        <v>46112</v>
      </c>
      <c r="B122" s="5" t="n">
        <f aca="false">+LN(PRECIOS!B122/PRECIOS!B121)</f>
        <v>0.00850159362820032</v>
      </c>
      <c r="C122" s="5" t="n">
        <f aca="false">+LN(PRECIOS!C122/PRECIOS!C121)</f>
        <v>0.00659038112003549</v>
      </c>
      <c r="D122" s="5" t="n">
        <f aca="false">+LN(PRECIOS!D122/PRECIOS!D121)</f>
        <v>0.0199518921669696</v>
      </c>
      <c r="E122" s="5" t="n">
        <f aca="false">+LN(PRECIOS!E122/PRECIOS!E121)</f>
        <v>0.00199866822029904</v>
      </c>
      <c r="F122" s="5" t="n">
        <f aca="false">+LN(PRECIOS!F122/PRECIOS!F121)</f>
        <v>0.0560426775528949</v>
      </c>
      <c r="G122" s="5" t="n">
        <f aca="false">+LN(PRECIOS!G122/PRECIOS!G121)</f>
        <v>0.0356933868062628</v>
      </c>
      <c r="H122" s="5" t="n">
        <f aca="false">+LN(PRECIOS!H122/PRECIOS!H121)</f>
        <v>0.000961076479550532</v>
      </c>
      <c r="I122" s="5" t="n">
        <f aca="false">+LN(PRECIOS!I122/PRECIOS!I121)</f>
        <v>0.0051679701584426</v>
      </c>
      <c r="J122" s="5" t="n">
        <f aca="false">+LN(PRECIOS!J122/PRECIOS!J121)</f>
        <v>0.0224489664171322</v>
      </c>
    </row>
    <row r="123" customFormat="false" ht="15" hidden="false" customHeight="false" outlineLevel="0" collapsed="false">
      <c r="A123" s="4" t="n">
        <f aca="false">PRECIOS!A123</f>
        <v>46113</v>
      </c>
      <c r="B123" s="5" t="n">
        <f aca="false">+LN(PRECIOS!B123/PRECIOS!B122)</f>
        <v>0.0133585187679554</v>
      </c>
      <c r="C123" s="5" t="n">
        <f aca="false">+LN(PRECIOS!C123/PRECIOS!C122)</f>
        <v>0.00293432505357235</v>
      </c>
      <c r="D123" s="5" t="n">
        <f aca="false">+LN(PRECIOS!D123/PRECIOS!D122)</f>
        <v>0.000877577941358942</v>
      </c>
      <c r="E123" s="5" t="n">
        <f aca="false">+LN(PRECIOS!E123/PRECIOS!E122)</f>
        <v>-0.0144128521415638</v>
      </c>
      <c r="F123" s="5" t="n">
        <f aca="false">+LN(PRECIOS!F123/PRECIOS!F122)</f>
        <v>0.0106486969457773</v>
      </c>
      <c r="G123" s="5" t="n">
        <f aca="false">+LN(PRECIOS!G123/PRECIOS!G122)</f>
        <v>0.0141860520859359</v>
      </c>
      <c r="H123" s="5" t="n">
        <f aca="false">+LN(PRECIOS!H123/PRECIOS!H122)</f>
        <v>0.00670179626601863</v>
      </c>
      <c r="I123" s="5" t="n">
        <f aca="false">+LN(PRECIOS!I123/PRECIOS!I122)</f>
        <v>0.0165293019512105</v>
      </c>
      <c r="J123" s="5" t="n">
        <f aca="false">+LN(PRECIOS!J123/PRECIOS!J122)</f>
        <v>0.015780507950357</v>
      </c>
    </row>
    <row r="124" customFormat="false" ht="15" hidden="false" customHeight="false" outlineLevel="0" collapsed="false">
      <c r="A124" s="4" t="n">
        <f aca="false">PRECIOS!A124</f>
        <v>46118</v>
      </c>
      <c r="B124" s="5" t="n">
        <f aca="false">+LN(PRECIOS!B124/PRECIOS!B123)</f>
        <v>-0.00416139122040979</v>
      </c>
      <c r="C124" s="5" t="n">
        <f aca="false">+LN(PRECIOS!C124/PRECIOS!C123)</f>
        <v>-0.00917675905805846</v>
      </c>
      <c r="D124" s="5" t="n">
        <f aca="false">+LN(PRECIOS!D124/PRECIOS!D123)</f>
        <v>-0.0132452267500207</v>
      </c>
      <c r="E124" s="5" t="n">
        <f aca="false">+LN(PRECIOS!E124/PRECIOS!E123)</f>
        <v>-0.0130831872120189</v>
      </c>
      <c r="F124" s="5" t="n">
        <f aca="false">+LN(PRECIOS!F124/PRECIOS!F123)</f>
        <v>-0.0258487934687562</v>
      </c>
      <c r="G124" s="5" t="n">
        <f aca="false">+LN(PRECIOS!G124/PRECIOS!G123)</f>
        <v>-0.0096185735704953</v>
      </c>
      <c r="H124" s="5" t="n">
        <f aca="false">+LN(PRECIOS!H124/PRECIOS!H123)</f>
        <v>-0.0115164420615592</v>
      </c>
      <c r="I124" s="5" t="n">
        <f aca="false">+LN(PRECIOS!I124/PRECIOS!I123)</f>
        <v>-0.0112169768884581</v>
      </c>
      <c r="J124" s="5" t="n">
        <f aca="false">+LN(PRECIOS!J124/PRECIOS!J123)</f>
        <v>-0.0103165809893135</v>
      </c>
    </row>
    <row r="125" customFormat="false" ht="15" hidden="false" customHeight="false" outlineLevel="0" collapsed="false">
      <c r="A125" s="4" t="n">
        <f aca="false">PRECIOS!A125</f>
        <v>46119</v>
      </c>
      <c r="B125" s="5" t="n">
        <f aca="false">+LN(PRECIOS!B125/PRECIOS!B124)</f>
        <v>-0.0168209292535875</v>
      </c>
      <c r="C125" s="5" t="n">
        <f aca="false">+LN(PRECIOS!C125/PRECIOS!C124)</f>
        <v>0.00208514410909225</v>
      </c>
      <c r="D125" s="5" t="n">
        <f aca="false">+LN(PRECIOS!D125/PRECIOS!D124)</f>
        <v>0.0128065340472185</v>
      </c>
      <c r="E125" s="5" t="n">
        <f aca="false">+LN(PRECIOS!E125/PRECIOS!E124)</f>
        <v>0.00222089439538781</v>
      </c>
      <c r="F125" s="5" t="n">
        <f aca="false">+LN(PRECIOS!F125/PRECIOS!F124)</f>
        <v>-0.0079365495957363</v>
      </c>
      <c r="G125" s="5" t="n">
        <f aca="false">+LN(PRECIOS!G125/PRECIOS!G124)</f>
        <v>-0.00875169050316065</v>
      </c>
      <c r="H125" s="5" t="n">
        <f aca="false">+LN(PRECIOS!H125/PRECIOS!H124)</f>
        <v>-0.00193236775105392</v>
      </c>
      <c r="I125" s="5" t="n">
        <f aca="false">+LN(PRECIOS!I125/PRECIOS!I124)</f>
        <v>-0.00978968745894045</v>
      </c>
      <c r="J125" s="5" t="n">
        <f aca="false">+LN(PRECIOS!J125/PRECIOS!J124)</f>
        <v>-0.00665249404944275</v>
      </c>
    </row>
    <row r="126" customFormat="false" ht="15" hidden="false" customHeight="false" outlineLevel="0" collapsed="false">
      <c r="A126" s="4" t="n">
        <f aca="false">PRECIOS!A126</f>
        <v>46120</v>
      </c>
      <c r="B126" s="5" t="n">
        <f aca="false">+LN(PRECIOS!B126/PRECIOS!B125)</f>
        <v>0.0249838502036873</v>
      </c>
      <c r="C126" s="5" t="n">
        <f aca="false">+LN(PRECIOS!C126/PRECIOS!C125)</f>
        <v>-0.00522103518064564</v>
      </c>
      <c r="D126" s="5" t="n">
        <f aca="false">+LN(PRECIOS!D126/PRECIOS!D125)</f>
        <v>0.00437829070688249</v>
      </c>
      <c r="E126" s="5" t="n">
        <f aca="false">+LN(PRECIOS!E126/PRECIOS!E125)</f>
        <v>0.01271742447271</v>
      </c>
      <c r="F126" s="5" t="n">
        <f aca="false">+LN(PRECIOS!F126/PRECIOS!F125)</f>
        <v>0.0250812262161697</v>
      </c>
      <c r="G126" s="5" t="n">
        <f aca="false">+LN(PRECIOS!G126/PRECIOS!G125)</f>
        <v>0.0143447138222288</v>
      </c>
      <c r="H126" s="5" t="n">
        <f aca="false">+LN(PRECIOS!H126/PRECIOS!H125)</f>
        <v>0</v>
      </c>
      <c r="I126" s="5" t="n">
        <f aca="false">+LN(PRECIOS!I126/PRECIOS!I125)</f>
        <v>0.0204995220831269</v>
      </c>
      <c r="J126" s="5" t="n">
        <f aca="false">+LN(PRECIOS!J126/PRECIOS!J125)</f>
        <v>0.0243980108540857</v>
      </c>
    </row>
    <row r="127" customFormat="false" ht="15" hidden="false" customHeight="false" outlineLevel="0" collapsed="false">
      <c r="A127" s="4" t="n">
        <f aca="false">PRECIOS!A127</f>
        <v>46121</v>
      </c>
      <c r="B127" s="5" t="n">
        <f aca="false">+LN(PRECIOS!B127/PRECIOS!B126)</f>
        <v>0.0112514778428819</v>
      </c>
      <c r="C127" s="5" t="n">
        <f aca="false">+LN(PRECIOS!C127/PRECIOS!C126)</f>
        <v>-0.0249107484025927</v>
      </c>
      <c r="D127" s="5" t="n">
        <f aca="false">+LN(PRECIOS!D127/PRECIOS!D126)</f>
        <v>0.0288502248189106</v>
      </c>
      <c r="E127" s="5" t="n">
        <f aca="false">+LN(PRECIOS!E127/PRECIOS!E126)</f>
        <v>-0.029061874340609</v>
      </c>
      <c r="F127" s="5" t="n">
        <f aca="false">+LN(PRECIOS!F127/PRECIOS!F126)</f>
        <v>0.00290979836734366</v>
      </c>
      <c r="G127" s="5" t="n">
        <f aca="false">+LN(PRECIOS!G127/PRECIOS!G126)</f>
        <v>-0.00219352996871404</v>
      </c>
      <c r="H127" s="5" t="n">
        <f aca="false">+LN(PRECIOS!H127/PRECIOS!H126)</f>
        <v>-0.0264591623498121</v>
      </c>
      <c r="I127" s="5" t="n">
        <f aca="false">+LN(PRECIOS!I127/PRECIOS!I126)</f>
        <v>-0.0101972331605914</v>
      </c>
      <c r="J127" s="5" t="n">
        <f aca="false">+LN(PRECIOS!J127/PRECIOS!J126)</f>
        <v>0.00131539315495189</v>
      </c>
    </row>
    <row r="128" customFormat="false" ht="15" hidden="false" customHeight="false" outlineLevel="0" collapsed="false">
      <c r="A128" s="4" t="n">
        <f aca="false">PRECIOS!A128</f>
        <v>46122</v>
      </c>
      <c r="B128" s="5" t="n">
        <f aca="false">+LN(PRECIOS!B128/PRECIOS!B127)</f>
        <v>0.00613944517770756</v>
      </c>
      <c r="C128" s="5" t="n">
        <f aca="false">+LN(PRECIOS!C128/PRECIOS!C127)</f>
        <v>-0.00790233997342148</v>
      </c>
      <c r="D128" s="5" t="n">
        <f aca="false">+LN(PRECIOS!D128/PRECIOS!D127)</f>
        <v>0.000848536325838864</v>
      </c>
      <c r="E128" s="5" t="n">
        <f aca="false">+LN(PRECIOS!E128/PRECIOS!E127)</f>
        <v>0.0044998345226304</v>
      </c>
      <c r="F128" s="5" t="n">
        <f aca="false">+LN(PRECIOS!F128/PRECIOS!F127)</f>
        <v>-0.00096899232388134</v>
      </c>
      <c r="G128" s="5" t="n">
        <f aca="false">+LN(PRECIOS!G128/PRECIOS!G127)</f>
        <v>-0.00711212053271672</v>
      </c>
      <c r="H128" s="5" t="n">
        <f aca="false">+LN(PRECIOS!H128/PRECIOS!H127)</f>
        <v>0.0293563155109649</v>
      </c>
      <c r="I128" s="5" t="n">
        <f aca="false">+LN(PRECIOS!I128/PRECIOS!I127)</f>
        <v>-0.0132406714705655</v>
      </c>
      <c r="J128" s="5" t="n">
        <f aca="false">+LN(PRECIOS!J128/PRECIOS!J127)</f>
        <v>-0.00414429857223543</v>
      </c>
    </row>
    <row r="129" customFormat="false" ht="15" hidden="false" customHeight="false" outlineLevel="0" collapsed="false">
      <c r="A129" s="4" t="n">
        <f aca="false">PRECIOS!A129</f>
        <v>46125</v>
      </c>
      <c r="B129" s="5" t="n">
        <f aca="false">+LN(PRECIOS!B129/PRECIOS!B128)</f>
        <v>-0.00764490274468809</v>
      </c>
      <c r="C129" s="5" t="n">
        <f aca="false">+LN(PRECIOS!C129/PRECIOS!C128)</f>
        <v>-0.0123368763526999</v>
      </c>
      <c r="D129" s="5" t="n">
        <f aca="false">+LN(PRECIOS!D129/PRECIOS!D128)</f>
        <v>-0.0218658229235625</v>
      </c>
      <c r="E129" s="5" t="n">
        <f aca="false">+LN(PRECIOS!E129/PRECIOS!E128)</f>
        <v>-0.00989162078247459</v>
      </c>
      <c r="F129" s="5" t="n">
        <f aca="false">+LN(PRECIOS!F129/PRECIOS!F128)</f>
        <v>-0.00291262341829461</v>
      </c>
      <c r="G129" s="5" t="n">
        <f aca="false">+LN(PRECIOS!G129/PRECIOS!G128)</f>
        <v>-0.0131038276830857</v>
      </c>
      <c r="H129" s="5" t="n">
        <f aca="false">+LN(PRECIOS!H129/PRECIOS!H128)</f>
        <v>-0.0224290240783988</v>
      </c>
      <c r="I129" s="5" t="n">
        <f aca="false">+LN(PRECIOS!I129/PRECIOS!I128)</f>
        <v>0.0101611138614107</v>
      </c>
      <c r="J129" s="5" t="n">
        <f aca="false">+LN(PRECIOS!J129/PRECIOS!J128)</f>
        <v>-0.00613473546530702</v>
      </c>
    </row>
    <row r="130" customFormat="false" ht="15" hidden="false" customHeight="false" outlineLevel="0" collapsed="false">
      <c r="A130" s="4" t="n">
        <f aca="false">PRECIOS!A130</f>
        <v>46126</v>
      </c>
      <c r="B130" s="5" t="n">
        <f aca="false">+LN(PRECIOS!B130/PRECIOS!B129)</f>
        <v>-0.0217989689432831</v>
      </c>
      <c r="C130" s="5" t="n">
        <f aca="false">+LN(PRECIOS!C130/PRECIOS!C129)</f>
        <v>-0.0093535757596186</v>
      </c>
      <c r="D130" s="5" t="n">
        <f aca="false">+LN(PRECIOS!D130/PRECIOS!D129)</f>
        <v>-0.0161681476983054</v>
      </c>
      <c r="E130" s="5" t="n">
        <f aca="false">+LN(PRECIOS!E130/PRECIOS!E129)</f>
        <v>0.000871611665047468</v>
      </c>
      <c r="F130" s="5" t="n">
        <f aca="false">+LN(PRECIOS!F130/PRECIOS!F129)</f>
        <v>-0.00829880281469518</v>
      </c>
      <c r="G130" s="5" t="n">
        <f aca="false">+LN(PRECIOS!G130/PRECIOS!G129)</f>
        <v>-0.00290705292067013</v>
      </c>
      <c r="H130" s="5" t="n">
        <f aca="false">+LN(PRECIOS!H130/PRECIOS!H129)</f>
        <v>-0.00395257431582347</v>
      </c>
      <c r="I130" s="5" t="n">
        <f aca="false">+LN(PRECIOS!I130/PRECIOS!I129)</f>
        <v>-0.0197272360326207</v>
      </c>
      <c r="J130" s="5" t="n">
        <f aca="false">+LN(PRECIOS!J130/PRECIOS!J129)</f>
        <v>-0.00943685492763167</v>
      </c>
    </row>
    <row r="131" customFormat="false" ht="15" hidden="false" customHeight="false" outlineLevel="0" collapsed="false">
      <c r="A131" s="4" t="n">
        <f aca="false">PRECIOS!A131</f>
        <v>46127</v>
      </c>
      <c r="B131" s="5" t="n">
        <f aca="false">+LN(PRECIOS!B131/PRECIOS!B130)</f>
        <v>-0.0101076909383614</v>
      </c>
      <c r="C131" s="5" t="n">
        <f aca="false">+LN(PRECIOS!C131/PRECIOS!C130)</f>
        <v>-0.011490118998606</v>
      </c>
      <c r="D131" s="5" t="n">
        <f aca="false">+LN(PRECIOS!D131/PRECIOS!D130)</f>
        <v>0.00307895558829126</v>
      </c>
      <c r="E131" s="5" t="n">
        <f aca="false">+LN(PRECIOS!E131/PRECIOS!E130)</f>
        <v>0.00971049766548945</v>
      </c>
      <c r="F131" s="5" t="n">
        <f aca="false">+LN(PRECIOS!F131/PRECIOS!F130)</f>
        <v>0.00829880281469528</v>
      </c>
      <c r="G131" s="5" t="n">
        <f aca="false">+LN(PRECIOS!G131/PRECIOS!G130)</f>
        <v>0.0118302514508554</v>
      </c>
      <c r="H131" s="5" t="n">
        <f aca="false">+LN(PRECIOS!H131/PRECIOS!H130)</f>
        <v>0.0642290673210835</v>
      </c>
      <c r="I131" s="5" t="n">
        <f aca="false">+LN(PRECIOS!I131/PRECIOS!I130)</f>
        <v>0.00505535810369869</v>
      </c>
      <c r="J131" s="5" t="n">
        <f aca="false">+LN(PRECIOS!J131/PRECIOS!J130)</f>
        <v>0.0100054112236988</v>
      </c>
    </row>
    <row r="132" customFormat="false" ht="15" hidden="false" customHeight="false" outlineLevel="0" collapsed="false">
      <c r="A132" s="4" t="n">
        <f aca="false">PRECIOS!A132</f>
        <v>46128</v>
      </c>
      <c r="B132" s="5" t="n">
        <f aca="false">+LN(PRECIOS!B132/PRECIOS!B131)</f>
        <v>-0.00677935632286163</v>
      </c>
      <c r="C132" s="5" t="n">
        <f aca="false">+LN(PRECIOS!C132/PRECIOS!C131)</f>
        <v>-0.0144562735332765</v>
      </c>
      <c r="D132" s="5" t="n">
        <f aca="false">+LN(PRECIOS!D132/PRECIOS!D131)</f>
        <v>-0.00926545344579012</v>
      </c>
      <c r="E132" s="5" t="n">
        <f aca="false">+LN(PRECIOS!E132/PRECIOS!E131)</f>
        <v>-0.00918789509284288</v>
      </c>
      <c r="F132" s="5" t="n">
        <f aca="false">+LN(PRECIOS!F132/PRECIOS!F131)</f>
        <v>-0.0181510992577068</v>
      </c>
      <c r="G132" s="5" t="n">
        <f aca="false">+LN(PRECIOS!G132/PRECIOS!G131)</f>
        <v>-0.00566917898204844</v>
      </c>
      <c r="H132" s="5" t="n">
        <f aca="false">+LN(PRECIOS!H132/PRECIOS!H131)</f>
        <v>0.011080445776572</v>
      </c>
      <c r="I132" s="5" t="n">
        <f aca="false">+LN(PRECIOS!I132/PRECIOS!I131)</f>
        <v>-0.0143610173894505</v>
      </c>
      <c r="J132" s="5" t="n">
        <f aca="false">+LN(PRECIOS!J132/PRECIOS!J131)</f>
        <v>-0.0077804912120187</v>
      </c>
    </row>
    <row r="133" customFormat="false" ht="15" hidden="false" customHeight="false" outlineLevel="0" collapsed="false">
      <c r="A133" s="4" t="n">
        <f aca="false">PRECIOS!A133</f>
        <v>46129</v>
      </c>
      <c r="B133" s="5" t="n">
        <f aca="false">+LN(PRECIOS!B133/PRECIOS!B132)</f>
        <v>-0.0022536876914367</v>
      </c>
      <c r="C133" s="5" t="n">
        <f aca="false">+LN(PRECIOS!C133/PRECIOS!C132)</f>
        <v>-0.0110288244725537</v>
      </c>
      <c r="D133" s="5" t="n">
        <f aca="false">+LN(PRECIOS!D133/PRECIOS!D132)</f>
        <v>0.00794706169253172</v>
      </c>
      <c r="E133" s="5" t="n">
        <f aca="false">+LN(PRECIOS!E133/PRECIOS!E132)</f>
        <v>0.000348250047050689</v>
      </c>
      <c r="F133" s="5" t="n">
        <f aca="false">+LN(PRECIOS!F133/PRECIOS!F132)</f>
        <v>0.0287894974627625</v>
      </c>
      <c r="G133" s="5" t="n">
        <f aca="false">+LN(PRECIOS!G133/PRECIOS!G132)</f>
        <v>-0.00964022665618109</v>
      </c>
      <c r="H133" s="5" t="n">
        <f aca="false">+LN(PRECIOS!H133/PRECIOS!H132)</f>
        <v>0.0404913613547368</v>
      </c>
      <c r="I133" s="5" t="n">
        <f aca="false">+LN(PRECIOS!I133/PRECIOS!I132)</f>
        <v>-0.00814740603210206</v>
      </c>
      <c r="J133" s="5" t="n">
        <f aca="false">+LN(PRECIOS!J133/PRECIOS!J132)</f>
        <v>0.0105229152556701</v>
      </c>
    </row>
    <row r="134" customFormat="false" ht="15" hidden="false" customHeight="false" outlineLevel="0" collapsed="false">
      <c r="A134" s="4" t="n">
        <f aca="false">PRECIOS!A134</f>
        <v>46132</v>
      </c>
      <c r="B134" s="5" t="n">
        <f aca="false">+LN(PRECIOS!B134/PRECIOS!B133)</f>
        <v>0.0202949141709082</v>
      </c>
      <c r="C134" s="5" t="n">
        <f aca="false">+LN(PRECIOS!C134/PRECIOS!C133)</f>
        <v>0.0219373396398957</v>
      </c>
      <c r="D134" s="5" t="n">
        <f aca="false">+LN(PRECIOS!D134/PRECIOS!D133)</f>
        <v>0.00131839175325823</v>
      </c>
      <c r="E134" s="5" t="n">
        <f aca="false">+LN(PRECIOS!E134/PRECIOS!E133)</f>
        <v>0.00451624877408518</v>
      </c>
      <c r="F134" s="5" t="n">
        <f aca="false">+LN(PRECIOS!F134/PRECIOS!F133)</f>
        <v>-0.00144404357223358</v>
      </c>
      <c r="G134" s="5" t="n">
        <f aca="false">+LN(PRECIOS!G134/PRECIOS!G133)</f>
        <v>0.0258033136018007</v>
      </c>
      <c r="H134" s="5" t="n">
        <f aca="false">+LN(PRECIOS!H134/PRECIOS!H133)</f>
        <v>0.00702990592825815</v>
      </c>
      <c r="I134" s="5" t="n">
        <f aca="false">+LN(PRECIOS!I134/PRECIOS!I133)</f>
        <v>-0.0105480552488681</v>
      </c>
      <c r="J134" s="5" t="n">
        <f aca="false">+LN(PRECIOS!J134/PRECIOS!J133)</f>
        <v>0.00368509612996523</v>
      </c>
    </row>
    <row r="135" customFormat="false" ht="15" hidden="false" customHeight="false" outlineLevel="0" collapsed="false">
      <c r="A135" s="4" t="n">
        <f aca="false">PRECIOS!A135</f>
        <v>46133</v>
      </c>
      <c r="B135" s="5" t="n">
        <f aca="false">+LN(PRECIOS!B135/PRECIOS!B134)</f>
        <v>-0.0281241882281489</v>
      </c>
      <c r="C135" s="5" t="n">
        <f aca="false">+LN(PRECIOS!C135/PRECIOS!C134)</f>
        <v>-0.0424132336822395</v>
      </c>
      <c r="D135" s="5" t="n">
        <f aca="false">+LN(PRECIOS!D135/PRECIOS!D134)</f>
        <v>-0.0208572016095751</v>
      </c>
      <c r="E135" s="5" t="n">
        <f aca="false">+LN(PRECIOS!E135/PRECIOS!E134)</f>
        <v>-0.0227880150100407</v>
      </c>
      <c r="F135" s="5" t="n">
        <f aca="false">+LN(PRECIOS!F135/PRECIOS!F134)</f>
        <v>-0.00725166339532035</v>
      </c>
      <c r="G135" s="5" t="n">
        <f aca="false">+LN(PRECIOS!G135/PRECIOS!G134)</f>
        <v>-0.0202832382508706</v>
      </c>
      <c r="H135" s="5" t="n">
        <f aca="false">+LN(PRECIOS!H135/PRECIOS!H134)</f>
        <v>-0.0221345911467548</v>
      </c>
      <c r="I135" s="5" t="n">
        <f aca="false">+LN(PRECIOS!I135/PRECIOS!I134)</f>
        <v>-0.00558711014522383</v>
      </c>
      <c r="J135" s="5" t="n">
        <f aca="false">+LN(PRECIOS!J135/PRECIOS!J134)</f>
        <v>-0.0183536491562087</v>
      </c>
    </row>
    <row r="136" customFormat="false" ht="15" hidden="false" customHeight="false" outlineLevel="0" collapsed="false">
      <c r="A136" s="4" t="n">
        <f aca="false">PRECIOS!A136</f>
        <v>46134</v>
      </c>
      <c r="B136" s="5" t="n">
        <f aca="false">+LN(PRECIOS!B136/PRECIOS!B135)</f>
        <v>0.0134052239406553</v>
      </c>
      <c r="C136" s="5" t="n">
        <f aca="false">+LN(PRECIOS!C136/PRECIOS!C135)</f>
        <v>0.0122201113347752</v>
      </c>
      <c r="D136" s="5" t="n">
        <f aca="false">+LN(PRECIOS!D136/PRECIOS!D135)</f>
        <v>0.00358102441770602</v>
      </c>
      <c r="E136" s="5" t="n">
        <f aca="false">+LN(PRECIOS!E136/PRECIOS!E135)</f>
        <v>-0.0300571533481864</v>
      </c>
      <c r="F136" s="5" t="n">
        <f aca="false">+LN(PRECIOS!F136/PRECIOS!F135)</f>
        <v>-0.00828262956686391</v>
      </c>
      <c r="G136" s="5" t="n">
        <f aca="false">+LN(PRECIOS!G136/PRECIOS!G135)</f>
        <v>-0.00731554611823735</v>
      </c>
      <c r="H136" s="5" t="n">
        <f aca="false">+LN(PRECIOS!H136/PRECIOS!H135)</f>
        <v>-0.037396058347471</v>
      </c>
      <c r="I136" s="5" t="n">
        <f aca="false">+LN(PRECIOS!I136/PRECIOS!I135)</f>
        <v>-0.00834850583913441</v>
      </c>
      <c r="J136" s="5" t="n">
        <f aca="false">+LN(PRECIOS!J136/PRECIOS!J135)</f>
        <v>0.000403207971631619</v>
      </c>
    </row>
    <row r="137" customFormat="false" ht="15" hidden="false" customHeight="false" outlineLevel="0" collapsed="false">
      <c r="A137" s="4" t="n">
        <f aca="false">PRECIOS!A137</f>
        <v>46135</v>
      </c>
      <c r="B137" s="5" t="n">
        <f aca="false">+LN(PRECIOS!B137/PRECIOS!B136)</f>
        <v>0.0383724061504212</v>
      </c>
      <c r="C137" s="5" t="n">
        <f aca="false">+LN(PRECIOS!C137/PRECIOS!C136)</f>
        <v>-0.0100756519887415</v>
      </c>
      <c r="D137" s="5" t="n">
        <f aca="false">+LN(PRECIOS!D137/PRECIOS!D136)</f>
        <v>0.0181541403738138</v>
      </c>
      <c r="E137" s="5" t="n">
        <f aca="false">+LN(PRECIOS!E137/PRECIOS!E136)</f>
        <v>-0.0108387209696716</v>
      </c>
      <c r="F137" s="5" t="n">
        <f aca="false">+LN(PRECIOS!F137/PRECIOS!F136)</f>
        <v>0.0644162044595395</v>
      </c>
      <c r="G137" s="5" t="n">
        <f aca="false">+LN(PRECIOS!G137/PRECIOS!G136)</f>
        <v>-0.00716257925199956</v>
      </c>
      <c r="H137" s="5" t="n">
        <f aca="false">+LN(PRECIOS!H137/PRECIOS!H136)</f>
        <v>-0.0102756625782042</v>
      </c>
      <c r="I137" s="5" t="n">
        <f aca="false">+LN(PRECIOS!I137/PRECIOS!I136)</f>
        <v>-0.0124703614928612</v>
      </c>
      <c r="J137" s="5" t="n">
        <f aca="false">+LN(PRECIOS!J137/PRECIOS!J136)</f>
        <v>-0.00299356990596152</v>
      </c>
    </row>
    <row r="138" customFormat="false" ht="15" hidden="false" customHeight="false" outlineLevel="0" collapsed="false">
      <c r="A138" s="4" t="n">
        <f aca="false">PRECIOS!A138</f>
        <v>46136</v>
      </c>
      <c r="B138" s="5" t="n">
        <f aca="false">+LN(PRECIOS!B138/PRECIOS!B137)</f>
        <v>0.0252145356597727</v>
      </c>
      <c r="C138" s="5" t="n">
        <f aca="false">+LN(PRECIOS!C138/PRECIOS!C137)</f>
        <v>0.0259505191727495</v>
      </c>
      <c r="D138" s="5" t="n">
        <f aca="false">+LN(PRECIOS!D138/PRECIOS!D137)</f>
        <v>0.0173993080098476</v>
      </c>
      <c r="E138" s="5" t="n">
        <f aca="false">+LN(PRECIOS!E138/PRECIOS!E137)</f>
        <v>0.0121169097678147</v>
      </c>
      <c r="F138" s="5" t="n">
        <f aca="false">+LN(PRECIOS!F138/PRECIOS!F137)</f>
        <v>-0.0147877001543794</v>
      </c>
      <c r="G138" s="5" t="n">
        <f aca="false">+LN(PRECIOS!G138/PRECIOS!G137)</f>
        <v>0.00644348733134238</v>
      </c>
      <c r="H138" s="5" t="n">
        <f aca="false">+LN(PRECIOS!H138/PRECIOS!H137)</f>
        <v>0.00468384931242622</v>
      </c>
      <c r="I138" s="5" t="n">
        <f aca="false">+LN(PRECIOS!I138/PRECIOS!I137)</f>
        <v>0.000737871274946498</v>
      </c>
      <c r="J138" s="5" t="n">
        <f aca="false">+LN(PRECIOS!J138/PRECIOS!J137)</f>
        <v>0.00869572462893684</v>
      </c>
    </row>
    <row r="139" customFormat="false" ht="15" hidden="false" customHeight="false" outlineLevel="0" collapsed="false">
      <c r="A139" s="4" t="n">
        <f aca="false">PRECIOS!A139</f>
        <v>46139</v>
      </c>
      <c r="B139" s="5" t="n">
        <f aca="false">+LN(PRECIOS!B139/PRECIOS!B138)</f>
        <v>-0.0109532136526092</v>
      </c>
      <c r="C139" s="5" t="n">
        <f aca="false">+LN(PRECIOS!C139/PRECIOS!C138)</f>
        <v>-0.0141412637449178</v>
      </c>
      <c r="D139" s="5" t="n">
        <f aca="false">+LN(PRECIOS!D139/PRECIOS!D138)</f>
        <v>-0.0324305370791771</v>
      </c>
      <c r="E139" s="5" t="n">
        <f aca="false">+LN(PRECIOS!E139/PRECIOS!E138)</f>
        <v>-0.0212087248772623</v>
      </c>
      <c r="F139" s="5" t="n">
        <f aca="false">+LN(PRECIOS!F139/PRECIOS!F138)</f>
        <v>-0.0070077371574048</v>
      </c>
      <c r="G139" s="5" t="n">
        <f aca="false">+LN(PRECIOS!G139/PRECIOS!G138)</f>
        <v>-0.0139703208624039</v>
      </c>
      <c r="H139" s="5" t="n">
        <f aca="false">+LN(PRECIOS!H139/PRECIOS!H138)</f>
        <v>-0.041990901725237</v>
      </c>
      <c r="I139" s="5" t="n">
        <f aca="false">+LN(PRECIOS!I139/PRECIOS!I138)</f>
        <v>-0.0114986430135229</v>
      </c>
      <c r="J139" s="5" t="n">
        <f aca="false">+LN(PRECIOS!J139/PRECIOS!J138)</f>
        <v>-0.0180470377131191</v>
      </c>
    </row>
    <row r="140" customFormat="false" ht="15" hidden="false" customHeight="false" outlineLevel="0" collapsed="false">
      <c r="A140" s="4" t="n">
        <f aca="false">PRECIOS!A140</f>
        <v>46140</v>
      </c>
      <c r="B140" s="5" t="n">
        <f aca="false">+LN(PRECIOS!B140/PRECIOS!B139)</f>
        <v>-0.0185419692285812</v>
      </c>
      <c r="C140" s="5" t="n">
        <f aca="false">+LN(PRECIOS!C140/PRECIOS!C139)</f>
        <v>-0.00986372952234012</v>
      </c>
      <c r="D140" s="5" t="n">
        <f aca="false">+LN(PRECIOS!D140/PRECIOS!D139)</f>
        <v>0.0132745312086961</v>
      </c>
      <c r="E140" s="5" t="n">
        <f aca="false">+LN(PRECIOS!E140/PRECIOS!E139)</f>
        <v>-0.00186567218294973</v>
      </c>
      <c r="F140" s="5" t="n">
        <f aca="false">+LN(PRECIOS!F140/PRECIOS!F139)</f>
        <v>-0.0117898088100977</v>
      </c>
      <c r="G140" s="5" t="n">
        <f aca="false">+LN(PRECIOS!G140/PRECIOS!G139)</f>
        <v>0.00239396419303044</v>
      </c>
      <c r="H140" s="5" t="n">
        <f aca="false">+LN(PRECIOS!H140/PRECIOS!H139)</f>
        <v>-0.0326923616855423</v>
      </c>
      <c r="I140" s="5" t="n">
        <f aca="false">+LN(PRECIOS!I140/PRECIOS!I139)</f>
        <v>-0.00636229691053851</v>
      </c>
      <c r="J140" s="5" t="n">
        <f aca="false">+LN(PRECIOS!J140/PRECIOS!J139)</f>
        <v>-0.0106915284229889</v>
      </c>
    </row>
    <row r="141" customFormat="false" ht="15" hidden="false" customHeight="false" outlineLevel="0" collapsed="false">
      <c r="A141" s="4" t="n">
        <f aca="false">PRECIOS!A141</f>
        <v>46141</v>
      </c>
      <c r="B141" s="5" t="n">
        <f aca="false">+LN(PRECIOS!B141/PRECIOS!B140)</f>
        <v>-0.0218270197852113</v>
      </c>
      <c r="C141" s="5" t="n">
        <f aca="false">+LN(PRECIOS!C141/PRECIOS!C140)</f>
        <v>-0.0135018194338718</v>
      </c>
      <c r="D141" s="5" t="n">
        <f aca="false">+LN(PRECIOS!D141/PRECIOS!D140)</f>
        <v>0.0122325684356345</v>
      </c>
      <c r="E141" s="5" t="n">
        <f aca="false">+LN(PRECIOS!E141/PRECIOS!E140)</f>
        <v>0.0181352120442126</v>
      </c>
      <c r="F141" s="5" t="n">
        <f aca="false">+LN(PRECIOS!F141/PRECIOS!F140)</f>
        <v>0.0103823490422179</v>
      </c>
      <c r="G141" s="5" t="n">
        <f aca="false">+LN(PRECIOS!G141/PRECIOS!G140)</f>
        <v>-0.012238006405749</v>
      </c>
      <c r="H141" s="5" t="n">
        <f aca="false">+LN(PRECIOS!H141/PRECIOS!H140)</f>
        <v>0.00602411460338088</v>
      </c>
      <c r="I141" s="5" t="n">
        <f aca="false">+LN(PRECIOS!I141/PRECIOS!I140)</f>
        <v>0.041550094324608</v>
      </c>
      <c r="J141" s="5" t="n">
        <f aca="false">+LN(PRECIOS!J141/PRECIOS!J140)</f>
        <v>-0.00256358968334707</v>
      </c>
    </row>
    <row r="142" customFormat="false" ht="15" hidden="false" customHeight="false" outlineLevel="0" collapsed="false">
      <c r="A142" s="4" t="n">
        <f aca="false">PRECIOS!A142</f>
        <v>46142</v>
      </c>
      <c r="B142" s="5" t="n">
        <f aca="false">+LN(PRECIOS!B142/PRECIOS!B141)</f>
        <v>0.0111160169102822</v>
      </c>
      <c r="C142" s="5" t="n">
        <f aca="false">+LN(PRECIOS!C142/PRECIOS!C141)</f>
        <v>0.0129185589915565</v>
      </c>
      <c r="D142" s="5" t="n">
        <f aca="false">+LN(PRECIOS!D142/PRECIOS!D141)</f>
        <v>0.0077855064537518</v>
      </c>
      <c r="E142" s="5" t="n">
        <f aca="false">+LN(PRECIOS!E142/PRECIOS!E141)</f>
        <v>0.086889112653984</v>
      </c>
      <c r="F142" s="5" t="n">
        <f aca="false">+LN(PRECIOS!F142/PRECIOS!F141)</f>
        <v>0.00701757265864654</v>
      </c>
      <c r="G142" s="5" t="n">
        <f aca="false">+LN(PRECIOS!G142/PRECIOS!G141)</f>
        <v>-0.00189613456157045</v>
      </c>
      <c r="H142" s="5" t="n">
        <f aca="false">+LN(PRECIOS!H142/PRECIOS!H141)</f>
        <v>-0.00300752106395522</v>
      </c>
      <c r="I142" s="5" t="n">
        <f aca="false">+LN(PRECIOS!I142/PRECIOS!I141)</f>
        <v>-0.00831831197912571</v>
      </c>
      <c r="J142" s="5" t="n">
        <f aca="false">+LN(PRECIOS!J142/PRECIOS!J141)</f>
        <v>0.0112783849601243</v>
      </c>
    </row>
    <row r="143" customFormat="false" ht="15" hidden="false" customHeight="false" outlineLevel="0" collapsed="false">
      <c r="A143" s="4" t="n">
        <f aca="false">PRECIOS!A143</f>
        <v>46146</v>
      </c>
      <c r="B143" s="5" t="n">
        <f aca="false">+LN(PRECIOS!B143/PRECIOS!B142)</f>
        <v>-0.00391483360675583</v>
      </c>
      <c r="C143" s="5" t="n">
        <f aca="false">+LN(PRECIOS!C143/PRECIOS!C142)</f>
        <v>-0.00957506094123023</v>
      </c>
      <c r="D143" s="5" t="n">
        <f aca="false">+LN(PRECIOS!D143/PRECIOS!D142)</f>
        <v>0.00215192680417267</v>
      </c>
      <c r="E143" s="5" t="n">
        <f aca="false">+LN(PRECIOS!E143/PRECIOS!E142)</f>
        <v>-0.0161006782888247</v>
      </c>
      <c r="F143" s="5" t="n">
        <f aca="false">+LN(PRECIOS!F143/PRECIOS!F142)</f>
        <v>-0.032215007486005</v>
      </c>
      <c r="G143" s="5" t="n">
        <f aca="false">+LN(PRECIOS!G143/PRECIOS!G142)</f>
        <v>-0.000791118418941229</v>
      </c>
      <c r="H143" s="5" t="n">
        <f aca="false">+LN(PRECIOS!H143/PRECIOS!H142)</f>
        <v>-0.00503272325461031</v>
      </c>
      <c r="I143" s="5" t="n">
        <f aca="false">+LN(PRECIOS!I143/PRECIOS!I142)</f>
        <v>-0.0198062590441945</v>
      </c>
      <c r="J143" s="5" t="n">
        <f aca="false">+LN(PRECIOS!J143/PRECIOS!J142)</f>
        <v>-0.00850209081455476</v>
      </c>
    </row>
    <row r="144" customFormat="false" ht="15" hidden="false" customHeight="false" outlineLevel="0" collapsed="false">
      <c r="A144" s="4" t="n">
        <f aca="false">PRECIOS!A144</f>
        <v>46147</v>
      </c>
      <c r="B144" s="5" t="n">
        <f aca="false">+LN(PRECIOS!B144/PRECIOS!B143)</f>
        <v>0.0247101132101856</v>
      </c>
      <c r="C144" s="5" t="n">
        <f aca="false">+LN(PRECIOS!C144/PRECIOS!C143)</f>
        <v>0.0259704518283173</v>
      </c>
      <c r="D144" s="5" t="n">
        <f aca="false">+LN(PRECIOS!D144/PRECIOS!D143)</f>
        <v>0.0178956629252864</v>
      </c>
      <c r="E144" s="5" t="n">
        <f aca="false">+LN(PRECIOS!E144/PRECIOS!E143)</f>
        <v>0.00272991126711344</v>
      </c>
      <c r="F144" s="5" t="n">
        <f aca="false">+LN(PRECIOS!F144/PRECIOS!F143)</f>
        <v>0.0746580649957582</v>
      </c>
      <c r="G144" s="5" t="n">
        <f aca="false">+LN(PRECIOS!G144/PRECIOS!G143)</f>
        <v>-0.00211271403784584</v>
      </c>
      <c r="H144" s="5" t="n">
        <f aca="false">+LN(PRECIOS!H144/PRECIOS!H143)</f>
        <v>0.00804024431856554</v>
      </c>
      <c r="I144" s="5" t="n">
        <f aca="false">+LN(PRECIOS!I144/PRECIOS!I143)</f>
        <v>0.0266828695661805</v>
      </c>
      <c r="J144" s="5" t="n">
        <f aca="false">+LN(PRECIOS!J144/PRECIOS!J143)</f>
        <v>0.0192385397639083</v>
      </c>
    </row>
    <row r="145" customFormat="false" ht="15" hidden="false" customHeight="false" outlineLevel="0" collapsed="false">
      <c r="A145" s="4" t="n">
        <f aca="false">PRECIOS!A145</f>
        <v>46148</v>
      </c>
      <c r="B145" s="5" t="n">
        <f aca="false">+LN(PRECIOS!B145/PRECIOS!B144)</f>
        <v>0.0177617990451013</v>
      </c>
      <c r="C145" s="5" t="n">
        <f aca="false">+LN(PRECIOS!C145/PRECIOS!C144)</f>
        <v>0.00553278145152465</v>
      </c>
      <c r="D145" s="5" t="n">
        <f aca="false">+LN(PRECIOS!D145/PRECIOS!D144)</f>
        <v>-0.0114675285129855</v>
      </c>
      <c r="E145" s="5" t="n">
        <f aca="false">+LN(PRECIOS!E145/PRECIOS!E144)</f>
        <v>0.0163924245163592</v>
      </c>
      <c r="F145" s="5" t="n">
        <f aca="false">+LN(PRECIOS!F145/PRECIOS!F144)</f>
        <v>0.0441408777123086</v>
      </c>
      <c r="G145" s="5" t="n">
        <f aca="false">+LN(PRECIOS!G145/PRECIOS!G144)</f>
        <v>0.0219639640440477</v>
      </c>
      <c r="H145" s="5" t="n">
        <f aca="false">+LN(PRECIOS!H145/PRECIOS!H144)</f>
        <v>-0.00703167136368079</v>
      </c>
      <c r="I145" s="5" t="n">
        <f aca="false">+LN(PRECIOS!I145/PRECIOS!I144)</f>
        <v>0.00879797397743758</v>
      </c>
      <c r="J145" s="5" t="n">
        <f aca="false">+LN(PRECIOS!J145/PRECIOS!J144)</f>
        <v>0.0182698959055579</v>
      </c>
    </row>
    <row r="146" customFormat="false" ht="15" hidden="false" customHeight="false" outlineLevel="0" collapsed="false">
      <c r="A146" s="4" t="n">
        <f aca="false">PRECIOS!A146</f>
        <v>46149</v>
      </c>
      <c r="B146" s="5" t="n">
        <f aca="false">+LN(PRECIOS!B146/PRECIOS!B145)</f>
        <v>0.00206095930423513</v>
      </c>
      <c r="C146" s="5" t="n">
        <f aca="false">+LN(PRECIOS!C146/PRECIOS!C145)</f>
        <v>0.0151060274310131</v>
      </c>
      <c r="D146" s="5" t="n">
        <f aca="false">+LN(PRECIOS!D146/PRECIOS!D145)</f>
        <v>-0.0103049430585345</v>
      </c>
      <c r="E146" s="5" t="n">
        <f aca="false">+LN(PRECIOS!E146/PRECIOS!E145)</f>
        <v>0.0105044734147117</v>
      </c>
      <c r="F146" s="5" t="n">
        <f aca="false">+LN(PRECIOS!F146/PRECIOS!F145)</f>
        <v>-0.0237951958082783</v>
      </c>
      <c r="G146" s="5" t="n">
        <f aca="false">+LN(PRECIOS!G146/PRECIOS!G145)</f>
        <v>0.00783145844030741</v>
      </c>
      <c r="H146" s="5" t="n">
        <f aca="false">+LN(PRECIOS!H146/PRECIOS!H145)</f>
        <v>-0.00302877566216059</v>
      </c>
      <c r="I146" s="5" t="n">
        <f aca="false">+LN(PRECIOS!I146/PRECIOS!I145)</f>
        <v>0.01208259190994</v>
      </c>
      <c r="J146" s="5" t="n">
        <f aca="false">+LN(PRECIOS!J146/PRECIOS!J145)</f>
        <v>0.00234810296550362</v>
      </c>
    </row>
    <row r="147" customFormat="false" ht="15" hidden="false" customHeight="false" outlineLevel="0" collapsed="false">
      <c r="A147" s="4" t="n">
        <f aca="false">PRECIOS!A147</f>
        <v>46150</v>
      </c>
      <c r="B147" s="5" t="n">
        <f aca="false">+LN(PRECIOS!B147/PRECIOS!B146)</f>
        <v>0.0128195227740376</v>
      </c>
      <c r="C147" s="5" t="n">
        <f aca="false">+LN(PRECIOS!C147/PRECIOS!C146)</f>
        <v>0.0029940142126047</v>
      </c>
      <c r="D147" s="5" t="n">
        <f aca="false">+LN(PRECIOS!D147/PRECIOS!D146)</f>
        <v>0.00987768391937084</v>
      </c>
      <c r="E147" s="5" t="n">
        <f aca="false">+LN(PRECIOS!E147/PRECIOS!E146)</f>
        <v>-0.0294559712375744</v>
      </c>
      <c r="F147" s="5" t="n">
        <f aca="false">+LN(PRECIOS!F147/PRECIOS!F146)</f>
        <v>-0.0110060543078976</v>
      </c>
      <c r="G147" s="5" t="n">
        <f aca="false">+LN(PRECIOS!G147/PRECIOS!G146)</f>
        <v>-0.00953984287983261</v>
      </c>
      <c r="H147" s="5" t="n">
        <f aca="false">+LN(PRECIOS!H147/PRECIOS!H146)</f>
        <v>0.0020202027072758</v>
      </c>
      <c r="I147" s="5" t="n">
        <f aca="false">+LN(PRECIOS!I147/PRECIOS!I146)</f>
        <v>0.00703980380077249</v>
      </c>
      <c r="J147" s="5" t="n">
        <f aca="false">+LN(PRECIOS!J147/PRECIOS!J146)</f>
        <v>-0.00234309261591077</v>
      </c>
    </row>
    <row r="148" customFormat="false" ht="15" hidden="false" customHeight="false" outlineLevel="0" collapsed="false">
      <c r="A148" s="4" t="n">
        <f aca="false">PRECIOS!A148</f>
        <v>46153</v>
      </c>
      <c r="B148" s="5" t="n">
        <f aca="false">+LN(PRECIOS!B148/PRECIOS!B147)</f>
        <v>-0.00985006034855624</v>
      </c>
      <c r="C148" s="5" t="n">
        <f aca="false">+LN(PRECIOS!C148/PRECIOS!C147)</f>
        <v>0.00298507684345328</v>
      </c>
      <c r="D148" s="5" t="n">
        <f aca="false">+LN(PRECIOS!D148/PRECIOS!D147)</f>
        <v>0.011472401162237</v>
      </c>
      <c r="E148" s="5" t="n">
        <f aca="false">+LN(PRECIOS!E148/PRECIOS!E147)</f>
        <v>0.0132362360059916</v>
      </c>
      <c r="F148" s="5" t="n">
        <f aca="false">+LN(PRECIOS!F148/PRECIOS!F147)</f>
        <v>0.0105681300617922</v>
      </c>
      <c r="G148" s="5" t="n">
        <f aca="false">+LN(PRECIOS!G148/PRECIOS!G147)</f>
        <v>-0.00441387189403254</v>
      </c>
      <c r="H148" s="5" t="n">
        <f aca="false">+LN(PRECIOS!H148/PRECIOS!H147)</f>
        <v>-0.00505817972735264</v>
      </c>
      <c r="I148" s="5" t="n">
        <f aca="false">+LN(PRECIOS!I148/PRECIOS!I147)</f>
        <v>0.00385087120372421</v>
      </c>
      <c r="J148" s="5" t="n">
        <f aca="false">+LN(PRECIOS!J148/PRECIOS!J147)</f>
        <v>0.00557766980648821</v>
      </c>
    </row>
    <row r="149" customFormat="false" ht="15" hidden="false" customHeight="false" outlineLevel="0" collapsed="false">
      <c r="A149" s="4" t="n">
        <f aca="false">PRECIOS!A149</f>
        <v>46154</v>
      </c>
      <c r="B149" s="5" t="n">
        <f aca="false">+LN(PRECIOS!B149/PRECIOS!B148)</f>
        <v>-0.0177647453312143</v>
      </c>
      <c r="C149" s="5" t="n">
        <f aca="false">+LN(PRECIOS!C149/PRECIOS!C148)</f>
        <v>-0.0135035810346735</v>
      </c>
      <c r="D149" s="5" t="n">
        <f aca="false">+LN(PRECIOS!D149/PRECIOS!D148)</f>
        <v>-0.0131832655658663</v>
      </c>
      <c r="E149" s="5" t="n">
        <f aca="false">+LN(PRECIOS!E149/PRECIOS!E148)</f>
        <v>-0.00812462153649452</v>
      </c>
      <c r="F149" s="5" t="n">
        <f aca="false">+LN(PRECIOS!F149/PRECIOS!F148)</f>
        <v>-0.00482986668875354</v>
      </c>
      <c r="G149" s="5" t="n">
        <f aca="false">+LN(PRECIOS!G149/PRECIOS!G148)</f>
        <v>-0.000260247236342016</v>
      </c>
      <c r="H149" s="5" t="n">
        <f aca="false">+LN(PRECIOS!H149/PRECIOS!H148)</f>
        <v>0.00404858852600033</v>
      </c>
      <c r="I149" s="5" t="n">
        <f aca="false">+LN(PRECIOS!I149/PRECIOS!I148)</f>
        <v>-0.0270932906555261</v>
      </c>
      <c r="J149" s="5" t="n">
        <f aca="false">+LN(PRECIOS!J149/PRECIOS!J148)</f>
        <v>-0.00298881854303785</v>
      </c>
    </row>
    <row r="150" customFormat="false" ht="15" hidden="false" customHeight="false" outlineLevel="0" collapsed="false">
      <c r="A150" s="4" t="n">
        <f aca="false">PRECIOS!A150</f>
        <v>46155</v>
      </c>
      <c r="B150" s="5" t="n">
        <f aca="false">+LN(PRECIOS!B150/PRECIOS!B149)</f>
        <v>0.011495706107088</v>
      </c>
      <c r="C150" s="5" t="n">
        <f aca="false">+LN(PRECIOS!C150/PRECIOS!C149)</f>
        <v>0.00527308189815804</v>
      </c>
      <c r="D150" s="5" t="n">
        <f aca="false">+LN(PRECIOS!D150/PRECIOS!D149)</f>
        <v>0.000855798083896021</v>
      </c>
      <c r="E150" s="5" t="n">
        <f aca="false">+LN(PRECIOS!E150/PRECIOS!E149)</f>
        <v>-0.00682130885073808</v>
      </c>
      <c r="F150" s="5" t="n">
        <f aca="false">+LN(PRECIOS!F150/PRECIOS!F149)</f>
        <v>0.00263736416608567</v>
      </c>
      <c r="G150" s="5" t="n">
        <f aca="false">+LN(PRECIOS!G150/PRECIOS!G149)</f>
        <v>0.00565809082995174</v>
      </c>
      <c r="H150" s="5" t="n">
        <f aca="false">+LN(PRECIOS!H150/PRECIOS!H149)</f>
        <v>-0.00506330195654676</v>
      </c>
      <c r="I150" s="5" t="n">
        <f aca="false">+LN(PRECIOS!I150/PRECIOS!I149)</f>
        <v>-0.00125729697748199</v>
      </c>
      <c r="J150" s="5" t="n">
        <f aca="false">+LN(PRECIOS!J150/PRECIOS!J149)</f>
        <v>0.0021507008762392</v>
      </c>
    </row>
    <row r="151" customFormat="false" ht="15" hidden="false" customHeight="false" outlineLevel="0" collapsed="false">
      <c r="A151" s="4" t="n">
        <f aca="false">PRECIOS!A151</f>
        <v>46156</v>
      </c>
      <c r="B151" s="5" t="n">
        <f aca="false">+LN(PRECIOS!B151/PRECIOS!B150)</f>
        <v>-0.0120530679422322</v>
      </c>
      <c r="C151" s="5" t="n">
        <f aca="false">+LN(PRECIOS!C151/PRECIOS!C150)</f>
        <v>-0.0180048453268717</v>
      </c>
      <c r="D151" s="5" t="n">
        <f aca="false">+LN(PRECIOS!D151/PRECIOS!D150)</f>
        <v>0.000427624552165458</v>
      </c>
      <c r="E151" s="5" t="n">
        <f aca="false">+LN(PRECIOS!E151/PRECIOS!E150)</f>
        <v>0.0100452023700994</v>
      </c>
      <c r="F151" s="5" t="n">
        <f aca="false">+LN(PRECIOS!F151/PRECIOS!F150)</f>
        <v>-0.00528170241917589</v>
      </c>
      <c r="G151" s="5" t="n">
        <f aca="false">+LN(PRECIOS!G151/PRECIOS!G150)</f>
        <v>-0.038626655984201</v>
      </c>
      <c r="H151" s="5" t="n">
        <f aca="false">+LN(PRECIOS!H151/PRECIOS!H150)</f>
        <v>-0.00508906950747118</v>
      </c>
      <c r="I151" s="5" t="n">
        <f aca="false">+LN(PRECIOS!I151/PRECIOS!I150)</f>
        <v>-0.0201513581172719</v>
      </c>
      <c r="J151" s="5" t="n">
        <f aca="false">+LN(PRECIOS!J151/PRECIOS!J150)</f>
        <v>-0.01406967395695</v>
      </c>
    </row>
    <row r="152" customFormat="false" ht="15" hidden="false" customHeight="false" outlineLevel="0" collapsed="false">
      <c r="A152" s="4" t="n">
        <f aca="false">PRECIOS!A152</f>
        <v>46157</v>
      </c>
      <c r="B152" s="5" t="n">
        <f aca="false">+LN(PRECIOS!B152/PRECIOS!B151)</f>
        <v>0.00532865056247195</v>
      </c>
      <c r="C152" s="5" t="n">
        <f aca="false">+LN(PRECIOS!C152/PRECIOS!C151)</f>
        <v>-0.00517688817953368</v>
      </c>
      <c r="D152" s="5" t="n">
        <f aca="false">+LN(PRECIOS!D152/PRECIOS!D151)</f>
        <v>-0.0107458588305571</v>
      </c>
      <c r="E152" s="5" t="n">
        <f aca="false">+LN(PRECIOS!E152/PRECIOS!E151)</f>
        <v>0.00388875289282109</v>
      </c>
      <c r="F152" s="5" t="n">
        <f aca="false">+LN(PRECIOS!F152/PRECIOS!F151)</f>
        <v>-0.0377742751949355</v>
      </c>
      <c r="G152" s="5" t="n">
        <f aca="false">+LN(PRECIOS!G152/PRECIOS!G151)</f>
        <v>-0.00886252761084408</v>
      </c>
      <c r="H152" s="5" t="n">
        <f aca="false">+LN(PRECIOS!H152/PRECIOS!H151)</f>
        <v>0.0111619626653704</v>
      </c>
      <c r="I152" s="5" t="n">
        <f aca="false">+LN(PRECIOS!I152/PRECIOS!I151)</f>
        <v>0.00384369467456294</v>
      </c>
      <c r="J152" s="5" t="n">
        <f aca="false">+LN(PRECIOS!J152/PRECIOS!J151)</f>
        <v>-0.0179377889524613</v>
      </c>
    </row>
    <row r="153" customFormat="false" ht="15" hidden="false" customHeight="false" outlineLevel="0" collapsed="false">
      <c r="A153" s="4" t="n">
        <f aca="false">PRECIOS!A153</f>
        <v>46160</v>
      </c>
      <c r="B153" s="5" t="n">
        <f aca="false">+LN(PRECIOS!B153/PRECIOS!B152)</f>
        <v>0.0141332137310764</v>
      </c>
      <c r="C153" s="5" t="n">
        <f aca="false">+LN(PRECIOS!C153/PRECIOS!C152)</f>
        <v>-0.0213724863312997</v>
      </c>
      <c r="D153" s="5" t="n">
        <f aca="false">+LN(PRECIOS!D153/PRECIOS!D152)</f>
        <v>0.00388182501678736</v>
      </c>
      <c r="E153" s="5" t="n">
        <f aca="false">+LN(PRECIOS!E153/PRECIOS!E152)</f>
        <v>-0.0214915315989998</v>
      </c>
      <c r="F153" s="5" t="n">
        <f aca="false">+LN(PRECIOS!F153/PRECIOS!F152)</f>
        <v>0.00685090599159401</v>
      </c>
      <c r="G153" s="5" t="n">
        <f aca="false">+LN(PRECIOS!G153/PRECIOS!G152)</f>
        <v>0.0238674814066435</v>
      </c>
      <c r="H153" s="5" t="n">
        <f aca="false">+LN(PRECIOS!H153/PRECIOS!H152)</f>
        <v>-0.0101420747646248</v>
      </c>
      <c r="I153" s="5" t="n">
        <f aca="false">+LN(PRECIOS!I153/PRECIOS!I152)</f>
        <v>0.0240062065230482</v>
      </c>
      <c r="J153" s="5" t="n">
        <f aca="false">+LN(PRECIOS!J153/PRECIOS!J152)</f>
        <v>0.0062867879192492</v>
      </c>
    </row>
    <row r="154" customFormat="false" ht="15" hidden="false" customHeight="false" outlineLevel="0" collapsed="false">
      <c r="A154" s="4" t="n">
        <f aca="false">PRECIOS!A154</f>
        <v>46161</v>
      </c>
      <c r="B154" s="5" t="n">
        <f aca="false">+LN(PRECIOS!B154/PRECIOS!B153)</f>
        <v>-0.00273760265877342</v>
      </c>
      <c r="C154" s="5" t="n">
        <f aca="false">+LN(PRECIOS!C154/PRECIOS!C153)</f>
        <v>-0.000785854657339092</v>
      </c>
      <c r="D154" s="5" t="n">
        <f aca="false">+LN(PRECIOS!D154/PRECIOS!D153)</f>
        <v>-0.0017233955148774</v>
      </c>
      <c r="E154" s="5" t="n">
        <f aca="false">+LN(PRECIOS!E154/PRECIOS!E153)</f>
        <v>0.0305626504101667</v>
      </c>
      <c r="F154" s="5" t="n">
        <f aca="false">+LN(PRECIOS!F154/PRECIOS!F153)</f>
        <v>-0.0267543633022045</v>
      </c>
      <c r="G154" s="5" t="n">
        <f aca="false">+LN(PRECIOS!G154/PRECIOS!G153)</f>
        <v>0.016974053714095</v>
      </c>
      <c r="H154" s="5" t="n">
        <f aca="false">+LN(PRECIOS!H154/PRECIOS!H153)</f>
        <v>0.00508389503727233</v>
      </c>
      <c r="I154" s="5" t="n">
        <f aca="false">+LN(PRECIOS!I154/PRECIOS!I153)</f>
        <v>-0.00895742284375123</v>
      </c>
      <c r="J154" s="5" t="n">
        <f aca="false">+LN(PRECIOS!J154/PRECIOS!J153)</f>
        <v>0.0021966873374067</v>
      </c>
    </row>
    <row r="155" customFormat="false" ht="15" hidden="false" customHeight="false" outlineLevel="0" collapsed="false">
      <c r="A155" s="4" t="n">
        <f aca="false">PRECIOS!A155</f>
        <v>46162</v>
      </c>
      <c r="B155" s="5" t="n">
        <f aca="false">+LN(PRECIOS!B155/PRECIOS!B154)</f>
        <v>0.00660308872435076</v>
      </c>
      <c r="C155" s="5" t="n">
        <f aca="false">+LN(PRECIOS!C155/PRECIOS!C154)</f>
        <v>0.0252293606767156</v>
      </c>
      <c r="D155" s="5" t="n">
        <f aca="false">+LN(PRECIOS!D155/PRECIOS!D154)</f>
        <v>-0.00302310746326357</v>
      </c>
      <c r="E155" s="5" t="n">
        <f aca="false">+LN(PRECIOS!E155/PRECIOS!E154)</f>
        <v>-0.000669120132024208</v>
      </c>
      <c r="F155" s="5" t="n">
        <f aca="false">+LN(PRECIOS!F155/PRECIOS!F154)</f>
        <v>0.0221923115943622</v>
      </c>
      <c r="G155" s="5" t="n">
        <f aca="false">+LN(PRECIOS!G155/PRECIOS!G154)</f>
        <v>-0.0159675644224012</v>
      </c>
      <c r="H155" s="5" t="n">
        <f aca="false">+LN(PRECIOS!H155/PRECIOS!H154)</f>
        <v>-0.00508389503727217</v>
      </c>
      <c r="I155" s="5" t="n">
        <f aca="false">+LN(PRECIOS!I155/PRECIOS!I154)</f>
        <v>0.00143859042972385</v>
      </c>
      <c r="J155" s="5" t="n">
        <f aca="false">+LN(PRECIOS!J155/PRECIOS!J154)</f>
        <v>0.00492254297684309</v>
      </c>
    </row>
    <row r="156" customFormat="false" ht="15" hidden="false" customHeight="false" outlineLevel="0" collapsed="false">
      <c r="A156" s="4" t="n">
        <f aca="false">PRECIOS!A156</f>
        <v>46163</v>
      </c>
      <c r="B156" s="5" t="n">
        <f aca="false">+LN(PRECIOS!B156/PRECIOS!B155)</f>
        <v>0.00827179440157288</v>
      </c>
      <c r="C156" s="5" t="n">
        <f aca="false">+LN(PRECIOS!C156/PRECIOS!C155)</f>
        <v>-0.00287880440637018</v>
      </c>
      <c r="D156" s="5" t="n">
        <f aca="false">+LN(PRECIOS!D156/PRECIOS!D155)</f>
        <v>-0.0139375078437816</v>
      </c>
      <c r="E156" s="5" t="n">
        <f aca="false">+LN(PRECIOS!E156/PRECIOS!E155)</f>
        <v>-0.0307559710388011</v>
      </c>
      <c r="F156" s="5" t="n">
        <f aca="false">+LN(PRECIOS!F156/PRECIOS!F155)</f>
        <v>-0.00504241270093462</v>
      </c>
      <c r="G156" s="5" t="n">
        <f aca="false">+LN(PRECIOS!G156/PRECIOS!G155)</f>
        <v>-0.0103247324835143</v>
      </c>
      <c r="H156" s="5" t="n">
        <f aca="false">+LN(PRECIOS!H156/PRECIOS!H155)</f>
        <v>-0.0133403722887862</v>
      </c>
      <c r="I156" s="5" t="n">
        <f aca="false">+LN(PRECIOS!I156/PRECIOS!I155)</f>
        <v>-0.00649001737171217</v>
      </c>
      <c r="J156" s="5" t="n">
        <f aca="false">+LN(PRECIOS!J156/PRECIOS!J155)</f>
        <v>-0.00742320077165624</v>
      </c>
    </row>
    <row r="157" customFormat="false" ht="15" hidden="false" customHeight="false" outlineLevel="0" collapsed="false">
      <c r="A157" s="4" t="n">
        <f aca="false">PRECIOS!A157</f>
        <v>46164</v>
      </c>
      <c r="B157" s="5" t="n">
        <f aca="false">+LN(PRECIOS!B157/PRECIOS!B156)</f>
        <v>-0.00537113972093547</v>
      </c>
      <c r="C157" s="5" t="n">
        <f aca="false">+LN(PRECIOS!C157/PRECIOS!C156)</f>
        <v>-0.00500964438840214</v>
      </c>
      <c r="D157" s="5" t="n">
        <f aca="false">+LN(PRECIOS!D157/PRECIOS!D156)</f>
        <v>-0.00263504763800523</v>
      </c>
      <c r="E157" s="5" t="n">
        <f aca="false">+LN(PRECIOS!E157/PRECIOS!E156)</f>
        <v>0.00172413835813973</v>
      </c>
      <c r="F157" s="5" t="n">
        <f aca="false">+LN(PRECIOS!F157/PRECIOS!F156)</f>
        <v>0.00183654780730133</v>
      </c>
      <c r="G157" s="5" t="n">
        <f aca="false">+LN(PRECIOS!G157/PRECIOS!G156)</f>
        <v>0.0202294549403261</v>
      </c>
      <c r="H157" s="5" t="n">
        <f aca="false">+LN(PRECIOS!H157/PRECIOS!H156)</f>
        <v>0.00823049913651544</v>
      </c>
      <c r="I157" s="5" t="n">
        <f aca="false">+LN(PRECIOS!I157/PRECIOS!I156)</f>
        <v>0.00469145573579735</v>
      </c>
      <c r="J157" s="5" t="n">
        <f aca="false">+LN(PRECIOS!J157/PRECIOS!J156)</f>
        <v>-0.000745184204981036</v>
      </c>
    </row>
    <row r="158" customFormat="false" ht="15" hidden="false" customHeight="false" outlineLevel="0" collapsed="false">
      <c r="A158" s="4" t="n">
        <f aca="false">PRECIOS!A158</f>
        <v>46167</v>
      </c>
      <c r="B158" s="5" t="n">
        <f aca="false">+LN(PRECIOS!B158/PRECIOS!B157)</f>
        <v>0.00284713784013166</v>
      </c>
      <c r="C158" s="5" t="n">
        <f aca="false">+LN(PRECIOS!C158/PRECIOS!C157)</f>
        <v>-0.00795117153210428</v>
      </c>
      <c r="D158" s="5" t="n">
        <f aca="false">+LN(PRECIOS!D158/PRECIOS!D157)</f>
        <v>-0.0204360732633065</v>
      </c>
      <c r="E158" s="5" t="n">
        <f aca="false">+LN(PRECIOS!E158/PRECIOS!E157)</f>
        <v>-0.00155159069141883</v>
      </c>
      <c r="F158" s="5" t="n">
        <f aca="false">+LN(PRECIOS!F158/PRECIOS!F157)</f>
        <v>0.0123092504736018</v>
      </c>
      <c r="G158" s="5" t="n">
        <f aca="false">+LN(PRECIOS!G158/PRECIOS!G157)</f>
        <v>-0.0111762458069332</v>
      </c>
      <c r="H158" s="5" t="n">
        <f aca="false">+LN(PRECIOS!H158/PRECIOS!H157)</f>
        <v>-0.0113344850741065</v>
      </c>
      <c r="I158" s="5" t="n">
        <f aca="false">+LN(PRECIOS!I158/PRECIOS!I157)</f>
        <v>-0.00632056280258926</v>
      </c>
      <c r="J158" s="5" t="n">
        <f aca="false">+LN(PRECIOS!J158/PRECIOS!J157)</f>
        <v>-0.00105860679089476</v>
      </c>
    </row>
    <row r="159" customFormat="false" ht="15" hidden="false" customHeight="false" outlineLevel="0" collapsed="false">
      <c r="A159" s="4" t="n">
        <f aca="false">PRECIOS!A159</f>
        <v>46168</v>
      </c>
      <c r="B159" s="5" t="n">
        <f aca="false">+LN(PRECIOS!B159/PRECIOS!B158)</f>
        <v>0.0186879544487677</v>
      </c>
      <c r="C159" s="5" t="n">
        <f aca="false">+LN(PRECIOS!C159/PRECIOS!C158)</f>
        <v>0.00504953490876212</v>
      </c>
      <c r="D159" s="5" t="n">
        <f aca="false">+LN(PRECIOS!D159/PRECIOS!D158)</f>
        <v>0.0098258941512912</v>
      </c>
      <c r="E159" s="5" t="n">
        <f aca="false">+LN(PRECIOS!E159/PRECIOS!E158)</f>
        <v>0.0121754054852868</v>
      </c>
      <c r="F159" s="5" t="n">
        <f aca="false">+LN(PRECIOS!F159/PRECIOS!F158)</f>
        <v>0.025057239376801</v>
      </c>
      <c r="G159" s="5" t="n">
        <f aca="false">+LN(PRECIOS!G159/PRECIOS!G158)</f>
        <v>0.0217622179981888</v>
      </c>
      <c r="H159" s="5" t="n">
        <f aca="false">+LN(PRECIOS!H159/PRECIOS!H158)</f>
        <v>0.0225419380944956</v>
      </c>
      <c r="I159" s="5" t="n">
        <f aca="false">+LN(PRECIOS!I159/PRECIOS!I158)</f>
        <v>-0.0147826398481803</v>
      </c>
      <c r="J159" s="5" t="n">
        <f aca="false">+LN(PRECIOS!J159/PRECIOS!J158)</f>
        <v>0.0136246627227164</v>
      </c>
    </row>
    <row r="160" customFormat="false" ht="15" hidden="false" customHeight="false" outlineLevel="0" collapsed="false">
      <c r="A160" s="4" t="n">
        <f aca="false">PRECIOS!A160</f>
        <v>46169</v>
      </c>
      <c r="B160" s="5" t="n">
        <f aca="false">+LN(PRECIOS!B160/PRECIOS!B159)</f>
        <v>0.0159504227453891</v>
      </c>
      <c r="C160" s="5" t="n">
        <f aca="false">+LN(PRECIOS!C160/PRECIOS!C159)</f>
        <v>0.0254388777569477</v>
      </c>
      <c r="D160" s="5" t="n">
        <f aca="false">+LN(PRECIOS!D160/PRECIOS!D159)</f>
        <v>0.00487697707950408</v>
      </c>
      <c r="E160" s="5" t="n">
        <f aca="false">+LN(PRECIOS!E160/PRECIOS!E159)</f>
        <v>0.0116920759213564</v>
      </c>
      <c r="F160" s="5" t="n">
        <f aca="false">+LN(PRECIOS!F160/PRECIOS!F159)</f>
        <v>0.0136056520557787</v>
      </c>
      <c r="G160" s="5" t="n">
        <f aca="false">+LN(PRECIOS!G160/PRECIOS!G159)</f>
        <v>0.0338635110448246</v>
      </c>
      <c r="H160" s="5" t="n">
        <f aca="false">+LN(PRECIOS!H160/PRECIOS!H159)</f>
        <v>0.00101265831438641</v>
      </c>
      <c r="I160" s="5" t="n">
        <f aca="false">+LN(PRECIOS!I160/PRECIOS!I159)</f>
        <v>0.00348720184532308</v>
      </c>
      <c r="J160" s="5" t="n">
        <f aca="false">+LN(PRECIOS!J160/PRECIOS!J159)</f>
        <v>0.0118344491461942</v>
      </c>
    </row>
    <row r="161" customFormat="false" ht="15" hidden="false" customHeight="false" outlineLevel="0" collapsed="false">
      <c r="A161" s="4" t="n">
        <f aca="false">PRECIOS!A161</f>
        <v>46170</v>
      </c>
      <c r="B161" s="5" t="n">
        <f aca="false">+LN(PRECIOS!B161/PRECIOS!B160)</f>
        <v>-0.0189224567825838</v>
      </c>
      <c r="C161" s="5" t="n">
        <f aca="false">+LN(PRECIOS!C161/PRECIOS!C160)</f>
        <v>0.00169827383019161</v>
      </c>
      <c r="D161" s="5" t="n">
        <f aca="false">+LN(PRECIOS!D161/PRECIOS!D160)</f>
        <v>-0.00933132742888431</v>
      </c>
      <c r="E161" s="5" t="n">
        <f aca="false">+LN(PRECIOS!E161/PRECIOS!E160)</f>
        <v>-0.00930869038726039</v>
      </c>
      <c r="F161" s="5" t="n">
        <f aca="false">+LN(PRECIOS!F161/PRECIOS!F160)</f>
        <v>-0.0100767555837576</v>
      </c>
      <c r="G161" s="5" t="n">
        <f aca="false">+LN(PRECIOS!G161/PRECIOS!G160)</f>
        <v>-0.0744629104290529</v>
      </c>
      <c r="H161" s="5" t="n">
        <f aca="false">+LN(PRECIOS!H161/PRECIOS!H160)</f>
        <v>-0.0194180858571017</v>
      </c>
      <c r="I161" s="5" t="n">
        <f aca="false">+LN(PRECIOS!I161/PRECIOS!I160)</f>
        <v>-0.0396165408414647</v>
      </c>
      <c r="J161" s="5" t="n">
        <f aca="false">+LN(PRECIOS!J161/PRECIOS!J160)</f>
        <v>-0.0166335422590726</v>
      </c>
    </row>
    <row r="162" customFormat="false" ht="15" hidden="false" customHeight="false" outlineLevel="0" collapsed="false">
      <c r="A162" s="4" t="n">
        <f aca="false">PRECIOS!A162</f>
        <v>46171</v>
      </c>
      <c r="B162" s="5" t="n">
        <f aca="false">+LN(PRECIOS!B162/PRECIOS!B161)</f>
        <v>0.000133265220195945</v>
      </c>
      <c r="C162" s="5" t="n">
        <f aca="false">+LN(PRECIOS!C162/PRECIOS!C161)</f>
        <v>0.000565450962196529</v>
      </c>
      <c r="D162" s="5" t="n">
        <f aca="false">+LN(PRECIOS!D162/PRECIOS!D161)</f>
        <v>-0.0189280098855188</v>
      </c>
      <c r="E162" s="5" t="n">
        <f aca="false">+LN(PRECIOS!E162/PRECIOS!E161)</f>
        <v>0.0148525937086939</v>
      </c>
      <c r="F162" s="5" t="n">
        <f aca="false">+LN(PRECIOS!F162/PRECIOS!F161)</f>
        <v>0.00527010442423702</v>
      </c>
      <c r="G162" s="5" t="n">
        <f aca="false">+LN(PRECIOS!G162/PRECIOS!G161)</f>
        <v>-0.0236141062776708</v>
      </c>
      <c r="H162" s="5" t="n">
        <f aca="false">+LN(PRECIOS!H162/PRECIOS!H161)</f>
        <v>-0.040005334613699</v>
      </c>
      <c r="I162" s="5" t="n">
        <f aca="false">+LN(PRECIOS!I162/PRECIOS!I161)</f>
        <v>-0.00114438311173114</v>
      </c>
      <c r="J162" s="5" t="n">
        <f aca="false">+LN(PRECIOS!J162/PRECIOS!J161)</f>
        <v>-0.0040528517283904</v>
      </c>
    </row>
    <row r="163" customFormat="false" ht="15" hidden="false" customHeight="false" outlineLevel="0" collapsed="false">
      <c r="A163" s="4" t="n">
        <f aca="false">PRECIOS!A163</f>
        <v>46174</v>
      </c>
      <c r="B163" s="5" t="n">
        <f aca="false">+LN(PRECIOS!B163/PRECIOS!B162)</f>
        <v>-0.0135953080097657</v>
      </c>
      <c r="C163" s="5" t="n">
        <f aca="false">+LN(PRECIOS!C163/PRECIOS!C162)</f>
        <v>-0.0100370125824098</v>
      </c>
      <c r="D163" s="5" t="n">
        <f aca="false">+LN(PRECIOS!D163/PRECIOS!D162)</f>
        <v>-0.00182149412839113</v>
      </c>
      <c r="E163" s="5" t="n">
        <f aca="false">+LN(PRECIOS!E163/PRECIOS!E162)</f>
        <v>-0.0368579513053563</v>
      </c>
      <c r="F163" s="5" t="n">
        <f aca="false">+LN(PRECIOS!F163/PRECIOS!F162)</f>
        <v>0</v>
      </c>
      <c r="G163" s="5" t="n">
        <f aca="false">+LN(PRECIOS!G163/PRECIOS!G162)</f>
        <v>-0.00199324577371601</v>
      </c>
      <c r="H163" s="5" t="n">
        <f aca="false">+LN(PRECIOS!H163/PRECIOS!H162)</f>
        <v>0.00107353740852419</v>
      </c>
      <c r="I163" s="5" t="n">
        <f aca="false">+LN(PRECIOS!I163/PRECIOS!I162)</f>
        <v>-0.00516599254698183</v>
      </c>
      <c r="J163" s="5" t="n">
        <f aca="false">+LN(PRECIOS!J163/PRECIOS!J162)</f>
        <v>-0.00659297700915662</v>
      </c>
    </row>
    <row r="164" customFormat="false" ht="15" hidden="false" customHeight="false" outlineLevel="0" collapsed="false">
      <c r="A164" s="4" t="n">
        <f aca="false">PRECIOS!A164</f>
        <v>46175</v>
      </c>
      <c r="B164" s="5" t="n">
        <f aca="false">+LN(PRECIOS!B164/PRECIOS!B163)</f>
        <v>0.00139485725331055</v>
      </c>
      <c r="C164" s="5" t="n">
        <f aca="false">+LN(PRECIOS!C164/PRECIOS!C163)</f>
        <v>0.0147367110531141</v>
      </c>
      <c r="D164" s="5" t="n">
        <f aca="false">+LN(PRECIOS!D164/PRECIOS!D163)</f>
        <v>0.0140305537651649</v>
      </c>
      <c r="E164" s="5" t="n">
        <f aca="false">+LN(PRECIOS!E164/PRECIOS!E163)</f>
        <v>0.0112351021918535</v>
      </c>
      <c r="F164" s="5" t="n">
        <f aca="false">+LN(PRECIOS!F164/PRECIOS!F163)</f>
        <v>-0.00351031514474466</v>
      </c>
      <c r="G164" s="5" t="n">
        <f aca="false">+LN(PRECIOS!G164/PRECIOS!G163)</f>
        <v>0.0100364799685604</v>
      </c>
      <c r="H164" s="5" t="n">
        <f aca="false">+LN(PRECIOS!H164/PRECIOS!H163)</f>
        <v>-0.0107875911289974</v>
      </c>
      <c r="I164" s="5" t="n">
        <f aca="false">+LN(PRECIOS!I164/PRECIOS!I163)</f>
        <v>-0.00345888123477814</v>
      </c>
      <c r="J164" s="5" t="n">
        <f aca="false">+LN(PRECIOS!J164/PRECIOS!J163)</f>
        <v>0.010994995289255</v>
      </c>
    </row>
    <row r="165" customFormat="false" ht="15" hidden="false" customHeight="false" outlineLevel="0" collapsed="false">
      <c r="A165" s="4" t="n">
        <f aca="false">PRECIOS!A165</f>
        <v>46176</v>
      </c>
      <c r="B165" s="5" t="n">
        <f aca="false">+LN(PRECIOS!B165/PRECIOS!B164)</f>
        <v>-0.00839847804589495</v>
      </c>
      <c r="C165" s="5" t="n">
        <f aca="false">+LN(PRECIOS!C165/PRECIOS!C164)</f>
        <v>-0.0202716044655875</v>
      </c>
      <c r="D165" s="5" t="n">
        <f aca="false">+LN(PRECIOS!D165/PRECIOS!D164)</f>
        <v>-0.00224971973401544</v>
      </c>
      <c r="E165" s="5" t="n">
        <f aca="false">+LN(PRECIOS!E165/PRECIOS!E164)</f>
        <v>0.00343171235891311</v>
      </c>
      <c r="F165" s="5" t="n">
        <f aca="false">+LN(PRECIOS!F165/PRECIOS!F164)</f>
        <v>-0.0132745312086962</v>
      </c>
      <c r="G165" s="5" t="n">
        <f aca="false">+LN(PRECIOS!G165/PRECIOS!G164)</f>
        <v>-0.00859651516502814</v>
      </c>
      <c r="H165" s="5" t="n">
        <f aca="false">+LN(PRECIOS!H165/PRECIOS!H164)</f>
        <v>-0.0197158631644175</v>
      </c>
      <c r="I165" s="5" t="n">
        <f aca="false">+LN(PRECIOS!I165/PRECIOS!I164)</f>
        <v>0.0042258994890649</v>
      </c>
      <c r="J165" s="5" t="n">
        <f aca="false">+LN(PRECIOS!J165/PRECIOS!J164)</f>
        <v>-0.00881368828685073</v>
      </c>
    </row>
    <row r="166" customFormat="false" ht="15" hidden="false" customHeight="false" outlineLevel="0" collapsed="false">
      <c r="A166" s="4" t="n">
        <f aca="false">PRECIOS!A166</f>
        <v>46177</v>
      </c>
      <c r="B166" s="5" t="n">
        <f aca="false">+LN(PRECIOS!B166/PRECIOS!B165)</f>
        <v>-0.0123182359650283</v>
      </c>
      <c r="C166" s="5" t="n">
        <f aca="false">+LN(PRECIOS!C166/PRECIOS!C165)</f>
        <v>-0.0193242728264028</v>
      </c>
      <c r="D166" s="5" t="n">
        <f aca="false">+LN(PRECIOS!D166/PRECIOS!D165)</f>
        <v>-0.0154338061298412</v>
      </c>
      <c r="E166" s="5" t="n">
        <f aca="false">+LN(PRECIOS!E166/PRECIOS!E165)</f>
        <v>-0.0221692487640042</v>
      </c>
      <c r="F166" s="5" t="n">
        <f aca="false">+LN(PRECIOS!F166/PRECIOS!F165)</f>
        <v>-0.000445533533767659</v>
      </c>
      <c r="G166" s="5" t="n">
        <f aca="false">+LN(PRECIOS!G166/PRECIOS!G165)</f>
        <v>-0.00671907461595687</v>
      </c>
      <c r="H166" s="5" t="n">
        <f aca="false">+LN(PRECIOS!H166/PRECIOS!H165)</f>
        <v>0.0315758404551675</v>
      </c>
      <c r="I166" s="5" t="n">
        <f aca="false">+LN(PRECIOS!I166/PRECIOS!I165)</f>
        <v>-0.0131200029762513</v>
      </c>
      <c r="J166" s="5" t="n">
        <f aca="false">+LN(PRECIOS!J166/PRECIOS!J165)</f>
        <v>-0.0131729957188272</v>
      </c>
    </row>
    <row r="167" customFormat="false" ht="15" hidden="false" customHeight="false" outlineLevel="0" collapsed="false">
      <c r="A167" s="4" t="n">
        <f aca="false">PRECIOS!A167</f>
        <v>46178</v>
      </c>
      <c r="B167" s="5" t="n">
        <f aca="false">+LN(PRECIOS!B167/PRECIOS!B166)</f>
        <v>-0.0102896282170432</v>
      </c>
      <c r="C167" s="5" t="n">
        <f aca="false">+LN(PRECIOS!C167/PRECIOS!C166)</f>
        <v>-0.0345409486451859</v>
      </c>
      <c r="D167" s="5" t="n">
        <f aca="false">+LN(PRECIOS!D167/PRECIOS!D166)</f>
        <v>-0.00872966720012477</v>
      </c>
      <c r="E167" s="5" t="n">
        <f aca="false">+LN(PRECIOS!E167/PRECIOS!E166)</f>
        <v>-0.0221345911467548</v>
      </c>
      <c r="F167" s="5" t="n">
        <f aca="false">+LN(PRECIOS!F167/PRECIOS!F166)</f>
        <v>-0.0303122054080395</v>
      </c>
      <c r="G167" s="5" t="n">
        <f aca="false">+LN(PRECIOS!G167/PRECIOS!G166)</f>
        <v>-0.0113749020152771</v>
      </c>
      <c r="H167" s="5" t="n">
        <f aca="false">+LN(PRECIOS!H167/PRECIOS!H166)</f>
        <v>-0.00969312920565968</v>
      </c>
      <c r="I167" s="5" t="n">
        <f aca="false">+LN(PRECIOS!I167/PRECIOS!I166)</f>
        <v>-0.00779883071534341</v>
      </c>
      <c r="J167" s="5" t="n">
        <f aca="false">+LN(PRECIOS!J167/PRECIOS!J166)</f>
        <v>-0.0187345636651186</v>
      </c>
    </row>
    <row r="168" customFormat="false" ht="15" hidden="false" customHeight="false" outlineLevel="0" collapsed="false">
      <c r="A168" s="4" t="n">
        <f aca="false">PRECIOS!A168</f>
        <v>46181</v>
      </c>
      <c r="B168" s="5" t="n">
        <f aca="false">+LN(PRECIOS!B168/PRECIOS!B167)</f>
        <v>-0.00301925584122517</v>
      </c>
      <c r="C168" s="5" t="n">
        <f aca="false">+LN(PRECIOS!C168/PRECIOS!C167)</f>
        <v>-0.000201999798687078</v>
      </c>
      <c r="D168" s="5" t="n">
        <f aca="false">+LN(PRECIOS!D168/PRECIOS!D167)</f>
        <v>0.00184416834193266</v>
      </c>
      <c r="E168" s="5" t="n">
        <f aca="false">+LN(PRECIOS!E168/PRECIOS!E167)</f>
        <v>0.00053700887355132</v>
      </c>
      <c r="F168" s="5" t="n">
        <f aca="false">+LN(PRECIOS!F168/PRECIOS!F167)</f>
        <v>-0.0303124164083953</v>
      </c>
      <c r="G168" s="5" t="n">
        <f aca="false">+LN(PRECIOS!G168/PRECIOS!G167)</f>
        <v>-0.0123041838052944</v>
      </c>
      <c r="H168" s="5" t="n">
        <f aca="false">+LN(PRECIOS!H168/PRECIOS!H167)</f>
        <v>0.00647251450561752</v>
      </c>
      <c r="I168" s="5" t="n">
        <f aca="false">+LN(PRECIOS!I168/PRECIOS!I167)</f>
        <v>0.00507615303186057</v>
      </c>
      <c r="J168" s="5" t="n">
        <f aca="false">+LN(PRECIOS!J168/PRECIOS!J167)</f>
        <v>-0.00745346799821943</v>
      </c>
    </row>
    <row r="169" customFormat="false" ht="15" hidden="false" customHeight="false" outlineLevel="0" collapsed="false">
      <c r="A169" s="4" t="n">
        <f aca="false">PRECIOS!A169</f>
        <v>46182</v>
      </c>
      <c r="B169" s="5" t="n">
        <f aca="false">+LN(PRECIOS!B169/PRECIOS!B168)</f>
        <v>-0.0167945027260345</v>
      </c>
      <c r="C169" s="5" t="n">
        <f aca="false">+LN(PRECIOS!C169/PRECIOS!C168)</f>
        <v>-0.0264062011571137</v>
      </c>
      <c r="D169" s="5" t="n">
        <f aca="false">+LN(PRECIOS!D169/PRECIOS!D168)</f>
        <v>0.0159930299351558</v>
      </c>
      <c r="E169" s="5" t="n">
        <f aca="false">+LN(PRECIOS!E169/PRECIOS!E168)</f>
        <v>-0.00484349318928854</v>
      </c>
      <c r="F169" s="5" t="n">
        <f aca="false">+LN(PRECIOS!F169/PRECIOS!F168)</f>
        <v>-0.00427046912345232</v>
      </c>
      <c r="G169" s="5" t="n">
        <f aca="false">+LN(PRECIOS!G169/PRECIOS!G168)</f>
        <v>-0.00268502546411861</v>
      </c>
      <c r="H169" s="5" t="n">
        <f aca="false">+LN(PRECIOS!H169/PRECIOS!H168)</f>
        <v>0.0431418821440234</v>
      </c>
      <c r="I169" s="5" t="n">
        <f aca="false">+LN(PRECIOS!I169/PRECIOS!I168)</f>
        <v>-0.0143181812575893</v>
      </c>
      <c r="J169" s="5" t="n">
        <f aca="false">+LN(PRECIOS!J169/PRECIOS!J168)</f>
        <v>-0.00367390208317508</v>
      </c>
    </row>
    <row r="170" customFormat="false" ht="15" hidden="false" customHeight="false" outlineLevel="0" collapsed="false">
      <c r="A170" s="4" t="n">
        <f aca="false">PRECIOS!A170</f>
        <v>46183</v>
      </c>
      <c r="B170" s="5" t="n">
        <f aca="false">+LN(PRECIOS!B170/PRECIOS!B169)</f>
        <v>-0.00907693056352648</v>
      </c>
      <c r="C170" s="5" t="n">
        <f aca="false">+LN(PRECIOS!C170/PRECIOS!C169)</f>
        <v>-0.00270017819057877</v>
      </c>
      <c r="D170" s="5" t="n">
        <f aca="false">+LN(PRECIOS!D170/PRECIOS!D169)</f>
        <v>0.00271616282877768</v>
      </c>
      <c r="E170" s="5" t="n">
        <f aca="false">+LN(PRECIOS!E170/PRECIOS!E169)</f>
        <v>0.0188819289820554</v>
      </c>
      <c r="F170" s="5" t="n">
        <f aca="false">+LN(PRECIOS!F170/PRECIOS!F169)</f>
        <v>-0.019203662631448</v>
      </c>
      <c r="G170" s="5" t="n">
        <f aca="false">+LN(PRECIOS!G170/PRECIOS!G169)</f>
        <v>0.00182888546148049</v>
      </c>
      <c r="H170" s="5" t="n">
        <f aca="false">+LN(PRECIOS!H170/PRECIOS!H169)</f>
        <v>0.0102459912740382</v>
      </c>
      <c r="I170" s="5" t="n">
        <f aca="false">+LN(PRECIOS!I170/PRECIOS!I169)</f>
        <v>-0.00813254507036385</v>
      </c>
      <c r="J170" s="5" t="n">
        <f aca="false">+LN(PRECIOS!J170/PRECIOS!J169)</f>
        <v>-0.00902816666885693</v>
      </c>
    </row>
    <row r="171" customFormat="false" ht="15" hidden="false" customHeight="false" outlineLevel="0" collapsed="false">
      <c r="A171" s="4" t="n">
        <f aca="false">PRECIOS!A171</f>
        <v>46184</v>
      </c>
      <c r="B171" s="5" t="n">
        <f aca="false">+LN(PRECIOS!B171/PRECIOS!B170)</f>
        <v>0.00128813738858431</v>
      </c>
      <c r="C171" s="5" t="n">
        <f aca="false">+LN(PRECIOS!C171/PRECIOS!C170)</f>
        <v>0.000623765484410308</v>
      </c>
      <c r="D171" s="5" t="n">
        <f aca="false">+LN(PRECIOS!D171/PRECIOS!D170)</f>
        <v>0.074882665543015</v>
      </c>
      <c r="E171" s="5" t="n">
        <f aca="false">+LN(PRECIOS!E171/PRECIOS!E170)</f>
        <v>0.0273274337069028</v>
      </c>
      <c r="F171" s="5" t="n">
        <f aca="false">+LN(PRECIOS!F171/PRECIOS!F170)</f>
        <v>0.05882665047062</v>
      </c>
      <c r="G171" s="5" t="n">
        <f aca="false">+LN(PRECIOS!G171/PRECIOS!G170)</f>
        <v>0.041878935903621</v>
      </c>
      <c r="H171" s="5" t="n">
        <f aca="false">+LN(PRECIOS!H171/PRECIOS!H170)</f>
        <v>0.00406918160672575</v>
      </c>
      <c r="I171" s="5" t="n">
        <f aca="false">+LN(PRECIOS!I171/PRECIOS!I170)</f>
        <v>0.0313689707800829</v>
      </c>
      <c r="J171" s="5" t="n">
        <f aca="false">+LN(PRECIOS!J171/PRECIOS!J170)</f>
        <v>0.0327109879803256</v>
      </c>
    </row>
    <row r="172" customFormat="false" ht="15" hidden="false" customHeight="false" outlineLevel="0" collapsed="false">
      <c r="A172" s="4" t="n">
        <f aca="false">PRECIOS!A172</f>
        <v>46185</v>
      </c>
      <c r="B172" s="5" t="n">
        <f aca="false">+LN(PRECIOS!B172/PRECIOS!B171)</f>
        <v>-0.000620007173790053</v>
      </c>
      <c r="C172" s="5" t="n">
        <f aca="false">+LN(PRECIOS!C172/PRECIOS!C171)</f>
        <v>0.00103874528920313</v>
      </c>
      <c r="D172" s="5" t="n">
        <f aca="false">+LN(PRECIOS!D172/PRECIOS!D171)</f>
        <v>0.00167644632725235</v>
      </c>
      <c r="E172" s="5" t="n">
        <f aca="false">+LN(PRECIOS!E172/PRECIOS!E171)</f>
        <v>-0.00154652492375715</v>
      </c>
      <c r="F172" s="5" t="n">
        <f aca="false">+LN(PRECIOS!F172/PRECIOS!F171)</f>
        <v>0.0221477979482578</v>
      </c>
      <c r="G172" s="5" t="n">
        <f aca="false">+LN(PRECIOS!G172/PRECIOS!G171)</f>
        <v>0.0324859552221253</v>
      </c>
      <c r="H172" s="5" t="n">
        <f aca="false">+LN(PRECIOS!H172/PRECIOS!H171)</f>
        <v>0.0101010959865039</v>
      </c>
      <c r="I172" s="5" t="n">
        <f aca="false">+LN(PRECIOS!I172/PRECIOS!I171)</f>
        <v>0.0051978170736167</v>
      </c>
      <c r="J172" s="5" t="n">
        <f aca="false">+LN(PRECIOS!J172/PRECIOS!J171)</f>
        <v>0.0144890759578734</v>
      </c>
    </row>
    <row r="173" customFormat="false" ht="15" hidden="false" customHeight="false" outlineLevel="0" collapsed="false">
      <c r="A173" s="4" t="n">
        <f aca="false">PRECIOS!A173</f>
        <v>46188</v>
      </c>
      <c r="B173" s="5" t="n">
        <f aca="false">+LN(PRECIOS!B173/PRECIOS!B172)</f>
        <v>0.0133167856609243</v>
      </c>
      <c r="C173" s="5" t="n">
        <f aca="false">+LN(PRECIOS!C173/PRECIOS!C172)</f>
        <v>-0.0357218579036785</v>
      </c>
      <c r="D173" s="5" t="n">
        <f aca="false">+LN(PRECIOS!D173/PRECIOS!D172)</f>
        <v>-0.0224443044094949</v>
      </c>
      <c r="E173" s="5" t="n">
        <f aca="false">+LN(PRECIOS!E173/PRECIOS!E172)</f>
        <v>-0.0010323469602322</v>
      </c>
      <c r="F173" s="5" t="n">
        <f aca="false">+LN(PRECIOS!F173/PRECIOS!F172)</f>
        <v>-0.00582830611965672</v>
      </c>
      <c r="G173" s="5" t="n">
        <f aca="false">+LN(PRECIOS!G173/PRECIOS!G172)</f>
        <v>-0.0055281063547999</v>
      </c>
      <c r="H173" s="5" t="n">
        <f aca="false">+LN(PRECIOS!H173/PRECIOS!H172)</f>
        <v>0.0228524599518752</v>
      </c>
      <c r="I173" s="5" t="n">
        <f aca="false">+LN(PRECIOS!I173/PRECIOS!I172)</f>
        <v>0.010695289116748</v>
      </c>
      <c r="J173" s="5" t="n">
        <f aca="false">+LN(PRECIOS!J173/PRECIOS!J172)</f>
        <v>0.00371689623482657</v>
      </c>
    </row>
    <row r="174" customFormat="false" ht="15" hidden="false" customHeight="false" outlineLevel="0" collapsed="false">
      <c r="A174" s="4" t="n">
        <f aca="false">PRECIOS!A174</f>
        <v>46189</v>
      </c>
      <c r="B174" s="5" t="n">
        <f aca="false">+LN(PRECIOS!B174/PRECIOS!B173)</f>
        <v>0.0110953597227785</v>
      </c>
      <c r="C174" s="5" t="n">
        <f aca="false">+LN(PRECIOS!C174/PRECIOS!C173)</f>
        <v>0.0092107323553468</v>
      </c>
      <c r="D174" s="5" t="n">
        <f aca="false">+LN(PRECIOS!D174/PRECIOS!D173)</f>
        <v>-0.00946650787155858</v>
      </c>
      <c r="E174" s="5" t="n">
        <f aca="false">+LN(PRECIOS!E174/PRECIOS!E173)</f>
        <v>-0.00155052145802186</v>
      </c>
      <c r="F174" s="5" t="n">
        <f aca="false">+LN(PRECIOS!F174/PRECIOS!F173)</f>
        <v>0.00493385167719635</v>
      </c>
      <c r="G174" s="5" t="n">
        <f aca="false">+LN(PRECIOS!G174/PRECIOS!G173)</f>
        <v>0.00939023849983444</v>
      </c>
      <c r="H174" s="5" t="n">
        <f aca="false">+LN(PRECIOS!H174/PRECIOS!H173)</f>
        <v>0.00587660848898519</v>
      </c>
      <c r="I174" s="5" t="n">
        <f aca="false">+LN(PRECIOS!I174/PRECIOS!I173)</f>
        <v>-0.00839379212846874</v>
      </c>
      <c r="J174" s="5" t="n">
        <f aca="false">+LN(PRECIOS!J174/PRECIOS!J173)</f>
        <v>0.00402866756398756</v>
      </c>
    </row>
    <row r="175" customFormat="false" ht="15" hidden="false" customHeight="false" outlineLevel="0" collapsed="false">
      <c r="A175" s="4" t="n">
        <f aca="false">PRECIOS!A175</f>
        <v>46190</v>
      </c>
      <c r="B175" s="5" t="n">
        <f aca="false">+LN(PRECIOS!B175/PRECIOS!B174)</f>
        <v>-0.00172409818807824</v>
      </c>
      <c r="C175" s="5" t="n">
        <f aca="false">+LN(PRECIOS!C175/PRECIOS!C174)</f>
        <v>0.0260957569026922</v>
      </c>
      <c r="D175" s="5" t="n">
        <f aca="false">+LN(PRECIOS!D175/PRECIOS!D174)</f>
        <v>-0.00912058439680885</v>
      </c>
      <c r="E175" s="5" t="n">
        <f aca="false">+LN(PRECIOS!E175/PRECIOS!E174)</f>
        <v>-0.00483927664074927</v>
      </c>
      <c r="F175" s="5" t="n">
        <f aca="false">+LN(PRECIOS!F175/PRECIOS!F174)</f>
        <v>-0.0230831701828736</v>
      </c>
      <c r="G175" s="5" t="n">
        <f aca="false">+LN(PRECIOS!G175/PRECIOS!G174)</f>
        <v>0.00909359994553589</v>
      </c>
      <c r="H175" s="5" t="n">
        <f aca="false">+LN(PRECIOS!H175/PRECIOS!H174)</f>
        <v>0.026025565277498</v>
      </c>
      <c r="I175" s="5" t="n">
        <f aca="false">+LN(PRECIOS!I175/PRECIOS!I174)</f>
        <v>-0.00788541445279296</v>
      </c>
      <c r="J175" s="5" t="n">
        <f aca="false">+LN(PRECIOS!J175/PRECIOS!J174)</f>
        <v>-0.00260564568177941</v>
      </c>
    </row>
    <row r="176" customFormat="false" ht="15" hidden="false" customHeight="false" outlineLevel="0" collapsed="false">
      <c r="A176" s="4" t="n">
        <f aca="false">PRECIOS!A176</f>
        <v>46191</v>
      </c>
      <c r="B176" s="5" t="n">
        <f aca="false">+LN(PRECIOS!B176/PRECIOS!B175)</f>
        <v>-0.018688613211514</v>
      </c>
      <c r="C176" s="5" t="n">
        <f aca="false">+LN(PRECIOS!C176/PRECIOS!C175)</f>
        <v>-0.028657671198893</v>
      </c>
      <c r="D176" s="5" t="n">
        <f aca="false">+LN(PRECIOS!D176/PRECIOS!D175)</f>
        <v>0.00261438057407067</v>
      </c>
      <c r="E176" s="5" t="n">
        <f aca="false">+LN(PRECIOS!E176/PRECIOS!E175)</f>
        <v>-0.0122016504211441</v>
      </c>
      <c r="F176" s="5" t="n">
        <f aca="false">+LN(PRECIOS!F176/PRECIOS!F175)</f>
        <v>0.0172496333347796</v>
      </c>
      <c r="G176" s="5" t="n">
        <f aca="false">+LN(PRECIOS!G176/PRECIOS!G175)</f>
        <v>0.00219527581367991</v>
      </c>
      <c r="H176" s="5" t="n">
        <f aca="false">+LN(PRECIOS!H176/PRECIOS!H175)</f>
        <v>-0.00190476248065395</v>
      </c>
      <c r="I176" s="5" t="n">
        <f aca="false">+LN(PRECIOS!I176/PRECIOS!I175)</f>
        <v>-0.0293908302519267</v>
      </c>
      <c r="J176" s="5" t="n">
        <f aca="false">+LN(PRECIOS!J176/PRECIOS!J175)</f>
        <v>-0.000580215970253854</v>
      </c>
    </row>
    <row r="177" customFormat="false" ht="15" hidden="false" customHeight="false" outlineLevel="0" collapsed="false">
      <c r="A177" s="4" t="n">
        <f aca="false">PRECIOS!A177</f>
        <v>46192</v>
      </c>
      <c r="B177" s="5" t="n">
        <f aca="false">+LN(PRECIOS!B177/PRECIOS!B176)</f>
        <v>-0.00753604634935381</v>
      </c>
      <c r="C177" s="5" t="n">
        <f aca="false">+LN(PRECIOS!C177/PRECIOS!C176)</f>
        <v>0.00554254243433848</v>
      </c>
      <c r="D177" s="5" t="n">
        <f aca="false">+LN(PRECIOS!D177/PRECIOS!D176)</f>
        <v>0.0210987374423225</v>
      </c>
      <c r="E177" s="5" t="n">
        <f aca="false">+LN(PRECIOS!E177/PRECIOS!E176)</f>
        <v>0.0297188422859481</v>
      </c>
      <c r="F177" s="5" t="n">
        <f aca="false">+LN(PRECIOS!F177/PRECIOS!F176)</f>
        <v>-0.0315454728352122</v>
      </c>
      <c r="G177" s="5" t="n">
        <f aca="false">+LN(PRECIOS!G177/PRECIOS!G176)</f>
        <v>-0.0119755619970117</v>
      </c>
      <c r="H177" s="5" t="n">
        <f aca="false">+LN(PRECIOS!H177/PRECIOS!H176)</f>
        <v>-0.0270547902316315</v>
      </c>
      <c r="I177" s="5" t="n">
        <f aca="false">+LN(PRECIOS!I177/PRECIOS!I176)</f>
        <v>0.0214427414978641</v>
      </c>
      <c r="J177" s="5" t="n">
        <f aca="false">+LN(PRECIOS!J177/PRECIOS!J176)</f>
        <v>-0.00823330419860183</v>
      </c>
    </row>
    <row r="178" customFormat="false" ht="15" hidden="false" customHeight="false" outlineLevel="0" collapsed="false">
      <c r="A178" s="4" t="n">
        <f aca="false">PRECIOS!A178</f>
        <v>46195</v>
      </c>
      <c r="B178" s="5" t="n">
        <f aca="false">+LN(PRECIOS!B178/PRECIOS!B177)</f>
        <v>-0.0102984548299996</v>
      </c>
      <c r="C178" s="5" t="n">
        <f aca="false">+LN(PRECIOS!C178/PRECIOS!C177)</f>
        <v>-0.0182349791478575</v>
      </c>
      <c r="D178" s="5" t="n">
        <f aca="false">+LN(PRECIOS!D178/PRECIOS!D177)</f>
        <v>-0.0351217542630718</v>
      </c>
      <c r="E178" s="5" t="n">
        <f aca="false">+LN(PRECIOS!E178/PRECIOS!E177)</f>
        <v>-0.0438483602920882</v>
      </c>
      <c r="F178" s="5" t="n">
        <f aca="false">+LN(PRECIOS!F178/PRECIOS!F177)</f>
        <v>0.0106261106114703</v>
      </c>
      <c r="G178" s="5" t="n">
        <f aca="false">+LN(PRECIOS!G178/PRECIOS!G177)</f>
        <v>-0.00726543115876379</v>
      </c>
      <c r="H178" s="5" t="n">
        <f aca="false">+LN(PRECIOS!H178/PRECIOS!H177)</f>
        <v>-0.0720758335700791</v>
      </c>
      <c r="I178" s="5" t="n">
        <f aca="false">+LN(PRECIOS!I178/PRECIOS!I177)</f>
        <v>-0.015890476589846</v>
      </c>
      <c r="J178" s="5" t="n">
        <f aca="false">+LN(PRECIOS!J178/PRECIOS!J177)</f>
        <v>-0.00860507111217549</v>
      </c>
    </row>
    <row r="179" customFormat="false" ht="15" hidden="false" customHeight="false" outlineLevel="0" collapsed="false">
      <c r="A179" s="4" t="n">
        <f aca="false">PRECIOS!A179</f>
        <v>46196</v>
      </c>
      <c r="B179" s="5" t="n">
        <f aca="false">+LN(PRECIOS!B179/PRECIOS!B178)</f>
        <v>0.015455813092976</v>
      </c>
      <c r="C179" s="5" t="n">
        <f aca="false">+LN(PRECIOS!C179/PRECIOS!C178)</f>
        <v>0.00324219456171636</v>
      </c>
      <c r="D179" s="5" t="n">
        <f aca="false">+LN(PRECIOS!D179/PRECIOS!D178)</f>
        <v>0.00220410051760698</v>
      </c>
      <c r="E179" s="5" t="n">
        <f aca="false">+LN(PRECIOS!E179/PRECIOS!E178)</f>
        <v>-0.00588709219677904</v>
      </c>
      <c r="F179" s="5" t="n">
        <f aca="false">+LN(PRECIOS!F179/PRECIOS!F178)</f>
        <v>-0.0194901761141347</v>
      </c>
      <c r="G179" s="5" t="n">
        <f aca="false">+LN(PRECIOS!G179/PRECIOS!G178)</f>
        <v>-0.0166916527917327</v>
      </c>
      <c r="H179" s="5" t="n">
        <f aca="false">+LN(PRECIOS!H179/PRECIOS!H178)</f>
        <v>-0.0021074823395647</v>
      </c>
      <c r="I179" s="5" t="n">
        <f aca="false">+LN(PRECIOS!I179/PRECIOS!I178)</f>
        <v>0.00493146280012627</v>
      </c>
      <c r="J179" s="5" t="n">
        <f aca="false">+LN(PRECIOS!J179/PRECIOS!J178)</f>
        <v>-0.00413275792720312</v>
      </c>
    </row>
    <row r="180" customFormat="false" ht="15" hidden="false" customHeight="false" outlineLevel="0" collapsed="false">
      <c r="A180" s="4" t="n">
        <f aca="false">PRECIOS!A180</f>
        <v>46197</v>
      </c>
      <c r="B180" s="5" t="n">
        <f aca="false">+LN(PRECIOS!B180/PRECIOS!B179)</f>
        <v>0.00347098748498639</v>
      </c>
      <c r="C180" s="5" t="n">
        <f aca="false">+LN(PRECIOS!C180/PRECIOS!C179)</f>
        <v>-0.0317904662103895</v>
      </c>
      <c r="D180" s="5" t="n">
        <f aca="false">+LN(PRECIOS!D180/PRECIOS!D179)</f>
        <v>0.00833155444272675</v>
      </c>
      <c r="E180" s="5" t="n">
        <f aca="false">+LN(PRECIOS!E180/PRECIOS!E179)</f>
        <v>-0.0122413769856536</v>
      </c>
      <c r="F180" s="5" t="n">
        <f aca="false">+LN(PRECIOS!F180/PRECIOS!F179)</f>
        <v>-0.0117842513829241</v>
      </c>
      <c r="G180" s="5" t="n">
        <f aca="false">+LN(PRECIOS!G180/PRECIOS!G179)</f>
        <v>-0.0135129828222315</v>
      </c>
      <c r="H180" s="5" t="n">
        <f aca="false">+LN(PRECIOS!H180/PRECIOS!H179)</f>
        <v>0.0270568013875133</v>
      </c>
      <c r="I180" s="5" t="n">
        <f aca="false">+LN(PRECIOS!I180/PRECIOS!I179)</f>
        <v>0.0134859856854758</v>
      </c>
      <c r="J180" s="5" t="n">
        <f aca="false">+LN(PRECIOS!J180/PRECIOS!J179)</f>
        <v>-0.00856950029728488</v>
      </c>
    </row>
    <row r="181" customFormat="false" ht="15" hidden="false" customHeight="false" outlineLevel="0" collapsed="false">
      <c r="A181" s="4" t="n">
        <f aca="false">PRECIOS!A181</f>
        <v>46198</v>
      </c>
      <c r="B181" s="5" t="n">
        <f aca="false">+LN(PRECIOS!B181/PRECIOS!B180)</f>
        <v>0.00317513239761018</v>
      </c>
      <c r="C181" s="5" t="n">
        <f aca="false">+LN(PRECIOS!C181/PRECIOS!C180)</f>
        <v>-0.0127790103548124</v>
      </c>
      <c r="D181" s="5" t="n">
        <f aca="false">+LN(PRECIOS!D181/PRECIOS!D180)</f>
        <v>0.00566080327239987</v>
      </c>
      <c r="E181" s="5" t="n">
        <f aca="false">+LN(PRECIOS!E181/PRECIOS!E180)</f>
        <v>0.0170606634216023</v>
      </c>
      <c r="F181" s="5" t="n">
        <f aca="false">+LN(PRECIOS!F181/PRECIOS!F180)</f>
        <v>0.0294345005750513</v>
      </c>
      <c r="G181" s="5" t="n">
        <f aca="false">+LN(PRECIOS!G181/PRECIOS!G180)</f>
        <v>0.019341071198431</v>
      </c>
      <c r="H181" s="5" t="n">
        <f aca="false">+LN(PRECIOS!H181/PRECIOS!H180)</f>
        <v>-0.0123968529768287</v>
      </c>
      <c r="I181" s="5" t="n">
        <f aca="false">+LN(PRECIOS!I181/PRECIOS!I180)</f>
        <v>-0.00760015350821445</v>
      </c>
      <c r="J181" s="5" t="n">
        <f aca="false">+LN(PRECIOS!J181/PRECIOS!J180)</f>
        <v>0.0170274738173912</v>
      </c>
    </row>
    <row r="182" customFormat="false" ht="15" hidden="false" customHeight="false" outlineLevel="0" collapsed="false">
      <c r="A182" s="4" t="n">
        <f aca="false">PRECIOS!A182</f>
        <v>46199</v>
      </c>
      <c r="B182" s="5" t="n">
        <f aca="false">+LN(PRECIOS!B182/PRECIOS!B181)</f>
        <v>0.000662189031859826</v>
      </c>
      <c r="C182" s="5" t="n">
        <f aca="false">+LN(PRECIOS!C182/PRECIOS!C181)</f>
        <v>0.0031538660970222</v>
      </c>
      <c r="D182" s="5" t="n">
        <f aca="false">+LN(PRECIOS!D182/PRECIOS!D181)</f>
        <v>0.0077855064537518</v>
      </c>
      <c r="E182" s="5" t="n">
        <f aca="false">+LN(PRECIOS!E182/PRECIOS!E181)</f>
        <v>0.0150219313259348</v>
      </c>
      <c r="F182" s="5" t="n">
        <f aca="false">+LN(PRECIOS!F182/PRECIOS!F181)</f>
        <v>-0.00832182333749222</v>
      </c>
      <c r="G182" s="5" t="n">
        <f aca="false">+LN(PRECIOS!G182/PRECIOS!G181)</f>
        <v>-0.0196702712452974</v>
      </c>
      <c r="H182" s="5" t="n">
        <f aca="false">+LN(PRECIOS!H182/PRECIOS!H181)</f>
        <v>-0.0136056520557785</v>
      </c>
      <c r="I182" s="5" t="n">
        <f aca="false">+LN(PRECIOS!I182/PRECIOS!I181)</f>
        <v>-0.00627945548484314</v>
      </c>
      <c r="J182" s="5" t="n">
        <f aca="false">+LN(PRECIOS!J182/PRECIOS!J181)</f>
        <v>-0.00282541557038629</v>
      </c>
    </row>
    <row r="183" customFormat="false" ht="15" hidden="false" customHeight="false" outlineLevel="0" collapsed="false">
      <c r="A183" s="4" t="n">
        <f aca="false">PRECIOS!A183</f>
        <v>46202</v>
      </c>
      <c r="B183" s="5" t="n">
        <f aca="false">+LN(PRECIOS!B183/PRECIOS!B182)</f>
        <v>-0.00307816405765244</v>
      </c>
      <c r="C183" s="5" t="n">
        <f aca="false">+LN(PRECIOS!C183/PRECIOS!C182)</f>
        <v>0.00448833787596112</v>
      </c>
      <c r="D183" s="5" t="n">
        <f aca="false">+LN(PRECIOS!D183/PRECIOS!D182)</f>
        <v>0.00515686574699286</v>
      </c>
      <c r="E183" s="5" t="n">
        <f aca="false">+LN(PRECIOS!E183/PRECIOS!E182)</f>
        <v>-0.000526361973728286</v>
      </c>
      <c r="F183" s="5" t="n">
        <f aca="false">+LN(PRECIOS!F183/PRECIOS!F182)</f>
        <v>-0.0126140425160967</v>
      </c>
      <c r="G183" s="5" t="n">
        <f aca="false">+LN(PRECIOS!G183/PRECIOS!G182)</f>
        <v>0.0151943018452089</v>
      </c>
      <c r="H183" s="5" t="n">
        <f aca="false">+LN(PRECIOS!H183/PRECIOS!H182)</f>
        <v>0.0187896968433665</v>
      </c>
      <c r="I183" s="5" t="n">
        <f aca="false">+LN(PRECIOS!I183/PRECIOS!I182)</f>
        <v>0.00667061527860447</v>
      </c>
      <c r="J183" s="5" t="n">
        <f aca="false">+LN(PRECIOS!J183/PRECIOS!J182)</f>
        <v>0.00614802042703603</v>
      </c>
    </row>
    <row r="184" customFormat="false" ht="15" hidden="false" customHeight="false" outlineLevel="0" collapsed="false">
      <c r="A184" s="4" t="n">
        <f aca="false">PRECIOS!A184</f>
        <v>46203</v>
      </c>
      <c r="B184" s="5" t="n">
        <f aca="false">+LN(PRECIOS!B184/PRECIOS!B183)</f>
        <v>-0.00599402394021053</v>
      </c>
      <c r="C184" s="5" t="n">
        <f aca="false">+LN(PRECIOS!C184/PRECIOS!C183)</f>
        <v>0.0252058447081274</v>
      </c>
      <c r="D184" s="5" t="n">
        <f aca="false">+LN(PRECIOS!D184/PRECIOS!D183)</f>
        <v>-0.0295802341042955</v>
      </c>
      <c r="E184" s="5" t="n">
        <f aca="false">+LN(PRECIOS!E184/PRECIOS!E183)</f>
        <v>0.00297906117105747</v>
      </c>
      <c r="F184" s="5" t="n">
        <f aca="false">+LN(PRECIOS!F184/PRECIOS!F183)</f>
        <v>-0.0127751914887228</v>
      </c>
      <c r="G184" s="5" t="n">
        <f aca="false">+LN(PRECIOS!G184/PRECIOS!G183)</f>
        <v>-0.00243513202397271</v>
      </c>
      <c r="H184" s="5" t="n">
        <f aca="false">+LN(PRECIOS!H184/PRECIOS!H183)</f>
        <v>-0.0103951040003401</v>
      </c>
      <c r="I184" s="5" t="n">
        <f aca="false">+LN(PRECIOS!I184/PRECIOS!I183)</f>
        <v>0.00448737461613582</v>
      </c>
      <c r="J184" s="5" t="n">
        <f aca="false">+LN(PRECIOS!J184/PRECIOS!J183)</f>
        <v>-0.0100130643848663</v>
      </c>
    </row>
    <row r="185" customFormat="false" ht="15" hidden="false" customHeight="false" outlineLevel="0" collapsed="false">
      <c r="A185" s="4" t="n">
        <f aca="false">PRECIOS!A185</f>
        <v>46204</v>
      </c>
      <c r="B185" s="5" t="n">
        <f aca="false">+LN(PRECIOS!B185/PRECIOS!B184)</f>
        <v>-0.00478286735372875</v>
      </c>
      <c r="C185" s="5" t="n">
        <f aca="false">+LN(PRECIOS!C185/PRECIOS!C184)</f>
        <v>-0.0127446242703155</v>
      </c>
      <c r="D185" s="5" t="n">
        <f aca="false">+LN(PRECIOS!D185/PRECIOS!D184)</f>
        <v>-0.00486834331741279</v>
      </c>
      <c r="E185" s="5" t="n">
        <f aca="false">+LN(PRECIOS!E185/PRECIOS!E184)</f>
        <v>-0.015517856795632</v>
      </c>
      <c r="F185" s="5" t="n">
        <f aca="false">+LN(PRECIOS!F185/PRECIOS!F184)</f>
        <v>0.0169975763685711</v>
      </c>
      <c r="G185" s="5" t="n">
        <f aca="false">+LN(PRECIOS!G185/PRECIOS!G184)</f>
        <v>0.0277840172466877</v>
      </c>
      <c r="H185" s="5" t="n">
        <f aca="false">+LN(PRECIOS!H185/PRECIOS!H184)</f>
        <v>-0.00313972000466786</v>
      </c>
      <c r="I185" s="5" t="n">
        <f aca="false">+LN(PRECIOS!I185/PRECIOS!I184)</f>
        <v>-0.00585710381962394</v>
      </c>
      <c r="J185" s="5" t="n">
        <f aca="false">+LN(PRECIOS!J185/PRECIOS!J184)</f>
        <v>0.00418897323164364</v>
      </c>
    </row>
    <row r="186" customFormat="false" ht="15" hidden="false" customHeight="false" outlineLevel="0" collapsed="false">
      <c r="A186" s="4" t="n">
        <f aca="false">PRECIOS!A186</f>
        <v>46205</v>
      </c>
      <c r="B186" s="5" t="n">
        <f aca="false">+LN(PRECIOS!B186/PRECIOS!B185)</f>
        <v>0.000239687448715772</v>
      </c>
      <c r="C186" s="5" t="n">
        <f aca="false">+LN(PRECIOS!C186/PRECIOS!C185)</f>
        <v>0.00683198249686688</v>
      </c>
      <c r="D186" s="5" t="n">
        <f aca="false">+LN(PRECIOS!D186/PRECIOS!D185)</f>
        <v>-0.00533809096761624</v>
      </c>
      <c r="E186" s="5" t="n">
        <f aca="false">+LN(PRECIOS!E186/PRECIOS!E185)</f>
        <v>0.00213030437390304</v>
      </c>
      <c r="F186" s="5" t="n">
        <f aca="false">+LN(PRECIOS!F186/PRECIOS!F185)</f>
        <v>0.000468055239062135</v>
      </c>
      <c r="G186" s="5" t="n">
        <f aca="false">+LN(PRECIOS!G186/PRECIOS!G185)</f>
        <v>-0.0109678689734245</v>
      </c>
      <c r="H186" s="5" t="n">
        <f aca="false">+LN(PRECIOS!H186/PRECIOS!H185)</f>
        <v>-0.0211872332194438</v>
      </c>
      <c r="I186" s="5" t="n">
        <f aca="false">+LN(PRECIOS!I186/PRECIOS!I185)</f>
        <v>-0.0259857922286286</v>
      </c>
      <c r="J186" s="5" t="n">
        <f aca="false">+LN(PRECIOS!J186/PRECIOS!J185)</f>
        <v>-0.00263075564046961</v>
      </c>
    </row>
    <row r="187" customFormat="false" ht="15" hidden="false" customHeight="false" outlineLevel="0" collapsed="false">
      <c r="A187" s="4" t="n">
        <f aca="false">PRECIOS!A187</f>
        <v>46206</v>
      </c>
      <c r="B187" s="5" t="n">
        <f aca="false">+LN(PRECIOS!B187/PRECIOS!B186)</f>
        <v>-0.00856845523436218</v>
      </c>
      <c r="C187" s="5" t="n">
        <f aca="false">+LN(PRECIOS!C187/PRECIOS!C186)</f>
        <v>-0.00948920283805807</v>
      </c>
      <c r="D187" s="5" t="n">
        <f aca="false">+LN(PRECIOS!D187/PRECIOS!D186)</f>
        <v>0.00533809096761618</v>
      </c>
      <c r="E187" s="5" t="n">
        <f aca="false">+LN(PRECIOS!E187/PRECIOS!E186)</f>
        <v>-0.00195260557290244</v>
      </c>
      <c r="F187" s="5" t="n">
        <f aca="false">+LN(PRECIOS!F187/PRECIOS!F186)</f>
        <v>0.00280374015442935</v>
      </c>
      <c r="G187" s="5" t="n">
        <f aca="false">+LN(PRECIOS!G187/PRECIOS!G186)</f>
        <v>-0.0034689827983079</v>
      </c>
      <c r="H187" s="5" t="n">
        <f aca="false">+LN(PRECIOS!H187/PRECIOS!H186)</f>
        <v>0.00958984440461495</v>
      </c>
      <c r="I187" s="5" t="n">
        <f aca="false">+LN(PRECIOS!I187/PRECIOS!I186)</f>
        <v>0.00700914054070922</v>
      </c>
      <c r="J187" s="5" t="n">
        <f aca="false">+LN(PRECIOS!J187/PRECIOS!J186)</f>
        <v>-0.000158351947224756</v>
      </c>
    </row>
    <row r="188" customFormat="false" ht="15" hidden="false" customHeight="false" outlineLevel="0" collapsed="false">
      <c r="A188" s="4" t="n">
        <f aca="false">PRECIOS!A188</f>
        <v>46209</v>
      </c>
      <c r="B188" s="5" t="n">
        <f aca="false">+LN(PRECIOS!B188/PRECIOS!B187)</f>
        <v>-0.00620728436983888</v>
      </c>
      <c r="C188" s="5" t="n">
        <f aca="false">+LN(PRECIOS!C188/PRECIOS!C187)</f>
        <v>-0.00913248356327259</v>
      </c>
      <c r="D188" s="5" t="n">
        <f aca="false">+LN(PRECIOS!D188/PRECIOS!D187)</f>
        <v>0.0101523714640181</v>
      </c>
      <c r="E188" s="5" t="n">
        <f aca="false">+LN(PRECIOS!E188/PRECIOS!E187)</f>
        <v>0.0134135438598521</v>
      </c>
      <c r="F188" s="5" t="n">
        <f aca="false">+LN(PRECIOS!F188/PRECIOS!F187)</f>
        <v>-0.000933706883894221</v>
      </c>
      <c r="G188" s="5" t="n">
        <f aca="false">+LN(PRECIOS!G188/PRECIOS!G187)</f>
        <v>0.00724447849575397</v>
      </c>
      <c r="H188" s="5" t="n">
        <f aca="false">+LN(PRECIOS!H188/PRECIOS!H187)</f>
        <v>0.015781495337403</v>
      </c>
      <c r="I188" s="5" t="n">
        <f aca="false">+LN(PRECIOS!I188/PRECIOS!I187)</f>
        <v>-0.02117655014129</v>
      </c>
      <c r="J188" s="5" t="n">
        <f aca="false">+LN(PRECIOS!J188/PRECIOS!J187)</f>
        <v>0.00603553759866224</v>
      </c>
    </row>
    <row r="189" customFormat="false" ht="15" hidden="false" customHeight="false" outlineLevel="0" collapsed="false">
      <c r="A189" s="4" t="n">
        <f aca="false">PRECIOS!A189</f>
        <v>46210</v>
      </c>
      <c r="B189" s="5" t="n">
        <f aca="false">+LN(PRECIOS!B189/PRECIOS!B188)</f>
        <v>0.0129526725093706</v>
      </c>
      <c r="C189" s="5" t="n">
        <f aca="false">+LN(PRECIOS!C189/PRECIOS!C188)</f>
        <v>-0.00381123653801591</v>
      </c>
      <c r="D189" s="5" t="n">
        <f aca="false">+LN(PRECIOS!D189/PRECIOS!D188)</f>
        <v>0.0083096913757174</v>
      </c>
      <c r="E189" s="5" t="n">
        <f aca="false">+LN(PRECIOS!E189/PRECIOS!E188)</f>
        <v>-0.00633136128356082</v>
      </c>
      <c r="F189" s="5" t="n">
        <f aca="false">+LN(PRECIOS!F189/PRECIOS!F188)</f>
        <v>-0.00938533402500037</v>
      </c>
      <c r="G189" s="5" t="n">
        <f aca="false">+LN(PRECIOS!G189/PRECIOS!G188)</f>
        <v>-0.00122148771128958</v>
      </c>
      <c r="H189" s="5" t="n">
        <f aca="false">+LN(PRECIOS!H189/PRECIOS!H188)</f>
        <v>0.00416667269484591</v>
      </c>
      <c r="I189" s="5" t="n">
        <f aca="false">+LN(PRECIOS!I189/PRECIOS!I188)</f>
        <v>0.0205776879614998</v>
      </c>
      <c r="J189" s="5" t="n">
        <f aca="false">+LN(PRECIOS!J189/PRECIOS!J188)</f>
        <v>-0.0118050148790173</v>
      </c>
    </row>
    <row r="190" customFormat="false" ht="15" hidden="false" customHeight="false" outlineLevel="0" collapsed="false">
      <c r="A190" s="4" t="n">
        <f aca="false">PRECIOS!A190</f>
        <v>46211</v>
      </c>
      <c r="B190" s="5" t="n">
        <f aca="false">+LN(PRECIOS!B190/PRECIOS!B189)</f>
        <v>-0.0116886956760428</v>
      </c>
      <c r="C190" s="5" t="n">
        <f aca="false">+LN(PRECIOS!C190/PRECIOS!C189)</f>
        <v>0.00134680155037857</v>
      </c>
      <c r="D190" s="5" t="n">
        <f aca="false">+LN(PRECIOS!D190/PRECIOS!D189)</f>
        <v>0.0112604048183796</v>
      </c>
      <c r="E190" s="5" t="n">
        <f aca="false">+LN(PRECIOS!E190/PRECIOS!E189)</f>
        <v>0.00317069140037401</v>
      </c>
      <c r="F190" s="5" t="n">
        <f aca="false">+LN(PRECIOS!F190/PRECIOS!F189)</f>
        <v>0.00845075451772325</v>
      </c>
      <c r="G190" s="5" t="n">
        <f aca="false">+LN(PRECIOS!G190/PRECIOS!G189)</f>
        <v>-0.00666473635437928</v>
      </c>
      <c r="H190" s="5" t="n">
        <f aca="false">+LN(PRECIOS!H190/PRECIOS!H189)</f>
        <v>-0.00835077921741996</v>
      </c>
      <c r="I190" s="5" t="n">
        <f aca="false">+LN(PRECIOS!I190/PRECIOS!I189)</f>
        <v>-0.0080192891666197</v>
      </c>
      <c r="J190" s="5" t="n">
        <f aca="false">+LN(PRECIOS!J190/PRECIOS!J189)</f>
        <v>-0.000976258803806793</v>
      </c>
    </row>
    <row r="191" customFormat="false" ht="15" hidden="false" customHeight="false" outlineLevel="0" collapsed="false">
      <c r="A191" s="4" t="n">
        <f aca="false">PRECIOS!A191</f>
        <v>46212</v>
      </c>
      <c r="B191" s="5" t="n">
        <f aca="false">+LN(PRECIOS!B191/PRECIOS!B190)</f>
        <v>-0.0183869267687282</v>
      </c>
      <c r="C191" s="5" t="n">
        <f aca="false">+LN(PRECIOS!C191/PRECIOS!C190)</f>
        <v>0.00782039512434586</v>
      </c>
      <c r="D191" s="5" t="n">
        <f aca="false">+LN(PRECIOS!D191/PRECIOS!D190)</f>
        <v>-0.0252957229347632</v>
      </c>
      <c r="E191" s="5" t="n">
        <f aca="false">+LN(PRECIOS!E191/PRECIOS!E190)</f>
        <v>-0.0164911973893571</v>
      </c>
      <c r="F191" s="5" t="n">
        <f aca="false">+LN(PRECIOS!F191/PRECIOS!F190)</f>
        <v>0.0148494607958863</v>
      </c>
      <c r="G191" s="5" t="n">
        <f aca="false">+LN(PRECIOS!G191/PRECIOS!G190)</f>
        <v>-0.00848828562749911</v>
      </c>
      <c r="H191" s="5" t="n">
        <f aca="false">+LN(PRECIOS!H191/PRECIOS!H190)</f>
        <v>-0.00525487283835859</v>
      </c>
      <c r="I191" s="5" t="n">
        <f aca="false">+LN(PRECIOS!I191/PRECIOS!I190)</f>
        <v>-0.0133740595252568</v>
      </c>
      <c r="J191" s="5" t="n">
        <f aca="false">+LN(PRECIOS!J191/PRECIOS!J190)</f>
        <v>-0.00757043486614174</v>
      </c>
    </row>
    <row r="192" customFormat="false" ht="15" hidden="false" customHeight="false" outlineLevel="0" collapsed="false">
      <c r="A192" s="4" t="n">
        <f aca="false">PRECIOS!A192</f>
        <v>46213</v>
      </c>
      <c r="B192" s="5" t="n">
        <f aca="false">+LN(PRECIOS!B192/PRECIOS!B191)</f>
        <v>-0.0192356859000615</v>
      </c>
      <c r="C192" s="5" t="n">
        <f aca="false">+LN(PRECIOS!C192/PRECIOS!C191)</f>
        <v>-0.0116410537780578</v>
      </c>
      <c r="D192" s="5" t="n">
        <f aca="false">+LN(PRECIOS!D192/PRECIOS!D191)</f>
        <v>0.00396738452946968</v>
      </c>
      <c r="E192" s="5" t="n">
        <f aca="false">+LN(PRECIOS!E192/PRECIOS!E191)</f>
        <v>0.00303490369515411</v>
      </c>
      <c r="F192" s="5" t="n">
        <f aca="false">+LN(PRECIOS!F192/PRECIOS!F191)</f>
        <v>0.00688549885819185</v>
      </c>
      <c r="G192" s="5" t="n">
        <f aca="false">+LN(PRECIOS!G192/PRECIOS!G191)</f>
        <v>0.00666776681241645</v>
      </c>
      <c r="H192" s="5" t="n">
        <f aca="false">+LN(PRECIOS!H192/PRECIOS!H191)</f>
        <v>0.0249752835760771</v>
      </c>
      <c r="I192" s="5" t="n">
        <f aca="false">+LN(PRECIOS!I192/PRECIOS!I191)</f>
        <v>0.00610130019617689</v>
      </c>
      <c r="J192" s="5" t="n">
        <f aca="false">+LN(PRECIOS!J192/PRECIOS!J191)</f>
        <v>0.00586442237505042</v>
      </c>
    </row>
    <row r="193" customFormat="false" ht="15" hidden="false" customHeight="false" outlineLevel="0" collapsed="false">
      <c r="A193" s="4" t="n">
        <f aca="false">PRECIOS!A193</f>
        <v>46216</v>
      </c>
      <c r="B193" s="5" t="n">
        <f aca="false">+LN(PRECIOS!B193/PRECIOS!B192)</f>
        <v>-0.00161559079923039</v>
      </c>
      <c r="C193" s="5" t="n">
        <f aca="false">+LN(PRECIOS!C193/PRECIOS!C192)</f>
        <v>-0.0115503492228852</v>
      </c>
      <c r="D193" s="5" t="n">
        <f aca="false">+LN(PRECIOS!D193/PRECIOS!D192)</f>
        <v>0.00263620539314095</v>
      </c>
      <c r="E193" s="5" t="n">
        <f aca="false">+LN(PRECIOS!E193/PRECIOS!E192)</f>
        <v>-0.00410824905759327</v>
      </c>
      <c r="F193" s="5" t="n">
        <f aca="false">+LN(PRECIOS!F193/PRECIOS!F192)</f>
        <v>-0.00366636524357796</v>
      </c>
      <c r="G193" s="5" t="n">
        <f aca="false">+LN(PRECIOS!G193/PRECIOS!G192)</f>
        <v>-0.0245224678932842</v>
      </c>
      <c r="H193" s="5" t="n">
        <f aca="false">+LN(PRECIOS!H193/PRECIOS!H192)</f>
        <v>-0.0124096732157127</v>
      </c>
      <c r="I193" s="5" t="n">
        <f aca="false">+LN(PRECIOS!I193/PRECIOS!I192)</f>
        <v>0.00666871219503813</v>
      </c>
      <c r="J193" s="5" t="n">
        <f aca="false">+LN(PRECIOS!J193/PRECIOS!J192)</f>
        <v>-0.00789651929211904</v>
      </c>
    </row>
    <row r="194" customFormat="false" ht="15" hidden="false" customHeight="false" outlineLevel="0" collapsed="false">
      <c r="A194" s="4" t="n">
        <f aca="false">PRECIOS!A194</f>
        <v>46217</v>
      </c>
      <c r="B194" s="5" t="n">
        <f aca="false">+LN(PRECIOS!B194/PRECIOS!B193)</f>
        <v>-0.00258025490350796</v>
      </c>
      <c r="C194" s="5" t="n">
        <f aca="false">+LN(PRECIOS!C194/PRECIOS!C193)</f>
        <v>-0.024675528453846</v>
      </c>
      <c r="D194" s="5" t="n">
        <f aca="false">+LN(PRECIOS!D194/PRECIOS!D193)</f>
        <v>0.00306681510907172</v>
      </c>
      <c r="E194" s="5" t="n">
        <f aca="false">+LN(PRECIOS!E194/PRECIOS!E193)</f>
        <v>0.00873212355942201</v>
      </c>
      <c r="F194" s="5" t="n">
        <f aca="false">+LN(PRECIOS!F194/PRECIOS!F193)</f>
        <v>0.0191001713734192</v>
      </c>
      <c r="G194" s="5" t="n">
        <f aca="false">+LN(PRECIOS!G194/PRECIOS!G193)</f>
        <v>0.0223764291920875</v>
      </c>
      <c r="H194" s="5" t="n">
        <f aca="false">+LN(PRECIOS!H194/PRECIOS!H193)</f>
        <v>-0.00835950531609041</v>
      </c>
      <c r="I194" s="5" t="n">
        <f aca="false">+LN(PRECIOS!I194/PRECIOS!I193)</f>
        <v>-0.00768301393530981</v>
      </c>
      <c r="J194" s="5" t="n">
        <f aca="false">+LN(PRECIOS!J194/PRECIOS!J193)</f>
        <v>0.00817018210515602</v>
      </c>
    </row>
    <row r="195" customFormat="false" ht="15" hidden="false" customHeight="false" outlineLevel="0" collapsed="false">
      <c r="A195" s="4" t="n">
        <f aca="false">PRECIOS!A195</f>
        <v>46218</v>
      </c>
      <c r="B195" s="5" t="n">
        <f aca="false">+LN(PRECIOS!B195/PRECIOS!B194)</f>
        <v>-0.00599564826413647</v>
      </c>
      <c r="C195" s="5" t="n">
        <f aca="false">+LN(PRECIOS!C195/PRECIOS!C194)</f>
        <v>-0.027937423014428</v>
      </c>
      <c r="D195" s="5" t="n">
        <f aca="false">+LN(PRECIOS!D195/PRECIOS!D194)</f>
        <v>-0.00614306451371405</v>
      </c>
      <c r="E195" s="5" t="n">
        <f aca="false">+LN(PRECIOS!E195/PRECIOS!E194)</f>
        <v>0.0203730263823118</v>
      </c>
      <c r="F195" s="5" t="n">
        <f aca="false">+LN(PRECIOS!F195/PRECIOS!F194)</f>
        <v>0.0187421818097407</v>
      </c>
      <c r="G195" s="5" t="n">
        <f aca="false">+LN(PRECIOS!G195/PRECIOS!G194)</f>
        <v>-0.0147709976264514</v>
      </c>
      <c r="H195" s="5" t="n">
        <f aca="false">+LN(PRECIOS!H195/PRECIOS!H194)</f>
        <v>0.00314300939719922</v>
      </c>
      <c r="I195" s="5" t="n">
        <f aca="false">+LN(PRECIOS!I195/PRECIOS!I194)</f>
        <v>0.00868955654671129</v>
      </c>
      <c r="J195" s="5" t="n">
        <f aca="false">+LN(PRECIOS!J195/PRECIOS!J194)</f>
        <v>-0.00172427313555275</v>
      </c>
    </row>
    <row r="196" customFormat="false" ht="15" hidden="false" customHeight="false" outlineLevel="0" collapsed="false">
      <c r="A196" s="4" t="n">
        <f aca="false">PRECIOS!A196</f>
        <v>46219</v>
      </c>
      <c r="B196" s="5" t="n">
        <f aca="false">+LN(PRECIOS!B196/PRECIOS!B195)</f>
        <v>-0.0010708003980611</v>
      </c>
      <c r="C196" s="5" t="n">
        <f aca="false">+LN(PRECIOS!C196/PRECIOS!C195)</f>
        <v>0.00335570784697232</v>
      </c>
      <c r="D196" s="5" t="n">
        <f aca="false">+LN(PRECIOS!D196/PRECIOS!D195)</f>
        <v>0.00526779093485881</v>
      </c>
      <c r="E196" s="5" t="n">
        <f aca="false">+LN(PRECIOS!E196/PRECIOS!E195)</f>
        <v>0.00693003466466963</v>
      </c>
      <c r="F196" s="5" t="n">
        <f aca="false">+LN(PRECIOS!F196/PRECIOS!F195)</f>
        <v>0.00704848733106159</v>
      </c>
      <c r="G196" s="5" t="n">
        <f aca="false">+LN(PRECIOS!G196/PRECIOS!G195)</f>
        <v>-0.0168754863619226</v>
      </c>
      <c r="H196" s="5" t="n">
        <f aca="false">+LN(PRECIOS!H196/PRECIOS!H195)</f>
        <v>-0.00524385050601104</v>
      </c>
      <c r="I196" s="5" t="n">
        <f aca="false">+LN(PRECIOS!I196/PRECIOS!I195)</f>
        <v>-0.00282087634164134</v>
      </c>
      <c r="J196" s="5" t="n">
        <f aca="false">+LN(PRECIOS!J196/PRECIOS!J195)</f>
        <v>-0.000657146453409276</v>
      </c>
    </row>
    <row r="197" customFormat="false" ht="15" hidden="false" customHeight="false" outlineLevel="0" collapsed="false">
      <c r="A197" s="4" t="n">
        <f aca="false">PRECIOS!A197</f>
        <v>46220</v>
      </c>
      <c r="B197" s="5" t="n">
        <f aca="false">+LN(PRECIOS!B197/PRECIOS!B196)</f>
        <v>0.0223991607513322</v>
      </c>
      <c r="C197" s="5" t="n">
        <f aca="false">+LN(PRECIOS!C197/PRECIOS!C196)</f>
        <v>-0.00816919487851996</v>
      </c>
      <c r="D197" s="5" t="n">
        <f aca="false">+LN(PRECIOS!D197/PRECIOS!D196)</f>
        <v>0.0100196873978529</v>
      </c>
      <c r="E197" s="5" t="n">
        <f aca="false">+LN(PRECIOS!E197/PRECIOS!E196)</f>
        <v>0.00138026246895849</v>
      </c>
      <c r="F197" s="5" t="n">
        <f aca="false">+LN(PRECIOS!F197/PRECIOS!F196)</f>
        <v>-0.00219732015458431</v>
      </c>
      <c r="G197" s="5" t="n">
        <f aca="false">+LN(PRECIOS!G197/PRECIOS!G196)</f>
        <v>0.00420424362149927</v>
      </c>
      <c r="H197" s="5" t="n">
        <f aca="false">+LN(PRECIOS!H197/PRECIOS!H196)</f>
        <v>0.00628932890756392</v>
      </c>
      <c r="I197" s="5" t="n">
        <f aca="false">+LN(PRECIOS!I197/PRECIOS!I196)</f>
        <v>-0.00141342779714696</v>
      </c>
      <c r="J197" s="5" t="n">
        <f aca="false">+LN(PRECIOS!J197/PRECIOS!J196)</f>
        <v>0.00418286692650572</v>
      </c>
    </row>
    <row r="198" customFormat="false" ht="15" hidden="false" customHeight="false" outlineLevel="0" collapsed="false">
      <c r="A198" s="4" t="n">
        <f aca="false">PRECIOS!A198</f>
        <v>46223</v>
      </c>
      <c r="B198" s="5" t="n">
        <f aca="false">+LN(PRECIOS!B198/PRECIOS!B197)</f>
        <v>0.0060182718765533</v>
      </c>
      <c r="C198" s="5" t="n">
        <f aca="false">+LN(PRECIOS!C198/PRECIOS!C197)</f>
        <v>-0.00120700075003534</v>
      </c>
      <c r="D198" s="5" t="n">
        <f aca="false">+LN(PRECIOS!D198/PRECIOS!D197)</f>
        <v>-0.0139679267887029</v>
      </c>
      <c r="E198" s="5" t="n">
        <f aca="false">+LN(PRECIOS!E198/PRECIOS!E197)</f>
        <v>0.0255333020051648</v>
      </c>
      <c r="F198" s="5" t="n">
        <f aca="false">+LN(PRECIOS!F198/PRECIOS!F197)</f>
        <v>-0.0381126603106715</v>
      </c>
      <c r="G198" s="5" t="n">
        <f aca="false">+LN(PRECIOS!G198/PRECIOS!G197)</f>
        <v>-0.00647968373528383</v>
      </c>
      <c r="H198" s="5" t="n">
        <f aca="false">+LN(PRECIOS!H198/PRECIOS!H197)</f>
        <v>0.0145230768383707</v>
      </c>
      <c r="I198" s="5" t="n">
        <f aca="false">+LN(PRECIOS!I198/PRECIOS!I197)</f>
        <v>-0.00303551786258408</v>
      </c>
      <c r="J198" s="5" t="n">
        <f aca="false">+LN(PRECIOS!J198/PRECIOS!J197)</f>
        <v>-0.00770509264001077</v>
      </c>
    </row>
    <row r="199" customFormat="false" ht="15" hidden="false" customHeight="false" outlineLevel="0" collapsed="false">
      <c r="A199" s="4" t="n">
        <f aca="false">PRECIOS!A199</f>
        <v>46224</v>
      </c>
      <c r="B199" s="5" t="n">
        <f aca="false">+LN(PRECIOS!B199/PRECIOS!B198)</f>
        <v>0.0107032021305697</v>
      </c>
      <c r="C199" s="5" t="n">
        <f aca="false">+LN(PRECIOS!C199/PRECIOS!C198)</f>
        <v>-0.0339015516756812</v>
      </c>
      <c r="D199" s="5" t="n">
        <f aca="false">+LN(PRECIOS!D199/PRECIOS!D198)</f>
        <v>0</v>
      </c>
      <c r="E199" s="5" t="n">
        <f aca="false">+LN(PRECIOS!E199/PRECIOS!E198)</f>
        <v>-0.00286123228103224</v>
      </c>
      <c r="F199" s="5" t="n">
        <f aca="false">+LN(PRECIOS!F199/PRECIOS!F198)</f>
        <v>0.00864624271486463</v>
      </c>
      <c r="G199" s="5" t="n">
        <f aca="false">+LN(PRECIOS!G199/PRECIOS!G198)</f>
        <v>0.0386371447550108</v>
      </c>
      <c r="H199" s="5" t="n">
        <f aca="false">+LN(PRECIOS!H199/PRECIOS!H198)</f>
        <v>0.00513611812176749</v>
      </c>
      <c r="I199" s="5" t="n">
        <f aca="false">+LN(PRECIOS!I199/PRECIOS!I198)</f>
        <v>-0.00446882726232379</v>
      </c>
      <c r="J199" s="5" t="n">
        <f aca="false">+LN(PRECIOS!J199/PRECIOS!J198)</f>
        <v>0.00889896091907881</v>
      </c>
    </row>
    <row r="200" customFormat="false" ht="15" hidden="false" customHeight="false" outlineLevel="0" collapsed="false">
      <c r="A200" s="4" t="n">
        <f aca="false">PRECIOS!A200</f>
        <v>46225</v>
      </c>
      <c r="B200" s="5" t="n">
        <f aca="false">+LN(PRECIOS!B200/PRECIOS!B199)</f>
        <v>0.00835434910128807</v>
      </c>
      <c r="C200" s="5" t="n">
        <f aca="false">+LN(PRECIOS!C200/PRECIOS!C199)</f>
        <v>0.00399003023120096</v>
      </c>
      <c r="D200" s="5" t="n">
        <f aca="false">+LN(PRECIOS!D200/PRECIOS!D199)</f>
        <v>-0.00264084660520901</v>
      </c>
      <c r="E200" s="5" t="n">
        <f aca="false">+LN(PRECIOS!E200/PRECIOS!E199)</f>
        <v>0.0147233712058047</v>
      </c>
      <c r="F200" s="5" t="n">
        <f aca="false">+LN(PRECIOS!F200/PRECIOS!F199)</f>
        <v>0.00452080335957512</v>
      </c>
      <c r="G200" s="5" t="n">
        <f aca="false">+LN(PRECIOS!G200/PRECIOS!G199)</f>
        <v>0.0240313658619142</v>
      </c>
      <c r="H200" s="5" t="n">
        <f aca="false">+LN(PRECIOS!H200/PRECIOS!H199)</f>
        <v>0.0112074530203891</v>
      </c>
      <c r="I200" s="5" t="n">
        <f aca="false">+LN(PRECIOS!I200/PRECIOS!I199)</f>
        <v>-0.0120841204217622</v>
      </c>
      <c r="J200" s="5" t="n">
        <f aca="false">+LN(PRECIOS!J200/PRECIOS!J199)</f>
        <v>0.00880486663733978</v>
      </c>
    </row>
    <row r="201" customFormat="false" ht="15" hidden="false" customHeight="false" outlineLevel="0" collapsed="false">
      <c r="A201" s="4" t="n">
        <f aca="false">PRECIOS!A201</f>
        <v>46226</v>
      </c>
      <c r="B201" s="5" t="n">
        <f aca="false">+LN(PRECIOS!B201/PRECIOS!B200)</f>
        <v>-0.0455381840697954</v>
      </c>
      <c r="C201" s="5" t="n">
        <f aca="false">+LN(PRECIOS!C201/PRECIOS!C200)</f>
        <v>-0.00399003023120089</v>
      </c>
      <c r="D201" s="5" t="n">
        <f aca="false">+LN(PRECIOS!D201/PRECIOS!D200)</f>
        <v>0.00308031046637977</v>
      </c>
      <c r="E201" s="5" t="n">
        <f aca="false">+LN(PRECIOS!E201/PRECIOS!E200)</f>
        <v>-0.0203010075706371</v>
      </c>
      <c r="F201" s="5" t="n">
        <f aca="false">+LN(PRECIOS!F201/PRECIOS!F200)</f>
        <v>-0.030687088494603</v>
      </c>
      <c r="G201" s="5" t="n">
        <f aca="false">+LN(PRECIOS!G201/PRECIOS!G200)</f>
        <v>-0.0123925131426407</v>
      </c>
      <c r="H201" s="5" t="n">
        <f aca="false">+LN(PRECIOS!H201/PRECIOS!H200)</f>
        <v>-0.00304414238122813</v>
      </c>
      <c r="I201" s="5" t="n">
        <f aca="false">+LN(PRECIOS!I201/PRECIOS!I200)</f>
        <v>-0.0248265593312869</v>
      </c>
      <c r="J201" s="5" t="n">
        <f aca="false">+LN(PRECIOS!J201/PRECIOS!J200)</f>
        <v>-0.0155400483439512</v>
      </c>
    </row>
    <row r="202" customFormat="false" ht="15" hidden="false" customHeight="false" outlineLevel="0" collapsed="false">
      <c r="A202" s="4" t="n">
        <f aca="false">PRECIOS!A202</f>
        <v>46227</v>
      </c>
      <c r="B202" s="5" t="n">
        <f aca="false">+LN(PRECIOS!B202/PRECIOS!B201)</f>
        <v>0.0136545056645736</v>
      </c>
      <c r="C202" s="5" t="n">
        <f aca="false">+LN(PRECIOS!C202/PRECIOS!C201)</f>
        <v>0.0183218791989365</v>
      </c>
      <c r="D202" s="5" t="n">
        <f aca="false">+LN(PRECIOS!D202/PRECIOS!D201)</f>
        <v>0.00219442703816639</v>
      </c>
      <c r="E202" s="5" t="n">
        <f aca="false">+LN(PRECIOS!E202/PRECIOS!E201)</f>
        <v>-0.0117638386716548</v>
      </c>
      <c r="F202" s="5" t="n">
        <f aca="false">+LN(PRECIOS!F202/PRECIOS!F201)</f>
        <v>-0.0168859546915255</v>
      </c>
      <c r="G202" s="5" t="n">
        <f aca="false">+LN(PRECIOS!G202/PRECIOS!G201)</f>
        <v>0.0157789031041585</v>
      </c>
      <c r="H202" s="5" t="n">
        <f aca="false">+LN(PRECIOS!H202/PRECIOS!H201)</f>
        <v>-0.00305343748689023</v>
      </c>
      <c r="I202" s="5" t="n">
        <f aca="false">+LN(PRECIOS!I202/PRECIOS!I201)</f>
        <v>0.0155106861411141</v>
      </c>
      <c r="J202" s="5" t="n">
        <f aca="false">+LN(PRECIOS!J202/PRECIOS!J201)</f>
        <v>0.00176782021545523</v>
      </c>
    </row>
    <row r="203" customFormat="false" ht="15" hidden="false" customHeight="false" outlineLevel="0" collapsed="false">
      <c r="A203" s="4" t="n">
        <f aca="false">PRECIOS!A203</f>
        <v>46230</v>
      </c>
      <c r="B203" s="5" t="n">
        <f aca="false">+LN(PRECIOS!B203/PRECIOS!B202)</f>
        <v>0.00105424342704401</v>
      </c>
      <c r="C203" s="5" t="n">
        <f aca="false">+LN(PRECIOS!C203/PRECIOS!C202)</f>
        <v>0.00538293445622953</v>
      </c>
      <c r="D203" s="5" t="n">
        <f aca="false">+LN(PRECIOS!D203/PRECIOS!D202)</f>
        <v>-0.0154630869859995</v>
      </c>
      <c r="E203" s="5" t="n">
        <f aca="false">+LN(PRECIOS!E203/PRECIOS!E202)</f>
        <v>0.0136265096022134</v>
      </c>
      <c r="F203" s="5" t="n">
        <f aca="false">+LN(PRECIOS!F203/PRECIOS!F202)</f>
        <v>0.0108210888889646</v>
      </c>
      <c r="G203" s="5" t="n">
        <f aca="false">+LN(PRECIOS!G203/PRECIOS!G202)</f>
        <v>0.0214054995619398</v>
      </c>
      <c r="H203" s="5" t="n">
        <f aca="false">+LN(PRECIOS!H203/PRECIOS!H202)</f>
        <v>0.00711023818250481</v>
      </c>
      <c r="I203" s="5" t="n">
        <f aca="false">+LN(PRECIOS!I203/PRECIOS!I202)</f>
        <v>0.00663352349563388</v>
      </c>
      <c r="J203" s="5" t="n">
        <f aca="false">+LN(PRECIOS!J203/PRECIOS!J202)</f>
        <v>0.0116017957470165</v>
      </c>
    </row>
    <row r="204" customFormat="false" ht="15" hidden="false" customHeight="false" outlineLevel="0" collapsed="false">
      <c r="A204" s="4" t="n">
        <f aca="false">PRECIOS!A204</f>
        <v>46231</v>
      </c>
      <c r="B204" s="5" t="n">
        <f aca="false">+LN(PRECIOS!B204/PRECIOS!B203)</f>
        <v>-0.00806049704217791</v>
      </c>
      <c r="C204" s="5" t="n">
        <f aca="false">+LN(PRECIOS!C204/PRECIOS!C203)</f>
        <v>0.0183757588383011</v>
      </c>
      <c r="D204" s="5" t="n">
        <f aca="false">+LN(PRECIOS!D204/PRECIOS!D203)</f>
        <v>0.00177935990007736</v>
      </c>
      <c r="E204" s="5" t="n">
        <f aca="false">+LN(PRECIOS!E204/PRECIOS!E203)</f>
        <v>0.0132763902851255</v>
      </c>
      <c r="F204" s="5" t="n">
        <f aca="false">+LN(PRECIOS!F204/PRECIOS!F203)</f>
        <v>-0.0198494229629096</v>
      </c>
      <c r="G204" s="5" t="n">
        <f aca="false">+LN(PRECIOS!G204/PRECIOS!G203)</f>
        <v>0.0161595194383773</v>
      </c>
      <c r="H204" s="5" t="n">
        <f aca="false">+LN(PRECIOS!H204/PRECIOS!H203)</f>
        <v>-0.00507357760070134</v>
      </c>
      <c r="I204" s="5" t="n">
        <f aca="false">+LN(PRECIOS!I204/PRECIOS!I203)</f>
        <v>0.0076155559993752</v>
      </c>
      <c r="J204" s="5" t="n">
        <f aca="false">+LN(PRECIOS!J204/PRECIOS!J203)</f>
        <v>0.00222555402537828</v>
      </c>
    </row>
    <row r="205" customFormat="false" ht="15" hidden="false" customHeight="false" outlineLevel="0" collapsed="false">
      <c r="A205" s="4" t="n">
        <f aca="false">PRECIOS!A205</f>
        <v>46232</v>
      </c>
      <c r="B205" s="5" t="n">
        <f aca="false">+LN(PRECIOS!B205/PRECIOS!B204)</f>
        <v>0.00217265072959626</v>
      </c>
      <c r="C205" s="5" t="n">
        <f aca="false">+LN(PRECIOS!C205/PRECIOS!C204)</f>
        <v>0.00501853126416051</v>
      </c>
      <c r="D205" s="5" t="n">
        <f aca="false">+LN(PRECIOS!D205/PRECIOS!D204)</f>
        <v>-0.0302301386485221</v>
      </c>
      <c r="E205" s="5" t="n">
        <f aca="false">+LN(PRECIOS!E205/PRECIOS!E204)</f>
        <v>-0.000333945569975967</v>
      </c>
      <c r="F205" s="5" t="n">
        <f aca="false">+LN(PRECIOS!F205/PRECIOS!F204)</f>
        <v>-0.0173331253284487</v>
      </c>
      <c r="G205" s="5" t="n">
        <f aca="false">+LN(PRECIOS!G205/PRECIOS!G204)</f>
        <v>-0.0147350902409245</v>
      </c>
      <c r="H205" s="5" t="n">
        <f aca="false">+LN(PRECIOS!H205/PRECIOS!H204)</f>
        <v>0.00304723445546891</v>
      </c>
      <c r="I205" s="5" t="n">
        <f aca="false">+LN(PRECIOS!I205/PRECIOS!I204)</f>
        <v>0.0140488923713089</v>
      </c>
      <c r="J205" s="5" t="n">
        <f aca="false">+LN(PRECIOS!J205/PRECIOS!J204)</f>
        <v>-0.012372770123523</v>
      </c>
    </row>
    <row r="206" customFormat="false" ht="15" hidden="false" customHeight="false" outlineLevel="0" collapsed="false">
      <c r="A206" s="4" t="n">
        <f aca="false">PRECIOS!A206</f>
        <v>46233</v>
      </c>
      <c r="B206" s="5" t="n">
        <f aca="false">+LN(PRECIOS!B206/PRECIOS!B205)</f>
        <v>0.00528555759732592</v>
      </c>
      <c r="C206" s="5" t="n">
        <f aca="false">+LN(PRECIOS!C206/PRECIOS!C205)</f>
        <v>0.00759918166548335</v>
      </c>
      <c r="D206" s="5" t="n">
        <f aca="false">+LN(PRECIOS!D206/PRECIOS!D205)</f>
        <v>0.00775728279646333</v>
      </c>
      <c r="E206" s="5" t="n">
        <f aca="false">+LN(PRECIOS!E206/PRECIOS!E205)</f>
        <v>0.0137658695909151</v>
      </c>
      <c r="F206" s="5" t="n">
        <f aca="false">+LN(PRECIOS!F206/PRECIOS!F205)</f>
        <v>0.0048449707177537</v>
      </c>
      <c r="G206" s="5" t="n">
        <f aca="false">+LN(PRECIOS!G206/PRECIOS!G205)</f>
        <v>0.0179858245181063</v>
      </c>
      <c r="H206" s="5" t="n">
        <f aca="false">+LN(PRECIOS!H206/PRECIOS!H205)</f>
        <v>0.00202634314523247</v>
      </c>
      <c r="I206" s="5" t="n">
        <f aca="false">+LN(PRECIOS!I206/PRECIOS!I205)</f>
        <v>0.0146515415735722</v>
      </c>
      <c r="J206" s="5" t="n">
        <f aca="false">+LN(PRECIOS!J206/PRECIOS!J205)</f>
        <v>0.012118085689383</v>
      </c>
    </row>
    <row r="207" customFormat="false" ht="15" hidden="false" customHeight="false" outlineLevel="0" collapsed="false">
      <c r="A207" s="4" t="n">
        <f aca="false">PRECIOS!A207</f>
        <v>46234</v>
      </c>
      <c r="B207" s="5" t="n">
        <f aca="false">+LN(PRECIOS!B207/PRECIOS!B206)</f>
        <v>-0.00362137001739805</v>
      </c>
      <c r="C207" s="5" t="n">
        <f aca="false">+LN(PRECIOS!C207/PRECIOS!C206)</f>
        <v>-0.00355492731292395</v>
      </c>
      <c r="D207" s="5" t="n">
        <f aca="false">+LN(PRECIOS!D207/PRECIOS!D206)</f>
        <v>0.00317676691032917</v>
      </c>
      <c r="E207" s="5" t="n">
        <f aca="false">+LN(PRECIOS!E207/PRECIOS!E206)</f>
        <v>0.0203805864063253</v>
      </c>
      <c r="F207" s="5" t="n">
        <f aca="false">+LN(PRECIOS!F207/PRECIOS!F206)</f>
        <v>-0.00873791967316245</v>
      </c>
      <c r="G207" s="5" t="n">
        <f aca="false">+LN(PRECIOS!G207/PRECIOS!G206)</f>
        <v>0.00149678219831839</v>
      </c>
      <c r="H207" s="5" t="n">
        <f aca="false">+LN(PRECIOS!H207/PRECIOS!H206)</f>
        <v>-0.00711023818250477</v>
      </c>
      <c r="I207" s="5" t="n">
        <f aca="false">+LN(PRECIOS!I207/PRECIOS!I206)</f>
        <v>0.00119474327234286</v>
      </c>
      <c r="J207" s="5" t="n">
        <f aca="false">+LN(PRECIOS!J207/PRECIOS!J206)</f>
        <v>-0.00526585247091114</v>
      </c>
    </row>
    <row r="208" customFormat="false" ht="15" hidden="false" customHeight="false" outlineLevel="0" collapsed="false">
      <c r="A208" s="4" t="n">
        <f aca="false">PRECIOS!A208</f>
        <v>46237</v>
      </c>
      <c r="B208" s="5" t="n">
        <f aca="false">+LN(PRECIOS!B208/PRECIOS!B207)</f>
        <v>-0.0143624484128749</v>
      </c>
      <c r="C208" s="5" t="n">
        <f aca="false">+LN(PRECIOS!C208/PRECIOS!C207)</f>
        <v>-0.00978177905692081</v>
      </c>
      <c r="D208" s="5" t="n">
        <f aca="false">+LN(PRECIOS!D208/PRECIOS!D207)</f>
        <v>-0.0210630497498505</v>
      </c>
      <c r="E208" s="5" t="n">
        <f aca="false">+LN(PRECIOS!E208/PRECIOS!E207)</f>
        <v>-0.0108723180510275</v>
      </c>
      <c r="F208" s="5" t="n">
        <f aca="false">+LN(PRECIOS!F208/PRECIOS!F207)</f>
        <v>0.00437850371124616</v>
      </c>
      <c r="G208" s="5" t="n">
        <f aca="false">+LN(PRECIOS!G208/PRECIOS!G207)</f>
        <v>-0.00971902846015117</v>
      </c>
      <c r="H208" s="5" t="n">
        <f aca="false">+LN(PRECIOS!H208/PRECIOS!H207)</f>
        <v>-0.00921665510492395</v>
      </c>
      <c r="I208" s="5" t="n">
        <f aca="false">+LN(PRECIOS!I208/PRECIOS!I207)</f>
        <v>-0.00919638628509375</v>
      </c>
      <c r="J208" s="5" t="n">
        <f aca="false">+LN(PRECIOS!J208/PRECIOS!J207)</f>
        <v>-0.00358845623876556</v>
      </c>
    </row>
    <row r="209" customFormat="false" ht="15" hidden="false" customHeight="false" outlineLevel="0" collapsed="false">
      <c r="A209" s="4" t="n">
        <f aca="false">PRECIOS!A209</f>
        <v>46238</v>
      </c>
      <c r="B209" s="5" t="n">
        <f aca="false">+LN(PRECIOS!B209/PRECIOS!B208)</f>
        <v>-0.00687323181819907</v>
      </c>
      <c r="C209" s="5" t="n">
        <f aca="false">+LN(PRECIOS!C209/PRECIOS!C208)</f>
        <v>-0.0135169810857751</v>
      </c>
      <c r="D209" s="5" t="n">
        <f aca="false">+LN(PRECIOS!D209/PRECIOS!D208)</f>
        <v>-0.00603390087813057</v>
      </c>
      <c r="E209" s="5" t="n">
        <f aca="false">+LN(PRECIOS!E209/PRECIOS!E208)</f>
        <v>-0.00638352278178902</v>
      </c>
      <c r="F209" s="5" t="n">
        <f aca="false">+LN(PRECIOS!F209/PRECIOS!F208)</f>
        <v>-0.0255667809720071</v>
      </c>
      <c r="G209" s="5" t="n">
        <f aca="false">+LN(PRECIOS!G209/PRECIOS!G208)</f>
        <v>-0.00459167746717288</v>
      </c>
      <c r="H209" s="5" t="n">
        <f aca="false">+LN(PRECIOS!H209/PRECIOS!H208)</f>
        <v>-0.0103413537947327</v>
      </c>
      <c r="I209" s="5" t="n">
        <f aca="false">+LN(PRECIOS!I209/PRECIOS!I208)</f>
        <v>0.0020064212188547</v>
      </c>
      <c r="J209" s="5" t="n">
        <f aca="false">+LN(PRECIOS!J209/PRECIOS!J208)</f>
        <v>0.00203609166638374</v>
      </c>
    </row>
    <row r="210" customFormat="false" ht="15" hidden="false" customHeight="false" outlineLevel="0" collapsed="false">
      <c r="A210" s="4" t="n">
        <f aca="false">PRECIOS!A210</f>
        <v>46239</v>
      </c>
      <c r="B210" s="5" t="n">
        <f aca="false">+LN(PRECIOS!B210/PRECIOS!B209)</f>
        <v>-0.00484987020171547</v>
      </c>
      <c r="C210" s="5" t="n">
        <f aca="false">+LN(PRECIOS!C210/PRECIOS!C209)</f>
        <v>0.00750517988455467</v>
      </c>
      <c r="D210" s="5" t="n">
        <f aca="false">+LN(PRECIOS!D210/PRECIOS!D209)</f>
        <v>-0.0326501677707425</v>
      </c>
      <c r="E210" s="5" t="n">
        <f aca="false">+LN(PRECIOS!E210/PRECIOS!E209)</f>
        <v>0.00426020634501027</v>
      </c>
      <c r="F210" s="5" t="n">
        <f aca="false">+LN(PRECIOS!F210/PRECIOS!F209)</f>
        <v>-0.00599402394021041</v>
      </c>
      <c r="G210" s="5" t="n">
        <f aca="false">+LN(PRECIOS!G210/PRECIOS!G209)</f>
        <v>0.00605054031614777</v>
      </c>
      <c r="H210" s="5" t="n">
        <f aca="false">+LN(PRECIOS!H210/PRECIOS!H209)</f>
        <v>-0.0104494158743411</v>
      </c>
      <c r="I210" s="5" t="n">
        <f aca="false">+LN(PRECIOS!I210/PRECIOS!I209)</f>
        <v>-0.0276384184558211</v>
      </c>
      <c r="J210" s="5" t="n">
        <f aca="false">+LN(PRECIOS!J210/PRECIOS!J209)</f>
        <v>-0.00461884194913115</v>
      </c>
    </row>
    <row r="211" customFormat="false" ht="15" hidden="false" customHeight="false" outlineLevel="0" collapsed="false">
      <c r="A211" s="4" t="n">
        <f aca="false">PRECIOS!A211</f>
        <v>46240</v>
      </c>
      <c r="B211" s="5" t="n">
        <f aca="false">+LN(PRECIOS!B211/PRECIOS!B210)</f>
        <v>0.0067524289450414</v>
      </c>
      <c r="C211" s="5" t="n">
        <f aca="false">+LN(PRECIOS!C211/PRECIOS!C210)</f>
        <v>0.00840643836084008</v>
      </c>
      <c r="D211" s="5" t="n">
        <f aca="false">+LN(PRECIOS!D211/PRECIOS!D210)</f>
        <v>-0.00869570696755393</v>
      </c>
      <c r="E211" s="5" t="n">
        <f aca="false">+LN(PRECIOS!E211/PRECIOS!E210)</f>
        <v>-0.00590359208874021</v>
      </c>
      <c r="F211" s="5" t="n">
        <f aca="false">+LN(PRECIOS!F211/PRECIOS!F210)</f>
        <v>-0.0222906898983715</v>
      </c>
      <c r="G211" s="5" t="n">
        <f aca="false">+LN(PRECIOS!G211/PRECIOS!G210)</f>
        <v>-0.0003519444969584</v>
      </c>
      <c r="H211" s="5" t="n">
        <f aca="false">+LN(PRECIOS!H211/PRECIOS!H210)</f>
        <v>0.0248975516217273</v>
      </c>
      <c r="I211" s="5" t="n">
        <f aca="false">+LN(PRECIOS!I211/PRECIOS!I210)</f>
        <v>0.00943403223335871</v>
      </c>
      <c r="J211" s="5" t="n">
        <f aca="false">+LN(PRECIOS!J211/PRECIOS!J210)</f>
        <v>-0.00194144973615007</v>
      </c>
    </row>
    <row r="212" customFormat="false" ht="15" hidden="false" customHeight="false" outlineLevel="0" collapsed="false">
      <c r="A212" s="4" t="n">
        <f aca="false">PRECIOS!A212</f>
        <v>46241</v>
      </c>
      <c r="B212" s="5" t="n">
        <f aca="false">+LN(PRECIOS!B212/PRECIOS!B211)</f>
        <v>0.0140789919913942</v>
      </c>
      <c r="C212" s="5" t="n">
        <f aca="false">+LN(PRECIOS!C212/PRECIOS!C211)</f>
        <v>0.00191158959046992</v>
      </c>
      <c r="D212" s="5" t="n">
        <f aca="false">+LN(PRECIOS!D212/PRECIOS!D211)</f>
        <v>-0.00877198607283699</v>
      </c>
      <c r="E212" s="5" t="n">
        <f aca="false">+LN(PRECIOS!E212/PRECIOS!E211)</f>
        <v>0.00574007316105998</v>
      </c>
      <c r="F212" s="5" t="n">
        <f aca="false">+LN(PRECIOS!F212/PRECIOS!F211)</f>
        <v>0.00102406562969013</v>
      </c>
      <c r="G212" s="5" t="n">
        <f aca="false">+LN(PRECIOS!G212/PRECIOS!G211)</f>
        <v>0.00461570155207614</v>
      </c>
      <c r="H212" s="5" t="n">
        <f aca="false">+LN(PRECIOS!H212/PRECIOS!H211)</f>
        <v>0.00306905611741775</v>
      </c>
      <c r="I212" s="5" t="n">
        <f aca="false">+LN(PRECIOS!I212/PRECIOS!I211)</f>
        <v>0.00975022958913379</v>
      </c>
      <c r="J212" s="5" t="n">
        <f aca="false">+LN(PRECIOS!J212/PRECIOS!J211)</f>
        <v>0.00813730600160955</v>
      </c>
    </row>
    <row r="213" customFormat="false" ht="15" hidden="false" customHeight="false" outlineLevel="0" collapsed="false">
      <c r="A213" s="4" t="n">
        <f aca="false">PRECIOS!A213</f>
        <v>46244</v>
      </c>
      <c r="B213" s="5" t="n">
        <f aca="false">+LN(PRECIOS!B213/PRECIOS!B212)</f>
        <v>-0.00915943712739494</v>
      </c>
      <c r="C213" s="5" t="n">
        <f aca="false">+LN(PRECIOS!C213/PRECIOS!C212)</f>
        <v>-0.00526568952458137</v>
      </c>
      <c r="D213" s="5" t="n">
        <f aca="false">+LN(PRECIOS!D213/PRECIOS!D212)</f>
        <v>0.00244439134177644</v>
      </c>
      <c r="E213" s="5" t="n">
        <f aca="false">+LN(PRECIOS!E213/PRECIOS!E212)</f>
        <v>0.00716965756577054</v>
      </c>
      <c r="F213" s="5" t="n">
        <f aca="false">+LN(PRECIOS!F213/PRECIOS!F212)</f>
        <v>-0.00307534840024754</v>
      </c>
      <c r="G213" s="5" t="n">
        <f aca="false">+LN(PRECIOS!G213/PRECIOS!G212)</f>
        <v>-0.0132519007803674</v>
      </c>
      <c r="H213" s="5" t="n">
        <f aca="false">+LN(PRECIOS!H213/PRECIOS!H212)</f>
        <v>0.0182191274313281</v>
      </c>
      <c r="I213" s="5" t="n">
        <f aca="false">+LN(PRECIOS!I213/PRECIOS!I212)</f>
        <v>-0.0264224280528919</v>
      </c>
      <c r="J213" s="5" t="n">
        <f aca="false">+LN(PRECIOS!J213/PRECIOS!J212)</f>
        <v>-0.00749846702564242</v>
      </c>
    </row>
    <row r="214" customFormat="false" ht="15" hidden="false" customHeight="false" outlineLevel="0" collapsed="false">
      <c r="A214" s="4" t="n">
        <f aca="false">PRECIOS!A214</f>
        <v>46245</v>
      </c>
      <c r="B214" s="5" t="n">
        <f aca="false">+LN(PRECIOS!B214/PRECIOS!B213)</f>
        <v>-0.00810967848533115</v>
      </c>
      <c r="C214" s="5" t="n">
        <f aca="false">+LN(PRECIOS!C214/PRECIOS!C213)</f>
        <v>-0.00988793779125643</v>
      </c>
      <c r="D214" s="5" t="n">
        <f aca="false">+LN(PRECIOS!D214/PRECIOS!D213)</f>
        <v>-0.0242166516589985</v>
      </c>
      <c r="E214" s="5" t="n">
        <f aca="false">+LN(PRECIOS!E214/PRECIOS!E213)</f>
        <v>-0.000324780775833141</v>
      </c>
      <c r="F214" s="5" t="n">
        <f aca="false">+LN(PRECIOS!F214/PRECIOS!F213)</f>
        <v>-0.0170855825877341</v>
      </c>
      <c r="G214" s="5" t="n">
        <f aca="false">+LN(PRECIOS!G214/PRECIOS!G213)</f>
        <v>-0.0279810467916782</v>
      </c>
      <c r="H214" s="5" t="n">
        <f aca="false">+LN(PRECIOS!H214/PRECIOS!H213)</f>
        <v>-0.0284861580710723</v>
      </c>
      <c r="I214" s="5" t="n">
        <f aca="false">+LN(PRECIOS!I214/PRECIOS!I213)</f>
        <v>0.00393578964816647</v>
      </c>
      <c r="J214" s="5" t="n">
        <f aca="false">+LN(PRECIOS!J214/PRECIOS!J213)</f>
        <v>-0.01323955536253</v>
      </c>
    </row>
    <row r="215" customFormat="false" ht="15" hidden="false" customHeight="false" outlineLevel="0" collapsed="false">
      <c r="A215" s="4" t="n">
        <f aca="false">PRECIOS!A215</f>
        <v>46246</v>
      </c>
      <c r="B215" s="5" t="n">
        <f aca="false">+LN(PRECIOS!B215/PRECIOS!B214)</f>
        <v>0.000772737848512709</v>
      </c>
      <c r="C215" s="5" t="n">
        <f aca="false">+LN(PRECIOS!C215/PRECIOS!C214)</f>
        <v>0.00916773610366234</v>
      </c>
      <c r="D215" s="5" t="n">
        <f aca="false">+LN(PRECIOS!D215/PRECIOS!D214)</f>
        <v>-0.00551794728388066</v>
      </c>
      <c r="E215" s="5" t="n">
        <f aca="false">+LN(PRECIOS!E215/PRECIOS!E214)</f>
        <v>-0.0120916505905048</v>
      </c>
      <c r="F215" s="5" t="n">
        <f aca="false">+LN(PRECIOS!F215/PRECIOS!F214)</f>
        <v>0.00312826115381043</v>
      </c>
      <c r="G215" s="5" t="n">
        <f aca="false">+LN(PRECIOS!G215/PRECIOS!G214)</f>
        <v>0.0148595760153236</v>
      </c>
      <c r="H215" s="5" t="n">
        <f aca="false">+LN(PRECIOS!H215/PRECIOS!H214)</f>
        <v>0.00924505814405099</v>
      </c>
      <c r="I215" s="5" t="n">
        <f aca="false">+LN(PRECIOS!I215/PRECIOS!I214)</f>
        <v>-0.0105997043546646</v>
      </c>
      <c r="J215" s="5" t="n">
        <f aca="false">+LN(PRECIOS!J215/PRECIOS!J214)</f>
        <v>0.00291210892793166</v>
      </c>
    </row>
    <row r="216" customFormat="false" ht="15" hidden="false" customHeight="false" outlineLevel="0" collapsed="false">
      <c r="A216" s="4" t="n">
        <f aca="false">PRECIOS!A216</f>
        <v>46247</v>
      </c>
      <c r="B216" s="5" t="n">
        <f aca="false">+LN(PRECIOS!B216/PRECIOS!B215)</f>
        <v>-0.0067169829893797</v>
      </c>
      <c r="C216" s="5" t="n">
        <f aca="false">+LN(PRECIOS!C216/PRECIOS!C215)</f>
        <v>-0.0240624077529486</v>
      </c>
      <c r="D216" s="5" t="n">
        <f aca="false">+LN(PRECIOS!D216/PRECIOS!D215)</f>
        <v>-0.000503144664702417</v>
      </c>
      <c r="E216" s="5" t="n">
        <f aca="false">+LN(PRECIOS!E216/PRECIOS!E215)</f>
        <v>0.000328731100922252</v>
      </c>
      <c r="F216" s="5" t="n">
        <f aca="false">+LN(PRECIOS!F216/PRECIOS!F215)</f>
        <v>-0.0125721928335426</v>
      </c>
      <c r="G216" s="5" t="n">
        <f aca="false">+LN(PRECIOS!G216/PRECIOS!G215)</f>
        <v>-0.0122548652282418</v>
      </c>
      <c r="H216" s="5" t="n">
        <f aca="false">+LN(PRECIOS!H216/PRECIOS!H215)</f>
        <v>0.00102197249569297</v>
      </c>
      <c r="I216" s="5" t="n">
        <f aca="false">+LN(PRECIOS!I216/PRECIOS!I215)</f>
        <v>-0.015582543136896</v>
      </c>
      <c r="J216" s="5" t="n">
        <f aca="false">+LN(PRECIOS!J216/PRECIOS!J215)</f>
        <v>-0.0142376918754103</v>
      </c>
    </row>
    <row r="217" customFormat="false" ht="15" hidden="false" customHeight="false" outlineLevel="0" collapsed="false">
      <c r="A217" s="4" t="n">
        <f aca="false">PRECIOS!A217</f>
        <v>46248</v>
      </c>
      <c r="B217" s="5" t="n">
        <f aca="false">+LN(PRECIOS!B217/PRECIOS!B216)</f>
        <v>-0.000570435880326689</v>
      </c>
      <c r="C217" s="5" t="n">
        <f aca="false">+LN(PRECIOS!C217/PRECIOS!C216)</f>
        <v>-0.00616905102671524</v>
      </c>
      <c r="D217" s="5" t="n">
        <f aca="false">+LN(PRECIOS!D217/PRECIOS!D216)</f>
        <v>0.00702109203191665</v>
      </c>
      <c r="E217" s="5" t="n">
        <f aca="false">+LN(PRECIOS!E217/PRECIOS!E216)</f>
        <v>-0.00791952662520148</v>
      </c>
      <c r="F217" s="5" t="n">
        <f aca="false">+LN(PRECIOS!F217/PRECIOS!F216)</f>
        <v>-0.00263922032319046</v>
      </c>
      <c r="G217" s="5" t="n">
        <f aca="false">+LN(PRECIOS!G217/PRECIOS!G216)</f>
        <v>-0.0219338181631102</v>
      </c>
      <c r="H217" s="5" t="n">
        <f aca="false">+LN(PRECIOS!H217/PRECIOS!H216)</f>
        <v>0.00712471207212515</v>
      </c>
      <c r="I217" s="5" t="n">
        <f aca="false">+LN(PRECIOS!I217/PRECIOS!I216)</f>
        <v>0.00634654129392824</v>
      </c>
      <c r="J217" s="5" t="n">
        <f aca="false">+LN(PRECIOS!J217/PRECIOS!J216)</f>
        <v>-0.00663873748655588</v>
      </c>
    </row>
    <row r="218" customFormat="false" ht="15" hidden="false" customHeight="false" outlineLevel="0" collapsed="false">
      <c r="A218" s="4" t="n">
        <f aca="false">PRECIOS!A218</f>
        <v>46251</v>
      </c>
      <c r="B218" s="5" t="n">
        <f aca="false">+LN(PRECIOS!B218/PRECIOS!B217)</f>
        <v>-0.00938093183376571</v>
      </c>
      <c r="C218" s="5" t="n">
        <f aca="false">+LN(PRECIOS!C218/PRECIOS!C217)</f>
        <v>0.00222524507696548</v>
      </c>
      <c r="D218" s="5" t="n">
        <f aca="false">+LN(PRECIOS!D218/PRECIOS!D217)</f>
        <v>0.00746829460752574</v>
      </c>
      <c r="E218" s="5" t="n">
        <f aca="false">+LN(PRECIOS!E218/PRECIOS!E217)</f>
        <v>-0.0360916069593063</v>
      </c>
      <c r="F218" s="5" t="n">
        <f aca="false">+LN(PRECIOS!F218/PRECIOS!F217)</f>
        <v>0.00316622955804951</v>
      </c>
      <c r="G218" s="5" t="n">
        <f aca="false">+LN(PRECIOS!G218/PRECIOS!G217)</f>
        <v>0.000265865526783366</v>
      </c>
      <c r="H218" s="5" t="n">
        <f aca="false">+LN(PRECIOS!H218/PRECIOS!H217)</f>
        <v>-0.0101937681895429</v>
      </c>
      <c r="I218" s="5" t="n">
        <f aca="false">+LN(PRECIOS!I218/PRECIOS!I217)</f>
        <v>-0.00868373560122031</v>
      </c>
      <c r="J218" s="5" t="n">
        <f aca="false">+LN(PRECIOS!J218/PRECIOS!J217)</f>
        <v>-0.00221480555383089</v>
      </c>
    </row>
    <row r="219" customFormat="false" ht="15" hidden="false" customHeight="false" outlineLevel="0" collapsed="false">
      <c r="A219" s="4" t="n">
        <f aca="false">PRECIOS!A219</f>
        <v>46252</v>
      </c>
      <c r="B219" s="5" t="n">
        <f aca="false">+LN(PRECIOS!B219/PRECIOS!B218)</f>
        <v>-0.000942951507870236</v>
      </c>
      <c r="C219" s="5" t="n">
        <f aca="false">+LN(PRECIOS!C219/PRECIOS!C218)</f>
        <v>-0.0106766998063975</v>
      </c>
      <c r="D219" s="5" t="n">
        <f aca="false">+LN(PRECIOS!D219/PRECIOS!D218)</f>
        <v>0.0019821612039912</v>
      </c>
      <c r="E219" s="5" t="n">
        <f aca="false">+LN(PRECIOS!E219/PRECIOS!E218)</f>
        <v>0.0141531904667481</v>
      </c>
      <c r="F219" s="5" t="n">
        <f aca="false">+LN(PRECIOS!F219/PRECIOS!F218)</f>
        <v>-0.0370313307790076</v>
      </c>
      <c r="G219" s="5" t="n">
        <f aca="false">+LN(PRECIOS!G219/PRECIOS!G218)</f>
        <v>-0.00287509515481676</v>
      </c>
      <c r="H219" s="5" t="n">
        <f aca="false">+LN(PRECIOS!H219/PRECIOS!H218)</f>
        <v>-0.034396303779635</v>
      </c>
      <c r="I219" s="5" t="n">
        <f aca="false">+LN(PRECIOS!I219/PRECIOS!I218)</f>
        <v>0.00360972894348981</v>
      </c>
      <c r="J219" s="5" t="n">
        <f aca="false">+LN(PRECIOS!J219/PRECIOS!J218)</f>
        <v>-0.00501277800572329</v>
      </c>
    </row>
    <row r="220" customFormat="false" ht="15" hidden="false" customHeight="false" outlineLevel="0" collapsed="false">
      <c r="A220" s="4" t="n">
        <f aca="false">PRECIOS!A220</f>
        <v>46253</v>
      </c>
      <c r="B220" s="5" t="n">
        <f aca="false">+LN(PRECIOS!B220/PRECIOS!B219)</f>
        <v>-0.0115973888148291</v>
      </c>
      <c r="C220" s="5" t="n">
        <f aca="false">+LN(PRECIOS!C220/PRECIOS!C219)</f>
        <v>0.00646929352544094</v>
      </c>
      <c r="D220" s="5" t="n">
        <f aca="false">+LN(PRECIOS!D220/PRECIOS!D219)</f>
        <v>-0.0119523335238411</v>
      </c>
      <c r="E220" s="5" t="n">
        <f aca="false">+LN(PRECIOS!E220/PRECIOS!E219)</f>
        <v>-0.00152503630336388</v>
      </c>
      <c r="F220" s="5" t="n">
        <f aca="false">+LN(PRECIOS!F220/PRECIOS!F219)</f>
        <v>-0.009338161787941</v>
      </c>
      <c r="G220" s="5" t="n">
        <f aca="false">+LN(PRECIOS!G220/PRECIOS!G219)</f>
        <v>-0.0154208788891082</v>
      </c>
      <c r="H220" s="5" t="n">
        <f aca="false">+LN(PRECIOS!H220/PRECIOS!H219)</f>
        <v>-0.0117334679478663</v>
      </c>
      <c r="I220" s="5" t="n">
        <f aca="false">+LN(PRECIOS!I220/PRECIOS!I219)</f>
        <v>-0.00488686832525695</v>
      </c>
      <c r="J220" s="5" t="n">
        <f aca="false">+LN(PRECIOS!J220/PRECIOS!J219)</f>
        <v>0.0010250682993171</v>
      </c>
    </row>
    <row r="221" customFormat="false" ht="15" hidden="false" customHeight="false" outlineLevel="0" collapsed="false">
      <c r="A221" s="4" t="n">
        <f aca="false">PRECIOS!A221</f>
        <v>46254</v>
      </c>
      <c r="B221" s="5" t="n">
        <f aca="false">+LN(PRECIOS!B221/PRECIOS!B220)</f>
        <v>0.00644788450298911</v>
      </c>
      <c r="C221" s="5" t="n">
        <f aca="false">+LN(PRECIOS!C221/PRECIOS!C220)</f>
        <v>-0.0157483569681393</v>
      </c>
      <c r="D221" s="5" t="n">
        <f aca="false">+LN(PRECIOS!D221/PRECIOS!D220)</f>
        <v>-0.00502261226629144</v>
      </c>
      <c r="E221" s="5" t="n">
        <f aca="false">+LN(PRECIOS!E221/PRECIOS!E220)</f>
        <v>-0.00834402457088972</v>
      </c>
      <c r="F221" s="5" t="n">
        <f aca="false">+LN(PRECIOS!F221/PRECIOS!F220)</f>
        <v>-0.00553404843464144</v>
      </c>
      <c r="G221" s="5" t="n">
        <f aca="false">+LN(PRECIOS!G221/PRECIOS!G220)</f>
        <v>0.00448419131149362</v>
      </c>
      <c r="H221" s="5" t="n">
        <f aca="false">+LN(PRECIOS!H221/PRECIOS!H220)</f>
        <v>-0.00970358018273906</v>
      </c>
      <c r="I221" s="5" t="n">
        <f aca="false">+LN(PRECIOS!I221/PRECIOS!I220)</f>
        <v>0.014799424445939</v>
      </c>
      <c r="J221" s="5" t="n">
        <f aca="false">+LN(PRECIOS!J221/PRECIOS!J220)</f>
        <v>0.00546230524137227</v>
      </c>
    </row>
    <row r="222" customFormat="false" ht="15" hidden="false" customHeight="false" outlineLevel="0" collapsed="false">
      <c r="A222" s="4" t="n">
        <f aca="false">PRECIOS!A222</f>
        <v>46255</v>
      </c>
      <c r="B222" s="5" t="n">
        <f aca="false">+LN(PRECIOS!B222/PRECIOS!B221)</f>
        <v>0.0122521036293273</v>
      </c>
      <c r="C222" s="5" t="n">
        <f aca="false">+LN(PRECIOS!C222/PRECIOS!C221)</f>
        <v>0.0137622589965098</v>
      </c>
      <c r="D222" s="5" t="n">
        <f aca="false">+LN(PRECIOS!D222/PRECIOS!D221)</f>
        <v>0.0140002286733897</v>
      </c>
      <c r="E222" s="5" t="n">
        <f aca="false">+LN(PRECIOS!E222/PRECIOS!E221)</f>
        <v>0.0233236869830299</v>
      </c>
      <c r="F222" s="5" t="n">
        <f aca="false">+LN(PRECIOS!F222/PRECIOS!F221)</f>
        <v>0.0407775984182256</v>
      </c>
      <c r="G222" s="5" t="n">
        <f aca="false">+LN(PRECIOS!G222/PRECIOS!G221)</f>
        <v>0.0129075514003755</v>
      </c>
      <c r="H222" s="5" t="n">
        <f aca="false">+LN(PRECIOS!H222/PRECIOS!H221)</f>
        <v>0.0139862419747399</v>
      </c>
      <c r="I222" s="5" t="n">
        <f aca="false">+LN(PRECIOS!I222/PRECIOS!I221)</f>
        <v>-0.0229260731059253</v>
      </c>
      <c r="J222" s="5" t="n">
        <f aca="false">+LN(PRECIOS!J222/PRECIOS!J221)</f>
        <v>0.0212091408858189</v>
      </c>
    </row>
    <row r="223" customFormat="false" ht="15" hidden="false" customHeight="false" outlineLevel="0" collapsed="false">
      <c r="A223" s="4" t="n">
        <f aca="false">PRECIOS!A223</f>
        <v>46258</v>
      </c>
      <c r="B223" s="5" t="n">
        <f aca="false">+LN(PRECIOS!B223/PRECIOS!B222)</f>
        <v>0.0164644631694063</v>
      </c>
      <c r="C223" s="5" t="n">
        <f aca="false">+LN(PRECIOS!C223/PRECIOS!C222)</f>
        <v>-0.000745804882301137</v>
      </c>
      <c r="D223" s="5" t="n">
        <f aca="false">+LN(PRECIOS!D223/PRECIOS!D222)</f>
        <v>0.00247954503432992</v>
      </c>
      <c r="E223" s="5" t="n">
        <f aca="false">+LN(PRECIOS!E223/PRECIOS!E222)</f>
        <v>0.00848379038378187</v>
      </c>
      <c r="F223" s="5" t="n">
        <f aca="false">+LN(PRECIOS!F223/PRECIOS!F222)</f>
        <v>0.00106496282695637</v>
      </c>
      <c r="G223" s="5" t="n">
        <f aca="false">+LN(PRECIOS!G223/PRECIOS!G222)</f>
        <v>-0.000745275520255867</v>
      </c>
      <c r="H223" s="5" t="n">
        <f aca="false">+LN(PRECIOS!H223/PRECIOS!H222)</f>
        <v>0.00851068966790861</v>
      </c>
      <c r="I223" s="5" t="n">
        <f aca="false">+LN(PRECIOS!I223/PRECIOS!I222)</f>
        <v>0.00471294788383901</v>
      </c>
      <c r="J223" s="5" t="n">
        <f aca="false">+LN(PRECIOS!J223/PRECIOS!J222)</f>
        <v>0.000633764135183365</v>
      </c>
    </row>
    <row r="224" customFormat="false" ht="15" hidden="false" customHeight="false" outlineLevel="0" collapsed="false">
      <c r="A224" s="4" t="n">
        <f aca="false">PRECIOS!A224</f>
        <v>46259</v>
      </c>
      <c r="B224" s="5" t="n">
        <f aca="false">+LN(PRECIOS!B224/PRECIOS!B223)</f>
        <v>0.01322165205106</v>
      </c>
      <c r="C224" s="5" t="n">
        <f aca="false">+LN(PRECIOS!C224/PRECIOS!C223)</f>
        <v>0.0238369806904607</v>
      </c>
      <c r="D224" s="5" t="n">
        <f aca="false">+LN(PRECIOS!D224/PRECIOS!D223)</f>
        <v>-0.00247954503432988</v>
      </c>
      <c r="E224" s="5" t="n">
        <f aca="false">+LN(PRECIOS!E224/PRECIOS!E223)</f>
        <v>-0.00614773058623409</v>
      </c>
      <c r="F224" s="5" t="n">
        <f aca="false">+LN(PRECIOS!F224/PRECIOS!F223)</f>
        <v>-0.00319829696937676</v>
      </c>
      <c r="G224" s="5" t="n">
        <f aca="false">+LN(PRECIOS!G224/PRECIOS!G223)</f>
        <v>0.0132256067336793</v>
      </c>
      <c r="H224" s="5" t="n">
        <f aca="false">+LN(PRECIOS!H224/PRECIOS!H223)</f>
        <v>-0.00851068966790862</v>
      </c>
      <c r="I224" s="5" t="n">
        <f aca="false">+LN(PRECIOS!I224/PRECIOS!I223)</f>
        <v>0.0198906261396803</v>
      </c>
      <c r="J224" s="5" t="n">
        <f aca="false">+LN(PRECIOS!J224/PRECIOS!J223)</f>
        <v>0.00790863578663226</v>
      </c>
    </row>
    <row r="225" customFormat="false" ht="15" hidden="false" customHeight="false" outlineLevel="0" collapsed="false">
      <c r="A225" s="4" t="n">
        <f aca="false">PRECIOS!A225</f>
        <v>46260</v>
      </c>
      <c r="B225" s="5" t="n">
        <f aca="false">+LN(PRECIOS!B225/PRECIOS!B224)</f>
        <v>-0.0115338016132774</v>
      </c>
      <c r="C225" s="5" t="n">
        <f aca="false">+LN(PRECIOS!C225/PRECIOS!C224)</f>
        <v>0.00242541957366396</v>
      </c>
      <c r="D225" s="5" t="n">
        <f aca="false">+LN(PRECIOS!D225/PRECIOS!D224)</f>
        <v>-0.00248570846357322</v>
      </c>
      <c r="E225" s="5" t="n">
        <f aca="false">+LN(PRECIOS!E225/PRECIOS!E224)</f>
        <v>-0.000666888987703768</v>
      </c>
      <c r="F225" s="5" t="n">
        <f aca="false">+LN(PRECIOS!F225/PRECIOS!F224)</f>
        <v>-0.00481670719855198</v>
      </c>
      <c r="G225" s="5" t="n">
        <f aca="false">+LN(PRECIOS!G225/PRECIOS!G224)</f>
        <v>0.0167291599837566</v>
      </c>
      <c r="H225" s="5" t="n">
        <f aca="false">+LN(PRECIOS!H225/PRECIOS!H224)</f>
        <v>0.0315483577349261</v>
      </c>
      <c r="I225" s="5" t="n">
        <f aca="false">+LN(PRECIOS!I225/PRECIOS!I224)</f>
        <v>0.00418148215373481</v>
      </c>
      <c r="J225" s="5" t="n">
        <f aca="false">+LN(PRECIOS!J225/PRECIOS!J224)</f>
        <v>-0.00153920294679482</v>
      </c>
    </row>
    <row r="226" customFormat="false" ht="15" hidden="false" customHeight="false" outlineLevel="0" collapsed="false">
      <c r="A226" s="4" t="n">
        <f aca="false">PRECIOS!A226</f>
        <v>46261</v>
      </c>
      <c r="B226" s="5" t="n">
        <f aca="false">+LN(PRECIOS!B226/PRECIOS!B225)</f>
        <v>-0.00841634856184652</v>
      </c>
      <c r="C226" s="5" t="n">
        <f aca="false">+LN(PRECIOS!C226/PRECIOS!C225)</f>
        <v>-0.00193986481782659</v>
      </c>
      <c r="D226" s="5" t="n">
        <f aca="false">+LN(PRECIOS!D226/PRECIOS!D225)</f>
        <v>-0.0059910313991192</v>
      </c>
      <c r="E226" s="5" t="n">
        <f aca="false">+LN(PRECIOS!E226/PRECIOS!E225)</f>
        <v>-0.0166488332219842</v>
      </c>
      <c r="F226" s="5" t="n">
        <f aca="false">+LN(PRECIOS!F226/PRECIOS!F225)</f>
        <v>-0.00322407587175279</v>
      </c>
      <c r="G226" s="5" t="n">
        <f aca="false">+LN(PRECIOS!G226/PRECIOS!G225)</f>
        <v>-0.0119058309305366</v>
      </c>
      <c r="H226" s="5" t="n">
        <f aca="false">+LN(PRECIOS!H226/PRECIOS!H225)</f>
        <v>-0.031548357734926</v>
      </c>
      <c r="I226" s="5" t="n">
        <f aca="false">+LN(PRECIOS!I226/PRECIOS!I225)</f>
        <v>-0.00376254624480068</v>
      </c>
      <c r="J226" s="5" t="n">
        <f aca="false">+LN(PRECIOS!J226/PRECIOS!J225)</f>
        <v>-0.00547080622814978</v>
      </c>
    </row>
    <row r="227" customFormat="false" ht="15" hidden="false" customHeight="false" outlineLevel="0" collapsed="false">
      <c r="A227" s="4" t="n">
        <f aca="false">PRECIOS!A227</f>
        <v>46262</v>
      </c>
      <c r="B227" s="5" t="n">
        <f aca="false">+LN(PRECIOS!B227/PRECIOS!B226)</f>
        <v>0.000360685305984387</v>
      </c>
      <c r="C227" s="5" t="n">
        <f aca="false">+LN(PRECIOS!C227/PRECIOS!C226)</f>
        <v>-0.00511012183923452</v>
      </c>
      <c r="D227" s="5" t="n">
        <f aca="false">+LN(PRECIOS!D227/PRECIOS!D226)</f>
        <v>-0.00854920972723415</v>
      </c>
      <c r="E227" s="5" t="n">
        <f aca="false">+LN(PRECIOS!E227/PRECIOS!E226)</f>
        <v>-0.0016972169722428</v>
      </c>
      <c r="F227" s="5" t="n">
        <f aca="false">+LN(PRECIOS!F227/PRECIOS!F226)</f>
        <v>0.00107584733346333</v>
      </c>
      <c r="G227" s="5" t="n">
        <f aca="false">+LN(PRECIOS!G227/PRECIOS!G226)</f>
        <v>-0.00335289501031088</v>
      </c>
      <c r="H227" s="5" t="n">
        <f aca="false">+LN(PRECIOS!H227/PRECIOS!H226)</f>
        <v>-0.00213903824874942</v>
      </c>
      <c r="I227" s="5" t="n">
        <f aca="false">+LN(PRECIOS!I227/PRECIOS!I226)</f>
        <v>0.00605493028504342</v>
      </c>
      <c r="J227" s="5" t="n">
        <f aca="false">+LN(PRECIOS!J227/PRECIOS!J226)</f>
        <v>-0.00526463299685406</v>
      </c>
    </row>
    <row r="228" customFormat="false" ht="15" hidden="false" customHeight="false" outlineLevel="0" collapsed="false">
      <c r="A228" s="4" t="n">
        <f aca="false">PRECIOS!A228</f>
        <v>46265</v>
      </c>
      <c r="B228" s="5" t="n">
        <f aca="false">+LN(PRECIOS!B228/PRECIOS!B227)</f>
        <v>0.00349704650550506</v>
      </c>
      <c r="C228" s="5" t="n">
        <f aca="false">+LN(PRECIOS!C228/PRECIOS!C227)</f>
        <v>0.0154929266906378</v>
      </c>
      <c r="D228" s="5" t="n">
        <f aca="false">+LN(PRECIOS!D228/PRECIOS!D227)</f>
        <v>-0.00964229749223476</v>
      </c>
      <c r="E228" s="5" t="n">
        <f aca="false">+LN(PRECIOS!E228/PRECIOS!E227)</f>
        <v>0.00508303364843276</v>
      </c>
      <c r="F228" s="5" t="n">
        <f aca="false">+LN(PRECIOS!F228/PRECIOS!F227)</f>
        <v>-0.0151682214731714</v>
      </c>
      <c r="G228" s="5" t="n">
        <f aca="false">+LN(PRECIOS!G228/PRECIOS!G227)</f>
        <v>0.0099212343212649</v>
      </c>
      <c r="H228" s="5" t="n">
        <f aca="false">+LN(PRECIOS!H228/PRECIOS!H227)</f>
        <v>0.00213903824874944</v>
      </c>
      <c r="I228" s="5" t="n">
        <f aca="false">+LN(PRECIOS!I228/PRECIOS!I227)</f>
        <v>-0.0203981417987319</v>
      </c>
      <c r="J228" s="5" t="n">
        <f aca="false">+LN(PRECIOS!J228/PRECIOS!J227)</f>
        <v>-0.000824965077436021</v>
      </c>
    </row>
    <row r="229" customFormat="false" ht="15" hidden="false" customHeight="false" outlineLevel="0" collapsed="false">
      <c r="A229" s="4" t="n">
        <f aca="false">PRECIOS!A229</f>
        <v>46266</v>
      </c>
      <c r="B229" s="5" t="n">
        <f aca="false">+LN(PRECIOS!B229/PRECIOS!B228)</f>
        <v>-0.0112027190557868</v>
      </c>
      <c r="C229" s="5" t="n">
        <f aca="false">+LN(PRECIOS!C229/PRECIOS!C228)</f>
        <v>-0.00505720523944594</v>
      </c>
      <c r="D229" s="5" t="n">
        <f aca="false">+LN(PRECIOS!D229/PRECIOS!D228)</f>
        <v>-0.00102040825180552</v>
      </c>
      <c r="E229" s="5" t="n">
        <f aca="false">+LN(PRECIOS!E229/PRECIOS!E228)</f>
        <v>-0.0153272755336199</v>
      </c>
      <c r="F229" s="5" t="n">
        <f aca="false">+LN(PRECIOS!F229/PRECIOS!F228)</f>
        <v>-0.0282332619444141</v>
      </c>
      <c r="G229" s="5" t="n">
        <f aca="false">+LN(PRECIOS!G229/PRECIOS!G228)</f>
        <v>0.00109054096441402</v>
      </c>
      <c r="H229" s="5" t="n">
        <f aca="false">+LN(PRECIOS!H229/PRECIOS!H228)</f>
        <v>-0.0381102188692541</v>
      </c>
      <c r="I229" s="5" t="n">
        <f aca="false">+LN(PRECIOS!I229/PRECIOS!I228)</f>
        <v>-0.00383142231155595</v>
      </c>
      <c r="J229" s="5" t="n">
        <f aca="false">+LN(PRECIOS!J229/PRECIOS!J228)</f>
        <v>-0.0140996299598027</v>
      </c>
    </row>
    <row r="230" customFormat="false" ht="15" hidden="false" customHeight="false" outlineLevel="0" collapsed="false">
      <c r="A230" s="4" t="n">
        <f aca="false">PRECIOS!A230</f>
        <v>46267</v>
      </c>
      <c r="B230" s="5" t="n">
        <f aca="false">+LN(PRECIOS!B230/PRECIOS!B229)</f>
        <v>0.00352405008156696</v>
      </c>
      <c r="C230" s="5" t="n">
        <f aca="false">+LN(PRECIOS!C230/PRECIOS!C229)</f>
        <v>0.00601758946692409</v>
      </c>
      <c r="D230" s="5" t="n">
        <f aca="false">+LN(PRECIOS!D230/PRECIOS!D229)</f>
        <v>-0.00871576909327039</v>
      </c>
      <c r="E230" s="5" t="n">
        <f aca="false">+LN(PRECIOS!E230/PRECIOS!E229)</f>
        <v>-0.00671547939169974</v>
      </c>
      <c r="F230" s="5" t="n">
        <f aca="false">+LN(PRECIOS!F230/PRECIOS!F229)</f>
        <v>0.0117221548786217</v>
      </c>
      <c r="G230" s="5" t="n">
        <f aca="false">+LN(PRECIOS!G230/PRECIOS!G229)</f>
        <v>0.0181046965400687</v>
      </c>
      <c r="H230" s="5" t="n">
        <f aca="false">+LN(PRECIOS!H230/PRECIOS!H229)</f>
        <v>0.00442968609158826</v>
      </c>
      <c r="I230" s="5" t="n">
        <f aca="false">+LN(PRECIOS!I230/PRECIOS!I229)</f>
        <v>-0.00213492822337</v>
      </c>
      <c r="J230" s="5" t="n">
        <f aca="false">+LN(PRECIOS!J230/PRECIOS!J229)</f>
        <v>0.00571924593938733</v>
      </c>
    </row>
    <row r="231" customFormat="false" ht="15" hidden="false" customHeight="false" outlineLevel="0" collapsed="false">
      <c r="A231" s="4" t="n">
        <f aca="false">PRECIOS!A231</f>
        <v>46268</v>
      </c>
      <c r="B231" s="5" t="n">
        <f aca="false">+LN(PRECIOS!B231/PRECIOS!B230)</f>
        <v>0.00376940006889587</v>
      </c>
      <c r="C231" s="5" t="n">
        <f aca="false">+LN(PRECIOS!C231/PRECIOS!C230)</f>
        <v>0.0274573461929174</v>
      </c>
      <c r="D231" s="5" t="n">
        <f aca="false">+LN(PRECIOS!D231/PRECIOS!D230)</f>
        <v>0.00922610337329263</v>
      </c>
      <c r="E231" s="5" t="n">
        <f aca="false">+LN(PRECIOS!E231/PRECIOS!E230)</f>
        <v>0.000172756327630184</v>
      </c>
      <c r="F231" s="5" t="n">
        <f aca="false">+LN(PRECIOS!F231/PRECIOS!F230)</f>
        <v>0.0235821183063444</v>
      </c>
      <c r="G231" s="5" t="n">
        <f aca="false">+LN(PRECIOS!G231/PRECIOS!G230)</f>
        <v>0.0114032100001106</v>
      </c>
      <c r="H231" s="5" t="n">
        <f aca="false">+LN(PRECIOS!H231/PRECIOS!H230)</f>
        <v>0.00220750641521052</v>
      </c>
      <c r="I231" s="5" t="n">
        <f aca="false">+LN(PRECIOS!I231/PRECIOS!I230)</f>
        <v>0.0152707103207049</v>
      </c>
      <c r="J231" s="5" t="n">
        <f aca="false">+LN(PRECIOS!J231/PRECIOS!J230)</f>
        <v>0.00846963529398661</v>
      </c>
    </row>
    <row r="232" customFormat="false" ht="15" hidden="false" customHeight="false" outlineLevel="0" collapsed="false">
      <c r="A232" s="4" t="n">
        <f aca="false">PRECIOS!A232</f>
        <v>46269</v>
      </c>
      <c r="B232" s="5" t="n">
        <f aca="false">+LN(PRECIOS!B232/PRECIOS!B231)</f>
        <v>-0.00750113447104311</v>
      </c>
      <c r="C232" s="5" t="n">
        <f aca="false">+LN(PRECIOS!C232/PRECIOS!C231)</f>
        <v>0.000700198418151303</v>
      </c>
      <c r="D232" s="5" t="n">
        <f aca="false">+LN(PRECIOS!D232/PRECIOS!D231)</f>
        <v>-0.00768249617201639</v>
      </c>
      <c r="E232" s="5" t="n">
        <f aca="false">+LN(PRECIOS!E232/PRECIOS!E231)</f>
        <v>-0.0264301724049468</v>
      </c>
      <c r="F232" s="5" t="n">
        <f aca="false">+LN(PRECIOS!F232/PRECIOS!F231)</f>
        <v>0.0113178249326617</v>
      </c>
      <c r="G232" s="5" t="n">
        <f aca="false">+LN(PRECIOS!G232/PRECIOS!G231)</f>
        <v>-0.00946818546314091</v>
      </c>
      <c r="H232" s="5" t="n">
        <f aca="false">+LN(PRECIOS!H232/PRECIOS!H231)</f>
        <v>-0.0189209873889511</v>
      </c>
      <c r="I232" s="5" t="n">
        <f aca="false">+LN(PRECIOS!I232/PRECIOS!I231)</f>
        <v>-0.0059109312908042</v>
      </c>
      <c r="J232" s="5" t="n">
        <f aca="false">+LN(PRECIOS!J232/PRECIOS!J231)</f>
        <v>-0.00874200336960024</v>
      </c>
    </row>
    <row r="233" customFormat="false" ht="15" hidden="false" customHeight="false" outlineLevel="0" collapsed="false">
      <c r="A233" s="4" t="n">
        <f aca="false">PRECIOS!A233</f>
        <v>46272</v>
      </c>
      <c r="B233" s="5" t="n">
        <f aca="false">+LN(PRECIOS!B233/PRECIOS!B232)</f>
        <v>-0.0083953041648153</v>
      </c>
      <c r="C233" s="5" t="n">
        <f aca="false">+LN(PRECIOS!C233/PRECIOS!C232)</f>
        <v>0.0203240252031908</v>
      </c>
      <c r="D233" s="5" t="n">
        <f aca="false">+LN(PRECIOS!D233/PRECIOS!D232)</f>
        <v>-0.000514271032162198</v>
      </c>
      <c r="E233" s="5" t="n">
        <f aca="false">+LN(PRECIOS!E233/PRECIOS!E232)</f>
        <v>-0.00426591475223005</v>
      </c>
      <c r="F233" s="5" t="n">
        <f aca="false">+LN(PRECIOS!F233/PRECIOS!F232)</f>
        <v>0.00534474815888094</v>
      </c>
      <c r="G233" s="5" t="n">
        <f aca="false">+LN(PRECIOS!G233/PRECIOS!G232)</f>
        <v>-0.00448682749359292</v>
      </c>
      <c r="H233" s="5" t="n">
        <f aca="false">+LN(PRECIOS!H233/PRECIOS!H232)</f>
        <v>-0.139649589136458</v>
      </c>
      <c r="I233" s="5" t="n">
        <f aca="false">+LN(PRECIOS!I233/PRECIOS!I232)</f>
        <v>-0.00339342849497471</v>
      </c>
      <c r="J233" s="5" t="n">
        <f aca="false">+LN(PRECIOS!J233/PRECIOS!J232)</f>
        <v>-0.00214623967800541</v>
      </c>
    </row>
    <row r="234" customFormat="false" ht="15" hidden="false" customHeight="false" outlineLevel="0" collapsed="false">
      <c r="A234" s="4" t="n">
        <f aca="false">PRECIOS!A234</f>
        <v>46273</v>
      </c>
      <c r="B234" s="5" t="n">
        <f aca="false">+LN(PRECIOS!B234/PRECIOS!B233)</f>
        <v>0.00574354126943798</v>
      </c>
      <c r="C234" s="5" t="n">
        <f aca="false">+LN(PRECIOS!C234/PRECIOS!C233)</f>
        <v>0.00159908657718534</v>
      </c>
      <c r="D234" s="5" t="n">
        <f aca="false">+LN(PRECIOS!D234/PRECIOS!D233)</f>
        <v>0.0015420203518152</v>
      </c>
      <c r="E234" s="5" t="n">
        <f aca="false">+LN(PRECIOS!E234/PRECIOS!E233)</f>
        <v>-0.00446309765212961</v>
      </c>
      <c r="F234" s="5" t="n">
        <f aca="false">+LN(PRECIOS!F234/PRECIOS!F233)</f>
        <v>-0.00213447252863279</v>
      </c>
      <c r="G234" s="5" t="n">
        <f aca="false">+LN(PRECIOS!G234/PRECIOS!G233)</f>
        <v>0.0222354908522872</v>
      </c>
      <c r="H234" s="5" t="n">
        <f aca="false">+LN(PRECIOS!H234/PRECIOS!H233)</f>
        <v>0.0877647537674465</v>
      </c>
      <c r="I234" s="5" t="n">
        <f aca="false">+LN(PRECIOS!I234/PRECIOS!I233)</f>
        <v>-0.0149831570096815</v>
      </c>
      <c r="J234" s="5" t="n">
        <f aca="false">+LN(PRECIOS!J234/PRECIOS!J233)</f>
        <v>0.00520860915095683</v>
      </c>
    </row>
    <row r="235" customFormat="false" ht="15" hidden="false" customHeight="false" outlineLevel="0" collapsed="false">
      <c r="A235" s="4" t="n">
        <f aca="false">PRECIOS!A235</f>
        <v>46274</v>
      </c>
      <c r="B235" s="5" t="n">
        <f aca="false">+LN(PRECIOS!B235/PRECIOS!B234)</f>
        <v>0.00772765300835716</v>
      </c>
      <c r="C235" s="5" t="n">
        <f aca="false">+LN(PRECIOS!C235/PRECIOS!C234)</f>
        <v>-0.016339104716105</v>
      </c>
      <c r="D235" s="5" t="n">
        <f aca="false">+LN(PRECIOS!D235/PRECIOS!D234)</f>
        <v>0.0025647616008381</v>
      </c>
      <c r="E235" s="5" t="n">
        <f aca="false">+LN(PRECIOS!E235/PRECIOS!E234)</f>
        <v>0.0120933360734575</v>
      </c>
      <c r="F235" s="5" t="n">
        <f aca="false">+LN(PRECIOS!F235/PRECIOS!F234)</f>
        <v>-0.0145281005629097</v>
      </c>
      <c r="G235" s="5" t="n">
        <f aca="false">+LN(PRECIOS!G235/PRECIOS!G234)</f>
        <v>-0.0071221085484294</v>
      </c>
      <c r="H235" s="5" t="n">
        <f aca="false">+LN(PRECIOS!H235/PRECIOS!H234)</f>
        <v>-0.0484943499386103</v>
      </c>
      <c r="I235" s="5" t="n">
        <f aca="false">+LN(PRECIOS!I235/PRECIOS!I234)</f>
        <v>-0.0123686072832302</v>
      </c>
      <c r="J235" s="5" t="n">
        <f aca="false">+LN(PRECIOS!J235/PRECIOS!J234)</f>
        <v>-0.00385878177344143</v>
      </c>
    </row>
    <row r="236" customFormat="false" ht="15" hidden="false" customHeight="false" outlineLevel="0" collapsed="false">
      <c r="A236" s="4" t="n">
        <f aca="false">PRECIOS!A236</f>
        <v>46275</v>
      </c>
      <c r="B236" s="5" t="n">
        <f aca="false">+LN(PRECIOS!B236/PRECIOS!B235)</f>
        <v>0.00756585095936932</v>
      </c>
      <c r="C236" s="5" t="n">
        <f aca="false">+LN(PRECIOS!C236/PRECIOS!C235)</f>
        <v>0.00278035396903776</v>
      </c>
      <c r="D236" s="5" t="n">
        <f aca="false">+LN(PRECIOS!D236/PRECIOS!D235)</f>
        <v>-0.00771410356604188</v>
      </c>
      <c r="E236" s="5" t="n">
        <f aca="false">+LN(PRECIOS!E236/PRECIOS!E235)</f>
        <v>-0.012451245884007</v>
      </c>
      <c r="F236" s="5" t="n">
        <f aca="false">+LN(PRECIOS!F236/PRECIOS!F235)</f>
        <v>-0.0186000985912141</v>
      </c>
      <c r="G236" s="5" t="n">
        <f aca="false">+LN(PRECIOS!G236/PRECIOS!G235)</f>
        <v>0.00366770074776593</v>
      </c>
      <c r="H236" s="5" t="n">
        <f aca="false">+LN(PRECIOS!H236/PRECIOS!H235)</f>
        <v>-0.0112430915741805</v>
      </c>
      <c r="I236" s="5" t="n">
        <f aca="false">+LN(PRECIOS!I236/PRECIOS!I235)</f>
        <v>0.00652885888246363</v>
      </c>
      <c r="J236" s="5" t="n">
        <f aca="false">+LN(PRECIOS!J236/PRECIOS!J235)</f>
        <v>-0.0109858406732843</v>
      </c>
    </row>
    <row r="237" customFormat="false" ht="15" hidden="false" customHeight="false" outlineLevel="0" collapsed="false">
      <c r="A237" s="4" t="n">
        <f aca="false">PRECIOS!A237</f>
        <v>46276</v>
      </c>
      <c r="B237" s="5" t="n">
        <f aca="false">+LN(PRECIOS!B237/PRECIOS!B236)</f>
        <v>0.00429778098216472</v>
      </c>
      <c r="C237" s="5" t="n">
        <f aca="false">+LN(PRECIOS!C237/PRECIOS!C236)</f>
        <v>-0.0062667026484755</v>
      </c>
      <c r="D237" s="5" t="n">
        <f aca="false">+LN(PRECIOS!D237/PRECIOS!D236)</f>
        <v>-0.00154998739375633</v>
      </c>
      <c r="E237" s="5" t="n">
        <f aca="false">+LN(PRECIOS!E237/PRECIOS!E236)</f>
        <v>-0.00953158911227739</v>
      </c>
      <c r="F237" s="5" t="n">
        <f aca="false">+LN(PRECIOS!F237/PRECIOS!F236)</f>
        <v>0.00110375287143775</v>
      </c>
      <c r="G237" s="5" t="n">
        <f aca="false">+LN(PRECIOS!G237/PRECIOS!G236)</f>
        <v>-0.00140519946840144</v>
      </c>
      <c r="H237" s="5" t="n">
        <f aca="false">+LN(PRECIOS!H237/PRECIOS!H236)</f>
        <v>0.001255492945832</v>
      </c>
      <c r="I237" s="5" t="n">
        <f aca="false">+LN(PRECIOS!I237/PRECIOS!I236)</f>
        <v>-0.0120023262966356</v>
      </c>
      <c r="J237" s="5" t="n">
        <f aca="false">+LN(PRECIOS!J237/PRECIOS!J236)</f>
        <v>-0.00284383131838361</v>
      </c>
    </row>
    <row r="238" customFormat="false" ht="15" hidden="false" customHeight="false" outlineLevel="0" collapsed="false">
      <c r="A238" s="4" t="n">
        <f aca="false">PRECIOS!A238</f>
        <v>46279</v>
      </c>
      <c r="B238" s="5" t="n">
        <f aca="false">+LN(PRECIOS!B238/PRECIOS!B237)</f>
        <v>0.0158033983389225</v>
      </c>
      <c r="C238" s="5" t="n">
        <f aca="false">+LN(PRECIOS!C238/PRECIOS!C237)</f>
        <v>0.000930882077925754</v>
      </c>
      <c r="D238" s="5" t="n">
        <f aca="false">+LN(PRECIOS!D238/PRECIOS!D237)</f>
        <v>0.0255246118315785</v>
      </c>
      <c r="E238" s="5" t="n">
        <f aca="false">+LN(PRECIOS!E238/PRECIOS!E237)</f>
        <v>0.00324734183976924</v>
      </c>
      <c r="F238" s="5" t="n">
        <f aca="false">+LN(PRECIOS!F238/PRECIOS!F237)</f>
        <v>-0.0122088086941392</v>
      </c>
      <c r="G238" s="5" t="n">
        <f aca="false">+LN(PRECIOS!G238/PRECIOS!G237)</f>
        <v>0.00815269476753453</v>
      </c>
      <c r="H238" s="5" t="n">
        <f aca="false">+LN(PRECIOS!H238/PRECIOS!H237)</f>
        <v>0.00375704887771234</v>
      </c>
      <c r="I238" s="5" t="n">
        <f aca="false">+LN(PRECIOS!I238/PRECIOS!I237)</f>
        <v>0.0106999601477146</v>
      </c>
      <c r="J238" s="5" t="n">
        <f aca="false">+LN(PRECIOS!J238/PRECIOS!J237)</f>
        <v>0.0045607385025621</v>
      </c>
    </row>
    <row r="239" customFormat="false" ht="15" hidden="false" customHeight="false" outlineLevel="0" collapsed="false">
      <c r="A239" s="4" t="n">
        <f aca="false">PRECIOS!A239</f>
        <v>46280</v>
      </c>
      <c r="B239" s="5" t="n">
        <f aca="false">+LN(PRECIOS!B239/PRECIOS!B238)</f>
        <v>0.00396218889842923</v>
      </c>
      <c r="C239" s="5" t="n">
        <f aca="false">+LN(PRECIOS!C239/PRECIOS!C238)</f>
        <v>0.0177526276055356</v>
      </c>
      <c r="D239" s="5" t="n">
        <f aca="false">+LN(PRECIOS!D239/PRECIOS!D238)</f>
        <v>0.00352201621937831</v>
      </c>
      <c r="E239" s="5" t="n">
        <f aca="false">+LN(PRECIOS!E239/PRECIOS!E238)</f>
        <v>-0.00795664233809505</v>
      </c>
      <c r="F239" s="5" t="n">
        <f aca="false">+LN(PRECIOS!F239/PRECIOS!F238)</f>
        <v>-0.0197356278656499</v>
      </c>
      <c r="G239" s="5" t="n">
        <f aca="false">+LN(PRECIOS!G239/PRECIOS!G238)</f>
        <v>-0.0277283490293456</v>
      </c>
      <c r="H239" s="5" t="n">
        <f aca="false">+LN(PRECIOS!H239/PRECIOS!H238)</f>
        <v>-0.0473536963834703</v>
      </c>
      <c r="I239" s="5" t="n">
        <f aca="false">+LN(PRECIOS!I239/PRECIOS!I238)</f>
        <v>-0.0109195232180883</v>
      </c>
      <c r="J239" s="5" t="n">
        <f aca="false">+LN(PRECIOS!J239/PRECIOS!J238)</f>
        <v>-0.0111157935723949</v>
      </c>
    </row>
    <row r="240" customFormat="false" ht="15" hidden="false" customHeight="false" outlineLevel="0" collapsed="false">
      <c r="A240" s="4" t="n">
        <f aca="false">PRECIOS!A240</f>
        <v>46282</v>
      </c>
      <c r="B240" s="5" t="n">
        <f aca="false">+LN(PRECIOS!B240/PRECIOS!B239)</f>
        <v>0.00289898738541251</v>
      </c>
      <c r="C240" s="5" t="n">
        <f aca="false">+LN(PRECIOS!C240/PRECIOS!C239)</f>
        <v>-0.0140377405842888</v>
      </c>
      <c r="D240" s="5" t="n">
        <f aca="false">+LN(PRECIOS!D240/PRECIOS!D239)</f>
        <v>-0.00806862672897407</v>
      </c>
      <c r="E240" s="5" t="n">
        <f aca="false">+LN(PRECIOS!E240/PRECIOS!E239)</f>
        <v>0.00127007183905743</v>
      </c>
      <c r="F240" s="5" t="n">
        <f aca="false">+LN(PRECIOS!F240/PRECIOS!F239)</f>
        <v>-0.000569638295095645</v>
      </c>
      <c r="G240" s="5" t="n">
        <f aca="false">+LN(PRECIOS!G240/PRECIOS!G239)</f>
        <v>0.00398671624382138</v>
      </c>
      <c r="H240" s="5" t="n">
        <f aca="false">+LN(PRECIOS!H240/PRECIOS!H239)</f>
        <v>0.038565190350391</v>
      </c>
      <c r="I240" s="5" t="n">
        <f aca="false">+LN(PRECIOS!I240/PRECIOS!I239)</f>
        <v>0.0146051642465814</v>
      </c>
      <c r="J240" s="5" t="n">
        <f aca="false">+LN(PRECIOS!J240/PRECIOS!J239)</f>
        <v>0.00574987867354045</v>
      </c>
    </row>
    <row r="241" customFormat="false" ht="15" hidden="false" customHeight="false" outlineLevel="0" collapsed="false">
      <c r="A241" s="4" t="n">
        <f aca="false">PRECIOS!A241</f>
        <v>46283</v>
      </c>
      <c r="B241" s="5" t="n">
        <f aca="false">+LN(PRECIOS!B241/PRECIOS!B240)</f>
        <v>0.00453154175349026</v>
      </c>
      <c r="C241" s="5" t="n">
        <f aca="false">+LN(PRECIOS!C241/PRECIOS!C240)</f>
        <v>0.019734463293563</v>
      </c>
      <c r="D241" s="5" t="n">
        <f aca="false">+LN(PRECIOS!D241/PRECIOS!D240)</f>
        <v>-0.0178804252778485</v>
      </c>
      <c r="E241" s="5" t="n">
        <f aca="false">+LN(PRECIOS!E241/PRECIOS!E240)</f>
        <v>-0.0173758372539108</v>
      </c>
      <c r="F241" s="5" t="n">
        <f aca="false">+LN(PRECIOS!F241/PRECIOS!F240)</f>
        <v>-0.00743497848751798</v>
      </c>
      <c r="G241" s="5" t="n">
        <f aca="false">+LN(PRECIOS!G241/PRECIOS!G240)</f>
        <v>-0.0269881447176469</v>
      </c>
      <c r="H241" s="5" t="n">
        <f aca="false">+LN(PRECIOS!H241/PRECIOS!H240)</f>
        <v>0.00878850603307934</v>
      </c>
      <c r="I241" s="5" t="n">
        <f aca="false">+LN(PRECIOS!I241/PRECIOS!I240)</f>
        <v>0.00237760838256477</v>
      </c>
      <c r="J241" s="5" t="n">
        <f aca="false">+LN(PRECIOS!J241/PRECIOS!J240)</f>
        <v>-0.00781761044822841</v>
      </c>
    </row>
    <row r="242" customFormat="false" ht="15" hidden="false" customHeight="false" outlineLevel="0" collapsed="false">
      <c r="A242" s="4" t="n">
        <f aca="false">PRECIOS!A242</f>
        <v>46286</v>
      </c>
      <c r="B242" s="5" t="n">
        <f aca="false">+LN(PRECIOS!B242/PRECIOS!B241)</f>
        <v>-0.0230692476991677</v>
      </c>
      <c r="C242" s="5" t="n">
        <f aca="false">+LN(PRECIOS!C242/PRECIOS!C241)</f>
        <v>-0.00821359853738886</v>
      </c>
      <c r="D242" s="5" t="n">
        <f aca="false">+LN(PRECIOS!D242/PRECIOS!D241)</f>
        <v>-0.00206398422085148</v>
      </c>
      <c r="E242" s="5" t="n">
        <f aca="false">+LN(PRECIOS!E242/PRECIOS!E241)</f>
        <v>0.00441826933766474</v>
      </c>
      <c r="F242" s="5" t="n">
        <f aca="false">+LN(PRECIOS!F242/PRECIOS!F241)</f>
        <v>-0.00749067172915774</v>
      </c>
      <c r="G242" s="5" t="n">
        <f aca="false">+LN(PRECIOS!G242/PRECIOS!G241)</f>
        <v>0.0128093394227503</v>
      </c>
      <c r="H242" s="5" t="n">
        <f aca="false">+LN(PRECIOS!H242/PRECIOS!H241)</f>
        <v>0.0850302491845756</v>
      </c>
      <c r="I242" s="5" t="n">
        <f aca="false">+LN(PRECIOS!I242/PRECIOS!I241)</f>
        <v>-0.0249193222248826</v>
      </c>
      <c r="J242" s="5" t="n">
        <f aca="false">+LN(PRECIOS!J242/PRECIOS!J241)</f>
        <v>0.00253764745905294</v>
      </c>
    </row>
    <row r="243" customFormat="false" ht="15" hidden="false" customHeight="false" outlineLevel="0" collapsed="false">
      <c r="A243" s="4" t="n">
        <f aca="false">PRECIOS!A243</f>
        <v>46287</v>
      </c>
      <c r="B243" s="5" t="n">
        <f aca="false">+LN(PRECIOS!B243/PRECIOS!B242)</f>
        <v>0.0046667427700288</v>
      </c>
      <c r="C243" s="5" t="n">
        <f aca="false">+LN(PRECIOS!C243/PRECIOS!C242)</f>
        <v>-0.00989993120687126</v>
      </c>
      <c r="D243" s="5" t="n">
        <f aca="false">+LN(PRECIOS!D243/PRECIOS!D242)</f>
        <v>-0.00206825306405896</v>
      </c>
      <c r="E243" s="5" t="n">
        <f aca="false">+LN(PRECIOS!E243/PRECIOS!E242)</f>
        <v>0.0176609050959929</v>
      </c>
      <c r="F243" s="5" t="n">
        <f aca="false">+LN(PRECIOS!F243/PRECIOS!F242)</f>
        <v>0.027383342471361</v>
      </c>
      <c r="G243" s="5" t="n">
        <f aca="false">+LN(PRECIOS!G243/PRECIOS!G242)</f>
        <v>0.0176414831614869</v>
      </c>
      <c r="H243" s="5" t="n">
        <f aca="false">+LN(PRECIOS!H243/PRECIOS!H242)</f>
        <v>-0.0197107830639331</v>
      </c>
      <c r="I243" s="5" t="n">
        <f aca="false">+LN(PRECIOS!I243/PRECIOS!I242)</f>
        <v>0.0131928034845634</v>
      </c>
      <c r="J243" s="5" t="n">
        <f aca="false">+LN(PRECIOS!J243/PRECIOS!J242)</f>
        <v>0.0143701901451494</v>
      </c>
    </row>
    <row r="244" customFormat="false" ht="15" hidden="false" customHeight="false" outlineLevel="0" collapsed="false">
      <c r="A244" s="4" t="n">
        <f aca="false">PRECIOS!A244</f>
        <v>46288</v>
      </c>
      <c r="B244" s="5" t="n">
        <f aca="false">+LN(PRECIOS!B244/PRECIOS!B243)</f>
        <v>0.000961076479550532</v>
      </c>
      <c r="C244" s="5" t="n">
        <f aca="false">+LN(PRECIOS!C244/PRECIOS!C243)</f>
        <v>0.00184928392970429</v>
      </c>
      <c r="D244" s="5" t="n">
        <f aca="false">+LN(PRECIOS!D244/PRECIOS!D243)</f>
        <v>0.000517464435867435</v>
      </c>
      <c r="E244" s="5" t="n">
        <f aca="false">+LN(PRECIOS!E244/PRECIOS!E243)</f>
        <v>-0.00579187139463297</v>
      </c>
      <c r="F244" s="5" t="n">
        <f aca="false">+LN(PRECIOS!F244/PRECIOS!F243)</f>
        <v>-0.0308595916267217</v>
      </c>
      <c r="G244" s="5" t="n">
        <f aca="false">+LN(PRECIOS!G244/PRECIOS!G243)</f>
        <v>-0.00433022404128529</v>
      </c>
      <c r="H244" s="5" t="n">
        <f aca="false">+LN(PRECIOS!H244/PRECIOS!H243)</f>
        <v>-0.00469484430420762</v>
      </c>
      <c r="I244" s="5" t="n">
        <f aca="false">+LN(PRECIOS!I244/PRECIOS!I243)</f>
        <v>0.00239991388232139</v>
      </c>
      <c r="J244" s="5" t="n">
        <f aca="false">+LN(PRECIOS!J244/PRECIOS!J243)</f>
        <v>-0.00279446115462394</v>
      </c>
    </row>
    <row r="245" customFormat="false" ht="15" hidden="false" customHeight="false" outlineLevel="0" collapsed="false">
      <c r="A245" s="4" t="n">
        <f aca="false">PRECIOS!A245</f>
        <v>46289</v>
      </c>
      <c r="B245" s="5" t="n">
        <f aca="false">+LN(PRECIOS!B245/PRECIOS!B244)</f>
        <v>-0.000404551206528774</v>
      </c>
      <c r="C245" s="5" t="n">
        <f aca="false">+LN(PRECIOS!C245/PRECIOS!C244)</f>
        <v>-0.00462963789874199</v>
      </c>
      <c r="D245" s="5" t="n">
        <f aca="false">+LN(PRECIOS!D245/PRECIOS!D244)</f>
        <v>0.0138712730162321</v>
      </c>
      <c r="E245" s="5" t="n">
        <f aca="false">+LN(PRECIOS!E245/PRECIOS!E244)</f>
        <v>-0.000181537624171121</v>
      </c>
      <c r="F245" s="5" t="n">
        <f aca="false">+LN(PRECIOS!F245/PRECIOS!F244)</f>
        <v>-0.0163842167133791</v>
      </c>
      <c r="G245" s="5" t="n">
        <f aca="false">+LN(PRECIOS!G245/PRECIOS!G244)</f>
        <v>-0.0101601859237381</v>
      </c>
      <c r="H245" s="5" t="n">
        <f aca="false">+LN(PRECIOS!H245/PRECIOS!H244)</f>
        <v>-0.0130256430171558</v>
      </c>
      <c r="I245" s="5" t="n">
        <f aca="false">+LN(PRECIOS!I245/PRECIOS!I244)</f>
        <v>0.000653523604568795</v>
      </c>
      <c r="J245" s="5" t="n">
        <f aca="false">+LN(PRECIOS!J245/PRECIOS!J244)</f>
        <v>-0.000195424211192117</v>
      </c>
    </row>
    <row r="246" customFormat="false" ht="15" hidden="false" customHeight="false" outlineLevel="0" collapsed="false">
      <c r="A246" s="4" t="n">
        <f aca="false">PRECIOS!A246</f>
        <v>46290</v>
      </c>
      <c r="B246" s="5" t="n">
        <f aca="false">+LN(PRECIOS!B246/PRECIOS!B245)</f>
        <v>0.00971443401461923</v>
      </c>
      <c r="C246" s="5" t="n">
        <f aca="false">+LN(PRECIOS!C246/PRECIOS!C245)</f>
        <v>0.0404692641047387</v>
      </c>
      <c r="D246" s="5" t="n">
        <f aca="false">+LN(PRECIOS!D246/PRECIOS!D245)</f>
        <v>-0.0046024116014517</v>
      </c>
      <c r="E246" s="5" t="n">
        <f aca="false">+LN(PRECIOS!E246/PRECIOS!E245)</f>
        <v>0.00145137906464699</v>
      </c>
      <c r="F246" s="5" t="n">
        <f aca="false">+LN(PRECIOS!F246/PRECIOS!F245)</f>
        <v>0.0210165353616586</v>
      </c>
      <c r="G246" s="5" t="n">
        <f aca="false">+LN(PRECIOS!G246/PRECIOS!G245)</f>
        <v>0.0116906422983805</v>
      </c>
      <c r="H246" s="5" t="n">
        <f aca="false">+LN(PRECIOS!H246/PRECIOS!H245)</f>
        <v>-0.00717706430036359</v>
      </c>
      <c r="I246" s="5" t="n">
        <f aca="false">+LN(PRECIOS!I246/PRECIOS!I245)</f>
        <v>0.0149143583733386</v>
      </c>
      <c r="J246" s="5" t="n">
        <f aca="false">+LN(PRECIOS!J246/PRECIOS!J245)</f>
        <v>0.011265635690531</v>
      </c>
    </row>
    <row r="247" customFormat="false" ht="15" hidden="false" customHeight="false" outlineLevel="0" collapsed="false">
      <c r="A247" s="4" t="n">
        <f aca="false">PRECIOS!A247</f>
        <v>46293</v>
      </c>
      <c r="B247" s="5" t="n">
        <f aca="false">+LN(PRECIOS!B247/PRECIOS!B246)</f>
        <v>-0.0109290705321902</v>
      </c>
      <c r="C247" s="5" t="n">
        <f aca="false">+LN(PRECIOS!C247/PRECIOS!C246)</f>
        <v>0.0270375850041733</v>
      </c>
      <c r="D247" s="5" t="n">
        <f aca="false">+LN(PRECIOS!D247/PRECIOS!D246)</f>
        <v>0</v>
      </c>
      <c r="E247" s="5" t="n">
        <f aca="false">+LN(PRECIOS!E247/PRECIOS!E246)</f>
        <v>0.0177886282593512</v>
      </c>
      <c r="F247" s="5" t="n">
        <f aca="false">+LN(PRECIOS!F247/PRECIOS!F246)</f>
        <v>-0.009869456018484</v>
      </c>
      <c r="G247" s="5" t="n">
        <f aca="false">+LN(PRECIOS!G247/PRECIOS!G246)</f>
        <v>-0.0101960662992953</v>
      </c>
      <c r="H247" s="5" t="n">
        <f aca="false">+LN(PRECIOS!H247/PRECIOS!H246)</f>
        <v>0.00836824967051658</v>
      </c>
      <c r="I247" s="5" t="n">
        <f aca="false">+LN(PRECIOS!I247/PRECIOS!I246)</f>
        <v>0.00598932271684533</v>
      </c>
      <c r="J247" s="5" t="n">
        <f aca="false">+LN(PRECIOS!J247/PRECIOS!J246)</f>
        <v>-0.000736051080880003</v>
      </c>
    </row>
    <row r="248" customFormat="false" ht="15" hidden="false" customHeight="false" outlineLevel="0" collapsed="false">
      <c r="A248" s="4" t="n">
        <f aca="false">PRECIOS!A248</f>
        <v>46294</v>
      </c>
      <c r="B248" s="5" t="n">
        <f aca="false">+LN(PRECIOS!B248/PRECIOS!B247)</f>
        <v>-0.0129461543111646</v>
      </c>
      <c r="C248" s="5" t="n">
        <f aca="false">+LN(PRECIOS!C248/PRECIOS!C247)</f>
        <v>0.00734661904123346</v>
      </c>
      <c r="D248" s="5" t="n">
        <f aca="false">+LN(PRECIOS!D248/PRECIOS!D247)</f>
        <v>0.00969148110892284</v>
      </c>
      <c r="E248" s="5" t="n">
        <f aca="false">+LN(PRECIOS!E248/PRECIOS!E247)</f>
        <v>-0.0116436604320633</v>
      </c>
      <c r="F248" s="5" t="n">
        <f aca="false">+LN(PRECIOS!F248/PRECIOS!F247)</f>
        <v>0.0202143758608769</v>
      </c>
      <c r="G248" s="5" t="n">
        <f aca="false">+LN(PRECIOS!G248/PRECIOS!G247)</f>
        <v>0.00590487197488153</v>
      </c>
      <c r="H248" s="5" t="n">
        <f aca="false">+LN(PRECIOS!H248/PRECIOS!H247)</f>
        <v>0.0118344576470028</v>
      </c>
      <c r="I248" s="5" t="n">
        <f aca="false">+LN(PRECIOS!I248/PRECIOS!I247)</f>
        <v>-0.00170757778951574</v>
      </c>
      <c r="J248" s="5" t="n">
        <f aca="false">+LN(PRECIOS!J248/PRECIOS!J247)</f>
        <v>0.00255522841812796</v>
      </c>
    </row>
    <row r="249" customFormat="false" ht="15" hidden="false" customHeight="false" outlineLevel="0" collapsed="false">
      <c r="A249" s="4" t="n">
        <f aca="false">PRECIOS!A249</f>
        <v>46295</v>
      </c>
      <c r="B249" s="5" t="n">
        <f aca="false">+LN(PRECIOS!B249/PRECIOS!B248)</f>
        <v>-0.00694965603711108</v>
      </c>
      <c r="C249" s="5" t="n">
        <f aca="false">+LN(PRECIOS!C249/PRECIOS!C248)</f>
        <v>-0.0186880710344975</v>
      </c>
      <c r="D249" s="5" t="n">
        <f aca="false">+LN(PRECIOS!D249/PRECIOS!D248)</f>
        <v>-0.0251876589634775</v>
      </c>
      <c r="E249" s="5" t="n">
        <f aca="false">+LN(PRECIOS!E249/PRECIOS!E248)</f>
        <v>-0.00868626525596026</v>
      </c>
      <c r="F249" s="5" t="n">
        <f aca="false">+LN(PRECIOS!F249/PRECIOS!F248)</f>
        <v>-0.0126583968719234</v>
      </c>
      <c r="G249" s="5" t="n">
        <f aca="false">+LN(PRECIOS!G249/PRECIOS!G248)</f>
        <v>-0.0266142858055906</v>
      </c>
      <c r="H249" s="5" t="n">
        <f aca="false">+LN(PRECIOS!H249/PRECIOS!H248)</f>
        <v>-0.0347132400319339</v>
      </c>
      <c r="I249" s="5" t="n">
        <f aca="false">+LN(PRECIOS!I249/PRECIOS!I248)</f>
        <v>-0.0146333577422501</v>
      </c>
      <c r="J249" s="5" t="n">
        <f aca="false">+LN(PRECIOS!J249/PRECIOS!J248)</f>
        <v>-0.0138600399294285</v>
      </c>
    </row>
    <row r="250" customFormat="false" ht="15" hidden="false" customHeight="false" outlineLevel="0" collapsed="false">
      <c r="A250" s="4" t="n">
        <f aca="false">PRECIOS!A250</f>
        <v>46296</v>
      </c>
      <c r="B250" s="5" t="n">
        <f aca="false">+LN(PRECIOS!B250/PRECIOS!B249)</f>
        <v>0.00165169852766363</v>
      </c>
      <c r="C250" s="5" t="n">
        <f aca="false">+LN(PRECIOS!C250/PRECIOS!C249)</f>
        <v>-0.0019760682684454</v>
      </c>
      <c r="D250" s="5" t="n">
        <f aca="false">+LN(PRECIOS!D250/PRECIOS!D249)</f>
        <v>-0.0115184519562709</v>
      </c>
      <c r="E250" s="5" t="n">
        <f aca="false">+LN(PRECIOS!E250/PRECIOS!E249)</f>
        <v>0.00199727710516371</v>
      </c>
      <c r="F250" s="5" t="n">
        <f aca="false">+LN(PRECIOS!F250/PRECIOS!F249)</f>
        <v>0.00115740753661186</v>
      </c>
      <c r="G250" s="5" t="n">
        <f aca="false">+LN(PRECIOS!G250/PRECIOS!G249)</f>
        <v>-0.0169140587506613</v>
      </c>
      <c r="H250" s="5" t="n">
        <f aca="false">+LN(PRECIOS!H250/PRECIOS!H249)</f>
        <v>-0.0134888617859439</v>
      </c>
      <c r="I250" s="5" t="n">
        <f aca="false">+LN(PRECIOS!I250/PRECIOS!I249)</f>
        <v>0.0112094297236235</v>
      </c>
      <c r="J250" s="5" t="n">
        <f aca="false">+LN(PRECIOS!J250/PRECIOS!J249)</f>
        <v>-0.00602549592942088</v>
      </c>
    </row>
    <row r="251" customFormat="false" ht="15" hidden="false" customHeight="false" outlineLevel="0" collapsed="false">
      <c r="A251" s="4" t="n">
        <f aca="false">PRECIOS!A251</f>
        <v>46297</v>
      </c>
      <c r="B251" s="5" t="n">
        <f aca="false">+LN(PRECIOS!B251/PRECIOS!B250)</f>
        <v>0.0085758093559515</v>
      </c>
      <c r="C251" s="5" t="n">
        <f aca="false">+LN(PRECIOS!C251/PRECIOS!C250)</f>
        <v>0.00635340071209924</v>
      </c>
      <c r="D251" s="5" t="n">
        <f aca="false">+LN(PRECIOS!D251/PRECIOS!D250)</f>
        <v>0.0192965570242365</v>
      </c>
      <c r="E251" s="5" t="n">
        <f aca="false">+LN(PRECIOS!E251/PRECIOS!E250)</f>
        <v>-0.000544316442723479</v>
      </c>
      <c r="F251" s="5" t="n">
        <f aca="false">+LN(PRECIOS!F251/PRECIOS!F250)</f>
        <v>0.00863811878563453</v>
      </c>
      <c r="G251" s="5" t="n">
        <f aca="false">+LN(PRECIOS!G251/PRECIOS!G250)</f>
        <v>0.0171769053811667</v>
      </c>
      <c r="H251" s="5" t="n">
        <f aca="false">+LN(PRECIOS!H251/PRECIOS!H250)</f>
        <v>0.0134888617859439</v>
      </c>
      <c r="I251" s="5" t="n">
        <f aca="false">+LN(PRECIOS!I251/PRECIOS!I250)</f>
        <v>-0.0103426907744552</v>
      </c>
      <c r="J251" s="5" t="n">
        <f aca="false">+LN(PRECIOS!J251/PRECIOS!J250)</f>
        <v>0.0109549002442567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"/>
    <col collapsed="false" customWidth="true" hidden="false" outlineLevel="0" max="12" min="5" style="0" width="13"/>
  </cols>
  <sheetData>
    <row r="2" customFormat="false" ht="17.35" hidden="false" customHeight="false" outlineLevel="0" collapsed="false">
      <c r="D2" s="6" t="s">
        <v>10</v>
      </c>
    </row>
    <row r="6" customFormat="false" ht="15" hidden="false" customHeight="false" outlineLevel="0" collapsed="false">
      <c r="D6" s="7" t="s">
        <v>11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</row>
    <row r="7" customFormat="false" ht="15" hidden="false" customHeight="false" outlineLevel="0" collapsed="false">
      <c r="D7" s="1" t="s">
        <v>1</v>
      </c>
      <c r="E7" s="8" t="n">
        <f aca="false">STDEV(RENDIMIENTOS!$B$3:$B$251)</f>
        <v>0.0136488291094263</v>
      </c>
      <c r="F7" s="8" t="n">
        <f aca="false">STDEV(RENDIMIENTOS!$C$3:$C$251)</f>
        <v>0.0156184064873583</v>
      </c>
      <c r="G7" s="8" t="n">
        <f aca="false">STDEV(RENDIMIENTOS!$D$3:$D$251)</f>
        <v>0.0154076296579846</v>
      </c>
      <c r="H7" s="8" t="n">
        <f aca="false">STDEV(RENDIMIENTOS!$E$3:$E$251)</f>
        <v>0.0177452623343298</v>
      </c>
      <c r="I7" s="8" t="n">
        <f aca="false">STDEV(RENDIMIENTOS!$F$3:$F$251)</f>
        <v>0.0206484049274787</v>
      </c>
      <c r="J7" s="8" t="n">
        <f aca="false">STDEV(RENDIMIENTOS!$G$3:$G$251)</f>
        <v>0.0172079118776168</v>
      </c>
      <c r="K7" s="8" t="n">
        <f aca="false">STDEV(RENDIMIENTOS!$H$3:$H$251)</f>
        <v>0.0251092781521838</v>
      </c>
      <c r="L7" s="8" t="n">
        <f aca="false">STDEV(RENDIMIENTOS!$I$3:$I$251)</f>
        <v>0.0137902936697508</v>
      </c>
    </row>
    <row r="8" customFormat="false" ht="15" hidden="false" customHeight="false" outlineLevel="0" collapsed="false">
      <c r="D8" s="1" t="s">
        <v>2</v>
      </c>
      <c r="E8" s="8" t="n">
        <f aca="false">STDEV(RENDIMIENTOS!$C$3:$C$251)</f>
        <v>0.0156184064873583</v>
      </c>
    </row>
    <row r="9" customFormat="false" ht="15" hidden="false" customHeight="false" outlineLevel="0" collapsed="false">
      <c r="D9" s="1" t="s">
        <v>3</v>
      </c>
      <c r="E9" s="8" t="n">
        <f aca="false">STDEV(RENDIMIENTOS!$D$3:$D$251)</f>
        <v>0.0154076296579846</v>
      </c>
    </row>
    <row r="10" customFormat="false" ht="15" hidden="false" customHeight="false" outlineLevel="0" collapsed="false">
      <c r="D10" s="1" t="s">
        <v>4</v>
      </c>
      <c r="E10" s="8" t="n">
        <f aca="false">STDEV(RENDIMIENTOS!$E$3:$E$251)</f>
        <v>0.0177452623343298</v>
      </c>
    </row>
    <row r="11" customFormat="false" ht="15" hidden="false" customHeight="false" outlineLevel="0" collapsed="false">
      <c r="D11" s="1" t="s">
        <v>5</v>
      </c>
      <c r="E11" s="8" t="n">
        <f aca="false">STDEV(RENDIMIENTOS!$F$3:$F$251)</f>
        <v>0.0206484049274787</v>
      </c>
    </row>
    <row r="12" customFormat="false" ht="15" hidden="false" customHeight="false" outlineLevel="0" collapsed="false">
      <c r="D12" s="1" t="s">
        <v>6</v>
      </c>
      <c r="E12" s="8" t="n">
        <f aca="false">STDEV(RENDIMIENTOS!$G$3:$G$251)</f>
        <v>0.0172079118776168</v>
      </c>
    </row>
    <row r="13" customFormat="false" ht="15" hidden="false" customHeight="false" outlineLevel="0" collapsed="false">
      <c r="D13" s="1" t="s">
        <v>7</v>
      </c>
      <c r="E13" s="8" t="n">
        <f aca="false">STDEV(RENDIMIENTOS!$H$3:$H$251)</f>
        <v>0.0251092781521838</v>
      </c>
    </row>
    <row r="14" customFormat="false" ht="15" hidden="false" customHeight="false" outlineLevel="0" collapsed="false">
      <c r="D14" s="1" t="s">
        <v>8</v>
      </c>
      <c r="E14" s="8" t="n">
        <f aca="false">STDEV(RENDIMIENTOS!$I$3:$I$251)</f>
        <v>0.0137902936697508</v>
      </c>
    </row>
    <row r="19" customFormat="false" ht="15" hidden="false" customHeight="false" outlineLevel="0" collapsed="false">
      <c r="D19" s="7" t="s">
        <v>12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</row>
    <row r="20" customFormat="false" ht="15" hidden="false" customHeight="false" outlineLevel="0" collapsed="false">
      <c r="D20" s="1" t="s">
        <v>1</v>
      </c>
      <c r="E20" s="9" t="n">
        <f aca="false">CORREL(RENDIMIENTOS!$B$3:$B$251,RENDIMIENTOS!$B$3:$B$251)</f>
        <v>1</v>
      </c>
      <c r="F20" s="9" t="n">
        <f aca="false">CORREL(RENDIMIENTOS!$B$3:$B$251,RENDIMIENTOS!$C$3:$C$251)</f>
        <v>0.305165453390815</v>
      </c>
      <c r="G20" s="9" t="n">
        <f aca="false">CORREL(RENDIMIENTOS!$B$3:$B$251,RENDIMIENTOS!$D$3:$D$251)</f>
        <v>0.314663368394229</v>
      </c>
      <c r="H20" s="9" t="n">
        <f aca="false">CORREL(RENDIMIENTOS!$B$3:$B$251,RENDIMIENTOS!$E$3:$E$251)</f>
        <v>0.390725917748817</v>
      </c>
      <c r="I20" s="9" t="n">
        <f aca="false">CORREL(RENDIMIENTOS!$B$3:$B$251,RENDIMIENTOS!$F$3:$F$251)</f>
        <v>0.312009754067517</v>
      </c>
      <c r="J20" s="9" t="n">
        <f aca="false">CORREL(RENDIMIENTOS!$B$3:$B$251,RENDIMIENTOS!$G$3:$G$251)</f>
        <v>0.42661225048754</v>
      </c>
      <c r="K20" s="9" t="n">
        <f aca="false">CORREL(RENDIMIENTOS!$B$3:$B$251,RENDIMIENTOS!$H$3:$H$251)</f>
        <v>0.0546722370497909</v>
      </c>
      <c r="L20" s="9" t="n">
        <f aca="false">CORREL(RENDIMIENTOS!$B$3:$B$251,RENDIMIENTOS!$I$3:$I$251)</f>
        <v>0.362685070304392</v>
      </c>
    </row>
    <row r="21" customFormat="false" ht="15" hidden="false" customHeight="false" outlineLevel="0" collapsed="false">
      <c r="D21" s="1" t="s">
        <v>2</v>
      </c>
      <c r="E21" s="9" t="n">
        <f aca="false">CORREL(RENDIMIENTOS!$C$3:$C$251,RENDIMIENTOS!$B$3:$B$251)</f>
        <v>0.305165453390815</v>
      </c>
      <c r="F21" s="9" t="n">
        <f aca="false">CORREL(RENDIMIENTOS!$C$3:$C$251,RENDIMIENTOS!$C$3:$C$251)</f>
        <v>1</v>
      </c>
      <c r="G21" s="9" t="n">
        <f aca="false">CORREL(RENDIMIENTOS!$C$3:$C$251,RENDIMIENTOS!$D$3:$D$251)</f>
        <v>0.189336311162795</v>
      </c>
      <c r="H21" s="9" t="n">
        <f aca="false">CORREL(RENDIMIENTOS!$C$3:$C$251,RENDIMIENTOS!$E$3:$E$251)</f>
        <v>0.226500818601881</v>
      </c>
      <c r="I21" s="9" t="n">
        <f aca="false">CORREL(RENDIMIENTOS!$C$3:$C$251,RENDIMIENTOS!$F$3:$F$251)</f>
        <v>0.143580849643616</v>
      </c>
      <c r="J21" s="9" t="n">
        <f aca="false">CORREL(RENDIMIENTOS!$C$3:$C$251,RENDIMIENTOS!$G$3:$G$251)</f>
        <v>0.175200507712379</v>
      </c>
      <c r="K21" s="9" t="n">
        <f aca="false">CORREL(RENDIMIENTOS!$C$3:$C$251,RENDIMIENTOS!$H$3:$H$251)</f>
        <v>0.0668198116731959</v>
      </c>
      <c r="L21" s="9" t="n">
        <f aca="false">CORREL(RENDIMIENTOS!$C$3:$C$251,RENDIMIENTOS!$I$3:$I$251)</f>
        <v>0.23461516512288</v>
      </c>
    </row>
    <row r="22" customFormat="false" ht="15" hidden="false" customHeight="false" outlineLevel="0" collapsed="false">
      <c r="D22" s="1" t="s">
        <v>3</v>
      </c>
      <c r="E22" s="9" t="n">
        <f aca="false">CORREL(RENDIMIENTOS!$D$3:$D$251,RENDIMIENTOS!$B$3:$B$251)</f>
        <v>0.314663368394229</v>
      </c>
      <c r="F22" s="9" t="n">
        <f aca="false">CORREL(RENDIMIENTOS!$D$3:$D$251,RENDIMIENTOS!$C$3:$C$251)</f>
        <v>0.189336311162795</v>
      </c>
      <c r="G22" s="9" t="n">
        <f aca="false">CORREL(RENDIMIENTOS!$D$3:$D$251,RENDIMIENTOS!$D$3:$D$251)</f>
        <v>1</v>
      </c>
      <c r="H22" s="9" t="n">
        <f aca="false">CORREL(RENDIMIENTOS!$D$3:$D$251,RENDIMIENTOS!$E$3:$E$251)</f>
        <v>0.277629000694855</v>
      </c>
      <c r="I22" s="9" t="n">
        <f aca="false">CORREL(RENDIMIENTOS!$D$3:$D$251,RENDIMIENTOS!$F$3:$F$251)</f>
        <v>0.312069954495409</v>
      </c>
      <c r="J22" s="9" t="n">
        <f aca="false">CORREL(RENDIMIENTOS!$D$3:$D$251,RENDIMIENTOS!$G$3:$G$251)</f>
        <v>0.330143563929879</v>
      </c>
      <c r="K22" s="9" t="n">
        <f aca="false">CORREL(RENDIMIENTOS!$D$3:$D$251,RENDIMIENTOS!$H$3:$H$251)</f>
        <v>0.128933867047724</v>
      </c>
      <c r="L22" s="9" t="n">
        <f aca="false">CORREL(RENDIMIENTOS!$D$3:$D$251,RENDIMIENTOS!$I$3:$I$251)</f>
        <v>0.283769712492142</v>
      </c>
    </row>
    <row r="23" customFormat="false" ht="15" hidden="false" customHeight="false" outlineLevel="0" collapsed="false">
      <c r="D23" s="1" t="s">
        <v>4</v>
      </c>
      <c r="E23" s="9" t="n">
        <f aca="false">CORREL(RENDIMIENTOS!$E$3:$E$251,RENDIMIENTOS!$B$3:$B$251)</f>
        <v>0.390725917748817</v>
      </c>
      <c r="F23" s="9" t="n">
        <f aca="false">CORREL(RENDIMIENTOS!$E$3:$E$251,RENDIMIENTOS!$C$3:$C$251)</f>
        <v>0.226500818601881</v>
      </c>
      <c r="G23" s="9" t="n">
        <f aca="false">CORREL(RENDIMIENTOS!$E$3:$E$251,RENDIMIENTOS!$D$3:$D$251)</f>
        <v>0.277629000694855</v>
      </c>
      <c r="H23" s="9" t="n">
        <f aca="false">CORREL(RENDIMIENTOS!$E$3:$E$251,RENDIMIENTOS!$E$3:$E$251)</f>
        <v>1</v>
      </c>
      <c r="I23" s="9" t="n">
        <f aca="false">CORREL(RENDIMIENTOS!$E$3:$E$251,RENDIMIENTOS!$F$3:$F$251)</f>
        <v>0.265467514905289</v>
      </c>
      <c r="J23" s="9" t="n">
        <f aca="false">CORREL(RENDIMIENTOS!$E$3:$E$251,RENDIMIENTOS!$G$3:$G$251)</f>
        <v>0.308864673207582</v>
      </c>
      <c r="K23" s="9" t="n">
        <f aca="false">CORREL(RENDIMIENTOS!$E$3:$E$251,RENDIMIENTOS!$H$3:$H$251)</f>
        <v>0.192035349312892</v>
      </c>
      <c r="L23" s="9" t="n">
        <f aca="false">CORREL(RENDIMIENTOS!$E$3:$E$251,RENDIMIENTOS!$I$3:$I$251)</f>
        <v>0.25690287760079</v>
      </c>
    </row>
    <row r="24" customFormat="false" ht="15" hidden="false" customHeight="false" outlineLevel="0" collapsed="false">
      <c r="D24" s="1" t="s">
        <v>5</v>
      </c>
      <c r="E24" s="9" t="n">
        <f aca="false">CORREL(RENDIMIENTOS!$F$3:$F$251,RENDIMIENTOS!$B$3:$B$251)</f>
        <v>0.312009754067517</v>
      </c>
      <c r="F24" s="9" t="n">
        <f aca="false">CORREL(RENDIMIENTOS!$F$3:$F$251,RENDIMIENTOS!$C$3:$C$251)</f>
        <v>0.143580849643616</v>
      </c>
      <c r="G24" s="9" t="n">
        <f aca="false">CORREL(RENDIMIENTOS!$F$3:$F$251,RENDIMIENTOS!$D$3:$D$251)</f>
        <v>0.312069954495409</v>
      </c>
      <c r="H24" s="9" t="n">
        <f aca="false">CORREL(RENDIMIENTOS!$F$3:$F$251,RENDIMIENTOS!$E$3:$E$251)</f>
        <v>0.265467514905289</v>
      </c>
      <c r="I24" s="9" t="n">
        <f aca="false">CORREL(RENDIMIENTOS!$F$3:$F$251,RENDIMIENTOS!$F$3:$F$251)</f>
        <v>1</v>
      </c>
      <c r="J24" s="9" t="n">
        <f aca="false">CORREL(RENDIMIENTOS!$F$3:$F$251,RENDIMIENTOS!$G$3:$G$251)</f>
        <v>0.369613654321706</v>
      </c>
      <c r="K24" s="9" t="n">
        <f aca="false">CORREL(RENDIMIENTOS!$F$3:$F$251,RENDIMIENTOS!$H$3:$H$251)</f>
        <v>0.197104838462188</v>
      </c>
      <c r="L24" s="9" t="n">
        <f aca="false">CORREL(RENDIMIENTOS!$F$3:$F$251,RENDIMIENTOS!$I$3:$I$251)</f>
        <v>0.230717749316305</v>
      </c>
    </row>
    <row r="25" customFormat="false" ht="15" hidden="false" customHeight="false" outlineLevel="0" collapsed="false">
      <c r="D25" s="1" t="s">
        <v>6</v>
      </c>
      <c r="E25" s="9" t="n">
        <f aca="false">CORREL(RENDIMIENTOS!$G$3:$G$251,RENDIMIENTOS!$B$3:$B$251)</f>
        <v>0.42661225048754</v>
      </c>
      <c r="F25" s="9" t="n">
        <f aca="false">CORREL(RENDIMIENTOS!$G$3:$G$251,RENDIMIENTOS!$C$3:$C$251)</f>
        <v>0.175200507712379</v>
      </c>
      <c r="G25" s="9" t="n">
        <f aca="false">CORREL(RENDIMIENTOS!$G$3:$G$251,RENDIMIENTOS!$D$3:$D$251)</f>
        <v>0.330143563929879</v>
      </c>
      <c r="H25" s="9" t="n">
        <f aca="false">CORREL(RENDIMIENTOS!$G$3:$G$251,RENDIMIENTOS!$E$3:$E$251)</f>
        <v>0.308864673207582</v>
      </c>
      <c r="I25" s="9" t="n">
        <f aca="false">CORREL(RENDIMIENTOS!$G$3:$G$251,RENDIMIENTOS!$F$3:$F$251)</f>
        <v>0.369613654321706</v>
      </c>
      <c r="J25" s="9" t="n">
        <f aca="false">CORREL(RENDIMIENTOS!$G$3:$G$251,RENDIMIENTOS!$G$3:$G$251)</f>
        <v>1</v>
      </c>
      <c r="K25" s="9" t="n">
        <f aca="false">CORREL(RENDIMIENTOS!$G$3:$G$251,RENDIMIENTOS!$H$3:$H$251)</f>
        <v>0.18018493904781</v>
      </c>
      <c r="L25" s="9" t="n">
        <f aca="false">CORREL(RENDIMIENTOS!$G$3:$G$251,RENDIMIENTOS!$I$3:$I$251)</f>
        <v>0.316765765454046</v>
      </c>
    </row>
    <row r="26" customFormat="false" ht="15" hidden="false" customHeight="false" outlineLevel="0" collapsed="false">
      <c r="D26" s="1" t="s">
        <v>7</v>
      </c>
      <c r="E26" s="9" t="n">
        <f aca="false">CORREL(RENDIMIENTOS!$H$3:$H$251,RENDIMIENTOS!$B$3:$B$251)</f>
        <v>0.0546722370497909</v>
      </c>
      <c r="F26" s="9" t="n">
        <f aca="false">CORREL(RENDIMIENTOS!$H$3:$H$251,RENDIMIENTOS!$C$3:$C$251)</f>
        <v>0.0668198116731959</v>
      </c>
      <c r="G26" s="9" t="n">
        <f aca="false">CORREL(RENDIMIENTOS!$H$3:$H$251,RENDIMIENTOS!$D$3:$D$251)</f>
        <v>0.128933867047724</v>
      </c>
      <c r="H26" s="9" t="n">
        <f aca="false">CORREL(RENDIMIENTOS!$H$3:$H$251,RENDIMIENTOS!$E$3:$E$251)</f>
        <v>0.192035349312892</v>
      </c>
      <c r="I26" s="9" t="n">
        <f aca="false">CORREL(RENDIMIENTOS!$H$3:$H$251,RENDIMIENTOS!$F$3:$F$251)</f>
        <v>0.197104838462188</v>
      </c>
      <c r="J26" s="9" t="n">
        <f aca="false">CORREL(RENDIMIENTOS!$H$3:$H$251,RENDIMIENTOS!$G$3:$G$251)</f>
        <v>0.18018493904781</v>
      </c>
      <c r="K26" s="9" t="n">
        <f aca="false">CORREL(RENDIMIENTOS!$H$3:$H$251,RENDIMIENTOS!$H$3:$H$251)</f>
        <v>1</v>
      </c>
      <c r="L26" s="9" t="n">
        <f aca="false">CORREL(RENDIMIENTOS!$H$3:$H$251,RENDIMIENTOS!$I$3:$I$251)</f>
        <v>0.0723460509244001</v>
      </c>
    </row>
    <row r="27" customFormat="false" ht="15" hidden="false" customHeight="false" outlineLevel="0" collapsed="false">
      <c r="D27" s="1" t="s">
        <v>8</v>
      </c>
      <c r="E27" s="9" t="n">
        <f aca="false">CORREL(RENDIMIENTOS!$I$3:$I$251,RENDIMIENTOS!$B$3:$B$251)</f>
        <v>0.362685070304392</v>
      </c>
      <c r="F27" s="9" t="n">
        <f aca="false">CORREL(RENDIMIENTOS!$I$3:$I$251,RENDIMIENTOS!$C$3:$C$251)</f>
        <v>0.23461516512288</v>
      </c>
      <c r="G27" s="9" t="n">
        <f aca="false">CORREL(RENDIMIENTOS!$I$3:$I$251,RENDIMIENTOS!$D$3:$D$251)</f>
        <v>0.283769712492142</v>
      </c>
      <c r="H27" s="9" t="n">
        <f aca="false">CORREL(RENDIMIENTOS!$I$3:$I$251,RENDIMIENTOS!$E$3:$E$251)</f>
        <v>0.25690287760079</v>
      </c>
      <c r="I27" s="9" t="n">
        <f aca="false">CORREL(RENDIMIENTOS!$I$3:$I$251,RENDIMIENTOS!$F$3:$F$251)</f>
        <v>0.230717749316305</v>
      </c>
      <c r="J27" s="9" t="n">
        <f aca="false">CORREL(RENDIMIENTOS!$I$3:$I$251,RENDIMIENTOS!$G$3:$G$251)</f>
        <v>0.316765765454046</v>
      </c>
      <c r="K27" s="9" t="n">
        <f aca="false">CORREL(RENDIMIENTOS!$I$3:$I$251,RENDIMIENTOS!$H$3:$H$251)</f>
        <v>0.0723460509244001</v>
      </c>
      <c r="L27" s="9" t="n">
        <f aca="false">CORREL(RENDIMIENTOS!$I$3:$I$251,RENDIMIENTOS!$I$3:$I$251)</f>
        <v>1</v>
      </c>
    </row>
    <row r="29" customFormat="false" ht="15" hidden="false" customHeight="false" outlineLevel="0" collapsed="false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C30" s="10"/>
      <c r="D30" s="11" t="s">
        <v>13</v>
      </c>
      <c r="E30" s="12" t="s">
        <v>1</v>
      </c>
      <c r="F30" s="12" t="s">
        <v>2</v>
      </c>
      <c r="G30" s="12" t="s">
        <v>3</v>
      </c>
      <c r="H30" s="12" t="s">
        <v>4</v>
      </c>
      <c r="I30" s="12" t="s">
        <v>5</v>
      </c>
      <c r="J30" s="12" t="s">
        <v>6</v>
      </c>
      <c r="K30" s="12" t="s">
        <v>7</v>
      </c>
      <c r="L30" s="12" t="s">
        <v>8</v>
      </c>
      <c r="M30" s="10"/>
    </row>
    <row r="31" customFormat="false" ht="15" hidden="false" customHeight="false" outlineLevel="0" collapsed="false">
      <c r="C31" s="10"/>
      <c r="D31" s="12" t="s">
        <v>1</v>
      </c>
      <c r="E31" s="13" t="n">
        <f aca="false">E$7*$E7*E20</f>
        <v>0.000186290536058324</v>
      </c>
      <c r="F31" s="13" t="n">
        <f aca="false">F$7*$E7*F20</f>
        <v>6.50530233270358E-005</v>
      </c>
      <c r="G31" s="13" t="n">
        <f aca="false">G$7*$E7*G20</f>
        <v>6.61724805024568E-005</v>
      </c>
      <c r="H31" s="13" t="n">
        <f aca="false">H$7*$E7*H20</f>
        <v>9.46346194793983E-005</v>
      </c>
      <c r="I31" s="13" t="n">
        <f aca="false">I$7*$E7*I20</f>
        <v>8.79326326292657E-005</v>
      </c>
      <c r="J31" s="13" t="n">
        <f aca="false">J$7*$E7*J20</f>
        <v>0.000100197501436083</v>
      </c>
      <c r="K31" s="13" t="n">
        <f aca="false">K$7*$E7*K20</f>
        <v>1.87368451838062E-005</v>
      </c>
      <c r="L31" s="13" t="n">
        <f aca="false">L$7*$E7*L20</f>
        <v>6.82650777890688E-005</v>
      </c>
      <c r="M31" s="10"/>
    </row>
    <row r="32" customFormat="false" ht="15" hidden="false" customHeight="false" outlineLevel="0" collapsed="false">
      <c r="C32" s="10"/>
      <c r="D32" s="12" t="s">
        <v>2</v>
      </c>
      <c r="E32" s="13" t="n">
        <f aca="false">E$7*$E8*E21</f>
        <v>6.50530233270358E-005</v>
      </c>
      <c r="F32" s="13" t="n">
        <f aca="false">F$7*$E8*F21</f>
        <v>0.000243934621204357</v>
      </c>
      <c r="G32" s="13" t="n">
        <f aca="false">G$7*$E8*G21</f>
        <v>4.55623865483213E-005</v>
      </c>
      <c r="H32" s="13" t="n">
        <f aca="false">H$7*$E8*H21</f>
        <v>6.27753180398154E-005</v>
      </c>
      <c r="I32" s="13" t="n">
        <f aca="false">I$7*$E8*I21</f>
        <v>4.63041321618561E-005</v>
      </c>
      <c r="J32" s="13" t="n">
        <f aca="false">J$7*$E8*J21</f>
        <v>4.70869169234327E-005</v>
      </c>
      <c r="K32" s="13" t="n">
        <f aca="false">K$7*$E8*K21</f>
        <v>2.62045192567492E-005</v>
      </c>
      <c r="L32" s="13" t="n">
        <f aca="false">L$7*$E8*L21</f>
        <v>5.05319801827402E-005</v>
      </c>
      <c r="M32" s="10"/>
    </row>
    <row r="33" customFormat="false" ht="15" hidden="false" customHeight="false" outlineLevel="0" collapsed="false">
      <c r="C33" s="10"/>
      <c r="D33" s="12" t="s">
        <v>3</v>
      </c>
      <c r="E33" s="13" t="n">
        <f aca="false">E$7*$E9*E22</f>
        <v>6.61724805024568E-005</v>
      </c>
      <c r="F33" s="13" t="n">
        <f aca="false">F$7*$E9*F22</f>
        <v>4.55623865483213E-005</v>
      </c>
      <c r="G33" s="13" t="n">
        <f aca="false">G$7*$E9*G22</f>
        <v>0.000237395051677606</v>
      </c>
      <c r="H33" s="13" t="n">
        <f aca="false">H$7*$E9*H22</f>
        <v>7.59072197826221E-005</v>
      </c>
      <c r="I33" s="13" t="n">
        <f aca="false">I$7*$E9*I22</f>
        <v>9.92828640903815E-005</v>
      </c>
      <c r="J33" s="13" t="n">
        <f aca="false">J$7*$E9*J22</f>
        <v>8.75319975757642E-005</v>
      </c>
      <c r="K33" s="13" t="n">
        <f aca="false">K$7*$E9*K22</f>
        <v>4.98812200283971E-005</v>
      </c>
      <c r="L33" s="13" t="n">
        <f aca="false">L$7*$E9*L22</f>
        <v>6.0294179009573E-005</v>
      </c>
      <c r="M33" s="10"/>
    </row>
    <row r="34" customFormat="false" ht="15" hidden="false" customHeight="false" outlineLevel="0" collapsed="false">
      <c r="C34" s="10"/>
      <c r="D34" s="12" t="s">
        <v>4</v>
      </c>
      <c r="E34" s="13" t="n">
        <f aca="false">E$7*$E10*E23</f>
        <v>9.46346194793983E-005</v>
      </c>
      <c r="F34" s="13" t="n">
        <f aca="false">F$7*$E10*F23</f>
        <v>6.27753180398154E-005</v>
      </c>
      <c r="G34" s="13" t="n">
        <f aca="false">G$7*$E10*G23</f>
        <v>7.59072197826221E-005</v>
      </c>
      <c r="H34" s="13" t="n">
        <f aca="false">H$7*$E10*H23</f>
        <v>0.000314894335314184</v>
      </c>
      <c r="I34" s="13" t="n">
        <f aca="false">I$7*$E10*I23</f>
        <v>9.72703137625547E-005</v>
      </c>
      <c r="J34" s="13" t="n">
        <f aca="false">J$7*$E10*J23</f>
        <v>9.43145801008574E-005</v>
      </c>
      <c r="K34" s="13" t="n">
        <f aca="false">K$7*$E10*K23</f>
        <v>8.55653303636162E-005</v>
      </c>
      <c r="L34" s="13" t="n">
        <f aca="false">L$7*$E10*L23</f>
        <v>6.28673143078053E-005</v>
      </c>
      <c r="M34" s="10"/>
    </row>
    <row r="35" customFormat="false" ht="15" hidden="false" customHeight="false" outlineLevel="0" collapsed="false">
      <c r="C35" s="10"/>
      <c r="D35" s="12" t="s">
        <v>5</v>
      </c>
      <c r="E35" s="13" t="n">
        <f aca="false">E$7*$E11*E24</f>
        <v>8.79326326292657E-005</v>
      </c>
      <c r="F35" s="13" t="n">
        <f aca="false">F$7*$E11*F24</f>
        <v>4.63041321618561E-005</v>
      </c>
      <c r="G35" s="13" t="n">
        <f aca="false">G$7*$E11*G24</f>
        <v>9.92828640903815E-005</v>
      </c>
      <c r="H35" s="13" t="n">
        <f aca="false">H$7*$E11*H24</f>
        <v>9.72703137625547E-005</v>
      </c>
      <c r="I35" s="13" t="n">
        <f aca="false">I$7*$E11*I24</f>
        <v>0.000426356626049126</v>
      </c>
      <c r="J35" s="13" t="n">
        <f aca="false">J$7*$E11*J24</f>
        <v>0.000131329620215085</v>
      </c>
      <c r="K35" s="13" t="n">
        <f aca="false">K$7*$E11*K24</f>
        <v>0.000102192264151463</v>
      </c>
      <c r="L35" s="13" t="n">
        <f aca="false">L$7*$E11*L24</f>
        <v>6.56963179573085E-005</v>
      </c>
      <c r="M35" s="10"/>
    </row>
    <row r="36" customFormat="false" ht="15" hidden="false" customHeight="false" outlineLevel="0" collapsed="false">
      <c r="C36" s="10"/>
      <c r="D36" s="12" t="s">
        <v>6</v>
      </c>
      <c r="E36" s="13" t="n">
        <f aca="false">E$7*$E12*E25</f>
        <v>0.000100197501436083</v>
      </c>
      <c r="F36" s="13" t="n">
        <f aca="false">F$7*$E12*F25</f>
        <v>4.70869169234327E-005</v>
      </c>
      <c r="G36" s="13" t="n">
        <f aca="false">G$7*$E12*G25</f>
        <v>8.75319975757642E-005</v>
      </c>
      <c r="H36" s="13" t="n">
        <f aca="false">H$7*$E12*H25</f>
        <v>9.43145801008574E-005</v>
      </c>
      <c r="I36" s="13" t="n">
        <f aca="false">I$7*$E12*I25</f>
        <v>0.000131329620215085</v>
      </c>
      <c r="J36" s="13" t="n">
        <f aca="false">J$7*$E12*J25</f>
        <v>0.000296112231187824</v>
      </c>
      <c r="K36" s="13" t="n">
        <f aca="false">K$7*$E12*K25</f>
        <v>7.78539923749516E-005</v>
      </c>
      <c r="L36" s="13" t="n">
        <f aca="false">L$7*$E12*L25</f>
        <v>7.51691997973744E-005</v>
      </c>
      <c r="M36" s="10"/>
    </row>
    <row r="37" customFormat="false" ht="15" hidden="false" customHeight="false" outlineLevel="0" collapsed="false">
      <c r="C37" s="10"/>
      <c r="D37" s="12" t="s">
        <v>7</v>
      </c>
      <c r="E37" s="13" t="n">
        <f aca="false">E$7*$E13*E26</f>
        <v>1.87368451838062E-005</v>
      </c>
      <c r="F37" s="13" t="n">
        <f aca="false">F$7*$E13*F26</f>
        <v>2.62045192567492E-005</v>
      </c>
      <c r="G37" s="13" t="n">
        <f aca="false">G$7*$E13*G26</f>
        <v>4.98812200283971E-005</v>
      </c>
      <c r="H37" s="13" t="n">
        <f aca="false">H$7*$E13*H26</f>
        <v>8.55653303636162E-005</v>
      </c>
      <c r="I37" s="13" t="n">
        <f aca="false">I$7*$E13*I26</f>
        <v>0.000102192264151463</v>
      </c>
      <c r="J37" s="13" t="n">
        <f aca="false">J$7*$E13*J26</f>
        <v>7.78539923749516E-005</v>
      </c>
      <c r="K37" s="13" t="n">
        <f aca="false">K$7*$E13*K26</f>
        <v>0.000630475849323737</v>
      </c>
      <c r="L37" s="13" t="n">
        <f aca="false">L$7*$E13*L26</f>
        <v>2.50508560957618E-005</v>
      </c>
      <c r="M37" s="10"/>
    </row>
    <row r="38" customFormat="false" ht="15" hidden="false" customHeight="false" outlineLevel="0" collapsed="false">
      <c r="C38" s="10"/>
      <c r="D38" s="12" t="s">
        <v>8</v>
      </c>
      <c r="E38" s="13" t="n">
        <f aca="false">E$7*$E14*E27</f>
        <v>6.82650777890688E-005</v>
      </c>
      <c r="F38" s="13" t="n">
        <f aca="false">F$7*$E14*F27</f>
        <v>5.05319801827402E-005</v>
      </c>
      <c r="G38" s="13" t="n">
        <f aca="false">G$7*$E14*G27</f>
        <v>6.0294179009573E-005</v>
      </c>
      <c r="H38" s="13" t="n">
        <f aca="false">H$7*$E14*H27</f>
        <v>6.28673143078053E-005</v>
      </c>
      <c r="I38" s="13" t="n">
        <f aca="false">I$7*$E14*I27</f>
        <v>6.56963179573085E-005</v>
      </c>
      <c r="J38" s="13" t="n">
        <f aca="false">J$7*$E14*J27</f>
        <v>7.51691997973744E-005</v>
      </c>
      <c r="K38" s="13" t="n">
        <f aca="false">K$7*$E14*K27</f>
        <v>2.50508560957618E-005</v>
      </c>
      <c r="L38" s="13" t="n">
        <f aca="false">L$7*$E14*L27</f>
        <v>0.00019017219949797</v>
      </c>
      <c r="M38" s="10"/>
    </row>
    <row r="39" customFormat="false" ht="15" hidden="false" customHeight="false" outlineLevel="0" collapsed="false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1" customFormat="false" ht="15" hidden="false" customHeight="false" outlineLevel="0" collapsed="false">
      <c r="C41" s="14"/>
      <c r="D41" s="15" t="s">
        <v>14</v>
      </c>
      <c r="E41" s="14"/>
      <c r="F41" s="14"/>
      <c r="G41" s="14"/>
      <c r="H41" s="14"/>
      <c r="I41" s="14"/>
      <c r="J41" s="14"/>
      <c r="K41" s="14"/>
      <c r="L41" s="14"/>
      <c r="M41" s="14"/>
    </row>
    <row r="42" customFormat="false" ht="15" hidden="false" customHeight="false" outlineLevel="0" collapsed="false">
      <c r="C42" s="14"/>
      <c r="D42" s="16" t="s">
        <v>15</v>
      </c>
      <c r="E42" s="1" t="s">
        <v>1</v>
      </c>
      <c r="F42" s="1" t="s">
        <v>2</v>
      </c>
      <c r="G42" s="1" t="s">
        <v>3</v>
      </c>
      <c r="H42" s="1" t="s">
        <v>4</v>
      </c>
      <c r="I42" s="1" t="s">
        <v>5</v>
      </c>
      <c r="J42" s="1" t="s">
        <v>6</v>
      </c>
      <c r="K42" s="1" t="s">
        <v>7</v>
      </c>
      <c r="L42" s="1" t="s">
        <v>8</v>
      </c>
      <c r="M42" s="14"/>
    </row>
    <row r="43" customFormat="false" ht="15" hidden="false" customHeight="false" outlineLevel="0" collapsed="false">
      <c r="C43" s="14"/>
      <c r="D43" s="1" t="s">
        <v>1</v>
      </c>
      <c r="E43" s="17" t="n">
        <f aca="false" t="array" ref="E43:L50">MINVERSE(E31:L38)</f>
        <v>8124.93026014866</v>
      </c>
      <c r="F43" s="17" t="n">
        <v>-1100.3179973317</v>
      </c>
      <c r="G43" s="17" t="n">
        <v>-606.87166014191</v>
      </c>
      <c r="H43" s="17" t="n">
        <v>-1299.28744263378</v>
      </c>
      <c r="I43" s="17" t="n">
        <v>-542.572586489169</v>
      </c>
      <c r="J43" s="17" t="n">
        <v>-1512.66730488964</v>
      </c>
      <c r="K43" s="17" t="n">
        <v>353.556031987372</v>
      </c>
      <c r="L43" s="17" t="n">
        <v>-1263.48687319992</v>
      </c>
      <c r="M43" s="14"/>
    </row>
    <row r="44" customFormat="false" ht="15" hidden="false" customHeight="false" outlineLevel="0" collapsed="false">
      <c r="C44" s="14"/>
      <c r="D44" s="1" t="s">
        <v>2</v>
      </c>
      <c r="E44" s="17" t="n">
        <v>-1100.3179973317</v>
      </c>
      <c r="F44" s="17" t="n">
        <v>4683.53723993584</v>
      </c>
      <c r="G44" s="17" t="n">
        <v>-296.564925778498</v>
      </c>
      <c r="H44" s="17" t="n">
        <v>-391.82293237838</v>
      </c>
      <c r="I44" s="17" t="n">
        <v>-20.1583947870396</v>
      </c>
      <c r="J44" s="17" t="n">
        <v>22.1265951797586</v>
      </c>
      <c r="K44" s="17" t="n">
        <v>-60.1599686309828</v>
      </c>
      <c r="L44" s="17" t="n">
        <v>-619.822302534489</v>
      </c>
      <c r="M44" s="14"/>
    </row>
    <row r="45" customFormat="false" ht="15" hidden="false" customHeight="false" outlineLevel="0" collapsed="false">
      <c r="C45" s="14"/>
      <c r="D45" s="1" t="s">
        <v>3</v>
      </c>
      <c r="E45" s="17" t="n">
        <v>-606.871660141911</v>
      </c>
      <c r="F45" s="17" t="n">
        <v>-296.564925778498</v>
      </c>
      <c r="G45" s="17" t="n">
        <v>5307.63794659865</v>
      </c>
      <c r="H45" s="17" t="n">
        <v>-465.59005431282</v>
      </c>
      <c r="I45" s="17" t="n">
        <v>-624.15887147193</v>
      </c>
      <c r="J45" s="17" t="n">
        <v>-675.16161311622</v>
      </c>
      <c r="K45" s="17" t="n">
        <v>-112.633683386292</v>
      </c>
      <c r="L45" s="17" t="n">
        <v>-734.898447061114</v>
      </c>
      <c r="M45" s="14"/>
    </row>
    <row r="46" customFormat="false" ht="15" hidden="false" customHeight="false" outlineLevel="0" collapsed="false">
      <c r="C46" s="14"/>
      <c r="D46" s="1" t="s">
        <v>4</v>
      </c>
      <c r="E46" s="17" t="n">
        <v>-1299.28744263378</v>
      </c>
      <c r="F46" s="17" t="n">
        <v>-391.82293237838</v>
      </c>
      <c r="G46" s="17" t="n">
        <v>-465.59005431282</v>
      </c>
      <c r="H46" s="17" t="n">
        <v>4119.20813033379</v>
      </c>
      <c r="I46" s="17" t="n">
        <v>-264.785511736554</v>
      </c>
      <c r="J46" s="17" t="n">
        <v>-368.068073144331</v>
      </c>
      <c r="K46" s="17" t="n">
        <v>-364.688219583009</v>
      </c>
      <c r="L46" s="17" t="n">
        <v>-358.606923230572</v>
      </c>
      <c r="M46" s="14"/>
    </row>
    <row r="47" customFormat="false" ht="15" hidden="false" customHeight="false" outlineLevel="0" collapsed="false">
      <c r="C47" s="14"/>
      <c r="D47" s="1" t="s">
        <v>5</v>
      </c>
      <c r="E47" s="17" t="n">
        <v>-542.572586489169</v>
      </c>
      <c r="F47" s="17" t="n">
        <v>-20.1583947870396</v>
      </c>
      <c r="G47" s="17" t="n">
        <v>-624.15887147193</v>
      </c>
      <c r="H47" s="17" t="n">
        <v>-264.785511736554</v>
      </c>
      <c r="I47" s="17" t="n">
        <v>2995.65017554776</v>
      </c>
      <c r="J47" s="17" t="n">
        <v>-743.188904029322</v>
      </c>
      <c r="K47" s="17" t="n">
        <v>-282.831821989772</v>
      </c>
      <c r="L47" s="17" t="n">
        <v>-218.308395753322</v>
      </c>
      <c r="M47" s="14"/>
    </row>
    <row r="48" customFormat="false" ht="15" hidden="false" customHeight="false" outlineLevel="0" collapsed="false">
      <c r="C48" s="14"/>
      <c r="D48" s="1" t="s">
        <v>6</v>
      </c>
      <c r="E48" s="17" t="n">
        <v>-1512.66730488964</v>
      </c>
      <c r="F48" s="17" t="n">
        <v>22.1265951797586</v>
      </c>
      <c r="G48" s="17" t="n">
        <v>-675.16161311622</v>
      </c>
      <c r="H48" s="17" t="n">
        <v>-368.068073144331</v>
      </c>
      <c r="I48" s="17" t="n">
        <v>-743.188904029322</v>
      </c>
      <c r="J48" s="17" t="n">
        <v>4793.88095948965</v>
      </c>
      <c r="K48" s="17" t="n">
        <v>-295.242645401249</v>
      </c>
      <c r="L48" s="17" t="n">
        <v>-726.390731546739</v>
      </c>
      <c r="M48" s="14"/>
    </row>
    <row r="49" customFormat="false" ht="15" hidden="false" customHeight="false" outlineLevel="0" collapsed="false">
      <c r="C49" s="14"/>
      <c r="D49" s="1" t="s">
        <v>7</v>
      </c>
      <c r="E49" s="17" t="n">
        <v>353.556031987372</v>
      </c>
      <c r="F49" s="17" t="n">
        <v>-60.1599686309828</v>
      </c>
      <c r="G49" s="17" t="n">
        <v>-112.633683386292</v>
      </c>
      <c r="H49" s="17" t="n">
        <v>-364.688219583009</v>
      </c>
      <c r="I49" s="17" t="n">
        <v>-282.831821989772</v>
      </c>
      <c r="J49" s="17" t="n">
        <v>-295.242645401249</v>
      </c>
      <c r="K49" s="17" t="n">
        <v>1717.47182466778</v>
      </c>
      <c r="L49" s="17" t="n">
        <v>33.5097343619311</v>
      </c>
      <c r="M49" s="14"/>
    </row>
    <row r="50" customFormat="false" ht="15" hidden="false" customHeight="false" outlineLevel="0" collapsed="false">
      <c r="C50" s="14"/>
      <c r="D50" s="1" t="s">
        <v>8</v>
      </c>
      <c r="E50" s="17" t="n">
        <v>-1263.48687319992</v>
      </c>
      <c r="F50" s="17" t="n">
        <v>-619.822302534489</v>
      </c>
      <c r="G50" s="17" t="n">
        <v>-734.898447061114</v>
      </c>
      <c r="H50" s="17" t="n">
        <v>-358.606923230572</v>
      </c>
      <c r="I50" s="17" t="n">
        <v>-218.308395753322</v>
      </c>
      <c r="J50" s="17" t="n">
        <v>-726.390731546739</v>
      </c>
      <c r="K50" s="17" t="n">
        <v>33.5097343619311</v>
      </c>
      <c r="L50" s="17" t="n">
        <v>6586.30680117062</v>
      </c>
      <c r="M50" s="14"/>
    </row>
    <row r="51" customFormat="false" ht="15" hidden="false" customHeight="false" outlineLevel="0" collapsed="false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customFormat="false" ht="15" hidden="false" customHeight="false" outlineLevel="0" collapsed="false">
      <c r="C52" s="14"/>
      <c r="D52" s="16" t="s">
        <v>16</v>
      </c>
      <c r="E52" s="1" t="s">
        <v>1</v>
      </c>
      <c r="F52" s="1" t="s">
        <v>2</v>
      </c>
      <c r="G52" s="1" t="s">
        <v>3</v>
      </c>
      <c r="H52" s="1" t="s">
        <v>4</v>
      </c>
      <c r="I52" s="1" t="s">
        <v>5</v>
      </c>
      <c r="J52" s="1" t="s">
        <v>6</v>
      </c>
      <c r="K52" s="1" t="s">
        <v>7</v>
      </c>
      <c r="L52" s="1" t="s">
        <v>8</v>
      </c>
      <c r="M52" s="14"/>
    </row>
    <row r="53" customFormat="false" ht="15" hidden="false" customHeight="false" outlineLevel="0" collapsed="false">
      <c r="C53" s="14"/>
      <c r="D53" s="1" t="s">
        <v>17</v>
      </c>
      <c r="E53" s="18" t="n">
        <f aca="false">SUM($E43:$L43)</f>
        <v>2153.28242744992</v>
      </c>
      <c r="F53" s="18" t="n">
        <f aca="false">SUM($E44:$L44)</f>
        <v>2216.81731367451</v>
      </c>
      <c r="G53" s="18" t="n">
        <f aca="false">SUM($E45:$L45)</f>
        <v>1791.75869132987</v>
      </c>
      <c r="H53" s="18" t="n">
        <f aca="false">SUM($E46:$L46)</f>
        <v>606.358973314351</v>
      </c>
      <c r="I53" s="18" t="n">
        <f aca="false">SUM($E47:$L47)</f>
        <v>299.645689290651</v>
      </c>
      <c r="J53" s="18" t="n">
        <f aca="false">SUM($E48:$L48)</f>
        <v>495.288282541914</v>
      </c>
      <c r="K53" s="18" t="n">
        <f aca="false">SUM($E49:$L49)</f>
        <v>988.981252025779</v>
      </c>
      <c r="L53" s="18" t="n">
        <f aca="false">SUM($E50:$L50)</f>
        <v>2698.30286220639</v>
      </c>
      <c r="M53" s="14"/>
    </row>
    <row r="54" customFormat="false" ht="15" hidden="false" customHeight="false" outlineLevel="0" collapsed="false">
      <c r="C54" s="14"/>
      <c r="D54" s="1" t="s">
        <v>18</v>
      </c>
      <c r="E54" s="18" t="n">
        <f aca="false">SUMPRODUCT($E43:$L43,Portafolio!$I$46:$P$46)</f>
        <v>778.77039978657</v>
      </c>
      <c r="F54" s="18" t="n">
        <f aca="false">SUMPRODUCT($E44:$L44,Portafolio!$I$46:$P$46)</f>
        <v>-970.349737556576</v>
      </c>
      <c r="G54" s="18" t="n">
        <f aca="false">SUMPRODUCT($E45:$L45,Portafolio!$I$46:$P$46)</f>
        <v>227.866137934598</v>
      </c>
      <c r="H54" s="18" t="n">
        <f aca="false">SUMPRODUCT($E46:$L46,Portafolio!$I$46:$P$46)</f>
        <v>-584.187346575605</v>
      </c>
      <c r="I54" s="18" t="n">
        <f aca="false">SUMPRODUCT($E47:$L47,Portafolio!$I$46:$P$46)</f>
        <v>210.905256995001</v>
      </c>
      <c r="J54" s="18" t="n">
        <f aca="false">SUMPRODUCT($E48:$L48,Portafolio!$I$46:$P$46)</f>
        <v>507.029813175494</v>
      </c>
      <c r="K54" s="18" t="n">
        <f aca="false">SUMPRODUCT($E49:$L49,Portafolio!$I$46:$P$46)</f>
        <v>-188.992840823536</v>
      </c>
      <c r="L54" s="18" t="n">
        <f aca="false">SUMPRODUCT($E50:$L50,Portafolio!$I$46:$P$46)</f>
        <v>-1044.6123167577</v>
      </c>
      <c r="M54" s="14"/>
    </row>
    <row r="55" customFormat="false" ht="15" hidden="false" customHeight="false" outlineLevel="0" collapsed="false"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customFormat="false" ht="15" hidden="false" customHeight="false" outlineLevel="0" collapsed="false">
      <c r="C56" s="14"/>
      <c r="D56" s="1" t="s">
        <v>19</v>
      </c>
      <c r="E56" s="18" t="n">
        <f aca="false">SUM(E53:L53)</f>
        <v>11250.4354918334</v>
      </c>
      <c r="F56" s="19" t="s">
        <v>20</v>
      </c>
      <c r="G56" s="14"/>
      <c r="H56" s="14"/>
      <c r="I56" s="14"/>
      <c r="J56" s="14"/>
      <c r="K56" s="14"/>
      <c r="L56" s="14"/>
      <c r="M56" s="14"/>
    </row>
    <row r="57" customFormat="false" ht="15" hidden="false" customHeight="false" outlineLevel="0" collapsed="false">
      <c r="C57" s="14"/>
      <c r="D57" s="1" t="s">
        <v>21</v>
      </c>
      <c r="E57" s="18" t="n">
        <f aca="false">SUM(E54:L54)</f>
        <v>-1063.57063382175</v>
      </c>
      <c r="F57" s="14"/>
      <c r="G57" s="14"/>
      <c r="H57" s="14"/>
      <c r="I57" s="14"/>
      <c r="J57" s="14"/>
      <c r="K57" s="14"/>
      <c r="L57" s="14"/>
      <c r="M57" s="14"/>
    </row>
    <row r="58" customFormat="false" ht="15" hidden="false" customHeight="false" outlineLevel="0" collapsed="false">
      <c r="C58" s="14"/>
      <c r="D58" s="1" t="s">
        <v>22</v>
      </c>
      <c r="E58" s="18" t="n">
        <f aca="false">SUMPRODUCT(E54:L54,Portafolio!$I$46:$P$46)</f>
        <v>614.541743028343</v>
      </c>
      <c r="F58" s="14"/>
      <c r="G58" s="14"/>
      <c r="H58" s="14"/>
      <c r="I58" s="14"/>
      <c r="J58" s="14"/>
      <c r="K58" s="14"/>
      <c r="L58" s="14"/>
      <c r="M58" s="14"/>
    </row>
    <row r="59" customFormat="false" ht="15" hidden="false" customHeight="false" outlineLevel="0" collapsed="false">
      <c r="C59" s="14"/>
      <c r="D59" s="1" t="s">
        <v>23</v>
      </c>
      <c r="E59" s="18" t="n">
        <f aca="false">E56*E58-E57^2</f>
        <v>5782679.74385122</v>
      </c>
      <c r="F59" s="14"/>
      <c r="G59" s="14"/>
      <c r="H59" s="14"/>
      <c r="I59" s="14"/>
      <c r="J59" s="14"/>
      <c r="K59" s="14"/>
      <c r="L59" s="14"/>
      <c r="M59" s="14"/>
    </row>
    <row r="60" customFormat="false" ht="15" hidden="false" customHeight="false" outlineLevel="0" collapsed="false"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customFormat="false" ht="15" hidden="false" customHeight="false" outlineLevel="0" collapsed="false"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21"/>
    <col collapsed="false" customWidth="true" hidden="false" outlineLevel="0" max="10" min="10" style="0" width="22"/>
    <col collapsed="false" customWidth="true" hidden="false" outlineLevel="0" max="12" min="11" style="0" width="18"/>
    <col collapsed="false" customWidth="true" hidden="false" outlineLevel="0" max="18" min="13" style="0" width="14"/>
  </cols>
  <sheetData>
    <row r="2" customFormat="false" ht="17.35" hidden="false" customHeight="false" outlineLevel="0" collapsed="false">
      <c r="B2" s="6" t="s">
        <v>24</v>
      </c>
    </row>
    <row r="3" customFormat="false" ht="15" hidden="false" customHeight="false" outlineLevel="0" collapsed="false">
      <c r="H3" s="20" t="s">
        <v>25</v>
      </c>
      <c r="I3" s="21" t="n">
        <v>252</v>
      </c>
    </row>
    <row r="4" customFormat="false" ht="15" hidden="false" customHeight="false" outlineLevel="0" collapsed="false">
      <c r="H4" s="22" t="s">
        <v>26</v>
      </c>
      <c r="I4" s="23" t="n">
        <f aca="false">AVERAGE(RENDIMIENTOS!$J$3:$J$251)*$I$3</f>
        <v>0.0668941515629918</v>
      </c>
    </row>
    <row r="5" customFormat="false" ht="15" hidden="false" customHeight="false" outlineLevel="0" collapsed="false">
      <c r="H5" s="24" t="s">
        <v>27</v>
      </c>
      <c r="I5" s="21" t="n">
        <v>2</v>
      </c>
      <c r="J5" s="25" t="s">
        <v>28</v>
      </c>
    </row>
    <row r="6" customFormat="false" ht="15" hidden="false" customHeight="false" outlineLevel="0" collapsed="false">
      <c r="C6" s="22" t="s">
        <v>29</v>
      </c>
      <c r="D6" s="22" t="s">
        <v>30</v>
      </c>
      <c r="E6" s="22" t="s">
        <v>31</v>
      </c>
      <c r="F6" s="22" t="s">
        <v>32</v>
      </c>
    </row>
    <row r="7" customFormat="false" ht="15" hidden="false" customHeight="false" outlineLevel="0" collapsed="false">
      <c r="C7" s="1" t="s">
        <v>1</v>
      </c>
      <c r="D7" s="26" t="n">
        <f aca="false">INDEX(I$48:I$56,MATCH(MAX($K$19:$K$27),$K$19:$K$27,0))</f>
        <v>0</v>
      </c>
      <c r="E7" s="23" t="n">
        <f aca="false">AVERAGE(RENDIMIENTOS!$B$3:$B$251)*$I$3</f>
        <v>0.0362443957061986</v>
      </c>
      <c r="F7" s="9" t="n">
        <f aca="false">SLOPE(RENDIMIENTOS!$B$3:$B$251,RENDIMIENTOS!$J$3:$J$251)</f>
        <v>0.724158085195439</v>
      </c>
      <c r="H7" s="22" t="s">
        <v>33</v>
      </c>
      <c r="I7" s="23" t="n">
        <f aca="false">SUMPRODUCT(D7:D14,E7:E14)</f>
        <v>0.0817875821358763</v>
      </c>
    </row>
    <row r="8" customFormat="false" ht="15" hidden="false" customHeight="false" outlineLevel="0" collapsed="false">
      <c r="C8" s="1" t="s">
        <v>2</v>
      </c>
      <c r="D8" s="26" t="n">
        <f aca="false">INDEX(J$48:J$56,MATCH(MAX($K$19:$K$27),$K$19:$K$27,0))</f>
        <v>0</v>
      </c>
      <c r="E8" s="23" t="n">
        <f aca="false">AVERAGE(RENDIMIENTOS!$C$3:$C$251)*$I$3</f>
        <v>-0.23642948794273</v>
      </c>
      <c r="F8" s="9" t="n">
        <f aca="false">SLOPE(RENDIMIENTOS!$C$3:$C$251,RENDIMIENTOS!$J$3:$J$251)</f>
        <v>0.541882805896259</v>
      </c>
    </row>
    <row r="9" customFormat="false" ht="15" hidden="false" customHeight="false" outlineLevel="0" collapsed="false">
      <c r="C9" s="1" t="s">
        <v>3</v>
      </c>
      <c r="D9" s="26" t="n">
        <f aca="false">INDEX(K$48:K$56,MATCH(MAX($K$19:$K$27),$K$19:$K$27,0))</f>
        <v>0</v>
      </c>
      <c r="E9" s="23" t="n">
        <f aca="false">AVERAGE(RENDIMIENTOS!$D$3:$D$251)*$I$3</f>
        <v>0.00998135039076667</v>
      </c>
      <c r="F9" s="9" t="n">
        <f aca="false">SLOPE(RENDIMIENTOS!$D$3:$D$251,RENDIMIENTOS!$J$3:$J$251)</f>
        <v>0.770222706343104</v>
      </c>
      <c r="H9" s="20" t="s">
        <v>34</v>
      </c>
      <c r="I9" s="27" t="n">
        <f aca="false">SUMPRODUCT(MMULT(Matriz!$E$31:$L$38,D7:D14),D7:D14)</f>
        <v>0.000296112231187824</v>
      </c>
    </row>
    <row r="10" customFormat="false" ht="15" hidden="false" customHeight="false" outlineLevel="0" collapsed="false">
      <c r="C10" s="1" t="s">
        <v>4</v>
      </c>
      <c r="D10" s="26" t="n">
        <f aca="false">INDEX(L$48:L$56,MATCH(MAX($K$19:$K$27),$K$19:$K$27,0))</f>
        <v>0</v>
      </c>
      <c r="E10" s="23" t="n">
        <f aca="false">AVERAGE(RENDIMIENTOS!$E$3:$E$251)*$I$3</f>
        <v>-0.167384055383504</v>
      </c>
      <c r="F10" s="9" t="n">
        <f aca="false">SLOPE(RENDIMIENTOS!$E$3:$E$251,RENDIMIENTOS!$J$3:$J$251)</f>
        <v>0.797170266661248</v>
      </c>
    </row>
    <row r="11" customFormat="false" ht="15" hidden="false" customHeight="false" outlineLevel="0" collapsed="false">
      <c r="C11" s="1" t="s">
        <v>5</v>
      </c>
      <c r="D11" s="26" t="n">
        <f aca="false">INDEX(M$48:M$56,MATCH(MAX($K$19:$K$27),$K$19:$K$27,0))</f>
        <v>0</v>
      </c>
      <c r="E11" s="23" t="n">
        <f aca="false">AVERAGE(RENDIMIENTOS!$F$3:$F$251)*$I$3</f>
        <v>0.0579153426562407</v>
      </c>
      <c r="F11" s="9" t="n">
        <f aca="false">SLOPE(RENDIMIENTOS!$F$3:$F$251,RENDIMIENTOS!$J$3:$J$251)</f>
        <v>1.28874432295921</v>
      </c>
    </row>
    <row r="12" customFormat="false" ht="15" hidden="false" customHeight="false" outlineLevel="0" collapsed="false">
      <c r="C12" s="1" t="s">
        <v>6</v>
      </c>
      <c r="D12" s="26" t="n">
        <f aca="false">INDEX(N$48:N$56,MATCH(MAX($K$19:$K$27),$K$19:$K$27,0))</f>
        <v>1</v>
      </c>
      <c r="E12" s="23" t="n">
        <f aca="false">AVERAGE(RENDIMIENTOS!$G$3:$G$251)*$I$3</f>
        <v>0.0817875821358763</v>
      </c>
      <c r="F12" s="9" t="n">
        <f aca="false">SLOPE(RENDIMIENTOS!$G$3:$G$251,RENDIMIENTOS!$J$3:$J$251)</f>
        <v>1.14498888583895</v>
      </c>
      <c r="H12" s="24" t="s">
        <v>35</v>
      </c>
      <c r="I12" s="8" t="n">
        <f aca="false">SQRT(I9)</f>
        <v>0.0172079118776168</v>
      </c>
    </row>
    <row r="13" customFormat="false" ht="15" hidden="false" customHeight="false" outlineLevel="0" collapsed="false">
      <c r="C13" s="1" t="s">
        <v>7</v>
      </c>
      <c r="D13" s="26" t="n">
        <f aca="false">INDEX(O$48:O$56,MATCH(MAX($K$19:$K$27),$K$19:$K$27,0))</f>
        <v>0</v>
      </c>
      <c r="E13" s="23" t="n">
        <f aca="false">AVERAGE(RENDIMIENTOS!$H$3:$H$251)*$I$3</f>
        <v>-0.133752464024379</v>
      </c>
      <c r="F13" s="9" t="n">
        <f aca="false">SLOPE(RENDIMIENTOS!$H$3:$H$251,RENDIMIENTOS!$J$3:$J$251)</f>
        <v>0.525886028942383</v>
      </c>
    </row>
    <row r="14" customFormat="false" ht="15" hidden="false" customHeight="false" outlineLevel="0" collapsed="false">
      <c r="C14" s="1" t="s">
        <v>8</v>
      </c>
      <c r="D14" s="26" t="n">
        <f aca="false">INDEX(P$48:P$56,MATCH(MAX($K$19:$K$27),$K$19:$K$27,0))</f>
        <v>0</v>
      </c>
      <c r="E14" s="23" t="n">
        <f aca="false">AVERAGE(RENDIMIENTOS!$I$3:$I$251)*$I$3</f>
        <v>-0.1702800898151</v>
      </c>
      <c r="F14" s="9" t="n">
        <f aca="false">SLOPE(RENDIMIENTOS!$I$3:$I$251,RENDIMIENTOS!$J$3:$J$251)</f>
        <v>0.55742145075492</v>
      </c>
      <c r="H14" s="20" t="s">
        <v>36</v>
      </c>
      <c r="I14" s="28" t="n">
        <v>0.065</v>
      </c>
      <c r="J14" s="25" t="s">
        <v>37</v>
      </c>
    </row>
    <row r="15" customFormat="false" ht="15" hidden="false" customHeight="false" outlineLevel="0" collapsed="false">
      <c r="C15" s="1" t="s">
        <v>38</v>
      </c>
      <c r="D15" s="29" t="n">
        <f aca="false">SUM(D7:D14)</f>
        <v>1</v>
      </c>
      <c r="E15" s="30" t="s">
        <v>39</v>
      </c>
      <c r="F15" s="31" t="n">
        <f aca="false">SUMPRODUCT(D7:D14,F7:F14)</f>
        <v>1.14498888583895</v>
      </c>
    </row>
    <row r="16" customFormat="false" ht="15" hidden="false" customHeight="false" outlineLevel="0" collapsed="false">
      <c r="C16" s="32" t="s">
        <v>40</v>
      </c>
      <c r="H16" s="22" t="s">
        <v>41</v>
      </c>
      <c r="I16" s="9" t="n">
        <f aca="false">+(I7-I14)/I12</f>
        <v>0.975573460351852</v>
      </c>
    </row>
    <row r="18" customFormat="false" ht="48" hidden="false" customHeight="true" outlineLevel="0" collapsed="false">
      <c r="H18" s="22" t="s">
        <v>42</v>
      </c>
      <c r="I18" s="20" t="s">
        <v>43</v>
      </c>
      <c r="J18" s="20" t="s">
        <v>44</v>
      </c>
      <c r="K18" s="24" t="s">
        <v>45</v>
      </c>
      <c r="L18" s="24" t="s">
        <v>46</v>
      </c>
    </row>
    <row r="19" customFormat="false" ht="15" hidden="false" customHeight="false" outlineLevel="0" collapsed="false">
      <c r="H19" s="33" t="n">
        <v>1</v>
      </c>
      <c r="I19" s="34" t="n">
        <f aca="false">SQRT(SUMPRODUCT(MMULT($I48:$P48,Matriz!$E$31:$L$38),$I48:$P48))</f>
        <v>0.0134292362819857</v>
      </c>
      <c r="J19" s="35" t="n">
        <f aca="false">SUMPRODUCT($I48:$P48,$I$46:$P$46)</f>
        <v>0.0649999951295349</v>
      </c>
      <c r="K19" s="9" t="n">
        <f aca="false">(J19-$I$14)/I19</f>
        <v>-3.62676254425688E-007</v>
      </c>
      <c r="L19" s="9" t="n">
        <f aca="false">SUMPRODUCT($I48:$P48,$I$47:$P$47)</f>
        <v>1.04813704749361</v>
      </c>
    </row>
    <row r="20" customFormat="false" ht="15" hidden="false" customHeight="false" outlineLevel="0" collapsed="false">
      <c r="H20" s="33" t="n">
        <v>2</v>
      </c>
      <c r="I20" s="34" t="n">
        <f aca="false">SQRT(SUMPRODUCT(MMULT($I49:$P49,Matriz!$E$31:$L$38),$I49:$P49))</f>
        <v>0.0137603941110514</v>
      </c>
      <c r="J20" s="35" t="n">
        <f aca="false">SUMPRODUCT($I49:$P49,$I$46:$P$46)</f>
        <v>0.0670984488211228</v>
      </c>
      <c r="K20" s="9" t="n">
        <f aca="false">(J20-$I$14)/I20</f>
        <v>0.152499180196985</v>
      </c>
      <c r="L20" s="9" t="n">
        <f aca="false">SUMPRODUCT($I49:$P49,$I$47:$P$47)</f>
        <v>1.06773643315597</v>
      </c>
    </row>
    <row r="21" customFormat="false" ht="15" hidden="false" customHeight="false" outlineLevel="0" collapsed="false">
      <c r="H21" s="33" t="n">
        <v>3</v>
      </c>
      <c r="I21" s="34" t="n">
        <f aca="false">SQRT(SUMPRODUCT(MMULT($I50:$P50,Matriz!$E$31:$L$38),$I50:$P50))</f>
        <v>0.0141262010297019</v>
      </c>
      <c r="J21" s="35" t="n">
        <f aca="false">SUMPRODUCT($I50:$P50,$I$46:$P$46)</f>
        <v>0.0691968808417637</v>
      </c>
      <c r="K21" s="9" t="n">
        <f aca="false">(J21-$I$14)/I21</f>
        <v>0.297099045450313</v>
      </c>
      <c r="L21" s="9" t="n">
        <f aca="false">SUMPRODUCT($I50:$P50,$I$47:$P$47)</f>
        <v>1.08733525423208</v>
      </c>
    </row>
    <row r="22" customFormat="false" ht="15" hidden="false" customHeight="false" outlineLevel="0" collapsed="false">
      <c r="H22" s="33" t="n">
        <v>4</v>
      </c>
      <c r="I22" s="34" t="n">
        <f aca="false">SQRT(SUMPRODUCT(MMULT($I51:$P51,Matriz!$E$31:$L$38),$I51:$P51))</f>
        <v>0.0145240464794026</v>
      </c>
      <c r="J22" s="35" t="n">
        <f aca="false">SUMPRODUCT($I51:$P51,$I$46:$P$46)</f>
        <v>0.0712953345333515</v>
      </c>
      <c r="K22" s="9" t="n">
        <f aca="false">(J22-$I$14)/I22</f>
        <v>0.433442191353441</v>
      </c>
      <c r="L22" s="9" t="n">
        <f aca="false">SUMPRODUCT($I51:$P51,$I$47:$P$47)</f>
        <v>1.10693463989443</v>
      </c>
    </row>
    <row r="23" customFormat="false" ht="15" hidden="false" customHeight="false" outlineLevel="0" collapsed="false">
      <c r="H23" s="33" t="n">
        <v>5</v>
      </c>
      <c r="I23" s="34" t="n">
        <f aca="false">SQRT(SUMPRODUCT(MMULT($I52:$P52,Matriz!$E$31:$L$38),$I52:$P52))</f>
        <v>0.0149513580978967</v>
      </c>
      <c r="J23" s="35" t="n">
        <f aca="false">SUMPRODUCT($I52:$P52,$I$46:$P$46)</f>
        <v>0.0733937303095967</v>
      </c>
      <c r="K23" s="9" t="n">
        <f aca="false">(J23-$I$14)/I23</f>
        <v>0.561402533110186</v>
      </c>
      <c r="L23" s="9" t="n">
        <f aca="false">SUMPRODUCT($I52:$P52,$I$47:$P$47)</f>
        <v>1.12653273681246</v>
      </c>
    </row>
    <row r="24" customFormat="false" ht="15" hidden="false" customHeight="false" outlineLevel="0" collapsed="false">
      <c r="H24" s="33" t="n">
        <v>6</v>
      </c>
      <c r="I24" s="34" t="n">
        <f aca="false">SQRT(SUMPRODUCT(MMULT($I53:$P53,Matriz!$E$31:$L$38),$I53:$P53))</f>
        <v>0.0154057133789584</v>
      </c>
      <c r="J24" s="35" t="n">
        <f aca="false">SUMPRODUCT($I53:$P53,$I$46:$P$46)</f>
        <v>0.0754922202455803</v>
      </c>
      <c r="K24" s="9" t="n">
        <f aca="false">(J24-$I$14)/I24</f>
        <v>0.681060330507695</v>
      </c>
      <c r="L24" s="9" t="n">
        <f aca="false">SUMPRODUCT($I53:$P53,$I$47:$P$47)</f>
        <v>1.14613284663289</v>
      </c>
    </row>
    <row r="25" customFormat="false" ht="15" hidden="false" customHeight="false" outlineLevel="0" collapsed="false">
      <c r="H25" s="33" t="n">
        <v>7</v>
      </c>
      <c r="I25" s="34" t="n">
        <f aca="false">SQRT(SUMPRODUCT(MMULT($I54:$P54,Matriz!$E$31:$L$38),$I54:$P54))</f>
        <v>0.0158847678278917</v>
      </c>
      <c r="J25" s="35" t="n">
        <f aca="false">SUMPRODUCT($I54:$P54,$I$46:$P$46)</f>
        <v>0.0775906739371681</v>
      </c>
      <c r="K25" s="9" t="n">
        <f aca="false">(J25-$I$14)/I25</f>
        <v>0.792625619309363</v>
      </c>
      <c r="L25" s="9" t="n">
        <f aca="false">SUMPRODUCT($I54:$P54,$I$47:$P$47)</f>
        <v>1.16573223229525</v>
      </c>
    </row>
    <row r="26" customFormat="false" ht="15" hidden="false" customHeight="false" outlineLevel="0" collapsed="false">
      <c r="H26" s="33" t="n">
        <v>8</v>
      </c>
      <c r="I26" s="34" t="n">
        <f aca="false">SQRT(SUMPRODUCT(MMULT($I55:$P55,Matriz!$E$31:$L$38),$I55:$P55))</f>
        <v>0.0164528228463165</v>
      </c>
      <c r="J26" s="35" t="n">
        <f aca="false">SUMPRODUCT($I55:$P55,$I$46:$P$46)</f>
        <v>0.0796891406688979</v>
      </c>
      <c r="K26" s="9" t="n">
        <f aca="false">(J26-$I$14)/I26</f>
        <v>0.892803673029676</v>
      </c>
      <c r="L26" s="9" t="n">
        <f aca="false">SUMPRODUCT($I55:$P55,$I$47:$P$47)</f>
        <v>1.15762542002814</v>
      </c>
    </row>
    <row r="27" customFormat="false" ht="15" hidden="false" customHeight="false" outlineLevel="0" collapsed="false">
      <c r="H27" s="33" t="n">
        <v>9</v>
      </c>
      <c r="I27" s="34" t="n">
        <f aca="false">SQRT(SUMPRODUCT(MMULT($I56:$P56,Matriz!$E$31:$L$38),$I56:$P56))</f>
        <v>0.0172079118776168</v>
      </c>
      <c r="J27" s="35" t="n">
        <f aca="false">SUMPRODUCT($I56:$P56,$I$46:$P$46)</f>
        <v>0.0817875821358763</v>
      </c>
      <c r="K27" s="9" t="n">
        <f aca="false">(J27-$I$14)/I27</f>
        <v>0.975573460351852</v>
      </c>
      <c r="L27" s="9" t="n">
        <f aca="false">SUMPRODUCT($I56:$P56,$I$47:$P$47)</f>
        <v>1.14498888583895</v>
      </c>
    </row>
    <row r="43" customFormat="false" ht="15" hidden="false" customHeight="false" outlineLevel="0" collapsed="false">
      <c r="H43" s="36" t="s">
        <v>47</v>
      </c>
    </row>
    <row r="45" customFormat="false" ht="15" hidden="false" customHeight="false" outlineLevel="0" collapsed="false">
      <c r="H45" s="22" t="s">
        <v>48</v>
      </c>
      <c r="I45" s="22" t="s">
        <v>1</v>
      </c>
      <c r="J45" s="22" t="s">
        <v>2</v>
      </c>
      <c r="K45" s="22" t="s">
        <v>3</v>
      </c>
      <c r="L45" s="22" t="s">
        <v>4</v>
      </c>
      <c r="M45" s="22" t="s">
        <v>5</v>
      </c>
      <c r="N45" s="22" t="s">
        <v>6</v>
      </c>
      <c r="O45" s="22" t="s">
        <v>7</v>
      </c>
      <c r="P45" s="22" t="s">
        <v>8</v>
      </c>
      <c r="Q45" s="22" t="s">
        <v>49</v>
      </c>
      <c r="R45" s="22" t="s">
        <v>50</v>
      </c>
    </row>
    <row r="46" customFormat="false" ht="15" hidden="false" customHeight="false" outlineLevel="0" collapsed="false">
      <c r="H46" s="1" t="s">
        <v>51</v>
      </c>
      <c r="I46" s="37" t="n">
        <f aca="false">$E$7</f>
        <v>0.0362443957061986</v>
      </c>
      <c r="J46" s="37" t="n">
        <f aca="false">$E$8</f>
        <v>-0.23642948794273</v>
      </c>
      <c r="K46" s="37" t="n">
        <f aca="false">$E$9</f>
        <v>0.00998135039076667</v>
      </c>
      <c r="L46" s="37" t="n">
        <f aca="false">$E$10</f>
        <v>-0.167384055383504</v>
      </c>
      <c r="M46" s="37" t="n">
        <f aca="false">$E$11</f>
        <v>0.0579153426562407</v>
      </c>
      <c r="N46" s="37" t="n">
        <f aca="false">$E$12</f>
        <v>0.0817875821358763</v>
      </c>
      <c r="O46" s="37" t="n">
        <f aca="false">$E$13</f>
        <v>-0.133752464024379</v>
      </c>
      <c r="P46" s="37" t="n">
        <f aca="false">$E$14</f>
        <v>-0.1702800898151</v>
      </c>
    </row>
    <row r="47" customFormat="false" ht="15" hidden="false" customHeight="false" outlineLevel="0" collapsed="false">
      <c r="H47" s="1" t="s">
        <v>52</v>
      </c>
      <c r="I47" s="38" t="n">
        <f aca="false">$F$7</f>
        <v>0.724158085195439</v>
      </c>
      <c r="J47" s="38" t="n">
        <f aca="false">$F$8</f>
        <v>0.541882805896259</v>
      </c>
      <c r="K47" s="38" t="n">
        <f aca="false">$F$9</f>
        <v>0.770222706343104</v>
      </c>
      <c r="L47" s="38" t="n">
        <f aca="false">$F$10</f>
        <v>0.797170266661248</v>
      </c>
      <c r="M47" s="38" t="n">
        <f aca="false">$F$11</f>
        <v>1.28874432295921</v>
      </c>
      <c r="N47" s="38" t="n">
        <f aca="false">$F$12</f>
        <v>1.14498888583895</v>
      </c>
      <c r="O47" s="38" t="n">
        <f aca="false">$F$13</f>
        <v>0.525886028942383</v>
      </c>
      <c r="P47" s="38" t="n">
        <f aca="false">$F$14</f>
        <v>0.55742145075492</v>
      </c>
    </row>
    <row r="48" customFormat="false" ht="15" hidden="false" customHeight="false" outlineLevel="0" collapsed="false">
      <c r="H48" s="33" t="n">
        <v>1</v>
      </c>
      <c r="I48" s="39" t="n">
        <f aca="false">IF($I$5=1,I61,I74)</f>
        <v>0.284777</v>
      </c>
      <c r="J48" s="39" t="n">
        <f aca="false">IF($I$5=1,J61,J74)</f>
        <v>0</v>
      </c>
      <c r="K48" s="39" t="n">
        <f aca="false">IF($I$5=1,K61,K74)</f>
        <v>0</v>
      </c>
      <c r="L48" s="39" t="n">
        <f aca="false">IF($I$5=1,L61,L74)</f>
        <v>0</v>
      </c>
      <c r="M48" s="39" t="n">
        <f aca="false">IF($I$5=1,M61,M74)</f>
        <v>0.159932</v>
      </c>
      <c r="N48" s="39" t="n">
        <f aca="false">IF($I$5=1,N61,N74)</f>
        <v>0.555291</v>
      </c>
      <c r="O48" s="39" t="n">
        <f aca="false">IF($I$5=1,O61,O74)</f>
        <v>0</v>
      </c>
      <c r="P48" s="39" t="n">
        <f aca="false">IF($I$5=1,P61,P74)</f>
        <v>0</v>
      </c>
      <c r="Q48" s="40" t="n">
        <f aca="false">SUM(I48:P48)</f>
        <v>1</v>
      </c>
      <c r="R48" s="40" t="n">
        <f aca="false">$I$14+(MAX($E$7:$E$14)-$I$14)*0/8</f>
        <v>0.065</v>
      </c>
    </row>
    <row r="49" customFormat="false" ht="15" hidden="false" customHeight="false" outlineLevel="0" collapsed="false">
      <c r="H49" s="33" t="n">
        <v>2</v>
      </c>
      <c r="I49" s="39" t="n">
        <f aca="false">IF($I$5=1,I62,I75)</f>
        <v>0.2384</v>
      </c>
      <c r="J49" s="39" t="n">
        <f aca="false">IF($I$5=1,J62,J75)</f>
        <v>0</v>
      </c>
      <c r="K49" s="39" t="n">
        <f aca="false">IF($I$5=1,K62,K75)</f>
        <v>0</v>
      </c>
      <c r="L49" s="39" t="n">
        <f aca="false">IF($I$5=1,L62,L75)</f>
        <v>0</v>
      </c>
      <c r="M49" s="39" t="n">
        <f aca="false">IF($I$5=1,M62,M75)</f>
        <v>0.160506</v>
      </c>
      <c r="N49" s="39" t="n">
        <f aca="false">IF($I$5=1,N62,N75)</f>
        <v>0.601094</v>
      </c>
      <c r="O49" s="39" t="n">
        <f aca="false">IF($I$5=1,O62,O75)</f>
        <v>0</v>
      </c>
      <c r="P49" s="39" t="n">
        <f aca="false">IF($I$5=1,P62,P75)</f>
        <v>0</v>
      </c>
      <c r="Q49" s="40" t="n">
        <f aca="false">SUM(I49:P49)</f>
        <v>1</v>
      </c>
      <c r="R49" s="40" t="n">
        <f aca="false">$I$14+(MAX($E$7:$E$14)-$I$14)*1/8</f>
        <v>0.0670984477669845</v>
      </c>
    </row>
    <row r="50" customFormat="false" ht="15" hidden="false" customHeight="false" outlineLevel="0" collapsed="false">
      <c r="H50" s="33" t="n">
        <v>3</v>
      </c>
      <c r="I50" s="39" t="n">
        <f aca="false">IF($I$5=1,I63,I76)</f>
        <v>0.192024</v>
      </c>
      <c r="J50" s="39" t="n">
        <f aca="false">IF($I$5=1,J63,J76)</f>
        <v>0</v>
      </c>
      <c r="K50" s="39" t="n">
        <f aca="false">IF($I$5=1,K63,K76)</f>
        <v>0</v>
      </c>
      <c r="L50" s="39" t="n">
        <f aca="false">IF($I$5=1,L63,L76)</f>
        <v>0</v>
      </c>
      <c r="M50" s="39" t="n">
        <f aca="false">IF($I$5=1,M63,M76)</f>
        <v>0.161079</v>
      </c>
      <c r="N50" s="39" t="n">
        <f aca="false">IF($I$5=1,N63,N76)</f>
        <v>0.646897</v>
      </c>
      <c r="O50" s="39" t="n">
        <f aca="false">IF($I$5=1,O63,O76)</f>
        <v>0</v>
      </c>
      <c r="P50" s="39" t="n">
        <f aca="false">IF($I$5=1,P63,P76)</f>
        <v>0</v>
      </c>
      <c r="Q50" s="40" t="n">
        <f aca="false">SUM(I50:P50)</f>
        <v>1</v>
      </c>
      <c r="R50" s="40" t="n">
        <f aca="false">$I$14+(MAX($E$7:$E$14)-$I$14)*2/8</f>
        <v>0.0691968955339691</v>
      </c>
    </row>
    <row r="51" customFormat="false" ht="15" hidden="false" customHeight="false" outlineLevel="0" collapsed="false">
      <c r="H51" s="33" t="n">
        <v>4</v>
      </c>
      <c r="I51" s="39" t="n">
        <f aca="false">IF($I$5=1,I64,I77)</f>
        <v>0.145647</v>
      </c>
      <c r="J51" s="39" t="n">
        <f aca="false">IF($I$5=1,J64,J77)</f>
        <v>0</v>
      </c>
      <c r="K51" s="39" t="n">
        <f aca="false">IF($I$5=1,K64,K77)</f>
        <v>0</v>
      </c>
      <c r="L51" s="39" t="n">
        <f aca="false">IF($I$5=1,L64,L77)</f>
        <v>0</v>
      </c>
      <c r="M51" s="39" t="n">
        <f aca="false">IF($I$5=1,M64,M77)</f>
        <v>0.161653</v>
      </c>
      <c r="N51" s="39" t="n">
        <f aca="false">IF($I$5=1,N64,N77)</f>
        <v>0.6927</v>
      </c>
      <c r="O51" s="39" t="n">
        <f aca="false">IF($I$5=1,O64,O77)</f>
        <v>0</v>
      </c>
      <c r="P51" s="39" t="n">
        <f aca="false">IF($I$5=1,P64,P77)</f>
        <v>0</v>
      </c>
      <c r="Q51" s="40" t="n">
        <f aca="false">SUM(I51:P51)</f>
        <v>1</v>
      </c>
      <c r="R51" s="40" t="n">
        <f aca="false">$I$14+(MAX($E$7:$E$14)-$I$14)*3/8</f>
        <v>0.0712953433009536</v>
      </c>
    </row>
    <row r="52" customFormat="false" ht="15" hidden="false" customHeight="false" outlineLevel="0" collapsed="false">
      <c r="H52" s="33" t="n">
        <v>5</v>
      </c>
      <c r="I52" s="39" t="n">
        <f aca="false">IF($I$5=1,I65,I78)</f>
        <v>0.09927</v>
      </c>
      <c r="J52" s="39" t="n">
        <f aca="false">IF($I$5=1,J65,J78)</f>
        <v>0</v>
      </c>
      <c r="K52" s="39" t="n">
        <f aca="false">IF($I$5=1,K65,K78)</f>
        <v>0</v>
      </c>
      <c r="L52" s="39" t="n">
        <f aca="false">IF($I$5=1,L65,L78)</f>
        <v>0</v>
      </c>
      <c r="M52" s="39" t="n">
        <f aca="false">IF($I$5=1,M65,M78)</f>
        <v>0.162226</v>
      </c>
      <c r="N52" s="39" t="n">
        <f aca="false">IF($I$5=1,N65,N78)</f>
        <v>0.738503</v>
      </c>
      <c r="O52" s="39" t="n">
        <f aca="false">IF($I$5=1,O65,O78)</f>
        <v>0</v>
      </c>
      <c r="P52" s="39" t="n">
        <f aca="false">IF($I$5=1,P65,P78)</f>
        <v>0</v>
      </c>
      <c r="Q52" s="40" t="n">
        <f aca="false">SUM(I52:P52)</f>
        <v>0.999999</v>
      </c>
      <c r="R52" s="40" t="n">
        <f aca="false">$I$14+(MAX($E$7:$E$14)-$I$14)*4/8</f>
        <v>0.0733937910679382</v>
      </c>
    </row>
    <row r="53" customFormat="false" ht="15" hidden="false" customHeight="false" outlineLevel="0" collapsed="false">
      <c r="H53" s="33" t="n">
        <v>6</v>
      </c>
      <c r="I53" s="39" t="n">
        <f aca="false">IF($I$5=1,I66,I79)</f>
        <v>0.052894</v>
      </c>
      <c r="J53" s="39" t="n">
        <f aca="false">IF($I$5=1,J66,J79)</f>
        <v>0</v>
      </c>
      <c r="K53" s="39" t="n">
        <f aca="false">IF($I$5=1,K66,K79)</f>
        <v>0</v>
      </c>
      <c r="L53" s="39" t="n">
        <f aca="false">IF($I$5=1,L66,L79)</f>
        <v>0</v>
      </c>
      <c r="M53" s="39" t="n">
        <f aca="false">IF($I$5=1,M66,M79)</f>
        <v>0.1628</v>
      </c>
      <c r="N53" s="39" t="n">
        <f aca="false">IF($I$5=1,N66,N79)</f>
        <v>0.784306</v>
      </c>
      <c r="O53" s="39" t="n">
        <f aca="false">IF($I$5=1,O66,O79)</f>
        <v>0</v>
      </c>
      <c r="P53" s="39" t="n">
        <f aca="false">IF($I$5=1,P66,P79)</f>
        <v>0</v>
      </c>
      <c r="Q53" s="40" t="n">
        <f aca="false">SUM(I53:P53)</f>
        <v>1</v>
      </c>
      <c r="R53" s="40" t="n">
        <f aca="false">$I$14+(MAX($E$7:$E$14)-$I$14)*5/8</f>
        <v>0.0754922388349227</v>
      </c>
    </row>
    <row r="54" customFormat="false" ht="15" hidden="false" customHeight="false" outlineLevel="0" collapsed="false">
      <c r="H54" s="33" t="n">
        <v>7</v>
      </c>
      <c r="I54" s="39" t="n">
        <f aca="false">IF($I$5=1,I67,I80)</f>
        <v>0.006517</v>
      </c>
      <c r="J54" s="39" t="n">
        <f aca="false">IF($I$5=1,J67,J80)</f>
        <v>0</v>
      </c>
      <c r="K54" s="39" t="n">
        <f aca="false">IF($I$5=1,K67,K80)</f>
        <v>0</v>
      </c>
      <c r="L54" s="39" t="n">
        <f aca="false">IF($I$5=1,L67,L80)</f>
        <v>0</v>
      </c>
      <c r="M54" s="39" t="n">
        <f aca="false">IF($I$5=1,M67,M80)</f>
        <v>0.163374</v>
      </c>
      <c r="N54" s="39" t="n">
        <f aca="false">IF($I$5=1,N67,N80)</f>
        <v>0.830109</v>
      </c>
      <c r="O54" s="39" t="n">
        <f aca="false">IF($I$5=1,O67,O80)</f>
        <v>0</v>
      </c>
      <c r="P54" s="39" t="n">
        <f aca="false">IF($I$5=1,P67,P80)</f>
        <v>0</v>
      </c>
      <c r="Q54" s="40" t="n">
        <f aca="false">SUM(I54:P54)</f>
        <v>1</v>
      </c>
      <c r="R54" s="40" t="n">
        <f aca="false">$I$14+(MAX($E$7:$E$14)-$I$14)*6/8</f>
        <v>0.0775906866019072</v>
      </c>
    </row>
    <row r="55" customFormat="false" ht="15" hidden="false" customHeight="false" outlineLevel="0" collapsed="false">
      <c r="H55" s="33" t="n">
        <v>8</v>
      </c>
      <c r="I55" s="39" t="n">
        <f aca="false">IF($I$5=1,I68,I81)</f>
        <v>0</v>
      </c>
      <c r="J55" s="39" t="n">
        <f aca="false">IF($I$5=1,J68,J81)</f>
        <v>0</v>
      </c>
      <c r="K55" s="39" t="n">
        <f aca="false">IF($I$5=1,K68,K81)</f>
        <v>0</v>
      </c>
      <c r="L55" s="39" t="n">
        <f aca="false">IF($I$5=1,L68,L81)</f>
        <v>0</v>
      </c>
      <c r="M55" s="39" t="n">
        <f aca="false">IF($I$5=1,M68,M81)</f>
        <v>0.087903</v>
      </c>
      <c r="N55" s="39" t="n">
        <f aca="false">IF($I$5=1,N68,N81)</f>
        <v>0.912097</v>
      </c>
      <c r="O55" s="39" t="n">
        <f aca="false">IF($I$5=1,O68,O81)</f>
        <v>0</v>
      </c>
      <c r="P55" s="39" t="n">
        <f aca="false">IF($I$5=1,P68,P81)</f>
        <v>0</v>
      </c>
      <c r="Q55" s="40" t="n">
        <f aca="false">SUM(I55:P55)</f>
        <v>1</v>
      </c>
      <c r="R55" s="40" t="n">
        <f aca="false">$I$14+(MAX($E$7:$E$14)-$I$14)*7/8</f>
        <v>0.0796891343688918</v>
      </c>
    </row>
    <row r="56" customFormat="false" ht="15" hidden="false" customHeight="false" outlineLevel="0" collapsed="false">
      <c r="H56" s="33" t="n">
        <v>9</v>
      </c>
      <c r="I56" s="39" t="n">
        <f aca="false">IF($I$5=1,I69,I82)</f>
        <v>0</v>
      </c>
      <c r="J56" s="39" t="n">
        <f aca="false">IF($I$5=1,J69,J82)</f>
        <v>0</v>
      </c>
      <c r="K56" s="39" t="n">
        <f aca="false">IF($I$5=1,K69,K82)</f>
        <v>0</v>
      </c>
      <c r="L56" s="39" t="n">
        <f aca="false">IF($I$5=1,L69,L82)</f>
        <v>0</v>
      </c>
      <c r="M56" s="39" t="n">
        <f aca="false">IF($I$5=1,M69,M82)</f>
        <v>0</v>
      </c>
      <c r="N56" s="39" t="n">
        <f aca="false">IF($I$5=1,N69,N82)</f>
        <v>1</v>
      </c>
      <c r="O56" s="39" t="n">
        <f aca="false">IF($I$5=1,O69,O82)</f>
        <v>0</v>
      </c>
      <c r="P56" s="39" t="n">
        <f aca="false">IF($I$5=1,P69,P82)</f>
        <v>0</v>
      </c>
      <c r="Q56" s="40" t="n">
        <f aca="false">SUM(I56:P56)</f>
        <v>1</v>
      </c>
      <c r="R56" s="40" t="n">
        <f aca="false">$I$14+(MAX($E$7:$E$14)-$I$14)*8/8</f>
        <v>0.0817875821358763</v>
      </c>
    </row>
    <row r="59" customFormat="false" ht="15" hidden="false" customHeight="false" outlineLevel="0" collapsed="false">
      <c r="H59" s="36" t="s">
        <v>53</v>
      </c>
    </row>
    <row r="60" customFormat="false" ht="15" hidden="false" customHeight="false" outlineLevel="0" collapsed="false">
      <c r="H60" s="22" t="s">
        <v>48</v>
      </c>
      <c r="I60" s="22" t="s">
        <v>1</v>
      </c>
      <c r="J60" s="22" t="s">
        <v>2</v>
      </c>
      <c r="K60" s="22" t="s">
        <v>3</v>
      </c>
      <c r="L60" s="22" t="s">
        <v>4</v>
      </c>
      <c r="M60" s="22" t="s">
        <v>5</v>
      </c>
      <c r="N60" s="22" t="s">
        <v>6</v>
      </c>
      <c r="O60" s="22" t="s">
        <v>7</v>
      </c>
      <c r="P60" s="22" t="s">
        <v>8</v>
      </c>
      <c r="Q60" s="22" t="s">
        <v>49</v>
      </c>
      <c r="R60" s="22" t="s">
        <v>50</v>
      </c>
    </row>
    <row r="61" customFormat="false" ht="15" hidden="false" customHeight="false" outlineLevel="0" collapsed="false">
      <c r="H61" s="33" t="n">
        <v>1</v>
      </c>
      <c r="I61" s="39" t="n">
        <f aca="false">((Matriz!$E$58-Matriz!$E$57*$R61)*Matriz!$E$53+(Matriz!$E$56*$R61-Matriz!$E$57)*Matriz!$E$54)/Matriz!$E$59</f>
        <v>0.496295525197577</v>
      </c>
      <c r="J61" s="39" t="n">
        <f aca="false">((Matriz!$E$58-Matriz!$E$57*$R61)*Matriz!$F$53+(Matriz!$E$56*$R61-Matriz!$E$57)*Matriz!$F$54)/Matriz!$E$59</f>
        <v>-0.0390910816512745</v>
      </c>
      <c r="K61" s="39" t="n">
        <f aca="false">((Matriz!$E$58-Matriz!$E$57*$R61)*Matriz!$G$53+(Matriz!$E$56*$R61-Matriz!$E$57)*Matriz!$G$54)/Matriz!$E$59</f>
        <v>0.282561702048613</v>
      </c>
      <c r="L61" s="39" t="n">
        <f aca="false">((Matriz!$E$58-Matriz!$E$57*$R61)*Matriz!$H$53+(Matriz!$E$56*$R61-Matriz!$E$57)*Matriz!$H$54)/Matriz!$E$59</f>
        <v>-0.109633648084208</v>
      </c>
      <c r="M61" s="39" t="n">
        <f aca="false">((Matriz!$E$58-Matriz!$E$57*$R61)*Matriz!$I$53+(Matriz!$E$56*$R61-Matriz!$E$57)*Matriz!$I$54)/Matriz!$E$59</f>
        <v>0.100888000075036</v>
      </c>
      <c r="N61" s="39" t="n">
        <f aca="false">((Matriz!$E$58-Matriz!$E$57*$R61)*Matriz!$J$53+(Matriz!$E$56*$R61-Matriz!$E$57)*Matriz!$J$54)/Matriz!$E$59</f>
        <v>0.215930609615409</v>
      </c>
      <c r="O61" s="39" t="n">
        <f aca="false">((Matriz!$E$58-Matriz!$E$57*$R61)*Matriz!$K$53+(Matriz!$E$56*$R61-Matriz!$E$57)*Matriz!$K$54)/Matriz!$E$59</f>
        <v>0.0582648563133571</v>
      </c>
      <c r="P61" s="39" t="n">
        <f aca="false">((Matriz!$E$58-Matriz!$E$57*$R61)*Matriz!$L$53+(Matriz!$E$56*$R61-Matriz!$E$57)*Matriz!$L$54)/Matriz!$E$59</f>
        <v>-0.00521596351451034</v>
      </c>
      <c r="Q61" s="40" t="n">
        <f aca="false">SUM(I61:P61)</f>
        <v>1</v>
      </c>
      <c r="R61" s="40" t="n">
        <f aca="false">R48</f>
        <v>0.065</v>
      </c>
    </row>
    <row r="62" customFormat="false" ht="15" hidden="false" customHeight="false" outlineLevel="0" collapsed="false">
      <c r="H62" s="33" t="n">
        <v>2</v>
      </c>
      <c r="I62" s="39" t="n">
        <f aca="false">((Matriz!$E$58-Matriz!$E$57*$R62)*Matriz!$E$53+(Matriz!$E$56*$R62-Matriz!$E$57)*Matriz!$E$54)/Matriz!$E$59</f>
        <v>0.500306012007823</v>
      </c>
      <c r="J62" s="39" t="n">
        <f aca="false">((Matriz!$E$58-Matriz!$E$57*$R62)*Matriz!$F$53+(Matriz!$E$56*$R62-Matriz!$E$57)*Matriz!$F$54)/Matriz!$E$59</f>
        <v>-0.0421970562600018</v>
      </c>
      <c r="K62" s="39" t="n">
        <f aca="false">((Matriz!$E$58-Matriz!$E$57*$R62)*Matriz!$G$53+(Matriz!$E$56*$R62-Matriz!$E$57)*Matriz!$G$54)/Matriz!$E$59</f>
        <v>0.284183527748183</v>
      </c>
      <c r="L62" s="39" t="n">
        <f aca="false">((Matriz!$E$58-Matriz!$E$57*$R62)*Matriz!$H$53+(Matriz!$E$56*$R62-Matriz!$E$57)*Matriz!$H$54)/Matriz!$E$59</f>
        <v>-0.111784633150617</v>
      </c>
      <c r="M62" s="39" t="n">
        <f aca="false">((Matriz!$E$58-Matriz!$E$57*$R62)*Matriz!$I$53+(Matriz!$E$56*$R62-Matriz!$E$57)*Matriz!$I$54)/Matriz!$E$59</f>
        <v>0.101864694304057</v>
      </c>
      <c r="N62" s="39" t="n">
        <f aca="false">((Matriz!$E$58-Matriz!$E$57*$R62)*Matriz!$J$53+(Matriz!$E$56*$R62-Matriz!$E$57)*Matriz!$J$54)/Matriz!$E$59</f>
        <v>0.218191775212466</v>
      </c>
      <c r="O62" s="39" t="n">
        <f aca="false">((Matriz!$E$58-Matriz!$E$57*$R62)*Matriz!$K$53+(Matriz!$E$56*$R62-Matriz!$E$57)*Matriz!$K$54)/Matriz!$E$59</f>
        <v>0.0578749725381906</v>
      </c>
      <c r="P62" s="39" t="n">
        <f aca="false">((Matriz!$E$58-Matriz!$E$57*$R62)*Matriz!$L$53+(Matriz!$E$56*$R62-Matriz!$E$57)*Matriz!$L$54)/Matriz!$E$59</f>
        <v>-0.00843929240010092</v>
      </c>
      <c r="Q62" s="40" t="n">
        <f aca="false">SUM(I62:P62)</f>
        <v>1</v>
      </c>
      <c r="R62" s="40" t="n">
        <f aca="false">R49</f>
        <v>0.0670984477669845</v>
      </c>
    </row>
    <row r="63" customFormat="false" ht="15" hidden="false" customHeight="false" outlineLevel="0" collapsed="false">
      <c r="H63" s="33" t="n">
        <v>3</v>
      </c>
      <c r="I63" s="39" t="n">
        <f aca="false">((Matriz!$E$58-Matriz!$E$57*$R63)*Matriz!$E$53+(Matriz!$E$56*$R63-Matriz!$E$57)*Matriz!$E$54)/Matriz!$E$59</f>
        <v>0.504316498818069</v>
      </c>
      <c r="J63" s="39" t="n">
        <f aca="false">((Matriz!$E$58-Matriz!$E$57*$R63)*Matriz!$F$53+(Matriz!$E$56*$R63-Matriz!$E$57)*Matriz!$F$54)/Matriz!$E$59</f>
        <v>-0.0453030308687291</v>
      </c>
      <c r="K63" s="39" t="n">
        <f aca="false">((Matriz!$E$58-Matriz!$E$57*$R63)*Matriz!$G$53+(Matriz!$E$56*$R63-Matriz!$E$57)*Matriz!$G$54)/Matriz!$E$59</f>
        <v>0.285805353447754</v>
      </c>
      <c r="L63" s="39" t="n">
        <f aca="false">((Matriz!$E$58-Matriz!$E$57*$R63)*Matriz!$H$53+(Matriz!$E$56*$R63-Matriz!$E$57)*Matriz!$H$54)/Matriz!$E$59</f>
        <v>-0.113935618217027</v>
      </c>
      <c r="M63" s="39" t="n">
        <f aca="false">((Matriz!$E$58-Matriz!$E$57*$R63)*Matriz!$I$53+(Matriz!$E$56*$R63-Matriz!$E$57)*Matriz!$I$54)/Matriz!$E$59</f>
        <v>0.102841388533077</v>
      </c>
      <c r="N63" s="39" t="n">
        <f aca="false">((Matriz!$E$58-Matriz!$E$57*$R63)*Matriz!$J$53+(Matriz!$E$56*$R63-Matriz!$E$57)*Matriz!$J$54)/Matriz!$E$59</f>
        <v>0.220452940809523</v>
      </c>
      <c r="O63" s="39" t="n">
        <f aca="false">((Matriz!$E$58-Matriz!$E$57*$R63)*Matriz!$K$53+(Matriz!$E$56*$R63-Matriz!$E$57)*Matriz!$K$54)/Matriz!$E$59</f>
        <v>0.0574850887630241</v>
      </c>
      <c r="P63" s="39" t="n">
        <f aca="false">((Matriz!$E$58-Matriz!$E$57*$R63)*Matriz!$L$53+(Matriz!$E$56*$R63-Matriz!$E$57)*Matriz!$L$54)/Matriz!$E$59</f>
        <v>-0.0116626212856916</v>
      </c>
      <c r="Q63" s="40" t="n">
        <f aca="false">SUM(I63:P63)</f>
        <v>1</v>
      </c>
      <c r="R63" s="40" t="n">
        <f aca="false">R50</f>
        <v>0.0691968955339691</v>
      </c>
    </row>
    <row r="64" customFormat="false" ht="15" hidden="false" customHeight="false" outlineLevel="0" collapsed="false">
      <c r="H64" s="33" t="n">
        <v>4</v>
      </c>
      <c r="I64" s="39" t="n">
        <f aca="false">((Matriz!$E$58-Matriz!$E$57*$R64)*Matriz!$E$53+(Matriz!$E$56*$R64-Matriz!$E$57)*Matriz!$E$54)/Matriz!$E$59</f>
        <v>0.508326985628314</v>
      </c>
      <c r="J64" s="39" t="n">
        <f aca="false">((Matriz!$E$58-Matriz!$E$57*$R64)*Matriz!$F$53+(Matriz!$E$56*$R64-Matriz!$E$57)*Matriz!$F$54)/Matriz!$E$59</f>
        <v>-0.0484090054774564</v>
      </c>
      <c r="K64" s="39" t="n">
        <f aca="false">((Matriz!$E$58-Matriz!$E$57*$R64)*Matriz!$G$53+(Matriz!$E$56*$R64-Matriz!$E$57)*Matriz!$G$54)/Matriz!$E$59</f>
        <v>0.287427179147325</v>
      </c>
      <c r="L64" s="39" t="n">
        <f aca="false">((Matriz!$E$58-Matriz!$E$57*$R64)*Matriz!$H$53+(Matriz!$E$56*$R64-Matriz!$E$57)*Matriz!$H$54)/Matriz!$E$59</f>
        <v>-0.116086603283436</v>
      </c>
      <c r="M64" s="39" t="n">
        <f aca="false">((Matriz!$E$58-Matriz!$E$57*$R64)*Matriz!$I$53+(Matriz!$E$56*$R64-Matriz!$E$57)*Matriz!$I$54)/Matriz!$E$59</f>
        <v>0.103818082762098</v>
      </c>
      <c r="N64" s="39" t="n">
        <f aca="false">((Matriz!$E$58-Matriz!$E$57*$R64)*Matriz!$J$53+(Matriz!$E$56*$R64-Matriz!$E$57)*Matriz!$J$54)/Matriz!$E$59</f>
        <v>0.22271410640658</v>
      </c>
      <c r="O64" s="39" t="n">
        <f aca="false">((Matriz!$E$58-Matriz!$E$57*$R64)*Matriz!$K$53+(Matriz!$E$56*$R64-Matriz!$E$57)*Matriz!$K$54)/Matriz!$E$59</f>
        <v>0.0570952049878576</v>
      </c>
      <c r="P64" s="39" t="n">
        <f aca="false">((Matriz!$E$58-Matriz!$E$57*$R64)*Matriz!$L$53+(Matriz!$E$56*$R64-Matriz!$E$57)*Matriz!$L$54)/Matriz!$E$59</f>
        <v>-0.0148859501712823</v>
      </c>
      <c r="Q64" s="40" t="n">
        <f aca="false">SUM(I64:P64)</f>
        <v>1</v>
      </c>
      <c r="R64" s="40" t="n">
        <f aca="false">R51</f>
        <v>0.0712953433009536</v>
      </c>
    </row>
    <row r="65" customFormat="false" ht="15" hidden="false" customHeight="false" outlineLevel="0" collapsed="false">
      <c r="H65" s="33" t="n">
        <v>5</v>
      </c>
      <c r="I65" s="39" t="n">
        <f aca="false">((Matriz!$E$58-Matriz!$E$57*$R65)*Matriz!$E$53+(Matriz!$E$56*$R65-Matriz!$E$57)*Matriz!$E$54)/Matriz!$E$59</f>
        <v>0.51233747243856</v>
      </c>
      <c r="J65" s="39" t="n">
        <f aca="false">((Matriz!$E$58-Matriz!$E$57*$R65)*Matriz!$F$53+(Matriz!$E$56*$R65-Matriz!$E$57)*Matriz!$F$54)/Matriz!$E$59</f>
        <v>-0.0515149800861837</v>
      </c>
      <c r="K65" s="39" t="n">
        <f aca="false">((Matriz!$E$58-Matriz!$E$57*$R65)*Matriz!$G$53+(Matriz!$E$56*$R65-Matriz!$E$57)*Matriz!$G$54)/Matriz!$E$59</f>
        <v>0.289049004846895</v>
      </c>
      <c r="L65" s="39" t="n">
        <f aca="false">((Matriz!$E$58-Matriz!$E$57*$R65)*Matriz!$H$53+(Matriz!$E$56*$R65-Matriz!$E$57)*Matriz!$H$54)/Matriz!$E$59</f>
        <v>-0.118237588349846</v>
      </c>
      <c r="M65" s="39" t="n">
        <f aca="false">((Matriz!$E$58-Matriz!$E$57*$R65)*Matriz!$I$53+(Matriz!$E$56*$R65-Matriz!$E$57)*Matriz!$I$54)/Matriz!$E$59</f>
        <v>0.104794776991119</v>
      </c>
      <c r="N65" s="39" t="n">
        <f aca="false">((Matriz!$E$58-Matriz!$E$57*$R65)*Matriz!$J$53+(Matriz!$E$56*$R65-Matriz!$E$57)*Matriz!$J$54)/Matriz!$E$59</f>
        <v>0.224975272003637</v>
      </c>
      <c r="O65" s="39" t="n">
        <f aca="false">((Matriz!$E$58-Matriz!$E$57*$R65)*Matriz!$K$53+(Matriz!$E$56*$R65-Matriz!$E$57)*Matriz!$K$54)/Matriz!$E$59</f>
        <v>0.0567053212126911</v>
      </c>
      <c r="P65" s="39" t="n">
        <f aca="false">((Matriz!$E$58-Matriz!$E$57*$R65)*Matriz!$L$53+(Matriz!$E$56*$R65-Matriz!$E$57)*Matriz!$L$54)/Matriz!$E$59</f>
        <v>-0.0181092790568729</v>
      </c>
      <c r="Q65" s="40" t="n">
        <f aca="false">SUM(I65:P65)</f>
        <v>1</v>
      </c>
      <c r="R65" s="40" t="n">
        <f aca="false">R52</f>
        <v>0.0733937910679382</v>
      </c>
    </row>
    <row r="66" customFormat="false" ht="15" hidden="false" customHeight="false" outlineLevel="0" collapsed="false">
      <c r="H66" s="33" t="n">
        <v>6</v>
      </c>
      <c r="I66" s="39" t="n">
        <f aca="false">((Matriz!$E$58-Matriz!$E$57*$R66)*Matriz!$E$53+(Matriz!$E$56*$R66-Matriz!$E$57)*Matriz!$E$54)/Matriz!$E$59</f>
        <v>0.516347959248806</v>
      </c>
      <c r="J66" s="39" t="n">
        <f aca="false">((Matriz!$E$58-Matriz!$E$57*$R66)*Matriz!$F$53+(Matriz!$E$56*$R66-Matriz!$E$57)*Matriz!$F$54)/Matriz!$E$59</f>
        <v>-0.0546209546949111</v>
      </c>
      <c r="K66" s="39" t="n">
        <f aca="false">((Matriz!$E$58-Matriz!$E$57*$R66)*Matriz!$G$53+(Matriz!$E$56*$R66-Matriz!$E$57)*Matriz!$G$54)/Matriz!$E$59</f>
        <v>0.290670830546466</v>
      </c>
      <c r="L66" s="39" t="n">
        <f aca="false">((Matriz!$E$58-Matriz!$E$57*$R66)*Matriz!$H$53+(Matriz!$E$56*$R66-Matriz!$E$57)*Matriz!$H$54)/Matriz!$E$59</f>
        <v>-0.120388573416255</v>
      </c>
      <c r="M66" s="39" t="n">
        <f aca="false">((Matriz!$E$58-Matriz!$E$57*$R66)*Matriz!$I$53+(Matriz!$E$56*$R66-Matriz!$E$57)*Matriz!$I$54)/Matriz!$E$59</f>
        <v>0.105771471220139</v>
      </c>
      <c r="N66" s="39" t="n">
        <f aca="false">((Matriz!$E$58-Matriz!$E$57*$R66)*Matriz!$J$53+(Matriz!$E$56*$R66-Matriz!$E$57)*Matriz!$J$54)/Matriz!$E$59</f>
        <v>0.227236437600694</v>
      </c>
      <c r="O66" s="39" t="n">
        <f aca="false">((Matriz!$E$58-Matriz!$E$57*$R66)*Matriz!$K$53+(Matriz!$E$56*$R66-Matriz!$E$57)*Matriz!$K$54)/Matriz!$E$59</f>
        <v>0.0563154374375245</v>
      </c>
      <c r="P66" s="39" t="n">
        <f aca="false">((Matriz!$E$58-Matriz!$E$57*$R66)*Matriz!$L$53+(Matriz!$E$56*$R66-Matriz!$E$57)*Matriz!$L$54)/Matriz!$E$59</f>
        <v>-0.0213326079424636</v>
      </c>
      <c r="Q66" s="40" t="n">
        <f aca="false">SUM(I66:P66)</f>
        <v>1</v>
      </c>
      <c r="R66" s="40" t="n">
        <f aca="false">R53</f>
        <v>0.0754922388349227</v>
      </c>
    </row>
    <row r="67" customFormat="false" ht="15" hidden="false" customHeight="false" outlineLevel="0" collapsed="false">
      <c r="H67" s="33" t="n">
        <v>7</v>
      </c>
      <c r="I67" s="39" t="n">
        <f aca="false">((Matriz!$E$58-Matriz!$E$57*$R67)*Matriz!$E$53+(Matriz!$E$56*$R67-Matriz!$E$57)*Matriz!$E$54)/Matriz!$E$59</f>
        <v>0.520358446059052</v>
      </c>
      <c r="J67" s="39" t="n">
        <f aca="false">((Matriz!$E$58-Matriz!$E$57*$R67)*Matriz!$F$53+(Matriz!$E$56*$R67-Matriz!$E$57)*Matriz!$F$54)/Matriz!$E$59</f>
        <v>-0.0577269293036384</v>
      </c>
      <c r="K67" s="39" t="n">
        <f aca="false">((Matriz!$E$58-Matriz!$E$57*$R67)*Matriz!$G$53+(Matriz!$E$56*$R67-Matriz!$E$57)*Matriz!$G$54)/Matriz!$E$59</f>
        <v>0.292292656246036</v>
      </c>
      <c r="L67" s="39" t="n">
        <f aca="false">((Matriz!$E$58-Matriz!$E$57*$R67)*Matriz!$H$53+(Matriz!$E$56*$R67-Matriz!$E$57)*Matriz!$H$54)/Matriz!$E$59</f>
        <v>-0.122539558482664</v>
      </c>
      <c r="M67" s="39" t="n">
        <f aca="false">((Matriz!$E$58-Matriz!$E$57*$R67)*Matriz!$I$53+(Matriz!$E$56*$R67-Matriz!$E$57)*Matriz!$I$54)/Matriz!$E$59</f>
        <v>0.10674816544916</v>
      </c>
      <c r="N67" s="39" t="n">
        <f aca="false">((Matriz!$E$58-Matriz!$E$57*$R67)*Matriz!$J$53+(Matriz!$E$56*$R67-Matriz!$E$57)*Matriz!$J$54)/Matriz!$E$59</f>
        <v>0.229497603197751</v>
      </c>
      <c r="O67" s="39" t="n">
        <f aca="false">((Matriz!$E$58-Matriz!$E$57*$R67)*Matriz!$K$53+(Matriz!$E$56*$R67-Matriz!$E$57)*Matriz!$K$54)/Matriz!$E$59</f>
        <v>0.055925553662358</v>
      </c>
      <c r="P67" s="39" t="n">
        <f aca="false">((Matriz!$E$58-Matriz!$E$57*$R67)*Matriz!$L$53+(Matriz!$E$56*$R67-Matriz!$E$57)*Matriz!$L$54)/Matriz!$E$59</f>
        <v>-0.0245559368280542</v>
      </c>
      <c r="Q67" s="40" t="n">
        <f aca="false">SUM(I67:P67)</f>
        <v>1</v>
      </c>
      <c r="R67" s="40" t="n">
        <f aca="false">R54</f>
        <v>0.0775906866019072</v>
      </c>
    </row>
    <row r="68" customFormat="false" ht="15" hidden="false" customHeight="false" outlineLevel="0" collapsed="false">
      <c r="H68" s="33" t="n">
        <v>8</v>
      </c>
      <c r="I68" s="39" t="n">
        <f aca="false">((Matriz!$E$58-Matriz!$E$57*$R68)*Matriz!$E$53+(Matriz!$E$56*$R68-Matriz!$E$57)*Matriz!$E$54)/Matriz!$E$59</f>
        <v>0.524368932869297</v>
      </c>
      <c r="J68" s="39" t="n">
        <f aca="false">((Matriz!$E$58-Matriz!$E$57*$R68)*Matriz!$F$53+(Matriz!$E$56*$R68-Matriz!$E$57)*Matriz!$F$54)/Matriz!$E$59</f>
        <v>-0.0608329039123656</v>
      </c>
      <c r="K68" s="39" t="n">
        <f aca="false">((Matriz!$E$58-Matriz!$E$57*$R68)*Matriz!$G$53+(Matriz!$E$56*$R68-Matriz!$E$57)*Matriz!$G$54)/Matriz!$E$59</f>
        <v>0.293914481945607</v>
      </c>
      <c r="L68" s="39" t="n">
        <f aca="false">((Matriz!$E$58-Matriz!$E$57*$R68)*Matriz!$H$53+(Matriz!$E$56*$R68-Matriz!$E$57)*Matriz!$H$54)/Matriz!$E$59</f>
        <v>-0.124690543549074</v>
      </c>
      <c r="M68" s="39" t="n">
        <f aca="false">((Matriz!$E$58-Matriz!$E$57*$R68)*Matriz!$I$53+(Matriz!$E$56*$R68-Matriz!$E$57)*Matriz!$I$54)/Matriz!$E$59</f>
        <v>0.10772485967818</v>
      </c>
      <c r="N68" s="39" t="n">
        <f aca="false">((Matriz!$E$58-Matriz!$E$57*$R68)*Matriz!$J$53+(Matriz!$E$56*$R68-Matriz!$E$57)*Matriz!$J$54)/Matriz!$E$59</f>
        <v>0.231758768794809</v>
      </c>
      <c r="O68" s="39" t="n">
        <f aca="false">((Matriz!$E$58-Matriz!$E$57*$R68)*Matriz!$K$53+(Matriz!$E$56*$R68-Matriz!$E$57)*Matriz!$K$54)/Matriz!$E$59</f>
        <v>0.0555356698871915</v>
      </c>
      <c r="P68" s="39" t="n">
        <f aca="false">((Matriz!$E$58-Matriz!$E$57*$R68)*Matriz!$L$53+(Matriz!$E$56*$R68-Matriz!$E$57)*Matriz!$L$54)/Matriz!$E$59</f>
        <v>-0.0277792657136448</v>
      </c>
      <c r="Q68" s="40" t="n">
        <f aca="false">SUM(I68:P68)</f>
        <v>1</v>
      </c>
      <c r="R68" s="40" t="n">
        <f aca="false">R55</f>
        <v>0.0796891343688918</v>
      </c>
    </row>
    <row r="69" customFormat="false" ht="15" hidden="false" customHeight="false" outlineLevel="0" collapsed="false">
      <c r="H69" s="33" t="n">
        <v>9</v>
      </c>
      <c r="I69" s="39" t="n">
        <f aca="false">((Matriz!$E$58-Matriz!$E$57*$R69)*Matriz!$E$53+(Matriz!$E$56*$R69-Matriz!$E$57)*Matriz!$E$54)/Matriz!$E$59</f>
        <v>0.528379419679543</v>
      </c>
      <c r="J69" s="39" t="n">
        <f aca="false">((Matriz!$E$58-Matriz!$E$57*$R69)*Matriz!$F$53+(Matriz!$E$56*$R69-Matriz!$E$57)*Matriz!$F$54)/Matriz!$E$59</f>
        <v>-0.0639388785210929</v>
      </c>
      <c r="K69" s="39" t="n">
        <f aca="false">((Matriz!$E$58-Matriz!$E$57*$R69)*Matriz!$G$53+(Matriz!$E$56*$R69-Matriz!$E$57)*Matriz!$G$54)/Matriz!$E$59</f>
        <v>0.295536307645177</v>
      </c>
      <c r="L69" s="39" t="n">
        <f aca="false">((Matriz!$E$58-Matriz!$E$57*$R69)*Matriz!$H$53+(Matriz!$E$56*$R69-Matriz!$E$57)*Matriz!$H$54)/Matriz!$E$59</f>
        <v>-0.126841528615483</v>
      </c>
      <c r="M69" s="39" t="n">
        <f aca="false">((Matriz!$E$58-Matriz!$E$57*$R69)*Matriz!$I$53+(Matriz!$E$56*$R69-Matriz!$E$57)*Matriz!$I$54)/Matriz!$E$59</f>
        <v>0.108701553907201</v>
      </c>
      <c r="N69" s="39" t="n">
        <f aca="false">((Matriz!$E$58-Matriz!$E$57*$R69)*Matriz!$J$53+(Matriz!$E$56*$R69-Matriz!$E$57)*Matriz!$J$54)/Matriz!$E$59</f>
        <v>0.234019934391866</v>
      </c>
      <c r="O69" s="39" t="n">
        <f aca="false">((Matriz!$E$58-Matriz!$E$57*$R69)*Matriz!$K$53+(Matriz!$E$56*$R69-Matriz!$E$57)*Matriz!$K$54)/Matriz!$E$59</f>
        <v>0.055145786112025</v>
      </c>
      <c r="P69" s="39" t="n">
        <f aca="false">((Matriz!$E$58-Matriz!$E$57*$R69)*Matriz!$L$53+(Matriz!$E$56*$R69-Matriz!$E$57)*Matriz!$L$54)/Matriz!$E$59</f>
        <v>-0.0310025945992354</v>
      </c>
      <c r="Q69" s="40" t="n">
        <f aca="false">SUM(I69:P69)</f>
        <v>1</v>
      </c>
      <c r="R69" s="40" t="n">
        <f aca="false">R56</f>
        <v>0.0817875821358763</v>
      </c>
    </row>
    <row r="72" customFormat="false" ht="15" hidden="false" customHeight="false" outlineLevel="0" collapsed="false">
      <c r="H72" s="36" t="s">
        <v>54</v>
      </c>
    </row>
    <row r="73" customFormat="false" ht="15" hidden="false" customHeight="false" outlineLevel="0" collapsed="false">
      <c r="H73" s="22" t="s">
        <v>48</v>
      </c>
      <c r="I73" s="22" t="s">
        <v>1</v>
      </c>
      <c r="J73" s="22" t="s">
        <v>2</v>
      </c>
      <c r="K73" s="22" t="s">
        <v>3</v>
      </c>
      <c r="L73" s="22" t="s">
        <v>4</v>
      </c>
      <c r="M73" s="22" t="s">
        <v>5</v>
      </c>
      <c r="N73" s="22" t="s">
        <v>6</v>
      </c>
      <c r="O73" s="22" t="s">
        <v>7</v>
      </c>
      <c r="P73" s="22" t="s">
        <v>8</v>
      </c>
      <c r="Q73" s="22" t="s">
        <v>49</v>
      </c>
      <c r="R73" s="22" t="s">
        <v>50</v>
      </c>
    </row>
    <row r="74" customFormat="false" ht="15" hidden="false" customHeight="false" outlineLevel="0" collapsed="false">
      <c r="H74" s="33" t="n">
        <v>1</v>
      </c>
      <c r="I74" s="41" t="n">
        <v>0.284777</v>
      </c>
      <c r="J74" s="41" t="n">
        <v>0</v>
      </c>
      <c r="K74" s="41" t="n">
        <v>0</v>
      </c>
      <c r="L74" s="41" t="n">
        <v>0</v>
      </c>
      <c r="M74" s="41" t="n">
        <v>0.159932</v>
      </c>
      <c r="N74" s="41" t="n">
        <v>0.555291</v>
      </c>
      <c r="O74" s="41" t="n">
        <v>0</v>
      </c>
      <c r="P74" s="41" t="n">
        <v>0</v>
      </c>
      <c r="Q74" s="40" t="n">
        <f aca="false">SUM(I74:P74)</f>
        <v>1</v>
      </c>
      <c r="R74" s="42" t="n">
        <v>0.065</v>
      </c>
    </row>
    <row r="75" customFormat="false" ht="15" hidden="false" customHeight="false" outlineLevel="0" collapsed="false">
      <c r="H75" s="33" t="n">
        <v>2</v>
      </c>
      <c r="I75" s="41" t="n">
        <v>0.2384</v>
      </c>
      <c r="J75" s="41" t="n">
        <v>0</v>
      </c>
      <c r="K75" s="41" t="n">
        <v>0</v>
      </c>
      <c r="L75" s="41" t="n">
        <v>0</v>
      </c>
      <c r="M75" s="41" t="n">
        <v>0.160506</v>
      </c>
      <c r="N75" s="41" t="n">
        <v>0.601094</v>
      </c>
      <c r="O75" s="41" t="n">
        <v>0</v>
      </c>
      <c r="P75" s="41" t="n">
        <v>0</v>
      </c>
      <c r="Q75" s="40" t="n">
        <f aca="false">SUM(I75:P75)</f>
        <v>1</v>
      </c>
      <c r="R75" s="42" t="n">
        <v>0.067098</v>
      </c>
    </row>
    <row r="76" customFormat="false" ht="15" hidden="false" customHeight="false" outlineLevel="0" collapsed="false">
      <c r="H76" s="33" t="n">
        <v>3</v>
      </c>
      <c r="I76" s="41" t="n">
        <v>0.192024</v>
      </c>
      <c r="J76" s="41" t="n">
        <v>0</v>
      </c>
      <c r="K76" s="41" t="n">
        <v>0</v>
      </c>
      <c r="L76" s="41" t="n">
        <v>0</v>
      </c>
      <c r="M76" s="41" t="n">
        <v>0.161079</v>
      </c>
      <c r="N76" s="41" t="n">
        <v>0.646897</v>
      </c>
      <c r="O76" s="41" t="n">
        <v>0</v>
      </c>
      <c r="P76" s="41" t="n">
        <v>0</v>
      </c>
      <c r="Q76" s="40" t="n">
        <f aca="false">SUM(I76:P76)</f>
        <v>1</v>
      </c>
      <c r="R76" s="42" t="n">
        <v>0.069197</v>
      </c>
    </row>
    <row r="77" customFormat="false" ht="15" hidden="false" customHeight="false" outlineLevel="0" collapsed="false">
      <c r="H77" s="33" t="n">
        <v>4</v>
      </c>
      <c r="I77" s="41" t="n">
        <v>0.145647</v>
      </c>
      <c r="J77" s="41" t="n">
        <v>0</v>
      </c>
      <c r="K77" s="41" t="n">
        <v>0</v>
      </c>
      <c r="L77" s="41" t="n">
        <v>0</v>
      </c>
      <c r="M77" s="41" t="n">
        <v>0.161653</v>
      </c>
      <c r="N77" s="41" t="n">
        <v>0.6927</v>
      </c>
      <c r="O77" s="41" t="n">
        <v>0</v>
      </c>
      <c r="P77" s="41" t="n">
        <v>0</v>
      </c>
      <c r="Q77" s="40" t="n">
        <f aca="false">SUM(I77:P77)</f>
        <v>1</v>
      </c>
      <c r="R77" s="42" t="n">
        <v>0.071295</v>
      </c>
    </row>
    <row r="78" customFormat="false" ht="15" hidden="false" customHeight="false" outlineLevel="0" collapsed="false">
      <c r="H78" s="33" t="n">
        <v>5</v>
      </c>
      <c r="I78" s="41" t="n">
        <v>0.09927</v>
      </c>
      <c r="J78" s="41" t="n">
        <v>0</v>
      </c>
      <c r="K78" s="41" t="n">
        <v>0</v>
      </c>
      <c r="L78" s="41" t="n">
        <v>0</v>
      </c>
      <c r="M78" s="41" t="n">
        <v>0.162226</v>
      </c>
      <c r="N78" s="41" t="n">
        <v>0.738503</v>
      </c>
      <c r="O78" s="41" t="n">
        <v>0</v>
      </c>
      <c r="P78" s="41" t="n">
        <v>0</v>
      </c>
      <c r="Q78" s="40" t="n">
        <f aca="false">SUM(I78:P78)</f>
        <v>0.999999</v>
      </c>
      <c r="R78" s="42" t="n">
        <v>0.073394</v>
      </c>
    </row>
    <row r="79" customFormat="false" ht="15" hidden="false" customHeight="false" outlineLevel="0" collapsed="false">
      <c r="H79" s="33" t="n">
        <v>6</v>
      </c>
      <c r="I79" s="41" t="n">
        <v>0.052894</v>
      </c>
      <c r="J79" s="41" t="n">
        <v>0</v>
      </c>
      <c r="K79" s="41" t="n">
        <v>0</v>
      </c>
      <c r="L79" s="41" t="n">
        <v>0</v>
      </c>
      <c r="M79" s="41" t="n">
        <v>0.1628</v>
      </c>
      <c r="N79" s="41" t="n">
        <v>0.784306</v>
      </c>
      <c r="O79" s="41" t="n">
        <v>0</v>
      </c>
      <c r="P79" s="41" t="n">
        <v>0</v>
      </c>
      <c r="Q79" s="40" t="n">
        <f aca="false">SUM(I79:P79)</f>
        <v>1</v>
      </c>
      <c r="R79" s="42" t="n">
        <v>0.075492</v>
      </c>
    </row>
    <row r="80" customFormat="false" ht="15" hidden="false" customHeight="false" outlineLevel="0" collapsed="false">
      <c r="H80" s="33" t="n">
        <v>7</v>
      </c>
      <c r="I80" s="41" t="n">
        <v>0.006517</v>
      </c>
      <c r="J80" s="41" t="n">
        <v>0</v>
      </c>
      <c r="K80" s="41" t="n">
        <v>0</v>
      </c>
      <c r="L80" s="41" t="n">
        <v>0</v>
      </c>
      <c r="M80" s="41" t="n">
        <v>0.163374</v>
      </c>
      <c r="N80" s="41" t="n">
        <v>0.830109</v>
      </c>
      <c r="O80" s="41" t="n">
        <v>0</v>
      </c>
      <c r="P80" s="41" t="n">
        <v>0</v>
      </c>
      <c r="Q80" s="40" t="n">
        <f aca="false">SUM(I80:P80)</f>
        <v>1</v>
      </c>
      <c r="R80" s="42" t="n">
        <v>0.077591</v>
      </c>
    </row>
    <row r="81" customFormat="false" ht="15" hidden="false" customHeight="false" outlineLevel="0" collapsed="false">
      <c r="H81" s="33" t="n">
        <v>8</v>
      </c>
      <c r="I81" s="41" t="n">
        <v>0</v>
      </c>
      <c r="J81" s="41" t="n">
        <v>0</v>
      </c>
      <c r="K81" s="41" t="n">
        <v>0</v>
      </c>
      <c r="L81" s="41" t="n">
        <v>0</v>
      </c>
      <c r="M81" s="41" t="n">
        <v>0.087903</v>
      </c>
      <c r="N81" s="41" t="n">
        <v>0.912097</v>
      </c>
      <c r="O81" s="41" t="n">
        <v>0</v>
      </c>
      <c r="P81" s="41" t="n">
        <v>0</v>
      </c>
      <c r="Q81" s="40" t="n">
        <f aca="false">SUM(I81:P81)</f>
        <v>1</v>
      </c>
      <c r="R81" s="42" t="n">
        <v>0.079689</v>
      </c>
    </row>
    <row r="82" customFormat="false" ht="15" hidden="false" customHeight="false" outlineLevel="0" collapsed="false">
      <c r="H82" s="33" t="n">
        <v>9</v>
      </c>
      <c r="I82" s="41" t="n">
        <v>0</v>
      </c>
      <c r="J82" s="41" t="n">
        <v>0</v>
      </c>
      <c r="K82" s="41" t="n">
        <v>0</v>
      </c>
      <c r="L82" s="41" t="n">
        <v>0</v>
      </c>
      <c r="M82" s="41" t="n">
        <v>0</v>
      </c>
      <c r="N82" s="41" t="n">
        <v>1</v>
      </c>
      <c r="O82" s="41" t="n">
        <v>0</v>
      </c>
      <c r="P82" s="41" t="n">
        <v>0</v>
      </c>
      <c r="Q82" s="40" t="n">
        <f aca="false">SUM(I82:P82)</f>
        <v>1</v>
      </c>
      <c r="R82" s="42" t="n">
        <v>0.081788</v>
      </c>
    </row>
    <row r="86" customFormat="false" ht="15" hidden="false" customHeight="false" outlineLevel="0" collapsed="false">
      <c r="H86" s="36" t="s">
        <v>55</v>
      </c>
    </row>
    <row r="87" customFormat="false" ht="15" hidden="false" customHeight="false" outlineLevel="0" collapsed="false">
      <c r="H87" s="1" t="s">
        <v>56</v>
      </c>
      <c r="I87" s="8" t="n">
        <f aca="false">STDEV(RENDIMIENTOS!$J$3:$J$251)</f>
        <v>0.0106681513686276</v>
      </c>
    </row>
    <row r="89" customFormat="false" ht="28.35" hidden="false" customHeight="false" outlineLevel="0" collapsed="false">
      <c r="H89" s="1" t="s">
        <v>57</v>
      </c>
      <c r="I89" s="1" t="s">
        <v>58</v>
      </c>
      <c r="J89" s="1" t="s">
        <v>59</v>
      </c>
      <c r="K89" s="1" t="s">
        <v>60</v>
      </c>
      <c r="L89" s="1" t="s">
        <v>61</v>
      </c>
      <c r="M89" s="1" t="s">
        <v>62</v>
      </c>
      <c r="N89" s="1" t="s">
        <v>63</v>
      </c>
      <c r="O89" s="1" t="s">
        <v>64</v>
      </c>
    </row>
    <row r="90" customFormat="false" ht="15" hidden="false" customHeight="false" outlineLevel="0" collapsed="false">
      <c r="H90" s="8" t="n">
        <f aca="false">0</f>
        <v>0</v>
      </c>
      <c r="I90" s="23" t="n">
        <f aca="false">$I$14</f>
        <v>0.065</v>
      </c>
      <c r="K90" s="43" t="n">
        <v>0</v>
      </c>
      <c r="L90" s="8" t="n">
        <f aca="false">K90*$I$87</f>
        <v>0</v>
      </c>
      <c r="M90" s="23" t="n">
        <f aca="false">$I$14+K90*($I$4-$I$14)</f>
        <v>0.065</v>
      </c>
      <c r="N90" s="8" t="n">
        <f aca="false">0</f>
        <v>0</v>
      </c>
      <c r="O90" s="23" t="n">
        <f aca="false">MAX($J$19:$J$27)</f>
        <v>0.0817875821358763</v>
      </c>
    </row>
    <row r="91" customFormat="false" ht="15" hidden="false" customHeight="false" outlineLevel="0" collapsed="false">
      <c r="H91" s="8" t="n">
        <f aca="false">$I$12</f>
        <v>0.0172079118776168</v>
      </c>
      <c r="I91" s="23" t="n">
        <f aca="false">$I$7</f>
        <v>0.0817875821358763</v>
      </c>
      <c r="K91" s="43" t="n">
        <v>1</v>
      </c>
      <c r="L91" s="8" t="n">
        <f aca="false">K91*$I$87</f>
        <v>0.0106681513686276</v>
      </c>
      <c r="M91" s="23" t="n">
        <f aca="false">$I$14+K91*($I$4-$I$14)</f>
        <v>0.0668941515629918</v>
      </c>
      <c r="N91" s="8" t="n">
        <f aca="false">MAX($I$19:$I$27)</f>
        <v>0.0172079118776168</v>
      </c>
      <c r="O91" s="23" t="n">
        <f aca="false">MAX($J$19:$J$27)</f>
        <v>0.0817875821358763</v>
      </c>
    </row>
    <row r="92" customFormat="false" ht="15" hidden="false" customHeight="false" outlineLevel="0" collapsed="false">
      <c r="H92" s="8" t="n">
        <f aca="false">1.5*$I$12</f>
        <v>0.0258118678164251</v>
      </c>
      <c r="I92" s="23" t="n">
        <f aca="false">$I$14+1.5*($I$7-$I$14)</f>
        <v>0.0901813732038145</v>
      </c>
      <c r="K92" s="43" t="n">
        <v>1.5</v>
      </c>
      <c r="L92" s="8" t="n">
        <f aca="false">K92*$I$87</f>
        <v>0.0160022270529414</v>
      </c>
      <c r="M92" s="23" t="n">
        <f aca="false">$I$14+K92*($I$4-$I$14)</f>
        <v>0.0678412273444877</v>
      </c>
      <c r="N92" s="8" t="n">
        <f aca="false">MAX($I$19:$I$27)</f>
        <v>0.0172079118776168</v>
      </c>
      <c r="O92" s="23" t="n">
        <f aca="false">$I$14</f>
        <v>0.065</v>
      </c>
    </row>
    <row r="95" customFormat="false" ht="15" hidden="false" customHeight="false" outlineLevel="0" collapsed="false">
      <c r="H95" s="36" t="s">
        <v>65</v>
      </c>
    </row>
    <row r="96" customFormat="false" ht="15" hidden="false" customHeight="false" outlineLevel="0" collapsed="false">
      <c r="H96" s="44" t="s">
        <v>66</v>
      </c>
    </row>
    <row r="97" customFormat="false" ht="15" hidden="false" customHeight="false" outlineLevel="0" collapsed="false">
      <c r="H97" s="44" t="s">
        <v>67</v>
      </c>
    </row>
    <row r="98" customFormat="false" ht="15" hidden="false" customHeight="false" outlineLevel="0" collapsed="false">
      <c r="H98" s="44" t="s">
        <v>68</v>
      </c>
    </row>
    <row r="99" customFormat="false" ht="15" hidden="false" customHeight="false" outlineLevel="0" collapsed="false">
      <c r="H99" s="44" t="s">
        <v>69</v>
      </c>
    </row>
    <row r="100" customFormat="false" ht="15" hidden="false" customHeight="false" outlineLevel="0" collapsed="false">
      <c r="H100" s="44" t="s">
        <v>70</v>
      </c>
    </row>
    <row r="101" customFormat="false" ht="15" hidden="false" customHeight="false" outlineLevel="0" collapsed="false">
      <c r="H101" s="44" t="s">
        <v>71</v>
      </c>
    </row>
    <row r="102" customFormat="false" ht="15" hidden="false" customHeight="false" outlineLevel="0" collapsed="false">
      <c r="H102" s="44" t="s">
        <v>72</v>
      </c>
    </row>
    <row r="103" customFormat="false" ht="15" hidden="false" customHeight="false" outlineLevel="0" collapsed="false">
      <c r="H103" s="44" t="s">
        <v>73</v>
      </c>
    </row>
    <row r="104" customFormat="false" ht="15" hidden="false" customHeight="false" outlineLevel="0" collapsed="false">
      <c r="H104" s="44" t="s">
        <v>74</v>
      </c>
    </row>
    <row r="105" customFormat="false" ht="15" hidden="false" customHeight="false" outlineLevel="0" collapsed="false">
      <c r="H105" s="44" t="s">
        <v>75</v>
      </c>
    </row>
    <row r="106" customFormat="false" ht="15" hidden="false" customHeight="false" outlineLevel="0" collapsed="false">
      <c r="H106" s="44" t="s">
        <v>76</v>
      </c>
    </row>
    <row r="107" customFormat="false" ht="15" hidden="false" customHeight="false" outlineLevel="0" collapsed="false">
      <c r="H107" s="4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2026-10-07T19:58:08Z</dcterms:created>
  <dc:creator>openpyxl</dc:creator>
  <dc:description/>
  <dc:language>en-US</dc:language>
  <cp:lastModifiedBy/>
  <dcterms:modified xsi:type="dcterms:W3CDTF">2026-10-07T19:58:11Z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