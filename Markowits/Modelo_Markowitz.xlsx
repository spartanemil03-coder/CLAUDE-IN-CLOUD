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" sheetId="1" state="visible" r:id="rId3"/>
    <sheet name="Rendimientos" sheetId="2" state="visible" r:id="rId4"/>
    <sheet name="Matriz" sheetId="3" state="visible" r:id="rId5"/>
    <sheet name="Portafol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<sst xmlns="http://schemas.openxmlformats.org/spreadsheetml/2006/main" count="123" uniqueCount="62">
  <si>
    <t xml:space="preserve">Fecha</t>
  </si>
  <si>
    <t xml:space="preserve">AC</t>
  </si>
  <si>
    <t xml:space="preserve">ALSEA</t>
  </si>
  <si>
    <t xml:space="preserve">AMXB</t>
  </si>
  <si>
    <t xml:space="preserve">BIMBOA</t>
  </si>
  <si>
    <t xml:space="preserve">CEMEXCPO</t>
  </si>
  <si>
    <t xml:space="preserve">GFNORTEO</t>
  </si>
  <si>
    <t xml:space="preserve">TLEVISACPO</t>
  </si>
  <si>
    <t xml:space="preserve">WALMEX</t>
  </si>
  <si>
    <t xml:space="preserve">IPC</t>
  </si>
  <si>
    <t xml:space="preserve">NOTAS (Precios)</t>
  </si>
  <si>
    <t xml:space="preserve">Fuente: Investing.com (mx.investing.com), datos históricos, columna Cierre.</t>
  </si>
  <si>
    <t xml:space="preserve">Periodo: 06/10/2025 a 06/10/2026, ordenado de la fecha más antigua a la más reciente.</t>
  </si>
  <si>
    <t xml:space="preserve">252 cierres por serie = 251 rendimientos diarios.</t>
  </si>
  <si>
    <t xml:space="preserve">Se excluyó 02/04/2026 del IPC: Jueves Santo (BMV cerrada); Investing repite</t>
  </si>
  <si>
    <t xml:space="preserve">el cierre del 01/04/2026 con 0.00%, y las 8 acciones no tienen ese día.</t>
  </si>
  <si>
    <t xml:space="preserve">Todas las series comparten exactamente las mismas fechas.</t>
  </si>
  <si>
    <t xml:space="preserve">Azul = dato capturado (no es fórmula).</t>
  </si>
  <si>
    <t xml:space="preserve">Rendimiento logarítmico diario = LN(Precio hoy / Precio ayer). Fecha más antigua arriba.</t>
  </si>
  <si>
    <t xml:space="preserve">Estadísticos y matriz de covarianzas (rendimientos logarítmicos diarios)</t>
  </si>
  <si>
    <t xml:space="preserve">Días hábiles por año</t>
  </si>
  <si>
    <t xml:space="preserve">Supuesto de anualización (convención de mercado, 252 días). Editable.</t>
  </si>
  <si>
    <t xml:space="preserve">Activo</t>
  </si>
  <si>
    <t xml:space="preserve">Media diaria</t>
  </si>
  <si>
    <t xml:space="preserve">Desv. est. diaria</t>
  </si>
  <si>
    <t xml:space="preserve">Rend. anual (media×días)</t>
  </si>
  <si>
    <t xml:space="preserve">Riesgo anual (σ×√días)</t>
  </si>
  <si>
    <t xml:space="preserve">Coef. de variación (σ/μ)</t>
  </si>
  <si>
    <t xml:space="preserve">Beta vs IPC</t>
  </si>
  <si>
    <t xml:space="preserve">Matriz de covarianzas anualizada (muestral: COVAR×n/(n−1)×días)</t>
  </si>
  <si>
    <t xml:space="preserve">Matriz de correlaciones</t>
  </si>
  <si>
    <t xml:space="preserve">Portafolio de Markowitz (media–varianza, solo posiciones largas)</t>
  </si>
  <si>
    <t xml:space="preserve">Tasa libre de riesgo (anual)</t>
  </si>
  <si>
    <t xml:space="preserve">SUPUESTO: no viene de tus archivos. Cámbialo por el Cetes 28d vigente (o el que pida tu profe).</t>
  </si>
  <si>
    <t xml:space="preserve">Rend. anual esperado</t>
  </si>
  <si>
    <t xml:space="preserve">Riesgo anual (σ)</t>
  </si>
  <si>
    <t xml:space="preserve">W — Tus pesos</t>
  </si>
  <si>
    <t xml:space="preserve">W — Mínima varianza</t>
  </si>
  <si>
    <t xml:space="preserve">W — Máx. Sharpe</t>
  </si>
  <si>
    <t xml:space="preserve">Suma de pesos (debe ser 100%)</t>
  </si>
  <si>
    <t xml:space="preserve">Resultado</t>
  </si>
  <si>
    <t xml:space="preserve">Tus pesos</t>
  </si>
  <si>
    <t xml:space="preserve">Mínima varianza</t>
  </si>
  <si>
    <t xml:space="preserve">Máx. Sharpe</t>
  </si>
  <si>
    <t xml:space="preserve">Rendimiento esperado anual</t>
  </si>
  <si>
    <t xml:space="preserve">Riesgo anual (σ portafolio)</t>
  </si>
  <si>
    <t xml:space="preserve">Beta del portafolio</t>
  </si>
  <si>
    <t xml:space="preserve">Razón de Sharpe</t>
  </si>
  <si>
    <t xml:space="preserve">Frontera eficiente (15 portafolios, solo largos: pesos ≥ 0 y suma = 100%)</t>
  </si>
  <si>
    <t xml:space="preserve">Rend. anual de cada activo →</t>
  </si>
  <si>
    <t xml:space="preserve">Punto</t>
  </si>
  <si>
    <t xml:space="preserve">Rendimiento</t>
  </si>
  <si>
    <t xml:space="preserve">Riesgo (σ)</t>
  </si>
  <si>
    <t xml:space="preserve">Sharpe</t>
  </si>
  <si>
    <t xml:space="preserve">Suma pesos</t>
  </si>
  <si>
    <t xml:space="preserve">NOTAS (Portafolio)</t>
  </si>
  <si>
    <t xml:space="preserve">• Rendimiento y riesgo salen de Matriz (anualizados). Riesgo del portafolio σ = √(wᵀ·Σ·w), con Σ = matriz de covarianzas.</t>
  </si>
  <si>
    <t xml:space="preserve">• 'Tus pesos' (amarillo) es editable: cambia los pesos y se recalculan rendimiento, riesgo, beta y Sharpe.</t>
  </si>
  <si>
    <t xml:space="preserve">• Mínima varianza y Máx. Sharpe (y los pesos de la frontera) son valores optimizados con restricciones w ≥ 0 y Σw = 1</t>
  </si>
  <si>
    <t xml:space="preserve">  (algoritmo SLSQP; equivale a Solver de Excel: minimizar σ, o maximizar Sharpe, cambiando E6:E13 con esas restricciones).</t>
  </si>
  <si>
    <t xml:space="preserve">  Si cambias precios, tasa libre o días, vuelve a correr Solver para actualizarlos; las celdas azules quedan fijas.</t>
  </si>
  <si>
    <t xml:space="preserve">• Beta = SLOPE(rend. activo, rend. IPC). Beta del portafolio = Σ wᵢ·βᵢ.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</si>
</sst>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/mm/yyyy"/>
    <numFmt numFmtId="166" formatCode="#,##0.00"/>
    <numFmt numFmtId="167" formatCode="0.000%"/>
    <numFmt numFmtId="168" formatCode="0"/>
    <numFmt numFmtId="169" formatCode="0.0000%"/>
    <numFmt numFmtId="170" formatCode="0.00%"/>
    <numFmt numFmtId="171" formatCode="0.00"/>
    <numFmt numFmtId="172" formatCode="0.000"/>
    <numFmt numFmtId="173" formatCode="0.0000"/>
    <numFmt numFmtId="174" formatCode="0.0%"/>
    <numFmt numFmtId="17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Frontera eficiente vs. activos individuales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"Frontera eficiente"</c:f>
              <c:strCache>
                <c:ptCount val="1"/>
                <c:pt idx="0">
                  <c:v>Frontera eficiente</c:v>
                </c:pt>
              </c:strCache>
            </c:strRef>
          </c:tx>
          <c:spPr>
            <a:solidFill>
              <a:srgbClr val="1f3864"/>
            </a:solidFill>
            <a:ln w="4752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Portafolio!$K$25:$K$39</c:f>
              <c:numCache>
                <c:formatCode>0.00%</c:formatCode>
                <c:ptCount val="15"/>
                <c:pt idx="0">
                  <c:v>0.149341023634711</c:v>
                </c:pt>
                <c:pt idx="1">
                  <c:v>0.149583847237092</c:v>
                </c:pt>
                <c:pt idx="2">
                  <c:v>0.150309966685992</c:v>
                </c:pt>
                <c:pt idx="3">
                  <c:v>0.151512434177937</c:v>
                </c:pt>
                <c:pt idx="4">
                  <c:v>0.15318033705967</c:v>
                </c:pt>
                <c:pt idx="5">
                  <c:v>0.155316676340224</c:v>
                </c:pt>
                <c:pt idx="6">
                  <c:v>0.15795429128102</c:v>
                </c:pt>
                <c:pt idx="7">
                  <c:v>0.161071032815204</c:v>
                </c:pt>
                <c:pt idx="8">
                  <c:v>0.164639895248905</c:v>
                </c:pt>
                <c:pt idx="9">
                  <c:v>0.168632338381522</c:v>
                </c:pt>
                <c:pt idx="10">
                  <c:v>0.173021782741523</c:v>
                </c:pt>
                <c:pt idx="11">
                  <c:v>0.178205192723748</c:v>
                </c:pt>
                <c:pt idx="12">
                  <c:v>0.18875043782179</c:v>
                </c:pt>
                <c:pt idx="13">
                  <c:v>0.211807404887401</c:v>
                </c:pt>
                <c:pt idx="14">
                  <c:v>0.273537899937109</c:v>
                </c:pt>
              </c:numCache>
            </c:numRef>
          </c:xVal>
          <c:yVal>
            <c:numRef>
              <c:f>Portafolio!$J$25:$J$39</c:f>
              <c:numCache>
                <c:formatCode>0.00%</c:formatCode>
                <c:ptCount val="15"/>
                <c:pt idx="0">
                  <c:v>-0.0821808504830551</c:v>
                </c:pt>
                <c:pt idx="1">
                  <c:v>-0.0698774122636567</c:v>
                </c:pt>
                <c:pt idx="2">
                  <c:v>-0.0575740174177431</c:v>
                </c:pt>
                <c:pt idx="3">
                  <c:v>-0.0452706175894207</c:v>
                </c:pt>
                <c:pt idx="4">
                  <c:v>-0.0329672914308712</c:v>
                </c:pt>
                <c:pt idx="5">
                  <c:v>-0.0206638307269595</c:v>
                </c:pt>
                <c:pt idx="6">
                  <c:v>-0.00836042158199961</c:v>
                </c:pt>
                <c:pt idx="7">
                  <c:v>0.00394324153337043</c:v>
                </c:pt>
                <c:pt idx="8">
                  <c:v>0.0162467070890371</c:v>
                </c:pt>
                <c:pt idx="9">
                  <c:v>0.0285500303902481</c:v>
                </c:pt>
                <c:pt idx="10">
                  <c:v>0.0408533830168469</c:v>
                </c:pt>
                <c:pt idx="11">
                  <c:v>0.0531569349873766</c:v>
                </c:pt>
                <c:pt idx="12">
                  <c:v>0.0654603720942496</c:v>
                </c:pt>
                <c:pt idx="13">
                  <c:v>0.077763801352746</c:v>
                </c:pt>
                <c:pt idx="14">
                  <c:v>0.0900672548904228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"Activos"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rgbClr val="c00000"/>
            </a:solidFill>
            <a:ln w="47520">
              <a:noFill/>
            </a:ln>
          </c:spPr>
          <c:marker>
            <c:symbol val="diamond"/>
            <c:size val="8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Portafolio!$C$6:$C$13</c:f>
              <c:numCache>
                <c:formatCode>0.00%</c:formatCode>
                <c:ptCount val="8"/>
                <c:pt idx="0">
                  <c:v>0.21627949353068</c:v>
                </c:pt>
                <c:pt idx="1">
                  <c:v>0.24730199856371</c:v>
                </c:pt>
                <c:pt idx="2">
                  <c:v>0.246412533743573</c:v>
                </c:pt>
                <c:pt idx="3">
                  <c:v>0.280611874369486</c:v>
                </c:pt>
                <c:pt idx="4">
                  <c:v>0.328253777324264</c:v>
                </c:pt>
                <c:pt idx="5">
                  <c:v>0.273537899937109</c:v>
                </c:pt>
                <c:pt idx="6">
                  <c:v>0.397016816868332</c:v>
                </c:pt>
                <c:pt idx="7">
                  <c:v>0.218190472859488</c:v>
                </c:pt>
              </c:numCache>
            </c:numRef>
          </c:xVal>
          <c:yVal>
            <c:numRef>
              <c:f>Portafolio!$B$6:$B$13</c:f>
              <c:numCache>
                <c:formatCode>0.00%</c:formatCode>
                <c:ptCount val="8"/>
                <c:pt idx="0">
                  <c:v>0.0341057857952013</c:v>
                </c:pt>
                <c:pt idx="1">
                  <c:v>-0.22061021317254</c:v>
                </c:pt>
                <c:pt idx="2">
                  <c:v>0.048560488525275</c:v>
                </c:pt>
                <c:pt idx="3">
                  <c:v>-0.160417599111372</c:v>
                </c:pt>
                <c:pt idx="4">
                  <c:v>0.0869515645756788</c:v>
                </c:pt>
                <c:pt idx="5">
                  <c:v>0.0900672548904228</c:v>
                </c:pt>
                <c:pt idx="6">
                  <c:v>-0.138819799494531</c:v>
                </c:pt>
                <c:pt idx="7">
                  <c:v>-0.158754619012264</c:v>
                </c:pt>
              </c:numCache>
            </c:numRef>
          </c:yVal>
          <c:smooth val="1"/>
        </c:ser>
        <c:axId val="18456481"/>
        <c:axId val="93354611"/>
      </c:scatterChart>
      <c:valAx>
        <c:axId val="184564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Riesgo anual (σ)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54611"/>
        <c:crosses val="autoZero"/>
        <c:crossBetween val="midCat"/>
      </c:valAx>
      <c:valAx>
        <c:axId val="933546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Rendimiento anual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5648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</xdr:row>
      <xdr:rowOff>160920</xdr:rowOff>
    </xdr:from>
    <xdr:to>
      <xdr:col>23</xdr:col>
      <xdr:colOff>255960</xdr:colOff>
      <xdr:row>18</xdr:row>
      <xdr:rowOff>87480</xdr:rowOff>
    </xdr:to>
    <xdr:graphicFrame>
      <xdr:nvGraphicFramePr>
        <xdr:cNvPr id="0" name="Chart 1"/>
        <xdr:cNvGraphicFramePr/>
      </xdr:nvGraphicFramePr>
      <xdr:xfrm>
        <a:off x="14708520" y="762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3"/>
    <col collapsed="false" customWidth="true" hidden="false" outlineLevel="0" max="12" min="12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</row>
    <row r="2" customFormat="false" ht="15" hidden="false" customHeight="false" outlineLevel="0" collapsed="false">
      <c r="A2" s="3" t="n">
        <v>45936</v>
      </c>
      <c r="B2" s="4" t="n">
        <v>188.69</v>
      </c>
      <c r="C2" s="4" t="n">
        <v>57.84</v>
      </c>
      <c r="D2" s="4" t="n">
        <v>19.17</v>
      </c>
      <c r="E2" s="4" t="n">
        <v>65.01</v>
      </c>
      <c r="F2" s="4" t="n">
        <v>16.47</v>
      </c>
      <c r="G2" s="4" t="n">
        <v>175.48</v>
      </c>
      <c r="H2" s="4" t="n">
        <v>9.37</v>
      </c>
      <c r="I2" s="4" t="n">
        <v>54.63</v>
      </c>
      <c r="J2" s="4" t="n">
        <v>60404.19</v>
      </c>
      <c r="L2" s="5" t="s">
        <v>11</v>
      </c>
    </row>
    <row r="3" customFormat="false" ht="15" hidden="false" customHeight="false" outlineLevel="0" collapsed="false">
      <c r="A3" s="3" t="n">
        <v>45937</v>
      </c>
      <c r="B3" s="4" t="n">
        <v>183.89</v>
      </c>
      <c r="C3" s="4" t="n">
        <v>55.68</v>
      </c>
      <c r="D3" s="4" t="n">
        <v>19.04</v>
      </c>
      <c r="E3" s="4" t="n">
        <v>62.89</v>
      </c>
      <c r="F3" s="4" t="n">
        <v>16.68</v>
      </c>
      <c r="G3" s="4" t="n">
        <v>175.03</v>
      </c>
      <c r="H3" s="4" t="n">
        <v>9.3</v>
      </c>
      <c r="I3" s="4" t="n">
        <v>54.69</v>
      </c>
      <c r="J3" s="4" t="n">
        <v>60215.75</v>
      </c>
      <c r="L3" s="5" t="s">
        <v>12</v>
      </c>
    </row>
    <row r="4" customFormat="false" ht="15" hidden="false" customHeight="false" outlineLevel="0" collapsed="false">
      <c r="A4" s="3" t="n">
        <v>45938</v>
      </c>
      <c r="B4" s="4" t="n">
        <v>182.99</v>
      </c>
      <c r="C4" s="4" t="n">
        <v>56.6</v>
      </c>
      <c r="D4" s="4" t="n">
        <v>19.4</v>
      </c>
      <c r="E4" s="4" t="n">
        <v>61.02</v>
      </c>
      <c r="F4" s="4" t="n">
        <v>16.93</v>
      </c>
      <c r="G4" s="4" t="n">
        <v>176.85</v>
      </c>
      <c r="H4" s="4" t="n">
        <v>9.03</v>
      </c>
      <c r="I4" s="4" t="n">
        <v>55.9</v>
      </c>
      <c r="J4" s="4" t="n">
        <v>60888.56</v>
      </c>
      <c r="L4" s="5" t="s">
        <v>13</v>
      </c>
    </row>
    <row r="5" customFormat="false" ht="15" hidden="false" customHeight="false" outlineLevel="0" collapsed="false">
      <c r="A5" s="3" t="n">
        <v>45939</v>
      </c>
      <c r="B5" s="4" t="n">
        <v>180.1</v>
      </c>
      <c r="C5" s="4" t="n">
        <v>55.38</v>
      </c>
      <c r="D5" s="4" t="n">
        <v>19.5</v>
      </c>
      <c r="E5" s="4" t="n">
        <v>62.06</v>
      </c>
      <c r="F5" s="4" t="n">
        <v>16.79</v>
      </c>
      <c r="G5" s="4" t="n">
        <v>177.07</v>
      </c>
      <c r="H5" s="4" t="n">
        <v>9</v>
      </c>
      <c r="I5" s="4" t="n">
        <v>56.64</v>
      </c>
      <c r="J5" s="4" t="n">
        <v>60819.31</v>
      </c>
      <c r="L5" s="5" t="s">
        <v>14</v>
      </c>
    </row>
    <row r="6" customFormat="false" ht="15" hidden="false" customHeight="false" outlineLevel="0" collapsed="false">
      <c r="A6" s="3" t="n">
        <v>45940</v>
      </c>
      <c r="B6" s="4" t="n">
        <v>178.24</v>
      </c>
      <c r="C6" s="4" t="n">
        <v>54.11</v>
      </c>
      <c r="D6" s="4" t="n">
        <v>19.62</v>
      </c>
      <c r="E6" s="4" t="n">
        <v>61.33</v>
      </c>
      <c r="F6" s="4" t="n">
        <v>16.96</v>
      </c>
      <c r="G6" s="4" t="n">
        <v>174.73</v>
      </c>
      <c r="H6" s="4" t="n">
        <v>8.69</v>
      </c>
      <c r="I6" s="4" t="n">
        <v>56.47</v>
      </c>
      <c r="J6" s="4" t="n">
        <v>60568.93</v>
      </c>
      <c r="L6" s="5" t="s">
        <v>15</v>
      </c>
    </row>
    <row r="7" customFormat="false" ht="15" hidden="false" customHeight="false" outlineLevel="0" collapsed="false">
      <c r="A7" s="3" t="n">
        <v>45943</v>
      </c>
      <c r="B7" s="4" t="n">
        <v>178.96</v>
      </c>
      <c r="C7" s="4" t="n">
        <v>55.15</v>
      </c>
      <c r="D7" s="4" t="n">
        <v>19.73</v>
      </c>
      <c r="E7" s="4" t="n">
        <v>61</v>
      </c>
      <c r="F7" s="4" t="n">
        <v>17.19</v>
      </c>
      <c r="G7" s="4" t="n">
        <v>176.96</v>
      </c>
      <c r="H7" s="4" t="n">
        <v>8.75</v>
      </c>
      <c r="I7" s="4" t="n">
        <v>57.03</v>
      </c>
      <c r="J7" s="4" t="n">
        <v>61045.09</v>
      </c>
      <c r="L7" s="5" t="s">
        <v>16</v>
      </c>
    </row>
    <row r="8" customFormat="false" ht="15" hidden="false" customHeight="false" outlineLevel="0" collapsed="false">
      <c r="A8" s="3" t="n">
        <v>45944</v>
      </c>
      <c r="B8" s="4" t="n">
        <v>176.78</v>
      </c>
      <c r="C8" s="4" t="n">
        <v>54.19</v>
      </c>
      <c r="D8" s="4" t="n">
        <v>19.33</v>
      </c>
      <c r="E8" s="4" t="n">
        <v>61.45</v>
      </c>
      <c r="F8" s="4" t="n">
        <v>17.63</v>
      </c>
      <c r="G8" s="4" t="n">
        <v>173.31</v>
      </c>
      <c r="H8" s="4" t="n">
        <v>8.9</v>
      </c>
      <c r="I8" s="4" t="n">
        <v>58.05</v>
      </c>
      <c r="J8" s="4" t="n">
        <v>60785.62</v>
      </c>
      <c r="L8" s="5" t="s">
        <v>17</v>
      </c>
    </row>
    <row r="9" customFormat="false" ht="15" hidden="false" customHeight="false" outlineLevel="0" collapsed="false">
      <c r="A9" s="3" t="n">
        <v>45945</v>
      </c>
      <c r="B9" s="4" t="n">
        <v>178.17</v>
      </c>
      <c r="C9" s="4" t="n">
        <v>54.6</v>
      </c>
      <c r="D9" s="4" t="n">
        <v>19.81</v>
      </c>
      <c r="E9" s="4" t="n">
        <v>60.91</v>
      </c>
      <c r="F9" s="4" t="n">
        <v>18.18</v>
      </c>
      <c r="G9" s="4" t="n">
        <v>176.26</v>
      </c>
      <c r="H9" s="4" t="n">
        <v>9.01</v>
      </c>
      <c r="I9" s="4" t="n">
        <v>61.09</v>
      </c>
      <c r="J9" s="4" t="n">
        <v>61637.54</v>
      </c>
    </row>
    <row r="10" customFormat="false" ht="15" hidden="false" customHeight="false" outlineLevel="0" collapsed="false">
      <c r="A10" s="3" t="n">
        <v>45946</v>
      </c>
      <c r="B10" s="4" t="n">
        <v>181.97</v>
      </c>
      <c r="C10" s="4" t="n">
        <v>54.89</v>
      </c>
      <c r="D10" s="4" t="n">
        <v>20.67</v>
      </c>
      <c r="E10" s="4" t="n">
        <v>62.7</v>
      </c>
      <c r="F10" s="4" t="n">
        <v>17.96</v>
      </c>
      <c r="G10" s="4" t="n">
        <v>178.07</v>
      </c>
      <c r="H10" s="4" t="n">
        <v>9.06</v>
      </c>
      <c r="I10" s="4" t="n">
        <v>62.31</v>
      </c>
      <c r="J10" s="4" t="n">
        <v>62544.56</v>
      </c>
    </row>
    <row r="11" customFormat="false" ht="15" hidden="false" customHeight="false" outlineLevel="0" collapsed="false">
      <c r="A11" s="3" t="n">
        <v>45947</v>
      </c>
      <c r="B11" s="4" t="n">
        <v>179.82</v>
      </c>
      <c r="C11" s="4" t="n">
        <v>54.31</v>
      </c>
      <c r="D11" s="4" t="n">
        <v>20.64</v>
      </c>
      <c r="E11" s="4" t="n">
        <v>62.05</v>
      </c>
      <c r="F11" s="4" t="n">
        <v>17.73</v>
      </c>
      <c r="G11" s="4" t="n">
        <v>173.04</v>
      </c>
      <c r="H11" s="4" t="n">
        <v>8.78</v>
      </c>
      <c r="I11" s="4" t="n">
        <v>61.76</v>
      </c>
      <c r="J11" s="4" t="n">
        <v>61743.92</v>
      </c>
    </row>
    <row r="12" customFormat="false" ht="15" hidden="false" customHeight="false" outlineLevel="0" collapsed="false">
      <c r="A12" s="3" t="n">
        <v>45950</v>
      </c>
      <c r="B12" s="4" t="n">
        <v>178.2</v>
      </c>
      <c r="C12" s="4" t="n">
        <v>54.42</v>
      </c>
      <c r="D12" s="4" t="n">
        <v>20.53</v>
      </c>
      <c r="E12" s="4" t="n">
        <v>62.66</v>
      </c>
      <c r="F12" s="4" t="n">
        <v>17.61</v>
      </c>
      <c r="G12" s="4" t="n">
        <v>171.21</v>
      </c>
      <c r="H12" s="4" t="n">
        <v>9.03</v>
      </c>
      <c r="I12" s="4" t="n">
        <v>61.63</v>
      </c>
      <c r="J12" s="4" t="n">
        <v>61672.35</v>
      </c>
    </row>
    <row r="13" customFormat="false" ht="15" hidden="false" customHeight="false" outlineLevel="0" collapsed="false">
      <c r="A13" s="3" t="n">
        <v>45951</v>
      </c>
      <c r="B13" s="4" t="n">
        <v>177.17</v>
      </c>
      <c r="C13" s="4" t="n">
        <v>53.47</v>
      </c>
      <c r="D13" s="4" t="n">
        <v>20.54</v>
      </c>
      <c r="E13" s="4" t="n">
        <v>61.09</v>
      </c>
      <c r="F13" s="4" t="n">
        <v>16.81</v>
      </c>
      <c r="G13" s="4" t="n">
        <v>173.17</v>
      </c>
      <c r="H13" s="4" t="n">
        <v>8.86</v>
      </c>
      <c r="I13" s="4" t="n">
        <v>61.7</v>
      </c>
      <c r="J13" s="4" t="n">
        <v>60773.78</v>
      </c>
    </row>
    <row r="14" customFormat="false" ht="15" hidden="false" customHeight="false" outlineLevel="0" collapsed="false">
      <c r="A14" s="3" t="n">
        <v>45952</v>
      </c>
      <c r="B14" s="4" t="n">
        <v>179.15</v>
      </c>
      <c r="C14" s="4" t="n">
        <v>53.94</v>
      </c>
      <c r="D14" s="4" t="n">
        <v>20.69</v>
      </c>
      <c r="E14" s="4" t="n">
        <v>61.58</v>
      </c>
      <c r="F14" s="4" t="n">
        <v>16.97</v>
      </c>
      <c r="G14" s="4" t="n">
        <v>172.79</v>
      </c>
      <c r="H14" s="4" t="n">
        <v>8.9</v>
      </c>
      <c r="I14" s="4" t="n">
        <v>62.07</v>
      </c>
      <c r="J14" s="4" t="n">
        <v>61308.2</v>
      </c>
    </row>
    <row r="15" customFormat="false" ht="15" hidden="false" customHeight="false" outlineLevel="0" collapsed="false">
      <c r="A15" s="3" t="n">
        <v>45953</v>
      </c>
      <c r="B15" s="4" t="n">
        <v>181.77</v>
      </c>
      <c r="C15" s="4" t="n">
        <v>52.01</v>
      </c>
      <c r="D15" s="4" t="n">
        <v>20.86</v>
      </c>
      <c r="E15" s="4" t="n">
        <v>63.04</v>
      </c>
      <c r="F15" s="4" t="n">
        <v>17.14</v>
      </c>
      <c r="G15" s="4" t="n">
        <v>171.82</v>
      </c>
      <c r="H15" s="4" t="n">
        <v>8.89</v>
      </c>
      <c r="I15" s="4" t="n">
        <v>61.22</v>
      </c>
      <c r="J15" s="4" t="n">
        <v>61511.95</v>
      </c>
    </row>
    <row r="16" customFormat="false" ht="15" hidden="false" customHeight="false" outlineLevel="0" collapsed="false">
      <c r="A16" s="3" t="n">
        <v>45954</v>
      </c>
      <c r="B16" s="4" t="n">
        <v>177.22</v>
      </c>
      <c r="C16" s="4" t="n">
        <v>51.8</v>
      </c>
      <c r="D16" s="4" t="n">
        <v>20.84</v>
      </c>
      <c r="E16" s="4" t="n">
        <v>61.5</v>
      </c>
      <c r="F16" s="4" t="n">
        <v>17.21</v>
      </c>
      <c r="G16" s="4" t="n">
        <v>171.44</v>
      </c>
      <c r="H16" s="4" t="n">
        <v>8.86</v>
      </c>
      <c r="I16" s="4" t="n">
        <v>60.96</v>
      </c>
      <c r="J16" s="4" t="n">
        <v>61145.49</v>
      </c>
    </row>
    <row r="17" customFormat="false" ht="15" hidden="false" customHeight="false" outlineLevel="0" collapsed="false">
      <c r="A17" s="3" t="n">
        <v>45957</v>
      </c>
      <c r="B17" s="4" t="n">
        <v>176.87</v>
      </c>
      <c r="C17" s="4" t="n">
        <v>52.18</v>
      </c>
      <c r="D17" s="4" t="n">
        <v>20.91</v>
      </c>
      <c r="E17" s="4" t="n">
        <v>62.33</v>
      </c>
      <c r="F17" s="4" t="n">
        <v>17.18</v>
      </c>
      <c r="G17" s="4" t="n">
        <v>172.35</v>
      </c>
      <c r="H17" s="4" t="n">
        <v>9.17</v>
      </c>
      <c r="I17" s="4" t="n">
        <v>61.51</v>
      </c>
      <c r="J17" s="4" t="n">
        <v>61860.3</v>
      </c>
    </row>
    <row r="18" customFormat="false" ht="15" hidden="false" customHeight="false" outlineLevel="0" collapsed="false">
      <c r="A18" s="3" t="n">
        <v>45958</v>
      </c>
      <c r="B18" s="4" t="n">
        <v>179.12</v>
      </c>
      <c r="C18" s="4" t="n">
        <v>51.87</v>
      </c>
      <c r="D18" s="4" t="n">
        <v>21.25</v>
      </c>
      <c r="E18" s="4" t="n">
        <v>66.07</v>
      </c>
      <c r="F18" s="4" t="n">
        <v>18.95</v>
      </c>
      <c r="G18" s="4" t="n">
        <v>173.24</v>
      </c>
      <c r="H18" s="4" t="n">
        <v>10.06</v>
      </c>
      <c r="I18" s="4" t="n">
        <v>62.57</v>
      </c>
      <c r="J18" s="4" t="n">
        <v>62795.24</v>
      </c>
    </row>
    <row r="19" customFormat="false" ht="15" hidden="false" customHeight="false" outlineLevel="0" collapsed="false">
      <c r="A19" s="3" t="n">
        <v>45959</v>
      </c>
      <c r="B19" s="4" t="n">
        <v>179.45</v>
      </c>
      <c r="C19" s="4" t="n">
        <v>51.9</v>
      </c>
      <c r="D19" s="4" t="n">
        <v>21.21</v>
      </c>
      <c r="E19" s="4" t="n">
        <v>65.84</v>
      </c>
      <c r="F19" s="4" t="n">
        <v>19.04</v>
      </c>
      <c r="G19" s="4" t="n">
        <v>174.99</v>
      </c>
      <c r="H19" s="4" t="n">
        <v>10.04</v>
      </c>
      <c r="I19" s="4" t="n">
        <v>61.87</v>
      </c>
      <c r="J19" s="4" t="n">
        <v>63352.85</v>
      </c>
    </row>
    <row r="20" customFormat="false" ht="15" hidden="false" customHeight="false" outlineLevel="0" collapsed="false">
      <c r="A20" s="3" t="n">
        <v>45960</v>
      </c>
      <c r="B20" s="4" t="n">
        <v>178.35</v>
      </c>
      <c r="C20" s="4" t="n">
        <v>50.72</v>
      </c>
      <c r="D20" s="4" t="n">
        <v>21.17</v>
      </c>
      <c r="E20" s="4" t="n">
        <v>65.33</v>
      </c>
      <c r="F20" s="4" t="n">
        <v>18.82</v>
      </c>
      <c r="G20" s="4" t="n">
        <v>173.18</v>
      </c>
      <c r="H20" s="4" t="n">
        <v>9.83</v>
      </c>
      <c r="I20" s="4" t="n">
        <v>60.75</v>
      </c>
      <c r="J20" s="4" t="n">
        <v>62889.86</v>
      </c>
    </row>
    <row r="21" customFormat="false" ht="15" hidden="false" customHeight="false" outlineLevel="0" collapsed="false">
      <c r="A21" s="3" t="n">
        <v>45961</v>
      </c>
      <c r="B21" s="4" t="n">
        <v>179.94</v>
      </c>
      <c r="C21" s="4" t="n">
        <v>51.31</v>
      </c>
      <c r="D21" s="4" t="n">
        <v>21.19</v>
      </c>
      <c r="E21" s="4" t="n">
        <v>64.2</v>
      </c>
      <c r="F21" s="4" t="n">
        <v>18.88</v>
      </c>
      <c r="G21" s="4" t="n">
        <v>174.85</v>
      </c>
      <c r="H21" s="4" t="n">
        <v>9.68</v>
      </c>
      <c r="I21" s="4" t="n">
        <v>61.42</v>
      </c>
      <c r="J21" s="4" t="n">
        <v>62769.18</v>
      </c>
    </row>
    <row r="22" customFormat="false" ht="15" hidden="false" customHeight="false" outlineLevel="0" collapsed="false">
      <c r="A22" s="3" t="n">
        <v>45964</v>
      </c>
      <c r="B22" s="4" t="n">
        <v>179.76</v>
      </c>
      <c r="C22" s="4" t="n">
        <v>50.83</v>
      </c>
      <c r="D22" s="4" t="n">
        <v>20.81</v>
      </c>
      <c r="E22" s="4" t="n">
        <v>64</v>
      </c>
      <c r="F22" s="4" t="n">
        <v>18.77</v>
      </c>
      <c r="G22" s="4" t="n">
        <v>174.25</v>
      </c>
      <c r="H22" s="4" t="n">
        <v>9.54</v>
      </c>
      <c r="I22" s="4" t="n">
        <v>61</v>
      </c>
      <c r="J22" s="4" t="n">
        <v>62653.89</v>
      </c>
    </row>
    <row r="23" customFormat="false" ht="15" hidden="false" customHeight="false" outlineLevel="0" collapsed="false">
      <c r="A23" s="3" t="n">
        <v>45965</v>
      </c>
      <c r="B23" s="4" t="n">
        <v>182.87</v>
      </c>
      <c r="C23" s="4" t="n">
        <v>49.95</v>
      </c>
      <c r="D23" s="4" t="n">
        <v>21.18</v>
      </c>
      <c r="E23" s="4" t="n">
        <v>65.91</v>
      </c>
      <c r="F23" s="4" t="n">
        <v>18.8</v>
      </c>
      <c r="G23" s="4" t="n">
        <v>177.57</v>
      </c>
      <c r="H23" s="4" t="n">
        <v>9.88</v>
      </c>
      <c r="I23" s="4" t="n">
        <v>61.6</v>
      </c>
      <c r="J23" s="4" t="n">
        <v>62390.73</v>
      </c>
    </row>
    <row r="24" customFormat="false" ht="15" hidden="false" customHeight="false" outlineLevel="0" collapsed="false">
      <c r="A24" s="3" t="n">
        <v>45966</v>
      </c>
      <c r="B24" s="4" t="n">
        <v>183.48</v>
      </c>
      <c r="C24" s="4" t="n">
        <v>51.18</v>
      </c>
      <c r="D24" s="4" t="n">
        <v>21.39</v>
      </c>
      <c r="E24" s="4" t="n">
        <v>65.91</v>
      </c>
      <c r="F24" s="4" t="n">
        <v>19.12</v>
      </c>
      <c r="G24" s="4" t="n">
        <v>176.59</v>
      </c>
      <c r="H24" s="4" t="n">
        <v>10.39</v>
      </c>
      <c r="I24" s="4" t="n">
        <v>62.2</v>
      </c>
      <c r="J24" s="4" t="n">
        <v>63378.51</v>
      </c>
    </row>
    <row r="25" customFormat="false" ht="15" hidden="false" customHeight="false" outlineLevel="0" collapsed="false">
      <c r="A25" s="3" t="n">
        <v>45967</v>
      </c>
      <c r="B25" s="4" t="n">
        <v>182.83</v>
      </c>
      <c r="C25" s="4" t="n">
        <v>50.71</v>
      </c>
      <c r="D25" s="4" t="n">
        <v>21.1</v>
      </c>
      <c r="E25" s="4" t="n">
        <v>64.69</v>
      </c>
      <c r="F25" s="4" t="n">
        <v>18.99</v>
      </c>
      <c r="G25" s="4" t="n">
        <v>177.1</v>
      </c>
      <c r="H25" s="4" t="n">
        <v>10.37</v>
      </c>
      <c r="I25" s="4" t="n">
        <v>61.97</v>
      </c>
      <c r="J25" s="4" t="n">
        <v>63093.12</v>
      </c>
    </row>
    <row r="26" customFormat="false" ht="15" hidden="false" customHeight="false" outlineLevel="0" collapsed="false">
      <c r="A26" s="3" t="n">
        <v>45968</v>
      </c>
      <c r="B26" s="4" t="n">
        <v>184.83</v>
      </c>
      <c r="C26" s="4" t="n">
        <v>50.34</v>
      </c>
      <c r="D26" s="4" t="n">
        <v>21.42</v>
      </c>
      <c r="E26" s="4" t="n">
        <v>65.29</v>
      </c>
      <c r="F26" s="4" t="n">
        <v>18.81</v>
      </c>
      <c r="G26" s="4" t="n">
        <v>177.89</v>
      </c>
      <c r="H26" s="4" t="n">
        <v>10.36</v>
      </c>
      <c r="I26" s="4" t="n">
        <v>62.6</v>
      </c>
      <c r="J26" s="4" t="n">
        <v>63376.13</v>
      </c>
    </row>
    <row r="27" customFormat="false" ht="15" hidden="false" customHeight="false" outlineLevel="0" collapsed="false">
      <c r="A27" s="3" t="n">
        <v>45971</v>
      </c>
      <c r="B27" s="4" t="n">
        <v>184.29</v>
      </c>
      <c r="C27" s="4" t="n">
        <v>50</v>
      </c>
      <c r="D27" s="4" t="n">
        <v>21.21</v>
      </c>
      <c r="E27" s="4" t="n">
        <v>63.57</v>
      </c>
      <c r="F27" s="4" t="n">
        <v>18.97</v>
      </c>
      <c r="G27" s="4" t="n">
        <v>179.26</v>
      </c>
      <c r="H27" s="4" t="n">
        <v>10.66</v>
      </c>
      <c r="I27" s="4" t="n">
        <v>61.88</v>
      </c>
      <c r="J27" s="4" t="n">
        <v>63094.01</v>
      </c>
    </row>
    <row r="28" customFormat="false" ht="15" hidden="false" customHeight="false" outlineLevel="0" collapsed="false">
      <c r="A28" s="3" t="n">
        <v>45972</v>
      </c>
      <c r="B28" s="4" t="n">
        <v>190.48</v>
      </c>
      <c r="C28" s="4" t="n">
        <v>50.61</v>
      </c>
      <c r="D28" s="4" t="n">
        <v>21.5</v>
      </c>
      <c r="E28" s="4" t="n">
        <v>64.96</v>
      </c>
      <c r="F28" s="4" t="n">
        <v>19.28</v>
      </c>
      <c r="G28" s="4" t="n">
        <v>185.18</v>
      </c>
      <c r="H28" s="4" t="n">
        <v>10.77</v>
      </c>
      <c r="I28" s="4" t="n">
        <v>63.58</v>
      </c>
      <c r="J28" s="4" t="n">
        <v>64321.27</v>
      </c>
    </row>
    <row r="29" customFormat="false" ht="15" hidden="false" customHeight="false" outlineLevel="0" collapsed="false">
      <c r="A29" s="3" t="n">
        <v>45973</v>
      </c>
      <c r="B29" s="4" t="n">
        <v>186.62</v>
      </c>
      <c r="C29" s="4" t="n">
        <v>49.97</v>
      </c>
      <c r="D29" s="4" t="n">
        <v>21.26</v>
      </c>
      <c r="E29" s="4" t="n">
        <v>62.56</v>
      </c>
      <c r="F29" s="4" t="n">
        <v>18.96</v>
      </c>
      <c r="G29" s="4" t="n">
        <v>178.84</v>
      </c>
      <c r="H29" s="4" t="n">
        <v>11.21</v>
      </c>
      <c r="I29" s="4" t="n">
        <v>62.39</v>
      </c>
      <c r="J29" s="4" t="n">
        <v>63190.66</v>
      </c>
    </row>
    <row r="30" customFormat="false" ht="15" hidden="false" customHeight="false" outlineLevel="0" collapsed="false">
      <c r="A30" s="3" t="n">
        <v>45974</v>
      </c>
      <c r="B30" s="4" t="n">
        <v>184</v>
      </c>
      <c r="C30" s="4" t="n">
        <v>49.73</v>
      </c>
      <c r="D30" s="4" t="n">
        <v>21.28</v>
      </c>
      <c r="E30" s="4" t="n">
        <v>61.11</v>
      </c>
      <c r="F30" s="4" t="n">
        <v>18.67</v>
      </c>
      <c r="G30" s="4" t="n">
        <v>175.55</v>
      </c>
      <c r="H30" s="4" t="n">
        <v>11.05</v>
      </c>
      <c r="I30" s="4" t="n">
        <v>61.39</v>
      </c>
      <c r="J30" s="4" t="n">
        <v>62529.44</v>
      </c>
    </row>
    <row r="31" customFormat="false" ht="15" hidden="false" customHeight="false" outlineLevel="0" collapsed="false">
      <c r="A31" s="3" t="n">
        <v>45975</v>
      </c>
      <c r="B31" s="4" t="n">
        <v>183.97</v>
      </c>
      <c r="C31" s="4" t="n">
        <v>49.4</v>
      </c>
      <c r="D31" s="4" t="n">
        <v>21.21</v>
      </c>
      <c r="E31" s="4" t="n">
        <v>60.12</v>
      </c>
      <c r="F31" s="4" t="n">
        <v>18.52</v>
      </c>
      <c r="G31" s="4" t="n">
        <v>175.08</v>
      </c>
      <c r="H31" s="4" t="n">
        <v>10.67</v>
      </c>
      <c r="I31" s="4" t="n">
        <v>61.95</v>
      </c>
      <c r="J31" s="4" t="n">
        <v>62328.63</v>
      </c>
    </row>
    <row r="32" customFormat="false" ht="15" hidden="false" customHeight="false" outlineLevel="0" collapsed="false">
      <c r="A32" s="3" t="n">
        <v>45979</v>
      </c>
      <c r="B32" s="4" t="n">
        <v>183.58</v>
      </c>
      <c r="C32" s="4" t="n">
        <v>49.43</v>
      </c>
      <c r="D32" s="4" t="n">
        <v>21.43</v>
      </c>
      <c r="E32" s="4" t="n">
        <v>60.23</v>
      </c>
      <c r="F32" s="4" t="n">
        <v>18.72</v>
      </c>
      <c r="G32" s="4" t="n">
        <v>172.64</v>
      </c>
      <c r="H32" s="4" t="n">
        <v>10.41</v>
      </c>
      <c r="I32" s="4" t="n">
        <v>61.32</v>
      </c>
      <c r="J32" s="4" t="n">
        <v>61984.45</v>
      </c>
    </row>
    <row r="33" customFormat="false" ht="15" hidden="false" customHeight="false" outlineLevel="0" collapsed="false">
      <c r="A33" s="3" t="n">
        <v>45980</v>
      </c>
      <c r="B33" s="4" t="n">
        <v>180.43</v>
      </c>
      <c r="C33" s="4" t="n">
        <v>48.79</v>
      </c>
      <c r="D33" s="4" t="n">
        <v>21.22</v>
      </c>
      <c r="E33" s="4" t="n">
        <v>59.14</v>
      </c>
      <c r="F33" s="4" t="n">
        <v>18.93</v>
      </c>
      <c r="G33" s="4" t="n">
        <v>173.47</v>
      </c>
      <c r="H33" s="4" t="n">
        <v>10.33</v>
      </c>
      <c r="I33" s="4" t="n">
        <v>61.63</v>
      </c>
      <c r="J33" s="4" t="n">
        <v>62080.58</v>
      </c>
    </row>
    <row r="34" customFormat="false" ht="15" hidden="false" customHeight="false" outlineLevel="0" collapsed="false">
      <c r="A34" s="3" t="n">
        <v>45981</v>
      </c>
      <c r="B34" s="4" t="n">
        <v>182.54</v>
      </c>
      <c r="C34" s="4" t="n">
        <v>47.7</v>
      </c>
      <c r="D34" s="4" t="n">
        <v>20.89</v>
      </c>
      <c r="E34" s="4" t="n">
        <v>58.16</v>
      </c>
      <c r="F34" s="4" t="n">
        <v>18.82</v>
      </c>
      <c r="G34" s="4" t="n">
        <v>175.67</v>
      </c>
      <c r="H34" s="4" t="n">
        <v>9.93</v>
      </c>
      <c r="I34" s="4" t="n">
        <v>61.67</v>
      </c>
      <c r="J34" s="4" t="n">
        <v>61672.19</v>
      </c>
    </row>
    <row r="35" customFormat="false" ht="15" hidden="false" customHeight="false" outlineLevel="0" collapsed="false">
      <c r="A35" s="3" t="n">
        <v>45982</v>
      </c>
      <c r="B35" s="4" t="n">
        <v>182.09</v>
      </c>
      <c r="C35" s="4" t="n">
        <v>48.32</v>
      </c>
      <c r="D35" s="4" t="n">
        <v>21.03</v>
      </c>
      <c r="E35" s="4" t="n">
        <v>57.11</v>
      </c>
      <c r="F35" s="4" t="n">
        <v>18.58</v>
      </c>
      <c r="G35" s="4" t="n">
        <v>172.86</v>
      </c>
      <c r="H35" s="4" t="n">
        <v>10.3</v>
      </c>
      <c r="I35" s="4" t="n">
        <v>61.74</v>
      </c>
      <c r="J35" s="4" t="n">
        <v>61877.27</v>
      </c>
    </row>
    <row r="36" customFormat="false" ht="15" hidden="false" customHeight="false" outlineLevel="0" collapsed="false">
      <c r="A36" s="3" t="n">
        <v>45985</v>
      </c>
      <c r="B36" s="4" t="n">
        <v>181.78</v>
      </c>
      <c r="C36" s="4" t="n">
        <v>49.13</v>
      </c>
      <c r="D36" s="4" t="n">
        <v>21.46</v>
      </c>
      <c r="E36" s="4" t="n">
        <v>58.56</v>
      </c>
      <c r="F36" s="4" t="n">
        <v>18.6</v>
      </c>
      <c r="G36" s="4" t="n">
        <v>172.4</v>
      </c>
      <c r="H36" s="4" t="n">
        <v>10.25</v>
      </c>
      <c r="I36" s="4" t="n">
        <v>61.29</v>
      </c>
      <c r="J36" s="4" t="n">
        <v>62522.61</v>
      </c>
    </row>
    <row r="37" customFormat="false" ht="15" hidden="false" customHeight="false" outlineLevel="0" collapsed="false">
      <c r="A37" s="3" t="n">
        <v>45986</v>
      </c>
      <c r="B37" s="4" t="n">
        <v>182.7</v>
      </c>
      <c r="C37" s="4" t="n">
        <v>49.51</v>
      </c>
      <c r="D37" s="4" t="n">
        <v>21.29</v>
      </c>
      <c r="E37" s="4" t="n">
        <v>59.2</v>
      </c>
      <c r="F37" s="4" t="n">
        <v>19.17</v>
      </c>
      <c r="G37" s="4" t="n">
        <v>176.89</v>
      </c>
      <c r="H37" s="4" t="n">
        <v>9.98</v>
      </c>
      <c r="I37" s="4" t="n">
        <v>61.47</v>
      </c>
      <c r="J37" s="4" t="n">
        <v>63214.56</v>
      </c>
    </row>
    <row r="38" customFormat="false" ht="15" hidden="false" customHeight="false" outlineLevel="0" collapsed="false">
      <c r="A38" s="3" t="n">
        <v>45987</v>
      </c>
      <c r="B38" s="4" t="n">
        <v>182.89</v>
      </c>
      <c r="C38" s="4" t="n">
        <v>49.9</v>
      </c>
      <c r="D38" s="4" t="n">
        <v>21.02</v>
      </c>
      <c r="E38" s="4" t="n">
        <v>57.59</v>
      </c>
      <c r="F38" s="4" t="n">
        <v>19.34</v>
      </c>
      <c r="G38" s="4" t="n">
        <v>176.7</v>
      </c>
      <c r="H38" s="4" t="n">
        <v>9.94</v>
      </c>
      <c r="I38" s="4" t="n">
        <v>61.81</v>
      </c>
      <c r="J38" s="4" t="n">
        <v>63242.71</v>
      </c>
    </row>
    <row r="39" customFormat="false" ht="15" hidden="false" customHeight="false" outlineLevel="0" collapsed="false">
      <c r="A39" s="3" t="n">
        <v>45988</v>
      </c>
      <c r="B39" s="4" t="n">
        <v>180.78</v>
      </c>
      <c r="C39" s="4" t="n">
        <v>48.89</v>
      </c>
      <c r="D39" s="4" t="n">
        <v>20.77</v>
      </c>
      <c r="E39" s="4" t="n">
        <v>57.66</v>
      </c>
      <c r="F39" s="4" t="n">
        <v>18.92</v>
      </c>
      <c r="G39" s="4" t="n">
        <v>176.15</v>
      </c>
      <c r="H39" s="4" t="n">
        <v>9.81</v>
      </c>
      <c r="I39" s="4" t="n">
        <v>60.6</v>
      </c>
      <c r="J39" s="4" t="n">
        <v>62694.73</v>
      </c>
    </row>
    <row r="40" customFormat="false" ht="15" hidden="false" customHeight="false" outlineLevel="0" collapsed="false">
      <c r="A40" s="3" t="n">
        <v>45989</v>
      </c>
      <c r="B40" s="4" t="n">
        <v>186.75</v>
      </c>
      <c r="C40" s="4" t="n">
        <v>50.17</v>
      </c>
      <c r="D40" s="4" t="n">
        <v>21.01</v>
      </c>
      <c r="E40" s="4" t="n">
        <v>58.15</v>
      </c>
      <c r="F40" s="4" t="n">
        <v>19.37</v>
      </c>
      <c r="G40" s="4" t="n">
        <v>174.99</v>
      </c>
      <c r="H40" s="4" t="n">
        <v>10.04</v>
      </c>
      <c r="I40" s="4" t="n">
        <v>61.99</v>
      </c>
      <c r="J40" s="4" t="n">
        <v>63596.78</v>
      </c>
    </row>
    <row r="41" customFormat="false" ht="15" hidden="false" customHeight="false" outlineLevel="0" collapsed="false">
      <c r="A41" s="3" t="n">
        <v>45992</v>
      </c>
      <c r="B41" s="4" t="n">
        <v>186.81</v>
      </c>
      <c r="C41" s="4" t="n">
        <v>49.82</v>
      </c>
      <c r="D41" s="4" t="n">
        <v>20.33</v>
      </c>
      <c r="E41" s="4" t="n">
        <v>58</v>
      </c>
      <c r="F41" s="4" t="n">
        <v>19.35</v>
      </c>
      <c r="G41" s="4" t="n">
        <v>175.9</v>
      </c>
      <c r="H41" s="4" t="n">
        <v>9.96</v>
      </c>
      <c r="I41" s="4" t="n">
        <v>61.2</v>
      </c>
      <c r="J41" s="4" t="n">
        <v>63551.13</v>
      </c>
    </row>
    <row r="42" customFormat="false" ht="15" hidden="false" customHeight="false" outlineLevel="0" collapsed="false">
      <c r="A42" s="3" t="n">
        <v>45993</v>
      </c>
      <c r="B42" s="4" t="n">
        <v>189.19</v>
      </c>
      <c r="C42" s="4" t="n">
        <v>50.81</v>
      </c>
      <c r="D42" s="4" t="n">
        <v>20.45</v>
      </c>
      <c r="E42" s="4" t="n">
        <v>60.64</v>
      </c>
      <c r="F42" s="4" t="n">
        <v>19.61</v>
      </c>
      <c r="G42" s="4" t="n">
        <v>177.27</v>
      </c>
      <c r="H42" s="4" t="n">
        <v>9.88</v>
      </c>
      <c r="I42" s="4" t="n">
        <v>60.74</v>
      </c>
      <c r="J42" s="4" t="n">
        <v>63820.61</v>
      </c>
    </row>
    <row r="43" customFormat="false" ht="15" hidden="false" customHeight="false" outlineLevel="0" collapsed="false">
      <c r="A43" s="3" t="n">
        <v>45994</v>
      </c>
      <c r="B43" s="4" t="n">
        <v>185.03</v>
      </c>
      <c r="C43" s="4" t="n">
        <v>49.87</v>
      </c>
      <c r="D43" s="4" t="n">
        <v>19.81</v>
      </c>
      <c r="E43" s="4" t="n">
        <v>59.43</v>
      </c>
      <c r="F43" s="4" t="n">
        <v>19.84</v>
      </c>
      <c r="G43" s="4" t="n">
        <v>176.02</v>
      </c>
      <c r="H43" s="4" t="n">
        <v>9.89</v>
      </c>
      <c r="I43" s="4" t="n">
        <v>59.82</v>
      </c>
      <c r="J43" s="4" t="n">
        <v>63597.44</v>
      </c>
    </row>
    <row r="44" customFormat="false" ht="15" hidden="false" customHeight="false" outlineLevel="0" collapsed="false">
      <c r="A44" s="3" t="n">
        <v>45995</v>
      </c>
      <c r="B44" s="4" t="n">
        <v>187.74</v>
      </c>
      <c r="C44" s="4" t="n">
        <v>50.71</v>
      </c>
      <c r="D44" s="4" t="n">
        <v>19.87</v>
      </c>
      <c r="E44" s="4" t="n">
        <v>58.89</v>
      </c>
      <c r="F44" s="4" t="n">
        <v>19.98</v>
      </c>
      <c r="G44" s="4" t="n">
        <v>174.81</v>
      </c>
      <c r="H44" s="4" t="n">
        <v>9.96</v>
      </c>
      <c r="I44" s="4" t="n">
        <v>58.87</v>
      </c>
      <c r="J44" s="4" t="n">
        <v>63714.86</v>
      </c>
    </row>
    <row r="45" customFormat="false" ht="15" hidden="false" customHeight="false" outlineLevel="0" collapsed="false">
      <c r="A45" s="3" t="n">
        <v>45996</v>
      </c>
      <c r="B45" s="4" t="n">
        <v>187.13</v>
      </c>
      <c r="C45" s="4" t="n">
        <v>50.15</v>
      </c>
      <c r="D45" s="4" t="n">
        <v>19.6</v>
      </c>
      <c r="E45" s="4" t="n">
        <v>59.88</v>
      </c>
      <c r="F45" s="4" t="n">
        <v>19.66</v>
      </c>
      <c r="G45" s="4" t="n">
        <v>175.06</v>
      </c>
      <c r="H45" s="4" t="n">
        <v>9.86</v>
      </c>
      <c r="I45" s="4" t="n">
        <v>58.98</v>
      </c>
      <c r="J45" s="4" t="n">
        <v>63378.3</v>
      </c>
    </row>
    <row r="46" customFormat="false" ht="15" hidden="false" customHeight="false" outlineLevel="0" collapsed="false">
      <c r="A46" s="3" t="n">
        <v>45999</v>
      </c>
      <c r="B46" s="4" t="n">
        <v>188.31</v>
      </c>
      <c r="C46" s="4" t="n">
        <v>50.46</v>
      </c>
      <c r="D46" s="4" t="n">
        <v>19.55</v>
      </c>
      <c r="E46" s="4" t="n">
        <v>59.53</v>
      </c>
      <c r="F46" s="4" t="n">
        <v>20.04</v>
      </c>
      <c r="G46" s="4" t="n">
        <v>169.12</v>
      </c>
      <c r="H46" s="4" t="n">
        <v>9.97</v>
      </c>
      <c r="I46" s="4" t="n">
        <v>58.81</v>
      </c>
      <c r="J46" s="4" t="n">
        <v>63528</v>
      </c>
    </row>
    <row r="47" customFormat="false" ht="15" hidden="false" customHeight="false" outlineLevel="0" collapsed="false">
      <c r="A47" s="3" t="n">
        <v>46000</v>
      </c>
      <c r="B47" s="4" t="n">
        <v>188.66</v>
      </c>
      <c r="C47" s="4" t="n">
        <v>50.95</v>
      </c>
      <c r="D47" s="4" t="n">
        <v>19.36</v>
      </c>
      <c r="E47" s="4" t="n">
        <v>59.64</v>
      </c>
      <c r="F47" s="4" t="n">
        <v>19.94</v>
      </c>
      <c r="G47" s="4" t="n">
        <v>170.7</v>
      </c>
      <c r="H47" s="4" t="n">
        <v>10.17</v>
      </c>
      <c r="I47" s="4" t="n">
        <v>58.8</v>
      </c>
      <c r="J47" s="4" t="n">
        <v>63694.68</v>
      </c>
    </row>
    <row r="48" customFormat="false" ht="15" hidden="false" customHeight="false" outlineLevel="0" collapsed="false">
      <c r="A48" s="3" t="n">
        <v>46001</v>
      </c>
      <c r="B48" s="4" t="n">
        <v>187.62</v>
      </c>
      <c r="C48" s="4" t="n">
        <v>50.89</v>
      </c>
      <c r="D48" s="4" t="n">
        <v>19.32</v>
      </c>
      <c r="E48" s="4" t="n">
        <v>59.92</v>
      </c>
      <c r="F48" s="4" t="n">
        <v>19.73</v>
      </c>
      <c r="G48" s="4" t="n">
        <v>169.25</v>
      </c>
      <c r="H48" s="4" t="n">
        <v>10.86</v>
      </c>
      <c r="I48" s="4" t="n">
        <v>58.57</v>
      </c>
      <c r="J48" s="4" t="n">
        <v>63409.4</v>
      </c>
    </row>
    <row r="49" customFormat="false" ht="15" hidden="false" customHeight="false" outlineLevel="0" collapsed="false">
      <c r="A49" s="3" t="n">
        <v>46002</v>
      </c>
      <c r="B49" s="4" t="n">
        <v>194.06</v>
      </c>
      <c r="C49" s="4" t="n">
        <v>50.95</v>
      </c>
      <c r="D49" s="4" t="n">
        <v>19.3</v>
      </c>
      <c r="E49" s="4" t="n">
        <v>59.72</v>
      </c>
      <c r="F49" s="4" t="n">
        <v>20.11</v>
      </c>
      <c r="G49" s="4" t="n">
        <v>175.03</v>
      </c>
      <c r="H49" s="4" t="n">
        <v>10.92</v>
      </c>
      <c r="I49" s="4" t="n">
        <v>59.3</v>
      </c>
      <c r="J49" s="4" t="n">
        <v>64712.07</v>
      </c>
    </row>
    <row r="50" customFormat="false" ht="15" hidden="false" customHeight="false" outlineLevel="0" collapsed="false">
      <c r="A50" s="3" t="n">
        <v>46006</v>
      </c>
      <c r="B50" s="4" t="n">
        <v>192.45</v>
      </c>
      <c r="C50" s="4" t="n">
        <v>51.05</v>
      </c>
      <c r="D50" s="4" t="n">
        <v>19.01</v>
      </c>
      <c r="E50" s="4" t="n">
        <v>58.68</v>
      </c>
      <c r="F50" s="4" t="n">
        <v>20.97</v>
      </c>
      <c r="G50" s="4" t="n">
        <v>174.49</v>
      </c>
      <c r="H50" s="4" t="n">
        <v>10.85</v>
      </c>
      <c r="I50" s="4" t="n">
        <v>58.9</v>
      </c>
      <c r="J50" s="4" t="n">
        <v>64326.16</v>
      </c>
    </row>
    <row r="51" customFormat="false" ht="15" hidden="false" customHeight="false" outlineLevel="0" collapsed="false">
      <c r="A51" s="3" t="n">
        <v>46007</v>
      </c>
      <c r="B51" s="4" t="n">
        <v>189.77</v>
      </c>
      <c r="C51" s="4" t="n">
        <v>50.4</v>
      </c>
      <c r="D51" s="4" t="n">
        <v>18.77</v>
      </c>
      <c r="E51" s="4" t="n">
        <v>58.02</v>
      </c>
      <c r="F51" s="4" t="n">
        <v>20.65</v>
      </c>
      <c r="G51" s="4" t="n">
        <v>166.86</v>
      </c>
      <c r="H51" s="4" t="n">
        <v>11.08</v>
      </c>
      <c r="I51" s="4" t="n">
        <v>57.11</v>
      </c>
      <c r="J51" s="4" t="n">
        <v>63230.87</v>
      </c>
    </row>
    <row r="52" customFormat="false" ht="15" hidden="false" customHeight="false" outlineLevel="0" collapsed="false">
      <c r="A52" s="3" t="n">
        <v>46008</v>
      </c>
      <c r="B52" s="4" t="n">
        <v>189.62</v>
      </c>
      <c r="C52" s="4" t="n">
        <v>51.47</v>
      </c>
      <c r="D52" s="4" t="n">
        <v>18.43</v>
      </c>
      <c r="E52" s="4" t="n">
        <v>57.82</v>
      </c>
      <c r="F52" s="4" t="n">
        <v>20.1</v>
      </c>
      <c r="G52" s="4" t="n">
        <v>164.44</v>
      </c>
      <c r="H52" s="4" t="n">
        <v>11.12</v>
      </c>
      <c r="I52" s="4" t="n">
        <v>55.74</v>
      </c>
      <c r="J52" s="4" t="n">
        <v>62528.06</v>
      </c>
    </row>
    <row r="53" customFormat="false" ht="15" hidden="false" customHeight="false" outlineLevel="0" collapsed="false">
      <c r="A53" s="3" t="n">
        <v>46009</v>
      </c>
      <c r="B53" s="4" t="n">
        <v>190.01</v>
      </c>
      <c r="C53" s="4" t="n">
        <v>52.4</v>
      </c>
      <c r="D53" s="4" t="n">
        <v>18.58</v>
      </c>
      <c r="E53" s="4" t="n">
        <v>58.96</v>
      </c>
      <c r="F53" s="4" t="n">
        <v>20.87</v>
      </c>
      <c r="G53" s="4" t="n">
        <v>169.59</v>
      </c>
      <c r="H53" s="4" t="n">
        <v>11.41</v>
      </c>
      <c r="I53" s="4" t="n">
        <v>56.62</v>
      </c>
      <c r="J53" s="4" t="n">
        <v>63807.32</v>
      </c>
    </row>
    <row r="54" customFormat="false" ht="15" hidden="false" customHeight="false" outlineLevel="0" collapsed="false">
      <c r="A54" s="3" t="n">
        <v>46010</v>
      </c>
      <c r="B54" s="4" t="n">
        <v>195.05</v>
      </c>
      <c r="C54" s="4" t="n">
        <v>53.16</v>
      </c>
      <c r="D54" s="4" t="n">
        <v>18.23</v>
      </c>
      <c r="E54" s="4" t="n">
        <v>59.51</v>
      </c>
      <c r="F54" s="4" t="n">
        <v>20.96</v>
      </c>
      <c r="G54" s="4" t="n">
        <v>168.91</v>
      </c>
      <c r="H54" s="4" t="n">
        <v>10.39</v>
      </c>
      <c r="I54" s="4" t="n">
        <v>56.61</v>
      </c>
      <c r="J54" s="4" t="n">
        <v>63966.98</v>
      </c>
    </row>
    <row r="55" customFormat="false" ht="15" hidden="false" customHeight="false" outlineLevel="0" collapsed="false">
      <c r="A55" s="3" t="n">
        <v>46013</v>
      </c>
      <c r="B55" s="4" t="n">
        <v>195.6</v>
      </c>
      <c r="C55" s="4" t="n">
        <v>54.03</v>
      </c>
      <c r="D55" s="4" t="n">
        <v>18.51</v>
      </c>
      <c r="E55" s="4" t="n">
        <v>58.92</v>
      </c>
      <c r="F55" s="4" t="n">
        <v>21.13</v>
      </c>
      <c r="G55" s="4" t="n">
        <v>169.8</v>
      </c>
      <c r="H55" s="4" t="n">
        <v>10.82</v>
      </c>
      <c r="I55" s="4" t="n">
        <v>56.95</v>
      </c>
      <c r="J55" s="4" t="n">
        <v>64778.18</v>
      </c>
    </row>
    <row r="56" customFormat="false" ht="15" hidden="false" customHeight="false" outlineLevel="0" collapsed="false">
      <c r="A56" s="3" t="n">
        <v>46014</v>
      </c>
      <c r="B56" s="4" t="n">
        <v>198.06</v>
      </c>
      <c r="C56" s="4" t="n">
        <v>54.81</v>
      </c>
      <c r="D56" s="4" t="n">
        <v>18.68</v>
      </c>
      <c r="E56" s="4" t="n">
        <v>59.62</v>
      </c>
      <c r="F56" s="4" t="n">
        <v>21.3</v>
      </c>
      <c r="G56" s="4" t="n">
        <v>170.4</v>
      </c>
      <c r="H56" s="4" t="n">
        <v>10.72</v>
      </c>
      <c r="I56" s="4" t="n">
        <v>57.13</v>
      </c>
      <c r="J56" s="4" t="n">
        <v>65595.41</v>
      </c>
    </row>
    <row r="57" customFormat="false" ht="15" hidden="false" customHeight="false" outlineLevel="0" collapsed="false">
      <c r="A57" s="3" t="n">
        <v>46015</v>
      </c>
      <c r="B57" s="4" t="n">
        <v>197.06</v>
      </c>
      <c r="C57" s="4" t="n">
        <v>55.77</v>
      </c>
      <c r="D57" s="4" t="n">
        <v>18.76</v>
      </c>
      <c r="E57" s="4" t="n">
        <v>60.06</v>
      </c>
      <c r="F57" s="4" t="n">
        <v>21.29</v>
      </c>
      <c r="G57" s="4" t="n">
        <v>172</v>
      </c>
      <c r="H57" s="4" t="n">
        <v>10.51</v>
      </c>
      <c r="I57" s="4" t="n">
        <v>57.24</v>
      </c>
      <c r="J57" s="4" t="n">
        <v>65616.43</v>
      </c>
    </row>
    <row r="58" customFormat="false" ht="15" hidden="false" customHeight="false" outlineLevel="0" collapsed="false">
      <c r="A58" s="3" t="n">
        <v>46017</v>
      </c>
      <c r="B58" s="4" t="n">
        <v>197.35</v>
      </c>
      <c r="C58" s="4" t="n">
        <v>56.32</v>
      </c>
      <c r="D58" s="4" t="n">
        <v>18.65</v>
      </c>
      <c r="E58" s="4" t="n">
        <v>60.15</v>
      </c>
      <c r="F58" s="4" t="n">
        <v>21.42</v>
      </c>
      <c r="G58" s="4" t="n">
        <v>171.71</v>
      </c>
      <c r="H58" s="4" t="n">
        <v>10.56</v>
      </c>
      <c r="I58" s="4" t="n">
        <v>57.16</v>
      </c>
      <c r="J58" s="4" t="n">
        <v>65636.36</v>
      </c>
    </row>
    <row r="59" customFormat="false" ht="15" hidden="false" customHeight="false" outlineLevel="0" collapsed="false">
      <c r="A59" s="3" t="n">
        <v>46020</v>
      </c>
      <c r="B59" s="4" t="n">
        <v>197.47</v>
      </c>
      <c r="C59" s="4" t="n">
        <v>55.83</v>
      </c>
      <c r="D59" s="4" t="n">
        <v>18.76</v>
      </c>
      <c r="E59" s="4" t="n">
        <v>59.72</v>
      </c>
      <c r="F59" s="4" t="n">
        <v>21.27</v>
      </c>
      <c r="G59" s="4" t="n">
        <v>171.02</v>
      </c>
      <c r="H59" s="4" t="n">
        <v>10.44</v>
      </c>
      <c r="I59" s="4" t="n">
        <v>57.1</v>
      </c>
      <c r="J59" s="4" t="n">
        <v>65347.08</v>
      </c>
    </row>
    <row r="60" customFormat="false" ht="15" hidden="false" customHeight="false" outlineLevel="0" collapsed="false">
      <c r="A60" s="3" t="n">
        <v>46021</v>
      </c>
      <c r="B60" s="4" t="n">
        <v>194.66</v>
      </c>
      <c r="C60" s="4" t="n">
        <v>54.2</v>
      </c>
      <c r="D60" s="4" t="n">
        <v>18.76</v>
      </c>
      <c r="E60" s="4" t="n">
        <v>58.5</v>
      </c>
      <c r="F60" s="4" t="n">
        <v>20.89</v>
      </c>
      <c r="G60" s="4" t="n">
        <v>167</v>
      </c>
      <c r="H60" s="4" t="n">
        <v>10.47</v>
      </c>
      <c r="I60" s="4" t="n">
        <v>56.05</v>
      </c>
      <c r="J60" s="4" t="n">
        <v>64366.7</v>
      </c>
    </row>
    <row r="61" customFormat="false" ht="15" hidden="false" customHeight="false" outlineLevel="0" collapsed="false">
      <c r="A61" s="3" t="n">
        <v>46022</v>
      </c>
      <c r="B61" s="4" t="n">
        <v>194.88</v>
      </c>
      <c r="C61" s="4" t="n">
        <v>53.87</v>
      </c>
      <c r="D61" s="4" t="n">
        <v>18.63</v>
      </c>
      <c r="E61" s="4" t="n">
        <v>59.12</v>
      </c>
      <c r="F61" s="4" t="n">
        <v>20.67</v>
      </c>
      <c r="G61" s="4" t="n">
        <v>166.94</v>
      </c>
      <c r="H61" s="4" t="n">
        <v>10.49</v>
      </c>
      <c r="I61" s="4" t="n">
        <v>56.13</v>
      </c>
      <c r="J61" s="4" t="n">
        <v>64308.29</v>
      </c>
    </row>
    <row r="62" customFormat="false" ht="15" hidden="false" customHeight="false" outlineLevel="0" collapsed="false">
      <c r="A62" s="3" t="n">
        <v>46024</v>
      </c>
      <c r="B62" s="4" t="n">
        <v>194.01</v>
      </c>
      <c r="C62" s="4" t="n">
        <v>53.61</v>
      </c>
      <c r="D62" s="4" t="n">
        <v>18.53</v>
      </c>
      <c r="E62" s="4" t="n">
        <v>59.11</v>
      </c>
      <c r="F62" s="4" t="n">
        <v>20.68</v>
      </c>
      <c r="G62" s="4" t="n">
        <v>171.16</v>
      </c>
      <c r="H62" s="4" t="n">
        <v>10.71</v>
      </c>
      <c r="I62" s="4" t="n">
        <v>56.25</v>
      </c>
      <c r="J62" s="4" t="n">
        <v>64141.36</v>
      </c>
    </row>
    <row r="63" customFormat="false" ht="15" hidden="false" customHeight="false" outlineLevel="0" collapsed="false">
      <c r="A63" s="3" t="n">
        <v>46027</v>
      </c>
      <c r="B63" s="4" t="n">
        <v>194.76</v>
      </c>
      <c r="C63" s="4" t="n">
        <v>53.13</v>
      </c>
      <c r="D63" s="4" t="n">
        <v>18.68</v>
      </c>
      <c r="E63" s="4" t="n">
        <v>59.07</v>
      </c>
      <c r="F63" s="4" t="n">
        <v>21.18</v>
      </c>
      <c r="G63" s="4" t="n">
        <v>173.78</v>
      </c>
      <c r="H63" s="4" t="n">
        <v>10.73</v>
      </c>
      <c r="I63" s="4" t="n">
        <v>56.15</v>
      </c>
      <c r="J63" s="4" t="n">
        <v>65014.37</v>
      </c>
    </row>
    <row r="64" customFormat="false" ht="15" hidden="false" customHeight="false" outlineLevel="0" collapsed="false">
      <c r="A64" s="3" t="n">
        <v>46028</v>
      </c>
      <c r="B64" s="4" t="n">
        <v>191.48</v>
      </c>
      <c r="C64" s="4" t="n">
        <v>53.22</v>
      </c>
      <c r="D64" s="4" t="n">
        <v>18.18</v>
      </c>
      <c r="E64" s="4" t="n">
        <v>57.56</v>
      </c>
      <c r="F64" s="4" t="n">
        <v>21.36</v>
      </c>
      <c r="G64" s="4" t="n">
        <v>170.21</v>
      </c>
      <c r="H64" s="4" t="n">
        <v>10.6</v>
      </c>
      <c r="I64" s="4" t="n">
        <v>57.8</v>
      </c>
      <c r="J64" s="4" t="n">
        <v>65022.24</v>
      </c>
    </row>
    <row r="65" customFormat="false" ht="15" hidden="false" customHeight="false" outlineLevel="0" collapsed="false">
      <c r="A65" s="3" t="n">
        <v>46029</v>
      </c>
      <c r="B65" s="4" t="n">
        <v>192.85</v>
      </c>
      <c r="C65" s="4" t="n">
        <v>53.58</v>
      </c>
      <c r="D65" s="4" t="n">
        <v>18.22</v>
      </c>
      <c r="E65" s="4" t="n">
        <v>58.33</v>
      </c>
      <c r="F65" s="4" t="n">
        <v>20.76</v>
      </c>
      <c r="G65" s="4" t="n">
        <v>169.46</v>
      </c>
      <c r="H65" s="4" t="n">
        <v>10.38</v>
      </c>
      <c r="I65" s="4" t="n">
        <v>58.02</v>
      </c>
      <c r="J65" s="4" t="n">
        <v>64871.7</v>
      </c>
    </row>
    <row r="66" customFormat="false" ht="15" hidden="false" customHeight="false" outlineLevel="0" collapsed="false">
      <c r="A66" s="3" t="n">
        <v>46030</v>
      </c>
      <c r="B66" s="4" t="n">
        <v>194.41</v>
      </c>
      <c r="C66" s="4" t="n">
        <v>53.91</v>
      </c>
      <c r="D66" s="4" t="n">
        <v>18.42</v>
      </c>
      <c r="E66" s="4" t="n">
        <v>60.63</v>
      </c>
      <c r="F66" s="4" t="n">
        <v>22.03</v>
      </c>
      <c r="G66" s="4" t="n">
        <v>168.86</v>
      </c>
      <c r="H66" s="4" t="n">
        <v>10.49</v>
      </c>
      <c r="I66" s="4" t="n">
        <v>57.15</v>
      </c>
      <c r="J66" s="4" t="n">
        <v>65521.01</v>
      </c>
    </row>
    <row r="67" customFormat="false" ht="15" hidden="false" customHeight="false" outlineLevel="0" collapsed="false">
      <c r="A67" s="3" t="n">
        <v>46031</v>
      </c>
      <c r="B67" s="4" t="n">
        <v>195.93</v>
      </c>
      <c r="C67" s="4" t="n">
        <v>54.21</v>
      </c>
      <c r="D67" s="4" t="n">
        <v>18.27</v>
      </c>
      <c r="E67" s="4" t="n">
        <v>62.6</v>
      </c>
      <c r="F67" s="4" t="n">
        <v>22.36</v>
      </c>
      <c r="G67" s="4" t="n">
        <v>169.05</v>
      </c>
      <c r="H67" s="4" t="n">
        <v>10.64</v>
      </c>
      <c r="I67" s="4" t="n">
        <v>57.46</v>
      </c>
      <c r="J67" s="4" t="n">
        <v>66062.62</v>
      </c>
    </row>
    <row r="68" customFormat="false" ht="15" hidden="false" customHeight="false" outlineLevel="0" collapsed="false">
      <c r="A68" s="3" t="n">
        <v>46034</v>
      </c>
      <c r="B68" s="4" t="n">
        <v>196.22</v>
      </c>
      <c r="C68" s="4" t="n">
        <v>54.02</v>
      </c>
      <c r="D68" s="4" t="n">
        <v>18.33</v>
      </c>
      <c r="E68" s="4" t="n">
        <v>63.51</v>
      </c>
      <c r="F68" s="4" t="n">
        <v>22.26</v>
      </c>
      <c r="G68" s="4" t="n">
        <v>168.91</v>
      </c>
      <c r="H68" s="4" t="n">
        <v>10.63</v>
      </c>
      <c r="I68" s="4" t="n">
        <v>57.89</v>
      </c>
      <c r="J68" s="4" t="n">
        <v>66745.61</v>
      </c>
    </row>
    <row r="69" customFormat="false" ht="15" hidden="false" customHeight="false" outlineLevel="0" collapsed="false">
      <c r="A69" s="3" t="n">
        <v>46035</v>
      </c>
      <c r="B69" s="4" t="n">
        <v>188.96</v>
      </c>
      <c r="C69" s="4" t="n">
        <v>53.57</v>
      </c>
      <c r="D69" s="4" t="n">
        <v>18.23</v>
      </c>
      <c r="E69" s="4" t="n">
        <v>61.31</v>
      </c>
      <c r="F69" s="4" t="n">
        <v>22.05</v>
      </c>
      <c r="G69" s="4" t="n">
        <v>169.84</v>
      </c>
      <c r="H69" s="4" t="n">
        <v>10.55</v>
      </c>
      <c r="I69" s="4" t="n">
        <v>57.87</v>
      </c>
      <c r="J69" s="4" t="n">
        <v>66337.42</v>
      </c>
    </row>
    <row r="70" customFormat="false" ht="15" hidden="false" customHeight="false" outlineLevel="0" collapsed="false">
      <c r="A70" s="3" t="n">
        <v>46036</v>
      </c>
      <c r="B70" s="4" t="n">
        <v>196.94</v>
      </c>
      <c r="C70" s="4" t="n">
        <v>53.52</v>
      </c>
      <c r="D70" s="4" t="n">
        <v>18.24</v>
      </c>
      <c r="E70" s="4" t="n">
        <v>62.07</v>
      </c>
      <c r="F70" s="4" t="n">
        <v>22.35</v>
      </c>
      <c r="G70" s="4" t="n">
        <v>178.64</v>
      </c>
      <c r="H70" s="4" t="n">
        <v>10.75</v>
      </c>
      <c r="I70" s="4" t="n">
        <v>58.85</v>
      </c>
      <c r="J70" s="4" t="n">
        <v>67403.08</v>
      </c>
    </row>
    <row r="71" customFormat="false" ht="15" hidden="false" customHeight="false" outlineLevel="0" collapsed="false">
      <c r="A71" s="3" t="n">
        <v>46037</v>
      </c>
      <c r="B71" s="4" t="n">
        <v>198.23</v>
      </c>
      <c r="C71" s="4" t="n">
        <v>52.96</v>
      </c>
      <c r="D71" s="4" t="n">
        <v>17.57</v>
      </c>
      <c r="E71" s="4" t="n">
        <v>62.64</v>
      </c>
      <c r="F71" s="4" t="n">
        <v>21.8</v>
      </c>
      <c r="G71" s="4" t="n">
        <v>180.04</v>
      </c>
      <c r="H71" s="4" t="n">
        <v>10.49</v>
      </c>
      <c r="I71" s="4" t="n">
        <v>58.89</v>
      </c>
      <c r="J71" s="4" t="n">
        <v>66649.28</v>
      </c>
    </row>
    <row r="72" customFormat="false" ht="15" hidden="false" customHeight="false" outlineLevel="0" collapsed="false">
      <c r="A72" s="3" t="n">
        <v>46038</v>
      </c>
      <c r="B72" s="4" t="n">
        <v>199.06</v>
      </c>
      <c r="C72" s="4" t="n">
        <v>53.09</v>
      </c>
      <c r="D72" s="4" t="n">
        <v>18.06</v>
      </c>
      <c r="E72" s="4" t="n">
        <v>62.44</v>
      </c>
      <c r="F72" s="4" t="n">
        <v>22.07</v>
      </c>
      <c r="G72" s="4" t="n">
        <v>183.8</v>
      </c>
      <c r="H72" s="4" t="n">
        <v>10.51</v>
      </c>
      <c r="I72" s="4" t="n">
        <v>57.88</v>
      </c>
      <c r="J72" s="4" t="n">
        <v>67141.11</v>
      </c>
    </row>
    <row r="73" customFormat="false" ht="15" hidden="false" customHeight="false" outlineLevel="0" collapsed="false">
      <c r="A73" s="3" t="n">
        <v>46041</v>
      </c>
      <c r="B73" s="4" t="n">
        <v>202.69</v>
      </c>
      <c r="C73" s="4" t="n">
        <v>53.43</v>
      </c>
      <c r="D73" s="4" t="n">
        <v>18.05</v>
      </c>
      <c r="E73" s="4" t="n">
        <v>62.49</v>
      </c>
      <c r="F73" s="4" t="n">
        <v>22.19</v>
      </c>
      <c r="G73" s="4" t="n">
        <v>182.3</v>
      </c>
      <c r="H73" s="4" t="n">
        <v>10.69</v>
      </c>
      <c r="I73" s="4" t="n">
        <v>58.29</v>
      </c>
      <c r="J73" s="4" t="n">
        <v>67467.82</v>
      </c>
    </row>
    <row r="74" customFormat="false" ht="15" hidden="false" customHeight="false" outlineLevel="0" collapsed="false">
      <c r="A74" s="3" t="n">
        <v>46042</v>
      </c>
      <c r="B74" s="4" t="n">
        <v>198.33</v>
      </c>
      <c r="C74" s="4" t="n">
        <v>53.67</v>
      </c>
      <c r="D74" s="4" t="n">
        <v>18.16</v>
      </c>
      <c r="E74" s="4" t="n">
        <v>61.1</v>
      </c>
      <c r="F74" s="4" t="n">
        <v>22.02</v>
      </c>
      <c r="G74" s="4" t="n">
        <v>183.05</v>
      </c>
      <c r="H74" s="4" t="n">
        <v>10.97</v>
      </c>
      <c r="I74" s="4" t="n">
        <v>58.03</v>
      </c>
      <c r="J74" s="4" t="n">
        <v>67683.38</v>
      </c>
    </row>
    <row r="75" customFormat="false" ht="15" hidden="false" customHeight="false" outlineLevel="0" collapsed="false">
      <c r="A75" s="3" t="n">
        <v>46043</v>
      </c>
      <c r="B75" s="4" t="n">
        <v>199.68</v>
      </c>
      <c r="C75" s="4" t="n">
        <v>53.74</v>
      </c>
      <c r="D75" s="4" t="n">
        <v>18.1</v>
      </c>
      <c r="E75" s="4" t="n">
        <v>60.88</v>
      </c>
      <c r="F75" s="4" t="n">
        <v>22.62</v>
      </c>
      <c r="G75" s="4" t="n">
        <v>186.82</v>
      </c>
      <c r="H75" s="4" t="n">
        <v>11.38</v>
      </c>
      <c r="I75" s="4" t="n">
        <v>57.52</v>
      </c>
      <c r="J75" s="4" t="n">
        <v>68036.13</v>
      </c>
    </row>
    <row r="76" customFormat="false" ht="15" hidden="false" customHeight="false" outlineLevel="0" collapsed="false">
      <c r="A76" s="3" t="n">
        <v>46044</v>
      </c>
      <c r="B76" s="4" t="n">
        <v>198.56</v>
      </c>
      <c r="C76" s="4" t="n">
        <v>56.59</v>
      </c>
      <c r="D76" s="4" t="n">
        <v>18.13</v>
      </c>
      <c r="E76" s="4" t="n">
        <v>61.54</v>
      </c>
      <c r="F76" s="4" t="n">
        <v>22.58</v>
      </c>
      <c r="G76" s="4" t="n">
        <v>185.84</v>
      </c>
      <c r="H76" s="4" t="n">
        <v>11.8</v>
      </c>
      <c r="I76" s="4" t="n">
        <v>58.28</v>
      </c>
      <c r="J76" s="4" t="n">
        <v>68347.98</v>
      </c>
    </row>
    <row r="77" customFormat="false" ht="15" hidden="false" customHeight="false" outlineLevel="0" collapsed="false">
      <c r="A77" s="3" t="n">
        <v>46045</v>
      </c>
      <c r="B77" s="4" t="n">
        <v>199.32</v>
      </c>
      <c r="C77" s="4" t="n">
        <v>56.02</v>
      </c>
      <c r="D77" s="4" t="n">
        <v>18.05</v>
      </c>
      <c r="E77" s="4" t="n">
        <v>61.67</v>
      </c>
      <c r="F77" s="4" t="n">
        <v>22.47</v>
      </c>
      <c r="G77" s="4" t="n">
        <v>186.27</v>
      </c>
      <c r="H77" s="4" t="n">
        <v>11.54</v>
      </c>
      <c r="I77" s="4" t="n">
        <v>58.02</v>
      </c>
      <c r="J77" s="4" t="n">
        <v>68195.15</v>
      </c>
    </row>
    <row r="78" customFormat="false" ht="15" hidden="false" customHeight="false" outlineLevel="0" collapsed="false">
      <c r="A78" s="3" t="n">
        <v>46048</v>
      </c>
      <c r="B78" s="4" t="n">
        <v>198.82</v>
      </c>
      <c r="C78" s="4" t="n">
        <v>55.66</v>
      </c>
      <c r="D78" s="4" t="n">
        <v>17.94</v>
      </c>
      <c r="E78" s="4" t="n">
        <v>61.36</v>
      </c>
      <c r="F78" s="4" t="n">
        <v>22.21</v>
      </c>
      <c r="G78" s="4" t="n">
        <v>187.62</v>
      </c>
      <c r="H78" s="4" t="n">
        <v>11.57</v>
      </c>
      <c r="I78" s="4" t="n">
        <v>57.22</v>
      </c>
      <c r="J78" s="4" t="n">
        <v>68706.03</v>
      </c>
    </row>
    <row r="79" customFormat="false" ht="15" hidden="false" customHeight="false" outlineLevel="0" collapsed="false">
      <c r="A79" s="3" t="n">
        <v>46049</v>
      </c>
      <c r="B79" s="4" t="n">
        <v>198.81</v>
      </c>
      <c r="C79" s="4" t="n">
        <v>55.68</v>
      </c>
      <c r="D79" s="4" t="n">
        <v>18.11</v>
      </c>
      <c r="E79" s="4" t="n">
        <v>60.23</v>
      </c>
      <c r="F79" s="4" t="n">
        <v>22.09</v>
      </c>
      <c r="G79" s="4" t="n">
        <v>190.07</v>
      </c>
      <c r="H79" s="4" t="n">
        <v>11.34</v>
      </c>
      <c r="I79" s="4" t="n">
        <v>58.04</v>
      </c>
      <c r="J79" s="4" t="n">
        <v>68877.64</v>
      </c>
    </row>
    <row r="80" customFormat="false" ht="15" hidden="false" customHeight="false" outlineLevel="0" collapsed="false">
      <c r="A80" s="3" t="n">
        <v>46050</v>
      </c>
      <c r="B80" s="4" t="n">
        <v>200.39</v>
      </c>
      <c r="C80" s="4" t="n">
        <v>55.8</v>
      </c>
      <c r="D80" s="4" t="n">
        <v>18.61</v>
      </c>
      <c r="E80" s="4" t="n">
        <v>60.37</v>
      </c>
      <c r="F80" s="4" t="n">
        <v>22.65</v>
      </c>
      <c r="G80" s="4" t="n">
        <v>199.84</v>
      </c>
      <c r="H80" s="4" t="n">
        <v>11.52</v>
      </c>
      <c r="I80" s="4" t="n">
        <v>57.89</v>
      </c>
      <c r="J80" s="4" t="n">
        <v>69959.73</v>
      </c>
    </row>
    <row r="81" customFormat="false" ht="15" hidden="false" customHeight="false" outlineLevel="0" collapsed="false">
      <c r="A81" s="3" t="n">
        <v>46051</v>
      </c>
      <c r="B81" s="4" t="n">
        <v>198.63</v>
      </c>
      <c r="C81" s="4" t="n">
        <v>54.13</v>
      </c>
      <c r="D81" s="4" t="n">
        <v>18.49</v>
      </c>
      <c r="E81" s="4" t="n">
        <v>59.94</v>
      </c>
      <c r="F81" s="4" t="n">
        <v>22.16</v>
      </c>
      <c r="G81" s="4" t="n">
        <v>204.85</v>
      </c>
      <c r="H81" s="4" t="n">
        <v>11.16</v>
      </c>
      <c r="I81" s="4" t="n">
        <v>55.74</v>
      </c>
      <c r="J81" s="4" t="n">
        <v>69492.43</v>
      </c>
    </row>
    <row r="82" customFormat="false" ht="15" hidden="false" customHeight="false" outlineLevel="0" collapsed="false">
      <c r="A82" s="3" t="n">
        <v>46052</v>
      </c>
      <c r="B82" s="4" t="n">
        <v>196.94</v>
      </c>
      <c r="C82" s="4" t="n">
        <v>53.37</v>
      </c>
      <c r="D82" s="4" t="n">
        <v>18.01</v>
      </c>
      <c r="E82" s="4" t="n">
        <v>60.7</v>
      </c>
      <c r="F82" s="4" t="n">
        <v>21.68</v>
      </c>
      <c r="G82" s="4" t="n">
        <v>197.57</v>
      </c>
      <c r="H82" s="4" t="n">
        <v>11.45</v>
      </c>
      <c r="I82" s="4" t="n">
        <v>55.46</v>
      </c>
      <c r="J82" s="4" t="n">
        <v>67598.95</v>
      </c>
    </row>
    <row r="83" customFormat="false" ht="15" hidden="false" customHeight="false" outlineLevel="0" collapsed="false">
      <c r="A83" s="3" t="n">
        <v>46056</v>
      </c>
      <c r="B83" s="4" t="n">
        <v>207.04</v>
      </c>
      <c r="C83" s="4" t="n">
        <v>52.7</v>
      </c>
      <c r="D83" s="4" t="n">
        <v>18.85</v>
      </c>
      <c r="E83" s="4" t="n">
        <v>62.76</v>
      </c>
      <c r="F83" s="4" t="n">
        <v>21.86</v>
      </c>
      <c r="G83" s="4" t="n">
        <v>206.02</v>
      </c>
      <c r="H83" s="4" t="n">
        <v>11.07</v>
      </c>
      <c r="I83" s="4" t="n">
        <v>56.02</v>
      </c>
      <c r="J83" s="4" t="n">
        <v>69735.06</v>
      </c>
    </row>
    <row r="84" customFormat="false" ht="15" hidden="false" customHeight="false" outlineLevel="0" collapsed="false">
      <c r="A84" s="3" t="n">
        <v>46057</v>
      </c>
      <c r="B84" s="4" t="n">
        <v>204.58</v>
      </c>
      <c r="C84" s="4" t="n">
        <v>54.02</v>
      </c>
      <c r="D84" s="4" t="n">
        <v>18.66</v>
      </c>
      <c r="E84" s="4" t="n">
        <v>63.1</v>
      </c>
      <c r="F84" s="4" t="n">
        <v>21.04</v>
      </c>
      <c r="G84" s="4" t="n">
        <v>199.76</v>
      </c>
      <c r="H84" s="4" t="n">
        <v>11.06</v>
      </c>
      <c r="I84" s="4" t="n">
        <v>55.42</v>
      </c>
      <c r="J84" s="4" t="n">
        <v>68730.69</v>
      </c>
    </row>
    <row r="85" customFormat="false" ht="15" hidden="false" customHeight="false" outlineLevel="0" collapsed="false">
      <c r="A85" s="3" t="n">
        <v>46058</v>
      </c>
      <c r="B85" s="4" t="n">
        <v>205.66</v>
      </c>
      <c r="C85" s="4" t="n">
        <v>53.34</v>
      </c>
      <c r="D85" s="4" t="n">
        <v>18.53</v>
      </c>
      <c r="E85" s="4" t="n">
        <v>63.23</v>
      </c>
      <c r="F85" s="4" t="n">
        <v>20.79</v>
      </c>
      <c r="G85" s="4" t="n">
        <v>200.58</v>
      </c>
      <c r="H85" s="4" t="n">
        <v>10.91</v>
      </c>
      <c r="I85" s="4" t="n">
        <v>56.54</v>
      </c>
      <c r="J85" s="4" t="n">
        <v>68858.28</v>
      </c>
    </row>
    <row r="86" customFormat="false" ht="15" hidden="false" customHeight="false" outlineLevel="0" collapsed="false">
      <c r="A86" s="3" t="n">
        <v>46059</v>
      </c>
      <c r="B86" s="4" t="n">
        <v>205.62</v>
      </c>
      <c r="C86" s="4" t="n">
        <v>54.72</v>
      </c>
      <c r="D86" s="4" t="n">
        <v>18.58</v>
      </c>
      <c r="E86" s="4" t="n">
        <v>67.5</v>
      </c>
      <c r="F86" s="4" t="n">
        <v>21.04</v>
      </c>
      <c r="G86" s="4" t="n">
        <v>208.76</v>
      </c>
      <c r="H86" s="4" t="n">
        <v>10.88</v>
      </c>
      <c r="I86" s="4" t="n">
        <v>58.68</v>
      </c>
      <c r="J86" s="4" t="n">
        <v>70809.57</v>
      </c>
    </row>
    <row r="87" customFormat="false" ht="15" hidden="false" customHeight="false" outlineLevel="0" collapsed="false">
      <c r="A87" s="3" t="n">
        <v>46062</v>
      </c>
      <c r="B87" s="4" t="n">
        <v>205.21</v>
      </c>
      <c r="C87" s="4" t="n">
        <v>55.39</v>
      </c>
      <c r="D87" s="4" t="n">
        <v>19.09</v>
      </c>
      <c r="E87" s="4" t="n">
        <v>67.28</v>
      </c>
      <c r="F87" s="4" t="n">
        <v>21.94</v>
      </c>
      <c r="G87" s="4" t="n">
        <v>207.13</v>
      </c>
      <c r="H87" s="4" t="n">
        <v>11.01</v>
      </c>
      <c r="I87" s="4" t="n">
        <v>58.3</v>
      </c>
      <c r="J87" s="4" t="n">
        <v>71509.45</v>
      </c>
    </row>
    <row r="88" customFormat="false" ht="15" hidden="false" customHeight="false" outlineLevel="0" collapsed="false">
      <c r="A88" s="3" t="n">
        <v>46063</v>
      </c>
      <c r="B88" s="4" t="n">
        <v>204.42</v>
      </c>
      <c r="C88" s="4" t="n">
        <v>55.75</v>
      </c>
      <c r="D88" s="4" t="n">
        <v>19.31</v>
      </c>
      <c r="E88" s="4" t="n">
        <v>67.71</v>
      </c>
      <c r="F88" s="4" t="n">
        <v>22.2</v>
      </c>
      <c r="G88" s="4" t="n">
        <v>208.11</v>
      </c>
      <c r="H88" s="4" t="n">
        <v>11.28</v>
      </c>
      <c r="I88" s="4" t="n">
        <v>57.4</v>
      </c>
      <c r="J88" s="4" t="n">
        <v>71271.56</v>
      </c>
    </row>
    <row r="89" customFormat="false" ht="15" hidden="false" customHeight="false" outlineLevel="0" collapsed="false">
      <c r="A89" s="3" t="n">
        <v>46064</v>
      </c>
      <c r="B89" s="4" t="n">
        <v>204.67</v>
      </c>
      <c r="C89" s="4" t="n">
        <v>55.28</v>
      </c>
      <c r="D89" s="4" t="n">
        <v>20.22</v>
      </c>
      <c r="E89" s="4" t="n">
        <v>67.75</v>
      </c>
      <c r="F89" s="4" t="n">
        <v>22.27</v>
      </c>
      <c r="G89" s="4" t="n">
        <v>203.43</v>
      </c>
      <c r="H89" s="4" t="n">
        <v>11.36</v>
      </c>
      <c r="I89" s="4" t="n">
        <v>57.8</v>
      </c>
      <c r="J89" s="4" t="n">
        <v>71601.35</v>
      </c>
    </row>
    <row r="90" customFormat="false" ht="15" hidden="false" customHeight="false" outlineLevel="0" collapsed="false">
      <c r="A90" s="3" t="n">
        <v>46065</v>
      </c>
      <c r="B90" s="4" t="n">
        <v>206.82</v>
      </c>
      <c r="C90" s="4" t="n">
        <v>55.25</v>
      </c>
      <c r="D90" s="4" t="n">
        <v>20.63</v>
      </c>
      <c r="E90" s="4" t="n">
        <v>66.47</v>
      </c>
      <c r="F90" s="4" t="n">
        <v>21.21</v>
      </c>
      <c r="G90" s="4" t="n">
        <v>201.35</v>
      </c>
      <c r="H90" s="4" t="n">
        <v>11.35</v>
      </c>
      <c r="I90" s="4" t="n">
        <v>58.02</v>
      </c>
      <c r="J90" s="4" t="n">
        <v>70888.04</v>
      </c>
    </row>
    <row r="91" customFormat="false" ht="15" hidden="false" customHeight="false" outlineLevel="0" collapsed="false">
      <c r="A91" s="3" t="n">
        <v>46066</v>
      </c>
      <c r="B91" s="4" t="n">
        <v>210.37</v>
      </c>
      <c r="C91" s="4" t="n">
        <v>56.69</v>
      </c>
      <c r="D91" s="4" t="n">
        <v>20.41</v>
      </c>
      <c r="E91" s="4" t="n">
        <v>67.87</v>
      </c>
      <c r="F91" s="4" t="n">
        <v>21.54</v>
      </c>
      <c r="G91" s="4" t="n">
        <v>204.87</v>
      </c>
      <c r="H91" s="4" t="n">
        <v>11.44</v>
      </c>
      <c r="I91" s="4" t="n">
        <v>58.36</v>
      </c>
      <c r="J91" s="4" t="n">
        <v>71478.81</v>
      </c>
    </row>
    <row r="92" customFormat="false" ht="15" hidden="false" customHeight="false" outlineLevel="0" collapsed="false">
      <c r="A92" s="3" t="n">
        <v>46069</v>
      </c>
      <c r="B92" s="4" t="n">
        <v>209.04</v>
      </c>
      <c r="C92" s="4" t="n">
        <v>56.41</v>
      </c>
      <c r="D92" s="4" t="n">
        <v>20.44</v>
      </c>
      <c r="E92" s="4" t="n">
        <v>67.86</v>
      </c>
      <c r="F92" s="4" t="n">
        <v>21.76</v>
      </c>
      <c r="G92" s="4" t="n">
        <v>202.14</v>
      </c>
      <c r="H92" s="4" t="n">
        <v>11.47</v>
      </c>
      <c r="I92" s="4" t="n">
        <v>58.01</v>
      </c>
      <c r="J92" s="4" t="n">
        <v>71353.29</v>
      </c>
    </row>
    <row r="93" customFormat="false" ht="15" hidden="false" customHeight="false" outlineLevel="0" collapsed="false">
      <c r="A93" s="3" t="n">
        <v>46070</v>
      </c>
      <c r="B93" s="4" t="n">
        <v>211.77</v>
      </c>
      <c r="C93" s="4" t="n">
        <v>57.98</v>
      </c>
      <c r="D93" s="4" t="n">
        <v>20.9</v>
      </c>
      <c r="E93" s="4" t="n">
        <v>68.44</v>
      </c>
      <c r="F93" s="4" t="n">
        <v>21.5</v>
      </c>
      <c r="G93" s="4" t="n">
        <v>203.7</v>
      </c>
      <c r="H93" s="4" t="n">
        <v>11.09</v>
      </c>
      <c r="I93" s="4" t="n">
        <v>59.06</v>
      </c>
      <c r="J93" s="4" t="n">
        <v>71155.69</v>
      </c>
    </row>
    <row r="94" customFormat="false" ht="15" hidden="false" customHeight="false" outlineLevel="0" collapsed="false">
      <c r="A94" s="3" t="n">
        <v>46071</v>
      </c>
      <c r="B94" s="4" t="n">
        <v>208.52</v>
      </c>
      <c r="C94" s="4" t="n">
        <v>58.45</v>
      </c>
      <c r="D94" s="4" t="n">
        <v>20.61</v>
      </c>
      <c r="E94" s="4" t="n">
        <v>66.42</v>
      </c>
      <c r="F94" s="4" t="n">
        <v>21.62</v>
      </c>
      <c r="G94" s="4" t="n">
        <v>201.78</v>
      </c>
      <c r="H94" s="4" t="n">
        <v>11.51</v>
      </c>
      <c r="I94" s="4" t="n">
        <v>57.79</v>
      </c>
      <c r="J94" s="4" t="n">
        <v>70885.22</v>
      </c>
    </row>
    <row r="95" customFormat="false" ht="15" hidden="false" customHeight="false" outlineLevel="0" collapsed="false">
      <c r="A95" s="3" t="n">
        <v>46072</v>
      </c>
      <c r="B95" s="4" t="n">
        <v>209.96</v>
      </c>
      <c r="C95" s="4" t="n">
        <v>61.05</v>
      </c>
      <c r="D95" s="4" t="n">
        <v>20.56</v>
      </c>
      <c r="E95" s="4" t="n">
        <v>64.89</v>
      </c>
      <c r="F95" s="4" t="n">
        <v>21.86</v>
      </c>
      <c r="G95" s="4" t="n">
        <v>200.34</v>
      </c>
      <c r="H95" s="4" t="n">
        <v>11.67</v>
      </c>
      <c r="I95" s="4" t="n">
        <v>57.76</v>
      </c>
      <c r="J95" s="4" t="n">
        <v>70845.66</v>
      </c>
    </row>
    <row r="96" customFormat="false" ht="15" hidden="false" customHeight="false" outlineLevel="0" collapsed="false">
      <c r="A96" s="3" t="n">
        <v>46073</v>
      </c>
      <c r="B96" s="4" t="n">
        <v>210.64</v>
      </c>
      <c r="C96" s="4" t="n">
        <v>61.2</v>
      </c>
      <c r="D96" s="4" t="n">
        <v>20.6</v>
      </c>
      <c r="E96" s="4" t="n">
        <v>64.13</v>
      </c>
      <c r="F96" s="4" t="n">
        <v>22.04</v>
      </c>
      <c r="G96" s="4" t="n">
        <v>200</v>
      </c>
      <c r="H96" s="4" t="n">
        <v>11.76</v>
      </c>
      <c r="I96" s="4" t="n">
        <v>57.92</v>
      </c>
      <c r="J96" s="4" t="n">
        <v>71436.55</v>
      </c>
    </row>
    <row r="97" customFormat="false" ht="15" hidden="false" customHeight="false" outlineLevel="0" collapsed="false">
      <c r="A97" s="3" t="n">
        <v>46076</v>
      </c>
      <c r="B97" s="4" t="n">
        <v>206.51</v>
      </c>
      <c r="C97" s="4" t="n">
        <v>60.67</v>
      </c>
      <c r="D97" s="4" t="n">
        <v>20.56</v>
      </c>
      <c r="E97" s="4" t="n">
        <v>63.23</v>
      </c>
      <c r="F97" s="4" t="n">
        <v>21.41</v>
      </c>
      <c r="G97" s="4" t="n">
        <v>198.88</v>
      </c>
      <c r="H97" s="4" t="n">
        <v>11.51</v>
      </c>
      <c r="I97" s="4" t="n">
        <v>57.37</v>
      </c>
      <c r="J97" s="4" t="n">
        <v>70633.77</v>
      </c>
    </row>
    <row r="98" customFormat="false" ht="15" hidden="false" customHeight="false" outlineLevel="0" collapsed="false">
      <c r="A98" s="3" t="n">
        <v>46077</v>
      </c>
      <c r="B98" s="4" t="n">
        <v>205.06</v>
      </c>
      <c r="C98" s="4" t="n">
        <v>60.97</v>
      </c>
      <c r="D98" s="4" t="n">
        <v>21.92</v>
      </c>
      <c r="E98" s="4" t="n">
        <v>62.87</v>
      </c>
      <c r="F98" s="4" t="n">
        <v>21.59</v>
      </c>
      <c r="G98" s="4" t="n">
        <v>199.8</v>
      </c>
      <c r="H98" s="4" t="n">
        <v>11.4</v>
      </c>
      <c r="I98" s="4" t="n">
        <v>58.04</v>
      </c>
      <c r="J98" s="4" t="n">
        <v>70934.82</v>
      </c>
    </row>
    <row r="99" customFormat="false" ht="15" hidden="false" customHeight="false" outlineLevel="0" collapsed="false">
      <c r="A99" s="3" t="n">
        <v>46078</v>
      </c>
      <c r="B99" s="4" t="n">
        <v>205.05</v>
      </c>
      <c r="C99" s="4" t="n">
        <v>59.99</v>
      </c>
      <c r="D99" s="4" t="n">
        <v>21.65</v>
      </c>
      <c r="E99" s="4" t="n">
        <v>62.76</v>
      </c>
      <c r="F99" s="4" t="n">
        <v>21.93</v>
      </c>
      <c r="G99" s="4" t="n">
        <v>198.87</v>
      </c>
      <c r="H99" s="4" t="n">
        <v>10.95</v>
      </c>
      <c r="I99" s="4" t="n">
        <v>56.6</v>
      </c>
      <c r="J99" s="4" t="n">
        <v>71144.35</v>
      </c>
    </row>
    <row r="100" customFormat="false" ht="15" hidden="false" customHeight="false" outlineLevel="0" collapsed="false">
      <c r="A100" s="3" t="n">
        <v>46079</v>
      </c>
      <c r="B100" s="4" t="n">
        <v>210.66</v>
      </c>
      <c r="C100" s="4" t="n">
        <v>60.4</v>
      </c>
      <c r="D100" s="4" t="n">
        <v>21.82</v>
      </c>
      <c r="E100" s="4" t="n">
        <v>64.36</v>
      </c>
      <c r="F100" s="4" t="n">
        <v>21.94</v>
      </c>
      <c r="G100" s="4" t="n">
        <v>198.83</v>
      </c>
      <c r="H100" s="4" t="n">
        <v>10.97</v>
      </c>
      <c r="I100" s="4" t="n">
        <v>56.49</v>
      </c>
      <c r="J100" s="4" t="n">
        <v>71390.1</v>
      </c>
    </row>
    <row r="101" customFormat="false" ht="15" hidden="false" customHeight="false" outlineLevel="0" collapsed="false">
      <c r="A101" s="3" t="n">
        <v>46080</v>
      </c>
      <c r="B101" s="4" t="n">
        <v>207.28</v>
      </c>
      <c r="C101" s="4" t="n">
        <v>60.75</v>
      </c>
      <c r="D101" s="4" t="n">
        <v>22.39</v>
      </c>
      <c r="E101" s="4" t="n">
        <v>62.48</v>
      </c>
      <c r="F101" s="4" t="n">
        <v>21.56</v>
      </c>
      <c r="G101" s="4" t="n">
        <v>196.39</v>
      </c>
      <c r="H101" s="4" t="n">
        <v>10.29</v>
      </c>
      <c r="I101" s="4" t="n">
        <v>55.74</v>
      </c>
      <c r="J101" s="4" t="n">
        <v>71405.77</v>
      </c>
    </row>
    <row r="102" customFormat="false" ht="15" hidden="false" customHeight="false" outlineLevel="0" collapsed="false">
      <c r="A102" s="3" t="n">
        <v>46083</v>
      </c>
      <c r="B102" s="4" t="n">
        <v>205.73</v>
      </c>
      <c r="C102" s="4" t="n">
        <v>60.11</v>
      </c>
      <c r="D102" s="4" t="n">
        <v>22.43</v>
      </c>
      <c r="E102" s="4" t="n">
        <v>61.78</v>
      </c>
      <c r="F102" s="4" t="n">
        <v>21.12</v>
      </c>
      <c r="G102" s="4" t="n">
        <v>191.03</v>
      </c>
      <c r="H102" s="4" t="n">
        <v>9.75</v>
      </c>
      <c r="I102" s="4" t="n">
        <v>55.98</v>
      </c>
      <c r="J102" s="4" t="n">
        <v>70584.75</v>
      </c>
    </row>
    <row r="103" customFormat="false" ht="15" hidden="false" customHeight="false" outlineLevel="0" collapsed="false">
      <c r="A103" s="3" t="n">
        <v>46084</v>
      </c>
      <c r="B103" s="4" t="n">
        <v>201.23</v>
      </c>
      <c r="C103" s="4" t="n">
        <v>58.84</v>
      </c>
      <c r="D103" s="4" t="n">
        <v>21.66</v>
      </c>
      <c r="E103" s="4" t="n">
        <v>61.15</v>
      </c>
      <c r="F103" s="4" t="n">
        <v>20.27</v>
      </c>
      <c r="G103" s="4" t="n">
        <v>189.44</v>
      </c>
      <c r="H103" s="4" t="n">
        <v>9.81</v>
      </c>
      <c r="I103" s="4" t="n">
        <v>55.69</v>
      </c>
      <c r="J103" s="4" t="n">
        <v>68436.26</v>
      </c>
    </row>
    <row r="104" customFormat="false" ht="15" hidden="false" customHeight="false" outlineLevel="0" collapsed="false">
      <c r="A104" s="3" t="n">
        <v>46085</v>
      </c>
      <c r="B104" s="4" t="n">
        <v>206.67</v>
      </c>
      <c r="C104" s="4" t="n">
        <v>59.41</v>
      </c>
      <c r="D104" s="4" t="n">
        <v>22.05</v>
      </c>
      <c r="E104" s="4" t="n">
        <v>64.51</v>
      </c>
      <c r="F104" s="4" t="n">
        <v>21.05</v>
      </c>
      <c r="G104" s="4" t="n">
        <v>197.41</v>
      </c>
      <c r="H104" s="4" t="n">
        <v>10.21</v>
      </c>
      <c r="I104" s="4" t="n">
        <v>56.76</v>
      </c>
      <c r="J104" s="4" t="n">
        <v>70428.03</v>
      </c>
    </row>
    <row r="105" customFormat="false" ht="15" hidden="false" customHeight="false" outlineLevel="0" collapsed="false">
      <c r="A105" s="3" t="n">
        <v>46086</v>
      </c>
      <c r="B105" s="4" t="n">
        <v>205.27</v>
      </c>
      <c r="C105" s="4" t="n">
        <v>58.45</v>
      </c>
      <c r="D105" s="4" t="n">
        <v>21.61</v>
      </c>
      <c r="E105" s="4" t="n">
        <v>62.89</v>
      </c>
      <c r="F105" s="4" t="n">
        <v>20.03</v>
      </c>
      <c r="G105" s="4" t="n">
        <v>192.88</v>
      </c>
      <c r="H105" s="4" t="n">
        <v>10.01</v>
      </c>
      <c r="I105" s="4" t="n">
        <v>56.31</v>
      </c>
      <c r="J105" s="4" t="n">
        <v>68379.42</v>
      </c>
    </row>
    <row r="106" customFormat="false" ht="15" hidden="false" customHeight="false" outlineLevel="0" collapsed="false">
      <c r="A106" s="3" t="n">
        <v>46087</v>
      </c>
      <c r="B106" s="4" t="n">
        <v>206.81</v>
      </c>
      <c r="C106" s="4" t="n">
        <v>56.9</v>
      </c>
      <c r="D106" s="4" t="n">
        <v>21.19</v>
      </c>
      <c r="E106" s="4" t="n">
        <v>61.23</v>
      </c>
      <c r="F106" s="4" t="n">
        <v>19.5</v>
      </c>
      <c r="G106" s="4" t="n">
        <v>190.01</v>
      </c>
      <c r="H106" s="4" t="n">
        <v>10.11</v>
      </c>
      <c r="I106" s="4" t="n">
        <v>55.53</v>
      </c>
      <c r="J106" s="4" t="n">
        <v>67313.5</v>
      </c>
    </row>
    <row r="107" customFormat="false" ht="15" hidden="false" customHeight="false" outlineLevel="0" collapsed="false">
      <c r="A107" s="3" t="n">
        <v>46090</v>
      </c>
      <c r="B107" s="4" t="n">
        <v>203.49</v>
      </c>
      <c r="C107" s="4" t="n">
        <v>56.4</v>
      </c>
      <c r="D107" s="4" t="n">
        <v>21.16</v>
      </c>
      <c r="E107" s="4" t="n">
        <v>61.3</v>
      </c>
      <c r="F107" s="4" t="n">
        <v>19.25</v>
      </c>
      <c r="G107" s="4" t="n">
        <v>189.27</v>
      </c>
      <c r="H107" s="4" t="n">
        <v>10.48</v>
      </c>
      <c r="I107" s="4" t="n">
        <v>55.76</v>
      </c>
      <c r="J107" s="4" t="n">
        <v>66890.27</v>
      </c>
    </row>
    <row r="108" customFormat="false" ht="15" hidden="false" customHeight="false" outlineLevel="0" collapsed="false">
      <c r="A108" s="3" t="n">
        <v>46091</v>
      </c>
      <c r="B108" s="4" t="n">
        <v>199.12</v>
      </c>
      <c r="C108" s="4" t="n">
        <v>57.03</v>
      </c>
      <c r="D108" s="4" t="n">
        <v>21.02</v>
      </c>
      <c r="E108" s="4" t="n">
        <v>60.58</v>
      </c>
      <c r="F108" s="4" t="n">
        <v>18.95</v>
      </c>
      <c r="G108" s="4" t="n">
        <v>194.49</v>
      </c>
      <c r="H108" s="4" t="n">
        <v>10.41</v>
      </c>
      <c r="I108" s="4" t="n">
        <v>55.35</v>
      </c>
      <c r="J108" s="4" t="n">
        <v>67397.94</v>
      </c>
    </row>
    <row r="109" customFormat="false" ht="15" hidden="false" customHeight="false" outlineLevel="0" collapsed="false">
      <c r="A109" s="3" t="n">
        <v>46092</v>
      </c>
      <c r="B109" s="4" t="n">
        <v>204.04</v>
      </c>
      <c r="C109" s="4" t="n">
        <v>57.59</v>
      </c>
      <c r="D109" s="4" t="n">
        <v>20.96</v>
      </c>
      <c r="E109" s="4" t="n">
        <v>60.62</v>
      </c>
      <c r="F109" s="4" t="n">
        <v>18.76</v>
      </c>
      <c r="G109" s="4" t="n">
        <v>194.25</v>
      </c>
      <c r="H109" s="4" t="n">
        <v>10.42</v>
      </c>
      <c r="I109" s="4" t="n">
        <v>56.56</v>
      </c>
      <c r="J109" s="4" t="n">
        <v>67559.78</v>
      </c>
    </row>
    <row r="110" customFormat="false" ht="15" hidden="false" customHeight="false" outlineLevel="0" collapsed="false">
      <c r="A110" s="3" t="n">
        <v>46093</v>
      </c>
      <c r="B110" s="4" t="n">
        <v>198.77</v>
      </c>
      <c r="C110" s="4" t="n">
        <v>57.02</v>
      </c>
      <c r="D110" s="4" t="n">
        <v>20.56</v>
      </c>
      <c r="E110" s="4" t="n">
        <v>59.64</v>
      </c>
      <c r="F110" s="4" t="n">
        <v>18.7</v>
      </c>
      <c r="G110" s="4" t="n">
        <v>187.9</v>
      </c>
      <c r="H110" s="4" t="n">
        <v>10.21</v>
      </c>
      <c r="I110" s="4" t="n">
        <v>56.01</v>
      </c>
      <c r="J110" s="4" t="n">
        <v>66085.81</v>
      </c>
    </row>
    <row r="111" customFormat="false" ht="15" hidden="false" customHeight="false" outlineLevel="0" collapsed="false">
      <c r="A111" s="3" t="n">
        <v>46094</v>
      </c>
      <c r="B111" s="4" t="n">
        <v>197.04</v>
      </c>
      <c r="C111" s="4" t="n">
        <v>56.32</v>
      </c>
      <c r="D111" s="4" t="n">
        <v>20.56</v>
      </c>
      <c r="E111" s="4" t="n">
        <v>59.4</v>
      </c>
      <c r="F111" s="4" t="n">
        <v>18.65</v>
      </c>
      <c r="G111" s="4" t="n">
        <v>189.02</v>
      </c>
      <c r="H111" s="4" t="n">
        <v>10.31</v>
      </c>
      <c r="I111" s="4" t="n">
        <v>57.13</v>
      </c>
      <c r="J111" s="4" t="n">
        <v>65648.91</v>
      </c>
    </row>
    <row r="112" customFormat="false" ht="15" hidden="false" customHeight="false" outlineLevel="0" collapsed="false">
      <c r="A112" s="3" t="n">
        <v>46098</v>
      </c>
      <c r="B112" s="4" t="n">
        <v>198.23</v>
      </c>
      <c r="C112" s="4" t="n">
        <v>58.17</v>
      </c>
      <c r="D112" s="4" t="n">
        <v>21.01</v>
      </c>
      <c r="E112" s="4" t="n">
        <v>59.13</v>
      </c>
      <c r="F112" s="4" t="n">
        <v>18.68</v>
      </c>
      <c r="G112" s="4" t="n">
        <v>192.23</v>
      </c>
      <c r="H112" s="4" t="n">
        <v>10.4</v>
      </c>
      <c r="I112" s="4" t="n">
        <v>57.67</v>
      </c>
      <c r="J112" s="4" t="n">
        <v>66196.92</v>
      </c>
    </row>
    <row r="113" customFormat="false" ht="15" hidden="false" customHeight="false" outlineLevel="0" collapsed="false">
      <c r="A113" s="3" t="n">
        <v>46099</v>
      </c>
      <c r="B113" s="4" t="n">
        <v>198.85</v>
      </c>
      <c r="C113" s="4" t="n">
        <v>58.49</v>
      </c>
      <c r="D113" s="4" t="n">
        <v>21.18</v>
      </c>
      <c r="E113" s="4" t="n">
        <v>58.03</v>
      </c>
      <c r="F113" s="4" t="n">
        <v>18.36</v>
      </c>
      <c r="G113" s="4" t="n">
        <v>191.86</v>
      </c>
      <c r="H113" s="4" t="n">
        <v>10.43</v>
      </c>
      <c r="I113" s="4" t="n">
        <v>56.07</v>
      </c>
      <c r="J113" s="4" t="n">
        <v>65779.23</v>
      </c>
    </row>
    <row r="114" customFormat="false" ht="15" hidden="false" customHeight="false" outlineLevel="0" collapsed="false">
      <c r="A114" s="3" t="n">
        <v>46100</v>
      </c>
      <c r="B114" s="4" t="n">
        <v>197.05</v>
      </c>
      <c r="C114" s="4" t="n">
        <v>58.99</v>
      </c>
      <c r="D114" s="4" t="n">
        <v>21.21</v>
      </c>
      <c r="E114" s="4" t="n">
        <v>58.64</v>
      </c>
      <c r="F114" s="4" t="n">
        <v>18.31</v>
      </c>
      <c r="G114" s="4" t="n">
        <v>189.66</v>
      </c>
      <c r="H114" s="4" t="n">
        <v>10.54</v>
      </c>
      <c r="I114" s="4" t="n">
        <v>56.67</v>
      </c>
      <c r="J114" s="4" t="n">
        <v>65199.4</v>
      </c>
    </row>
    <row r="115" customFormat="false" ht="15" hidden="false" customHeight="false" outlineLevel="0" collapsed="false">
      <c r="A115" s="3" t="n">
        <v>46101</v>
      </c>
      <c r="B115" s="4" t="n">
        <v>192.38</v>
      </c>
      <c r="C115" s="4" t="n">
        <v>59.92</v>
      </c>
      <c r="D115" s="4" t="n">
        <v>20.93</v>
      </c>
      <c r="E115" s="4" t="n">
        <v>57.63</v>
      </c>
      <c r="F115" s="4" t="n">
        <v>18</v>
      </c>
      <c r="G115" s="4" t="n">
        <v>184.22</v>
      </c>
      <c r="H115" s="4" t="n">
        <v>10.21</v>
      </c>
      <c r="I115" s="4" t="n">
        <v>56.09</v>
      </c>
      <c r="J115" s="4" t="n">
        <v>64134.9</v>
      </c>
    </row>
    <row r="116" customFormat="false" ht="15" hidden="false" customHeight="false" outlineLevel="0" collapsed="false">
      <c r="A116" s="3" t="n">
        <v>46104</v>
      </c>
      <c r="B116" s="4" t="n">
        <v>190.42</v>
      </c>
      <c r="C116" s="4" t="n">
        <v>56.98</v>
      </c>
      <c r="D116" s="4" t="n">
        <v>21.09</v>
      </c>
      <c r="E116" s="4" t="n">
        <v>57.25</v>
      </c>
      <c r="F116" s="4" t="n">
        <v>18.91</v>
      </c>
      <c r="G116" s="4" t="n">
        <v>185.62</v>
      </c>
      <c r="H116" s="4" t="n">
        <v>10.23</v>
      </c>
      <c r="I116" s="4" t="n">
        <v>56.13</v>
      </c>
      <c r="J116" s="4" t="n">
        <v>64370.95</v>
      </c>
    </row>
    <row r="117" customFormat="false" ht="15" hidden="false" customHeight="false" outlineLevel="0" collapsed="false">
      <c r="A117" s="3" t="n">
        <v>46105</v>
      </c>
      <c r="B117" s="4" t="n">
        <v>194.44</v>
      </c>
      <c r="C117" s="4" t="n">
        <v>57.92</v>
      </c>
      <c r="D117" s="4" t="n">
        <v>22.03</v>
      </c>
      <c r="E117" s="4" t="n">
        <v>58.04</v>
      </c>
      <c r="F117" s="4" t="n">
        <v>19.35</v>
      </c>
      <c r="G117" s="4" t="n">
        <v>189.5</v>
      </c>
      <c r="H117" s="4" t="n">
        <v>10.36</v>
      </c>
      <c r="I117" s="4" t="n">
        <v>56.27</v>
      </c>
      <c r="J117" s="4" t="n">
        <v>65775.14</v>
      </c>
    </row>
    <row r="118" customFormat="false" ht="15" hidden="false" customHeight="false" outlineLevel="0" collapsed="false">
      <c r="A118" s="3" t="n">
        <v>46106</v>
      </c>
      <c r="B118" s="4" t="n">
        <v>200.97</v>
      </c>
      <c r="C118" s="4" t="n">
        <v>58.97</v>
      </c>
      <c r="D118" s="4" t="n">
        <v>22.59</v>
      </c>
      <c r="E118" s="4" t="n">
        <v>59.68</v>
      </c>
      <c r="F118" s="4" t="n">
        <v>20.16</v>
      </c>
      <c r="G118" s="4" t="n">
        <v>195.93</v>
      </c>
      <c r="H118" s="4" t="n">
        <v>10.24</v>
      </c>
      <c r="I118" s="4" t="n">
        <v>57.98</v>
      </c>
      <c r="J118" s="4" t="n">
        <v>68187.6</v>
      </c>
    </row>
    <row r="119" customFormat="false" ht="15" hidden="false" customHeight="false" outlineLevel="0" collapsed="false">
      <c r="A119" s="3" t="n">
        <v>46107</v>
      </c>
      <c r="B119" s="4" t="n">
        <v>199.88</v>
      </c>
      <c r="C119" s="4" t="n">
        <v>58.83</v>
      </c>
      <c r="D119" s="4" t="n">
        <v>22.38</v>
      </c>
      <c r="E119" s="4" t="n">
        <v>58.72</v>
      </c>
      <c r="F119" s="4" t="n">
        <v>19.7</v>
      </c>
      <c r="G119" s="4" t="n">
        <v>191.17</v>
      </c>
      <c r="H119" s="4" t="n">
        <v>10.32</v>
      </c>
      <c r="I119" s="4" t="n">
        <v>57.52</v>
      </c>
      <c r="J119" s="4" t="n">
        <v>67061.34</v>
      </c>
    </row>
    <row r="120" customFormat="false" ht="15" hidden="false" customHeight="false" outlineLevel="0" collapsed="false">
      <c r="A120" s="3" t="n">
        <v>46108</v>
      </c>
      <c r="B120" s="4" t="n">
        <v>200.92</v>
      </c>
      <c r="C120" s="4" t="n">
        <v>57.82</v>
      </c>
      <c r="D120" s="4" t="n">
        <v>22.46</v>
      </c>
      <c r="E120" s="4" t="n">
        <v>58.49</v>
      </c>
      <c r="F120" s="4" t="n">
        <v>19.44</v>
      </c>
      <c r="G120" s="4" t="n">
        <v>189.91</v>
      </c>
      <c r="H120" s="4" t="n">
        <v>10.39</v>
      </c>
      <c r="I120" s="4" t="n">
        <v>58.18</v>
      </c>
      <c r="J120" s="4" t="n">
        <v>66685.76</v>
      </c>
    </row>
    <row r="121" customFormat="false" ht="15" hidden="false" customHeight="false" outlineLevel="0" collapsed="false">
      <c r="A121" s="3" t="n">
        <v>46111</v>
      </c>
      <c r="B121" s="4" t="n">
        <v>204.97</v>
      </c>
      <c r="C121" s="4" t="n">
        <v>57.47</v>
      </c>
      <c r="D121" s="4" t="n">
        <v>22.33</v>
      </c>
      <c r="E121" s="4" t="n">
        <v>59.98</v>
      </c>
      <c r="F121" s="4" t="n">
        <v>19.43</v>
      </c>
      <c r="G121" s="4" t="n">
        <v>191.81</v>
      </c>
      <c r="H121" s="4" t="n">
        <v>10.4</v>
      </c>
      <c r="I121" s="4" t="n">
        <v>57.9</v>
      </c>
      <c r="J121" s="4" t="n">
        <v>67087.64</v>
      </c>
    </row>
    <row r="122" customFormat="false" ht="15" hidden="false" customHeight="false" outlineLevel="0" collapsed="false">
      <c r="A122" s="3" t="n">
        <v>46112</v>
      </c>
      <c r="B122" s="4" t="n">
        <v>206.72</v>
      </c>
      <c r="C122" s="4" t="n">
        <v>57.85</v>
      </c>
      <c r="D122" s="4" t="n">
        <v>22.78</v>
      </c>
      <c r="E122" s="4" t="n">
        <v>60.1</v>
      </c>
      <c r="F122" s="4" t="n">
        <v>20.55</v>
      </c>
      <c r="G122" s="4" t="n">
        <v>198.78</v>
      </c>
      <c r="H122" s="4" t="n">
        <v>10.41</v>
      </c>
      <c r="I122" s="4" t="n">
        <v>58.2</v>
      </c>
      <c r="J122" s="4" t="n">
        <v>68610.72</v>
      </c>
    </row>
    <row r="123" customFormat="false" ht="15" hidden="false" customHeight="false" outlineLevel="0" collapsed="false">
      <c r="A123" s="3" t="n">
        <v>46113</v>
      </c>
      <c r="B123" s="4" t="n">
        <v>209.5</v>
      </c>
      <c r="C123" s="4" t="n">
        <v>58.02</v>
      </c>
      <c r="D123" s="4" t="n">
        <v>22.8</v>
      </c>
      <c r="E123" s="4" t="n">
        <v>59.24</v>
      </c>
      <c r="F123" s="4" t="n">
        <v>20.77</v>
      </c>
      <c r="G123" s="4" t="n">
        <v>201.62</v>
      </c>
      <c r="H123" s="4" t="n">
        <v>10.48</v>
      </c>
      <c r="I123" s="4" t="n">
        <v>59.17</v>
      </c>
      <c r="J123" s="4" t="n">
        <v>69702.02</v>
      </c>
    </row>
    <row r="124" customFormat="false" ht="15" hidden="false" customHeight="false" outlineLevel="0" collapsed="false">
      <c r="A124" s="3" t="n">
        <v>46118</v>
      </c>
      <c r="B124" s="4" t="n">
        <v>208.63</v>
      </c>
      <c r="C124" s="4" t="n">
        <v>57.49</v>
      </c>
      <c r="D124" s="4" t="n">
        <v>22.5</v>
      </c>
      <c r="E124" s="4" t="n">
        <v>58.47</v>
      </c>
      <c r="F124" s="4" t="n">
        <v>20.24</v>
      </c>
      <c r="G124" s="4" t="n">
        <v>199.69</v>
      </c>
      <c r="H124" s="4" t="n">
        <v>10.36</v>
      </c>
      <c r="I124" s="4" t="n">
        <v>58.51</v>
      </c>
      <c r="J124" s="4" t="n">
        <v>68986.63</v>
      </c>
    </row>
    <row r="125" customFormat="false" ht="15" hidden="false" customHeight="false" outlineLevel="0" collapsed="false">
      <c r="A125" s="3" t="n">
        <v>46119</v>
      </c>
      <c r="B125" s="4" t="n">
        <v>205.15</v>
      </c>
      <c r="C125" s="4" t="n">
        <v>57.61</v>
      </c>
      <c r="D125" s="4" t="n">
        <v>22.79</v>
      </c>
      <c r="E125" s="4" t="n">
        <v>58.6</v>
      </c>
      <c r="F125" s="4" t="n">
        <v>20.08</v>
      </c>
      <c r="G125" s="4" t="n">
        <v>197.95</v>
      </c>
      <c r="H125" s="4" t="n">
        <v>10.34</v>
      </c>
      <c r="I125" s="4" t="n">
        <v>57.94</v>
      </c>
      <c r="J125" s="4" t="n">
        <v>68529.22</v>
      </c>
    </row>
    <row r="126" customFormat="false" ht="15" hidden="false" customHeight="false" outlineLevel="0" collapsed="false">
      <c r="A126" s="3" t="n">
        <v>46120</v>
      </c>
      <c r="B126" s="4" t="n">
        <v>210.34</v>
      </c>
      <c r="C126" s="4" t="n">
        <v>57.31</v>
      </c>
      <c r="D126" s="4" t="n">
        <v>22.89</v>
      </c>
      <c r="E126" s="4" t="n">
        <v>59.35</v>
      </c>
      <c r="F126" s="4" t="n">
        <v>20.59</v>
      </c>
      <c r="G126" s="4" t="n">
        <v>200.81</v>
      </c>
      <c r="H126" s="4" t="n">
        <v>10.34</v>
      </c>
      <c r="I126" s="4" t="n">
        <v>59.14</v>
      </c>
      <c r="J126" s="4" t="n">
        <v>70221.76</v>
      </c>
    </row>
    <row r="127" customFormat="false" ht="15" hidden="false" customHeight="false" outlineLevel="0" collapsed="false">
      <c r="A127" s="3" t="n">
        <v>46121</v>
      </c>
      <c r="B127" s="4" t="n">
        <v>212.72</v>
      </c>
      <c r="C127" s="4" t="n">
        <v>55.9</v>
      </c>
      <c r="D127" s="4" t="n">
        <v>23.56</v>
      </c>
      <c r="E127" s="4" t="n">
        <v>57.65</v>
      </c>
      <c r="F127" s="4" t="n">
        <v>20.65</v>
      </c>
      <c r="G127" s="4" t="n">
        <v>200.37</v>
      </c>
      <c r="H127" s="4" t="n">
        <v>10.07</v>
      </c>
      <c r="I127" s="4" t="n">
        <v>58.54</v>
      </c>
      <c r="J127" s="4" t="n">
        <v>70314.19</v>
      </c>
    </row>
    <row r="128" customFormat="false" ht="15" hidden="false" customHeight="false" outlineLevel="0" collapsed="false">
      <c r="A128" s="3" t="n">
        <v>46122</v>
      </c>
      <c r="B128" s="4" t="n">
        <v>214.03</v>
      </c>
      <c r="C128" s="4" t="n">
        <v>55.46</v>
      </c>
      <c r="D128" s="4" t="n">
        <v>23.58</v>
      </c>
      <c r="E128" s="4" t="n">
        <v>57.91</v>
      </c>
      <c r="F128" s="4" t="n">
        <v>20.63</v>
      </c>
      <c r="G128" s="4" t="n">
        <v>198.95</v>
      </c>
      <c r="H128" s="4" t="n">
        <v>10.37</v>
      </c>
      <c r="I128" s="4" t="n">
        <v>57.77</v>
      </c>
      <c r="J128" s="4" t="n">
        <v>70023.39</v>
      </c>
    </row>
    <row r="129" customFormat="false" ht="15" hidden="false" customHeight="false" outlineLevel="0" collapsed="false">
      <c r="A129" s="3" t="n">
        <v>46125</v>
      </c>
      <c r="B129" s="4" t="n">
        <v>212.4</v>
      </c>
      <c r="C129" s="4" t="n">
        <v>54.78</v>
      </c>
      <c r="D129" s="4" t="n">
        <v>23.07</v>
      </c>
      <c r="E129" s="4" t="n">
        <v>57.34</v>
      </c>
      <c r="F129" s="4" t="n">
        <v>20.57</v>
      </c>
      <c r="G129" s="4" t="n">
        <v>196.36</v>
      </c>
      <c r="H129" s="4" t="n">
        <v>10.14</v>
      </c>
      <c r="I129" s="4" t="n">
        <v>58.36</v>
      </c>
      <c r="J129" s="4" t="n">
        <v>69595.13</v>
      </c>
    </row>
    <row r="130" customFormat="false" ht="15" hidden="false" customHeight="false" outlineLevel="0" collapsed="false">
      <c r="A130" s="3" t="n">
        <v>46126</v>
      </c>
      <c r="B130" s="4" t="n">
        <v>207.82</v>
      </c>
      <c r="C130" s="4" t="n">
        <v>54.27</v>
      </c>
      <c r="D130" s="4" t="n">
        <v>22.7</v>
      </c>
      <c r="E130" s="4" t="n">
        <v>57.39</v>
      </c>
      <c r="F130" s="4" t="n">
        <v>20.4</v>
      </c>
      <c r="G130" s="4" t="n">
        <v>195.79</v>
      </c>
      <c r="H130" s="4" t="n">
        <v>10.1</v>
      </c>
      <c r="I130" s="4" t="n">
        <v>57.22</v>
      </c>
      <c r="J130" s="4" t="n">
        <v>68941.46</v>
      </c>
    </row>
    <row r="131" customFormat="false" ht="15" hidden="false" customHeight="false" outlineLevel="0" collapsed="false">
      <c r="A131" s="3" t="n">
        <v>46127</v>
      </c>
      <c r="B131" s="4" t="n">
        <v>205.73</v>
      </c>
      <c r="C131" s="4" t="n">
        <v>53.65</v>
      </c>
      <c r="D131" s="4" t="n">
        <v>22.77</v>
      </c>
      <c r="E131" s="4" t="n">
        <v>57.95</v>
      </c>
      <c r="F131" s="4" t="n">
        <v>20.57</v>
      </c>
      <c r="G131" s="4" t="n">
        <v>198.12</v>
      </c>
      <c r="H131" s="4" t="n">
        <v>10.77</v>
      </c>
      <c r="I131" s="4" t="n">
        <v>57.51</v>
      </c>
      <c r="J131" s="4" t="n">
        <v>69634.71</v>
      </c>
    </row>
    <row r="132" customFormat="false" ht="15" hidden="false" customHeight="false" outlineLevel="0" collapsed="false">
      <c r="A132" s="3" t="n">
        <v>46128</v>
      </c>
      <c r="B132" s="4" t="n">
        <v>204.34</v>
      </c>
      <c r="C132" s="4" t="n">
        <v>52.88</v>
      </c>
      <c r="D132" s="4" t="n">
        <v>22.56</v>
      </c>
      <c r="E132" s="4" t="n">
        <v>57.42</v>
      </c>
      <c r="F132" s="4" t="n">
        <v>20.2</v>
      </c>
      <c r="G132" s="4" t="n">
        <v>197</v>
      </c>
      <c r="H132" s="4" t="n">
        <v>10.89</v>
      </c>
      <c r="I132" s="4" t="n">
        <v>56.69</v>
      </c>
      <c r="J132" s="4" t="n">
        <v>69095.02</v>
      </c>
    </row>
    <row r="133" customFormat="false" ht="15" hidden="false" customHeight="false" outlineLevel="0" collapsed="false">
      <c r="A133" s="3" t="n">
        <v>46129</v>
      </c>
      <c r="B133" s="4" t="n">
        <v>203.88</v>
      </c>
      <c r="C133" s="4" t="n">
        <v>52.3</v>
      </c>
      <c r="D133" s="4" t="n">
        <v>22.74</v>
      </c>
      <c r="E133" s="4" t="n">
        <v>57.44</v>
      </c>
      <c r="F133" s="4" t="n">
        <v>20.79</v>
      </c>
      <c r="G133" s="4" t="n">
        <v>195.11</v>
      </c>
      <c r="H133" s="4" t="n">
        <v>11.34</v>
      </c>
      <c r="I133" s="4" t="n">
        <v>56.23</v>
      </c>
      <c r="J133" s="4" t="n">
        <v>69825.94</v>
      </c>
    </row>
    <row r="134" customFormat="false" ht="15" hidden="false" customHeight="false" outlineLevel="0" collapsed="false">
      <c r="A134" s="3" t="n">
        <v>46132</v>
      </c>
      <c r="B134" s="4" t="n">
        <v>208.06</v>
      </c>
      <c r="C134" s="4" t="n">
        <v>53.46</v>
      </c>
      <c r="D134" s="4" t="n">
        <v>22.77</v>
      </c>
      <c r="E134" s="4" t="n">
        <v>57.7</v>
      </c>
      <c r="F134" s="4" t="n">
        <v>20.76</v>
      </c>
      <c r="G134" s="4" t="n">
        <v>200.21</v>
      </c>
      <c r="H134" s="4" t="n">
        <v>11.42</v>
      </c>
      <c r="I134" s="4" t="n">
        <v>55.64</v>
      </c>
      <c r="J134" s="4" t="n">
        <v>70083.73</v>
      </c>
    </row>
    <row r="135" customFormat="false" ht="15" hidden="false" customHeight="false" outlineLevel="0" collapsed="false">
      <c r="A135" s="3" t="n">
        <v>46133</v>
      </c>
      <c r="B135" s="4" t="n">
        <v>202.29</v>
      </c>
      <c r="C135" s="4" t="n">
        <v>51.24</v>
      </c>
      <c r="D135" s="4" t="n">
        <v>22.3</v>
      </c>
      <c r="E135" s="4" t="n">
        <v>56.4</v>
      </c>
      <c r="F135" s="4" t="n">
        <v>20.61</v>
      </c>
      <c r="G135" s="4" t="n">
        <v>196.19</v>
      </c>
      <c r="H135" s="4" t="n">
        <v>11.17</v>
      </c>
      <c r="I135" s="4" t="n">
        <v>55.33</v>
      </c>
      <c r="J135" s="4" t="n">
        <v>68809.17</v>
      </c>
    </row>
    <row r="136" customFormat="false" ht="15" hidden="false" customHeight="false" outlineLevel="0" collapsed="false">
      <c r="A136" s="3" t="n">
        <v>46134</v>
      </c>
      <c r="B136" s="4" t="n">
        <v>205.02</v>
      </c>
      <c r="C136" s="4" t="n">
        <v>51.87</v>
      </c>
      <c r="D136" s="4" t="n">
        <v>22.38</v>
      </c>
      <c r="E136" s="4" t="n">
        <v>54.73</v>
      </c>
      <c r="F136" s="4" t="n">
        <v>20.44</v>
      </c>
      <c r="G136" s="4" t="n">
        <v>194.76</v>
      </c>
      <c r="H136" s="4" t="n">
        <v>10.76</v>
      </c>
      <c r="I136" s="4" t="n">
        <v>54.87</v>
      </c>
      <c r="J136" s="4" t="n">
        <v>68836.92</v>
      </c>
    </row>
    <row r="137" customFormat="false" ht="15" hidden="false" customHeight="false" outlineLevel="0" collapsed="false">
      <c r="A137" s="3" t="n">
        <v>46135</v>
      </c>
      <c r="B137" s="4" t="n">
        <v>213.04</v>
      </c>
      <c r="C137" s="4" t="n">
        <v>51.35</v>
      </c>
      <c r="D137" s="4" t="n">
        <v>22.79</v>
      </c>
      <c r="E137" s="4" t="n">
        <v>54.14</v>
      </c>
      <c r="F137" s="4" t="n">
        <v>21.8</v>
      </c>
      <c r="G137" s="4" t="n">
        <v>193.37</v>
      </c>
      <c r="H137" s="4" t="n">
        <v>10.65</v>
      </c>
      <c r="I137" s="4" t="n">
        <v>54.19</v>
      </c>
      <c r="J137" s="4" t="n">
        <v>68631.16</v>
      </c>
    </row>
    <row r="138" customFormat="false" ht="15" hidden="false" customHeight="false" outlineLevel="0" collapsed="false">
      <c r="A138" s="3" t="n">
        <v>46136</v>
      </c>
      <c r="B138" s="4" t="n">
        <v>218.48</v>
      </c>
      <c r="C138" s="4" t="n">
        <v>52.7</v>
      </c>
      <c r="D138" s="4" t="n">
        <v>23.19</v>
      </c>
      <c r="E138" s="4" t="n">
        <v>54.8</v>
      </c>
      <c r="F138" s="4" t="n">
        <v>21.48</v>
      </c>
      <c r="G138" s="4" t="n">
        <v>194.62</v>
      </c>
      <c r="H138" s="4" t="n">
        <v>10.7</v>
      </c>
      <c r="I138" s="4" t="n">
        <v>54.23</v>
      </c>
      <c r="J138" s="4" t="n">
        <v>69230.56</v>
      </c>
    </row>
    <row r="139" customFormat="false" ht="15" hidden="false" customHeight="false" outlineLevel="0" collapsed="false">
      <c r="A139" s="3" t="n">
        <v>46139</v>
      </c>
      <c r="B139" s="4" t="n">
        <v>216.1</v>
      </c>
      <c r="C139" s="4" t="n">
        <v>51.96</v>
      </c>
      <c r="D139" s="4" t="n">
        <v>22.45</v>
      </c>
      <c r="E139" s="4" t="n">
        <v>53.65</v>
      </c>
      <c r="F139" s="4" t="n">
        <v>21.33</v>
      </c>
      <c r="G139" s="4" t="n">
        <v>191.92</v>
      </c>
      <c r="H139" s="4" t="n">
        <v>10.26</v>
      </c>
      <c r="I139" s="4" t="n">
        <v>53.61</v>
      </c>
      <c r="J139" s="4" t="n">
        <v>67992.36</v>
      </c>
    </row>
    <row r="140" customFormat="false" ht="15" hidden="false" customHeight="false" outlineLevel="0" collapsed="false">
      <c r="A140" s="3" t="n">
        <v>46140</v>
      </c>
      <c r="B140" s="4" t="n">
        <v>212.13</v>
      </c>
      <c r="C140" s="4" t="n">
        <v>51.45</v>
      </c>
      <c r="D140" s="4" t="n">
        <v>22.75</v>
      </c>
      <c r="E140" s="4" t="n">
        <v>53.55</v>
      </c>
      <c r="F140" s="4" t="n">
        <v>21.08</v>
      </c>
      <c r="G140" s="4" t="n">
        <v>192.38</v>
      </c>
      <c r="H140" s="4" t="n">
        <v>9.93</v>
      </c>
      <c r="I140" s="4" t="n">
        <v>53.27</v>
      </c>
      <c r="J140" s="4" t="n">
        <v>67269.29</v>
      </c>
    </row>
    <row r="141" customFormat="false" ht="15" hidden="false" customHeight="false" outlineLevel="0" collapsed="false">
      <c r="A141" s="3" t="n">
        <v>46141</v>
      </c>
      <c r="B141" s="4" t="n">
        <v>207.55</v>
      </c>
      <c r="C141" s="4" t="n">
        <v>50.76</v>
      </c>
      <c r="D141" s="4" t="n">
        <v>23.03</v>
      </c>
      <c r="E141" s="4" t="n">
        <v>54.53</v>
      </c>
      <c r="F141" s="4" t="n">
        <v>21.3</v>
      </c>
      <c r="G141" s="4" t="n">
        <v>190.04</v>
      </c>
      <c r="H141" s="4" t="n">
        <v>9.99</v>
      </c>
      <c r="I141" s="4" t="n">
        <v>55.53</v>
      </c>
      <c r="J141" s="4" t="n">
        <v>67097.06</v>
      </c>
    </row>
    <row r="142" customFormat="false" ht="15" hidden="false" customHeight="false" outlineLevel="0" collapsed="false">
      <c r="A142" s="3" t="n">
        <v>46142</v>
      </c>
      <c r="B142" s="4" t="n">
        <v>209.87</v>
      </c>
      <c r="C142" s="4" t="n">
        <v>51.42</v>
      </c>
      <c r="D142" s="4" t="n">
        <v>23.21</v>
      </c>
      <c r="E142" s="4" t="n">
        <v>59.48</v>
      </c>
      <c r="F142" s="4" t="n">
        <v>21.45</v>
      </c>
      <c r="G142" s="4" t="n">
        <v>189.68</v>
      </c>
      <c r="H142" s="4" t="n">
        <v>9.96</v>
      </c>
      <c r="I142" s="4" t="n">
        <v>55.07</v>
      </c>
      <c r="J142" s="4" t="n">
        <v>67858.09</v>
      </c>
    </row>
    <row r="143" customFormat="false" ht="15" hidden="false" customHeight="false" outlineLevel="0" collapsed="false">
      <c r="A143" s="3" t="n">
        <v>46146</v>
      </c>
      <c r="B143" s="4" t="n">
        <v>209.05</v>
      </c>
      <c r="C143" s="4" t="n">
        <v>50.93</v>
      </c>
      <c r="D143" s="4" t="n">
        <v>23.26</v>
      </c>
      <c r="E143" s="4" t="n">
        <v>58.53</v>
      </c>
      <c r="F143" s="4" t="n">
        <v>20.77</v>
      </c>
      <c r="G143" s="4" t="n">
        <v>189.53</v>
      </c>
      <c r="H143" s="4" t="n">
        <v>9.91</v>
      </c>
      <c r="I143" s="4" t="n">
        <v>53.99</v>
      </c>
      <c r="J143" s="4" t="n">
        <v>67283.6</v>
      </c>
    </row>
    <row r="144" customFormat="false" ht="15" hidden="false" customHeight="false" outlineLevel="0" collapsed="false">
      <c r="A144" s="3" t="n">
        <v>46147</v>
      </c>
      <c r="B144" s="4" t="n">
        <v>214.28</v>
      </c>
      <c r="C144" s="4" t="n">
        <v>52.27</v>
      </c>
      <c r="D144" s="4" t="n">
        <v>23.68</v>
      </c>
      <c r="E144" s="4" t="n">
        <v>58.69</v>
      </c>
      <c r="F144" s="4" t="n">
        <v>22.38</v>
      </c>
      <c r="G144" s="4" t="n">
        <v>189.13</v>
      </c>
      <c r="H144" s="4" t="n">
        <v>9.99</v>
      </c>
      <c r="I144" s="4" t="n">
        <v>55.45</v>
      </c>
      <c r="J144" s="4" t="n">
        <v>68590.57</v>
      </c>
    </row>
    <row r="145" customFormat="false" ht="15" hidden="false" customHeight="false" outlineLevel="0" collapsed="false">
      <c r="A145" s="3" t="n">
        <v>46148</v>
      </c>
      <c r="B145" s="4" t="n">
        <v>218.12</v>
      </c>
      <c r="C145" s="4" t="n">
        <v>52.56</v>
      </c>
      <c r="D145" s="4" t="n">
        <v>23.41</v>
      </c>
      <c r="E145" s="4" t="n">
        <v>59.66</v>
      </c>
      <c r="F145" s="4" t="n">
        <v>23.39</v>
      </c>
      <c r="G145" s="4" t="n">
        <v>193.33</v>
      </c>
      <c r="H145" s="4" t="n">
        <v>9.92</v>
      </c>
      <c r="I145" s="4" t="n">
        <v>55.94</v>
      </c>
      <c r="J145" s="4" t="n">
        <v>69855.23</v>
      </c>
    </row>
    <row r="146" customFormat="false" ht="15" hidden="false" customHeight="false" outlineLevel="0" collapsed="false">
      <c r="A146" s="3" t="n">
        <v>46149</v>
      </c>
      <c r="B146" s="4" t="n">
        <v>218.57</v>
      </c>
      <c r="C146" s="4" t="n">
        <v>53.36</v>
      </c>
      <c r="D146" s="4" t="n">
        <v>23.17</v>
      </c>
      <c r="E146" s="4" t="n">
        <v>60.29</v>
      </c>
      <c r="F146" s="4" t="n">
        <v>22.84</v>
      </c>
      <c r="G146" s="4" t="n">
        <v>194.85</v>
      </c>
      <c r="H146" s="4" t="n">
        <v>9.89</v>
      </c>
      <c r="I146" s="4" t="n">
        <v>56.62</v>
      </c>
      <c r="J146" s="4" t="n">
        <v>70019.45</v>
      </c>
    </row>
    <row r="147" customFormat="false" ht="15" hidden="false" customHeight="false" outlineLevel="0" collapsed="false">
      <c r="A147" s="3" t="n">
        <v>46150</v>
      </c>
      <c r="B147" s="4" t="n">
        <v>221.39</v>
      </c>
      <c r="C147" s="4" t="n">
        <v>53.52</v>
      </c>
      <c r="D147" s="4" t="n">
        <v>23.4</v>
      </c>
      <c r="E147" s="4" t="n">
        <v>58.54</v>
      </c>
      <c r="F147" s="4" t="n">
        <v>22.59</v>
      </c>
      <c r="G147" s="4" t="n">
        <v>193</v>
      </c>
      <c r="H147" s="4" t="n">
        <v>9.91</v>
      </c>
      <c r="I147" s="4" t="n">
        <v>57.02</v>
      </c>
      <c r="J147" s="4" t="n">
        <v>69855.58</v>
      </c>
    </row>
    <row r="148" customFormat="false" ht="15" hidden="false" customHeight="false" outlineLevel="0" collapsed="false">
      <c r="A148" s="3" t="n">
        <v>46153</v>
      </c>
      <c r="B148" s="4" t="n">
        <v>219.22</v>
      </c>
      <c r="C148" s="4" t="n">
        <v>53.68</v>
      </c>
      <c r="D148" s="4" t="n">
        <v>23.67</v>
      </c>
      <c r="E148" s="4" t="n">
        <v>59.32</v>
      </c>
      <c r="F148" s="4" t="n">
        <v>22.83</v>
      </c>
      <c r="G148" s="4" t="n">
        <v>192.15</v>
      </c>
      <c r="H148" s="4" t="n">
        <v>9.86</v>
      </c>
      <c r="I148" s="4" t="n">
        <v>57.24</v>
      </c>
      <c r="J148" s="4" t="n">
        <v>70246.3</v>
      </c>
    </row>
    <row r="149" customFormat="false" ht="15" hidden="false" customHeight="false" outlineLevel="0" collapsed="false">
      <c r="A149" s="3" t="n">
        <v>46154</v>
      </c>
      <c r="B149" s="4" t="n">
        <v>215.36</v>
      </c>
      <c r="C149" s="4" t="n">
        <v>52.96</v>
      </c>
      <c r="D149" s="4" t="n">
        <v>23.36</v>
      </c>
      <c r="E149" s="4" t="n">
        <v>58.84</v>
      </c>
      <c r="F149" s="4" t="n">
        <v>22.72</v>
      </c>
      <c r="G149" s="4" t="n">
        <v>192.1</v>
      </c>
      <c r="H149" s="4" t="n">
        <v>9.9</v>
      </c>
      <c r="I149" s="4" t="n">
        <v>55.71</v>
      </c>
      <c r="J149" s="4" t="n">
        <v>70036.66</v>
      </c>
    </row>
    <row r="150" customFormat="false" ht="15" hidden="false" customHeight="false" outlineLevel="0" collapsed="false">
      <c r="A150" s="3" t="n">
        <v>46155</v>
      </c>
      <c r="B150" s="4" t="n">
        <v>217.85</v>
      </c>
      <c r="C150" s="4" t="n">
        <v>53.24</v>
      </c>
      <c r="D150" s="4" t="n">
        <v>23.38</v>
      </c>
      <c r="E150" s="4" t="n">
        <v>58.44</v>
      </c>
      <c r="F150" s="4" t="n">
        <v>22.78</v>
      </c>
      <c r="G150" s="4" t="n">
        <v>193.19</v>
      </c>
      <c r="H150" s="4" t="n">
        <v>9.85</v>
      </c>
      <c r="I150" s="4" t="n">
        <v>55.64</v>
      </c>
      <c r="J150" s="4" t="n">
        <v>70187.45</v>
      </c>
    </row>
    <row r="151" customFormat="false" ht="15" hidden="false" customHeight="false" outlineLevel="0" collapsed="false">
      <c r="A151" s="3" t="n">
        <v>46156</v>
      </c>
      <c r="B151" s="4" t="n">
        <v>215.24</v>
      </c>
      <c r="C151" s="4" t="n">
        <v>52.29</v>
      </c>
      <c r="D151" s="4" t="n">
        <v>23.39</v>
      </c>
      <c r="E151" s="4" t="n">
        <v>59.03</v>
      </c>
      <c r="F151" s="4" t="n">
        <v>22.66</v>
      </c>
      <c r="G151" s="4" t="n">
        <v>185.87</v>
      </c>
      <c r="H151" s="4" t="n">
        <v>9.8</v>
      </c>
      <c r="I151" s="4" t="n">
        <v>54.53</v>
      </c>
      <c r="J151" s="4" t="n">
        <v>69206.85</v>
      </c>
    </row>
    <row r="152" customFormat="false" ht="15" hidden="false" customHeight="false" outlineLevel="0" collapsed="false">
      <c r="A152" s="3" t="n">
        <v>46157</v>
      </c>
      <c r="B152" s="4" t="n">
        <v>216.39</v>
      </c>
      <c r="C152" s="4" t="n">
        <v>52.02</v>
      </c>
      <c r="D152" s="4" t="n">
        <v>23.14</v>
      </c>
      <c r="E152" s="4" t="n">
        <v>59.26</v>
      </c>
      <c r="F152" s="4" t="n">
        <v>21.82</v>
      </c>
      <c r="G152" s="4" t="n">
        <v>184.23</v>
      </c>
      <c r="H152" s="4" t="n">
        <v>9.91</v>
      </c>
      <c r="I152" s="4" t="n">
        <v>54.74</v>
      </c>
      <c r="J152" s="4" t="n">
        <v>67976.5</v>
      </c>
    </row>
    <row r="153" customFormat="false" ht="15" hidden="false" customHeight="false" outlineLevel="0" collapsed="false">
      <c r="A153" s="3" t="n">
        <v>46160</v>
      </c>
      <c r="B153" s="4" t="n">
        <v>219.47</v>
      </c>
      <c r="C153" s="4" t="n">
        <v>50.92</v>
      </c>
      <c r="D153" s="4" t="n">
        <v>23.23</v>
      </c>
      <c r="E153" s="4" t="n">
        <v>58</v>
      </c>
      <c r="F153" s="4" t="n">
        <v>21.97</v>
      </c>
      <c r="G153" s="4" t="n">
        <v>188.68</v>
      </c>
      <c r="H153" s="4" t="n">
        <v>9.81</v>
      </c>
      <c r="I153" s="4" t="n">
        <v>56.07</v>
      </c>
      <c r="J153" s="4" t="n">
        <v>68405.2</v>
      </c>
    </row>
    <row r="154" customFormat="false" ht="15" hidden="false" customHeight="false" outlineLevel="0" collapsed="false">
      <c r="A154" s="3" t="n">
        <v>46161</v>
      </c>
      <c r="B154" s="4" t="n">
        <v>218.87</v>
      </c>
      <c r="C154" s="4" t="n">
        <v>50.88</v>
      </c>
      <c r="D154" s="4" t="n">
        <v>23.19</v>
      </c>
      <c r="E154" s="4" t="n">
        <v>59.8</v>
      </c>
      <c r="F154" s="4" t="n">
        <v>21.39</v>
      </c>
      <c r="G154" s="4" t="n">
        <v>191.91</v>
      </c>
      <c r="H154" s="4" t="n">
        <v>9.86</v>
      </c>
      <c r="I154" s="4" t="n">
        <v>55.57</v>
      </c>
      <c r="J154" s="4" t="n">
        <v>68555.63</v>
      </c>
    </row>
    <row r="155" customFormat="false" ht="15" hidden="false" customHeight="false" outlineLevel="0" collapsed="false">
      <c r="A155" s="3" t="n">
        <v>46162</v>
      </c>
      <c r="B155" s="4" t="n">
        <v>220.32</v>
      </c>
      <c r="C155" s="4" t="n">
        <v>52.18</v>
      </c>
      <c r="D155" s="4" t="n">
        <v>23.12</v>
      </c>
      <c r="E155" s="4" t="n">
        <v>59.76</v>
      </c>
      <c r="F155" s="4" t="n">
        <v>21.87</v>
      </c>
      <c r="G155" s="4" t="n">
        <v>188.87</v>
      </c>
      <c r="H155" s="4" t="n">
        <v>9.81</v>
      </c>
      <c r="I155" s="4" t="n">
        <v>55.65</v>
      </c>
      <c r="J155" s="4" t="n">
        <v>68893.93</v>
      </c>
    </row>
    <row r="156" customFormat="false" ht="15" hidden="false" customHeight="false" outlineLevel="0" collapsed="false">
      <c r="A156" s="3" t="n">
        <v>46163</v>
      </c>
      <c r="B156" s="4" t="n">
        <v>222.15</v>
      </c>
      <c r="C156" s="4" t="n">
        <v>52.03</v>
      </c>
      <c r="D156" s="4" t="n">
        <v>22.8</v>
      </c>
      <c r="E156" s="4" t="n">
        <v>57.95</v>
      </c>
      <c r="F156" s="4" t="n">
        <v>21.76</v>
      </c>
      <c r="G156" s="4" t="n">
        <v>186.93</v>
      </c>
      <c r="H156" s="4" t="n">
        <v>9.68</v>
      </c>
      <c r="I156" s="4" t="n">
        <v>55.29</v>
      </c>
      <c r="J156" s="4" t="n">
        <v>68384.41</v>
      </c>
    </row>
    <row r="157" customFormat="false" ht="15" hidden="false" customHeight="false" outlineLevel="0" collapsed="false">
      <c r="A157" s="3" t="n">
        <v>46164</v>
      </c>
      <c r="B157" s="4" t="n">
        <v>220.96</v>
      </c>
      <c r="C157" s="4" t="n">
        <v>51.77</v>
      </c>
      <c r="D157" s="4" t="n">
        <v>22.74</v>
      </c>
      <c r="E157" s="4" t="n">
        <v>58.05</v>
      </c>
      <c r="F157" s="4" t="n">
        <v>21.8</v>
      </c>
      <c r="G157" s="4" t="n">
        <v>190.75</v>
      </c>
      <c r="H157" s="4" t="n">
        <v>9.76</v>
      </c>
      <c r="I157" s="4" t="n">
        <v>55.55</v>
      </c>
      <c r="J157" s="4" t="n">
        <v>68333.47</v>
      </c>
    </row>
    <row r="158" customFormat="false" ht="15" hidden="false" customHeight="false" outlineLevel="0" collapsed="false">
      <c r="A158" s="3" t="n">
        <v>46167</v>
      </c>
      <c r="B158" s="4" t="n">
        <v>221.59</v>
      </c>
      <c r="C158" s="4" t="n">
        <v>51.36</v>
      </c>
      <c r="D158" s="4" t="n">
        <v>22.28</v>
      </c>
      <c r="E158" s="4" t="n">
        <v>57.96</v>
      </c>
      <c r="F158" s="4" t="n">
        <v>22.07</v>
      </c>
      <c r="G158" s="4" t="n">
        <v>188.63</v>
      </c>
      <c r="H158" s="4" t="n">
        <v>9.65</v>
      </c>
      <c r="I158" s="4" t="n">
        <v>55.2</v>
      </c>
      <c r="J158" s="4" t="n">
        <v>68261.17</v>
      </c>
    </row>
    <row r="159" customFormat="false" ht="15" hidden="false" customHeight="false" outlineLevel="0" collapsed="false">
      <c r="A159" s="3" t="n">
        <v>46168</v>
      </c>
      <c r="B159" s="4" t="n">
        <v>225.77</v>
      </c>
      <c r="C159" s="4" t="n">
        <v>51.62</v>
      </c>
      <c r="D159" s="4" t="n">
        <v>22.5</v>
      </c>
      <c r="E159" s="4" t="n">
        <v>58.67</v>
      </c>
      <c r="F159" s="4" t="n">
        <v>22.63</v>
      </c>
      <c r="G159" s="4" t="n">
        <v>192.78</v>
      </c>
      <c r="H159" s="4" t="n">
        <v>9.87</v>
      </c>
      <c r="I159" s="4" t="n">
        <v>54.39</v>
      </c>
      <c r="J159" s="4" t="n">
        <v>69197.57</v>
      </c>
    </row>
    <row r="160" customFormat="false" ht="15" hidden="false" customHeight="false" outlineLevel="0" collapsed="false">
      <c r="A160" s="3" t="n">
        <v>46169</v>
      </c>
      <c r="B160" s="4" t="n">
        <v>229.4</v>
      </c>
      <c r="C160" s="4" t="n">
        <v>52.95</v>
      </c>
      <c r="D160" s="4" t="n">
        <v>22.61</v>
      </c>
      <c r="E160" s="4" t="n">
        <v>59.36</v>
      </c>
      <c r="F160" s="4" t="n">
        <v>22.94</v>
      </c>
      <c r="G160" s="4" t="n">
        <v>199.42</v>
      </c>
      <c r="H160" s="4" t="n">
        <v>9.88</v>
      </c>
      <c r="I160" s="4" t="n">
        <v>54.58</v>
      </c>
      <c r="J160" s="4" t="n">
        <v>70021.35</v>
      </c>
    </row>
    <row r="161" customFormat="false" ht="15" hidden="false" customHeight="false" outlineLevel="0" collapsed="false">
      <c r="A161" s="3" t="n">
        <v>46170</v>
      </c>
      <c r="B161" s="4" t="n">
        <v>225.1</v>
      </c>
      <c r="C161" s="4" t="n">
        <v>53.04</v>
      </c>
      <c r="D161" s="4" t="n">
        <v>22.4</v>
      </c>
      <c r="E161" s="4" t="n">
        <v>58.81</v>
      </c>
      <c r="F161" s="4" t="n">
        <v>22.71</v>
      </c>
      <c r="G161" s="4" t="n">
        <v>185.11</v>
      </c>
      <c r="H161" s="4" t="n">
        <v>9.69</v>
      </c>
      <c r="I161" s="4" t="n">
        <v>52.46</v>
      </c>
      <c r="J161" s="4" t="n">
        <v>68866.28</v>
      </c>
    </row>
    <row r="162" customFormat="false" ht="15" hidden="false" customHeight="false" outlineLevel="0" collapsed="false">
      <c r="A162" s="3" t="n">
        <v>46171</v>
      </c>
      <c r="B162" s="4" t="n">
        <v>225.13</v>
      </c>
      <c r="C162" s="4" t="n">
        <v>53.07</v>
      </c>
      <c r="D162" s="4" t="n">
        <v>21.98</v>
      </c>
      <c r="E162" s="4" t="n">
        <v>59.69</v>
      </c>
      <c r="F162" s="4" t="n">
        <v>22.83</v>
      </c>
      <c r="G162" s="4" t="n">
        <v>180.79</v>
      </c>
      <c r="H162" s="4" t="n">
        <v>9.31</v>
      </c>
      <c r="I162" s="4" t="n">
        <v>52.4</v>
      </c>
      <c r="J162" s="4" t="n">
        <v>68587.74</v>
      </c>
    </row>
    <row r="163" customFormat="false" ht="15" hidden="false" customHeight="false" outlineLevel="0" collapsed="false">
      <c r="A163" s="3" t="n">
        <v>46174</v>
      </c>
      <c r="B163" s="4" t="n">
        <v>222.09</v>
      </c>
      <c r="C163" s="4" t="n">
        <v>52.54</v>
      </c>
      <c r="D163" s="4" t="n">
        <v>21.94</v>
      </c>
      <c r="E163" s="4" t="n">
        <v>57.53</v>
      </c>
      <c r="F163" s="4" t="n">
        <v>22.83</v>
      </c>
      <c r="G163" s="4" t="n">
        <v>180.43</v>
      </c>
      <c r="H163" s="4" t="n">
        <v>9.32</v>
      </c>
      <c r="I163" s="4" t="n">
        <v>52.13</v>
      </c>
      <c r="J163" s="4" t="n">
        <v>68137.03</v>
      </c>
    </row>
    <row r="164" customFormat="false" ht="15" hidden="false" customHeight="false" outlineLevel="0" collapsed="false">
      <c r="A164" s="3" t="n">
        <v>46175</v>
      </c>
      <c r="B164" s="4" t="n">
        <v>222.4</v>
      </c>
      <c r="C164" s="4" t="n">
        <v>53.32</v>
      </c>
      <c r="D164" s="4" t="n">
        <v>22.25</v>
      </c>
      <c r="E164" s="4" t="n">
        <v>58.18</v>
      </c>
      <c r="F164" s="4" t="n">
        <v>22.75</v>
      </c>
      <c r="G164" s="4" t="n">
        <v>182.25</v>
      </c>
      <c r="H164" s="4" t="n">
        <v>9.22</v>
      </c>
      <c r="I164" s="4" t="n">
        <v>51.95</v>
      </c>
      <c r="J164" s="4" t="n">
        <v>68890.33</v>
      </c>
    </row>
    <row r="165" customFormat="false" ht="15" hidden="false" customHeight="false" outlineLevel="0" collapsed="false">
      <c r="A165" s="3" t="n">
        <v>46176</v>
      </c>
      <c r="B165" s="4" t="n">
        <v>220.54</v>
      </c>
      <c r="C165" s="4" t="n">
        <v>52.25</v>
      </c>
      <c r="D165" s="4" t="n">
        <v>22.2</v>
      </c>
      <c r="E165" s="4" t="n">
        <v>58.38</v>
      </c>
      <c r="F165" s="4" t="n">
        <v>22.45</v>
      </c>
      <c r="G165" s="4" t="n">
        <v>180.69</v>
      </c>
      <c r="H165" s="4" t="n">
        <v>9.04</v>
      </c>
      <c r="I165" s="4" t="n">
        <v>52.17</v>
      </c>
      <c r="J165" s="4" t="n">
        <v>68285.82</v>
      </c>
    </row>
    <row r="166" customFormat="false" ht="15" hidden="false" customHeight="false" outlineLevel="0" collapsed="false">
      <c r="A166" s="3" t="n">
        <v>46177</v>
      </c>
      <c r="B166" s="4" t="n">
        <v>217.84</v>
      </c>
      <c r="C166" s="4" t="n">
        <v>51.25</v>
      </c>
      <c r="D166" s="4" t="n">
        <v>21.86</v>
      </c>
      <c r="E166" s="4" t="n">
        <v>57.1</v>
      </c>
      <c r="F166" s="4" t="n">
        <v>22.44</v>
      </c>
      <c r="G166" s="4" t="n">
        <v>179.48</v>
      </c>
      <c r="H166" s="4" t="n">
        <v>9.33</v>
      </c>
      <c r="I166" s="4" t="n">
        <v>51.49</v>
      </c>
      <c r="J166" s="4" t="n">
        <v>67392.19</v>
      </c>
    </row>
    <row r="167" customFormat="false" ht="15" hidden="false" customHeight="false" outlineLevel="0" collapsed="false">
      <c r="A167" s="3" t="n">
        <v>46178</v>
      </c>
      <c r="B167" s="4" t="n">
        <v>215.61</v>
      </c>
      <c r="C167" s="4" t="n">
        <v>49.51</v>
      </c>
      <c r="D167" s="4" t="n">
        <v>21.67</v>
      </c>
      <c r="E167" s="4" t="n">
        <v>55.85</v>
      </c>
      <c r="F167" s="4" t="n">
        <v>21.77</v>
      </c>
      <c r="G167" s="4" t="n">
        <v>177.45</v>
      </c>
      <c r="H167" s="4" t="n">
        <v>9.24</v>
      </c>
      <c r="I167" s="4" t="n">
        <v>51.09</v>
      </c>
      <c r="J167" s="4" t="n">
        <v>66141.38</v>
      </c>
    </row>
    <row r="168" customFormat="false" ht="15" hidden="false" customHeight="false" outlineLevel="0" collapsed="false">
      <c r="A168" s="3" t="n">
        <v>46181</v>
      </c>
      <c r="B168" s="4" t="n">
        <v>214.96</v>
      </c>
      <c r="C168" s="4" t="n">
        <v>49.5</v>
      </c>
      <c r="D168" s="4" t="n">
        <v>21.71</v>
      </c>
      <c r="E168" s="4" t="n">
        <v>55.88</v>
      </c>
      <c r="F168" s="4" t="n">
        <v>21.12</v>
      </c>
      <c r="G168" s="4" t="n">
        <v>175.28</v>
      </c>
      <c r="H168" s="4" t="n">
        <v>9.3</v>
      </c>
      <c r="I168" s="4" t="n">
        <v>51.35</v>
      </c>
      <c r="J168" s="4" t="n">
        <v>65650.23</v>
      </c>
    </row>
    <row r="169" customFormat="false" ht="15" hidden="false" customHeight="false" outlineLevel="0" collapsed="false">
      <c r="A169" s="3" t="n">
        <v>46182</v>
      </c>
      <c r="B169" s="4" t="n">
        <v>211.38</v>
      </c>
      <c r="C169" s="4" t="n">
        <v>48.21</v>
      </c>
      <c r="D169" s="4" t="n">
        <v>22.06</v>
      </c>
      <c r="E169" s="4" t="n">
        <v>55.61</v>
      </c>
      <c r="F169" s="4" t="n">
        <v>21.03</v>
      </c>
      <c r="G169" s="4" t="n">
        <v>174.81</v>
      </c>
      <c r="H169" s="4" t="n">
        <v>9.71</v>
      </c>
      <c r="I169" s="4" t="n">
        <v>50.62</v>
      </c>
      <c r="J169" s="4" t="n">
        <v>65409.48</v>
      </c>
    </row>
    <row r="170" customFormat="false" ht="15" hidden="false" customHeight="false" outlineLevel="0" collapsed="false">
      <c r="A170" s="3" t="n">
        <v>46183</v>
      </c>
      <c r="B170" s="4" t="n">
        <v>209.47</v>
      </c>
      <c r="C170" s="4" t="n">
        <v>48.08</v>
      </c>
      <c r="D170" s="4" t="n">
        <v>22.12</v>
      </c>
      <c r="E170" s="4" t="n">
        <v>56.67</v>
      </c>
      <c r="F170" s="4" t="n">
        <v>20.63</v>
      </c>
      <c r="G170" s="4" t="n">
        <v>175.13</v>
      </c>
      <c r="H170" s="4" t="n">
        <v>9.81</v>
      </c>
      <c r="I170" s="4" t="n">
        <v>50.21</v>
      </c>
      <c r="J170" s="4" t="n">
        <v>64821.61</v>
      </c>
    </row>
    <row r="171" customFormat="false" ht="15" hidden="false" customHeight="false" outlineLevel="0" collapsed="false">
      <c r="A171" s="3" t="n">
        <v>46184</v>
      </c>
      <c r="B171" s="4" t="n">
        <v>209.74</v>
      </c>
      <c r="C171" s="4" t="n">
        <v>48.11</v>
      </c>
      <c r="D171" s="4" t="n">
        <v>23.84</v>
      </c>
      <c r="E171" s="4" t="n">
        <v>58.24</v>
      </c>
      <c r="F171" s="4" t="n">
        <v>21.88</v>
      </c>
      <c r="G171" s="4" t="n">
        <v>182.62</v>
      </c>
      <c r="H171" s="4" t="n">
        <v>9.85</v>
      </c>
      <c r="I171" s="4" t="n">
        <v>51.81</v>
      </c>
      <c r="J171" s="4" t="n">
        <v>66977.05</v>
      </c>
    </row>
    <row r="172" customFormat="false" ht="15" hidden="false" customHeight="false" outlineLevel="0" collapsed="false">
      <c r="A172" s="3" t="n">
        <v>46185</v>
      </c>
      <c r="B172" s="4" t="n">
        <v>209.61</v>
      </c>
      <c r="C172" s="4" t="n">
        <v>48.16</v>
      </c>
      <c r="D172" s="4" t="n">
        <v>23.88</v>
      </c>
      <c r="E172" s="4" t="n">
        <v>58.15</v>
      </c>
      <c r="F172" s="4" t="n">
        <v>22.37</v>
      </c>
      <c r="G172" s="4" t="n">
        <v>188.65</v>
      </c>
      <c r="H172" s="4" t="n">
        <v>9.95</v>
      </c>
      <c r="I172" s="4" t="n">
        <v>52.08</v>
      </c>
      <c r="J172" s="4" t="n">
        <v>67954.55</v>
      </c>
    </row>
    <row r="173" customFormat="false" ht="15" hidden="false" customHeight="false" outlineLevel="0" collapsed="false">
      <c r="A173" s="3" t="n">
        <v>46188</v>
      </c>
      <c r="B173" s="4" t="n">
        <v>212.42</v>
      </c>
      <c r="C173" s="4" t="n">
        <v>46.47</v>
      </c>
      <c r="D173" s="4" t="n">
        <v>23.35</v>
      </c>
      <c r="E173" s="4" t="n">
        <v>58.09</v>
      </c>
      <c r="F173" s="4" t="n">
        <v>22.24</v>
      </c>
      <c r="G173" s="4" t="n">
        <v>187.61</v>
      </c>
      <c r="H173" s="4" t="n">
        <v>10.18</v>
      </c>
      <c r="I173" s="4" t="n">
        <v>52.64</v>
      </c>
      <c r="J173" s="4" t="n">
        <v>68207.6</v>
      </c>
    </row>
    <row r="174" customFormat="false" ht="15" hidden="false" customHeight="false" outlineLevel="0" collapsed="false">
      <c r="A174" s="3" t="n">
        <v>46189</v>
      </c>
      <c r="B174" s="4" t="n">
        <v>214.79</v>
      </c>
      <c r="C174" s="4" t="n">
        <v>46.9</v>
      </c>
      <c r="D174" s="4" t="n">
        <v>23.13</v>
      </c>
      <c r="E174" s="4" t="n">
        <v>58</v>
      </c>
      <c r="F174" s="4" t="n">
        <v>22.35</v>
      </c>
      <c r="G174" s="4" t="n">
        <v>189.38</v>
      </c>
      <c r="H174" s="4" t="n">
        <v>10.24</v>
      </c>
      <c r="I174" s="4" t="n">
        <v>52.2</v>
      </c>
      <c r="J174" s="4" t="n">
        <v>68482.94</v>
      </c>
    </row>
    <row r="175" customFormat="false" ht="15" hidden="false" customHeight="false" outlineLevel="0" collapsed="false">
      <c r="A175" s="3" t="n">
        <v>46190</v>
      </c>
      <c r="B175" s="4" t="n">
        <v>214.42</v>
      </c>
      <c r="C175" s="4" t="n">
        <v>48.14</v>
      </c>
      <c r="D175" s="4" t="n">
        <v>22.92</v>
      </c>
      <c r="E175" s="4" t="n">
        <v>57.72</v>
      </c>
      <c r="F175" s="4" t="n">
        <v>21.84</v>
      </c>
      <c r="G175" s="4" t="n">
        <v>191.11</v>
      </c>
      <c r="H175" s="4" t="n">
        <v>10.51</v>
      </c>
      <c r="I175" s="4" t="n">
        <v>51.79</v>
      </c>
      <c r="J175" s="4" t="n">
        <v>68304.73</v>
      </c>
    </row>
    <row r="176" customFormat="false" ht="15" hidden="false" customHeight="false" outlineLevel="0" collapsed="false">
      <c r="A176" s="3" t="n">
        <v>46191</v>
      </c>
      <c r="B176" s="4" t="n">
        <v>210.45</v>
      </c>
      <c r="C176" s="4" t="n">
        <v>46.78</v>
      </c>
      <c r="D176" s="4" t="n">
        <v>22.98</v>
      </c>
      <c r="E176" s="4" t="n">
        <v>57.02</v>
      </c>
      <c r="F176" s="4" t="n">
        <v>22.22</v>
      </c>
      <c r="G176" s="4" t="n">
        <v>191.53</v>
      </c>
      <c r="H176" s="4" t="n">
        <v>10.49</v>
      </c>
      <c r="I176" s="4" t="n">
        <v>50.29</v>
      </c>
      <c r="J176" s="4" t="n">
        <v>68265.11</v>
      </c>
    </row>
    <row r="177" customFormat="false" ht="15" hidden="false" customHeight="false" outlineLevel="0" collapsed="false">
      <c r="A177" s="3" t="n">
        <v>46192</v>
      </c>
      <c r="B177" s="4" t="n">
        <v>208.87</v>
      </c>
      <c r="C177" s="4" t="n">
        <v>47.04</v>
      </c>
      <c r="D177" s="4" t="n">
        <v>23.47</v>
      </c>
      <c r="E177" s="4" t="n">
        <v>58.74</v>
      </c>
      <c r="F177" s="4" t="n">
        <v>21.53</v>
      </c>
      <c r="G177" s="4" t="n">
        <v>189.25</v>
      </c>
      <c r="H177" s="4" t="n">
        <v>10.21</v>
      </c>
      <c r="I177" s="4" t="n">
        <v>51.38</v>
      </c>
      <c r="J177" s="4" t="n">
        <v>67705.37</v>
      </c>
    </row>
    <row r="178" customFormat="false" ht="15" hidden="false" customHeight="false" outlineLevel="0" collapsed="false">
      <c r="A178" s="3" t="n">
        <v>46195</v>
      </c>
      <c r="B178" s="4" t="n">
        <v>206.73</v>
      </c>
      <c r="C178" s="4" t="n">
        <v>46.19</v>
      </c>
      <c r="D178" s="4" t="n">
        <v>22.66</v>
      </c>
      <c r="E178" s="4" t="n">
        <v>56.22</v>
      </c>
      <c r="F178" s="4" t="n">
        <v>21.76</v>
      </c>
      <c r="G178" s="4" t="n">
        <v>187.88</v>
      </c>
      <c r="H178" s="4" t="n">
        <v>9.5</v>
      </c>
      <c r="I178" s="4" t="n">
        <v>50.57</v>
      </c>
      <c r="J178" s="4" t="n">
        <v>67125.26</v>
      </c>
    </row>
    <row r="179" customFormat="false" ht="15" hidden="false" customHeight="false" outlineLevel="0" collapsed="false">
      <c r="A179" s="3" t="n">
        <v>46196</v>
      </c>
      <c r="B179" s="4" t="n">
        <v>209.95</v>
      </c>
      <c r="C179" s="4" t="n">
        <v>46.34</v>
      </c>
      <c r="D179" s="4" t="n">
        <v>22.71</v>
      </c>
      <c r="E179" s="4" t="n">
        <v>55.89</v>
      </c>
      <c r="F179" s="4" t="n">
        <v>21.34</v>
      </c>
      <c r="G179" s="4" t="n">
        <v>184.77</v>
      </c>
      <c r="H179" s="4" t="n">
        <v>9.48</v>
      </c>
      <c r="I179" s="4" t="n">
        <v>50.82</v>
      </c>
      <c r="J179" s="4" t="n">
        <v>66848.42</v>
      </c>
    </row>
    <row r="180" customFormat="false" ht="15" hidden="false" customHeight="false" outlineLevel="0" collapsed="false">
      <c r="A180" s="3" t="n">
        <v>46197</v>
      </c>
      <c r="B180" s="4" t="n">
        <v>210.68</v>
      </c>
      <c r="C180" s="4" t="n">
        <v>44.89</v>
      </c>
      <c r="D180" s="4" t="n">
        <v>22.9</v>
      </c>
      <c r="E180" s="4" t="n">
        <v>55.21</v>
      </c>
      <c r="F180" s="4" t="n">
        <v>21.09</v>
      </c>
      <c r="G180" s="4" t="n">
        <v>182.29</v>
      </c>
      <c r="H180" s="4" t="n">
        <v>9.74</v>
      </c>
      <c r="I180" s="4" t="n">
        <v>51.51</v>
      </c>
      <c r="J180" s="4" t="n">
        <v>66278.01</v>
      </c>
    </row>
    <row r="181" customFormat="false" ht="15" hidden="false" customHeight="false" outlineLevel="0" collapsed="false">
      <c r="A181" s="3" t="n">
        <v>46198</v>
      </c>
      <c r="B181" s="4" t="n">
        <v>211.35</v>
      </c>
      <c r="C181" s="4" t="n">
        <v>44.32</v>
      </c>
      <c r="D181" s="4" t="n">
        <v>23.03</v>
      </c>
      <c r="E181" s="4" t="n">
        <v>56.16</v>
      </c>
      <c r="F181" s="4" t="n">
        <v>21.72</v>
      </c>
      <c r="G181" s="4" t="n">
        <v>185.85</v>
      </c>
      <c r="H181" s="4" t="n">
        <v>9.62</v>
      </c>
      <c r="I181" s="4" t="n">
        <v>51.12</v>
      </c>
      <c r="J181" s="4" t="n">
        <v>67416.22</v>
      </c>
    </row>
    <row r="182" customFormat="false" ht="15" hidden="false" customHeight="false" outlineLevel="0" collapsed="false">
      <c r="A182" s="3" t="n">
        <v>46199</v>
      </c>
      <c r="B182" s="4" t="n">
        <v>211.49</v>
      </c>
      <c r="C182" s="4" t="n">
        <v>44.46</v>
      </c>
      <c r="D182" s="4" t="n">
        <v>23.21</v>
      </c>
      <c r="E182" s="4" t="n">
        <v>57.01</v>
      </c>
      <c r="F182" s="4" t="n">
        <v>21.54</v>
      </c>
      <c r="G182" s="4" t="n">
        <v>182.23</v>
      </c>
      <c r="H182" s="4" t="n">
        <v>9.49</v>
      </c>
      <c r="I182" s="4" t="n">
        <v>50.8</v>
      </c>
      <c r="J182" s="4" t="n">
        <v>67226.01</v>
      </c>
    </row>
    <row r="183" customFormat="false" ht="15" hidden="false" customHeight="false" outlineLevel="0" collapsed="false">
      <c r="A183" s="3" t="n">
        <v>46202</v>
      </c>
      <c r="B183" s="4" t="n">
        <v>210.84</v>
      </c>
      <c r="C183" s="4" t="n">
        <v>44.66</v>
      </c>
      <c r="D183" s="4" t="n">
        <v>23.33</v>
      </c>
      <c r="E183" s="4" t="n">
        <v>56.98</v>
      </c>
      <c r="F183" s="4" t="n">
        <v>21.27</v>
      </c>
      <c r="G183" s="4" t="n">
        <v>185.02</v>
      </c>
      <c r="H183" s="4" t="n">
        <v>9.67</v>
      </c>
      <c r="I183" s="4" t="n">
        <v>51.14</v>
      </c>
      <c r="J183" s="4" t="n">
        <v>67640.59</v>
      </c>
    </row>
    <row r="184" customFormat="false" ht="15" hidden="false" customHeight="false" outlineLevel="0" collapsed="false">
      <c r="A184" s="3" t="n">
        <v>46203</v>
      </c>
      <c r="B184" s="4" t="n">
        <v>209.58</v>
      </c>
      <c r="C184" s="4" t="n">
        <v>45.8</v>
      </c>
      <c r="D184" s="4" t="n">
        <v>22.65</v>
      </c>
      <c r="E184" s="4" t="n">
        <v>57.15</v>
      </c>
      <c r="F184" s="4" t="n">
        <v>21</v>
      </c>
      <c r="G184" s="4" t="n">
        <v>184.57</v>
      </c>
      <c r="H184" s="4" t="n">
        <v>9.57</v>
      </c>
      <c r="I184" s="4" t="n">
        <v>51.37</v>
      </c>
      <c r="J184" s="4" t="n">
        <v>66966.68</v>
      </c>
    </row>
    <row r="185" customFormat="false" ht="15" hidden="false" customHeight="false" outlineLevel="0" collapsed="false">
      <c r="A185" s="3" t="n">
        <v>46204</v>
      </c>
      <c r="B185" s="4" t="n">
        <v>208.58</v>
      </c>
      <c r="C185" s="4" t="n">
        <v>45.22</v>
      </c>
      <c r="D185" s="4" t="n">
        <v>22.54</v>
      </c>
      <c r="E185" s="4" t="n">
        <v>56.27</v>
      </c>
      <c r="F185" s="4" t="n">
        <v>21.36</v>
      </c>
      <c r="G185" s="4" t="n">
        <v>189.77</v>
      </c>
      <c r="H185" s="4" t="n">
        <v>9.54</v>
      </c>
      <c r="I185" s="4" t="n">
        <v>51.07</v>
      </c>
      <c r="J185" s="4" t="n">
        <v>67247.79</v>
      </c>
    </row>
    <row r="186" customFormat="false" ht="15" hidden="false" customHeight="false" outlineLevel="0" collapsed="false">
      <c r="A186" s="3" t="n">
        <v>46205</v>
      </c>
      <c r="B186" s="4" t="n">
        <v>208.63</v>
      </c>
      <c r="C186" s="4" t="n">
        <v>45.53</v>
      </c>
      <c r="D186" s="4" t="n">
        <v>22.42</v>
      </c>
      <c r="E186" s="4" t="n">
        <v>56.39</v>
      </c>
      <c r="F186" s="4" t="n">
        <v>21.37</v>
      </c>
      <c r="G186" s="4" t="n">
        <v>187.7</v>
      </c>
      <c r="H186" s="4" t="n">
        <v>9.34</v>
      </c>
      <c r="I186" s="4" t="n">
        <v>49.76</v>
      </c>
      <c r="J186" s="4" t="n">
        <v>67071.11</v>
      </c>
    </row>
    <row r="187" customFormat="false" ht="15" hidden="false" customHeight="false" outlineLevel="0" collapsed="false">
      <c r="A187" s="3" t="n">
        <v>46206</v>
      </c>
      <c r="B187" s="4" t="n">
        <v>206.85</v>
      </c>
      <c r="C187" s="4" t="n">
        <v>45.1</v>
      </c>
      <c r="D187" s="4" t="n">
        <v>22.54</v>
      </c>
      <c r="E187" s="4" t="n">
        <v>56.28</v>
      </c>
      <c r="F187" s="4" t="n">
        <v>21.43</v>
      </c>
      <c r="G187" s="4" t="n">
        <v>187.05</v>
      </c>
      <c r="H187" s="4" t="n">
        <v>9.43</v>
      </c>
      <c r="I187" s="4" t="n">
        <v>50.11</v>
      </c>
      <c r="J187" s="4" t="n">
        <v>67060.49</v>
      </c>
    </row>
    <row r="188" customFormat="false" ht="15" hidden="false" customHeight="false" outlineLevel="0" collapsed="false">
      <c r="A188" s="3" t="n">
        <v>46209</v>
      </c>
      <c r="B188" s="4" t="n">
        <v>205.57</v>
      </c>
      <c r="C188" s="4" t="n">
        <v>44.69</v>
      </c>
      <c r="D188" s="4" t="n">
        <v>22.77</v>
      </c>
      <c r="E188" s="4" t="n">
        <v>57.04</v>
      </c>
      <c r="F188" s="4" t="n">
        <v>21.41</v>
      </c>
      <c r="G188" s="4" t="n">
        <v>188.41</v>
      </c>
      <c r="H188" s="4" t="n">
        <v>9.58</v>
      </c>
      <c r="I188" s="4" t="n">
        <v>49.06</v>
      </c>
      <c r="J188" s="4" t="n">
        <v>67466.46</v>
      </c>
    </row>
    <row r="189" customFormat="false" ht="15" hidden="false" customHeight="false" outlineLevel="0" collapsed="false">
      <c r="A189" s="3" t="n">
        <v>46210</v>
      </c>
      <c r="B189" s="4" t="n">
        <v>208.25</v>
      </c>
      <c r="C189" s="4" t="n">
        <v>44.52</v>
      </c>
      <c r="D189" s="4" t="n">
        <v>22.96</v>
      </c>
      <c r="E189" s="4" t="n">
        <v>56.68</v>
      </c>
      <c r="F189" s="4" t="n">
        <v>21.21</v>
      </c>
      <c r="G189" s="4" t="n">
        <v>188.18</v>
      </c>
      <c r="H189" s="4" t="n">
        <v>9.62</v>
      </c>
      <c r="I189" s="4" t="n">
        <v>50.08</v>
      </c>
      <c r="J189" s="4" t="n">
        <v>66674.7</v>
      </c>
    </row>
    <row r="190" customFormat="false" ht="15" hidden="false" customHeight="false" outlineLevel="0" collapsed="false">
      <c r="A190" s="3" t="n">
        <v>46211</v>
      </c>
      <c r="B190" s="4" t="n">
        <v>205.83</v>
      </c>
      <c r="C190" s="4" t="n">
        <v>44.58</v>
      </c>
      <c r="D190" s="4" t="n">
        <v>23.22</v>
      </c>
      <c r="E190" s="4" t="n">
        <v>56.86</v>
      </c>
      <c r="F190" s="4" t="n">
        <v>21.39</v>
      </c>
      <c r="G190" s="4" t="n">
        <v>186.93</v>
      </c>
      <c r="H190" s="4" t="n">
        <v>9.54</v>
      </c>
      <c r="I190" s="4" t="n">
        <v>49.68</v>
      </c>
      <c r="J190" s="4" t="n">
        <v>66609.64</v>
      </c>
    </row>
    <row r="191" customFormat="false" ht="15" hidden="false" customHeight="false" outlineLevel="0" collapsed="false">
      <c r="A191" s="3" t="n">
        <v>46212</v>
      </c>
      <c r="B191" s="4" t="n">
        <v>202.08</v>
      </c>
      <c r="C191" s="4" t="n">
        <v>44.93</v>
      </c>
      <c r="D191" s="4" t="n">
        <v>22.64</v>
      </c>
      <c r="E191" s="4" t="n">
        <v>55.93</v>
      </c>
      <c r="F191" s="4" t="n">
        <v>21.71</v>
      </c>
      <c r="G191" s="4" t="n">
        <v>185.35</v>
      </c>
      <c r="H191" s="4" t="n">
        <v>9.49</v>
      </c>
      <c r="I191" s="4" t="n">
        <v>49.02</v>
      </c>
      <c r="J191" s="4" t="n">
        <v>66107.28</v>
      </c>
    </row>
    <row r="192" customFormat="false" ht="15" hidden="false" customHeight="false" outlineLevel="0" collapsed="false">
      <c r="A192" s="3" t="n">
        <v>46213</v>
      </c>
      <c r="B192" s="4" t="n">
        <v>198.23</v>
      </c>
      <c r="C192" s="4" t="n">
        <v>44.41</v>
      </c>
      <c r="D192" s="4" t="n">
        <v>22.73</v>
      </c>
      <c r="E192" s="4" t="n">
        <v>56.1</v>
      </c>
      <c r="F192" s="4" t="n">
        <v>21.86</v>
      </c>
      <c r="G192" s="4" t="n">
        <v>186.59</v>
      </c>
      <c r="H192" s="4" t="n">
        <v>9.73</v>
      </c>
      <c r="I192" s="4" t="n">
        <v>49.32</v>
      </c>
      <c r="J192" s="4" t="n">
        <v>66496.1</v>
      </c>
    </row>
    <row r="193" customFormat="false" ht="15" hidden="false" customHeight="false" outlineLevel="0" collapsed="false">
      <c r="A193" s="3" t="n">
        <v>46216</v>
      </c>
      <c r="B193" s="4" t="n">
        <v>197.91</v>
      </c>
      <c r="C193" s="4" t="n">
        <v>43.9</v>
      </c>
      <c r="D193" s="4" t="n">
        <v>22.79</v>
      </c>
      <c r="E193" s="4" t="n">
        <v>55.87</v>
      </c>
      <c r="F193" s="4" t="n">
        <v>21.78</v>
      </c>
      <c r="G193" s="4" t="n">
        <v>182.07</v>
      </c>
      <c r="H193" s="4" t="n">
        <v>9.61</v>
      </c>
      <c r="I193" s="4" t="n">
        <v>49.65</v>
      </c>
      <c r="J193" s="4" t="n">
        <v>65973.08</v>
      </c>
    </row>
    <row r="194" customFormat="false" ht="15" hidden="false" customHeight="false" outlineLevel="0" collapsed="false">
      <c r="A194" s="3" t="n">
        <v>46217</v>
      </c>
      <c r="B194" s="4" t="n">
        <v>197.4</v>
      </c>
      <c r="C194" s="4" t="n">
        <v>42.83</v>
      </c>
      <c r="D194" s="4" t="n">
        <v>22.86</v>
      </c>
      <c r="E194" s="4" t="n">
        <v>56.36</v>
      </c>
      <c r="F194" s="4" t="n">
        <v>22.2</v>
      </c>
      <c r="G194" s="4" t="n">
        <v>186.19</v>
      </c>
      <c r="H194" s="4" t="n">
        <v>9.53</v>
      </c>
      <c r="I194" s="4" t="n">
        <v>49.27</v>
      </c>
      <c r="J194" s="4" t="n">
        <v>66514.3</v>
      </c>
    </row>
    <row r="195" customFormat="false" ht="15" hidden="false" customHeight="false" outlineLevel="0" collapsed="false">
      <c r="A195" s="3" t="n">
        <v>46218</v>
      </c>
      <c r="B195" s="4" t="n">
        <v>196.22</v>
      </c>
      <c r="C195" s="4" t="n">
        <v>41.65</v>
      </c>
      <c r="D195" s="4" t="n">
        <v>22.72</v>
      </c>
      <c r="E195" s="4" t="n">
        <v>57.52</v>
      </c>
      <c r="F195" s="4" t="n">
        <v>22.62</v>
      </c>
      <c r="G195" s="4" t="n">
        <v>183.46</v>
      </c>
      <c r="H195" s="4" t="n">
        <v>9.56</v>
      </c>
      <c r="I195" s="4" t="n">
        <v>49.7</v>
      </c>
      <c r="J195" s="4" t="n">
        <v>66399.71</v>
      </c>
    </row>
    <row r="196" customFormat="false" ht="15" hidden="false" customHeight="false" outlineLevel="0" collapsed="false">
      <c r="A196" s="3" t="n">
        <v>46219</v>
      </c>
      <c r="B196" s="4" t="n">
        <v>196.01</v>
      </c>
      <c r="C196" s="4" t="n">
        <v>41.79</v>
      </c>
      <c r="D196" s="4" t="n">
        <v>22.84</v>
      </c>
      <c r="E196" s="4" t="n">
        <v>57.92</v>
      </c>
      <c r="F196" s="4" t="n">
        <v>22.78</v>
      </c>
      <c r="G196" s="4" t="n">
        <v>180.39</v>
      </c>
      <c r="H196" s="4" t="n">
        <v>9.51</v>
      </c>
      <c r="I196" s="4" t="n">
        <v>49.56</v>
      </c>
      <c r="J196" s="4" t="n">
        <v>66356.09</v>
      </c>
    </row>
    <row r="197" customFormat="false" ht="15" hidden="false" customHeight="false" outlineLevel="0" collapsed="false">
      <c r="A197" s="3" t="n">
        <v>46220</v>
      </c>
      <c r="B197" s="4" t="n">
        <v>200.45</v>
      </c>
      <c r="C197" s="4" t="n">
        <v>41.45</v>
      </c>
      <c r="D197" s="4" t="n">
        <v>23.07</v>
      </c>
      <c r="E197" s="4" t="n">
        <v>58</v>
      </c>
      <c r="F197" s="4" t="n">
        <v>22.73</v>
      </c>
      <c r="G197" s="4" t="n">
        <v>181.15</v>
      </c>
      <c r="H197" s="4" t="n">
        <v>9.57</v>
      </c>
      <c r="I197" s="4" t="n">
        <v>49.49</v>
      </c>
      <c r="J197" s="4" t="n">
        <v>66634.23</v>
      </c>
    </row>
    <row r="198" customFormat="false" ht="15" hidden="false" customHeight="false" outlineLevel="0" collapsed="false">
      <c r="A198" s="3" t="n">
        <v>46223</v>
      </c>
      <c r="B198" s="4" t="n">
        <v>201.66</v>
      </c>
      <c r="C198" s="4" t="n">
        <v>41.4</v>
      </c>
      <c r="D198" s="4" t="n">
        <v>22.75</v>
      </c>
      <c r="E198" s="4" t="n">
        <v>59.5</v>
      </c>
      <c r="F198" s="4" t="n">
        <v>21.88</v>
      </c>
      <c r="G198" s="4" t="n">
        <v>179.98</v>
      </c>
      <c r="H198" s="4" t="n">
        <v>9.71</v>
      </c>
      <c r="I198" s="4" t="n">
        <v>49.34</v>
      </c>
      <c r="J198" s="4" t="n">
        <v>66122.78</v>
      </c>
    </row>
    <row r="199" customFormat="false" ht="15" hidden="false" customHeight="false" outlineLevel="0" collapsed="false">
      <c r="A199" s="3" t="n">
        <v>46224</v>
      </c>
      <c r="B199" s="4" t="n">
        <v>203.83</v>
      </c>
      <c r="C199" s="4" t="n">
        <v>40.02</v>
      </c>
      <c r="D199" s="4" t="n">
        <v>22.75</v>
      </c>
      <c r="E199" s="4" t="n">
        <v>59.33</v>
      </c>
      <c r="F199" s="4" t="n">
        <v>22.07</v>
      </c>
      <c r="G199" s="4" t="n">
        <v>187.07</v>
      </c>
      <c r="H199" s="4" t="n">
        <v>9.76</v>
      </c>
      <c r="I199" s="4" t="n">
        <v>49.12</v>
      </c>
      <c r="J199" s="4" t="n">
        <v>66713.83</v>
      </c>
    </row>
    <row r="200" customFormat="false" ht="15" hidden="false" customHeight="false" outlineLevel="0" collapsed="false">
      <c r="A200" s="3" t="n">
        <v>46225</v>
      </c>
      <c r="B200" s="4" t="n">
        <v>205.54</v>
      </c>
      <c r="C200" s="4" t="n">
        <v>40.18</v>
      </c>
      <c r="D200" s="4" t="n">
        <v>22.69</v>
      </c>
      <c r="E200" s="4" t="n">
        <v>60.21</v>
      </c>
      <c r="F200" s="4" t="n">
        <v>22.17</v>
      </c>
      <c r="G200" s="4" t="n">
        <v>191.62</v>
      </c>
      <c r="H200" s="4" t="n">
        <v>9.87</v>
      </c>
      <c r="I200" s="4" t="n">
        <v>48.53</v>
      </c>
      <c r="J200" s="4" t="n">
        <v>67303.83</v>
      </c>
    </row>
    <row r="201" customFormat="false" ht="15" hidden="false" customHeight="false" outlineLevel="0" collapsed="false">
      <c r="A201" s="3" t="n">
        <v>46226</v>
      </c>
      <c r="B201" s="4" t="n">
        <v>196.39</v>
      </c>
      <c r="C201" s="4" t="n">
        <v>40.02</v>
      </c>
      <c r="D201" s="4" t="n">
        <v>22.76</v>
      </c>
      <c r="E201" s="4" t="n">
        <v>59</v>
      </c>
      <c r="F201" s="4" t="n">
        <v>21.5</v>
      </c>
      <c r="G201" s="4" t="n">
        <v>189.26</v>
      </c>
      <c r="H201" s="4" t="n">
        <v>9.84</v>
      </c>
      <c r="I201" s="4" t="n">
        <v>47.34</v>
      </c>
      <c r="J201" s="4" t="n">
        <v>66266.01</v>
      </c>
    </row>
    <row r="202" customFormat="false" ht="15" hidden="false" customHeight="false" outlineLevel="0" collapsed="false">
      <c r="A202" s="3" t="n">
        <v>46227</v>
      </c>
      <c r="B202" s="4" t="n">
        <v>199.09</v>
      </c>
      <c r="C202" s="4" t="n">
        <v>40.76</v>
      </c>
      <c r="D202" s="4" t="n">
        <v>22.81</v>
      </c>
      <c r="E202" s="4" t="n">
        <v>58.31</v>
      </c>
      <c r="F202" s="4" t="n">
        <v>21.14</v>
      </c>
      <c r="G202" s="4" t="n">
        <v>192.27</v>
      </c>
      <c r="H202" s="4" t="n">
        <v>9.81</v>
      </c>
      <c r="I202" s="4" t="n">
        <v>48.08</v>
      </c>
      <c r="J202" s="4" t="n">
        <v>66383.26</v>
      </c>
    </row>
    <row r="203" customFormat="false" ht="15" hidden="false" customHeight="false" outlineLevel="0" collapsed="false">
      <c r="A203" s="3" t="n">
        <v>46230</v>
      </c>
      <c r="B203" s="4" t="n">
        <v>199.3</v>
      </c>
      <c r="C203" s="4" t="n">
        <v>40.98</v>
      </c>
      <c r="D203" s="4" t="n">
        <v>22.46</v>
      </c>
      <c r="E203" s="4" t="n">
        <v>59.11</v>
      </c>
      <c r="F203" s="4" t="n">
        <v>21.37</v>
      </c>
      <c r="G203" s="4" t="n">
        <v>196.43</v>
      </c>
      <c r="H203" s="4" t="n">
        <v>9.88</v>
      </c>
      <c r="I203" s="4" t="n">
        <v>48.4</v>
      </c>
      <c r="J203" s="4" t="n">
        <v>67157.91</v>
      </c>
    </row>
    <row r="204" customFormat="false" ht="15" hidden="false" customHeight="false" outlineLevel="0" collapsed="false">
      <c r="A204" s="3" t="n">
        <v>46231</v>
      </c>
      <c r="B204" s="4" t="n">
        <v>197.7</v>
      </c>
      <c r="C204" s="4" t="n">
        <v>41.74</v>
      </c>
      <c r="D204" s="4" t="n">
        <v>22.5</v>
      </c>
      <c r="E204" s="4" t="n">
        <v>59.9</v>
      </c>
      <c r="F204" s="4" t="n">
        <v>20.95</v>
      </c>
      <c r="G204" s="4" t="n">
        <v>199.63</v>
      </c>
      <c r="H204" s="4" t="n">
        <v>9.83</v>
      </c>
      <c r="I204" s="4" t="n">
        <v>48.77</v>
      </c>
      <c r="J204" s="4" t="n">
        <v>67307.54</v>
      </c>
    </row>
    <row r="205" customFormat="false" ht="15" hidden="false" customHeight="false" outlineLevel="0" collapsed="false">
      <c r="A205" s="3" t="n">
        <v>46232</v>
      </c>
      <c r="B205" s="4" t="n">
        <v>198.13</v>
      </c>
      <c r="C205" s="4" t="n">
        <v>41.95</v>
      </c>
      <c r="D205" s="4" t="n">
        <v>21.83</v>
      </c>
      <c r="E205" s="4" t="n">
        <v>59.88</v>
      </c>
      <c r="F205" s="4" t="n">
        <v>20.59</v>
      </c>
      <c r="G205" s="4" t="n">
        <v>196.71</v>
      </c>
      <c r="H205" s="4" t="n">
        <v>9.86</v>
      </c>
      <c r="I205" s="4" t="n">
        <v>49.46</v>
      </c>
      <c r="J205" s="4" t="n">
        <v>66479.89</v>
      </c>
    </row>
    <row r="206" customFormat="false" ht="15" hidden="false" customHeight="false" outlineLevel="0" collapsed="false">
      <c r="A206" s="3" t="n">
        <v>46233</v>
      </c>
      <c r="B206" s="4" t="n">
        <v>199.18</v>
      </c>
      <c r="C206" s="4" t="n">
        <v>42.27</v>
      </c>
      <c r="D206" s="4" t="n">
        <v>22</v>
      </c>
      <c r="E206" s="4" t="n">
        <v>60.71</v>
      </c>
      <c r="F206" s="4" t="n">
        <v>20.69</v>
      </c>
      <c r="G206" s="4" t="n">
        <v>200.28</v>
      </c>
      <c r="H206" s="4" t="n">
        <v>9.88</v>
      </c>
      <c r="I206" s="4" t="n">
        <v>50.19</v>
      </c>
      <c r="J206" s="4" t="n">
        <v>67290.4</v>
      </c>
    </row>
    <row r="207" customFormat="false" ht="15" hidden="false" customHeight="false" outlineLevel="0" collapsed="false">
      <c r="A207" s="3" t="n">
        <v>46234</v>
      </c>
      <c r="B207" s="4" t="n">
        <v>198.46</v>
      </c>
      <c r="C207" s="4" t="n">
        <v>42.12</v>
      </c>
      <c r="D207" s="4" t="n">
        <v>22.07</v>
      </c>
      <c r="E207" s="4" t="n">
        <v>61.96</v>
      </c>
      <c r="F207" s="4" t="n">
        <v>20.51</v>
      </c>
      <c r="G207" s="4" t="n">
        <v>200.58</v>
      </c>
      <c r="H207" s="4" t="n">
        <v>9.81</v>
      </c>
      <c r="I207" s="4" t="n">
        <v>50.25</v>
      </c>
      <c r="J207" s="4" t="n">
        <v>66936.99</v>
      </c>
    </row>
    <row r="208" customFormat="false" ht="15" hidden="false" customHeight="false" outlineLevel="0" collapsed="false">
      <c r="A208" s="3" t="n">
        <v>46237</v>
      </c>
      <c r="B208" s="4" t="n">
        <v>195.63</v>
      </c>
      <c r="C208" s="4" t="n">
        <v>41.71</v>
      </c>
      <c r="D208" s="4" t="n">
        <v>21.61</v>
      </c>
      <c r="E208" s="4" t="n">
        <v>61.29</v>
      </c>
      <c r="F208" s="4" t="n">
        <v>20.6</v>
      </c>
      <c r="G208" s="4" t="n">
        <v>198.64</v>
      </c>
      <c r="H208" s="4" t="n">
        <v>9.72</v>
      </c>
      <c r="I208" s="4" t="n">
        <v>49.79</v>
      </c>
      <c r="J208" s="4" t="n">
        <v>66697.22</v>
      </c>
    </row>
    <row r="209" customFormat="false" ht="15" hidden="false" customHeight="false" outlineLevel="0" collapsed="false">
      <c r="A209" s="3" t="n">
        <v>46238</v>
      </c>
      <c r="B209" s="4" t="n">
        <v>194.29</v>
      </c>
      <c r="C209" s="4" t="n">
        <v>41.15</v>
      </c>
      <c r="D209" s="4" t="n">
        <v>21.48</v>
      </c>
      <c r="E209" s="4" t="n">
        <v>60.9</v>
      </c>
      <c r="F209" s="4" t="n">
        <v>20.08</v>
      </c>
      <c r="G209" s="4" t="n">
        <v>197.73</v>
      </c>
      <c r="H209" s="4" t="n">
        <v>9.62</v>
      </c>
      <c r="I209" s="4" t="n">
        <v>49.89</v>
      </c>
      <c r="J209" s="4" t="n">
        <v>66833.16</v>
      </c>
    </row>
    <row r="210" customFormat="false" ht="15" hidden="false" customHeight="false" outlineLevel="0" collapsed="false">
      <c r="A210" s="3" t="n">
        <v>46239</v>
      </c>
      <c r="B210" s="4" t="n">
        <v>193.35</v>
      </c>
      <c r="C210" s="4" t="n">
        <v>41.46</v>
      </c>
      <c r="D210" s="4" t="n">
        <v>20.79</v>
      </c>
      <c r="E210" s="4" t="n">
        <v>61.16</v>
      </c>
      <c r="F210" s="4" t="n">
        <v>19.96</v>
      </c>
      <c r="G210" s="4" t="n">
        <v>198.93</v>
      </c>
      <c r="H210" s="4" t="n">
        <v>9.52</v>
      </c>
      <c r="I210" s="4" t="n">
        <v>48.53</v>
      </c>
      <c r="J210" s="4" t="n">
        <v>66525.18</v>
      </c>
    </row>
    <row r="211" customFormat="false" ht="15" hidden="false" customHeight="false" outlineLevel="0" collapsed="false">
      <c r="A211" s="3" t="n">
        <v>46240</v>
      </c>
      <c r="B211" s="4" t="n">
        <v>194.66</v>
      </c>
      <c r="C211" s="4" t="n">
        <v>41.81</v>
      </c>
      <c r="D211" s="4" t="n">
        <v>20.61</v>
      </c>
      <c r="E211" s="4" t="n">
        <v>60.8</v>
      </c>
      <c r="F211" s="4" t="n">
        <v>19.52</v>
      </c>
      <c r="G211" s="4" t="n">
        <v>198.86</v>
      </c>
      <c r="H211" s="4" t="n">
        <v>9.76</v>
      </c>
      <c r="I211" s="4" t="n">
        <v>48.99</v>
      </c>
      <c r="J211" s="4" t="n">
        <v>66396.15</v>
      </c>
    </row>
    <row r="212" customFormat="false" ht="15" hidden="false" customHeight="false" outlineLevel="0" collapsed="false">
      <c r="A212" s="3" t="n">
        <v>46241</v>
      </c>
      <c r="B212" s="4" t="n">
        <v>197.42</v>
      </c>
      <c r="C212" s="4" t="n">
        <v>41.89</v>
      </c>
      <c r="D212" s="4" t="n">
        <v>20.43</v>
      </c>
      <c r="E212" s="4" t="n">
        <v>61.15</v>
      </c>
      <c r="F212" s="4" t="n">
        <v>19.54</v>
      </c>
      <c r="G212" s="4" t="n">
        <v>199.78</v>
      </c>
      <c r="H212" s="4" t="n">
        <v>9.79</v>
      </c>
      <c r="I212" s="4" t="n">
        <v>49.47</v>
      </c>
      <c r="J212" s="4" t="n">
        <v>66938.64</v>
      </c>
    </row>
    <row r="213" customFormat="false" ht="15" hidden="false" customHeight="false" outlineLevel="0" collapsed="false">
      <c r="A213" s="3" t="n">
        <v>46244</v>
      </c>
      <c r="B213" s="4" t="n">
        <v>195.62</v>
      </c>
      <c r="C213" s="4" t="n">
        <v>41.67</v>
      </c>
      <c r="D213" s="4" t="n">
        <v>20.48</v>
      </c>
      <c r="E213" s="4" t="n">
        <v>61.59</v>
      </c>
      <c r="F213" s="4" t="n">
        <v>19.48</v>
      </c>
      <c r="G213" s="4" t="n">
        <v>197.15</v>
      </c>
      <c r="H213" s="4" t="n">
        <v>9.97</v>
      </c>
      <c r="I213" s="4" t="n">
        <v>48.18</v>
      </c>
      <c r="J213" s="4" t="n">
        <v>66438.58</v>
      </c>
    </row>
    <row r="214" customFormat="false" ht="15" hidden="false" customHeight="false" outlineLevel="0" collapsed="false">
      <c r="A214" s="3" t="n">
        <v>46245</v>
      </c>
      <c r="B214" s="4" t="n">
        <v>194.04</v>
      </c>
      <c r="C214" s="4" t="n">
        <v>41.26</v>
      </c>
      <c r="D214" s="4" t="n">
        <v>19.99</v>
      </c>
      <c r="E214" s="4" t="n">
        <v>61.57</v>
      </c>
      <c r="F214" s="4" t="n">
        <v>19.15</v>
      </c>
      <c r="G214" s="4" t="n">
        <v>191.71</v>
      </c>
      <c r="H214" s="4" t="n">
        <v>9.69</v>
      </c>
      <c r="I214" s="4" t="n">
        <v>48.37</v>
      </c>
      <c r="J214" s="4" t="n">
        <v>65564.76</v>
      </c>
    </row>
    <row r="215" customFormat="false" ht="15" hidden="false" customHeight="false" outlineLevel="0" collapsed="false">
      <c r="A215" s="3" t="n">
        <v>46246</v>
      </c>
      <c r="B215" s="4" t="n">
        <v>194.19</v>
      </c>
      <c r="C215" s="4" t="n">
        <v>41.64</v>
      </c>
      <c r="D215" s="4" t="n">
        <v>19.88</v>
      </c>
      <c r="E215" s="4" t="n">
        <v>60.83</v>
      </c>
      <c r="F215" s="4" t="n">
        <v>19.21</v>
      </c>
      <c r="G215" s="4" t="n">
        <v>194.58</v>
      </c>
      <c r="H215" s="4" t="n">
        <v>9.78</v>
      </c>
      <c r="I215" s="4" t="n">
        <v>47.86</v>
      </c>
      <c r="J215" s="4" t="n">
        <v>65755.97</v>
      </c>
    </row>
    <row r="216" customFormat="false" ht="15" hidden="false" customHeight="false" outlineLevel="0" collapsed="false">
      <c r="A216" s="3" t="n">
        <v>46247</v>
      </c>
      <c r="B216" s="4" t="n">
        <v>192.89</v>
      </c>
      <c r="C216" s="4" t="n">
        <v>40.65</v>
      </c>
      <c r="D216" s="4" t="n">
        <v>19.87</v>
      </c>
      <c r="E216" s="4" t="n">
        <v>60.85</v>
      </c>
      <c r="F216" s="4" t="n">
        <v>18.97</v>
      </c>
      <c r="G216" s="4" t="n">
        <v>192.21</v>
      </c>
      <c r="H216" s="4" t="n">
        <v>9.79</v>
      </c>
      <c r="I216" s="4" t="n">
        <v>47.12</v>
      </c>
      <c r="J216" s="4" t="n">
        <v>64826.39</v>
      </c>
    </row>
    <row r="217" customFormat="false" ht="15" hidden="false" customHeight="false" outlineLevel="0" collapsed="false">
      <c r="A217" s="3" t="n">
        <v>46248</v>
      </c>
      <c r="B217" s="4" t="n">
        <v>192.78</v>
      </c>
      <c r="C217" s="4" t="n">
        <v>40.4</v>
      </c>
      <c r="D217" s="4" t="n">
        <v>20.01</v>
      </c>
      <c r="E217" s="4" t="n">
        <v>60.37</v>
      </c>
      <c r="F217" s="4" t="n">
        <v>18.92</v>
      </c>
      <c r="G217" s="4" t="n">
        <v>188.04</v>
      </c>
      <c r="H217" s="4" t="n">
        <v>9.86</v>
      </c>
      <c r="I217" s="4" t="n">
        <v>47.42</v>
      </c>
      <c r="J217" s="4" t="n">
        <v>64397.45</v>
      </c>
    </row>
    <row r="218" customFormat="false" ht="15" hidden="false" customHeight="false" outlineLevel="0" collapsed="false">
      <c r="A218" s="3" t="n">
        <v>46251</v>
      </c>
      <c r="B218" s="4" t="n">
        <v>190.98</v>
      </c>
      <c r="C218" s="4" t="n">
        <v>40.49</v>
      </c>
      <c r="D218" s="4" t="n">
        <v>20.16</v>
      </c>
      <c r="E218" s="4" t="n">
        <v>58.23</v>
      </c>
      <c r="F218" s="4" t="n">
        <v>18.98</v>
      </c>
      <c r="G218" s="4" t="n">
        <v>188.09</v>
      </c>
      <c r="H218" s="4" t="n">
        <v>9.76</v>
      </c>
      <c r="I218" s="4" t="n">
        <v>47.01</v>
      </c>
      <c r="J218" s="4" t="n">
        <v>64254.98</v>
      </c>
    </row>
    <row r="219" customFormat="false" ht="15" hidden="false" customHeight="false" outlineLevel="0" collapsed="false">
      <c r="A219" s="3" t="n">
        <v>46252</v>
      </c>
      <c r="B219" s="4" t="n">
        <v>190.8</v>
      </c>
      <c r="C219" s="4" t="n">
        <v>40.06</v>
      </c>
      <c r="D219" s="4" t="n">
        <v>20.2</v>
      </c>
      <c r="E219" s="4" t="n">
        <v>59.06</v>
      </c>
      <c r="F219" s="4" t="n">
        <v>18.29</v>
      </c>
      <c r="G219" s="4" t="n">
        <v>187.55</v>
      </c>
      <c r="H219" s="4" t="n">
        <v>9.43</v>
      </c>
      <c r="I219" s="4" t="n">
        <v>47.18</v>
      </c>
      <c r="J219" s="4" t="n">
        <v>63933.69</v>
      </c>
    </row>
    <row r="220" customFormat="false" ht="15" hidden="false" customHeight="false" outlineLevel="0" collapsed="false">
      <c r="A220" s="3" t="n">
        <v>46253</v>
      </c>
      <c r="B220" s="4" t="n">
        <v>188.6</v>
      </c>
      <c r="C220" s="4" t="n">
        <v>40.32</v>
      </c>
      <c r="D220" s="4" t="n">
        <v>19.96</v>
      </c>
      <c r="E220" s="4" t="n">
        <v>58.97</v>
      </c>
      <c r="F220" s="4" t="n">
        <v>18.12</v>
      </c>
      <c r="G220" s="4" t="n">
        <v>184.68</v>
      </c>
      <c r="H220" s="4" t="n">
        <v>9.32</v>
      </c>
      <c r="I220" s="4" t="n">
        <v>46.95</v>
      </c>
      <c r="J220" s="4" t="n">
        <v>63999.26</v>
      </c>
    </row>
    <row r="221" customFormat="false" ht="15" hidden="false" customHeight="false" outlineLevel="0" collapsed="false">
      <c r="A221" s="3" t="n">
        <v>46254</v>
      </c>
      <c r="B221" s="4" t="n">
        <v>189.82</v>
      </c>
      <c r="C221" s="4" t="n">
        <v>39.69</v>
      </c>
      <c r="D221" s="4" t="n">
        <v>19.86</v>
      </c>
      <c r="E221" s="4" t="n">
        <v>58.48</v>
      </c>
      <c r="F221" s="4" t="n">
        <v>18.02</v>
      </c>
      <c r="G221" s="4" t="n">
        <v>185.51</v>
      </c>
      <c r="H221" s="4" t="n">
        <v>9.23</v>
      </c>
      <c r="I221" s="4" t="n">
        <v>47.65</v>
      </c>
      <c r="J221" s="4" t="n">
        <v>64349.8</v>
      </c>
    </row>
    <row r="222" customFormat="false" ht="15" hidden="false" customHeight="false" outlineLevel="0" collapsed="false">
      <c r="A222" s="3" t="n">
        <v>46255</v>
      </c>
      <c r="B222" s="4" t="n">
        <v>192.16</v>
      </c>
      <c r="C222" s="4" t="n">
        <v>40.24</v>
      </c>
      <c r="D222" s="4" t="n">
        <v>20.14</v>
      </c>
      <c r="E222" s="4" t="n">
        <v>59.86</v>
      </c>
      <c r="F222" s="4" t="n">
        <v>18.77</v>
      </c>
      <c r="G222" s="4" t="n">
        <v>187.92</v>
      </c>
      <c r="H222" s="4" t="n">
        <v>9.36</v>
      </c>
      <c r="I222" s="4" t="n">
        <v>46.57</v>
      </c>
      <c r="J222" s="4" t="n">
        <v>65729.18</v>
      </c>
    </row>
    <row r="223" customFormat="false" ht="15" hidden="false" customHeight="false" outlineLevel="0" collapsed="false">
      <c r="A223" s="3" t="n">
        <v>46258</v>
      </c>
      <c r="B223" s="4" t="n">
        <v>195.35</v>
      </c>
      <c r="C223" s="4" t="n">
        <v>40.21</v>
      </c>
      <c r="D223" s="4" t="n">
        <v>20.19</v>
      </c>
      <c r="E223" s="4" t="n">
        <v>60.37</v>
      </c>
      <c r="F223" s="4" t="n">
        <v>18.79</v>
      </c>
      <c r="G223" s="4" t="n">
        <v>187.78</v>
      </c>
      <c r="H223" s="4" t="n">
        <v>9.44</v>
      </c>
      <c r="I223" s="4" t="n">
        <v>46.79</v>
      </c>
      <c r="J223" s="4" t="n">
        <v>65770.85</v>
      </c>
    </row>
    <row r="224" customFormat="false" ht="15" hidden="false" customHeight="false" outlineLevel="0" collapsed="false">
      <c r="A224" s="3" t="n">
        <v>46259</v>
      </c>
      <c r="B224" s="4" t="n">
        <v>197.95</v>
      </c>
      <c r="C224" s="4" t="n">
        <v>41.18</v>
      </c>
      <c r="D224" s="4" t="n">
        <v>20.14</v>
      </c>
      <c r="E224" s="4" t="n">
        <v>60</v>
      </c>
      <c r="F224" s="4" t="n">
        <v>18.73</v>
      </c>
      <c r="G224" s="4" t="n">
        <v>190.28</v>
      </c>
      <c r="H224" s="4" t="n">
        <v>9.36</v>
      </c>
      <c r="I224" s="4" t="n">
        <v>47.73</v>
      </c>
      <c r="J224" s="4" t="n">
        <v>66293.07</v>
      </c>
    </row>
    <row r="225" customFormat="false" ht="15" hidden="false" customHeight="false" outlineLevel="0" collapsed="false">
      <c r="A225" s="3" t="n">
        <v>46260</v>
      </c>
      <c r="B225" s="4" t="n">
        <v>195.68</v>
      </c>
      <c r="C225" s="4" t="n">
        <v>41.28</v>
      </c>
      <c r="D225" s="4" t="n">
        <v>20.09</v>
      </c>
      <c r="E225" s="4" t="n">
        <v>59.96</v>
      </c>
      <c r="F225" s="4" t="n">
        <v>18.64</v>
      </c>
      <c r="G225" s="4" t="n">
        <v>193.49</v>
      </c>
      <c r="H225" s="4" t="n">
        <v>9.66</v>
      </c>
      <c r="I225" s="4" t="n">
        <v>47.93</v>
      </c>
      <c r="J225" s="4" t="n">
        <v>66191.11</v>
      </c>
    </row>
    <row r="226" customFormat="false" ht="15" hidden="false" customHeight="false" outlineLevel="0" collapsed="false">
      <c r="A226" s="3" t="n">
        <v>46261</v>
      </c>
      <c r="B226" s="4" t="n">
        <v>194.04</v>
      </c>
      <c r="C226" s="4" t="n">
        <v>41.2</v>
      </c>
      <c r="D226" s="4" t="n">
        <v>19.97</v>
      </c>
      <c r="E226" s="4" t="n">
        <v>58.97</v>
      </c>
      <c r="F226" s="4" t="n">
        <v>18.58</v>
      </c>
      <c r="G226" s="4" t="n">
        <v>191.2</v>
      </c>
      <c r="H226" s="4" t="n">
        <v>9.36</v>
      </c>
      <c r="I226" s="4" t="n">
        <v>47.75</v>
      </c>
      <c r="J226" s="4" t="n">
        <v>65829.98</v>
      </c>
    </row>
    <row r="227" customFormat="false" ht="15" hidden="false" customHeight="false" outlineLevel="0" collapsed="false">
      <c r="A227" s="3" t="n">
        <v>46262</v>
      </c>
      <c r="B227" s="4" t="n">
        <v>194.11</v>
      </c>
      <c r="C227" s="4" t="n">
        <v>40.99</v>
      </c>
      <c r="D227" s="4" t="n">
        <v>19.8</v>
      </c>
      <c r="E227" s="4" t="n">
        <v>58.87</v>
      </c>
      <c r="F227" s="4" t="n">
        <v>18.6</v>
      </c>
      <c r="G227" s="4" t="n">
        <v>190.56</v>
      </c>
      <c r="H227" s="4" t="n">
        <v>9.34</v>
      </c>
      <c r="I227" s="4" t="n">
        <v>48.04</v>
      </c>
      <c r="J227" s="4" t="n">
        <v>65484.32</v>
      </c>
    </row>
    <row r="228" customFormat="false" ht="15" hidden="false" customHeight="false" outlineLevel="0" collapsed="false">
      <c r="A228" s="3" t="n">
        <v>46265</v>
      </c>
      <c r="B228" s="4" t="n">
        <v>194.79</v>
      </c>
      <c r="C228" s="4" t="n">
        <v>41.63</v>
      </c>
      <c r="D228" s="4" t="n">
        <v>19.61</v>
      </c>
      <c r="E228" s="4" t="n">
        <v>59.17</v>
      </c>
      <c r="F228" s="4" t="n">
        <v>18.32</v>
      </c>
      <c r="G228" s="4" t="n">
        <v>192.46</v>
      </c>
      <c r="H228" s="4" t="n">
        <v>9.36</v>
      </c>
      <c r="I228" s="4" t="n">
        <v>47.07</v>
      </c>
      <c r="J228" s="4" t="n">
        <v>65430.32</v>
      </c>
    </row>
    <row r="229" customFormat="false" ht="15" hidden="false" customHeight="false" outlineLevel="0" collapsed="false">
      <c r="A229" s="3" t="n">
        <v>46266</v>
      </c>
      <c r="B229" s="4" t="n">
        <v>192.62</v>
      </c>
      <c r="C229" s="4" t="n">
        <v>41.42</v>
      </c>
      <c r="D229" s="4" t="n">
        <v>19.59</v>
      </c>
      <c r="E229" s="4" t="n">
        <v>58.27</v>
      </c>
      <c r="F229" s="4" t="n">
        <v>17.81</v>
      </c>
      <c r="G229" s="4" t="n">
        <v>192.67</v>
      </c>
      <c r="H229" s="4" t="n">
        <v>9.01</v>
      </c>
      <c r="I229" s="4" t="n">
        <v>46.89</v>
      </c>
      <c r="J229" s="4" t="n">
        <v>64514.25</v>
      </c>
    </row>
    <row r="230" customFormat="false" ht="15" hidden="false" customHeight="false" outlineLevel="0" collapsed="false">
      <c r="A230" s="3" t="n">
        <v>46267</v>
      </c>
      <c r="B230" s="4" t="n">
        <v>193.3</v>
      </c>
      <c r="C230" s="4" t="n">
        <v>41.67</v>
      </c>
      <c r="D230" s="4" t="n">
        <v>19.42</v>
      </c>
      <c r="E230" s="4" t="n">
        <v>57.88</v>
      </c>
      <c r="F230" s="4" t="n">
        <v>18.02</v>
      </c>
      <c r="G230" s="4" t="n">
        <v>196.19</v>
      </c>
      <c r="H230" s="4" t="n">
        <v>9.05</v>
      </c>
      <c r="I230" s="4" t="n">
        <v>46.79</v>
      </c>
      <c r="J230" s="4" t="n">
        <v>64884.28</v>
      </c>
    </row>
    <row r="231" customFormat="false" ht="15" hidden="false" customHeight="false" outlineLevel="0" collapsed="false">
      <c r="A231" s="3" t="n">
        <v>46268</v>
      </c>
      <c r="B231" s="4" t="n">
        <v>194.03</v>
      </c>
      <c r="C231" s="4" t="n">
        <v>42.83</v>
      </c>
      <c r="D231" s="4" t="n">
        <v>19.6</v>
      </c>
      <c r="E231" s="4" t="n">
        <v>57.89</v>
      </c>
      <c r="F231" s="4" t="n">
        <v>18.45</v>
      </c>
      <c r="G231" s="4" t="n">
        <v>198.44</v>
      </c>
      <c r="H231" s="4" t="n">
        <v>9.07</v>
      </c>
      <c r="I231" s="4" t="n">
        <v>47.51</v>
      </c>
      <c r="J231" s="4" t="n">
        <v>65436.16</v>
      </c>
    </row>
    <row r="232" customFormat="false" ht="15" hidden="false" customHeight="false" outlineLevel="0" collapsed="false">
      <c r="A232" s="3" t="n">
        <v>46269</v>
      </c>
      <c r="B232" s="4" t="n">
        <v>192.58</v>
      </c>
      <c r="C232" s="4" t="n">
        <v>42.86</v>
      </c>
      <c r="D232" s="4" t="n">
        <v>19.45</v>
      </c>
      <c r="E232" s="4" t="n">
        <v>56.38</v>
      </c>
      <c r="F232" s="4" t="n">
        <v>18.66</v>
      </c>
      <c r="G232" s="4" t="n">
        <v>196.57</v>
      </c>
      <c r="H232" s="4" t="n">
        <v>8.9</v>
      </c>
      <c r="I232" s="4" t="n">
        <v>47.23</v>
      </c>
      <c r="J232" s="4" t="n">
        <v>64866.61</v>
      </c>
    </row>
    <row r="233" customFormat="false" ht="15" hidden="false" customHeight="false" outlineLevel="0" collapsed="false">
      <c r="A233" s="3" t="n">
        <v>46272</v>
      </c>
      <c r="B233" s="4" t="n">
        <v>190.97</v>
      </c>
      <c r="C233" s="4" t="n">
        <v>43.74</v>
      </c>
      <c r="D233" s="4" t="n">
        <v>19.44</v>
      </c>
      <c r="E233" s="4" t="n">
        <v>56.14</v>
      </c>
      <c r="F233" s="4" t="n">
        <v>18.76</v>
      </c>
      <c r="G233" s="4" t="n">
        <v>195.69</v>
      </c>
      <c r="H233" s="4" t="n">
        <v>7.74</v>
      </c>
      <c r="I233" s="4" t="n">
        <v>47.07</v>
      </c>
      <c r="J233" s="4" t="n">
        <v>64727.54</v>
      </c>
    </row>
    <row r="234" customFormat="false" ht="15" hidden="false" customHeight="false" outlineLevel="0" collapsed="false">
      <c r="A234" s="3" t="n">
        <v>46273</v>
      </c>
      <c r="B234" s="4" t="n">
        <v>192.07</v>
      </c>
      <c r="C234" s="4" t="n">
        <v>43.81</v>
      </c>
      <c r="D234" s="4" t="n">
        <v>19.47</v>
      </c>
      <c r="E234" s="4" t="n">
        <v>55.89</v>
      </c>
      <c r="F234" s="4" t="n">
        <v>18.72</v>
      </c>
      <c r="G234" s="4" t="n">
        <v>200.09</v>
      </c>
      <c r="H234" s="4" t="n">
        <v>8.45</v>
      </c>
      <c r="I234" s="4" t="n">
        <v>46.37</v>
      </c>
      <c r="J234" s="4" t="n">
        <v>65065.56</v>
      </c>
    </row>
    <row r="235" customFormat="false" ht="15" hidden="false" customHeight="false" outlineLevel="0" collapsed="false">
      <c r="A235" s="3" t="n">
        <v>46274</v>
      </c>
      <c r="B235" s="4" t="n">
        <v>193.56</v>
      </c>
      <c r="C235" s="4" t="n">
        <v>43.1</v>
      </c>
      <c r="D235" s="4" t="n">
        <v>19.52</v>
      </c>
      <c r="E235" s="4" t="n">
        <v>56.57</v>
      </c>
      <c r="F235" s="4" t="n">
        <v>18.45</v>
      </c>
      <c r="G235" s="4" t="n">
        <v>198.67</v>
      </c>
      <c r="H235" s="4" t="n">
        <v>8.05</v>
      </c>
      <c r="I235" s="4" t="n">
        <v>45.8</v>
      </c>
      <c r="J235" s="4" t="n">
        <v>64814.97</v>
      </c>
    </row>
    <row r="236" customFormat="false" ht="15" hidden="false" customHeight="false" outlineLevel="0" collapsed="false">
      <c r="A236" s="3" t="n">
        <v>46275</v>
      </c>
      <c r="B236" s="4" t="n">
        <v>195.03</v>
      </c>
      <c r="C236" s="4" t="n">
        <v>43.22</v>
      </c>
      <c r="D236" s="4" t="n">
        <v>19.37</v>
      </c>
      <c r="E236" s="4" t="n">
        <v>55.87</v>
      </c>
      <c r="F236" s="4" t="n">
        <v>18.11</v>
      </c>
      <c r="G236" s="4" t="n">
        <v>199.4</v>
      </c>
      <c r="H236" s="4" t="n">
        <v>7.96</v>
      </c>
      <c r="I236" s="4" t="n">
        <v>46.1</v>
      </c>
      <c r="J236" s="4" t="n">
        <v>64106.82</v>
      </c>
    </row>
    <row r="237" customFormat="false" ht="15" hidden="false" customHeight="false" outlineLevel="0" collapsed="false">
      <c r="A237" s="3" t="n">
        <v>46276</v>
      </c>
      <c r="B237" s="4" t="n">
        <v>195.87</v>
      </c>
      <c r="C237" s="4" t="n">
        <v>42.95</v>
      </c>
      <c r="D237" s="4" t="n">
        <v>19.34</v>
      </c>
      <c r="E237" s="4" t="n">
        <v>55.34</v>
      </c>
      <c r="F237" s="4" t="n">
        <v>18.13</v>
      </c>
      <c r="G237" s="4" t="n">
        <v>199.12</v>
      </c>
      <c r="H237" s="4" t="n">
        <v>7.97</v>
      </c>
      <c r="I237" s="4" t="n">
        <v>45.55</v>
      </c>
      <c r="J237" s="4" t="n">
        <v>63924.77</v>
      </c>
    </row>
    <row r="238" customFormat="false" ht="15" hidden="false" customHeight="false" outlineLevel="0" collapsed="false">
      <c r="A238" s="3" t="n">
        <v>46279</v>
      </c>
      <c r="B238" s="4" t="n">
        <v>198.99</v>
      </c>
      <c r="C238" s="4" t="n">
        <v>42.99</v>
      </c>
      <c r="D238" s="4" t="n">
        <v>19.84</v>
      </c>
      <c r="E238" s="4" t="n">
        <v>55.52</v>
      </c>
      <c r="F238" s="4" t="n">
        <v>17.91</v>
      </c>
      <c r="G238" s="4" t="n">
        <v>200.75</v>
      </c>
      <c r="H238" s="4" t="n">
        <v>8</v>
      </c>
      <c r="I238" s="4" t="n">
        <v>46.04</v>
      </c>
      <c r="J238" s="4" t="n">
        <v>64216.98</v>
      </c>
    </row>
    <row r="239" customFormat="false" ht="15" hidden="false" customHeight="false" outlineLevel="0" collapsed="false">
      <c r="A239" s="3" t="n">
        <v>46280</v>
      </c>
      <c r="B239" s="4" t="n">
        <v>199.78</v>
      </c>
      <c r="C239" s="4" t="n">
        <v>43.76</v>
      </c>
      <c r="D239" s="4" t="n">
        <v>19.91</v>
      </c>
      <c r="E239" s="4" t="n">
        <v>55.08</v>
      </c>
      <c r="F239" s="4" t="n">
        <v>17.56</v>
      </c>
      <c r="G239" s="4" t="n">
        <v>195.26</v>
      </c>
      <c r="H239" s="4" t="n">
        <v>7.63</v>
      </c>
      <c r="I239" s="4" t="n">
        <v>45.54</v>
      </c>
      <c r="J239" s="4" t="n">
        <v>63507.11</v>
      </c>
    </row>
    <row r="240" customFormat="false" ht="15" hidden="false" customHeight="false" outlineLevel="0" collapsed="false">
      <c r="A240" s="3" t="n">
        <v>46282</v>
      </c>
      <c r="B240" s="4" t="n">
        <v>200.36</v>
      </c>
      <c r="C240" s="4" t="n">
        <v>43.15</v>
      </c>
      <c r="D240" s="4" t="n">
        <v>19.75</v>
      </c>
      <c r="E240" s="4" t="n">
        <v>55.15</v>
      </c>
      <c r="F240" s="4" t="n">
        <v>17.55</v>
      </c>
      <c r="G240" s="4" t="n">
        <v>196.04</v>
      </c>
      <c r="H240" s="4" t="n">
        <v>7.93</v>
      </c>
      <c r="I240" s="4" t="n">
        <v>46.21</v>
      </c>
      <c r="J240" s="4" t="n">
        <v>63873.32</v>
      </c>
    </row>
    <row r="241" customFormat="false" ht="15" hidden="false" customHeight="false" outlineLevel="0" collapsed="false">
      <c r="A241" s="3" t="n">
        <v>46283</v>
      </c>
      <c r="B241" s="4" t="n">
        <v>201.27</v>
      </c>
      <c r="C241" s="4" t="n">
        <v>44.01</v>
      </c>
      <c r="D241" s="4" t="n">
        <v>19.4</v>
      </c>
      <c r="E241" s="4" t="n">
        <v>54.2</v>
      </c>
      <c r="F241" s="4" t="n">
        <v>17.42</v>
      </c>
      <c r="G241" s="4" t="n">
        <v>190.82</v>
      </c>
      <c r="H241" s="4" t="n">
        <v>8</v>
      </c>
      <c r="I241" s="4" t="n">
        <v>46.32</v>
      </c>
      <c r="J241" s="4" t="n">
        <v>63375.93</v>
      </c>
    </row>
    <row r="242" customFormat="false" ht="15" hidden="false" customHeight="false" outlineLevel="0" collapsed="false">
      <c r="A242" s="3" t="n">
        <v>46286</v>
      </c>
      <c r="B242" s="4" t="n">
        <v>196.68</v>
      </c>
      <c r="C242" s="4" t="n">
        <v>43.65</v>
      </c>
      <c r="D242" s="4" t="n">
        <v>19.36</v>
      </c>
      <c r="E242" s="4" t="n">
        <v>54.44</v>
      </c>
      <c r="F242" s="4" t="n">
        <v>17.29</v>
      </c>
      <c r="G242" s="4" t="n">
        <v>193.28</v>
      </c>
      <c r="H242" s="4" t="n">
        <v>8.71</v>
      </c>
      <c r="I242" s="4" t="n">
        <v>45.18</v>
      </c>
      <c r="J242" s="4" t="n">
        <v>63536.96</v>
      </c>
    </row>
    <row r="243" customFormat="false" ht="15" hidden="false" customHeight="false" outlineLevel="0" collapsed="false">
      <c r="A243" s="3" t="n">
        <v>46287</v>
      </c>
      <c r="B243" s="4" t="n">
        <v>197.6</v>
      </c>
      <c r="C243" s="4" t="n">
        <v>43.22</v>
      </c>
      <c r="D243" s="4" t="n">
        <v>19.32</v>
      </c>
      <c r="E243" s="4" t="n">
        <v>55.41</v>
      </c>
      <c r="F243" s="4" t="n">
        <v>17.77</v>
      </c>
      <c r="G243" s="4" t="n">
        <v>196.72</v>
      </c>
      <c r="H243" s="4" t="n">
        <v>8.54</v>
      </c>
      <c r="I243" s="4" t="n">
        <v>45.78</v>
      </c>
      <c r="J243" s="4" t="n">
        <v>64456.59</v>
      </c>
    </row>
    <row r="244" customFormat="false" ht="15" hidden="false" customHeight="false" outlineLevel="0" collapsed="false">
      <c r="A244" s="3" t="n">
        <v>46288</v>
      </c>
      <c r="B244" s="4" t="n">
        <v>197.79</v>
      </c>
      <c r="C244" s="4" t="n">
        <v>43.3</v>
      </c>
      <c r="D244" s="4" t="n">
        <v>19.33</v>
      </c>
      <c r="E244" s="4" t="n">
        <v>55.09</v>
      </c>
      <c r="F244" s="4" t="n">
        <v>17.23</v>
      </c>
      <c r="G244" s="4" t="n">
        <v>195.87</v>
      </c>
      <c r="H244" s="4" t="n">
        <v>8.5</v>
      </c>
      <c r="I244" s="4" t="n">
        <v>45.89</v>
      </c>
      <c r="J244" s="4" t="n">
        <v>64276.72</v>
      </c>
    </row>
    <row r="245" customFormat="false" ht="15" hidden="false" customHeight="false" outlineLevel="0" collapsed="false">
      <c r="A245" s="3" t="n">
        <v>46289</v>
      </c>
      <c r="B245" s="4" t="n">
        <v>197.71</v>
      </c>
      <c r="C245" s="4" t="n">
        <v>43.1</v>
      </c>
      <c r="D245" s="4" t="n">
        <v>19.6</v>
      </c>
      <c r="E245" s="4" t="n">
        <v>55.08</v>
      </c>
      <c r="F245" s="4" t="n">
        <v>16.95</v>
      </c>
      <c r="G245" s="4" t="n">
        <v>193.89</v>
      </c>
      <c r="H245" s="4" t="n">
        <v>8.39</v>
      </c>
      <c r="I245" s="4" t="n">
        <v>45.92</v>
      </c>
      <c r="J245" s="4" t="n">
        <v>64264.16</v>
      </c>
    </row>
    <row r="246" customFormat="false" ht="15" hidden="false" customHeight="false" outlineLevel="0" collapsed="false">
      <c r="A246" s="3" t="n">
        <v>46290</v>
      </c>
      <c r="B246" s="4" t="n">
        <v>199.64</v>
      </c>
      <c r="C246" s="4" t="n">
        <v>44.88</v>
      </c>
      <c r="D246" s="4" t="n">
        <v>19.51</v>
      </c>
      <c r="E246" s="4" t="n">
        <v>55.16</v>
      </c>
      <c r="F246" s="4" t="n">
        <v>17.31</v>
      </c>
      <c r="G246" s="4" t="n">
        <v>196.17</v>
      </c>
      <c r="H246" s="4" t="n">
        <v>8.33</v>
      </c>
      <c r="I246" s="4" t="n">
        <v>46.61</v>
      </c>
      <c r="J246" s="4" t="n">
        <v>64992.23</v>
      </c>
    </row>
    <row r="247" customFormat="false" ht="15" hidden="false" customHeight="false" outlineLevel="0" collapsed="false">
      <c r="A247" s="3" t="n">
        <v>46293</v>
      </c>
      <c r="B247" s="4" t="n">
        <v>197.47</v>
      </c>
      <c r="C247" s="4" t="n">
        <v>46.11</v>
      </c>
      <c r="D247" s="4" t="n">
        <v>19.51</v>
      </c>
      <c r="E247" s="4" t="n">
        <v>56.15</v>
      </c>
      <c r="F247" s="4" t="n">
        <v>17.14</v>
      </c>
      <c r="G247" s="4" t="n">
        <v>194.18</v>
      </c>
      <c r="H247" s="4" t="n">
        <v>8.4</v>
      </c>
      <c r="I247" s="4" t="n">
        <v>46.89</v>
      </c>
      <c r="J247" s="4" t="n">
        <v>64944.41</v>
      </c>
    </row>
    <row r="248" customFormat="false" ht="15" hidden="false" customHeight="false" outlineLevel="0" collapsed="false">
      <c r="A248" s="3" t="n">
        <v>46294</v>
      </c>
      <c r="B248" s="4" t="n">
        <v>194.93</v>
      </c>
      <c r="C248" s="4" t="n">
        <v>46.45</v>
      </c>
      <c r="D248" s="4" t="n">
        <v>19.7</v>
      </c>
      <c r="E248" s="4" t="n">
        <v>55.5</v>
      </c>
      <c r="F248" s="4" t="n">
        <v>17.49</v>
      </c>
      <c r="G248" s="4" t="n">
        <v>195.33</v>
      </c>
      <c r="H248" s="4" t="n">
        <v>8.5</v>
      </c>
      <c r="I248" s="4" t="n">
        <v>46.81</v>
      </c>
      <c r="J248" s="4" t="n">
        <v>65110.57</v>
      </c>
    </row>
    <row r="249" customFormat="false" ht="15" hidden="false" customHeight="false" outlineLevel="0" collapsed="false">
      <c r="A249" s="3" t="n">
        <v>46295</v>
      </c>
      <c r="B249" s="4" t="n">
        <v>193.58</v>
      </c>
      <c r="C249" s="4" t="n">
        <v>45.59</v>
      </c>
      <c r="D249" s="4" t="n">
        <v>19.21</v>
      </c>
      <c r="E249" s="4" t="n">
        <v>55.02</v>
      </c>
      <c r="F249" s="4" t="n">
        <v>17.27</v>
      </c>
      <c r="G249" s="4" t="n">
        <v>190.2</v>
      </c>
      <c r="H249" s="4" t="n">
        <v>8.21</v>
      </c>
      <c r="I249" s="4" t="n">
        <v>46.13</v>
      </c>
      <c r="J249" s="4" t="n">
        <v>64214.36</v>
      </c>
    </row>
    <row r="250" customFormat="false" ht="15" hidden="false" customHeight="false" outlineLevel="0" collapsed="false">
      <c r="A250" s="3" t="n">
        <v>46296</v>
      </c>
      <c r="B250" s="4" t="n">
        <v>193.9</v>
      </c>
      <c r="C250" s="4" t="n">
        <v>45.5</v>
      </c>
      <c r="D250" s="4" t="n">
        <v>18.99</v>
      </c>
      <c r="E250" s="4" t="n">
        <v>55.13</v>
      </c>
      <c r="F250" s="4" t="n">
        <v>17.29</v>
      </c>
      <c r="G250" s="4" t="n">
        <v>187.01</v>
      </c>
      <c r="H250" s="4" t="n">
        <v>8.1</v>
      </c>
      <c r="I250" s="4" t="n">
        <v>46.65</v>
      </c>
      <c r="J250" s="4" t="n">
        <v>63828.6</v>
      </c>
    </row>
    <row r="251" customFormat="false" ht="15" hidden="false" customHeight="false" outlineLevel="0" collapsed="false">
      <c r="A251" s="3" t="n">
        <v>46297</v>
      </c>
      <c r="B251" s="4" t="n">
        <v>195.57</v>
      </c>
      <c r="C251" s="4" t="n">
        <v>45.79</v>
      </c>
      <c r="D251" s="4" t="n">
        <v>19.36</v>
      </c>
      <c r="E251" s="4" t="n">
        <v>55.1</v>
      </c>
      <c r="F251" s="4" t="n">
        <v>17.44</v>
      </c>
      <c r="G251" s="4" t="n">
        <v>190.25</v>
      </c>
      <c r="H251" s="4" t="n">
        <v>8.21</v>
      </c>
      <c r="I251" s="4" t="n">
        <v>46.17</v>
      </c>
      <c r="J251" s="4" t="n">
        <v>64531.68</v>
      </c>
    </row>
    <row r="252" customFormat="false" ht="15" hidden="false" customHeight="false" outlineLevel="0" collapsed="false">
      <c r="A252" s="3" t="n">
        <v>46300</v>
      </c>
      <c r="B252" s="4" t="n">
        <v>193.43</v>
      </c>
      <c r="C252" s="4" t="n">
        <v>45.87</v>
      </c>
      <c r="D252" s="4" t="n">
        <v>20.09</v>
      </c>
      <c r="E252" s="4" t="n">
        <v>55.23</v>
      </c>
      <c r="F252" s="4" t="n">
        <v>17.36</v>
      </c>
      <c r="G252" s="4" t="n">
        <v>187.41</v>
      </c>
      <c r="H252" s="4" t="n">
        <v>8.18</v>
      </c>
      <c r="I252" s="4" t="n">
        <v>46.44</v>
      </c>
      <c r="J252" s="4" t="n">
        <v>64975.08</v>
      </c>
    </row>
    <row r="253" customFormat="false" ht="15" hidden="false" customHeight="false" outlineLevel="0" collapsed="false">
      <c r="A253" s="3" t="n">
        <v>46301</v>
      </c>
      <c r="B253" s="4" t="n">
        <v>195.21</v>
      </c>
      <c r="C253" s="4" t="n">
        <v>46.43</v>
      </c>
      <c r="D253" s="4" t="n">
        <v>20.12</v>
      </c>
      <c r="E253" s="4" t="n">
        <v>55.41</v>
      </c>
      <c r="F253" s="4" t="n">
        <v>17.96</v>
      </c>
      <c r="G253" s="4" t="n">
        <v>191.95</v>
      </c>
      <c r="H253" s="4" t="n">
        <v>8.16</v>
      </c>
      <c r="I253" s="4" t="n">
        <v>46.64</v>
      </c>
      <c r="J253" s="4" t="n">
        <v>65312.46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3"/>
    <col collapsed="false" customWidth="true" hidden="false" outlineLevel="0" max="12" min="12" style="0" width="8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18</v>
      </c>
    </row>
    <row r="2" customFormat="false" ht="15" hidden="false" customHeight="false" outlineLevel="0" collapsed="false">
      <c r="A2" s="6" t="n">
        <f aca="false">Precios!A3</f>
        <v>45937</v>
      </c>
      <c r="B2" s="7" t="n">
        <f aca="false">LN(Precios!B3/Precios!B2)</f>
        <v>-0.0257677040468609</v>
      </c>
      <c r="C2" s="7" t="n">
        <f aca="false">LN(Precios!C3/Precios!C2)</f>
        <v>-0.0380595618243451</v>
      </c>
      <c r="D2" s="7" t="n">
        <f aca="false">LN(Precios!D3/Precios!D2)</f>
        <v>-0.00680452769433401</v>
      </c>
      <c r="E2" s="7" t="n">
        <f aca="false">LN(Precios!E3/Precios!E2)</f>
        <v>-0.0331539356609655</v>
      </c>
      <c r="F2" s="7" t="n">
        <f aca="false">LN(Precios!F3/Precios!F2)</f>
        <v>0.0126698527410519</v>
      </c>
      <c r="G2" s="7" t="n">
        <f aca="false">LN(Precios!G3/Precios!G2)</f>
        <v>-0.00256768849526898</v>
      </c>
      <c r="H2" s="7" t="n">
        <f aca="false">LN(Precios!H3/Precios!H2)</f>
        <v>-0.0074986960911204</v>
      </c>
      <c r="I2" s="7" t="n">
        <f aca="false">LN(Precios!I3/Precios!I2)</f>
        <v>0.00109769495105499</v>
      </c>
      <c r="J2" s="7" t="n">
        <f aca="false">LN(Precios!J3/Precios!J2)</f>
        <v>-0.00312452739251012</v>
      </c>
    </row>
    <row r="3" customFormat="false" ht="15" hidden="false" customHeight="false" outlineLevel="0" collapsed="false">
      <c r="A3" s="6" t="n">
        <f aca="false">Precios!A4</f>
        <v>45938</v>
      </c>
      <c r="B3" s="7" t="n">
        <f aca="false">LN(Precios!B4/Precios!B3)</f>
        <v>-0.0049062462131659</v>
      </c>
      <c r="C3" s="7" t="n">
        <f aca="false">LN(Precios!C4/Precios!C3)</f>
        <v>0.0163879691829731</v>
      </c>
      <c r="D3" s="7" t="n">
        <f aca="false">LN(Precios!D4/Precios!D3)</f>
        <v>0.0187310367060631</v>
      </c>
      <c r="E3" s="7" t="n">
        <f aca="false">LN(Precios!E4/Precios!E3)</f>
        <v>-0.0301854892668884</v>
      </c>
      <c r="F3" s="7" t="n">
        <f aca="false">LN(Precios!F4/Precios!F3)</f>
        <v>0.0148767992144432</v>
      </c>
      <c r="G3" s="7" t="n">
        <f aca="false">LN(Precios!G4/Precios!G3)</f>
        <v>0.0103445278487454</v>
      </c>
      <c r="H3" s="7" t="n">
        <f aca="false">LN(Precios!H4/Precios!H3)</f>
        <v>-0.0294620327303163</v>
      </c>
      <c r="I3" s="7" t="n">
        <f aca="false">LN(Precios!I4/Precios!I3)</f>
        <v>0.0218835028023721</v>
      </c>
      <c r="J3" s="7" t="n">
        <f aca="false">LN(Precios!J4/Precios!J3)</f>
        <v>0.0111113621342146</v>
      </c>
    </row>
    <row r="4" customFormat="false" ht="15" hidden="false" customHeight="false" outlineLevel="0" collapsed="false">
      <c r="A4" s="6" t="n">
        <f aca="false">Precios!A5</f>
        <v>45939</v>
      </c>
      <c r="B4" s="7" t="n">
        <f aca="false">LN(Precios!B5/Precios!B4)</f>
        <v>-0.0159192543576856</v>
      </c>
      <c r="C4" s="7" t="n">
        <f aca="false">LN(Precios!C5/Precios!C4)</f>
        <v>-0.0217904674663215</v>
      </c>
      <c r="D4" s="7" t="n">
        <f aca="false">LN(Precios!D5/Precios!D4)</f>
        <v>0.00514139950041865</v>
      </c>
      <c r="E4" s="7" t="n">
        <f aca="false">LN(Precios!E5/Precios!E4)</f>
        <v>0.0168999797317105</v>
      </c>
      <c r="F4" s="7" t="n">
        <f aca="false">LN(Precios!F5/Precios!F4)</f>
        <v>-0.00830372505559454</v>
      </c>
      <c r="G4" s="7" t="n">
        <f aca="false">LN(Precios!G5/Precios!G4)</f>
        <v>0.00124321896663574</v>
      </c>
      <c r="H4" s="7" t="n">
        <f aca="false">LN(Precios!H5/Precios!H4)</f>
        <v>-0.00332779009267458</v>
      </c>
      <c r="I4" s="7" t="n">
        <f aca="false">LN(Precios!I5/Precios!I4)</f>
        <v>0.0131510692244109</v>
      </c>
      <c r="J4" s="7" t="n">
        <f aca="false">LN(Precios!J5/Precios!J4)</f>
        <v>-0.00113797090480836</v>
      </c>
    </row>
    <row r="5" customFormat="false" ht="15" hidden="false" customHeight="false" outlineLevel="0" collapsed="false">
      <c r="A5" s="6" t="n">
        <f aca="false">Precios!A6</f>
        <v>45940</v>
      </c>
      <c r="B5" s="7" t="n">
        <f aca="false">LN(Precios!B6/Precios!B5)</f>
        <v>-0.0103812954429911</v>
      </c>
      <c r="C5" s="7" t="n">
        <f aca="false">LN(Precios!C6/Precios!C5)</f>
        <v>-0.023199506088172</v>
      </c>
      <c r="D5" s="7" t="n">
        <f aca="false">LN(Precios!D6/Precios!D5)</f>
        <v>0.00613498856751593</v>
      </c>
      <c r="E5" s="7" t="n">
        <f aca="false">LN(Precios!E6/Precios!E5)</f>
        <v>-0.0118325393823419</v>
      </c>
      <c r="F5" s="7" t="n">
        <f aca="false">LN(Precios!F6/Precios!F5)</f>
        <v>0.0100741592743076</v>
      </c>
      <c r="G5" s="7" t="n">
        <f aca="false">LN(Precios!G6/Precios!G5)</f>
        <v>-0.0133032092671784</v>
      </c>
      <c r="H5" s="7" t="n">
        <f aca="false">LN(Precios!H6/Precios!H5)</f>
        <v>-0.0350516380589188</v>
      </c>
      <c r="I5" s="7" t="n">
        <f aca="false">LN(Precios!I6/Precios!I5)</f>
        <v>-0.00300592570071903</v>
      </c>
      <c r="J5" s="7" t="n">
        <f aca="false">LN(Precios!J6/Precios!J5)</f>
        <v>-0.00412528190670593</v>
      </c>
    </row>
    <row r="6" customFormat="false" ht="15" hidden="false" customHeight="false" outlineLevel="0" collapsed="false">
      <c r="A6" s="6" t="n">
        <f aca="false">Precios!A7</f>
        <v>45943</v>
      </c>
      <c r="B6" s="7" t="n">
        <f aca="false">LN(Precios!B7/Precios!B6)</f>
        <v>0.00403136044295488</v>
      </c>
      <c r="C6" s="7" t="n">
        <f aca="false">LN(Precios!C7/Precios!C6)</f>
        <v>0.0190377340448675</v>
      </c>
      <c r="D6" s="7" t="n">
        <f aca="false">LN(Precios!D7/Precios!D6)</f>
        <v>0.00559086589730686</v>
      </c>
      <c r="E6" s="7" t="n">
        <f aca="false">LN(Precios!E7/Precios!E6)</f>
        <v>-0.00539525546458112</v>
      </c>
      <c r="F6" s="7" t="n">
        <f aca="false">LN(Precios!F7/Precios!F6)</f>
        <v>0.0134701890310008</v>
      </c>
      <c r="G6" s="7" t="n">
        <f aca="false">LN(Precios!G7/Precios!G6)</f>
        <v>0.012681792983023</v>
      </c>
      <c r="H6" s="7" t="n">
        <f aca="false">LN(Precios!H7/Precios!H6)</f>
        <v>0.00688076109222251</v>
      </c>
      <c r="I6" s="7" t="n">
        <f aca="false">LN(Precios!I7/Precios!I6)</f>
        <v>0.00986792148370216</v>
      </c>
      <c r="J6" s="7" t="n">
        <f aca="false">LN(Precios!J7/Precios!J6)</f>
        <v>0.00783071611611347</v>
      </c>
    </row>
    <row r="7" customFormat="false" ht="15" hidden="false" customHeight="false" outlineLevel="0" collapsed="false">
      <c r="A7" s="6" t="n">
        <f aca="false">Precios!A8</f>
        <v>45944</v>
      </c>
      <c r="B7" s="7" t="n">
        <f aca="false">LN(Precios!B8/Precios!B7)</f>
        <v>-0.0122562955490723</v>
      </c>
      <c r="C7" s="7" t="n">
        <f aca="false">LN(Precios!C8/Precios!C7)</f>
        <v>-0.0175603561214887</v>
      </c>
      <c r="D7" s="7" t="n">
        <f aca="false">LN(Precios!D8/Precios!D7)</f>
        <v>-0.0204820268142846</v>
      </c>
      <c r="E7" s="7" t="n">
        <f aca="false">LN(Precios!E8/Precios!E7)</f>
        <v>0.00734997183873271</v>
      </c>
      <c r="F7" s="7" t="n">
        <f aca="false">LN(Precios!F8/Precios!F7)</f>
        <v>0.0252741770150207</v>
      </c>
      <c r="G7" s="7" t="n">
        <f aca="false">LN(Precios!G8/Precios!G7)</f>
        <v>-0.0208418198726861</v>
      </c>
      <c r="H7" s="7" t="n">
        <f aca="false">LN(Precios!H8/Precios!H7)</f>
        <v>0.0169975763685711</v>
      </c>
      <c r="I7" s="7" t="n">
        <f aca="false">LN(Precios!I8/Precios!I7)</f>
        <v>0.017727262975453</v>
      </c>
      <c r="J7" s="7" t="n">
        <f aca="false">LN(Precios!J8/Precios!J7)</f>
        <v>-0.00425952360137433</v>
      </c>
    </row>
    <row r="8" customFormat="false" ht="15" hidden="false" customHeight="false" outlineLevel="0" collapsed="false">
      <c r="A8" s="6" t="n">
        <f aca="false">Precios!A9</f>
        <v>45945</v>
      </c>
      <c r="B8" s="7" t="n">
        <f aca="false">LN(Precios!B9/Precios!B8)</f>
        <v>0.00783212906307648</v>
      </c>
      <c r="C8" s="7" t="n">
        <f aca="false">LN(Precios!C9/Precios!C8)</f>
        <v>0.00753749317283657</v>
      </c>
      <c r="D8" s="7" t="n">
        <f aca="false">LN(Precios!D9/Precios!D8)</f>
        <v>0.02452856749022</v>
      </c>
      <c r="E8" s="7" t="n">
        <f aca="false">LN(Precios!E9/Precios!E8)</f>
        <v>-0.00882647116365072</v>
      </c>
      <c r="F8" s="7" t="n">
        <f aca="false">LN(Precios!F9/Precios!F8)</f>
        <v>0.030720092339554</v>
      </c>
      <c r="G8" s="7" t="n">
        <f aca="false">LN(Precios!G9/Precios!G8)</f>
        <v>0.0168782792102306</v>
      </c>
      <c r="H8" s="7" t="n">
        <f aca="false">LN(Precios!H9/Precios!H8)</f>
        <v>0.0122837948821524</v>
      </c>
      <c r="I8" s="7" t="n">
        <f aca="false">LN(Precios!I9/Precios!I8)</f>
        <v>0.0510434785177751</v>
      </c>
      <c r="J8" s="7" t="n">
        <f aca="false">LN(Precios!J9/Precios!J8)</f>
        <v>0.0139178526650422</v>
      </c>
    </row>
    <row r="9" customFormat="false" ht="15" hidden="false" customHeight="false" outlineLevel="0" collapsed="false">
      <c r="A9" s="6" t="n">
        <f aca="false">Precios!A10</f>
        <v>45946</v>
      </c>
      <c r="B9" s="7" t="n">
        <f aca="false">LN(Precios!B10/Precios!B9)</f>
        <v>0.0211036876292729</v>
      </c>
      <c r="C9" s="7" t="n">
        <f aca="false">LN(Precios!C10/Precios!C9)</f>
        <v>0.00529729981093847</v>
      </c>
      <c r="D9" s="7" t="n">
        <f aca="false">LN(Precios!D10/Precios!D9)</f>
        <v>0.0424965129832175</v>
      </c>
      <c r="E9" s="7" t="n">
        <f aca="false">LN(Precios!E10/Precios!E9)</f>
        <v>0.028964082790482</v>
      </c>
      <c r="F9" s="7" t="n">
        <f aca="false">LN(Precios!F10/Precios!F9)</f>
        <v>-0.0121750258752792</v>
      </c>
      <c r="G9" s="7" t="n">
        <f aca="false">LN(Precios!G10/Precios!G9)</f>
        <v>0.0102165537417085</v>
      </c>
      <c r="H9" s="7" t="n">
        <f aca="false">LN(Precios!H10/Precios!H9)</f>
        <v>0.00553404843464148</v>
      </c>
      <c r="I9" s="7" t="n">
        <f aca="false">LN(Precios!I10/Precios!I9)</f>
        <v>0.0197737398944551</v>
      </c>
      <c r="J9" s="7" t="n">
        <f aca="false">LN(Precios!J10/Precios!J9)</f>
        <v>0.0146081622014914</v>
      </c>
    </row>
    <row r="10" customFormat="false" ht="15" hidden="false" customHeight="false" outlineLevel="0" collapsed="false">
      <c r="A10" s="6" t="n">
        <f aca="false">Precios!A11</f>
        <v>45947</v>
      </c>
      <c r="B10" s="7" t="n">
        <f aca="false">LN(Precios!B11/Precios!B10)</f>
        <v>-0.0118854877685246</v>
      </c>
      <c r="C10" s="7" t="n">
        <f aca="false">LN(Precios!C11/Precios!C10)</f>
        <v>-0.010622810515044</v>
      </c>
      <c r="D10" s="7" t="n">
        <f aca="false">LN(Precios!D11/Precios!D10)</f>
        <v>-0.00145243308031499</v>
      </c>
      <c r="E10" s="7" t="n">
        <f aca="false">LN(Precios!E11/Precios!E10)</f>
        <v>-0.0104209359882589</v>
      </c>
      <c r="F10" s="7" t="n">
        <f aca="false">LN(Precios!F11/Precios!F10)</f>
        <v>-0.012888942787937</v>
      </c>
      <c r="G10" s="7" t="n">
        <f aca="false">LN(Precios!G11/Precios!G10)</f>
        <v>-0.0286539497684197</v>
      </c>
      <c r="H10" s="7" t="n">
        <f aca="false">LN(Precios!H11/Precios!H10)</f>
        <v>-0.0313927124078628</v>
      </c>
      <c r="I10" s="7" t="n">
        <f aca="false">LN(Precios!I11/Precios!I10)</f>
        <v>-0.00886602083960996</v>
      </c>
      <c r="J10" s="7" t="n">
        <f aca="false">LN(Precios!J11/Precios!J10)</f>
        <v>-0.0128837535851429</v>
      </c>
    </row>
    <row r="11" customFormat="false" ht="15" hidden="false" customHeight="false" outlineLevel="0" collapsed="false">
      <c r="A11" s="6" t="n">
        <f aca="false">Precios!A12</f>
        <v>45950</v>
      </c>
      <c r="B11" s="7" t="n">
        <f aca="false">LN(Precios!B12/Precios!B11)</f>
        <v>-0.00904983551991793</v>
      </c>
      <c r="C11" s="7" t="n">
        <f aca="false">LN(Precios!C12/Precios!C11)</f>
        <v>0.00202336130834634</v>
      </c>
      <c r="D11" s="7" t="n">
        <f aca="false">LN(Precios!D12/Precios!D11)</f>
        <v>-0.00534370958251979</v>
      </c>
      <c r="E11" s="7" t="n">
        <f aca="false">LN(Precios!E12/Precios!E11)</f>
        <v>0.00978277387342954</v>
      </c>
      <c r="F11" s="7" t="n">
        <f aca="false">LN(Precios!F12/Precios!F11)</f>
        <v>-0.00679119757800185</v>
      </c>
      <c r="G11" s="7" t="n">
        <f aca="false">LN(Precios!G12/Precios!G11)</f>
        <v>-0.0106319084280769</v>
      </c>
      <c r="H11" s="7" t="n">
        <f aca="false">LN(Precios!H12/Precios!H11)</f>
        <v>0.0280759597818687</v>
      </c>
      <c r="I11" s="7" t="n">
        <f aca="false">LN(Precios!I12/Precios!I11)</f>
        <v>-0.00210714074236885</v>
      </c>
      <c r="J11" s="7" t="n">
        <f aca="false">LN(Precios!J12/Precios!J11)</f>
        <v>-0.00115981479626344</v>
      </c>
    </row>
    <row r="12" customFormat="false" ht="15" hidden="false" customHeight="false" outlineLevel="0" collapsed="false">
      <c r="A12" s="6" t="n">
        <f aca="false">Precios!A13</f>
        <v>45951</v>
      </c>
      <c r="B12" s="7" t="n">
        <f aca="false">LN(Precios!B13/Precios!B12)</f>
        <v>-0.0057967914243629</v>
      </c>
      <c r="C12" s="7" t="n">
        <f aca="false">LN(Precios!C13/Precios!C12)</f>
        <v>-0.0176109843944601</v>
      </c>
      <c r="D12" s="7" t="n">
        <f aca="false">LN(Precios!D13/Precios!D12)</f>
        <v>0.000486973469569761</v>
      </c>
      <c r="E12" s="7" t="n">
        <f aca="false">LN(Precios!E13/Precios!E12)</f>
        <v>-0.02537509886237</v>
      </c>
      <c r="F12" s="7" t="n">
        <f aca="false">LN(Precios!F13/Precios!F12)</f>
        <v>-0.0464929750875906</v>
      </c>
      <c r="G12" s="7" t="n">
        <f aca="false">LN(Precios!G13/Precios!G12)</f>
        <v>0.011382897747333</v>
      </c>
      <c r="H12" s="7" t="n">
        <f aca="false">LN(Precios!H13/Precios!H12)</f>
        <v>-0.0190056028119044</v>
      </c>
      <c r="I12" s="7" t="n">
        <f aca="false">LN(Precios!I13/Precios!I12)</f>
        <v>0.00113516593719033</v>
      </c>
      <c r="J12" s="7" t="n">
        <f aca="false">LN(Precios!J13/Precios!J12)</f>
        <v>-0.0146772483686088</v>
      </c>
    </row>
    <row r="13" customFormat="false" ht="15" hidden="false" customHeight="false" outlineLevel="0" collapsed="false">
      <c r="A13" s="6" t="n">
        <f aca="false">Precios!A14</f>
        <v>45952</v>
      </c>
      <c r="B13" s="7" t="n">
        <f aca="false">LN(Precios!B14/Precios!B13)</f>
        <v>0.011113720138617</v>
      </c>
      <c r="C13" s="7" t="n">
        <f aca="false">LN(Precios!C14/Precios!C13)</f>
        <v>0.00875156875094375</v>
      </c>
      <c r="D13" s="7" t="n">
        <f aca="false">LN(Precios!D14/Precios!D13)</f>
        <v>0.00727628725703951</v>
      </c>
      <c r="E13" s="7" t="n">
        <f aca="false">LN(Precios!E14/Precios!E13)</f>
        <v>0.00798895583467872</v>
      </c>
      <c r="F13" s="7" t="n">
        <f aca="false">LN(Precios!F14/Precios!F13)</f>
        <v>0.00947313182561069</v>
      </c>
      <c r="G13" s="7" t="n">
        <f aca="false">LN(Precios!G14/Precios!G13)</f>
        <v>-0.00219678663902907</v>
      </c>
      <c r="H13" s="7" t="n">
        <f aca="false">LN(Precios!H14/Precios!H13)</f>
        <v>0.00450451212110473</v>
      </c>
      <c r="I13" s="7" t="n">
        <f aca="false">LN(Precios!I14/Precios!I13)</f>
        <v>0.00597884951421914</v>
      </c>
      <c r="J13" s="7" t="n">
        <f aca="false">LN(Precios!J14/Precios!J13)</f>
        <v>0.00875515639124549</v>
      </c>
    </row>
    <row r="14" customFormat="false" ht="15" hidden="false" customHeight="false" outlineLevel="0" collapsed="false">
      <c r="A14" s="6" t="n">
        <f aca="false">Precios!A15</f>
        <v>45953</v>
      </c>
      <c r="B14" s="7" t="n">
        <f aca="false">LN(Precios!B15/Precios!B14)</f>
        <v>0.0145187078740445</v>
      </c>
      <c r="C14" s="7" t="n">
        <f aca="false">LN(Precios!C15/Precios!C14)</f>
        <v>-0.0364363099266028</v>
      </c>
      <c r="D14" s="7" t="n">
        <f aca="false">LN(Precios!D15/Precios!D14)</f>
        <v>0.00818295781517462</v>
      </c>
      <c r="E14" s="7" t="n">
        <f aca="false">LN(Precios!E15/Precios!E14)</f>
        <v>0.0234323030532694</v>
      </c>
      <c r="F14" s="7" t="n">
        <f aca="false">LN(Precios!F15/Precios!F14)</f>
        <v>0.00996783392349886</v>
      </c>
      <c r="G14" s="7" t="n">
        <f aca="false">LN(Precios!G15/Precios!G14)</f>
        <v>-0.00562956711511994</v>
      </c>
      <c r="H14" s="7" t="n">
        <f aca="false">LN(Precios!H15/Precios!H14)</f>
        <v>-0.00112422721228088</v>
      </c>
      <c r="I14" s="7" t="n">
        <f aca="false">LN(Precios!I15/Precios!I14)</f>
        <v>-0.0137888469082949</v>
      </c>
      <c r="J14" s="7" t="n">
        <f aca="false">LN(Precios!J15/Precios!J14)</f>
        <v>0.00331786253168122</v>
      </c>
    </row>
    <row r="15" customFormat="false" ht="15" hidden="false" customHeight="false" outlineLevel="0" collapsed="false">
      <c r="A15" s="6" t="n">
        <f aca="false">Precios!A16</f>
        <v>45954</v>
      </c>
      <c r="B15" s="7" t="n">
        <f aca="false">LN(Precios!B16/Precios!B15)</f>
        <v>-0.0253502530058511</v>
      </c>
      <c r="C15" s="7" t="n">
        <f aca="false">LN(Precios!C16/Precios!C15)</f>
        <v>-0.0040458585195438</v>
      </c>
      <c r="D15" s="7" t="n">
        <f aca="false">LN(Precios!D16/Precios!D15)</f>
        <v>-0.000959232687460233</v>
      </c>
      <c r="E15" s="7" t="n">
        <f aca="false">LN(Precios!E16/Precios!E15)</f>
        <v>-0.0247322707371514</v>
      </c>
      <c r="F15" s="7" t="n">
        <f aca="false">LN(Precios!F16/Precios!F15)</f>
        <v>0.00407569705381431</v>
      </c>
      <c r="G15" s="7" t="n">
        <f aca="false">LN(Precios!G16/Precios!G15)</f>
        <v>-0.00221406604458887</v>
      </c>
      <c r="H15" s="7" t="n">
        <f aca="false">LN(Precios!H16/Precios!H15)</f>
        <v>-0.00338028490882375</v>
      </c>
      <c r="I15" s="7" t="n">
        <f aca="false">LN(Precios!I16/Precios!I15)</f>
        <v>-0.00425602213887556</v>
      </c>
      <c r="J15" s="7" t="n">
        <f aca="false">LN(Precios!J16/Precios!J15)</f>
        <v>-0.00597535853296432</v>
      </c>
    </row>
    <row r="16" customFormat="false" ht="15" hidden="false" customHeight="false" outlineLevel="0" collapsed="false">
      <c r="A16" s="6" t="n">
        <f aca="false">Precios!A17</f>
        <v>45957</v>
      </c>
      <c r="B16" s="7" t="n">
        <f aca="false">LN(Precios!B17/Precios!B16)</f>
        <v>-0.00197689917245407</v>
      </c>
      <c r="C16" s="7" t="n">
        <f aca="false">LN(Precios!C17/Precios!C16)</f>
        <v>0.00730913044314505</v>
      </c>
      <c r="D16" s="7" t="n">
        <f aca="false">LN(Precios!D17/Precios!D16)</f>
        <v>0.00335329655537597</v>
      </c>
      <c r="E16" s="7" t="n">
        <f aca="false">LN(Precios!E17/Precios!E16)</f>
        <v>0.013405676008287</v>
      </c>
      <c r="F16" s="7" t="n">
        <f aca="false">LN(Precios!F17/Precios!F16)</f>
        <v>-0.00174469366733875</v>
      </c>
      <c r="G16" s="7" t="n">
        <f aca="false">LN(Precios!G17/Precios!G16)</f>
        <v>0.00529394179755285</v>
      </c>
      <c r="H16" s="7" t="n">
        <f aca="false">LN(Precios!H17/Precios!H16)</f>
        <v>0.0343905216513839</v>
      </c>
      <c r="I16" s="7" t="n">
        <f aca="false">LN(Precios!I17/Precios!I16)</f>
        <v>0.00898185184188602</v>
      </c>
      <c r="J16" s="7" t="n">
        <f aca="false">LN(Precios!J17/Precios!J16)</f>
        <v>0.0116225105586281</v>
      </c>
    </row>
    <row r="17" customFormat="false" ht="15" hidden="false" customHeight="false" outlineLevel="0" collapsed="false">
      <c r="A17" s="6" t="n">
        <f aca="false">Precios!A18</f>
        <v>45958</v>
      </c>
      <c r="B17" s="7" t="n">
        <f aca="false">LN(Precios!B18/Precios!B17)</f>
        <v>0.0126409728437971</v>
      </c>
      <c r="C17" s="7" t="n">
        <f aca="false">LN(Precios!C18/Precios!C17)</f>
        <v>-0.00595869134527361</v>
      </c>
      <c r="D17" s="7" t="n">
        <f aca="false">LN(Precios!D18/Precios!D17)</f>
        <v>0.0161293819298837</v>
      </c>
      <c r="E17" s="7" t="n">
        <f aca="false">LN(Precios!E18/Precios!E17)</f>
        <v>0.058271935221035</v>
      </c>
      <c r="F17" s="7" t="n">
        <f aca="false">LN(Precios!F18/Precios!F17)</f>
        <v>0.0980580149723261</v>
      </c>
      <c r="G17" s="7" t="n">
        <f aca="false">LN(Precios!G18/Precios!G17)</f>
        <v>0.00515062338355161</v>
      </c>
      <c r="H17" s="7" t="n">
        <f aca="false">LN(Precios!H18/Precios!H17)</f>
        <v>0.0926298784032198</v>
      </c>
      <c r="I17" s="7" t="n">
        <f aca="false">LN(Precios!I18/Precios!I17)</f>
        <v>0.0170861667899953</v>
      </c>
      <c r="J17" s="7" t="n">
        <f aca="false">LN(Precios!J18/Precios!J17)</f>
        <v>0.0150006575174457</v>
      </c>
    </row>
    <row r="18" customFormat="false" ht="15" hidden="false" customHeight="false" outlineLevel="0" collapsed="false">
      <c r="A18" s="6" t="n">
        <f aca="false">Precios!A19</f>
        <v>45959</v>
      </c>
      <c r="B18" s="7" t="n">
        <f aca="false">LN(Precios!B19/Precios!B18)</f>
        <v>0.00184064530311676</v>
      </c>
      <c r="C18" s="7" t="n">
        <f aca="false">LN(Precios!C19/Precios!C18)</f>
        <v>0.000578201808534151</v>
      </c>
      <c r="D18" s="7" t="n">
        <f aca="false">LN(Precios!D19/Precios!D18)</f>
        <v>-0.00188412679383473</v>
      </c>
      <c r="E18" s="7" t="n">
        <f aca="false">LN(Precios!E19/Precios!E18)</f>
        <v>-0.00348722967297981</v>
      </c>
      <c r="F18" s="7" t="n">
        <f aca="false">LN(Precios!F19/Precios!F18)</f>
        <v>0.00473809783478399</v>
      </c>
      <c r="G18" s="7" t="n">
        <f aca="false">LN(Precios!G19/Precios!G18)</f>
        <v>0.0100509130872299</v>
      </c>
      <c r="H18" s="7" t="n">
        <f aca="false">LN(Precios!H19/Precios!H18)</f>
        <v>-0.00199005040801015</v>
      </c>
      <c r="I18" s="7" t="n">
        <f aca="false">LN(Precios!I19/Precios!I18)</f>
        <v>-0.0112505204673747</v>
      </c>
      <c r="J18" s="7" t="n">
        <f aca="false">LN(Precios!J19/Precios!J18)</f>
        <v>0.0088406194930879</v>
      </c>
    </row>
    <row r="19" customFormat="false" ht="15" hidden="false" customHeight="false" outlineLevel="0" collapsed="false">
      <c r="A19" s="6" t="n">
        <f aca="false">Precios!A20</f>
        <v>45960</v>
      </c>
      <c r="B19" s="7" t="n">
        <f aca="false">LN(Precios!B20/Precios!B19)</f>
        <v>-0.00614870578871577</v>
      </c>
      <c r="C19" s="7" t="n">
        <f aca="false">LN(Precios!C20/Precios!C19)</f>
        <v>-0.0229984800428725</v>
      </c>
      <c r="D19" s="7" t="n">
        <f aca="false">LN(Precios!D20/Precios!D19)</f>
        <v>-0.00188768342981728</v>
      </c>
      <c r="E19" s="7" t="n">
        <f aca="false">LN(Precios!E20/Precios!E19)</f>
        <v>-0.00777620751615549</v>
      </c>
      <c r="F19" s="7" t="n">
        <f aca="false">LN(Precios!F20/Precios!F19)</f>
        <v>-0.0116218952059856</v>
      </c>
      <c r="G19" s="7" t="n">
        <f aca="false">LN(Precios!G20/Precios!G19)</f>
        <v>-0.0103973134140008</v>
      </c>
      <c r="H19" s="7" t="n">
        <f aca="false">LN(Precios!H20/Precios!H19)</f>
        <v>-0.0211381801045078</v>
      </c>
      <c r="I19" s="7" t="n">
        <f aca="false">LN(Precios!I20/Precios!I19)</f>
        <v>-0.0182683273222396</v>
      </c>
      <c r="J19" s="7" t="n">
        <f aca="false">LN(Precios!J20/Precios!J19)</f>
        <v>-0.00733495147236643</v>
      </c>
    </row>
    <row r="20" customFormat="false" ht="15" hidden="false" customHeight="false" outlineLevel="0" collapsed="false">
      <c r="A20" s="6" t="n">
        <f aca="false">Precios!A21</f>
        <v>45961</v>
      </c>
      <c r="B20" s="7" t="n">
        <f aca="false">LN(Precios!B21/Precios!B20)</f>
        <v>0.00887555018407222</v>
      </c>
      <c r="C20" s="7" t="n">
        <f aca="false">LN(Precios!C21/Precios!C20)</f>
        <v>0.0115653548249029</v>
      </c>
      <c r="D20" s="7" t="n">
        <f aca="false">LN(Precios!D21/Precios!D20)</f>
        <v>0.000944287133433864</v>
      </c>
      <c r="E20" s="7" t="n">
        <f aca="false">LN(Precios!E21/Precios!E20)</f>
        <v>-0.0174481381567434</v>
      </c>
      <c r="F20" s="7" t="n">
        <f aca="false">LN(Precios!F21/Precios!F20)</f>
        <v>0.00318302656012089</v>
      </c>
      <c r="G20" s="7" t="n">
        <f aca="false">LN(Precios!G21/Precios!G20)</f>
        <v>0.00959694748972963</v>
      </c>
      <c r="H20" s="7" t="n">
        <f aca="false">LN(Precios!H21/Precios!H20)</f>
        <v>-0.0153770328705895</v>
      </c>
      <c r="I20" s="7" t="n">
        <f aca="false">LN(Precios!I21/Precios!I20)</f>
        <v>0.0109684327920186</v>
      </c>
      <c r="J20" s="7" t="n">
        <f aca="false">LN(Precios!J21/Precios!J20)</f>
        <v>-0.00192075376514116</v>
      </c>
    </row>
    <row r="21" customFormat="false" ht="15" hidden="false" customHeight="false" outlineLevel="0" collapsed="false">
      <c r="A21" s="6" t="n">
        <f aca="false">Precios!A22</f>
        <v>45964</v>
      </c>
      <c r="B21" s="7" t="n">
        <f aca="false">LN(Precios!B22/Precios!B21)</f>
        <v>-0.00100083411189908</v>
      </c>
      <c r="C21" s="7" t="n">
        <f aca="false">LN(Precios!C22/Precios!C21)</f>
        <v>-0.00939893349506237</v>
      </c>
      <c r="D21" s="7" t="n">
        <f aca="false">LN(Precios!D22/Precios!D21)</f>
        <v>-0.0180957318746648</v>
      </c>
      <c r="E21" s="7" t="n">
        <f aca="false">LN(Precios!E22/Precios!E21)</f>
        <v>-0.00312012733624363</v>
      </c>
      <c r="F21" s="7" t="n">
        <f aca="false">LN(Precios!F22/Precios!F21)</f>
        <v>-0.00584331011893714</v>
      </c>
      <c r="G21" s="7" t="n">
        <f aca="false">LN(Precios!G22/Precios!G21)</f>
        <v>-0.0034374138687516</v>
      </c>
      <c r="H21" s="7" t="n">
        <f aca="false">LN(Precios!H22/Precios!H21)</f>
        <v>-0.0145684158282905</v>
      </c>
      <c r="I21" s="7" t="n">
        <f aca="false">LN(Precios!I22/Precios!I21)</f>
        <v>-0.00686165083936505</v>
      </c>
      <c r="J21" s="7" t="n">
        <f aca="false">LN(Precios!J22/Precios!J21)</f>
        <v>-0.00183841828255766</v>
      </c>
    </row>
    <row r="22" customFormat="false" ht="15" hidden="false" customHeight="false" outlineLevel="0" collapsed="false">
      <c r="A22" s="6" t="n">
        <f aca="false">Precios!A23</f>
        <v>45965</v>
      </c>
      <c r="B22" s="7" t="n">
        <f aca="false">LN(Precios!B23/Precios!B22)</f>
        <v>0.017152890009468</v>
      </c>
      <c r="C22" s="7" t="n">
        <f aca="false">LN(Precios!C23/Precios!C22)</f>
        <v>-0.0174642263642485</v>
      </c>
      <c r="D22" s="7" t="n">
        <f aca="false">LN(Precios!D23/Precios!D22)</f>
        <v>0.0176236997677174</v>
      </c>
      <c r="E22" s="7" t="n">
        <f aca="false">LN(Precios!E23/Precios!E22)</f>
        <v>0.0294070917049566</v>
      </c>
      <c r="F22" s="7" t="n">
        <f aca="false">LN(Precios!F23/Precios!F22)</f>
        <v>0.0015970192374861</v>
      </c>
      <c r="G22" s="7" t="n">
        <f aca="false">LN(Precios!G23/Precios!G22)</f>
        <v>0.0188738477301101</v>
      </c>
      <c r="H22" s="7" t="n">
        <f aca="false">LN(Precios!H23/Precios!H22)</f>
        <v>0.0350190262995814</v>
      </c>
      <c r="I22" s="7" t="n">
        <f aca="false">LN(Precios!I23/Precios!I22)</f>
        <v>0.00978800636616294</v>
      </c>
      <c r="J22" s="7" t="n">
        <f aca="false">LN(Precios!J23/Precios!J22)</f>
        <v>-0.00420906374886876</v>
      </c>
    </row>
    <row r="23" customFormat="false" ht="15" hidden="false" customHeight="false" outlineLevel="0" collapsed="false">
      <c r="A23" s="6" t="n">
        <f aca="false">Precios!A24</f>
        <v>45966</v>
      </c>
      <c r="B23" s="7" t="n">
        <f aca="false">LN(Precios!B24/Precios!B23)</f>
        <v>0.00333015184242951</v>
      </c>
      <c r="C23" s="7" t="n">
        <f aca="false">LN(Precios!C24/Precios!C23)</f>
        <v>0.0243263256370803</v>
      </c>
      <c r="D23" s="7" t="n">
        <f aca="false">LN(Precios!D24/Precios!D23)</f>
        <v>0.00986618292105398</v>
      </c>
      <c r="E23" s="7" t="n">
        <f aca="false">LN(Precios!E24/Precios!E23)</f>
        <v>0</v>
      </c>
      <c r="F23" s="7" t="n">
        <f aca="false">LN(Precios!F24/Precios!F23)</f>
        <v>0.0168780377873517</v>
      </c>
      <c r="G23" s="7" t="n">
        <f aca="false">LN(Precios!G24/Precios!G23)</f>
        <v>-0.00553423594571036</v>
      </c>
      <c r="H23" s="7" t="n">
        <f aca="false">LN(Precios!H24/Precios!H23)</f>
        <v>0.0503312933513596</v>
      </c>
      <c r="I23" s="7" t="n">
        <f aca="false">LN(Precios!I24/Precios!I23)</f>
        <v>0.00969312920565975</v>
      </c>
      <c r="J23" s="7" t="n">
        <f aca="false">LN(Precios!J24/Precios!J23)</f>
        <v>0.0157081383457733</v>
      </c>
    </row>
    <row r="24" customFormat="false" ht="15" hidden="false" customHeight="false" outlineLevel="0" collapsed="false">
      <c r="A24" s="6" t="n">
        <f aca="false">Precios!A25</f>
        <v>45967</v>
      </c>
      <c r="B24" s="7" t="n">
        <f aca="false">LN(Precios!B25/Precios!B24)</f>
        <v>-0.00354891038855761</v>
      </c>
      <c r="C24" s="7" t="n">
        <f aca="false">LN(Precios!C25/Precios!C24)</f>
        <v>-0.00922570092471508</v>
      </c>
      <c r="D24" s="7" t="n">
        <f aca="false">LN(Precios!D25/Precios!D24)</f>
        <v>-0.0136504826122934</v>
      </c>
      <c r="E24" s="7" t="n">
        <f aca="false">LN(Precios!E25/Precios!E24)</f>
        <v>-0.0186835450087344</v>
      </c>
      <c r="F24" s="7" t="n">
        <f aca="false">LN(Precios!F25/Precios!F24)</f>
        <v>-0.00682238279906087</v>
      </c>
      <c r="G24" s="7" t="n">
        <f aca="false">LN(Precios!G25/Precios!G24)</f>
        <v>0.00288388336375484</v>
      </c>
      <c r="H24" s="7" t="n">
        <f aca="false">LN(Precios!H25/Precios!H24)</f>
        <v>-0.00192678286970017</v>
      </c>
      <c r="I24" s="7" t="n">
        <f aca="false">LN(Precios!I25/Precios!I24)</f>
        <v>-0.00370460277111769</v>
      </c>
      <c r="J24" s="7" t="n">
        <f aca="false">LN(Precios!J25/Precios!J24)</f>
        <v>-0.00451311467096051</v>
      </c>
    </row>
    <row r="25" customFormat="false" ht="15" hidden="false" customHeight="false" outlineLevel="0" collapsed="false">
      <c r="A25" s="6" t="n">
        <f aca="false">Precios!A26</f>
        <v>45968</v>
      </c>
      <c r="B25" s="7" t="n">
        <f aca="false">LN(Precios!B26/Precios!B25)</f>
        <v>0.0108797243541755</v>
      </c>
      <c r="C25" s="7" t="n">
        <f aca="false">LN(Precios!C26/Precios!C25)</f>
        <v>-0.00732314009975784</v>
      </c>
      <c r="D25" s="7" t="n">
        <f aca="false">LN(Precios!D26/Precios!D25)</f>
        <v>0.0150520245375818</v>
      </c>
      <c r="E25" s="7" t="n">
        <f aca="false">LN(Precios!E26/Precios!E25)</f>
        <v>0.00923225514264813</v>
      </c>
      <c r="F25" s="7" t="n">
        <f aca="false">LN(Precios!F26/Precios!F25)</f>
        <v>-0.00952388151125548</v>
      </c>
      <c r="G25" s="7" t="n">
        <f aca="false">LN(Precios!G26/Precios!G25)</f>
        <v>0.00445083694839059</v>
      </c>
      <c r="H25" s="7" t="n">
        <f aca="false">LN(Precios!H26/Precios!H25)</f>
        <v>-0.00096478541009889</v>
      </c>
      <c r="I25" s="7" t="n">
        <f aca="false">LN(Precios!I26/Precios!I25)</f>
        <v>0.0101148811320368</v>
      </c>
      <c r="J25" s="7" t="n">
        <f aca="false">LN(Precios!J26/Precios!J25)</f>
        <v>0.00447556180504132</v>
      </c>
    </row>
    <row r="26" customFormat="false" ht="15" hidden="false" customHeight="false" outlineLevel="0" collapsed="false">
      <c r="A26" s="6" t="n">
        <f aca="false">Precios!A27</f>
        <v>45971</v>
      </c>
      <c r="B26" s="7" t="n">
        <f aca="false">LN(Precios!B27/Precios!B26)</f>
        <v>-0.00292587985064342</v>
      </c>
      <c r="C26" s="7" t="n">
        <f aca="false">LN(Precios!C27/Precios!C26)</f>
        <v>-0.00677698427902382</v>
      </c>
      <c r="D26" s="7" t="n">
        <f aca="false">LN(Precios!D27/Precios!D26)</f>
        <v>-0.00985229644301171</v>
      </c>
      <c r="E26" s="7" t="n">
        <f aca="false">LN(Precios!E27/Precios!E26)</f>
        <v>-0.0266972242502248</v>
      </c>
      <c r="F26" s="7" t="n">
        <f aca="false">LN(Precios!F27/Precios!F26)</f>
        <v>0.00847014063398384</v>
      </c>
      <c r="G26" s="7" t="n">
        <f aca="false">LN(Precios!G27/Precios!G26)</f>
        <v>0.00767188419203734</v>
      </c>
      <c r="H26" s="7" t="n">
        <f aca="false">LN(Precios!H27/Precios!H26)</f>
        <v>0.0285461819063615</v>
      </c>
      <c r="I26" s="7" t="n">
        <f aca="false">LN(Precios!I27/Precios!I26)</f>
        <v>-0.0115682524011874</v>
      </c>
      <c r="J26" s="7" t="n">
        <f aca="false">LN(Precios!J27/Precios!J26)</f>
        <v>-0.0044614557706142</v>
      </c>
    </row>
    <row r="27" customFormat="false" ht="15" hidden="false" customHeight="false" outlineLevel="0" collapsed="false">
      <c r="A27" s="6" t="n">
        <f aca="false">Precios!A28</f>
        <v>45972</v>
      </c>
      <c r="B27" s="7" t="n">
        <f aca="false">LN(Precios!B28/Precios!B27)</f>
        <v>0.0330365983346617</v>
      </c>
      <c r="C27" s="7" t="n">
        <f aca="false">LN(Precios!C28/Precios!C27)</f>
        <v>0.0121261797978406</v>
      </c>
      <c r="D27" s="7" t="n">
        <f aca="false">LN(Precios!D28/Precios!D27)</f>
        <v>0.013580166557026</v>
      </c>
      <c r="E27" s="7" t="n">
        <f aca="false">LN(Precios!E28/Precios!E27)</f>
        <v>0.021630034905105</v>
      </c>
      <c r="F27" s="7" t="n">
        <f aca="false">LN(Precios!F28/Precios!F27)</f>
        <v>0.0162095052354769</v>
      </c>
      <c r="G27" s="7" t="n">
        <f aca="false">LN(Precios!G28/Precios!G27)</f>
        <v>0.0324910590906855</v>
      </c>
      <c r="H27" s="7" t="n">
        <f aca="false">LN(Precios!H28/Precios!H27)</f>
        <v>0.0102660724305987</v>
      </c>
      <c r="I27" s="7" t="n">
        <f aca="false">LN(Precios!I28/Precios!I27)</f>
        <v>0.0271019297777912</v>
      </c>
      <c r="J27" s="7" t="n">
        <f aca="false">LN(Precios!J28/Precios!J27)</f>
        <v>0.0192645333441288</v>
      </c>
    </row>
    <row r="28" customFormat="false" ht="15" hidden="false" customHeight="false" outlineLevel="0" collapsed="false">
      <c r="A28" s="6" t="n">
        <f aca="false">Precios!A29</f>
        <v>45973</v>
      </c>
      <c r="B28" s="7" t="n">
        <f aca="false">LN(Precios!B29/Precios!B28)</f>
        <v>-0.0204727383727313</v>
      </c>
      <c r="C28" s="7" t="n">
        <f aca="false">LN(Precios!C29/Precios!C28)</f>
        <v>-0.012726359869873</v>
      </c>
      <c r="D28" s="7" t="n">
        <f aca="false">LN(Precios!D29/Precios!D28)</f>
        <v>-0.0112255622198152</v>
      </c>
      <c r="E28" s="7" t="n">
        <f aca="false">LN(Precios!E29/Precios!E28)</f>
        <v>-0.0376455996163668</v>
      </c>
      <c r="F28" s="7" t="n">
        <f aca="false">LN(Precios!F29/Precios!F28)</f>
        <v>-0.0167367923555239</v>
      </c>
      <c r="G28" s="7" t="n">
        <f aca="false">LN(Precios!G29/Precios!G28)</f>
        <v>-0.0348367736541212</v>
      </c>
      <c r="H28" s="7" t="n">
        <f aca="false">LN(Precios!H29/Precios!H28)</f>
        <v>0.0400417459157715</v>
      </c>
      <c r="I28" s="7" t="n">
        <f aca="false">LN(Precios!I29/Precios!I28)</f>
        <v>-0.0188939493599616</v>
      </c>
      <c r="J28" s="7" t="n">
        <f aca="false">LN(Precios!J29/Precios!J28)</f>
        <v>-0.0177338642792219</v>
      </c>
    </row>
    <row r="29" customFormat="false" ht="15" hidden="false" customHeight="false" outlineLevel="0" collapsed="false">
      <c r="A29" s="6" t="n">
        <f aca="false">Precios!A30</f>
        <v>45974</v>
      </c>
      <c r="B29" s="7" t="n">
        <f aca="false">LN(Precios!B30/Precios!B29)</f>
        <v>-0.0141387061968903</v>
      </c>
      <c r="C29" s="7" t="n">
        <f aca="false">LN(Precios!C30/Precios!C29)</f>
        <v>-0.00481445262946647</v>
      </c>
      <c r="D29" s="7" t="n">
        <f aca="false">LN(Precios!D30/Precios!D29)</f>
        <v>0.000940291559641722</v>
      </c>
      <c r="E29" s="7" t="n">
        <f aca="false">LN(Precios!E30/Precios!E29)</f>
        <v>-0.0234505773302316</v>
      </c>
      <c r="F29" s="7" t="n">
        <f aca="false">LN(Precios!F30/Precios!F29)</f>
        <v>-0.0154135392732445</v>
      </c>
      <c r="G29" s="7" t="n">
        <f aca="false">LN(Precios!G30/Precios!G29)</f>
        <v>-0.0185676487513386</v>
      </c>
      <c r="H29" s="7" t="n">
        <f aca="false">LN(Precios!H30/Precios!H29)</f>
        <v>-0.0143758091203068</v>
      </c>
      <c r="I29" s="7" t="n">
        <f aca="false">LN(Precios!I30/Precios!I29)</f>
        <v>-0.01615805068329</v>
      </c>
      <c r="J29" s="7" t="n">
        <f aca="false">LN(Precios!J30/Precios!J29)</f>
        <v>-0.0105190195835935</v>
      </c>
    </row>
    <row r="30" customFormat="false" ht="15" hidden="false" customHeight="false" outlineLevel="0" collapsed="false">
      <c r="A30" s="6" t="n">
        <f aca="false">Precios!A31</f>
        <v>45975</v>
      </c>
      <c r="B30" s="7" t="n">
        <f aca="false">LN(Precios!B31/Precios!B30)</f>
        <v>-0.000163056771293721</v>
      </c>
      <c r="C30" s="7" t="n">
        <f aca="false">LN(Precios!C31/Precios!C30)</f>
        <v>-0.00665794853277027</v>
      </c>
      <c r="D30" s="7" t="n">
        <f aca="false">LN(Precios!D31/Precios!D30)</f>
        <v>-0.00329489589685254</v>
      </c>
      <c r="E30" s="7" t="n">
        <f aca="false">LN(Precios!E31/Precios!E30)</f>
        <v>-0.0163329540220505</v>
      </c>
      <c r="F30" s="7" t="n">
        <f aca="false">LN(Precios!F31/Precios!F30)</f>
        <v>-0.00806672833559799</v>
      </c>
      <c r="G30" s="7" t="n">
        <f aca="false">LN(Precios!G31/Precios!G30)</f>
        <v>-0.00268089029174664</v>
      </c>
      <c r="H30" s="7" t="n">
        <f aca="false">LN(Precios!H31/Precios!H30)</f>
        <v>-0.0349943626500999</v>
      </c>
      <c r="I30" s="7" t="n">
        <f aca="false">LN(Precios!I31/Precios!I30)</f>
        <v>0.00908065263574656</v>
      </c>
      <c r="J30" s="7" t="n">
        <f aca="false">LN(Precios!J31/Precios!J30)</f>
        <v>-0.00321661504365569</v>
      </c>
    </row>
    <row r="31" customFormat="false" ht="15" hidden="false" customHeight="false" outlineLevel="0" collapsed="false">
      <c r="A31" s="6" t="n">
        <f aca="false">Precios!A32</f>
        <v>45979</v>
      </c>
      <c r="B31" s="7" t="n">
        <f aca="false">LN(Precios!B32/Precios!B31)</f>
        <v>-0.00212216104674691</v>
      </c>
      <c r="C31" s="7" t="n">
        <f aca="false">LN(Precios!C32/Precios!C31)</f>
        <v>0.000607103124991151</v>
      </c>
      <c r="D31" s="7" t="n">
        <f aca="false">LN(Precios!D32/Precios!D31)</f>
        <v>0.0103190409088944</v>
      </c>
      <c r="E31" s="7" t="n">
        <f aca="false">LN(Precios!E32/Precios!E31)</f>
        <v>0.00182800217085585</v>
      </c>
      <c r="F31" s="7" t="n">
        <f aca="false">LN(Precios!F32/Precios!F31)</f>
        <v>0.0107412418314126</v>
      </c>
      <c r="G31" s="7" t="n">
        <f aca="false">LN(Precios!G32/Precios!G31)</f>
        <v>-0.0140345108128702</v>
      </c>
      <c r="H31" s="7" t="n">
        <f aca="false">LN(Precios!H32/Precios!H31)</f>
        <v>-0.0246691826867845</v>
      </c>
      <c r="I31" s="7" t="n">
        <f aca="false">LN(Precios!I32/Precios!I31)</f>
        <v>-0.0102215540715381</v>
      </c>
      <c r="J31" s="7" t="n">
        <f aca="false">LN(Precios!J32/Precios!J31)</f>
        <v>-0.00553732365790425</v>
      </c>
    </row>
    <row r="32" customFormat="false" ht="15" hidden="false" customHeight="false" outlineLevel="0" collapsed="false">
      <c r="A32" s="6" t="n">
        <f aca="false">Precios!A33</f>
        <v>45980</v>
      </c>
      <c r="B32" s="7" t="n">
        <f aca="false">LN(Precios!B33/Precios!B32)</f>
        <v>-0.0173076488707379</v>
      </c>
      <c r="C32" s="7" t="n">
        <f aca="false">LN(Precios!C33/Precios!C32)</f>
        <v>-0.0130321534911221</v>
      </c>
      <c r="D32" s="7" t="n">
        <f aca="false">LN(Precios!D33/Precios!D32)</f>
        <v>-0.00984767629964857</v>
      </c>
      <c r="E32" s="7" t="n">
        <f aca="false">LN(Precios!E33/Precios!E32)</f>
        <v>-0.0182630526312985</v>
      </c>
      <c r="F32" s="7" t="n">
        <f aca="false">LN(Precios!F33/Precios!F32)</f>
        <v>0.0111554941717855</v>
      </c>
      <c r="G32" s="7" t="n">
        <f aca="false">LN(Precios!G33/Precios!G32)</f>
        <v>0.00479617226349301</v>
      </c>
      <c r="H32" s="7" t="n">
        <f aca="false">LN(Precios!H33/Precios!H32)</f>
        <v>-0.00771459949533032</v>
      </c>
      <c r="I32" s="7" t="n">
        <f aca="false">LN(Precios!I33/Precios!I32)</f>
        <v>0.00504271097053833</v>
      </c>
      <c r="J32" s="7" t="n">
        <f aca="false">LN(Precios!J33/Precios!J32)</f>
        <v>0.00154967147854429</v>
      </c>
    </row>
    <row r="33" customFormat="false" ht="15" hidden="false" customHeight="false" outlineLevel="0" collapsed="false">
      <c r="A33" s="6" t="n">
        <f aca="false">Precios!A34</f>
        <v>45981</v>
      </c>
      <c r="B33" s="7" t="n">
        <f aca="false">LN(Precios!B34/Precios!B33)</f>
        <v>0.011626436168524</v>
      </c>
      <c r="C33" s="7" t="n">
        <f aca="false">LN(Precios!C34/Precios!C33)</f>
        <v>-0.0225939759334503</v>
      </c>
      <c r="D33" s="7" t="n">
        <f aca="false">LN(Precios!D34/Precios!D33)</f>
        <v>-0.0156735576173626</v>
      </c>
      <c r="E33" s="7" t="n">
        <f aca="false">LN(Precios!E34/Precios!E33)</f>
        <v>-0.0167096811990674</v>
      </c>
      <c r="F33" s="7" t="n">
        <f aca="false">LN(Precios!F34/Precios!F33)</f>
        <v>-0.00582783106399789</v>
      </c>
      <c r="G33" s="7" t="n">
        <f aca="false">LN(Precios!G34/Precios!G33)</f>
        <v>0.0126025612519739</v>
      </c>
      <c r="H33" s="7" t="n">
        <f aca="false">LN(Precios!H34/Precios!H33)</f>
        <v>-0.039491805074466</v>
      </c>
      <c r="I33" s="7" t="n">
        <f aca="false">LN(Precios!I34/Precios!I33)</f>
        <v>0.000648824029249624</v>
      </c>
      <c r="J33" s="7" t="n">
        <f aca="false">LN(Precios!J34/Precios!J33)</f>
        <v>-0.00660011864797729</v>
      </c>
    </row>
    <row r="34" customFormat="false" ht="15" hidden="false" customHeight="false" outlineLevel="0" collapsed="false">
      <c r="A34" s="6" t="n">
        <f aca="false">Precios!A35</f>
        <v>45982</v>
      </c>
      <c r="B34" s="7" t="n">
        <f aca="false">LN(Precios!B35/Precios!B34)</f>
        <v>-0.00246825674497928</v>
      </c>
      <c r="C34" s="7" t="n">
        <f aca="false">LN(Precios!C35/Precios!C34)</f>
        <v>0.0129141557322638</v>
      </c>
      <c r="D34" s="7" t="n">
        <f aca="false">LN(Precios!D35/Precios!D34)</f>
        <v>0.0066794141461341</v>
      </c>
      <c r="E34" s="7" t="n">
        <f aca="false">LN(Precios!E35/Precios!E34)</f>
        <v>-0.0182186005484923</v>
      </c>
      <c r="F34" s="7" t="n">
        <f aca="false">LN(Precios!F35/Precios!F34)</f>
        <v>-0.0128344007715412</v>
      </c>
      <c r="G34" s="7" t="n">
        <f aca="false">LN(Precios!G35/Precios!G34)</f>
        <v>-0.0161252167007993</v>
      </c>
      <c r="H34" s="7" t="n">
        <f aca="false">LN(Precios!H35/Precios!H34)</f>
        <v>0.036583417178509</v>
      </c>
      <c r="I34" s="7" t="n">
        <f aca="false">LN(Precios!I35/Precios!I34)</f>
        <v>0.00113443007061182</v>
      </c>
      <c r="J34" s="7" t="n">
        <f aca="false">LN(Precios!J35/Precios!J34)</f>
        <v>0.00331980711774682</v>
      </c>
    </row>
    <row r="35" customFormat="false" ht="15" hidden="false" customHeight="false" outlineLevel="0" collapsed="false">
      <c r="A35" s="6" t="n">
        <f aca="false">Precios!A36</f>
        <v>45985</v>
      </c>
      <c r="B35" s="7" t="n">
        <f aca="false">LN(Precios!B36/Precios!B35)</f>
        <v>-0.00170390565312756</v>
      </c>
      <c r="C35" s="7" t="n">
        <f aca="false">LN(Precios!C36/Precios!C35)</f>
        <v>0.0166242925539973</v>
      </c>
      <c r="D35" s="7" t="n">
        <f aca="false">LN(Precios!D36/Precios!D35)</f>
        <v>0.0202407474879441</v>
      </c>
      <c r="E35" s="7" t="n">
        <f aca="false">LN(Precios!E36/Precios!E35)</f>
        <v>0.0250726369762846</v>
      </c>
      <c r="F35" s="7" t="n">
        <f aca="false">LN(Precios!F36/Precios!F35)</f>
        <v>0.00107584733346333</v>
      </c>
      <c r="G35" s="7" t="n">
        <f aca="false">LN(Precios!G36/Precios!G35)</f>
        <v>-0.00266466009489943</v>
      </c>
      <c r="H35" s="7" t="n">
        <f aca="false">LN(Precios!H36/Precios!H35)</f>
        <v>-0.00486618965117301</v>
      </c>
      <c r="I35" s="7" t="n">
        <f aca="false">LN(Precios!I36/Precios!I35)</f>
        <v>-0.00731532157637288</v>
      </c>
      <c r="J35" s="7" t="n">
        <f aca="false">LN(Precios!J36/Precios!J35)</f>
        <v>0.0103753442383895</v>
      </c>
    </row>
    <row r="36" customFormat="false" ht="15" hidden="false" customHeight="false" outlineLevel="0" collapsed="false">
      <c r="A36" s="6" t="n">
        <f aca="false">Precios!A37</f>
        <v>45986</v>
      </c>
      <c r="B36" s="7" t="n">
        <f aca="false">LN(Precios!B37/Precios!B36)</f>
        <v>0.00504829869333668</v>
      </c>
      <c r="C36" s="7" t="n">
        <f aca="false">LN(Precios!C37/Precios!C36)</f>
        <v>0.00770482319277474</v>
      </c>
      <c r="D36" s="7" t="n">
        <f aca="false">LN(Precios!D37/Precios!D36)</f>
        <v>-0.00795325829716441</v>
      </c>
      <c r="E36" s="7" t="n">
        <f aca="false">LN(Precios!E37/Precios!E36)</f>
        <v>0.0108696722369039</v>
      </c>
      <c r="F36" s="7" t="n">
        <f aca="false">LN(Precios!F37/Precios!F36)</f>
        <v>0.0301849763383977</v>
      </c>
      <c r="G36" s="7" t="n">
        <f aca="false">LN(Precios!G37/Precios!G36)</f>
        <v>0.0257107122258233</v>
      </c>
      <c r="H36" s="7" t="n">
        <f aca="false">LN(Precios!H37/Precios!H36)</f>
        <v>-0.0266946152610445</v>
      </c>
      <c r="I36" s="7" t="n">
        <f aca="false">LN(Precios!I37/Precios!I36)</f>
        <v>0.00293255342127772</v>
      </c>
      <c r="J36" s="7" t="n">
        <f aca="false">LN(Precios!J37/Precios!J36)</f>
        <v>0.0110064030433243</v>
      </c>
    </row>
    <row r="37" customFormat="false" ht="15" hidden="false" customHeight="false" outlineLevel="0" collapsed="false">
      <c r="A37" s="6" t="n">
        <f aca="false">Precios!A38</f>
        <v>45987</v>
      </c>
      <c r="B37" s="7" t="n">
        <f aca="false">LN(Precios!B38/Precios!B37)</f>
        <v>0.00103941583252328</v>
      </c>
      <c r="C37" s="7" t="n">
        <f aca="false">LN(Precios!C38/Precios!C37)</f>
        <v>0.00784633338414126</v>
      </c>
      <c r="D37" s="7" t="n">
        <f aca="false">LN(Precios!D38/Precios!D37)</f>
        <v>-0.0127631134565831</v>
      </c>
      <c r="E37" s="7" t="n">
        <f aca="false">LN(Precios!E38/Precios!E37)</f>
        <v>-0.027572600371379</v>
      </c>
      <c r="F37" s="7" t="n">
        <f aca="false">LN(Precios!F38/Precios!F37)</f>
        <v>0.00882893296759512</v>
      </c>
      <c r="G37" s="7" t="n">
        <f aca="false">LN(Precios!G38/Precios!G37)</f>
        <v>-0.00107469112976541</v>
      </c>
      <c r="H37" s="7" t="n">
        <f aca="false">LN(Precios!H38/Precios!H37)</f>
        <v>-0.00401606965489005</v>
      </c>
      <c r="I37" s="7" t="n">
        <f aca="false">LN(Precios!I38/Precios!I37)</f>
        <v>0.00551591275226385</v>
      </c>
      <c r="J37" s="7" t="n">
        <f aca="false">LN(Precios!J38/Precios!J37)</f>
        <v>0.000445209681736383</v>
      </c>
    </row>
    <row r="38" customFormat="false" ht="15" hidden="false" customHeight="false" outlineLevel="0" collapsed="false">
      <c r="A38" s="6" t="n">
        <f aca="false">Precios!A39</f>
        <v>45988</v>
      </c>
      <c r="B38" s="7" t="n">
        <f aca="false">LN(Precios!B39/Precios!B38)</f>
        <v>-0.0116040568462194</v>
      </c>
      <c r="C38" s="7" t="n">
        <f aca="false">LN(Precios!C39/Precios!C38)</f>
        <v>-0.0204481261669187</v>
      </c>
      <c r="D38" s="7" t="n">
        <f aca="false">LN(Precios!D39/Precios!D38)</f>
        <v>-0.0119647275607842</v>
      </c>
      <c r="E38" s="7" t="n">
        <f aca="false">LN(Precios!E39/Precios!E38)</f>
        <v>0.00121475069167498</v>
      </c>
      <c r="F38" s="7" t="n">
        <f aca="false">LN(Precios!F39/Precios!F38)</f>
        <v>-0.021955926401416</v>
      </c>
      <c r="G38" s="7" t="n">
        <f aca="false">LN(Precios!G39/Precios!G38)</f>
        <v>-0.00311747453840393</v>
      </c>
      <c r="H38" s="7" t="n">
        <f aca="false">LN(Precios!H39/Precios!H38)</f>
        <v>-0.0131647470912109</v>
      </c>
      <c r="I38" s="7" t="n">
        <f aca="false">LN(Precios!I39/Precios!I38)</f>
        <v>-0.0197702705959132</v>
      </c>
      <c r="J38" s="7" t="n">
        <f aca="false">LN(Precios!J39/Precios!J38)</f>
        <v>-0.00870247097833852</v>
      </c>
    </row>
    <row r="39" customFormat="false" ht="15" hidden="false" customHeight="false" outlineLevel="0" collapsed="false">
      <c r="A39" s="6" t="n">
        <f aca="false">Precios!A40</f>
        <v>45989</v>
      </c>
      <c r="B39" s="7" t="n">
        <f aca="false">LN(Precios!B40/Precios!B39)</f>
        <v>0.0324900016426618</v>
      </c>
      <c r="C39" s="7" t="n">
        <f aca="false">LN(Precios!C40/Precios!C39)</f>
        <v>0.0258443619056075</v>
      </c>
      <c r="D39" s="7" t="n">
        <f aca="false">LN(Precios!D40/Precios!D39)</f>
        <v>0.0114888769688881</v>
      </c>
      <c r="E39" s="7" t="n">
        <f aca="false">LN(Precios!E40/Precios!E39)</f>
        <v>0.00846218675441733</v>
      </c>
      <c r="F39" s="7" t="n">
        <f aca="false">LN(Precios!F40/Precios!F39)</f>
        <v>0.0235059137951722</v>
      </c>
      <c r="G39" s="7" t="n">
        <f aca="false">LN(Precios!G40/Precios!G39)</f>
        <v>-0.00660707535359069</v>
      </c>
      <c r="H39" s="7" t="n">
        <f aca="false">LN(Precios!H40/Precios!H39)</f>
        <v>0.0231748406863113</v>
      </c>
      <c r="I39" s="7" t="n">
        <f aca="false">LN(Precios!I40/Precios!I39)</f>
        <v>0.0226781886385594</v>
      </c>
      <c r="J39" s="7" t="n">
        <f aca="false">LN(Precios!J40/Precios!J39)</f>
        <v>0.0142854470638652</v>
      </c>
    </row>
    <row r="40" customFormat="false" ht="15" hidden="false" customHeight="false" outlineLevel="0" collapsed="false">
      <c r="A40" s="6" t="n">
        <f aca="false">Precios!A41</f>
        <v>45992</v>
      </c>
      <c r="B40" s="7" t="n">
        <f aca="false">LN(Precios!B41/Precios!B40)</f>
        <v>0.000321233539543647</v>
      </c>
      <c r="C40" s="7" t="n">
        <f aca="false">LN(Precios!C41/Precios!C40)</f>
        <v>-0.00700072866212722</v>
      </c>
      <c r="D40" s="7" t="n">
        <f aca="false">LN(Precios!D41/Precios!D40)</f>
        <v>-0.032900887216654</v>
      </c>
      <c r="E40" s="7" t="n">
        <f aca="false">LN(Precios!E41/Precios!E40)</f>
        <v>-0.00258286841825408</v>
      </c>
      <c r="F40" s="7" t="n">
        <f aca="false">LN(Precios!F41/Precios!F40)</f>
        <v>-0.00103305794311368</v>
      </c>
      <c r="G40" s="7" t="n">
        <f aca="false">LN(Precios!G41/Precios!G40)</f>
        <v>0.00518682230985656</v>
      </c>
      <c r="H40" s="7" t="n">
        <f aca="false">LN(Precios!H41/Precios!H40)</f>
        <v>-0.00800004266707615</v>
      </c>
      <c r="I40" s="7" t="n">
        <f aca="false">LN(Precios!I41/Precios!I40)</f>
        <v>-0.0128258921955476</v>
      </c>
      <c r="J40" s="7" t="n">
        <f aca="false">LN(Precios!J41/Precios!J40)</f>
        <v>-0.000718061381606267</v>
      </c>
    </row>
    <row r="41" customFormat="false" ht="15" hidden="false" customHeight="false" outlineLevel="0" collapsed="false">
      <c r="A41" s="6" t="n">
        <f aca="false">Precios!A42</f>
        <v>45993</v>
      </c>
      <c r="B41" s="7" t="n">
        <f aca="false">LN(Precios!B42/Precios!B41)</f>
        <v>0.0126597435458577</v>
      </c>
      <c r="C41" s="7" t="n">
        <f aca="false">LN(Precios!C42/Precios!C41)</f>
        <v>0.0196766757716063</v>
      </c>
      <c r="D41" s="7" t="n">
        <f aca="false">LN(Precios!D42/Precios!D41)</f>
        <v>0.00588525484855553</v>
      </c>
      <c r="E41" s="7" t="n">
        <f aca="false">LN(Precios!E42/Precios!E41)</f>
        <v>0.0445117307876969</v>
      </c>
      <c r="F41" s="7" t="n">
        <f aca="false">LN(Precios!F42/Precios!F41)</f>
        <v>0.0133472207324639</v>
      </c>
      <c r="G41" s="7" t="n">
        <f aca="false">LN(Precios!G42/Precios!G41)</f>
        <v>0.00775834228218056</v>
      </c>
      <c r="H41" s="7" t="n">
        <f aca="false">LN(Precios!H42/Precios!H41)</f>
        <v>-0.00806455983673041</v>
      </c>
      <c r="I41" s="7" t="n">
        <f aca="false">LN(Precios!I42/Precios!I41)</f>
        <v>-0.00754472990067766</v>
      </c>
      <c r="J41" s="7" t="n">
        <f aca="false">LN(Precios!J42/Precios!J41)</f>
        <v>0.00423140018470083</v>
      </c>
    </row>
    <row r="42" customFormat="false" ht="15" hidden="false" customHeight="false" outlineLevel="0" collapsed="false">
      <c r="A42" s="6" t="n">
        <f aca="false">Precios!A43</f>
        <v>45994</v>
      </c>
      <c r="B42" s="7" t="n">
        <f aca="false">LN(Precios!B43/Precios!B42)</f>
        <v>-0.0222338270047032</v>
      </c>
      <c r="C42" s="7" t="n">
        <f aca="false">LN(Precios!C43/Precios!C42)</f>
        <v>-0.0186735660476095</v>
      </c>
      <c r="D42" s="7" t="n">
        <f aca="false">LN(Precios!D43/Precios!D42)</f>
        <v>-0.0317960217783512</v>
      </c>
      <c r="E42" s="7" t="n">
        <f aca="false">LN(Precios!E43/Precios!E42)</f>
        <v>-0.020155591955547</v>
      </c>
      <c r="F42" s="7" t="n">
        <f aca="false">LN(Precios!F43/Precios!F42)</f>
        <v>0.0116604616484719</v>
      </c>
      <c r="G42" s="7" t="n">
        <f aca="false">LN(Precios!G43/Precios!G42)</f>
        <v>-0.00707636908002723</v>
      </c>
      <c r="H42" s="7" t="n">
        <f aca="false">LN(Precios!H43/Precios!H42)</f>
        <v>0.00101163387484423</v>
      </c>
      <c r="I42" s="7" t="n">
        <f aca="false">LN(Precios!I43/Precios!I42)</f>
        <v>-0.0152624064158008</v>
      </c>
      <c r="J42" s="7" t="n">
        <f aca="false">LN(Precios!J43/Precios!J42)</f>
        <v>-0.00350296097303259</v>
      </c>
    </row>
    <row r="43" customFormat="false" ht="15" hidden="false" customHeight="false" outlineLevel="0" collapsed="false">
      <c r="A43" s="6" t="n">
        <f aca="false">Precios!A44</f>
        <v>45995</v>
      </c>
      <c r="B43" s="7" t="n">
        <f aca="false">LN(Precios!B44/Precios!B43)</f>
        <v>0.0145400528152211</v>
      </c>
      <c r="C43" s="7" t="n">
        <f aca="false">LN(Precios!C44/Precios!C43)</f>
        <v>0.0167035102488967</v>
      </c>
      <c r="D43" s="7" t="n">
        <f aca="false">LN(Precios!D44/Precios!D43)</f>
        <v>0.003024195853266</v>
      </c>
      <c r="E43" s="7" t="n">
        <f aca="false">LN(Precios!E44/Precios!E43)</f>
        <v>-0.0091278524220899</v>
      </c>
      <c r="F43" s="7" t="n">
        <f aca="false">LN(Precios!F44/Precios!F43)</f>
        <v>0.00703167136368075</v>
      </c>
      <c r="G43" s="7" t="n">
        <f aca="false">LN(Precios!G44/Precios!G43)</f>
        <v>-0.00689795512257321</v>
      </c>
      <c r="H43" s="7" t="n">
        <f aca="false">LN(Precios!H44/Precios!H43)</f>
        <v>0.00705292596188608</v>
      </c>
      <c r="I43" s="7" t="n">
        <f aca="false">LN(Precios!I44/Precios!I43)</f>
        <v>-0.016008430161632</v>
      </c>
      <c r="J43" s="7" t="n">
        <f aca="false">LN(Precios!J44/Precios!J43)</f>
        <v>0.00184459841341158</v>
      </c>
    </row>
    <row r="44" customFormat="false" ht="15" hidden="false" customHeight="false" outlineLevel="0" collapsed="false">
      <c r="A44" s="6" t="n">
        <f aca="false">Precios!A45</f>
        <v>45996</v>
      </c>
      <c r="B44" s="7" t="n">
        <f aca="false">LN(Precios!B45/Precios!B44)</f>
        <v>-0.0032544644191487</v>
      </c>
      <c r="C44" s="7" t="n">
        <f aca="false">LN(Precios!C45/Precios!C44)</f>
        <v>-0.0111046153989832</v>
      </c>
      <c r="D44" s="7" t="n">
        <f aca="false">LN(Precios!D45/Precios!D44)</f>
        <v>-0.013681490327254</v>
      </c>
      <c r="E44" s="7" t="n">
        <f aca="false">LN(Precios!E45/Precios!E44)</f>
        <v>0.0166712625949483</v>
      </c>
      <c r="F44" s="7" t="n">
        <f aca="false">LN(Precios!F45/Precios!F44)</f>
        <v>-0.0161456585013869</v>
      </c>
      <c r="G44" s="7" t="n">
        <f aca="false">LN(Precios!G45/Precios!G44)</f>
        <v>0.00142910248119947</v>
      </c>
      <c r="H44" s="7" t="n">
        <f aca="false">LN(Precios!H45/Precios!H44)</f>
        <v>-0.0100909029819629</v>
      </c>
      <c r="I44" s="7" t="n">
        <f aca="false">LN(Precios!I45/Precios!I44)</f>
        <v>0.00186678034696023</v>
      </c>
      <c r="J44" s="7" t="n">
        <f aca="false">LN(Precios!J45/Precios!J44)</f>
        <v>-0.00529628481542803</v>
      </c>
    </row>
    <row r="45" customFormat="false" ht="15" hidden="false" customHeight="false" outlineLevel="0" collapsed="false">
      <c r="A45" s="6" t="n">
        <f aca="false">Precios!A46</f>
        <v>45999</v>
      </c>
      <c r="B45" s="7" t="n">
        <f aca="false">LN(Precios!B46/Precios!B45)</f>
        <v>0.00628597850785283</v>
      </c>
      <c r="C45" s="7" t="n">
        <f aca="false">LN(Precios!C46/Precios!C45)</f>
        <v>0.00616242880496725</v>
      </c>
      <c r="D45" s="7" t="n">
        <f aca="false">LN(Precios!D46/Precios!D45)</f>
        <v>-0.00255427980509685</v>
      </c>
      <c r="E45" s="7" t="n">
        <f aca="false">LN(Precios!E46/Precios!E45)</f>
        <v>-0.00586217238612887</v>
      </c>
      <c r="F45" s="7" t="n">
        <f aca="false">LN(Precios!F46/Precios!F45)</f>
        <v>0.0191441614976435</v>
      </c>
      <c r="G45" s="7" t="n">
        <f aca="false">LN(Precios!G46/Precios!G45)</f>
        <v>-0.0345202501823645</v>
      </c>
      <c r="H45" s="7" t="n">
        <f aca="false">LN(Precios!H46/Precios!H45)</f>
        <v>0.0110944153592031</v>
      </c>
      <c r="I45" s="7" t="n">
        <f aca="false">LN(Precios!I46/Precios!I45)</f>
        <v>-0.00288649491526548</v>
      </c>
      <c r="J45" s="7" t="n">
        <f aca="false">LN(Precios!J46/Precios!J45)</f>
        <v>0.00235922203129322</v>
      </c>
    </row>
    <row r="46" customFormat="false" ht="15" hidden="false" customHeight="false" outlineLevel="0" collapsed="false">
      <c r="A46" s="6" t="n">
        <f aca="false">Precios!A47</f>
        <v>46000</v>
      </c>
      <c r="B46" s="7" t="n">
        <f aca="false">LN(Precios!B47/Precios!B46)</f>
        <v>0.00185691222415695</v>
      </c>
      <c r="C46" s="7" t="n">
        <f aca="false">LN(Precios!C47/Precios!C46)</f>
        <v>0.00966381645582217</v>
      </c>
      <c r="D46" s="7" t="n">
        <f aca="false">LN(Precios!D47/Precios!D46)</f>
        <v>-0.00976620458294392</v>
      </c>
      <c r="E46" s="7" t="n">
        <f aca="false">LN(Precios!E47/Precios!E46)</f>
        <v>0.00184610273123881</v>
      </c>
      <c r="F46" s="7" t="n">
        <f aca="false">LN(Precios!F47/Precios!F46)</f>
        <v>-0.00500251168297169</v>
      </c>
      <c r="G46" s="7" t="n">
        <f aca="false">LN(Precios!G47/Precios!G46)</f>
        <v>0.00929910767846738</v>
      </c>
      <c r="H46" s="7" t="n">
        <f aca="false">LN(Precios!H47/Precios!H46)</f>
        <v>0.0198616260867215</v>
      </c>
      <c r="I46" s="7" t="n">
        <f aca="false">LN(Precios!I47/Precios!I46)</f>
        <v>-0.000170053567283457</v>
      </c>
      <c r="J46" s="7" t="n">
        <f aca="false">LN(Precios!J47/Precios!J46)</f>
        <v>0.00262028901399568</v>
      </c>
    </row>
    <row r="47" customFormat="false" ht="15" hidden="false" customHeight="false" outlineLevel="0" collapsed="false">
      <c r="A47" s="6" t="n">
        <f aca="false">Precios!A48</f>
        <v>46001</v>
      </c>
      <c r="B47" s="7" t="n">
        <f aca="false">LN(Precios!B48/Precios!B47)</f>
        <v>-0.00552781252390219</v>
      </c>
      <c r="C47" s="7" t="n">
        <f aca="false">LN(Precios!C48/Precios!C47)</f>
        <v>-0.00117831906799251</v>
      </c>
      <c r="D47" s="7" t="n">
        <f aca="false">LN(Precios!D48/Precios!D47)</f>
        <v>-0.00206825306405896</v>
      </c>
      <c r="E47" s="7" t="n">
        <f aca="false">LN(Precios!E48/Precios!E47)</f>
        <v>0.00468384931242644</v>
      </c>
      <c r="F47" s="7" t="n">
        <f aca="false">LN(Precios!F48/Precios!F47)</f>
        <v>-0.0105874444991683</v>
      </c>
      <c r="G47" s="7" t="n">
        <f aca="false">LN(Precios!G48/Precios!G47)</f>
        <v>-0.00853071800801044</v>
      </c>
      <c r="H47" s="7" t="n">
        <f aca="false">LN(Precios!H48/Precios!H47)</f>
        <v>0.0656441044453208</v>
      </c>
      <c r="I47" s="7" t="n">
        <f aca="false">LN(Precios!I48/Precios!I47)</f>
        <v>-0.00391923480289028</v>
      </c>
      <c r="J47" s="7" t="n">
        <f aca="false">LN(Precios!J48/Precios!J47)</f>
        <v>-0.00448892716966459</v>
      </c>
    </row>
    <row r="48" customFormat="false" ht="15" hidden="false" customHeight="false" outlineLevel="0" collapsed="false">
      <c r="A48" s="6" t="n">
        <f aca="false">Precios!A49</f>
        <v>46002</v>
      </c>
      <c r="B48" s="7" t="n">
        <f aca="false">LN(Precios!B49/Precios!B48)</f>
        <v>0.0337487488993484</v>
      </c>
      <c r="C48" s="7" t="n">
        <f aca="false">LN(Precios!C49/Precios!C48)</f>
        <v>0.00117831906799261</v>
      </c>
      <c r="D48" s="7" t="n">
        <f aca="false">LN(Precios!D49/Precios!D48)</f>
        <v>-0.00103573287353209</v>
      </c>
      <c r="E48" s="7" t="n">
        <f aca="false">LN(Precios!E49/Precios!E48)</f>
        <v>-0.00334336653797444</v>
      </c>
      <c r="F48" s="7" t="n">
        <f aca="false">LN(Precios!F49/Precios!F48)</f>
        <v>0.0190768837500367</v>
      </c>
      <c r="G48" s="7" t="n">
        <f aca="false">LN(Precios!G49/Precios!G48)</f>
        <v>0.0335804760103597</v>
      </c>
      <c r="H48" s="7" t="n">
        <f aca="false">LN(Precios!H49/Precios!H48)</f>
        <v>0.0055096558109697</v>
      </c>
      <c r="I48" s="7" t="n">
        <f aca="false">LN(Precios!I49/Precios!I48)</f>
        <v>0.0123866859019888</v>
      </c>
      <c r="J48" s="7" t="n">
        <f aca="false">LN(Precios!J49/Precios!J48)</f>
        <v>0.0203356219937359</v>
      </c>
    </row>
    <row r="49" customFormat="false" ht="15" hidden="false" customHeight="false" outlineLevel="0" collapsed="false">
      <c r="A49" s="6" t="n">
        <f aca="false">Precios!A50</f>
        <v>46006</v>
      </c>
      <c r="B49" s="7" t="n">
        <f aca="false">LN(Precios!B50/Precios!B49)</f>
        <v>-0.00833100986739833</v>
      </c>
      <c r="C49" s="7" t="n">
        <f aca="false">LN(Precios!C50/Precios!C49)</f>
        <v>0.00196078494194062</v>
      </c>
      <c r="D49" s="7" t="n">
        <f aca="false">LN(Precios!D50/Precios!D49)</f>
        <v>-0.015139939410502</v>
      </c>
      <c r="E49" s="7" t="n">
        <f aca="false">LN(Precios!E50/Precios!E49)</f>
        <v>-0.0175680193962087</v>
      </c>
      <c r="F49" s="7" t="n">
        <f aca="false">LN(Precios!F50/Precios!F49)</f>
        <v>0.041875641129268</v>
      </c>
      <c r="G49" s="7" t="n">
        <f aca="false">LN(Precios!G50/Precios!G49)</f>
        <v>-0.00308995439260548</v>
      </c>
      <c r="H49" s="7" t="n">
        <f aca="false">LN(Precios!H50/Precios!H49)</f>
        <v>-0.0064308903302904</v>
      </c>
      <c r="I49" s="7" t="n">
        <f aca="false">LN(Precios!I50/Precios!I49)</f>
        <v>-0.00676821534613874</v>
      </c>
      <c r="J49" s="7" t="n">
        <f aca="false">LN(Precios!J50/Precios!J49)</f>
        <v>-0.00598134600175054</v>
      </c>
    </row>
    <row r="50" customFormat="false" ht="15" hidden="false" customHeight="false" outlineLevel="0" collapsed="false">
      <c r="A50" s="6" t="n">
        <f aca="false">Precios!A51</f>
        <v>46007</v>
      </c>
      <c r="B50" s="7" t="n">
        <f aca="false">LN(Precios!B51/Precios!B50)</f>
        <v>-0.0140235671638676</v>
      </c>
      <c r="C50" s="7" t="n">
        <f aca="false">LN(Precios!C51/Precios!C50)</f>
        <v>-0.0128143695333517</v>
      </c>
      <c r="D50" s="7" t="n">
        <f aca="false">LN(Precios!D51/Precios!D50)</f>
        <v>-0.0127053059019204</v>
      </c>
      <c r="E50" s="7" t="n">
        <f aca="false">LN(Precios!E51/Precios!E50)</f>
        <v>-0.0113111745815229</v>
      </c>
      <c r="F50" s="7" t="n">
        <f aca="false">LN(Precios!F51/Precios!F50)</f>
        <v>-0.0153775255067868</v>
      </c>
      <c r="G50" s="7" t="n">
        <f aca="false">LN(Precios!G51/Precios!G50)</f>
        <v>-0.04471229593621</v>
      </c>
      <c r="H50" s="7" t="n">
        <f aca="false">LN(Precios!H51/Precios!H50)</f>
        <v>0.0209766013326692</v>
      </c>
      <c r="I50" s="7" t="n">
        <f aca="false">LN(Precios!I51/Precios!I50)</f>
        <v>-0.0308618579807695</v>
      </c>
      <c r="J50" s="7" t="n">
        <f aca="false">LN(Precios!J51/Precios!J50)</f>
        <v>-0.0171737601618871</v>
      </c>
    </row>
    <row r="51" customFormat="false" ht="15" hidden="false" customHeight="false" outlineLevel="0" collapsed="false">
      <c r="A51" s="6" t="n">
        <f aca="false">Precios!A52</f>
        <v>46008</v>
      </c>
      <c r="B51" s="7" t="n">
        <f aca="false">LN(Precios!B52/Precios!B51)</f>
        <v>-0.000790743076074443</v>
      </c>
      <c r="C51" s="7" t="n">
        <f aca="false">LN(Precios!C52/Precios!C51)</f>
        <v>0.0210079385873402</v>
      </c>
      <c r="D51" s="7" t="n">
        <f aca="false">LN(Precios!D52/Precios!D51)</f>
        <v>-0.0182800789166856</v>
      </c>
      <c r="E51" s="7" t="n">
        <f aca="false">LN(Precios!E52/Precios!E51)</f>
        <v>-0.003453042105058</v>
      </c>
      <c r="F51" s="7" t="n">
        <f aca="false">LN(Precios!F52/Precios!F51)</f>
        <v>-0.0269955043420115</v>
      </c>
      <c r="G51" s="7" t="n">
        <f aca="false">LN(Precios!G52/Precios!G51)</f>
        <v>-0.0146093754442509</v>
      </c>
      <c r="H51" s="7" t="n">
        <f aca="false">LN(Precios!H52/Precios!H51)</f>
        <v>0.0036036075032984</v>
      </c>
      <c r="I51" s="7" t="n">
        <f aca="false">LN(Precios!I52/Precios!I51)</f>
        <v>-0.0242812106229693</v>
      </c>
      <c r="J51" s="7" t="n">
        <f aca="false">LN(Precios!J52/Precios!J51)</f>
        <v>-0.0111772152773696</v>
      </c>
    </row>
    <row r="52" customFormat="false" ht="15" hidden="false" customHeight="false" outlineLevel="0" collapsed="false">
      <c r="A52" s="6" t="n">
        <f aca="false">Precios!A53</f>
        <v>46009</v>
      </c>
      <c r="B52" s="7" t="n">
        <f aca="false">LN(Precios!B53/Precios!B52)</f>
        <v>0.00205463286462733</v>
      </c>
      <c r="C52" s="7" t="n">
        <f aca="false">LN(Precios!C53/Precios!C52)</f>
        <v>0.0179074776623333</v>
      </c>
      <c r="D52" s="7" t="n">
        <f aca="false">LN(Precios!D53/Precios!D52)</f>
        <v>0.00810596170396048</v>
      </c>
      <c r="E52" s="7" t="n">
        <f aca="false">LN(Precios!E53/Precios!E52)</f>
        <v>0.0195245112928811</v>
      </c>
      <c r="F52" s="7" t="n">
        <f aca="false">LN(Precios!F53/Precios!F52)</f>
        <v>0.0375929060240793</v>
      </c>
      <c r="G52" s="7" t="n">
        <f aca="false">LN(Precios!G53/Precios!G52)</f>
        <v>0.0308379973256315</v>
      </c>
      <c r="H52" s="7" t="n">
        <f aca="false">LN(Precios!H53/Precios!H52)</f>
        <v>0.0257448750515481</v>
      </c>
      <c r="I52" s="7" t="n">
        <f aca="false">LN(Precios!I53/Precios!I52)</f>
        <v>0.0156642576299513</v>
      </c>
      <c r="J52" s="7" t="n">
        <f aca="false">LN(Precios!J53/Precios!J52)</f>
        <v>0.0202525013217048</v>
      </c>
    </row>
    <row r="53" customFormat="false" ht="15" hidden="false" customHeight="false" outlineLevel="0" collapsed="false">
      <c r="A53" s="6" t="n">
        <f aca="false">Precios!A54</f>
        <v>46010</v>
      </c>
      <c r="B53" s="7" t="n">
        <f aca="false">LN(Precios!B54/Precios!B53)</f>
        <v>0.0261792335982251</v>
      </c>
      <c r="C53" s="7" t="n">
        <f aca="false">LN(Precios!C54/Precios!C53)</f>
        <v>0.0143996425180481</v>
      </c>
      <c r="D53" s="7" t="n">
        <f aca="false">LN(Precios!D54/Precios!D53)</f>
        <v>-0.0190171446951207</v>
      </c>
      <c r="E53" s="7" t="n">
        <f aca="false">LN(Precios!E54/Precios!E53)</f>
        <v>0.00928511777567948</v>
      </c>
      <c r="F53" s="7" t="n">
        <f aca="false">LN(Precios!F54/Precios!F53)</f>
        <v>0.00430313836373211</v>
      </c>
      <c r="G53" s="7" t="n">
        <f aca="false">LN(Precios!G54/Precios!G53)</f>
        <v>-0.00401773066305546</v>
      </c>
      <c r="H53" s="7" t="n">
        <f aca="false">LN(Precios!H54/Precios!H53)</f>
        <v>-0.0936463587628483</v>
      </c>
      <c r="I53" s="7" t="n">
        <f aca="false">LN(Precios!I54/Precios!I53)</f>
        <v>-0.000176631635185</v>
      </c>
      <c r="J53" s="7" t="n">
        <f aca="false">LN(Precios!J54/Precios!J53)</f>
        <v>0.00249909540644834</v>
      </c>
    </row>
    <row r="54" customFormat="false" ht="15" hidden="false" customHeight="false" outlineLevel="0" collapsed="false">
      <c r="A54" s="6" t="n">
        <f aca="false">Precios!A55</f>
        <v>46013</v>
      </c>
      <c r="B54" s="7" t="n">
        <f aca="false">LN(Precios!B55/Precios!B54)</f>
        <v>0.00281582164805138</v>
      </c>
      <c r="C54" s="7" t="n">
        <f aca="false">LN(Precios!C55/Precios!C54)</f>
        <v>0.0162332140109299</v>
      </c>
      <c r="D54" s="7" t="n">
        <f aca="false">LN(Precios!D55/Precios!D54)</f>
        <v>0.0152425378948346</v>
      </c>
      <c r="E54" s="7" t="n">
        <f aca="false">LN(Precios!E55/Precios!E54)</f>
        <v>-0.00996377406233106</v>
      </c>
      <c r="F54" s="7" t="n">
        <f aca="false">LN(Precios!F55/Precios!F54)</f>
        <v>0.00807797217512379</v>
      </c>
      <c r="G54" s="7" t="n">
        <f aca="false">LN(Precios!G55/Precios!G54)</f>
        <v>0.00525524518499339</v>
      </c>
      <c r="H54" s="7" t="n">
        <f aca="false">LN(Precios!H55/Precios!H54)</f>
        <v>0.0405524683071994</v>
      </c>
      <c r="I54" s="7" t="n">
        <f aca="false">LN(Precios!I55/Precios!I54)</f>
        <v>0.00598804184462269</v>
      </c>
      <c r="J54" s="7" t="n">
        <f aca="false">LN(Precios!J55/Precios!J54)</f>
        <v>0.0126018055393084</v>
      </c>
    </row>
    <row r="55" customFormat="false" ht="15" hidden="false" customHeight="false" outlineLevel="0" collapsed="false">
      <c r="A55" s="6" t="n">
        <f aca="false">Precios!A56</f>
        <v>46014</v>
      </c>
      <c r="B55" s="7" t="n">
        <f aca="false">LN(Precios!B56/Precios!B55)</f>
        <v>0.0124982574924397</v>
      </c>
      <c r="C55" s="7" t="n">
        <f aca="false">LN(Precios!C56/Precios!C55)</f>
        <v>0.0143332112020506</v>
      </c>
      <c r="D55" s="7" t="n">
        <f aca="false">LN(Precios!D56/Precios!D55)</f>
        <v>0.00914230621529024</v>
      </c>
      <c r="E55" s="7" t="n">
        <f aca="false">LN(Precios!E56/Precios!E55)</f>
        <v>0.0118104966554957</v>
      </c>
      <c r="F55" s="7" t="n">
        <f aca="false">LN(Precios!F56/Precios!F55)</f>
        <v>0.00801324108741408</v>
      </c>
      <c r="G55" s="7" t="n">
        <f aca="false">LN(Precios!G56/Precios!G55)</f>
        <v>0.00352734051796844</v>
      </c>
      <c r="H55" s="7" t="n">
        <f aca="false">LN(Precios!H56/Precios!H55)</f>
        <v>-0.00928511777567954</v>
      </c>
      <c r="I55" s="7" t="n">
        <f aca="false">LN(Precios!I56/Precios!I55)</f>
        <v>0.0031556828431801</v>
      </c>
      <c r="J55" s="7" t="n">
        <f aca="false">LN(Precios!J56/Precios!J55)</f>
        <v>0.0125369057324365</v>
      </c>
    </row>
    <row r="56" customFormat="false" ht="15" hidden="false" customHeight="false" outlineLevel="0" collapsed="false">
      <c r="A56" s="6" t="n">
        <f aca="false">Precios!A57</f>
        <v>46015</v>
      </c>
      <c r="B56" s="7" t="n">
        <f aca="false">LN(Precios!B57/Precios!B56)</f>
        <v>-0.00506176419882817</v>
      </c>
      <c r="C56" s="7" t="n">
        <f aca="false">LN(Precios!C57/Precios!C56)</f>
        <v>0.0173634313434374</v>
      </c>
      <c r="D56" s="7" t="n">
        <f aca="false">LN(Precios!D57/Precios!D56)</f>
        <v>0.00427351077738209</v>
      </c>
      <c r="E56" s="7" t="n">
        <f aca="false">LN(Precios!E57/Precios!E56)</f>
        <v>0.00735297430525895</v>
      </c>
      <c r="F56" s="7" t="n">
        <f aca="false">LN(Precios!F57/Precios!F56)</f>
        <v>-0.000469593809991399</v>
      </c>
      <c r="G56" s="7" t="n">
        <f aca="false">LN(Precios!G57/Precios!G56)</f>
        <v>0.0093458624182376</v>
      </c>
      <c r="H56" s="7" t="n">
        <f aca="false">LN(Precios!H57/Precios!H56)</f>
        <v>-0.0197839707537963</v>
      </c>
      <c r="I56" s="7" t="n">
        <f aca="false">LN(Precios!I57/Precios!I56)</f>
        <v>0.0019235819518789</v>
      </c>
      <c r="J56" s="7" t="n">
        <f aca="false">LN(Precios!J57/Precios!J56)</f>
        <v>0.000320397918050759</v>
      </c>
    </row>
    <row r="57" customFormat="false" ht="15" hidden="false" customHeight="false" outlineLevel="0" collapsed="false">
      <c r="A57" s="6" t="n">
        <f aca="false">Precios!A58</f>
        <v>46017</v>
      </c>
      <c r="B57" s="7" t="n">
        <f aca="false">LN(Precios!B58/Precios!B57)</f>
        <v>0.00147055121452759</v>
      </c>
      <c r="C57" s="7" t="n">
        <f aca="false">LN(Precios!C58/Precios!C57)</f>
        <v>0.00981362144832467</v>
      </c>
      <c r="D57" s="7" t="n">
        <f aca="false">LN(Precios!D58/Precios!D57)</f>
        <v>-0.00588079748825419</v>
      </c>
      <c r="E57" s="7" t="n">
        <f aca="false">LN(Precios!E58/Precios!E57)</f>
        <v>0.00149737986550356</v>
      </c>
      <c r="F57" s="7" t="n">
        <f aca="false">LN(Precios!F58/Precios!F57)</f>
        <v>0.00608758611421468</v>
      </c>
      <c r="G57" s="7" t="n">
        <f aca="false">LN(Precios!G58/Precios!G57)</f>
        <v>-0.00168746948774174</v>
      </c>
      <c r="H57" s="7" t="n">
        <f aca="false">LN(Precios!H58/Precios!H57)</f>
        <v>0.00474609338925576</v>
      </c>
      <c r="I57" s="7" t="n">
        <f aca="false">LN(Precios!I58/Precios!I57)</f>
        <v>-0.0013986016265836</v>
      </c>
      <c r="J57" s="7" t="n">
        <f aca="false">LN(Precios!J58/Precios!J57)</f>
        <v>0.000303688784873651</v>
      </c>
    </row>
    <row r="58" customFormat="false" ht="15" hidden="false" customHeight="false" outlineLevel="0" collapsed="false">
      <c r="A58" s="6" t="n">
        <f aca="false">Precios!A59</f>
        <v>46020</v>
      </c>
      <c r="B58" s="7" t="n">
        <f aca="false">LN(Precios!B59/Precios!B58)</f>
        <v>0.000607871960362104</v>
      </c>
      <c r="C58" s="7" t="n">
        <f aca="false">LN(Precios!C59/Precios!C58)</f>
        <v>-0.00873835252751796</v>
      </c>
      <c r="D58" s="7" t="n">
        <f aca="false">LN(Precios!D59/Precios!D58)</f>
        <v>0.00588079748825416</v>
      </c>
      <c r="E58" s="7" t="n">
        <f aca="false">LN(Precios!E59/Precios!E58)</f>
        <v>-0.00717446974969826</v>
      </c>
      <c r="F58" s="7" t="n">
        <f aca="false">LN(Precios!F59/Precios!F58)</f>
        <v>-0.00702743580745697</v>
      </c>
      <c r="G58" s="7" t="n">
        <f aca="false">LN(Precios!G59/Precios!G58)</f>
        <v>-0.00402649859790199</v>
      </c>
      <c r="H58" s="7" t="n">
        <f aca="false">LN(Precios!H59/Precios!H58)</f>
        <v>-0.0114286958236229</v>
      </c>
      <c r="I58" s="7" t="n">
        <f aca="false">LN(Precios!I59/Precios!I58)</f>
        <v>-0.00105023639970203</v>
      </c>
      <c r="J58" s="7" t="n">
        <f aca="false">LN(Precios!J59/Precios!J58)</f>
        <v>-0.00441705409981226</v>
      </c>
    </row>
    <row r="59" customFormat="false" ht="15" hidden="false" customHeight="false" outlineLevel="0" collapsed="false">
      <c r="A59" s="6" t="n">
        <f aca="false">Precios!A60</f>
        <v>46021</v>
      </c>
      <c r="B59" s="7" t="n">
        <f aca="false">LN(Precios!B60/Precios!B59)</f>
        <v>-0.0143322270708707</v>
      </c>
      <c r="C59" s="7" t="n">
        <f aca="false">LN(Precios!C60/Precios!C59)</f>
        <v>-0.0296304508766685</v>
      </c>
      <c r="D59" s="7" t="n">
        <f aca="false">LN(Precios!D60/Precios!D59)</f>
        <v>0</v>
      </c>
      <c r="E59" s="7" t="n">
        <f aca="false">LN(Precios!E60/Precios!E59)</f>
        <v>-0.0206402184331788</v>
      </c>
      <c r="F59" s="7" t="n">
        <f aca="false">LN(Precios!F60/Precios!F59)</f>
        <v>-0.0180270536436714</v>
      </c>
      <c r="G59" s="7" t="n">
        <f aca="false">LN(Precios!G60/Precios!G59)</f>
        <v>-0.0237866963110542</v>
      </c>
      <c r="H59" s="7" t="n">
        <f aca="false">LN(Precios!H60/Precios!H59)</f>
        <v>0.00286944242795296</v>
      </c>
      <c r="I59" s="7" t="n">
        <f aca="false">LN(Precios!I60/Precios!I59)</f>
        <v>-0.0185599671437957</v>
      </c>
      <c r="J59" s="7" t="n">
        <f aca="false">LN(Precios!J60/Precios!J59)</f>
        <v>-0.0151163379603644</v>
      </c>
    </row>
    <row r="60" customFormat="false" ht="15" hidden="false" customHeight="false" outlineLevel="0" collapsed="false">
      <c r="A60" s="6" t="n">
        <f aca="false">Precios!A61</f>
        <v>46022</v>
      </c>
      <c r="B60" s="7" t="n">
        <f aca="false">LN(Precios!B61/Precios!B60)</f>
        <v>0.00112953752318464</v>
      </c>
      <c r="C60" s="7" t="n">
        <f aca="false">LN(Precios!C61/Precios!C60)</f>
        <v>-0.00610717175315822</v>
      </c>
      <c r="D60" s="7" t="n">
        <f aca="false">LN(Precios!D61/Precios!D60)</f>
        <v>-0.00695375896458162</v>
      </c>
      <c r="E60" s="7" t="n">
        <f aca="false">LN(Precios!E61/Precios!E60)</f>
        <v>0.0105425224021356</v>
      </c>
      <c r="F60" s="7" t="n">
        <f aca="false">LN(Precios!F61/Precios!F60)</f>
        <v>-0.0105872018747974</v>
      </c>
      <c r="G60" s="7" t="n">
        <f aca="false">LN(Precios!G61/Precios!G60)</f>
        <v>-0.000359345994164472</v>
      </c>
      <c r="H60" s="7" t="n">
        <f aca="false">LN(Precios!H61/Precios!H60)</f>
        <v>0.00190839752576017</v>
      </c>
      <c r="I60" s="7" t="n">
        <f aca="false">LN(Precios!I61/Precios!I60)</f>
        <v>0.00142627943593913</v>
      </c>
      <c r="J60" s="7" t="n">
        <f aca="false">LN(Precios!J61/Precios!J60)</f>
        <v>-0.000907868794268696</v>
      </c>
    </row>
    <row r="61" customFormat="false" ht="15" hidden="false" customHeight="false" outlineLevel="0" collapsed="false">
      <c r="A61" s="6" t="n">
        <f aca="false">Precios!A62</f>
        <v>46024</v>
      </c>
      <c r="B61" s="7" t="n">
        <f aca="false">LN(Precios!B62/Precios!B61)</f>
        <v>-0.00447428039492108</v>
      </c>
      <c r="C61" s="7" t="n">
        <f aca="false">LN(Precios!C62/Precios!C61)</f>
        <v>-0.00483811885299595</v>
      </c>
      <c r="D61" s="7" t="n">
        <f aca="false">LN(Precios!D62/Precios!D61)</f>
        <v>-0.00538214431622859</v>
      </c>
      <c r="E61" s="7" t="n">
        <f aca="false">LN(Precios!E62/Precios!E61)</f>
        <v>-0.000169161803668169</v>
      </c>
      <c r="F61" s="7" t="n">
        <f aca="false">LN(Precios!F62/Precios!F61)</f>
        <v>0.000483675946551403</v>
      </c>
      <c r="G61" s="7" t="n">
        <f aca="false">LN(Precios!G62/Precios!G61)</f>
        <v>0.0249643251260255</v>
      </c>
      <c r="H61" s="7" t="n">
        <f aca="false">LN(Precios!H62/Precios!H61)</f>
        <v>0.0207554620514517</v>
      </c>
      <c r="I61" s="7" t="n">
        <f aca="false">LN(Precios!I62/Precios!I61)</f>
        <v>0.00213561213042146</v>
      </c>
      <c r="J61" s="7" t="n">
        <f aca="false">LN(Precios!J62/Precios!J61)</f>
        <v>-0.00259915218104378</v>
      </c>
    </row>
    <row r="62" customFormat="false" ht="15" hidden="false" customHeight="false" outlineLevel="0" collapsed="false">
      <c r="A62" s="6" t="n">
        <f aca="false">Precios!A63</f>
        <v>46027</v>
      </c>
      <c r="B62" s="7" t="n">
        <f aca="false">LN(Precios!B63/Precios!B62)</f>
        <v>0.00385832718788902</v>
      </c>
      <c r="C62" s="7" t="n">
        <f aca="false">LN(Precios!C63/Precios!C62)</f>
        <v>-0.00899387737659444</v>
      </c>
      <c r="D62" s="7" t="n">
        <f aca="false">LN(Precios!D63/Precios!D62)</f>
        <v>0.008062392503428</v>
      </c>
      <c r="E62" s="7" t="n">
        <f aca="false">LN(Precios!E63/Precios!E62)</f>
        <v>-0.00067693351713427</v>
      </c>
      <c r="F62" s="7" t="n">
        <f aca="false">LN(Precios!F63/Precios!F62)</f>
        <v>0.0238902905330321</v>
      </c>
      <c r="G62" s="7" t="n">
        <f aca="false">LN(Precios!G63/Precios!G62)</f>
        <v>0.0151913398624438</v>
      </c>
      <c r="H62" s="7" t="n">
        <f aca="false">LN(Precios!H63/Precios!H62)</f>
        <v>0.0018656721829497</v>
      </c>
      <c r="I62" s="7" t="n">
        <f aca="false">LN(Precios!I63/Precios!I62)</f>
        <v>-0.00177935990007732</v>
      </c>
      <c r="J62" s="7" t="n">
        <f aca="false">LN(Precios!J63/Precios!J62)</f>
        <v>0.0135189247275092</v>
      </c>
    </row>
    <row r="63" customFormat="false" ht="15" hidden="false" customHeight="false" outlineLevel="0" collapsed="false">
      <c r="A63" s="6" t="n">
        <f aca="false">Precios!A64</f>
        <v>46028</v>
      </c>
      <c r="B63" s="7" t="n">
        <f aca="false">LN(Precios!B64/Precios!B63)</f>
        <v>-0.0169846667901918</v>
      </c>
      <c r="C63" s="7" t="n">
        <f aca="false">LN(Precios!C64/Precios!C63)</f>
        <v>0.00169252508669109</v>
      </c>
      <c r="D63" s="7" t="n">
        <f aca="false">LN(Precios!D64/Precios!D63)</f>
        <v>-0.0271313440513638</v>
      </c>
      <c r="E63" s="7" t="n">
        <f aca="false">LN(Precios!E64/Precios!E63)</f>
        <v>-0.0258952992999768</v>
      </c>
      <c r="F63" s="7" t="n">
        <f aca="false">LN(Precios!F64/Precios!F63)</f>
        <v>0.00846267391873373</v>
      </c>
      <c r="G63" s="7" t="n">
        <f aca="false">LN(Precios!G64/Precios!G63)</f>
        <v>-0.0207571625911781</v>
      </c>
      <c r="H63" s="7" t="n">
        <f aca="false">LN(Precios!H64/Precios!H63)</f>
        <v>-0.0121895555245857</v>
      </c>
      <c r="I63" s="7" t="n">
        <f aca="false">LN(Precios!I64/Precios!I63)</f>
        <v>0.0289620944938796</v>
      </c>
      <c r="J63" s="7" t="n">
        <f aca="false">LN(Precios!J64/Precios!J63)</f>
        <v>0.000121042835699895</v>
      </c>
    </row>
    <row r="64" customFormat="false" ht="15" hidden="false" customHeight="false" outlineLevel="0" collapsed="false">
      <c r="A64" s="6" t="n">
        <f aca="false">Precios!A65</f>
        <v>46029</v>
      </c>
      <c r="B64" s="7" t="n">
        <f aca="false">LN(Precios!B65/Precios!B64)</f>
        <v>0.00712932012992854</v>
      </c>
      <c r="C64" s="7" t="n">
        <f aca="false">LN(Precios!C65/Precios!C64)</f>
        <v>0.00674159856691945</v>
      </c>
      <c r="D64" s="7" t="n">
        <f aca="false">LN(Precios!D65/Precios!D64)</f>
        <v>0.00219780308247944</v>
      </c>
      <c r="E64" s="7" t="n">
        <f aca="false">LN(Precios!E65/Precios!E64)</f>
        <v>0.0132886587463791</v>
      </c>
      <c r="F64" s="7" t="n">
        <f aca="false">LN(Precios!F65/Precios!F64)</f>
        <v>-0.028491955794306</v>
      </c>
      <c r="G64" s="7" t="n">
        <f aca="false">LN(Precios!G65/Precios!G64)</f>
        <v>-0.00441605804956366</v>
      </c>
      <c r="H64" s="7" t="n">
        <f aca="false">LN(Precios!H65/Precios!H64)</f>
        <v>-0.0209731233802788</v>
      </c>
      <c r="I64" s="7" t="n">
        <f aca="false">LN(Precios!I65/Precios!I64)</f>
        <v>0.00379900301492634</v>
      </c>
      <c r="J64" s="7" t="n">
        <f aca="false">LN(Precios!J65/Precios!J64)</f>
        <v>-0.002317892080255</v>
      </c>
    </row>
    <row r="65" customFormat="false" ht="15" hidden="false" customHeight="false" outlineLevel="0" collapsed="false">
      <c r="A65" s="6" t="n">
        <f aca="false">Precios!A66</f>
        <v>46030</v>
      </c>
      <c r="B65" s="7" t="n">
        <f aca="false">LN(Precios!B66/Precios!B65)</f>
        <v>0.00805664637831174</v>
      </c>
      <c r="C65" s="7" t="n">
        <f aca="false">LN(Precios!C66/Precios!C65)</f>
        <v>0.00614012534711456</v>
      </c>
      <c r="D65" s="7" t="n">
        <f aca="false">LN(Precios!D66/Precios!D65)</f>
        <v>0.0109171389953487</v>
      </c>
      <c r="E65" s="7" t="n">
        <f aca="false">LN(Precios!E66/Precios!E65)</f>
        <v>0.0386732793180932</v>
      </c>
      <c r="F65" s="7" t="n">
        <f aca="false">LN(Precios!F66/Precios!F65)</f>
        <v>0.0593771025165639</v>
      </c>
      <c r="G65" s="7" t="n">
        <f aca="false">LN(Precios!G66/Precios!G65)</f>
        <v>-0.00354694152896418</v>
      </c>
      <c r="H65" s="7" t="n">
        <f aca="false">LN(Precios!H66/Precios!H65)</f>
        <v>0.0105415446704632</v>
      </c>
      <c r="I65" s="7" t="n">
        <f aca="false">LN(Precios!I66/Precios!I65)</f>
        <v>-0.0151083884524384</v>
      </c>
      <c r="J65" s="7" t="n">
        <f aca="false">LN(Precios!J66/Precios!J65)</f>
        <v>0.00995938142615981</v>
      </c>
    </row>
    <row r="66" customFormat="false" ht="15" hidden="false" customHeight="false" outlineLevel="0" collapsed="false">
      <c r="A66" s="6" t="n">
        <f aca="false">Precios!A67</f>
        <v>46031</v>
      </c>
      <c r="B66" s="7" t="n">
        <f aca="false">LN(Precios!B67/Precios!B66)</f>
        <v>0.00778812155012699</v>
      </c>
      <c r="C66" s="7" t="n">
        <f aca="false">LN(Precios!C67/Precios!C66)</f>
        <v>0.0055494038086695</v>
      </c>
      <c r="D66" s="7" t="n">
        <f aca="false">LN(Precios!D67/Precios!D66)</f>
        <v>-0.00817666043724556</v>
      </c>
      <c r="E66" s="7" t="n">
        <f aca="false">LN(Precios!E67/Precios!E66)</f>
        <v>0.0319754580224136</v>
      </c>
      <c r="F66" s="7" t="n">
        <f aca="false">LN(Precios!F67/Precios!F66)</f>
        <v>0.0148684874726465</v>
      </c>
      <c r="G66" s="7" t="n">
        <f aca="false">LN(Precios!G67/Precios!G66)</f>
        <v>0.00112455991254109</v>
      </c>
      <c r="H66" s="7" t="n">
        <f aca="false">LN(Precios!H67/Precios!H66)</f>
        <v>0.0141980615052924</v>
      </c>
      <c r="I66" s="7" t="n">
        <f aca="false">LN(Precios!I67/Precios!I66)</f>
        <v>0.00540966331032397</v>
      </c>
      <c r="J66" s="7" t="n">
        <f aca="false">LN(Precios!J67/Precios!J66)</f>
        <v>0.00823222552407346</v>
      </c>
    </row>
    <row r="67" customFormat="false" ht="15" hidden="false" customHeight="false" outlineLevel="0" collapsed="false">
      <c r="A67" s="6" t="n">
        <f aca="false">Precios!A68</f>
        <v>46034</v>
      </c>
      <c r="B67" s="7" t="n">
        <f aca="false">LN(Precios!B68/Precios!B67)</f>
        <v>0.00147902615256915</v>
      </c>
      <c r="C67" s="7" t="n">
        <f aca="false">LN(Precios!C68/Precios!C67)</f>
        <v>-0.00351104490777729</v>
      </c>
      <c r="D67" s="7" t="n">
        <f aca="false">LN(Precios!D68/Precios!D67)</f>
        <v>0.0032786914616983</v>
      </c>
      <c r="E67" s="7" t="n">
        <f aca="false">LN(Precios!E68/Precios!E67)</f>
        <v>0.0144320957088305</v>
      </c>
      <c r="F67" s="7" t="n">
        <f aca="false">LN(Precios!F68/Precios!F67)</f>
        <v>-0.0044823024394995</v>
      </c>
      <c r="G67" s="7" t="n">
        <f aca="false">LN(Precios!G68/Precios!G67)</f>
        <v>-0.000828500461641456</v>
      </c>
      <c r="H67" s="7" t="n">
        <f aca="false">LN(Precios!H68/Precios!H67)</f>
        <v>-0.000940291559641744</v>
      </c>
      <c r="I67" s="7" t="n">
        <f aca="false">LN(Precios!I68/Precios!I67)</f>
        <v>0.00745560453976965</v>
      </c>
      <c r="J67" s="7" t="n">
        <f aca="false">LN(Precios!J68/Precios!J67)</f>
        <v>0.0102854472368103</v>
      </c>
    </row>
    <row r="68" customFormat="false" ht="15" hidden="false" customHeight="false" outlineLevel="0" collapsed="false">
      <c r="A68" s="6" t="n">
        <f aca="false">Precios!A69</f>
        <v>46035</v>
      </c>
      <c r="B68" s="7" t="n">
        <f aca="false">LN(Precios!B69/Precios!B68)</f>
        <v>-0.0377011262861926</v>
      </c>
      <c r="C68" s="7" t="n">
        <f aca="false">LN(Precios!C69/Precios!C68)</f>
        <v>-0.00836513847160056</v>
      </c>
      <c r="D68" s="7" t="n">
        <f aca="false">LN(Precios!D69/Precios!D68)</f>
        <v>-0.00547047316104191</v>
      </c>
      <c r="E68" s="7" t="n">
        <f aca="false">LN(Precios!E69/Precios!E68)</f>
        <v>-0.0352544120402869</v>
      </c>
      <c r="F68" s="7" t="n">
        <f aca="false">LN(Precios!F69/Precios!F68)</f>
        <v>-0.00947874395454377</v>
      </c>
      <c r="G68" s="7" t="n">
        <f aca="false">LN(Precios!G69/Precios!G68)</f>
        <v>0.00549078870274714</v>
      </c>
      <c r="H68" s="7" t="n">
        <f aca="false">LN(Precios!H69/Precios!H68)</f>
        <v>-0.00755433243178104</v>
      </c>
      <c r="I68" s="7" t="n">
        <f aca="false">LN(Precios!I69/Precios!I68)</f>
        <v>-0.000345542505165883</v>
      </c>
      <c r="J68" s="7" t="n">
        <f aca="false">LN(Precios!J69/Precios!J68)</f>
        <v>-0.00613438512841447</v>
      </c>
    </row>
    <row r="69" customFormat="false" ht="15" hidden="false" customHeight="false" outlineLevel="0" collapsed="false">
      <c r="A69" s="6" t="n">
        <f aca="false">Precios!A70</f>
        <v>46036</v>
      </c>
      <c r="B69" s="7" t="n">
        <f aca="false">LN(Precios!B70/Precios!B69)</f>
        <v>0.0413637613706039</v>
      </c>
      <c r="C69" s="7" t="n">
        <f aca="false">LN(Precios!C70/Precios!C69)</f>
        <v>-0.000933794072895885</v>
      </c>
      <c r="D69" s="7" t="n">
        <f aca="false">LN(Precios!D70/Precios!D69)</f>
        <v>0.000548395955613515</v>
      </c>
      <c r="E69" s="7" t="n">
        <f aca="false">LN(Precios!E70/Precios!E69)</f>
        <v>0.0123198186509648</v>
      </c>
      <c r="F69" s="7" t="n">
        <f aca="false">LN(Precios!F70/Precios!F69)</f>
        <v>0.0135137191667229</v>
      </c>
      <c r="G69" s="7" t="n">
        <f aca="false">LN(Precios!G70/Precios!G69)</f>
        <v>0.0505157901369017</v>
      </c>
      <c r="H69" s="7" t="n">
        <f aca="false">LN(Precios!H70/Precios!H69)</f>
        <v>0.0187798946515963</v>
      </c>
      <c r="I69" s="7" t="n">
        <f aca="false">LN(Precios!I70/Precios!I69)</f>
        <v>0.0167927181205383</v>
      </c>
      <c r="J69" s="7" t="n">
        <f aca="false">LN(Precios!J70/Precios!J69)</f>
        <v>0.0159365720046608</v>
      </c>
    </row>
    <row r="70" customFormat="false" ht="15" hidden="false" customHeight="false" outlineLevel="0" collapsed="false">
      <c r="A70" s="6" t="n">
        <f aca="false">Precios!A71</f>
        <v>46037</v>
      </c>
      <c r="B70" s="7" t="n">
        <f aca="false">LN(Precios!B71/Precios!B70)</f>
        <v>0.00652885888246341</v>
      </c>
      <c r="C70" s="7" t="n">
        <f aca="false">LN(Precios!C71/Precios!C70)</f>
        <v>-0.0105185041912202</v>
      </c>
      <c r="D70" s="7" t="n">
        <f aca="false">LN(Precios!D71/Precios!D70)</f>
        <v>-0.0374240824471794</v>
      </c>
      <c r="E70" s="7" t="n">
        <f aca="false">LN(Precios!E71/Precios!E70)</f>
        <v>0.00914127125698625</v>
      </c>
      <c r="F70" s="7" t="n">
        <f aca="false">LN(Precios!F71/Precios!F70)</f>
        <v>-0.0249163512645346</v>
      </c>
      <c r="G70" s="7" t="n">
        <f aca="false">LN(Precios!G71/Precios!G70)</f>
        <v>0.00780644089282949</v>
      </c>
      <c r="H70" s="7" t="n">
        <f aca="false">LN(Precios!H71/Precios!H70)</f>
        <v>-0.024483332165466</v>
      </c>
      <c r="I70" s="7" t="n">
        <f aca="false">LN(Precios!I71/Precios!I70)</f>
        <v>0.000679463250193733</v>
      </c>
      <c r="J70" s="7" t="n">
        <f aca="false">LN(Precios!J71/Precios!J70)</f>
        <v>-0.0112464703378542</v>
      </c>
    </row>
    <row r="71" customFormat="false" ht="15" hidden="false" customHeight="false" outlineLevel="0" collapsed="false">
      <c r="A71" s="6" t="n">
        <f aca="false">Precios!A72</f>
        <v>46038</v>
      </c>
      <c r="B71" s="7" t="n">
        <f aca="false">LN(Precios!B72/Precios!B71)</f>
        <v>0.00417831411579796</v>
      </c>
      <c r="C71" s="7" t="n">
        <f aca="false">LN(Precios!C72/Precios!C71)</f>
        <v>0.00245167496682742</v>
      </c>
      <c r="D71" s="7" t="n">
        <f aca="false">LN(Precios!D72/Precios!D71)</f>
        <v>0.0275066457898335</v>
      </c>
      <c r="E71" s="7" t="n">
        <f aca="false">LN(Precios!E72/Precios!E71)</f>
        <v>-0.00319795603531641</v>
      </c>
      <c r="F71" s="7" t="n">
        <f aca="false">LN(Precios!F72/Precios!F71)</f>
        <v>0.0123092504736018</v>
      </c>
      <c r="G71" s="7" t="n">
        <f aca="false">LN(Precios!G72/Precios!G71)</f>
        <v>0.0206691614968548</v>
      </c>
      <c r="H71" s="7" t="n">
        <f aca="false">LN(Precios!H72/Precios!H71)</f>
        <v>0.00190476248065388</v>
      </c>
      <c r="I71" s="7" t="n">
        <f aca="false">LN(Precios!I72/Precios!I71)</f>
        <v>-0.0172993951931963</v>
      </c>
      <c r="J71" s="7" t="n">
        <f aca="false">LN(Precios!J72/Precios!J71)</f>
        <v>0.00735228016794309</v>
      </c>
    </row>
    <row r="72" customFormat="false" ht="15" hidden="false" customHeight="false" outlineLevel="0" collapsed="false">
      <c r="A72" s="6" t="n">
        <f aca="false">Precios!A73</f>
        <v>46041</v>
      </c>
      <c r="B72" s="7" t="n">
        <f aca="false">LN(Precios!B73/Precios!B72)</f>
        <v>0.0180714314319556</v>
      </c>
      <c r="C72" s="7" t="n">
        <f aca="false">LN(Precios!C73/Precios!C72)</f>
        <v>0.00638379937409975</v>
      </c>
      <c r="D72" s="7" t="n">
        <f aca="false">LN(Precios!D73/Precios!D72)</f>
        <v>-0.000553863209949309</v>
      </c>
      <c r="E72" s="7" t="n">
        <f aca="false">LN(Precios!E73/Precios!E72)</f>
        <v>0.000800448293759045</v>
      </c>
      <c r="F72" s="7" t="n">
        <f aca="false">LN(Precios!F73/Precios!F72)</f>
        <v>0.00542251667585763</v>
      </c>
      <c r="G72" s="7" t="n">
        <f aca="false">LN(Precios!G73/Precios!G72)</f>
        <v>-0.00819452823696936</v>
      </c>
      <c r="H72" s="7" t="n">
        <f aca="false">LN(Precios!H73/Precios!H72)</f>
        <v>0.0169815401480941</v>
      </c>
      <c r="I72" s="7" t="n">
        <f aca="false">LN(Precios!I73/Precios!I72)</f>
        <v>0.00705865029417514</v>
      </c>
      <c r="J72" s="7" t="n">
        <f aca="false">LN(Precios!J73/Precios!J72)</f>
        <v>0.00485421942710949</v>
      </c>
    </row>
    <row r="73" customFormat="false" ht="15" hidden="false" customHeight="false" outlineLevel="0" collapsed="false">
      <c r="A73" s="6" t="n">
        <f aca="false">Precios!A74</f>
        <v>46042</v>
      </c>
      <c r="B73" s="7" t="n">
        <f aca="false">LN(Precios!B74/Precios!B73)</f>
        <v>-0.0217454082362766</v>
      </c>
      <c r="C73" s="7" t="n">
        <f aca="false">LN(Precios!C74/Precios!C73)</f>
        <v>0.00448180021905752</v>
      </c>
      <c r="D73" s="7" t="n">
        <f aca="false">LN(Precios!D74/Precios!D73)</f>
        <v>0.00607568839425734</v>
      </c>
      <c r="E73" s="7" t="n">
        <f aca="false">LN(Precios!E74/Precios!E73)</f>
        <v>-0.0224946777634407</v>
      </c>
      <c r="F73" s="7" t="n">
        <f aca="false">LN(Precios!F74/Precios!F73)</f>
        <v>-0.00769060564996873</v>
      </c>
      <c r="G73" s="7" t="n">
        <f aca="false">LN(Precios!G74/Precios!G73)</f>
        <v>0.00410565788162777</v>
      </c>
      <c r="H73" s="7" t="n">
        <f aca="false">LN(Precios!H74/Precios!H73)</f>
        <v>0.0258555492501852</v>
      </c>
      <c r="I73" s="7" t="n">
        <f aca="false">LN(Precios!I74/Precios!I73)</f>
        <v>-0.00447043385494143</v>
      </c>
      <c r="J73" s="7" t="n">
        <f aca="false">LN(Precios!J74/Precios!J73)</f>
        <v>0.00318991148856235</v>
      </c>
    </row>
    <row r="74" customFormat="false" ht="15" hidden="false" customHeight="false" outlineLevel="0" collapsed="false">
      <c r="A74" s="6" t="n">
        <f aca="false">Precios!A75</f>
        <v>46043</v>
      </c>
      <c r="B74" s="7" t="n">
        <f aca="false">LN(Precios!B75/Precios!B74)</f>
        <v>0.00678377516746639</v>
      </c>
      <c r="C74" s="7" t="n">
        <f aca="false">LN(Precios!C75/Precios!C74)</f>
        <v>0.00130341699860766</v>
      </c>
      <c r="D74" s="7" t="n">
        <f aca="false">LN(Precios!D75/Precios!D74)</f>
        <v>-0.00330943490136714</v>
      </c>
      <c r="E74" s="7" t="n">
        <f aca="false">LN(Precios!E75/Precios!E74)</f>
        <v>-0.00360715262411924</v>
      </c>
      <c r="F74" s="7" t="n">
        <f aca="false">LN(Precios!F75/Precios!F74)</f>
        <v>0.0268833393934405</v>
      </c>
      <c r="G74" s="7" t="n">
        <f aca="false">LN(Precios!G75/Precios!G74)</f>
        <v>0.0203862468784574</v>
      </c>
      <c r="H74" s="7" t="n">
        <f aca="false">LN(Precios!H75/Precios!H74)</f>
        <v>0.0366931544110461</v>
      </c>
      <c r="I74" s="7" t="n">
        <f aca="false">LN(Precios!I75/Precios!I74)</f>
        <v>-0.00882740478972568</v>
      </c>
      <c r="J74" s="7" t="n">
        <f aca="false">LN(Precios!J75/Precios!J74)</f>
        <v>0.00519823265384265</v>
      </c>
    </row>
    <row r="75" customFormat="false" ht="15" hidden="false" customHeight="false" outlineLevel="0" collapsed="false">
      <c r="A75" s="6" t="n">
        <f aca="false">Precios!A76</f>
        <v>46044</v>
      </c>
      <c r="B75" s="7" t="n">
        <f aca="false">LN(Precios!B76/Precios!B75)</f>
        <v>-0.00562476372476575</v>
      </c>
      <c r="C75" s="7" t="n">
        <f aca="false">LN(Precios!C76/Precios!C75)</f>
        <v>0.0516746879670873</v>
      </c>
      <c r="D75" s="7" t="n">
        <f aca="false">LN(Precios!D76/Precios!D75)</f>
        <v>0.00165608649497954</v>
      </c>
      <c r="E75" s="7" t="n">
        <f aca="false">LN(Precios!E76/Precios!E75)</f>
        <v>0.0107826563404653</v>
      </c>
      <c r="F75" s="7" t="n">
        <f aca="false">LN(Precios!F76/Precios!F75)</f>
        <v>-0.00176991196645858</v>
      </c>
      <c r="G75" s="7" t="n">
        <f aca="false">LN(Precios!G76/Precios!G75)</f>
        <v>-0.00525949798254892</v>
      </c>
      <c r="H75" s="7" t="n">
        <f aca="false">LN(Precios!H76/Precios!H75)</f>
        <v>0.0362421027734343</v>
      </c>
      <c r="I75" s="7" t="n">
        <f aca="false">LN(Precios!I76/Precios!I75)</f>
        <v>0.0131262679142129</v>
      </c>
      <c r="J75" s="7" t="n">
        <f aca="false">LN(Precios!J76/Precios!J75)</f>
        <v>0.00457312136271287</v>
      </c>
    </row>
    <row r="76" customFormat="false" ht="15" hidden="false" customHeight="false" outlineLevel="0" collapsed="false">
      <c r="A76" s="6" t="n">
        <f aca="false">Precios!A77</f>
        <v>46045</v>
      </c>
      <c r="B76" s="7" t="n">
        <f aca="false">LN(Precios!B77/Precios!B76)</f>
        <v>0.00382025195690664</v>
      </c>
      <c r="C76" s="7" t="n">
        <f aca="false">LN(Precios!C77/Precios!C76)</f>
        <v>-0.01012352132247</v>
      </c>
      <c r="D76" s="7" t="n">
        <f aca="false">LN(Precios!D77/Precios!D76)</f>
        <v>-0.00442233998786967</v>
      </c>
      <c r="E76" s="7" t="n">
        <f aca="false">LN(Precios!E77/Precios!E76)</f>
        <v>0.00211021910950571</v>
      </c>
      <c r="F76" s="7" t="n">
        <f aca="false">LN(Precios!F77/Precios!F76)</f>
        <v>-0.00488347252427815</v>
      </c>
      <c r="G76" s="7" t="n">
        <f aca="false">LN(Precios!G77/Precios!G76)</f>
        <v>0.00231114558275738</v>
      </c>
      <c r="H76" s="7" t="n">
        <f aca="false">LN(Precios!H77/Precios!H76)</f>
        <v>-0.0222802703916657</v>
      </c>
      <c r="I76" s="7" t="n">
        <f aca="false">LN(Precios!I77/Precios!I76)</f>
        <v>-0.0044712026337461</v>
      </c>
      <c r="J76" s="7" t="n">
        <f aca="false">LN(Precios!J77/Precios!J76)</f>
        <v>-0.00223856101469533</v>
      </c>
    </row>
    <row r="77" customFormat="false" ht="15" hidden="false" customHeight="false" outlineLevel="0" collapsed="false">
      <c r="A77" s="6" t="n">
        <f aca="false">Precios!A78</f>
        <v>46048</v>
      </c>
      <c r="B77" s="7" t="n">
        <f aca="false">LN(Precios!B78/Precios!B77)</f>
        <v>-0.00251168062920474</v>
      </c>
      <c r="C77" s="7" t="n">
        <f aca="false">LN(Precios!C78/Precios!C77)</f>
        <v>-0.00644701373421791</v>
      </c>
      <c r="D77" s="7" t="n">
        <f aca="false">LN(Precios!D78/Precios!D77)</f>
        <v>-0.00611282814823979</v>
      </c>
      <c r="E77" s="7" t="n">
        <f aca="false">LN(Precios!E78/Precios!E77)</f>
        <v>-0.00503943194440071</v>
      </c>
      <c r="F77" s="7" t="n">
        <f aca="false">LN(Precios!F78/Precios!F77)</f>
        <v>-0.0116384482909017</v>
      </c>
      <c r="G77" s="7" t="n">
        <f aca="false">LN(Precios!G78/Precios!G77)</f>
        <v>0.00722140665289386</v>
      </c>
      <c r="H77" s="7" t="n">
        <f aca="false">LN(Precios!H78/Precios!H77)</f>
        <v>0.0025962801256319</v>
      </c>
      <c r="I77" s="7" t="n">
        <f aca="false">LN(Precios!I78/Precios!I77)</f>
        <v>-0.0138842910712938</v>
      </c>
      <c r="J77" s="7" t="n">
        <f aca="false">LN(Precios!J78/Precios!J77)</f>
        <v>0.00746352035108172</v>
      </c>
    </row>
    <row r="78" customFormat="false" ht="15" hidden="false" customHeight="false" outlineLevel="0" collapsed="false">
      <c r="A78" s="6" t="n">
        <f aca="false">Precios!A79</f>
        <v>46049</v>
      </c>
      <c r="B78" s="7" t="n">
        <f aca="false">LN(Precios!B79/Precios!B78)</f>
        <v>-5.02980157538901E-005</v>
      </c>
      <c r="C78" s="7" t="n">
        <f aca="false">LN(Precios!C79/Precios!C78)</f>
        <v>0.000359259928419505</v>
      </c>
      <c r="D78" s="7" t="n">
        <f aca="false">LN(Precios!D79/Precios!D78)</f>
        <v>0.00943141526467191</v>
      </c>
      <c r="E78" s="7" t="n">
        <f aca="false">LN(Precios!E79/Precios!E78)</f>
        <v>-0.0185875900033711</v>
      </c>
      <c r="F78" s="7" t="n">
        <f aca="false">LN(Precios!F79/Precios!F78)</f>
        <v>-0.00541762047431031</v>
      </c>
      <c r="G78" s="7" t="n">
        <f aca="false">LN(Precios!G79/Precios!G78)</f>
        <v>0.0129737846649411</v>
      </c>
      <c r="H78" s="7" t="n">
        <f aca="false">LN(Precios!H79/Precios!H78)</f>
        <v>-0.0200792429059792</v>
      </c>
      <c r="I78" s="7" t="n">
        <f aca="false">LN(Precios!I79/Precios!I78)</f>
        <v>0.0142289403940229</v>
      </c>
      <c r="J78" s="7" t="n">
        <f aca="false">LN(Precios!J79/Precios!J78)</f>
        <v>0.00249462874477097</v>
      </c>
    </row>
    <row r="79" customFormat="false" ht="15" hidden="false" customHeight="false" outlineLevel="0" collapsed="false">
      <c r="A79" s="6" t="n">
        <f aca="false">Precios!A80</f>
        <v>46050</v>
      </c>
      <c r="B79" s="7" t="n">
        <f aca="false">LN(Precios!B80/Precios!B79)</f>
        <v>0.00791587299780727</v>
      </c>
      <c r="C79" s="7" t="n">
        <f aca="false">LN(Precios!C80/Precios!C79)</f>
        <v>0.00215285336110109</v>
      </c>
      <c r="D79" s="7" t="n">
        <f aca="false">LN(Precios!D80/Precios!D79)</f>
        <v>0.0272347987588373</v>
      </c>
      <c r="E79" s="7" t="n">
        <f aca="false">LN(Precios!E80/Precios!E79)</f>
        <v>0.00232172575270503</v>
      </c>
      <c r="F79" s="7" t="n">
        <f aca="false">LN(Precios!F80/Precios!F79)</f>
        <v>0.0250348344970173</v>
      </c>
      <c r="G79" s="7" t="n">
        <f aca="false">LN(Precios!G80/Precios!G79)</f>
        <v>0.0501246210145214</v>
      </c>
      <c r="H79" s="7" t="n">
        <f aca="false">LN(Precios!H80/Precios!H79)</f>
        <v>0.0157483569681391</v>
      </c>
      <c r="I79" s="7" t="n">
        <f aca="false">LN(Precios!I80/Precios!I79)</f>
        <v>-0.00258776992507383</v>
      </c>
      <c r="J79" s="7" t="n">
        <f aca="false">LN(Precios!J80/Precios!J79)</f>
        <v>0.0155881937477341</v>
      </c>
    </row>
    <row r="80" customFormat="false" ht="15" hidden="false" customHeight="false" outlineLevel="0" collapsed="false">
      <c r="A80" s="6" t="n">
        <f aca="false">Precios!A81</f>
        <v>46051</v>
      </c>
      <c r="B80" s="7" t="n">
        <f aca="false">LN(Precios!B81/Precios!B80)</f>
        <v>-0.00882167016118805</v>
      </c>
      <c r="C80" s="7" t="n">
        <f aca="false">LN(Precios!C81/Precios!C80)</f>
        <v>-0.0303853085783787</v>
      </c>
      <c r="D80" s="7" t="n">
        <f aca="false">LN(Precios!D81/Precios!D80)</f>
        <v>-0.00646902525512595</v>
      </c>
      <c r="E80" s="7" t="n">
        <f aca="false">LN(Precios!E81/Precios!E80)</f>
        <v>-0.00714823091981761</v>
      </c>
      <c r="F80" s="7" t="n">
        <f aca="false">LN(Precios!F81/Precios!F80)</f>
        <v>-0.0218709900499599</v>
      </c>
      <c r="G80" s="7" t="n">
        <f aca="false">LN(Precios!G81/Precios!G80)</f>
        <v>0.0247609576156125</v>
      </c>
      <c r="H80" s="7" t="n">
        <f aca="false">LN(Precios!H81/Precios!H80)</f>
        <v>-0.0317486983145803</v>
      </c>
      <c r="I80" s="7" t="n">
        <f aca="false">LN(Precios!I81/Precios!I80)</f>
        <v>-0.037846636037111</v>
      </c>
      <c r="J80" s="7" t="n">
        <f aca="false">LN(Precios!J81/Precios!J80)</f>
        <v>-0.00670196501962604</v>
      </c>
    </row>
    <row r="81" customFormat="false" ht="15" hidden="false" customHeight="false" outlineLevel="0" collapsed="false">
      <c r="A81" s="6" t="n">
        <f aca="false">Precios!A82</f>
        <v>46052</v>
      </c>
      <c r="B81" s="7" t="n">
        <f aca="false">LN(Precios!B82/Precios!B81)</f>
        <v>-0.00854468378520834</v>
      </c>
      <c r="C81" s="7" t="n">
        <f aca="false">LN(Precios!C82/Precios!C81)</f>
        <v>-0.0141397704630331</v>
      </c>
      <c r="D81" s="7" t="n">
        <f aca="false">LN(Precios!D82/Precios!D81)</f>
        <v>-0.0263028862111686</v>
      </c>
      <c r="E81" s="7" t="n">
        <f aca="false">LN(Precios!E82/Precios!E81)</f>
        <v>0.0125996361769356</v>
      </c>
      <c r="F81" s="7" t="n">
        <f aca="false">LN(Precios!F82/Precios!F81)</f>
        <v>-0.0218986853076376</v>
      </c>
      <c r="G81" s="7" t="n">
        <f aca="false">LN(Precios!G82/Precios!G81)</f>
        <v>-0.0361850520675664</v>
      </c>
      <c r="H81" s="7" t="n">
        <f aca="false">LN(Precios!H82/Precios!H81)</f>
        <v>0.0256537730470836</v>
      </c>
      <c r="I81" s="7" t="n">
        <f aca="false">LN(Precios!I82/Precios!I81)</f>
        <v>-0.00503598186617016</v>
      </c>
      <c r="J81" s="7" t="n">
        <f aca="false">LN(Precios!J82/Precios!J81)</f>
        <v>-0.0276253753912206</v>
      </c>
    </row>
    <row r="82" customFormat="false" ht="15" hidden="false" customHeight="false" outlineLevel="0" collapsed="false">
      <c r="A82" s="6" t="n">
        <f aca="false">Precios!A83</f>
        <v>46056</v>
      </c>
      <c r="B82" s="7" t="n">
        <f aca="false">LN(Precios!B83/Precios!B82)</f>
        <v>0.0500128974928797</v>
      </c>
      <c r="C82" s="7" t="n">
        <f aca="false">LN(Precios!C83/Precios!C82)</f>
        <v>-0.0126333347985367</v>
      </c>
      <c r="D82" s="7" t="n">
        <f aca="false">LN(Precios!D83/Precios!D82)</f>
        <v>0.045585754706155</v>
      </c>
      <c r="E82" s="7" t="n">
        <f aca="false">LN(Precios!E83/Precios!E82)</f>
        <v>0.0333742297993791</v>
      </c>
      <c r="F82" s="7" t="n">
        <f aca="false">LN(Precios!F83/Precios!F82)</f>
        <v>0.0082683061769471</v>
      </c>
      <c r="G82" s="7" t="n">
        <f aca="false">LN(Precios!G83/Precios!G82)</f>
        <v>0.0418802995302338</v>
      </c>
      <c r="H82" s="7" t="n">
        <f aca="false">LN(Precios!H83/Precios!H82)</f>
        <v>-0.0337509832797031</v>
      </c>
      <c r="I82" s="7" t="n">
        <f aca="false">LN(Precios!I83/Precios!I82)</f>
        <v>0.0100467296443305</v>
      </c>
      <c r="J82" s="7" t="n">
        <f aca="false">LN(Precios!J83/Precios!J82)</f>
        <v>0.0311107538264652</v>
      </c>
    </row>
    <row r="83" customFormat="false" ht="15" hidden="false" customHeight="false" outlineLevel="0" collapsed="false">
      <c r="A83" s="6" t="n">
        <f aca="false">Precios!A84</f>
        <v>46057</v>
      </c>
      <c r="B83" s="7" t="n">
        <f aca="false">LN(Precios!B84/Precios!B83)</f>
        <v>-0.0119529142836743</v>
      </c>
      <c r="C83" s="7" t="n">
        <f aca="false">LN(Precios!C84/Precios!C83)</f>
        <v>0.024738892817153</v>
      </c>
      <c r="D83" s="7" t="n">
        <f aca="false">LN(Precios!D84/Precios!D83)</f>
        <v>-0.0101307184748221</v>
      </c>
      <c r="E83" s="7" t="n">
        <f aca="false">LN(Precios!E84/Precios!E83)</f>
        <v>0.00540284168233558</v>
      </c>
      <c r="F83" s="7" t="n">
        <f aca="false">LN(Precios!F84/Precios!F83)</f>
        <v>-0.0382330948788834</v>
      </c>
      <c r="G83" s="7" t="n">
        <f aca="false">LN(Precios!G84/Precios!G83)</f>
        <v>-0.0308566054840296</v>
      </c>
      <c r="H83" s="7" t="n">
        <f aca="false">LN(Precios!H84/Precios!H83)</f>
        <v>-0.0009037506263567</v>
      </c>
      <c r="I83" s="7" t="n">
        <f aca="false">LN(Precios!I84/Precios!I83)</f>
        <v>-0.0107682303971301</v>
      </c>
      <c r="J83" s="7" t="n">
        <f aca="false">LN(Precios!J84/Precios!J83)</f>
        <v>-0.0145073798430977</v>
      </c>
    </row>
    <row r="84" customFormat="false" ht="15" hidden="false" customHeight="false" outlineLevel="0" collapsed="false">
      <c r="A84" s="6" t="n">
        <f aca="false">Precios!A85</f>
        <v>46058</v>
      </c>
      <c r="B84" s="7" t="n">
        <f aca="false">LN(Precios!B85/Precios!B84)</f>
        <v>0.00526522277218313</v>
      </c>
      <c r="C84" s="7" t="n">
        <f aca="false">LN(Precios!C85/Precios!C84)</f>
        <v>-0.0126678296106013</v>
      </c>
      <c r="D84" s="7" t="n">
        <f aca="false">LN(Precios!D85/Precios!D84)</f>
        <v>-0.00699115512192932</v>
      </c>
      <c r="E84" s="7" t="n">
        <f aca="false">LN(Precios!E85/Precios!E84)</f>
        <v>0.00205810252335422</v>
      </c>
      <c r="F84" s="7" t="n">
        <f aca="false">LN(Precios!F85/Precios!F84)</f>
        <v>-0.0119532859995875</v>
      </c>
      <c r="G84" s="7" t="n">
        <f aca="false">LN(Precios!G85/Precios!G84)</f>
        <v>0.00409652368854461</v>
      </c>
      <c r="H84" s="7" t="n">
        <f aca="false">LN(Precios!H85/Precios!H84)</f>
        <v>-0.0136551962492093</v>
      </c>
      <c r="I84" s="7" t="n">
        <f aca="false">LN(Precios!I85/Precios!I84)</f>
        <v>0.0200078128306119</v>
      </c>
      <c r="J84" s="7" t="n">
        <f aca="false">LN(Precios!J85/Precios!J84)</f>
        <v>0.00185465501446923</v>
      </c>
    </row>
    <row r="85" customFormat="false" ht="15" hidden="false" customHeight="false" outlineLevel="0" collapsed="false">
      <c r="A85" s="6" t="n">
        <f aca="false">Precios!A86</f>
        <v>46059</v>
      </c>
      <c r="B85" s="7" t="n">
        <f aca="false">LN(Precios!B86/Precios!B85)</f>
        <v>-0.000194514686472051</v>
      </c>
      <c r="C85" s="7" t="n">
        <f aca="false">LN(Precios!C86/Precios!C85)</f>
        <v>0.0255427545604267</v>
      </c>
      <c r="D85" s="7" t="n">
        <f aca="false">LN(Precios!D86/Precios!D85)</f>
        <v>0.00269469308842385</v>
      </c>
      <c r="E85" s="7" t="n">
        <f aca="false">LN(Precios!E86/Precios!E85)</f>
        <v>0.0653487258079624</v>
      </c>
      <c r="F85" s="7" t="n">
        <f aca="false">LN(Precios!F86/Precios!F85)</f>
        <v>0.0119532859995876</v>
      </c>
      <c r="G85" s="7" t="n">
        <f aca="false">LN(Precios!G86/Precios!G85)</f>
        <v>0.0399720971151502</v>
      </c>
      <c r="H85" s="7" t="n">
        <f aca="false">LN(Precios!H86/Precios!H85)</f>
        <v>-0.00275355841718281</v>
      </c>
      <c r="I85" s="7" t="n">
        <f aca="false">LN(Precios!I86/Precios!I85)</f>
        <v>0.0371506010093366</v>
      </c>
      <c r="J85" s="7" t="n">
        <f aca="false">LN(Precios!J86/Precios!J85)</f>
        <v>0.0279436816748817</v>
      </c>
    </row>
    <row r="86" customFormat="false" ht="15" hidden="false" customHeight="false" outlineLevel="0" collapsed="false">
      <c r="A86" s="6" t="n">
        <f aca="false">Precios!A87</f>
        <v>46062</v>
      </c>
      <c r="B86" s="7" t="n">
        <f aca="false">LN(Precios!B87/Precios!B86)</f>
        <v>-0.00199596006189956</v>
      </c>
      <c r="C86" s="7" t="n">
        <f aca="false">LN(Precios!C87/Precios!C86)</f>
        <v>0.0121697987307176</v>
      </c>
      <c r="D86" s="7" t="n">
        <f aca="false">LN(Precios!D87/Precios!D86)</f>
        <v>0.0270789043519638</v>
      </c>
      <c r="E86" s="7" t="n">
        <f aca="false">LN(Precios!E87/Precios!E86)</f>
        <v>-0.00326458221379156</v>
      </c>
      <c r="F86" s="7" t="n">
        <f aca="false">LN(Precios!F87/Precios!F86)</f>
        <v>0.0418860669775752</v>
      </c>
      <c r="G86" s="7" t="n">
        <f aca="false">LN(Precios!G87/Precios!G86)</f>
        <v>-0.00783865130778087</v>
      </c>
      <c r="H86" s="7" t="n">
        <f aca="false">LN(Precios!H87/Precios!H86)</f>
        <v>0.011877709306792</v>
      </c>
      <c r="I86" s="7" t="n">
        <f aca="false">LN(Precios!I87/Precios!I86)</f>
        <v>-0.00649685991833436</v>
      </c>
      <c r="J86" s="7" t="n">
        <f aca="false">LN(Precios!J87/Precios!J86)</f>
        <v>0.00983544774210429</v>
      </c>
    </row>
    <row r="87" customFormat="false" ht="15" hidden="false" customHeight="false" outlineLevel="0" collapsed="false">
      <c r="A87" s="6" t="n">
        <f aca="false">Precios!A88</f>
        <v>46063</v>
      </c>
      <c r="B87" s="7" t="n">
        <f aca="false">LN(Precios!B88/Precios!B87)</f>
        <v>-0.00385714415174281</v>
      </c>
      <c r="C87" s="7" t="n">
        <f aca="false">LN(Precios!C88/Precios!C87)</f>
        <v>0.00647833829521568</v>
      </c>
      <c r="D87" s="7" t="n">
        <f aca="false">LN(Precios!D88/Precios!D87)</f>
        <v>0.0114584587027667</v>
      </c>
      <c r="E87" s="7" t="n">
        <f aca="false">LN(Precios!E88/Precios!E87)</f>
        <v>0.00637086383286123</v>
      </c>
      <c r="F87" s="7" t="n">
        <f aca="false">LN(Precios!F88/Precios!F87)</f>
        <v>0.0117808340311496</v>
      </c>
      <c r="G87" s="7" t="n">
        <f aca="false">LN(Precios!G88/Precios!G87)</f>
        <v>0.00472017059788807</v>
      </c>
      <c r="H87" s="7" t="n">
        <f aca="false">LN(Precios!H88/Precios!H87)</f>
        <v>0.0242272953353243</v>
      </c>
      <c r="I87" s="7" t="n">
        <f aca="false">LN(Precios!I88/Precios!I87)</f>
        <v>-0.0155577900309259</v>
      </c>
      <c r="J87" s="7" t="n">
        <f aca="false">LN(Precios!J88/Precios!J87)</f>
        <v>-0.00333223893182808</v>
      </c>
    </row>
    <row r="88" customFormat="false" ht="15" hidden="false" customHeight="false" outlineLevel="0" collapsed="false">
      <c r="A88" s="6" t="n">
        <f aca="false">Precios!A89</f>
        <v>46064</v>
      </c>
      <c r="B88" s="7" t="n">
        <f aca="false">LN(Precios!B89/Precios!B88)</f>
        <v>0.00122222509042772</v>
      </c>
      <c r="C88" s="7" t="n">
        <f aca="false">LN(Precios!C89/Precios!C88)</f>
        <v>-0.0084662308808137</v>
      </c>
      <c r="D88" s="7" t="n">
        <f aca="false">LN(Precios!D89/Precios!D88)</f>
        <v>0.0460491171519023</v>
      </c>
      <c r="E88" s="7" t="n">
        <f aca="false">LN(Precios!E89/Precios!E88)</f>
        <v>0.000590580262256433</v>
      </c>
      <c r="F88" s="7" t="n">
        <f aca="false">LN(Precios!F89/Precios!F88)</f>
        <v>0.00314819239104257</v>
      </c>
      <c r="G88" s="7" t="n">
        <f aca="false">LN(Precios!G89/Precios!G88)</f>
        <v>-0.0227448207014592</v>
      </c>
      <c r="H88" s="7" t="n">
        <f aca="false">LN(Precios!H89/Precios!H88)</f>
        <v>0.00706716722309235</v>
      </c>
      <c r="I88" s="7" t="n">
        <f aca="false">LN(Precios!I89/Precios!I88)</f>
        <v>0.006944472352811</v>
      </c>
      <c r="J88" s="7" t="n">
        <f aca="false">LN(Precios!J89/Precios!J88)</f>
        <v>0.0046165586705516</v>
      </c>
    </row>
    <row r="89" customFormat="false" ht="15" hidden="false" customHeight="false" outlineLevel="0" collapsed="false">
      <c r="A89" s="6" t="n">
        <f aca="false">Precios!A90</f>
        <v>46065</v>
      </c>
      <c r="B89" s="7" t="n">
        <f aca="false">LN(Precios!B90/Precios!B89)</f>
        <v>0.010449923765471</v>
      </c>
      <c r="C89" s="7" t="n">
        <f aca="false">LN(Precios!C90/Precios!C89)</f>
        <v>-0.000542839061552332</v>
      </c>
      <c r="D89" s="7" t="n">
        <f aca="false">LN(Precios!D90/Precios!D89)</f>
        <v>0.0200741134908351</v>
      </c>
      <c r="E89" s="7" t="n">
        <f aca="false">LN(Precios!E90/Precios!E89)</f>
        <v>-0.0190737417063198</v>
      </c>
      <c r="F89" s="7" t="n">
        <f aca="false">LN(Precios!F90/Precios!F89)</f>
        <v>-0.0487677126926851</v>
      </c>
      <c r="G89" s="7" t="n">
        <f aca="false">LN(Precios!G90/Precios!G89)</f>
        <v>-0.0102772780663973</v>
      </c>
      <c r="H89" s="7" t="n">
        <f aca="false">LN(Precios!H90/Precios!H89)</f>
        <v>-0.000880669365593636</v>
      </c>
      <c r="I89" s="7" t="n">
        <f aca="false">LN(Precios!I90/Precios!I89)</f>
        <v>0.00379900301492634</v>
      </c>
      <c r="J89" s="7" t="n">
        <f aca="false">LN(Precios!J90/Precios!J89)</f>
        <v>-0.0100121975222145</v>
      </c>
    </row>
    <row r="90" customFormat="false" ht="15" hidden="false" customHeight="false" outlineLevel="0" collapsed="false">
      <c r="A90" s="6" t="n">
        <f aca="false">Precios!A91</f>
        <v>46066</v>
      </c>
      <c r="B90" s="7" t="n">
        <f aca="false">LN(Precios!B91/Precios!B90)</f>
        <v>0.017019035389109</v>
      </c>
      <c r="C90" s="7" t="n">
        <f aca="false">LN(Precios!C91/Precios!C90)</f>
        <v>0.0257294879383501</v>
      </c>
      <c r="D90" s="7" t="n">
        <f aca="false">LN(Precios!D91/Precios!D90)</f>
        <v>-0.0107213502614069</v>
      </c>
      <c r="E90" s="7" t="n">
        <f aca="false">LN(Precios!E91/Precios!E90)</f>
        <v>0.0208433926621766</v>
      </c>
      <c r="F90" s="7" t="n">
        <f aca="false">LN(Precios!F91/Precios!F90)</f>
        <v>0.0154389031516514</v>
      </c>
      <c r="G90" s="7" t="n">
        <f aca="false">LN(Precios!G91/Precios!G90)</f>
        <v>0.0173309443436445</v>
      </c>
      <c r="H90" s="7" t="n">
        <f aca="false">LN(Precios!H91/Precios!H90)</f>
        <v>0.00789824202424013</v>
      </c>
      <c r="I90" s="7" t="n">
        <f aca="false">LN(Precios!I91/Precios!I90)</f>
        <v>0.0058429449613268</v>
      </c>
      <c r="J90" s="7" t="n">
        <f aca="false">LN(Precios!J91/Precios!J90)</f>
        <v>0.00829931112397675</v>
      </c>
    </row>
    <row r="91" customFormat="false" ht="15" hidden="false" customHeight="false" outlineLevel="0" collapsed="false">
      <c r="A91" s="6" t="n">
        <f aca="false">Precios!A92</f>
        <v>46069</v>
      </c>
      <c r="B91" s="7" t="n">
        <f aca="false">LN(Precios!B92/Precios!B91)</f>
        <v>-0.00634226393358085</v>
      </c>
      <c r="C91" s="7" t="n">
        <f aca="false">LN(Precios!C92/Precios!C91)</f>
        <v>-0.00495138058432763</v>
      </c>
      <c r="D91" s="7" t="n">
        <f aca="false">LN(Precios!D92/Precios!D91)</f>
        <v>0.00146878851375038</v>
      </c>
      <c r="E91" s="7" t="n">
        <f aca="false">LN(Precios!E92/Precios!E91)</f>
        <v>-0.000147351359583015</v>
      </c>
      <c r="F91" s="7" t="n">
        <f aca="false">LN(Precios!F92/Precios!F91)</f>
        <v>0.0101617502594995</v>
      </c>
      <c r="G91" s="7" t="n">
        <f aca="false">LN(Precios!G92/Precios!G91)</f>
        <v>-0.0134151049945911</v>
      </c>
      <c r="H91" s="7" t="n">
        <f aca="false">LN(Precios!H92/Precios!H91)</f>
        <v>0.00261894518962757</v>
      </c>
      <c r="I91" s="7" t="n">
        <f aca="false">LN(Precios!I92/Precios!I91)</f>
        <v>-0.00601531417661202</v>
      </c>
      <c r="J91" s="7" t="n">
        <f aca="false">LN(Precios!J92/Precios!J91)</f>
        <v>-0.00175758855764451</v>
      </c>
    </row>
    <row r="92" customFormat="false" ht="15" hidden="false" customHeight="false" outlineLevel="0" collapsed="false">
      <c r="A92" s="6" t="n">
        <f aca="false">Precios!A93</f>
        <v>46070</v>
      </c>
      <c r="B92" s="7" t="n">
        <f aca="false">LN(Precios!B93/Precios!B92)</f>
        <v>0.0129751588631335</v>
      </c>
      <c r="C92" s="7" t="n">
        <f aca="false">LN(Precios!C93/Precios!C92)</f>
        <v>0.0274516757416247</v>
      </c>
      <c r="D92" s="7" t="n">
        <f aca="false">LN(Precios!D93/Precios!D92)</f>
        <v>0.0222553936352614</v>
      </c>
      <c r="E92" s="7" t="n">
        <f aca="false">LN(Precios!E93/Precios!E92)</f>
        <v>0.00851068966790861</v>
      </c>
      <c r="F92" s="7" t="n">
        <f aca="false">LN(Precios!F93/Precios!F92)</f>
        <v>-0.0120204868541249</v>
      </c>
      <c r="G92" s="7" t="n">
        <f aca="false">LN(Precios!G93/Precios!G92)</f>
        <v>0.00768779658624369</v>
      </c>
      <c r="H92" s="7" t="n">
        <f aca="false">LN(Precios!H93/Precios!H92)</f>
        <v>-0.0336911297790037</v>
      </c>
      <c r="I92" s="7" t="n">
        <f aca="false">LN(Precios!I93/Precios!I92)</f>
        <v>0.0179384668378036</v>
      </c>
      <c r="J92" s="7" t="n">
        <f aca="false">LN(Precios!J93/Precios!J92)</f>
        <v>-0.00277316035291991</v>
      </c>
    </row>
    <row r="93" customFormat="false" ht="15" hidden="false" customHeight="false" outlineLevel="0" collapsed="false">
      <c r="A93" s="6" t="n">
        <f aca="false">Precios!A94</f>
        <v>46071</v>
      </c>
      <c r="B93" s="7" t="n">
        <f aca="false">LN(Precios!B94/Precios!B93)</f>
        <v>-0.0154658201755853</v>
      </c>
      <c r="C93" s="7" t="n">
        <f aca="false">LN(Precios!C94/Precios!C93)</f>
        <v>0.00807356442456802</v>
      </c>
      <c r="D93" s="7" t="n">
        <f aca="false">LN(Precios!D94/Precios!D93)</f>
        <v>-0.0139727640683976</v>
      </c>
      <c r="E93" s="7" t="n">
        <f aca="false">LN(Precios!E94/Precios!E93)</f>
        <v>-0.0299592330753922</v>
      </c>
      <c r="F93" s="7" t="n">
        <f aca="false">LN(Precios!F94/Precios!F93)</f>
        <v>0.00556587707744518</v>
      </c>
      <c r="G93" s="7" t="n">
        <f aca="false">LN(Precios!G94/Precios!G93)</f>
        <v>-0.00947032825252687</v>
      </c>
      <c r="H93" s="7" t="n">
        <f aca="false">LN(Precios!H94/Precios!H93)</f>
        <v>0.0371724213715155</v>
      </c>
      <c r="I93" s="7" t="n">
        <f aca="false">LN(Precios!I94/Precios!I93)</f>
        <v>-0.02173812598609</v>
      </c>
      <c r="J93" s="7" t="n">
        <f aca="false">LN(Precios!J94/Precios!J93)</f>
        <v>-0.00380834404533699</v>
      </c>
    </row>
    <row r="94" customFormat="false" ht="15" hidden="false" customHeight="false" outlineLevel="0" collapsed="false">
      <c r="A94" s="6" t="n">
        <f aca="false">Precios!A95</f>
        <v>46072</v>
      </c>
      <c r="B94" s="7" t="n">
        <f aca="false">LN(Precios!B95/Precios!B94)</f>
        <v>0.00688207648419382</v>
      </c>
      <c r="C94" s="7" t="n">
        <f aca="false">LN(Precios!C95/Precios!C94)</f>
        <v>0.0435215126386361</v>
      </c>
      <c r="D94" s="7" t="n">
        <f aca="false">LN(Precios!D95/Precios!D94)</f>
        <v>-0.0024289543154033</v>
      </c>
      <c r="E94" s="7" t="n">
        <f aca="false">LN(Precios!E95/Precios!E94)</f>
        <v>-0.0233046873155235</v>
      </c>
      <c r="F94" s="7" t="n">
        <f aca="false">LN(Precios!F95/Precios!F94)</f>
        <v>0.0110396705373303</v>
      </c>
      <c r="G94" s="7" t="n">
        <f aca="false">LN(Precios!G95/Precios!G94)</f>
        <v>-0.00716207179661506</v>
      </c>
      <c r="H94" s="7" t="n">
        <f aca="false">LN(Precios!H95/Precios!H94)</f>
        <v>0.0138052235646733</v>
      </c>
      <c r="I94" s="7" t="n">
        <f aca="false">LN(Precios!I95/Precios!I94)</f>
        <v>-0.000519255745115843</v>
      </c>
      <c r="J94" s="7" t="n">
        <f aca="false">LN(Precios!J95/Precios!J94)</f>
        <v>-0.000558241097879978</v>
      </c>
    </row>
    <row r="95" customFormat="false" ht="15" hidden="false" customHeight="false" outlineLevel="0" collapsed="false">
      <c r="A95" s="6" t="n">
        <f aca="false">Precios!A96</f>
        <v>46073</v>
      </c>
      <c r="B95" s="7" t="n">
        <f aca="false">LN(Precios!B96/Precios!B95)</f>
        <v>0.0032334788039548</v>
      </c>
      <c r="C95" s="7" t="n">
        <f aca="false">LN(Precios!C96/Precios!C95)</f>
        <v>0.00245398896156679</v>
      </c>
      <c r="D95" s="7" t="n">
        <f aca="false">LN(Precios!D96/Precios!D95)</f>
        <v>0.00194363520857125</v>
      </c>
      <c r="E95" s="7" t="n">
        <f aca="false">LN(Precios!E96/Precios!E95)</f>
        <v>-0.0117812554723056</v>
      </c>
      <c r="F95" s="7" t="n">
        <f aca="false">LN(Precios!F96/Precios!F95)</f>
        <v>0.00820050153632119</v>
      </c>
      <c r="G95" s="7" t="n">
        <f aca="false">LN(Precios!G96/Precios!G95)</f>
        <v>-0.00169855663558147</v>
      </c>
      <c r="H95" s="7" t="n">
        <f aca="false">LN(Precios!H96/Precios!H95)</f>
        <v>0.00768249617201621</v>
      </c>
      <c r="I95" s="7" t="n">
        <f aca="false">LN(Precios!I96/Precios!I95)</f>
        <v>0.00276625349289011</v>
      </c>
      <c r="J95" s="7" t="n">
        <f aca="false">LN(Precios!J96/Precios!J95)</f>
        <v>0.00830593504346233</v>
      </c>
    </row>
    <row r="96" customFormat="false" ht="15" hidden="false" customHeight="false" outlineLevel="0" collapsed="false">
      <c r="A96" s="6" t="n">
        <f aca="false">Precios!A97</f>
        <v>46076</v>
      </c>
      <c r="B96" s="7" t="n">
        <f aca="false">LN(Precios!B97/Precios!B96)</f>
        <v>-0.0198016778093535</v>
      </c>
      <c r="C96" s="7" t="n">
        <f aca="false">LN(Precios!C97/Precios!C96)</f>
        <v>-0.00869784756407389</v>
      </c>
      <c r="D96" s="7" t="n">
        <f aca="false">LN(Precios!D97/Precios!D96)</f>
        <v>-0.00194363520857113</v>
      </c>
      <c r="E96" s="7" t="n">
        <f aca="false">LN(Precios!E97/Precios!E96)</f>
        <v>-0.0141334010902497</v>
      </c>
      <c r="F96" s="7" t="n">
        <f aca="false">LN(Precios!F97/Precios!F96)</f>
        <v>-0.0290008816831223</v>
      </c>
      <c r="G96" s="7" t="n">
        <f aca="false">LN(Precios!G97/Precios!G96)</f>
        <v>-0.00561573878563575</v>
      </c>
      <c r="H96" s="7" t="n">
        <f aca="false">LN(Precios!H97/Precios!H96)</f>
        <v>-0.0214877197366896</v>
      </c>
      <c r="I96" s="7" t="n">
        <f aca="false">LN(Precios!I97/Precios!I96)</f>
        <v>-0.00954122946368125</v>
      </c>
      <c r="J96" s="7" t="n">
        <f aca="false">LN(Precios!J97/Precios!J96)</f>
        <v>-0.0113012843804668</v>
      </c>
    </row>
    <row r="97" customFormat="false" ht="15" hidden="false" customHeight="false" outlineLevel="0" collapsed="false">
      <c r="A97" s="6" t="n">
        <f aca="false">Precios!A98</f>
        <v>46077</v>
      </c>
      <c r="B97" s="7" t="n">
        <f aca="false">LN(Precios!B98/Precios!B97)</f>
        <v>-0.00704621813675515</v>
      </c>
      <c r="C97" s="7" t="n">
        <f aca="false">LN(Precios!C98/Precios!C97)</f>
        <v>0.0049325979655182</v>
      </c>
      <c r="D97" s="7" t="n">
        <f aca="false">LN(Precios!D98/Precios!D97)</f>
        <v>0.0640520214928506</v>
      </c>
      <c r="E97" s="7" t="n">
        <f aca="false">LN(Precios!E98/Precios!E97)</f>
        <v>-0.00570976967555211</v>
      </c>
      <c r="F97" s="7" t="n">
        <f aca="false">LN(Precios!F98/Precios!F97)</f>
        <v>0.00837214192512453</v>
      </c>
      <c r="G97" s="7" t="n">
        <f aca="false">LN(Precios!G98/Precios!G97)</f>
        <v>0.00461523845205222</v>
      </c>
      <c r="H97" s="7" t="n">
        <f aca="false">LN(Precios!H98/Precios!H97)</f>
        <v>-0.00960286733334147</v>
      </c>
      <c r="I97" s="7" t="n">
        <f aca="false">LN(Precios!I98/Precios!I97)</f>
        <v>0.0116109094022073</v>
      </c>
      <c r="J97" s="7" t="n">
        <f aca="false">LN(Precios!J98/Precios!J97)</f>
        <v>0.00425306847793585</v>
      </c>
    </row>
    <row r="98" customFormat="false" ht="15" hidden="false" customHeight="false" outlineLevel="0" collapsed="false">
      <c r="A98" s="6" t="n">
        <f aca="false">Precios!A99</f>
        <v>46078</v>
      </c>
      <c r="B98" s="7" t="n">
        <f aca="false">LN(Precios!B99/Precios!B98)</f>
        <v>-4.87674038768597E-005</v>
      </c>
      <c r="C98" s="7" t="n">
        <f aca="false">LN(Precios!C99/Precios!C98)</f>
        <v>-0.0162040582547229</v>
      </c>
      <c r="D98" s="7" t="n">
        <f aca="false">LN(Precios!D99/Precios!D98)</f>
        <v>-0.012394007631316</v>
      </c>
      <c r="E98" s="7" t="n">
        <f aca="false">LN(Precios!E99/Precios!E98)</f>
        <v>-0.00175117453013791</v>
      </c>
      <c r="F98" s="7" t="n">
        <f aca="false">LN(Precios!F99/Precios!F98)</f>
        <v>0.0156253179030808</v>
      </c>
      <c r="G98" s="7" t="n">
        <f aca="false">LN(Precios!G99/Precios!G98)</f>
        <v>-0.00466552129304326</v>
      </c>
      <c r="H98" s="7" t="n">
        <f aca="false">LN(Precios!H99/Precios!H98)</f>
        <v>-0.0402738991379401</v>
      </c>
      <c r="I98" s="7" t="n">
        <f aca="false">LN(Precios!I99/Precios!I98)</f>
        <v>-0.0251234428068499</v>
      </c>
      <c r="J98" s="7" t="n">
        <f aca="false">LN(Precios!J99/Precios!J98)</f>
        <v>0.00294948445855605</v>
      </c>
    </row>
    <row r="99" customFormat="false" ht="15" hidden="false" customHeight="false" outlineLevel="0" collapsed="false">
      <c r="A99" s="6" t="n">
        <f aca="false">Precios!A100</f>
        <v>46079</v>
      </c>
      <c r="B99" s="7" t="n">
        <f aca="false">LN(Precios!B100/Precios!B99)</f>
        <v>0.0269916075703274</v>
      </c>
      <c r="C99" s="7" t="n">
        <f aca="false">LN(Precios!C100/Precios!C99)</f>
        <v>0.00681122327576744</v>
      </c>
      <c r="D99" s="7" t="n">
        <f aca="false">LN(Precios!D100/Precios!D99)</f>
        <v>0.00782152595642591</v>
      </c>
      <c r="E99" s="7" t="n">
        <f aca="false">LN(Precios!E100/Precios!E99)</f>
        <v>0.0251743942593506</v>
      </c>
      <c r="F99" s="7" t="n">
        <f aca="false">LN(Precios!F100/Precios!F99)</f>
        <v>0.000455892417287374</v>
      </c>
      <c r="G99" s="7" t="n">
        <f aca="false">LN(Precios!G100/Precios!G99)</f>
        <v>-0.000201156651420021</v>
      </c>
      <c r="H99" s="7" t="n">
        <f aca="false">LN(Precios!H100/Precios!H99)</f>
        <v>0.00182481802462912</v>
      </c>
      <c r="I99" s="7" t="n">
        <f aca="false">LN(Precios!I100/Precios!I99)</f>
        <v>-0.00194535387196646</v>
      </c>
      <c r="J99" s="7" t="n">
        <f aca="false">LN(Precios!J100/Precios!J99)</f>
        <v>0.00344829258487377</v>
      </c>
    </row>
    <row r="100" customFormat="false" ht="15" hidden="false" customHeight="false" outlineLevel="0" collapsed="false">
      <c r="A100" s="6" t="n">
        <f aca="false">Precios!A101</f>
        <v>46080</v>
      </c>
      <c r="B100" s="7" t="n">
        <f aca="false">LN(Precios!B101/Precios!B100)</f>
        <v>-0.0161749231545413</v>
      </c>
      <c r="C100" s="7" t="n">
        <f aca="false">LN(Precios!C101/Precios!C100)</f>
        <v>0.00577797727988863</v>
      </c>
      <c r="D100" s="7" t="n">
        <f aca="false">LN(Precios!D101/Precios!D100)</f>
        <v>0.0257874502057388</v>
      </c>
      <c r="E100" s="7" t="n">
        <f aca="false">LN(Precios!E101/Precios!E100)</f>
        <v>-0.0296458165927519</v>
      </c>
      <c r="F100" s="7" t="n">
        <f aca="false">LN(Precios!F101/Precios!F100)</f>
        <v>-0.0174717088062879</v>
      </c>
      <c r="G100" s="7" t="n">
        <f aca="false">LN(Precios!G101/Precios!G100)</f>
        <v>-0.0123477101428582</v>
      </c>
      <c r="H100" s="7" t="n">
        <f aca="false">LN(Precios!H101/Precios!H100)</f>
        <v>-0.0639917244411808</v>
      </c>
      <c r="I100" s="7" t="n">
        <f aca="false">LN(Precios!I101/Precios!I100)</f>
        <v>-0.0133656092833686</v>
      </c>
      <c r="J100" s="7" t="n">
        <f aca="false">LN(Precios!J101/Precios!J100)</f>
        <v>0.000219474135532124</v>
      </c>
    </row>
    <row r="101" customFormat="false" ht="15" hidden="false" customHeight="false" outlineLevel="0" collapsed="false">
      <c r="A101" s="6" t="n">
        <f aca="false">Precios!A102</f>
        <v>46083</v>
      </c>
      <c r="B101" s="7" t="n">
        <f aca="false">LN(Precios!B102/Precios!B101)</f>
        <v>-0.00750590676771533</v>
      </c>
      <c r="C101" s="7" t="n">
        <f aca="false">LN(Precios!C102/Precios!C101)</f>
        <v>-0.0105908651695871</v>
      </c>
      <c r="D101" s="7" t="n">
        <f aca="false">LN(Precios!D102/Precios!D101)</f>
        <v>0.0017849179214534</v>
      </c>
      <c r="E101" s="7" t="n">
        <f aca="false">LN(Precios!E102/Precios!E101)</f>
        <v>-0.0112668180409948</v>
      </c>
      <c r="F101" s="7" t="n">
        <f aca="false">LN(Precios!F102/Precios!F101)</f>
        <v>-0.0206192872027356</v>
      </c>
      <c r="G101" s="7" t="n">
        <f aca="false">LN(Precios!G102/Precios!G101)</f>
        <v>-0.0276719943515712</v>
      </c>
      <c r="H101" s="7" t="n">
        <f aca="false">LN(Precios!H102/Precios!H101)</f>
        <v>-0.0539052648362023</v>
      </c>
      <c r="I101" s="7" t="n">
        <f aca="false">LN(Precios!I102/Precios!I101)</f>
        <v>0.00429646203350511</v>
      </c>
      <c r="J101" s="7" t="n">
        <f aca="false">LN(Precios!J102/Precios!J101)</f>
        <v>-0.0115645629044385</v>
      </c>
    </row>
    <row r="102" customFormat="false" ht="15" hidden="false" customHeight="false" outlineLevel="0" collapsed="false">
      <c r="A102" s="6" t="n">
        <f aca="false">Precios!A103</f>
        <v>46084</v>
      </c>
      <c r="B102" s="7" t="n">
        <f aca="false">LN(Precios!B103/Precios!B102)</f>
        <v>-0.0221160970078624</v>
      </c>
      <c r="C102" s="7" t="n">
        <f aca="false">LN(Precios!C103/Precios!C102)</f>
        <v>-0.0213543213178338</v>
      </c>
      <c r="D102" s="7" t="n">
        <f aca="false">LN(Precios!D103/Precios!D102)</f>
        <v>-0.0349321069592724</v>
      </c>
      <c r="E102" s="7" t="n">
        <f aca="false">LN(Precios!E103/Precios!E102)</f>
        <v>-0.0102498253572543</v>
      </c>
      <c r="F102" s="7" t="n">
        <f aca="false">LN(Precios!F103/Precios!F102)</f>
        <v>-0.0410784983741521</v>
      </c>
      <c r="G102" s="7" t="n">
        <f aca="false">LN(Precios!G103/Precios!G102)</f>
        <v>-0.00835813207991961</v>
      </c>
      <c r="H102" s="7" t="n">
        <f aca="false">LN(Precios!H103/Precios!H102)</f>
        <v>0.00613498856751593</v>
      </c>
      <c r="I102" s="7" t="n">
        <f aca="false">LN(Precios!I103/Precios!I102)</f>
        <v>-0.00519388648573016</v>
      </c>
      <c r="J102" s="7" t="n">
        <f aca="false">LN(Precios!J103/Precios!J102)</f>
        <v>-0.0309113143756775</v>
      </c>
    </row>
    <row r="103" customFormat="false" ht="15" hidden="false" customHeight="false" outlineLevel="0" collapsed="false">
      <c r="A103" s="6" t="n">
        <f aca="false">Precios!A104</f>
        <v>46085</v>
      </c>
      <c r="B103" s="7" t="n">
        <f aca="false">LN(Precios!B104/Precios!B103)</f>
        <v>0.0266747857949372</v>
      </c>
      <c r="C103" s="7" t="n">
        <f aca="false">LN(Precios!C104/Precios!C103)</f>
        <v>0.00964066663441329</v>
      </c>
      <c r="D103" s="7" t="n">
        <f aca="false">LN(Precios!D104/Precios!D103)</f>
        <v>0.0178453603200104</v>
      </c>
      <c r="E103" s="7" t="n">
        <f aca="false">LN(Precios!E104/Precios!E103)</f>
        <v>0.0534903884109691</v>
      </c>
      <c r="F103" s="7" t="n">
        <f aca="false">LN(Precios!F104/Precios!F103)</f>
        <v>0.0377585996644819</v>
      </c>
      <c r="G103" s="7" t="n">
        <f aca="false">LN(Precios!G104/Precios!G103)</f>
        <v>0.0412104325819356</v>
      </c>
      <c r="H103" s="7" t="n">
        <f aca="false">LN(Precios!H104/Precios!H103)</f>
        <v>0.0399653585993024</v>
      </c>
      <c r="I103" s="7" t="n">
        <f aca="false">LN(Precios!I104/Precios!I103)</f>
        <v>0.0190312546902647</v>
      </c>
      <c r="J103" s="7" t="n">
        <f aca="false">LN(Precios!J104/Precios!J103)</f>
        <v>0.0286885362058393</v>
      </c>
    </row>
    <row r="104" customFormat="false" ht="15" hidden="false" customHeight="false" outlineLevel="0" collapsed="false">
      <c r="A104" s="6" t="n">
        <f aca="false">Precios!A105</f>
        <v>46086</v>
      </c>
      <c r="B104" s="7" t="n">
        <f aca="false">LN(Precios!B105/Precios!B104)</f>
        <v>-0.00679713254412661</v>
      </c>
      <c r="C104" s="7" t="n">
        <f aca="false">LN(Precios!C105/Precios!C104)</f>
        <v>-0.0162908744495725</v>
      </c>
      <c r="D104" s="7" t="n">
        <f aca="false">LN(Precios!D105/Precios!D104)</f>
        <v>-0.0201564313740605</v>
      </c>
      <c r="E104" s="7" t="n">
        <f aca="false">LN(Precios!E105/Precios!E104)</f>
        <v>-0.0254330819887383</v>
      </c>
      <c r="F104" s="7" t="n">
        <f aca="false">LN(Precios!F105/Precios!F104)</f>
        <v>-0.0496694104506635</v>
      </c>
      <c r="G104" s="7" t="n">
        <f aca="false">LN(Precios!G105/Precios!G104)</f>
        <v>-0.0232145504046609</v>
      </c>
      <c r="H104" s="7" t="n">
        <f aca="false">LN(Precios!H105/Precios!H104)</f>
        <v>-0.0197830388494451</v>
      </c>
      <c r="I104" s="7" t="n">
        <f aca="false">LN(Precios!I105/Precios!I104)</f>
        <v>-0.00795971302531469</v>
      </c>
      <c r="J104" s="7" t="n">
        <f aca="false">LN(Precios!J105/Precios!J104)</f>
        <v>-0.0295194351681536</v>
      </c>
    </row>
    <row r="105" customFormat="false" ht="15" hidden="false" customHeight="false" outlineLevel="0" collapsed="false">
      <c r="A105" s="6" t="n">
        <f aca="false">Precios!A106</f>
        <v>46087</v>
      </c>
      <c r="B105" s="7" t="n">
        <f aca="false">LN(Precios!B106/Precios!B105)</f>
        <v>0.00747431163549738</v>
      </c>
      <c r="C105" s="7" t="n">
        <f aca="false">LN(Precios!C106/Precios!C105)</f>
        <v>-0.0268763467857923</v>
      </c>
      <c r="D105" s="7" t="n">
        <f aca="false">LN(Precios!D106/Precios!D105)</f>
        <v>-0.0196267982385869</v>
      </c>
      <c r="E105" s="7" t="n">
        <f aca="false">LN(Precios!E106/Precios!E105)</f>
        <v>-0.026749903065549</v>
      </c>
      <c r="F105" s="7" t="n">
        <f aca="false">LN(Precios!F106/Precios!F105)</f>
        <v>-0.0268166841080259</v>
      </c>
      <c r="G105" s="7" t="n">
        <f aca="false">LN(Precios!G106/Precios!G105)</f>
        <v>-0.014991531518475</v>
      </c>
      <c r="H105" s="7" t="n">
        <f aca="false">LN(Precios!H106/Precios!H105)</f>
        <v>0.00994043970525072</v>
      </c>
      <c r="I105" s="7" t="n">
        <f aca="false">LN(Precios!I106/Precios!I105)</f>
        <v>-0.0139487240130113</v>
      </c>
      <c r="J105" s="7" t="n">
        <f aca="false">LN(Precios!J106/Precios!J105)</f>
        <v>-0.0157110912749331</v>
      </c>
    </row>
    <row r="106" customFormat="false" ht="15" hidden="false" customHeight="false" outlineLevel="0" collapsed="false">
      <c r="A106" s="6" t="n">
        <f aca="false">Precios!A107</f>
        <v>46090</v>
      </c>
      <c r="B106" s="7" t="n">
        <f aca="false">LN(Precios!B107/Precios!B106)</f>
        <v>-0.0161836337384871</v>
      </c>
      <c r="C106" s="7" t="n">
        <f aca="false">LN(Precios!C107/Precios!C106)</f>
        <v>-0.00882618262827207</v>
      </c>
      <c r="D106" s="7" t="n">
        <f aca="false">LN(Precios!D107/Precios!D106)</f>
        <v>-0.00141676529010909</v>
      </c>
      <c r="E106" s="7" t="n">
        <f aca="false">LN(Precios!E107/Precios!E106)</f>
        <v>0.00114257745230267</v>
      </c>
      <c r="F106" s="7" t="n">
        <f aca="false">LN(Precios!F107/Precios!F106)</f>
        <v>-0.0129034048359078</v>
      </c>
      <c r="G106" s="7" t="n">
        <f aca="false">LN(Precios!G107/Precios!G106)</f>
        <v>-0.00390213530361262</v>
      </c>
      <c r="H106" s="7" t="n">
        <f aca="false">LN(Precios!H107/Precios!H106)</f>
        <v>0.0359436458605162</v>
      </c>
      <c r="I106" s="7" t="n">
        <f aca="false">LN(Precios!I107/Precios!I106)</f>
        <v>0.00413335119875256</v>
      </c>
      <c r="J106" s="7" t="n">
        <f aca="false">LN(Precios!J107/Precios!J106)</f>
        <v>-0.00630729528799578</v>
      </c>
    </row>
    <row r="107" customFormat="false" ht="15" hidden="false" customHeight="false" outlineLevel="0" collapsed="false">
      <c r="A107" s="6" t="n">
        <f aca="false">Precios!A108</f>
        <v>46091</v>
      </c>
      <c r="B107" s="7" t="n">
        <f aca="false">LN(Precios!B108/Precios!B107)</f>
        <v>-0.0217092055667613</v>
      </c>
      <c r="C107" s="7" t="n">
        <f aca="false">LN(Precios!C108/Precios!C107)</f>
        <v>0.0111082866644342</v>
      </c>
      <c r="D107" s="7" t="n">
        <f aca="false">LN(Precios!D108/Precios!D107)</f>
        <v>-0.00663824154129363</v>
      </c>
      <c r="E107" s="7" t="n">
        <f aca="false">LN(Precios!E108/Precios!E107)</f>
        <v>-0.0118150373430745</v>
      </c>
      <c r="F107" s="7" t="n">
        <f aca="false">LN(Precios!F108/Precios!F107)</f>
        <v>-0.0157071292053579</v>
      </c>
      <c r="G107" s="7" t="n">
        <f aca="false">LN(Precios!G108/Precios!G107)</f>
        <v>0.0272061808041861</v>
      </c>
      <c r="H107" s="7" t="n">
        <f aca="false">LN(Precios!H108/Precios!H107)</f>
        <v>-0.00670179626601867</v>
      </c>
      <c r="I107" s="7" t="n">
        <f aca="false">LN(Precios!I108/Precios!I107)</f>
        <v>-0.00738010729762253</v>
      </c>
      <c r="J107" s="7" t="n">
        <f aca="false">LN(Precios!J108/Precios!J107)</f>
        <v>0.00756093805298979</v>
      </c>
    </row>
    <row r="108" customFormat="false" ht="15" hidden="false" customHeight="false" outlineLevel="0" collapsed="false">
      <c r="A108" s="6" t="n">
        <f aca="false">Precios!A109</f>
        <v>46092</v>
      </c>
      <c r="B108" s="7" t="n">
        <f aca="false">LN(Precios!B109/Precios!B108)</f>
        <v>0.0244083949953893</v>
      </c>
      <c r="C108" s="7" t="n">
        <f aca="false">LN(Precios!C109/Precios!C108)</f>
        <v>0.00977149635013348</v>
      </c>
      <c r="D108" s="7" t="n">
        <f aca="false">LN(Precios!D109/Precios!D108)</f>
        <v>-0.00285850599596354</v>
      </c>
      <c r="E108" s="7" t="n">
        <f aca="false">LN(Precios!E109/Precios!E108)</f>
        <v>0.000660066030565744</v>
      </c>
      <c r="F108" s="7" t="n">
        <f aca="false">LN(Precios!F109/Precios!F108)</f>
        <v>-0.0100769879503566</v>
      </c>
      <c r="G108" s="7" t="n">
        <f aca="false">LN(Precios!G109/Precios!G108)</f>
        <v>-0.00123475860725719</v>
      </c>
      <c r="H108" s="7" t="n">
        <f aca="false">LN(Precios!H109/Precios!H108)</f>
        <v>0.000960153698343287</v>
      </c>
      <c r="I108" s="7" t="n">
        <f aca="false">LN(Precios!I109/Precios!I108)</f>
        <v>0.0216253624336713</v>
      </c>
      <c r="J108" s="7" t="n">
        <f aca="false">LN(Precios!J109/Precios!J108)</f>
        <v>0.00239838191662517</v>
      </c>
    </row>
    <row r="109" customFormat="false" ht="15" hidden="false" customHeight="false" outlineLevel="0" collapsed="false">
      <c r="A109" s="6" t="n">
        <f aca="false">Precios!A110</f>
        <v>46093</v>
      </c>
      <c r="B109" s="7" t="n">
        <f aca="false">LN(Precios!B110/Precios!B109)</f>
        <v>-0.0261676756522181</v>
      </c>
      <c r="C109" s="7" t="n">
        <f aca="false">LN(Precios!C110/Precios!C109)</f>
        <v>-0.00994685803405506</v>
      </c>
      <c r="D109" s="7" t="n">
        <f aca="false">LN(Precios!D110/Precios!D109)</f>
        <v>-0.0192684188658771</v>
      </c>
      <c r="E109" s="7" t="n">
        <f aca="false">LN(Precios!E110/Precios!E109)</f>
        <v>-0.0162983817331194</v>
      </c>
      <c r="F109" s="7" t="n">
        <f aca="false">LN(Precios!F110/Precios!F109)</f>
        <v>-0.00320341971753781</v>
      </c>
      <c r="G109" s="7" t="n">
        <f aca="false">LN(Precios!G110/Precios!G109)</f>
        <v>-0.0332360828283371</v>
      </c>
      <c r="H109" s="7" t="n">
        <f aca="false">LN(Precios!H110/Precios!H109)</f>
        <v>-0.0203594041486466</v>
      </c>
      <c r="I109" s="7" t="n">
        <f aca="false">LN(Precios!I110/Precios!I109)</f>
        <v>-0.00977177536657645</v>
      </c>
      <c r="J109" s="7" t="n">
        <f aca="false">LN(Precios!J110/Precios!J109)</f>
        <v>-0.0220587864931128</v>
      </c>
    </row>
    <row r="110" customFormat="false" ht="15" hidden="false" customHeight="false" outlineLevel="0" collapsed="false">
      <c r="A110" s="6" t="n">
        <f aca="false">Precios!A111</f>
        <v>46094</v>
      </c>
      <c r="B110" s="7" t="n">
        <f aca="false">LN(Precios!B111/Precios!B110)</f>
        <v>-0.00874162359022532</v>
      </c>
      <c r="C110" s="7" t="n">
        <f aca="false">LN(Precios!C111/Precios!C110)</f>
        <v>-0.0123523716347391</v>
      </c>
      <c r="D110" s="7" t="n">
        <f aca="false">LN(Precios!D111/Precios!D110)</f>
        <v>0</v>
      </c>
      <c r="E110" s="7" t="n">
        <f aca="false">LN(Precios!E111/Precios!E110)</f>
        <v>-0.00403226352793845</v>
      </c>
      <c r="F110" s="7" t="n">
        <f aca="false">LN(Precios!F111/Precios!F110)</f>
        <v>-0.0026773777707164</v>
      </c>
      <c r="G110" s="7" t="n">
        <f aca="false">LN(Precios!G111/Precios!G110)</f>
        <v>0.00594292314749037</v>
      </c>
      <c r="H110" s="7" t="n">
        <f aca="false">LN(Precios!H111/Precios!H110)</f>
        <v>0.00974666585229426</v>
      </c>
      <c r="I110" s="7" t="n">
        <f aca="false">LN(Precios!I111/Precios!I110)</f>
        <v>0.0197991265146304</v>
      </c>
      <c r="J110" s="7" t="n">
        <f aca="false">LN(Precios!J111/Precios!J110)</f>
        <v>-0.00663305166428241</v>
      </c>
    </row>
    <row r="111" customFormat="false" ht="15" hidden="false" customHeight="false" outlineLevel="0" collapsed="false">
      <c r="A111" s="6" t="n">
        <f aca="false">Precios!A112</f>
        <v>46098</v>
      </c>
      <c r="B111" s="7" t="n">
        <f aca="false">LN(Precios!B112/Precios!B111)</f>
        <v>0.00602121888983718</v>
      </c>
      <c r="C111" s="7" t="n">
        <f aca="false">LN(Precios!C112/Precios!C111)</f>
        <v>0.0323200460728833</v>
      </c>
      <c r="D111" s="7" t="n">
        <f aca="false">LN(Precios!D112/Precios!D111)</f>
        <v>0.0216510742699448</v>
      </c>
      <c r="E111" s="7" t="n">
        <f aca="false">LN(Precios!E112/Precios!E111)</f>
        <v>-0.00455581653586069</v>
      </c>
      <c r="F111" s="7" t="n">
        <f aca="false">LN(Precios!F112/Precios!F111)</f>
        <v>0.00160728671087206</v>
      </c>
      <c r="G111" s="7" t="n">
        <f aca="false">LN(Precios!G112/Precios!G111)</f>
        <v>0.0168397421978588</v>
      </c>
      <c r="H111" s="7" t="n">
        <f aca="false">LN(Precios!H112/Precios!H111)</f>
        <v>0.00869150811845839</v>
      </c>
      <c r="I111" s="7" t="n">
        <f aca="false">LN(Precios!I112/Precios!I111)</f>
        <v>0.00940773489095009</v>
      </c>
      <c r="J111" s="7" t="n">
        <f aca="false">LN(Precios!J112/Precios!J111)</f>
        <v>0.00831293876866207</v>
      </c>
    </row>
    <row r="112" customFormat="false" ht="15" hidden="false" customHeight="false" outlineLevel="0" collapsed="false">
      <c r="A112" s="6" t="n">
        <f aca="false">Precios!A113</f>
        <v>46099</v>
      </c>
      <c r="B112" s="7" t="n">
        <f aca="false">LN(Precios!B113/Precios!B112)</f>
        <v>0.00312279895158002</v>
      </c>
      <c r="C112" s="7" t="n">
        <f aca="false">LN(Precios!C113/Precios!C112)</f>
        <v>0.00548604153226426</v>
      </c>
      <c r="D112" s="7" t="n">
        <f aca="false">LN(Precios!D113/Precios!D112)</f>
        <v>0.00805882531635123</v>
      </c>
      <c r="E112" s="7" t="n">
        <f aca="false">LN(Precios!E113/Precios!E112)</f>
        <v>-0.0187782916302216</v>
      </c>
      <c r="F112" s="7" t="n">
        <f aca="false">LN(Precios!F113/Precios!F112)</f>
        <v>-0.0172790476083522</v>
      </c>
      <c r="G112" s="7" t="n">
        <f aca="false">LN(Precios!G113/Precios!G112)</f>
        <v>-0.00192663237496736</v>
      </c>
      <c r="H112" s="7" t="n">
        <f aca="false">LN(Precios!H113/Precios!H112)</f>
        <v>0.00288046286535409</v>
      </c>
      <c r="I112" s="7" t="n">
        <f aca="false">LN(Precios!I113/Precios!I112)</f>
        <v>-0.0281361974917401</v>
      </c>
      <c r="J112" s="7" t="n">
        <f aca="false">LN(Precios!J113/Precios!J112)</f>
        <v>-0.00632980117407118</v>
      </c>
    </row>
    <row r="113" customFormat="false" ht="15" hidden="false" customHeight="false" outlineLevel="0" collapsed="false">
      <c r="A113" s="6" t="n">
        <f aca="false">Precios!A114</f>
        <v>46100</v>
      </c>
      <c r="B113" s="7" t="n">
        <f aca="false">LN(Precios!B114/Precios!B113)</f>
        <v>-0.00909326801268683</v>
      </c>
      <c r="C113" s="7" t="n">
        <f aca="false">LN(Precios!C114/Precios!C113)</f>
        <v>0.00851213856004953</v>
      </c>
      <c r="D113" s="7" t="n">
        <f aca="false">LN(Precios!D114/Precios!D113)</f>
        <v>0.00141542840333076</v>
      </c>
      <c r="E113" s="7" t="n">
        <f aca="false">LN(Precios!E114/Precios!E113)</f>
        <v>0.010456939375879</v>
      </c>
      <c r="F113" s="7" t="n">
        <f aca="false">LN(Precios!F114/Precios!F113)</f>
        <v>-0.00272702650592513</v>
      </c>
      <c r="G113" s="7" t="n">
        <f aca="false">LN(Precios!G114/Precios!G113)</f>
        <v>-0.0115329439342202</v>
      </c>
      <c r="H113" s="7" t="n">
        <f aca="false">LN(Precios!H114/Precios!H113)</f>
        <v>0.0104912741005351</v>
      </c>
      <c r="I113" s="7" t="n">
        <f aca="false">LN(Precios!I114/Precios!I113)</f>
        <v>0.0106440600459467</v>
      </c>
      <c r="J113" s="7" t="n">
        <f aca="false">LN(Precios!J114/Precios!J113)</f>
        <v>-0.00885386857050327</v>
      </c>
    </row>
    <row r="114" customFormat="false" ht="15" hidden="false" customHeight="false" outlineLevel="0" collapsed="false">
      <c r="A114" s="6" t="n">
        <f aca="false">Precios!A115</f>
        <v>46101</v>
      </c>
      <c r="B114" s="7" t="n">
        <f aca="false">LN(Precios!B115/Precios!B114)</f>
        <v>-0.0239849209165433</v>
      </c>
      <c r="C114" s="7" t="n">
        <f aca="false">LN(Precios!C115/Precios!C114)</f>
        <v>0.0156424011939801</v>
      </c>
      <c r="D114" s="7" t="n">
        <f aca="false">LN(Precios!D115/Precios!D114)</f>
        <v>-0.0132892321186828</v>
      </c>
      <c r="E114" s="7" t="n">
        <f aca="false">LN(Precios!E115/Precios!E114)</f>
        <v>-0.0173737921298211</v>
      </c>
      <c r="F114" s="7" t="n">
        <f aca="false">LN(Precios!F115/Precios!F114)</f>
        <v>-0.0170756007902546</v>
      </c>
      <c r="G114" s="7" t="n">
        <f aca="false">LN(Precios!G115/Precios!G114)</f>
        <v>-0.0291022998954919</v>
      </c>
      <c r="H114" s="7" t="n">
        <f aca="false">LN(Precios!H115/Precios!H114)</f>
        <v>-0.0318099109366419</v>
      </c>
      <c r="I114" s="7" t="n">
        <f aca="false">LN(Precios!I115/Precios!I114)</f>
        <v>-0.0102874266612823</v>
      </c>
      <c r="J114" s="7" t="n">
        <f aca="false">LN(Precios!J115/Precios!J114)</f>
        <v>-0.0164615888967174</v>
      </c>
    </row>
    <row r="115" customFormat="false" ht="15" hidden="false" customHeight="false" outlineLevel="0" collapsed="false">
      <c r="A115" s="6" t="n">
        <f aca="false">Precios!A116</f>
        <v>46104</v>
      </c>
      <c r="B115" s="7" t="n">
        <f aca="false">LN(Precios!B116/Precios!B115)</f>
        <v>-0.0102404238669242</v>
      </c>
      <c r="C115" s="7" t="n">
        <f aca="false">LN(Precios!C116/Precios!C115)</f>
        <v>-0.0503100101392018</v>
      </c>
      <c r="D115" s="7" t="n">
        <f aca="false">LN(Precios!D116/Precios!D115)</f>
        <v>0.00761545803277483</v>
      </c>
      <c r="E115" s="7" t="n">
        <f aca="false">LN(Precios!E116/Precios!E115)</f>
        <v>-0.00661562301422597</v>
      </c>
      <c r="F115" s="7" t="n">
        <f aca="false">LN(Precios!F116/Precios!F115)</f>
        <v>0.0493191247742014</v>
      </c>
      <c r="G115" s="7" t="n">
        <f aca="false">LN(Precios!G116/Precios!G115)</f>
        <v>0.00757087760715722</v>
      </c>
      <c r="H115" s="7" t="n">
        <f aca="false">LN(Precios!H116/Precios!H115)</f>
        <v>0.00195694778696095</v>
      </c>
      <c r="I115" s="7" t="n">
        <f aca="false">LN(Precios!I116/Precios!I115)</f>
        <v>0.000712885433862349</v>
      </c>
      <c r="J115" s="7" t="n">
        <f aca="false">LN(Precios!J116/Precios!J115)</f>
        <v>0.00367376684389964</v>
      </c>
    </row>
    <row r="116" customFormat="false" ht="15" hidden="false" customHeight="false" outlineLevel="0" collapsed="false">
      <c r="A116" s="6" t="n">
        <f aca="false">Precios!A117</f>
        <v>46105</v>
      </c>
      <c r="B116" s="7" t="n">
        <f aca="false">LN(Precios!B117/Precios!B116)</f>
        <v>0.0208914733197096</v>
      </c>
      <c r="C116" s="7" t="n">
        <f aca="false">LN(Precios!C117/Precios!C116)</f>
        <v>0.0163624190076988</v>
      </c>
      <c r="D116" s="7" t="n">
        <f aca="false">LN(Precios!D117/Precios!D116)</f>
        <v>0.0436061663235685</v>
      </c>
      <c r="E116" s="7" t="n">
        <f aca="false">LN(Precios!E117/Precios!E116)</f>
        <v>0.013704785581638</v>
      </c>
      <c r="F116" s="7" t="n">
        <f aca="false">LN(Precios!F117/Precios!F116)</f>
        <v>0.0230015368054247</v>
      </c>
      <c r="G116" s="7" t="n">
        <f aca="false">LN(Precios!G117/Precios!G116)</f>
        <v>0.0206874513552342</v>
      </c>
      <c r="H116" s="7" t="n">
        <f aca="false">LN(Precios!H117/Precios!H116)</f>
        <v>0.0126276568678019</v>
      </c>
      <c r="I116" s="7" t="n">
        <f aca="false">LN(Precios!I117/Precios!I116)</f>
        <v>0.00249110449107966</v>
      </c>
      <c r="J116" s="7" t="n">
        <f aca="false">LN(Precios!J117/Precios!J116)</f>
        <v>0.0215795110088953</v>
      </c>
    </row>
    <row r="117" customFormat="false" ht="15" hidden="false" customHeight="false" outlineLevel="0" collapsed="false">
      <c r="A117" s="6" t="n">
        <f aca="false">Precios!A118</f>
        <v>46106</v>
      </c>
      <c r="B117" s="7" t="n">
        <f aca="false">LN(Precios!B118/Precios!B117)</f>
        <v>0.0330320110110311</v>
      </c>
      <c r="C117" s="7" t="n">
        <f aca="false">LN(Precios!C118/Precios!C117)</f>
        <v>0.0179660919349519</v>
      </c>
      <c r="D117" s="7" t="n">
        <f aca="false">LN(Precios!D118/Precios!D117)</f>
        <v>0.0251021696656601</v>
      </c>
      <c r="E117" s="7" t="n">
        <f aca="false">LN(Precios!E118/Precios!E117)</f>
        <v>0.0278645278795183</v>
      </c>
      <c r="F117" s="7" t="n">
        <f aca="false">LN(Precios!F118/Precios!F117)</f>
        <v>0.041008023727377</v>
      </c>
      <c r="G117" s="7" t="n">
        <f aca="false">LN(Precios!G118/Precios!G117)</f>
        <v>0.0333684280601944</v>
      </c>
      <c r="H117" s="7" t="n">
        <f aca="false">LN(Precios!H118/Precios!H117)</f>
        <v>-0.0116506172199753</v>
      </c>
      <c r="I117" s="7" t="n">
        <f aca="false">LN(Precios!I118/Precios!I117)</f>
        <v>0.0299365900483218</v>
      </c>
      <c r="J117" s="7" t="n">
        <f aca="false">LN(Precios!J118/Precios!J117)</f>
        <v>0.0360207747443146</v>
      </c>
    </row>
    <row r="118" customFormat="false" ht="15" hidden="false" customHeight="false" outlineLevel="0" collapsed="false">
      <c r="A118" s="6" t="n">
        <f aca="false">Precios!A119</f>
        <v>46107</v>
      </c>
      <c r="B118" s="7" t="n">
        <f aca="false">LN(Precios!B119/Precios!B118)</f>
        <v>-0.00543845671228167</v>
      </c>
      <c r="C118" s="7" t="n">
        <f aca="false">LN(Precios!C119/Precios!C118)</f>
        <v>-0.00237691113604814</v>
      </c>
      <c r="D118" s="7" t="n">
        <f aca="false">LN(Precios!D119/Precios!D118)</f>
        <v>-0.00933962759613272</v>
      </c>
      <c r="E118" s="7" t="n">
        <f aca="false">LN(Precios!E119/Precios!E118)</f>
        <v>-0.0162165715892453</v>
      </c>
      <c r="F118" s="7" t="n">
        <f aca="false">LN(Precios!F119/Precios!F118)</f>
        <v>-0.0230818074592251</v>
      </c>
      <c r="G118" s="7" t="n">
        <f aca="false">LN(Precios!G119/Precios!G118)</f>
        <v>-0.0245943680417487</v>
      </c>
      <c r="H118" s="7" t="n">
        <f aca="false">LN(Precios!H119/Precios!H118)</f>
        <v>0.00778214044205495</v>
      </c>
      <c r="I118" s="7" t="n">
        <f aca="false">LN(Precios!I119/Precios!I118)</f>
        <v>-0.00796541008071806</v>
      </c>
      <c r="J118" s="7" t="n">
        <f aca="false">LN(Precios!J119/Precios!J118)</f>
        <v>-0.016655007192649</v>
      </c>
    </row>
    <row r="119" customFormat="false" ht="15" hidden="false" customHeight="false" outlineLevel="0" collapsed="false">
      <c r="A119" s="6" t="n">
        <f aca="false">Precios!A120</f>
        <v>46108</v>
      </c>
      <c r="B119" s="7" t="n">
        <f aca="false">LN(Precios!B120/Precios!B119)</f>
        <v>0.00518963240583971</v>
      </c>
      <c r="C119" s="7" t="n">
        <f aca="false">LN(Precios!C120/Precios!C119)</f>
        <v>-0.0173171922881646</v>
      </c>
      <c r="D119" s="7" t="n">
        <f aca="false">LN(Precios!D120/Precios!D119)</f>
        <v>0.0035682464265181</v>
      </c>
      <c r="E119" s="7" t="n">
        <f aca="false">LN(Precios!E120/Precios!E119)</f>
        <v>-0.00392458485132569</v>
      </c>
      <c r="F119" s="7" t="n">
        <f aca="false">LN(Precios!F120/Precios!F119)</f>
        <v>-0.0132858367116497</v>
      </c>
      <c r="G119" s="7" t="n">
        <f aca="false">LN(Precios!G120/Precios!G119)</f>
        <v>-0.00661280881477326</v>
      </c>
      <c r="H119" s="7" t="n">
        <f aca="false">LN(Precios!H120/Precios!H119)</f>
        <v>0.00676004505771936</v>
      </c>
      <c r="I119" s="7" t="n">
        <f aca="false">LN(Precios!I120/Precios!I119)</f>
        <v>0.0114089396542642</v>
      </c>
      <c r="J119" s="7" t="n">
        <f aca="false">LN(Precios!J120/Precios!J119)</f>
        <v>-0.00561628606874404</v>
      </c>
    </row>
    <row r="120" customFormat="false" ht="15" hidden="false" customHeight="false" outlineLevel="0" collapsed="false">
      <c r="A120" s="6" t="n">
        <f aca="false">Precios!A121</f>
        <v>46111</v>
      </c>
      <c r="B120" s="7" t="n">
        <f aca="false">LN(Precios!B121/Precios!B120)</f>
        <v>0.0199568080841929</v>
      </c>
      <c r="C120" s="7" t="n">
        <f aca="false">LN(Precios!C121/Precios!C120)</f>
        <v>-0.00607166406854991</v>
      </c>
      <c r="D120" s="7" t="n">
        <f aca="false">LN(Precios!D121/Precios!D120)</f>
        <v>-0.00580488345823077</v>
      </c>
      <c r="E120" s="7" t="n">
        <f aca="false">LN(Precios!E121/Precios!E120)</f>
        <v>0.0251553738659286</v>
      </c>
      <c r="F120" s="7" t="n">
        <f aca="false">LN(Precios!F121/Precios!F120)</f>
        <v>-0.000514535642944338</v>
      </c>
      <c r="G120" s="7" t="n">
        <f aca="false">LN(Precios!G121/Precios!G120)</f>
        <v>0.00995502300744308</v>
      </c>
      <c r="H120" s="7" t="n">
        <f aca="false">LN(Precios!H121/Precios!H120)</f>
        <v>0.000962001036190841</v>
      </c>
      <c r="I120" s="7" t="n">
        <f aca="false">LN(Precios!I121/Precios!I120)</f>
        <v>-0.00482426848810602</v>
      </c>
      <c r="J120" s="7" t="n">
        <f aca="false">LN(Precios!J121/Precios!J120)</f>
        <v>0.00600838745239902</v>
      </c>
    </row>
    <row r="121" customFormat="false" ht="15" hidden="false" customHeight="false" outlineLevel="0" collapsed="false">
      <c r="A121" s="6" t="n">
        <f aca="false">Precios!A122</f>
        <v>46112</v>
      </c>
      <c r="B121" s="7" t="n">
        <f aca="false">LN(Precios!B122/Precios!B121)</f>
        <v>0.00850159362820032</v>
      </c>
      <c r="C121" s="7" t="n">
        <f aca="false">LN(Precios!C122/Precios!C121)</f>
        <v>0.00659038112003549</v>
      </c>
      <c r="D121" s="7" t="n">
        <f aca="false">LN(Precios!D122/Precios!D121)</f>
        <v>0.0199518921669696</v>
      </c>
      <c r="E121" s="7" t="n">
        <f aca="false">LN(Precios!E122/Precios!E121)</f>
        <v>0.00199866822029904</v>
      </c>
      <c r="F121" s="7" t="n">
        <f aca="false">LN(Precios!F122/Precios!F121)</f>
        <v>0.0560426775528949</v>
      </c>
      <c r="G121" s="7" t="n">
        <f aca="false">LN(Precios!G122/Precios!G121)</f>
        <v>0.0356933868062628</v>
      </c>
      <c r="H121" s="7" t="n">
        <f aca="false">LN(Precios!H122/Precios!H121)</f>
        <v>0.000961076479550532</v>
      </c>
      <c r="I121" s="7" t="n">
        <f aca="false">LN(Precios!I122/Precios!I121)</f>
        <v>0.0051679701584426</v>
      </c>
      <c r="J121" s="7" t="n">
        <f aca="false">LN(Precios!J122/Precios!J121)</f>
        <v>0.0224489664171322</v>
      </c>
    </row>
    <row r="122" customFormat="false" ht="15" hidden="false" customHeight="false" outlineLevel="0" collapsed="false">
      <c r="A122" s="6" t="n">
        <f aca="false">Precios!A123</f>
        <v>46113</v>
      </c>
      <c r="B122" s="7" t="n">
        <f aca="false">LN(Precios!B123/Precios!B122)</f>
        <v>0.0133585187679554</v>
      </c>
      <c r="C122" s="7" t="n">
        <f aca="false">LN(Precios!C123/Precios!C122)</f>
        <v>0.00293432505357235</v>
      </c>
      <c r="D122" s="7" t="n">
        <f aca="false">LN(Precios!D123/Precios!D122)</f>
        <v>0.000877577941358942</v>
      </c>
      <c r="E122" s="7" t="n">
        <f aca="false">LN(Precios!E123/Precios!E122)</f>
        <v>-0.0144128521415638</v>
      </c>
      <c r="F122" s="7" t="n">
        <f aca="false">LN(Precios!F123/Precios!F122)</f>
        <v>0.0106486969457773</v>
      </c>
      <c r="G122" s="7" t="n">
        <f aca="false">LN(Precios!G123/Precios!G122)</f>
        <v>0.0141860520859359</v>
      </c>
      <c r="H122" s="7" t="n">
        <f aca="false">LN(Precios!H123/Precios!H122)</f>
        <v>0.00670179626601863</v>
      </c>
      <c r="I122" s="7" t="n">
        <f aca="false">LN(Precios!I123/Precios!I122)</f>
        <v>0.0165293019512105</v>
      </c>
      <c r="J122" s="7" t="n">
        <f aca="false">LN(Precios!J123/Precios!J122)</f>
        <v>0.015780507950357</v>
      </c>
    </row>
    <row r="123" customFormat="false" ht="15" hidden="false" customHeight="false" outlineLevel="0" collapsed="false">
      <c r="A123" s="6" t="n">
        <f aca="false">Precios!A124</f>
        <v>46118</v>
      </c>
      <c r="B123" s="7" t="n">
        <f aca="false">LN(Precios!B124/Precios!B123)</f>
        <v>-0.00416139122040979</v>
      </c>
      <c r="C123" s="7" t="n">
        <f aca="false">LN(Precios!C124/Precios!C123)</f>
        <v>-0.00917675905805846</v>
      </c>
      <c r="D123" s="7" t="n">
        <f aca="false">LN(Precios!D124/Precios!D123)</f>
        <v>-0.0132452267500207</v>
      </c>
      <c r="E123" s="7" t="n">
        <f aca="false">LN(Precios!E124/Precios!E123)</f>
        <v>-0.0130831872120189</v>
      </c>
      <c r="F123" s="7" t="n">
        <f aca="false">LN(Precios!F124/Precios!F123)</f>
        <v>-0.0258487934687562</v>
      </c>
      <c r="G123" s="7" t="n">
        <f aca="false">LN(Precios!G124/Precios!G123)</f>
        <v>-0.0096185735704953</v>
      </c>
      <c r="H123" s="7" t="n">
        <f aca="false">LN(Precios!H124/Precios!H123)</f>
        <v>-0.0115164420615592</v>
      </c>
      <c r="I123" s="7" t="n">
        <f aca="false">LN(Precios!I124/Precios!I123)</f>
        <v>-0.0112169768884581</v>
      </c>
      <c r="J123" s="7" t="n">
        <f aca="false">LN(Precios!J124/Precios!J123)</f>
        <v>-0.0103165809893135</v>
      </c>
    </row>
    <row r="124" customFormat="false" ht="15" hidden="false" customHeight="false" outlineLevel="0" collapsed="false">
      <c r="A124" s="6" t="n">
        <f aca="false">Precios!A125</f>
        <v>46119</v>
      </c>
      <c r="B124" s="7" t="n">
        <f aca="false">LN(Precios!B125/Precios!B124)</f>
        <v>-0.0168209292535875</v>
      </c>
      <c r="C124" s="7" t="n">
        <f aca="false">LN(Precios!C125/Precios!C124)</f>
        <v>0.00208514410909225</v>
      </c>
      <c r="D124" s="7" t="n">
        <f aca="false">LN(Precios!D125/Precios!D124)</f>
        <v>0.0128065340472185</v>
      </c>
      <c r="E124" s="7" t="n">
        <f aca="false">LN(Precios!E125/Precios!E124)</f>
        <v>0.00222089439538781</v>
      </c>
      <c r="F124" s="7" t="n">
        <f aca="false">LN(Precios!F125/Precios!F124)</f>
        <v>-0.0079365495957363</v>
      </c>
      <c r="G124" s="7" t="n">
        <f aca="false">LN(Precios!G125/Precios!G124)</f>
        <v>-0.00875169050316065</v>
      </c>
      <c r="H124" s="7" t="n">
        <f aca="false">LN(Precios!H125/Precios!H124)</f>
        <v>-0.00193236775105392</v>
      </c>
      <c r="I124" s="7" t="n">
        <f aca="false">LN(Precios!I125/Precios!I124)</f>
        <v>-0.00978968745894045</v>
      </c>
      <c r="J124" s="7" t="n">
        <f aca="false">LN(Precios!J125/Precios!J124)</f>
        <v>-0.00665249404944275</v>
      </c>
    </row>
    <row r="125" customFormat="false" ht="15" hidden="false" customHeight="false" outlineLevel="0" collapsed="false">
      <c r="A125" s="6" t="n">
        <f aca="false">Precios!A126</f>
        <v>46120</v>
      </c>
      <c r="B125" s="7" t="n">
        <f aca="false">LN(Precios!B126/Precios!B125)</f>
        <v>0.0249838502036873</v>
      </c>
      <c r="C125" s="7" t="n">
        <f aca="false">LN(Precios!C126/Precios!C125)</f>
        <v>-0.00522103518064564</v>
      </c>
      <c r="D125" s="7" t="n">
        <f aca="false">LN(Precios!D126/Precios!D125)</f>
        <v>0.00437829070688249</v>
      </c>
      <c r="E125" s="7" t="n">
        <f aca="false">LN(Precios!E126/Precios!E125)</f>
        <v>0.01271742447271</v>
      </c>
      <c r="F125" s="7" t="n">
        <f aca="false">LN(Precios!F126/Precios!F125)</f>
        <v>0.0250812262161697</v>
      </c>
      <c r="G125" s="7" t="n">
        <f aca="false">LN(Precios!G126/Precios!G125)</f>
        <v>0.0143447138222288</v>
      </c>
      <c r="H125" s="7" t="n">
        <f aca="false">LN(Precios!H126/Precios!H125)</f>
        <v>0</v>
      </c>
      <c r="I125" s="7" t="n">
        <f aca="false">LN(Precios!I126/Precios!I125)</f>
        <v>0.0204995220831269</v>
      </c>
      <c r="J125" s="7" t="n">
        <f aca="false">LN(Precios!J126/Precios!J125)</f>
        <v>0.0243980108540857</v>
      </c>
    </row>
    <row r="126" customFormat="false" ht="15" hidden="false" customHeight="false" outlineLevel="0" collapsed="false">
      <c r="A126" s="6" t="n">
        <f aca="false">Precios!A127</f>
        <v>46121</v>
      </c>
      <c r="B126" s="7" t="n">
        <f aca="false">LN(Precios!B127/Precios!B126)</f>
        <v>0.0112514778428819</v>
      </c>
      <c r="C126" s="7" t="n">
        <f aca="false">LN(Precios!C127/Precios!C126)</f>
        <v>-0.0249107484025927</v>
      </c>
      <c r="D126" s="7" t="n">
        <f aca="false">LN(Precios!D127/Precios!D126)</f>
        <v>0.0288502248189106</v>
      </c>
      <c r="E126" s="7" t="n">
        <f aca="false">LN(Precios!E127/Precios!E126)</f>
        <v>-0.029061874340609</v>
      </c>
      <c r="F126" s="7" t="n">
        <f aca="false">LN(Precios!F127/Precios!F126)</f>
        <v>0.00290979836734366</v>
      </c>
      <c r="G126" s="7" t="n">
        <f aca="false">LN(Precios!G127/Precios!G126)</f>
        <v>-0.00219352996871404</v>
      </c>
      <c r="H126" s="7" t="n">
        <f aca="false">LN(Precios!H127/Precios!H126)</f>
        <v>-0.0264591623498121</v>
      </c>
      <c r="I126" s="7" t="n">
        <f aca="false">LN(Precios!I127/Precios!I126)</f>
        <v>-0.0101972331605914</v>
      </c>
      <c r="J126" s="7" t="n">
        <f aca="false">LN(Precios!J127/Precios!J126)</f>
        <v>0.00131539315495189</v>
      </c>
    </row>
    <row r="127" customFormat="false" ht="15" hidden="false" customHeight="false" outlineLevel="0" collapsed="false">
      <c r="A127" s="6" t="n">
        <f aca="false">Precios!A128</f>
        <v>46122</v>
      </c>
      <c r="B127" s="7" t="n">
        <f aca="false">LN(Precios!B128/Precios!B127)</f>
        <v>0.00613944517770756</v>
      </c>
      <c r="C127" s="7" t="n">
        <f aca="false">LN(Precios!C128/Precios!C127)</f>
        <v>-0.00790233997342148</v>
      </c>
      <c r="D127" s="7" t="n">
        <f aca="false">LN(Precios!D128/Precios!D127)</f>
        <v>0.000848536325838864</v>
      </c>
      <c r="E127" s="7" t="n">
        <f aca="false">LN(Precios!E128/Precios!E127)</f>
        <v>0.0044998345226304</v>
      </c>
      <c r="F127" s="7" t="n">
        <f aca="false">LN(Precios!F128/Precios!F127)</f>
        <v>-0.00096899232388134</v>
      </c>
      <c r="G127" s="7" t="n">
        <f aca="false">LN(Precios!G128/Precios!G127)</f>
        <v>-0.00711212053271672</v>
      </c>
      <c r="H127" s="7" t="n">
        <f aca="false">LN(Precios!H128/Precios!H127)</f>
        <v>0.0293563155109649</v>
      </c>
      <c r="I127" s="7" t="n">
        <f aca="false">LN(Precios!I128/Precios!I127)</f>
        <v>-0.0132406714705655</v>
      </c>
      <c r="J127" s="7" t="n">
        <f aca="false">LN(Precios!J128/Precios!J127)</f>
        <v>-0.00414429857223543</v>
      </c>
    </row>
    <row r="128" customFormat="false" ht="15" hidden="false" customHeight="false" outlineLevel="0" collapsed="false">
      <c r="A128" s="6" t="n">
        <f aca="false">Precios!A129</f>
        <v>46125</v>
      </c>
      <c r="B128" s="7" t="n">
        <f aca="false">LN(Precios!B129/Precios!B128)</f>
        <v>-0.00764490274468809</v>
      </c>
      <c r="C128" s="7" t="n">
        <f aca="false">LN(Precios!C129/Precios!C128)</f>
        <v>-0.0123368763526999</v>
      </c>
      <c r="D128" s="7" t="n">
        <f aca="false">LN(Precios!D129/Precios!D128)</f>
        <v>-0.0218658229235625</v>
      </c>
      <c r="E128" s="7" t="n">
        <f aca="false">LN(Precios!E129/Precios!E128)</f>
        <v>-0.00989162078247459</v>
      </c>
      <c r="F128" s="7" t="n">
        <f aca="false">LN(Precios!F129/Precios!F128)</f>
        <v>-0.00291262341829461</v>
      </c>
      <c r="G128" s="7" t="n">
        <f aca="false">LN(Precios!G129/Precios!G128)</f>
        <v>-0.0131038276830857</v>
      </c>
      <c r="H128" s="7" t="n">
        <f aca="false">LN(Precios!H129/Precios!H128)</f>
        <v>-0.0224290240783988</v>
      </c>
      <c r="I128" s="7" t="n">
        <f aca="false">LN(Precios!I129/Precios!I128)</f>
        <v>0.0101611138614107</v>
      </c>
      <c r="J128" s="7" t="n">
        <f aca="false">LN(Precios!J129/Precios!J128)</f>
        <v>-0.00613473546530702</v>
      </c>
    </row>
    <row r="129" customFormat="false" ht="15" hidden="false" customHeight="false" outlineLevel="0" collapsed="false">
      <c r="A129" s="6" t="n">
        <f aca="false">Precios!A130</f>
        <v>46126</v>
      </c>
      <c r="B129" s="7" t="n">
        <f aca="false">LN(Precios!B130/Precios!B129)</f>
        <v>-0.0217989689432831</v>
      </c>
      <c r="C129" s="7" t="n">
        <f aca="false">LN(Precios!C130/Precios!C129)</f>
        <v>-0.0093535757596186</v>
      </c>
      <c r="D129" s="7" t="n">
        <f aca="false">LN(Precios!D130/Precios!D129)</f>
        <v>-0.0161681476983054</v>
      </c>
      <c r="E129" s="7" t="n">
        <f aca="false">LN(Precios!E130/Precios!E129)</f>
        <v>0.000871611665047468</v>
      </c>
      <c r="F129" s="7" t="n">
        <f aca="false">LN(Precios!F130/Precios!F129)</f>
        <v>-0.00829880281469518</v>
      </c>
      <c r="G129" s="7" t="n">
        <f aca="false">LN(Precios!G130/Precios!G129)</f>
        <v>-0.00290705292067013</v>
      </c>
      <c r="H129" s="7" t="n">
        <f aca="false">LN(Precios!H130/Precios!H129)</f>
        <v>-0.00395257431582347</v>
      </c>
      <c r="I129" s="7" t="n">
        <f aca="false">LN(Precios!I130/Precios!I129)</f>
        <v>-0.0197272360326207</v>
      </c>
      <c r="J129" s="7" t="n">
        <f aca="false">LN(Precios!J130/Precios!J129)</f>
        <v>-0.00943685492763167</v>
      </c>
    </row>
    <row r="130" customFormat="false" ht="15" hidden="false" customHeight="false" outlineLevel="0" collapsed="false">
      <c r="A130" s="6" t="n">
        <f aca="false">Precios!A131</f>
        <v>46127</v>
      </c>
      <c r="B130" s="7" t="n">
        <f aca="false">LN(Precios!B131/Precios!B130)</f>
        <v>-0.0101076909383614</v>
      </c>
      <c r="C130" s="7" t="n">
        <f aca="false">LN(Precios!C131/Precios!C130)</f>
        <v>-0.011490118998606</v>
      </c>
      <c r="D130" s="7" t="n">
        <f aca="false">LN(Precios!D131/Precios!D130)</f>
        <v>0.00307895558829126</v>
      </c>
      <c r="E130" s="7" t="n">
        <f aca="false">LN(Precios!E131/Precios!E130)</f>
        <v>0.00971049766548945</v>
      </c>
      <c r="F130" s="7" t="n">
        <f aca="false">LN(Precios!F131/Precios!F130)</f>
        <v>0.00829880281469528</v>
      </c>
      <c r="G130" s="7" t="n">
        <f aca="false">LN(Precios!G131/Precios!G130)</f>
        <v>0.0118302514508554</v>
      </c>
      <c r="H130" s="7" t="n">
        <f aca="false">LN(Precios!H131/Precios!H130)</f>
        <v>0.0642290673210835</v>
      </c>
      <c r="I130" s="7" t="n">
        <f aca="false">LN(Precios!I131/Precios!I130)</f>
        <v>0.00505535810369869</v>
      </c>
      <c r="J130" s="7" t="n">
        <f aca="false">LN(Precios!J131/Precios!J130)</f>
        <v>0.0100054112236988</v>
      </c>
    </row>
    <row r="131" customFormat="false" ht="15" hidden="false" customHeight="false" outlineLevel="0" collapsed="false">
      <c r="A131" s="6" t="n">
        <f aca="false">Precios!A132</f>
        <v>46128</v>
      </c>
      <c r="B131" s="7" t="n">
        <f aca="false">LN(Precios!B132/Precios!B131)</f>
        <v>-0.00677935632286163</v>
      </c>
      <c r="C131" s="7" t="n">
        <f aca="false">LN(Precios!C132/Precios!C131)</f>
        <v>-0.0144562735332765</v>
      </c>
      <c r="D131" s="7" t="n">
        <f aca="false">LN(Precios!D132/Precios!D131)</f>
        <v>-0.00926545344579012</v>
      </c>
      <c r="E131" s="7" t="n">
        <f aca="false">LN(Precios!E132/Precios!E131)</f>
        <v>-0.00918789509284288</v>
      </c>
      <c r="F131" s="7" t="n">
        <f aca="false">LN(Precios!F132/Precios!F131)</f>
        <v>-0.0181510992577068</v>
      </c>
      <c r="G131" s="7" t="n">
        <f aca="false">LN(Precios!G132/Precios!G131)</f>
        <v>-0.00566917898204844</v>
      </c>
      <c r="H131" s="7" t="n">
        <f aca="false">LN(Precios!H132/Precios!H131)</f>
        <v>0.011080445776572</v>
      </c>
      <c r="I131" s="7" t="n">
        <f aca="false">LN(Precios!I132/Precios!I131)</f>
        <v>-0.0143610173894505</v>
      </c>
      <c r="J131" s="7" t="n">
        <f aca="false">LN(Precios!J132/Precios!J131)</f>
        <v>-0.0077804912120187</v>
      </c>
    </row>
    <row r="132" customFormat="false" ht="15" hidden="false" customHeight="false" outlineLevel="0" collapsed="false">
      <c r="A132" s="6" t="n">
        <f aca="false">Precios!A133</f>
        <v>46129</v>
      </c>
      <c r="B132" s="7" t="n">
        <f aca="false">LN(Precios!B133/Precios!B132)</f>
        <v>-0.0022536876914367</v>
      </c>
      <c r="C132" s="7" t="n">
        <f aca="false">LN(Precios!C133/Precios!C132)</f>
        <v>-0.0110288244725537</v>
      </c>
      <c r="D132" s="7" t="n">
        <f aca="false">LN(Precios!D133/Precios!D132)</f>
        <v>0.00794706169253172</v>
      </c>
      <c r="E132" s="7" t="n">
        <f aca="false">LN(Precios!E133/Precios!E132)</f>
        <v>0.000348250047050689</v>
      </c>
      <c r="F132" s="7" t="n">
        <f aca="false">LN(Precios!F133/Precios!F132)</f>
        <v>0.0287894974627625</v>
      </c>
      <c r="G132" s="7" t="n">
        <f aca="false">LN(Precios!G133/Precios!G132)</f>
        <v>-0.00964022665618109</v>
      </c>
      <c r="H132" s="7" t="n">
        <f aca="false">LN(Precios!H133/Precios!H132)</f>
        <v>0.0404913613547368</v>
      </c>
      <c r="I132" s="7" t="n">
        <f aca="false">LN(Precios!I133/Precios!I132)</f>
        <v>-0.00814740603210206</v>
      </c>
      <c r="J132" s="7" t="n">
        <f aca="false">LN(Precios!J133/Precios!J132)</f>
        <v>0.0105229152556701</v>
      </c>
    </row>
    <row r="133" customFormat="false" ht="15" hidden="false" customHeight="false" outlineLevel="0" collapsed="false">
      <c r="A133" s="6" t="n">
        <f aca="false">Precios!A134</f>
        <v>46132</v>
      </c>
      <c r="B133" s="7" t="n">
        <f aca="false">LN(Precios!B134/Precios!B133)</f>
        <v>0.0202949141709082</v>
      </c>
      <c r="C133" s="7" t="n">
        <f aca="false">LN(Precios!C134/Precios!C133)</f>
        <v>0.0219373396398957</v>
      </c>
      <c r="D133" s="7" t="n">
        <f aca="false">LN(Precios!D134/Precios!D133)</f>
        <v>0.00131839175325823</v>
      </c>
      <c r="E133" s="7" t="n">
        <f aca="false">LN(Precios!E134/Precios!E133)</f>
        <v>0.00451624877408518</v>
      </c>
      <c r="F133" s="7" t="n">
        <f aca="false">LN(Precios!F134/Precios!F133)</f>
        <v>-0.00144404357223358</v>
      </c>
      <c r="G133" s="7" t="n">
        <f aca="false">LN(Precios!G134/Precios!G133)</f>
        <v>0.0258033136018007</v>
      </c>
      <c r="H133" s="7" t="n">
        <f aca="false">LN(Precios!H134/Precios!H133)</f>
        <v>0.00702990592825815</v>
      </c>
      <c r="I133" s="7" t="n">
        <f aca="false">LN(Precios!I134/Precios!I133)</f>
        <v>-0.0105480552488681</v>
      </c>
      <c r="J133" s="7" t="n">
        <f aca="false">LN(Precios!J134/Precios!J133)</f>
        <v>0.00368509612996523</v>
      </c>
    </row>
    <row r="134" customFormat="false" ht="15" hidden="false" customHeight="false" outlineLevel="0" collapsed="false">
      <c r="A134" s="6" t="n">
        <f aca="false">Precios!A135</f>
        <v>46133</v>
      </c>
      <c r="B134" s="7" t="n">
        <f aca="false">LN(Precios!B135/Precios!B134)</f>
        <v>-0.0281241882281489</v>
      </c>
      <c r="C134" s="7" t="n">
        <f aca="false">LN(Precios!C135/Precios!C134)</f>
        <v>-0.0424132336822395</v>
      </c>
      <c r="D134" s="7" t="n">
        <f aca="false">LN(Precios!D135/Precios!D134)</f>
        <v>-0.0208572016095751</v>
      </c>
      <c r="E134" s="7" t="n">
        <f aca="false">LN(Precios!E135/Precios!E134)</f>
        <v>-0.0227880150100407</v>
      </c>
      <c r="F134" s="7" t="n">
        <f aca="false">LN(Precios!F135/Precios!F134)</f>
        <v>-0.00725166339532035</v>
      </c>
      <c r="G134" s="7" t="n">
        <f aca="false">LN(Precios!G135/Precios!G134)</f>
        <v>-0.0202832382508706</v>
      </c>
      <c r="H134" s="7" t="n">
        <f aca="false">LN(Precios!H135/Precios!H134)</f>
        <v>-0.0221345911467548</v>
      </c>
      <c r="I134" s="7" t="n">
        <f aca="false">LN(Precios!I135/Precios!I134)</f>
        <v>-0.00558711014522383</v>
      </c>
      <c r="J134" s="7" t="n">
        <f aca="false">LN(Precios!J135/Precios!J134)</f>
        <v>-0.0183536491562087</v>
      </c>
    </row>
    <row r="135" customFormat="false" ht="15" hidden="false" customHeight="false" outlineLevel="0" collapsed="false">
      <c r="A135" s="6" t="n">
        <f aca="false">Precios!A136</f>
        <v>46134</v>
      </c>
      <c r="B135" s="7" t="n">
        <f aca="false">LN(Precios!B136/Precios!B135)</f>
        <v>0.0134052239406553</v>
      </c>
      <c r="C135" s="7" t="n">
        <f aca="false">LN(Precios!C136/Precios!C135)</f>
        <v>0.0122201113347752</v>
      </c>
      <c r="D135" s="7" t="n">
        <f aca="false">LN(Precios!D136/Precios!D135)</f>
        <v>0.00358102441770602</v>
      </c>
      <c r="E135" s="7" t="n">
        <f aca="false">LN(Precios!E136/Precios!E135)</f>
        <v>-0.0300571533481864</v>
      </c>
      <c r="F135" s="7" t="n">
        <f aca="false">LN(Precios!F136/Precios!F135)</f>
        <v>-0.00828262956686391</v>
      </c>
      <c r="G135" s="7" t="n">
        <f aca="false">LN(Precios!G136/Precios!G135)</f>
        <v>-0.00731554611823735</v>
      </c>
      <c r="H135" s="7" t="n">
        <f aca="false">LN(Precios!H136/Precios!H135)</f>
        <v>-0.037396058347471</v>
      </c>
      <c r="I135" s="7" t="n">
        <f aca="false">LN(Precios!I136/Precios!I135)</f>
        <v>-0.00834850583913441</v>
      </c>
      <c r="J135" s="7" t="n">
        <f aca="false">LN(Precios!J136/Precios!J135)</f>
        <v>0.000403207971631619</v>
      </c>
    </row>
    <row r="136" customFormat="false" ht="15" hidden="false" customHeight="false" outlineLevel="0" collapsed="false">
      <c r="A136" s="6" t="n">
        <f aca="false">Precios!A137</f>
        <v>46135</v>
      </c>
      <c r="B136" s="7" t="n">
        <f aca="false">LN(Precios!B137/Precios!B136)</f>
        <v>0.0383724061504212</v>
      </c>
      <c r="C136" s="7" t="n">
        <f aca="false">LN(Precios!C137/Precios!C136)</f>
        <v>-0.0100756519887415</v>
      </c>
      <c r="D136" s="7" t="n">
        <f aca="false">LN(Precios!D137/Precios!D136)</f>
        <v>0.0181541403738138</v>
      </c>
      <c r="E136" s="7" t="n">
        <f aca="false">LN(Precios!E137/Precios!E136)</f>
        <v>-0.0108387209696716</v>
      </c>
      <c r="F136" s="7" t="n">
        <f aca="false">LN(Precios!F137/Precios!F136)</f>
        <v>0.0644162044595395</v>
      </c>
      <c r="G136" s="7" t="n">
        <f aca="false">LN(Precios!G137/Precios!G136)</f>
        <v>-0.00716257925199956</v>
      </c>
      <c r="H136" s="7" t="n">
        <f aca="false">LN(Precios!H137/Precios!H136)</f>
        <v>-0.0102756625782042</v>
      </c>
      <c r="I136" s="7" t="n">
        <f aca="false">LN(Precios!I137/Precios!I136)</f>
        <v>-0.0124703614928612</v>
      </c>
      <c r="J136" s="7" t="n">
        <f aca="false">LN(Precios!J137/Precios!J136)</f>
        <v>-0.00299356990596152</v>
      </c>
    </row>
    <row r="137" customFormat="false" ht="15" hidden="false" customHeight="false" outlineLevel="0" collapsed="false">
      <c r="A137" s="6" t="n">
        <f aca="false">Precios!A138</f>
        <v>46136</v>
      </c>
      <c r="B137" s="7" t="n">
        <f aca="false">LN(Precios!B138/Precios!B137)</f>
        <v>0.0252145356597727</v>
      </c>
      <c r="C137" s="7" t="n">
        <f aca="false">LN(Precios!C138/Precios!C137)</f>
        <v>0.0259505191727495</v>
      </c>
      <c r="D137" s="7" t="n">
        <f aca="false">LN(Precios!D138/Precios!D137)</f>
        <v>0.0173993080098476</v>
      </c>
      <c r="E137" s="7" t="n">
        <f aca="false">LN(Precios!E138/Precios!E137)</f>
        <v>0.0121169097678147</v>
      </c>
      <c r="F137" s="7" t="n">
        <f aca="false">LN(Precios!F138/Precios!F137)</f>
        <v>-0.0147877001543794</v>
      </c>
      <c r="G137" s="7" t="n">
        <f aca="false">LN(Precios!G138/Precios!G137)</f>
        <v>0.00644348733134238</v>
      </c>
      <c r="H137" s="7" t="n">
        <f aca="false">LN(Precios!H138/Precios!H137)</f>
        <v>0.00468384931242622</v>
      </c>
      <c r="I137" s="7" t="n">
        <f aca="false">LN(Precios!I138/Precios!I137)</f>
        <v>0.000737871274946498</v>
      </c>
      <c r="J137" s="7" t="n">
        <f aca="false">LN(Precios!J138/Precios!J137)</f>
        <v>0.00869572462893684</v>
      </c>
    </row>
    <row r="138" customFormat="false" ht="15" hidden="false" customHeight="false" outlineLevel="0" collapsed="false">
      <c r="A138" s="6" t="n">
        <f aca="false">Precios!A139</f>
        <v>46139</v>
      </c>
      <c r="B138" s="7" t="n">
        <f aca="false">LN(Precios!B139/Precios!B138)</f>
        <v>-0.0109532136526092</v>
      </c>
      <c r="C138" s="7" t="n">
        <f aca="false">LN(Precios!C139/Precios!C138)</f>
        <v>-0.0141412637449178</v>
      </c>
      <c r="D138" s="7" t="n">
        <f aca="false">LN(Precios!D139/Precios!D138)</f>
        <v>-0.0324305370791771</v>
      </c>
      <c r="E138" s="7" t="n">
        <f aca="false">LN(Precios!E139/Precios!E138)</f>
        <v>-0.0212087248772623</v>
      </c>
      <c r="F138" s="7" t="n">
        <f aca="false">LN(Precios!F139/Precios!F138)</f>
        <v>-0.0070077371574048</v>
      </c>
      <c r="G138" s="7" t="n">
        <f aca="false">LN(Precios!G139/Precios!G138)</f>
        <v>-0.0139703208624039</v>
      </c>
      <c r="H138" s="7" t="n">
        <f aca="false">LN(Precios!H139/Precios!H138)</f>
        <v>-0.041990901725237</v>
      </c>
      <c r="I138" s="7" t="n">
        <f aca="false">LN(Precios!I139/Precios!I138)</f>
        <v>-0.0114986430135229</v>
      </c>
      <c r="J138" s="7" t="n">
        <f aca="false">LN(Precios!J139/Precios!J138)</f>
        <v>-0.0180470377131191</v>
      </c>
    </row>
    <row r="139" customFormat="false" ht="15" hidden="false" customHeight="false" outlineLevel="0" collapsed="false">
      <c r="A139" s="6" t="n">
        <f aca="false">Precios!A140</f>
        <v>46140</v>
      </c>
      <c r="B139" s="7" t="n">
        <f aca="false">LN(Precios!B140/Precios!B139)</f>
        <v>-0.0185419692285812</v>
      </c>
      <c r="C139" s="7" t="n">
        <f aca="false">LN(Precios!C140/Precios!C139)</f>
        <v>-0.00986372952234012</v>
      </c>
      <c r="D139" s="7" t="n">
        <f aca="false">LN(Precios!D140/Precios!D139)</f>
        <v>0.0132745312086961</v>
      </c>
      <c r="E139" s="7" t="n">
        <f aca="false">LN(Precios!E140/Precios!E139)</f>
        <v>-0.00186567218294973</v>
      </c>
      <c r="F139" s="7" t="n">
        <f aca="false">LN(Precios!F140/Precios!F139)</f>
        <v>-0.0117898088100977</v>
      </c>
      <c r="G139" s="7" t="n">
        <f aca="false">LN(Precios!G140/Precios!G139)</f>
        <v>0.00239396419303044</v>
      </c>
      <c r="H139" s="7" t="n">
        <f aca="false">LN(Precios!H140/Precios!H139)</f>
        <v>-0.0326923616855423</v>
      </c>
      <c r="I139" s="7" t="n">
        <f aca="false">LN(Precios!I140/Precios!I139)</f>
        <v>-0.00636229691053851</v>
      </c>
      <c r="J139" s="7" t="n">
        <f aca="false">LN(Precios!J140/Precios!J139)</f>
        <v>-0.0106915284229889</v>
      </c>
    </row>
    <row r="140" customFormat="false" ht="15" hidden="false" customHeight="false" outlineLevel="0" collapsed="false">
      <c r="A140" s="6" t="n">
        <f aca="false">Precios!A141</f>
        <v>46141</v>
      </c>
      <c r="B140" s="7" t="n">
        <f aca="false">LN(Precios!B141/Precios!B140)</f>
        <v>-0.0218270197852113</v>
      </c>
      <c r="C140" s="7" t="n">
        <f aca="false">LN(Precios!C141/Precios!C140)</f>
        <v>-0.0135018194338718</v>
      </c>
      <c r="D140" s="7" t="n">
        <f aca="false">LN(Precios!D141/Precios!D140)</f>
        <v>0.0122325684356345</v>
      </c>
      <c r="E140" s="7" t="n">
        <f aca="false">LN(Precios!E141/Precios!E140)</f>
        <v>0.0181352120442126</v>
      </c>
      <c r="F140" s="7" t="n">
        <f aca="false">LN(Precios!F141/Precios!F140)</f>
        <v>0.0103823490422179</v>
      </c>
      <c r="G140" s="7" t="n">
        <f aca="false">LN(Precios!G141/Precios!G140)</f>
        <v>-0.012238006405749</v>
      </c>
      <c r="H140" s="7" t="n">
        <f aca="false">LN(Precios!H141/Precios!H140)</f>
        <v>0.00602411460338088</v>
      </c>
      <c r="I140" s="7" t="n">
        <f aca="false">LN(Precios!I141/Precios!I140)</f>
        <v>0.041550094324608</v>
      </c>
      <c r="J140" s="7" t="n">
        <f aca="false">LN(Precios!J141/Precios!J140)</f>
        <v>-0.00256358968334707</v>
      </c>
    </row>
    <row r="141" customFormat="false" ht="15" hidden="false" customHeight="false" outlineLevel="0" collapsed="false">
      <c r="A141" s="6" t="n">
        <f aca="false">Precios!A142</f>
        <v>46142</v>
      </c>
      <c r="B141" s="7" t="n">
        <f aca="false">LN(Precios!B142/Precios!B141)</f>
        <v>0.0111160169102822</v>
      </c>
      <c r="C141" s="7" t="n">
        <f aca="false">LN(Precios!C142/Precios!C141)</f>
        <v>0.0129185589915565</v>
      </c>
      <c r="D141" s="7" t="n">
        <f aca="false">LN(Precios!D142/Precios!D141)</f>
        <v>0.0077855064537518</v>
      </c>
      <c r="E141" s="7" t="n">
        <f aca="false">LN(Precios!E142/Precios!E141)</f>
        <v>0.086889112653984</v>
      </c>
      <c r="F141" s="7" t="n">
        <f aca="false">LN(Precios!F142/Precios!F141)</f>
        <v>0.00701757265864654</v>
      </c>
      <c r="G141" s="7" t="n">
        <f aca="false">LN(Precios!G142/Precios!G141)</f>
        <v>-0.00189613456157045</v>
      </c>
      <c r="H141" s="7" t="n">
        <f aca="false">LN(Precios!H142/Precios!H141)</f>
        <v>-0.00300752106395522</v>
      </c>
      <c r="I141" s="7" t="n">
        <f aca="false">LN(Precios!I142/Precios!I141)</f>
        <v>-0.00831831197912571</v>
      </c>
      <c r="J141" s="7" t="n">
        <f aca="false">LN(Precios!J142/Precios!J141)</f>
        <v>0.0112783849601243</v>
      </c>
    </row>
    <row r="142" customFormat="false" ht="15" hidden="false" customHeight="false" outlineLevel="0" collapsed="false">
      <c r="A142" s="6" t="n">
        <f aca="false">Precios!A143</f>
        <v>46146</v>
      </c>
      <c r="B142" s="7" t="n">
        <f aca="false">LN(Precios!B143/Precios!B142)</f>
        <v>-0.00391483360675583</v>
      </c>
      <c r="C142" s="7" t="n">
        <f aca="false">LN(Precios!C143/Precios!C142)</f>
        <v>-0.00957506094123023</v>
      </c>
      <c r="D142" s="7" t="n">
        <f aca="false">LN(Precios!D143/Precios!D142)</f>
        <v>0.00215192680417267</v>
      </c>
      <c r="E142" s="7" t="n">
        <f aca="false">LN(Precios!E143/Precios!E142)</f>
        <v>-0.0161006782888247</v>
      </c>
      <c r="F142" s="7" t="n">
        <f aca="false">LN(Precios!F143/Precios!F142)</f>
        <v>-0.032215007486005</v>
      </c>
      <c r="G142" s="7" t="n">
        <f aca="false">LN(Precios!G143/Precios!G142)</f>
        <v>-0.000791118418941229</v>
      </c>
      <c r="H142" s="7" t="n">
        <f aca="false">LN(Precios!H143/Precios!H142)</f>
        <v>-0.00503272325461031</v>
      </c>
      <c r="I142" s="7" t="n">
        <f aca="false">LN(Precios!I143/Precios!I142)</f>
        <v>-0.0198062590441945</v>
      </c>
      <c r="J142" s="7" t="n">
        <f aca="false">LN(Precios!J143/Precios!J142)</f>
        <v>-0.00850209081455476</v>
      </c>
    </row>
    <row r="143" customFormat="false" ht="15" hidden="false" customHeight="false" outlineLevel="0" collapsed="false">
      <c r="A143" s="6" t="n">
        <f aca="false">Precios!A144</f>
        <v>46147</v>
      </c>
      <c r="B143" s="7" t="n">
        <f aca="false">LN(Precios!B144/Precios!B143)</f>
        <v>0.0247101132101856</v>
      </c>
      <c r="C143" s="7" t="n">
        <f aca="false">LN(Precios!C144/Precios!C143)</f>
        <v>0.0259704518283173</v>
      </c>
      <c r="D143" s="7" t="n">
        <f aca="false">LN(Precios!D144/Precios!D143)</f>
        <v>0.0178956629252864</v>
      </c>
      <c r="E143" s="7" t="n">
        <f aca="false">LN(Precios!E144/Precios!E143)</f>
        <v>0.00272991126711344</v>
      </c>
      <c r="F143" s="7" t="n">
        <f aca="false">LN(Precios!F144/Precios!F143)</f>
        <v>0.0746580649957582</v>
      </c>
      <c r="G143" s="7" t="n">
        <f aca="false">LN(Precios!G144/Precios!G143)</f>
        <v>-0.00211271403784584</v>
      </c>
      <c r="H143" s="7" t="n">
        <f aca="false">LN(Precios!H144/Precios!H143)</f>
        <v>0.00804024431856554</v>
      </c>
      <c r="I143" s="7" t="n">
        <f aca="false">LN(Precios!I144/Precios!I143)</f>
        <v>0.0266828695661805</v>
      </c>
      <c r="J143" s="7" t="n">
        <f aca="false">LN(Precios!J144/Precios!J143)</f>
        <v>0.0192385397639083</v>
      </c>
    </row>
    <row r="144" customFormat="false" ht="15" hidden="false" customHeight="false" outlineLevel="0" collapsed="false">
      <c r="A144" s="6" t="n">
        <f aca="false">Precios!A145</f>
        <v>46148</v>
      </c>
      <c r="B144" s="7" t="n">
        <f aca="false">LN(Precios!B145/Precios!B144)</f>
        <v>0.0177617990451013</v>
      </c>
      <c r="C144" s="7" t="n">
        <f aca="false">LN(Precios!C145/Precios!C144)</f>
        <v>0.00553278145152465</v>
      </c>
      <c r="D144" s="7" t="n">
        <f aca="false">LN(Precios!D145/Precios!D144)</f>
        <v>-0.0114675285129855</v>
      </c>
      <c r="E144" s="7" t="n">
        <f aca="false">LN(Precios!E145/Precios!E144)</f>
        <v>0.0163924245163592</v>
      </c>
      <c r="F144" s="7" t="n">
        <f aca="false">LN(Precios!F145/Precios!F144)</f>
        <v>0.0441408777123086</v>
      </c>
      <c r="G144" s="7" t="n">
        <f aca="false">LN(Precios!G145/Precios!G144)</f>
        <v>0.0219639640440477</v>
      </c>
      <c r="H144" s="7" t="n">
        <f aca="false">LN(Precios!H145/Precios!H144)</f>
        <v>-0.00703167136368079</v>
      </c>
      <c r="I144" s="7" t="n">
        <f aca="false">LN(Precios!I145/Precios!I144)</f>
        <v>0.00879797397743758</v>
      </c>
      <c r="J144" s="7" t="n">
        <f aca="false">LN(Precios!J145/Precios!J144)</f>
        <v>0.0182698959055579</v>
      </c>
    </row>
    <row r="145" customFormat="false" ht="15" hidden="false" customHeight="false" outlineLevel="0" collapsed="false">
      <c r="A145" s="6" t="n">
        <f aca="false">Precios!A146</f>
        <v>46149</v>
      </c>
      <c r="B145" s="7" t="n">
        <f aca="false">LN(Precios!B146/Precios!B145)</f>
        <v>0.00206095930423513</v>
      </c>
      <c r="C145" s="7" t="n">
        <f aca="false">LN(Precios!C146/Precios!C145)</f>
        <v>0.0151060274310131</v>
      </c>
      <c r="D145" s="7" t="n">
        <f aca="false">LN(Precios!D146/Precios!D145)</f>
        <v>-0.0103049430585345</v>
      </c>
      <c r="E145" s="7" t="n">
        <f aca="false">LN(Precios!E146/Precios!E145)</f>
        <v>0.0105044734147117</v>
      </c>
      <c r="F145" s="7" t="n">
        <f aca="false">LN(Precios!F146/Precios!F145)</f>
        <v>-0.0237951958082783</v>
      </c>
      <c r="G145" s="7" t="n">
        <f aca="false">LN(Precios!G146/Precios!G145)</f>
        <v>0.00783145844030741</v>
      </c>
      <c r="H145" s="7" t="n">
        <f aca="false">LN(Precios!H146/Precios!H145)</f>
        <v>-0.00302877566216059</v>
      </c>
      <c r="I145" s="7" t="n">
        <f aca="false">LN(Precios!I146/Precios!I145)</f>
        <v>0.01208259190994</v>
      </c>
      <c r="J145" s="7" t="n">
        <f aca="false">LN(Precios!J146/Precios!J145)</f>
        <v>0.00234810296550362</v>
      </c>
    </row>
    <row r="146" customFormat="false" ht="15" hidden="false" customHeight="false" outlineLevel="0" collapsed="false">
      <c r="A146" s="6" t="n">
        <f aca="false">Precios!A147</f>
        <v>46150</v>
      </c>
      <c r="B146" s="7" t="n">
        <f aca="false">LN(Precios!B147/Precios!B146)</f>
        <v>0.0128195227740376</v>
      </c>
      <c r="C146" s="7" t="n">
        <f aca="false">LN(Precios!C147/Precios!C146)</f>
        <v>0.0029940142126047</v>
      </c>
      <c r="D146" s="7" t="n">
        <f aca="false">LN(Precios!D147/Precios!D146)</f>
        <v>0.00987768391937084</v>
      </c>
      <c r="E146" s="7" t="n">
        <f aca="false">LN(Precios!E147/Precios!E146)</f>
        <v>-0.0294559712375744</v>
      </c>
      <c r="F146" s="7" t="n">
        <f aca="false">LN(Precios!F147/Precios!F146)</f>
        <v>-0.0110060543078976</v>
      </c>
      <c r="G146" s="7" t="n">
        <f aca="false">LN(Precios!G147/Precios!G146)</f>
        <v>-0.00953984287983261</v>
      </c>
      <c r="H146" s="7" t="n">
        <f aca="false">LN(Precios!H147/Precios!H146)</f>
        <v>0.0020202027072758</v>
      </c>
      <c r="I146" s="7" t="n">
        <f aca="false">LN(Precios!I147/Precios!I146)</f>
        <v>0.00703980380077249</v>
      </c>
      <c r="J146" s="7" t="n">
        <f aca="false">LN(Precios!J147/Precios!J146)</f>
        <v>-0.00234309261591077</v>
      </c>
    </row>
    <row r="147" customFormat="false" ht="15" hidden="false" customHeight="false" outlineLevel="0" collapsed="false">
      <c r="A147" s="6" t="n">
        <f aca="false">Precios!A148</f>
        <v>46153</v>
      </c>
      <c r="B147" s="7" t="n">
        <f aca="false">LN(Precios!B148/Precios!B147)</f>
        <v>-0.00985006034855624</v>
      </c>
      <c r="C147" s="7" t="n">
        <f aca="false">LN(Precios!C148/Precios!C147)</f>
        <v>0.00298507684345328</v>
      </c>
      <c r="D147" s="7" t="n">
        <f aca="false">LN(Precios!D148/Precios!D147)</f>
        <v>0.011472401162237</v>
      </c>
      <c r="E147" s="7" t="n">
        <f aca="false">LN(Precios!E148/Precios!E147)</f>
        <v>0.0132362360059916</v>
      </c>
      <c r="F147" s="7" t="n">
        <f aca="false">LN(Precios!F148/Precios!F147)</f>
        <v>0.0105681300617922</v>
      </c>
      <c r="G147" s="7" t="n">
        <f aca="false">LN(Precios!G148/Precios!G147)</f>
        <v>-0.00441387189403254</v>
      </c>
      <c r="H147" s="7" t="n">
        <f aca="false">LN(Precios!H148/Precios!H147)</f>
        <v>-0.00505817972735264</v>
      </c>
      <c r="I147" s="7" t="n">
        <f aca="false">LN(Precios!I148/Precios!I147)</f>
        <v>0.00385087120372421</v>
      </c>
      <c r="J147" s="7" t="n">
        <f aca="false">LN(Precios!J148/Precios!J147)</f>
        <v>0.00557766980648821</v>
      </c>
    </row>
    <row r="148" customFormat="false" ht="15" hidden="false" customHeight="false" outlineLevel="0" collapsed="false">
      <c r="A148" s="6" t="n">
        <f aca="false">Precios!A149</f>
        <v>46154</v>
      </c>
      <c r="B148" s="7" t="n">
        <f aca="false">LN(Precios!B149/Precios!B148)</f>
        <v>-0.0177647453312143</v>
      </c>
      <c r="C148" s="7" t="n">
        <f aca="false">LN(Precios!C149/Precios!C148)</f>
        <v>-0.0135035810346735</v>
      </c>
      <c r="D148" s="7" t="n">
        <f aca="false">LN(Precios!D149/Precios!D148)</f>
        <v>-0.0131832655658663</v>
      </c>
      <c r="E148" s="7" t="n">
        <f aca="false">LN(Precios!E149/Precios!E148)</f>
        <v>-0.00812462153649452</v>
      </c>
      <c r="F148" s="7" t="n">
        <f aca="false">LN(Precios!F149/Precios!F148)</f>
        <v>-0.00482986668875354</v>
      </c>
      <c r="G148" s="7" t="n">
        <f aca="false">LN(Precios!G149/Precios!G148)</f>
        <v>-0.000260247236342016</v>
      </c>
      <c r="H148" s="7" t="n">
        <f aca="false">LN(Precios!H149/Precios!H148)</f>
        <v>0.00404858852600033</v>
      </c>
      <c r="I148" s="7" t="n">
        <f aca="false">LN(Precios!I149/Precios!I148)</f>
        <v>-0.0270932906555261</v>
      </c>
      <c r="J148" s="7" t="n">
        <f aca="false">LN(Precios!J149/Precios!J148)</f>
        <v>-0.00298881854303785</v>
      </c>
    </row>
    <row r="149" customFormat="false" ht="15" hidden="false" customHeight="false" outlineLevel="0" collapsed="false">
      <c r="A149" s="6" t="n">
        <f aca="false">Precios!A150</f>
        <v>46155</v>
      </c>
      <c r="B149" s="7" t="n">
        <f aca="false">LN(Precios!B150/Precios!B149)</f>
        <v>0.011495706107088</v>
      </c>
      <c r="C149" s="7" t="n">
        <f aca="false">LN(Precios!C150/Precios!C149)</f>
        <v>0.00527308189815804</v>
      </c>
      <c r="D149" s="7" t="n">
        <f aca="false">LN(Precios!D150/Precios!D149)</f>
        <v>0.000855798083896021</v>
      </c>
      <c r="E149" s="7" t="n">
        <f aca="false">LN(Precios!E150/Precios!E149)</f>
        <v>-0.00682130885073808</v>
      </c>
      <c r="F149" s="7" t="n">
        <f aca="false">LN(Precios!F150/Precios!F149)</f>
        <v>0.00263736416608567</v>
      </c>
      <c r="G149" s="7" t="n">
        <f aca="false">LN(Precios!G150/Precios!G149)</f>
        <v>0.00565809082995174</v>
      </c>
      <c r="H149" s="7" t="n">
        <f aca="false">LN(Precios!H150/Precios!H149)</f>
        <v>-0.00506330195654676</v>
      </c>
      <c r="I149" s="7" t="n">
        <f aca="false">LN(Precios!I150/Precios!I149)</f>
        <v>-0.00125729697748199</v>
      </c>
      <c r="J149" s="7" t="n">
        <f aca="false">LN(Precios!J150/Precios!J149)</f>
        <v>0.0021507008762392</v>
      </c>
    </row>
    <row r="150" customFormat="false" ht="15" hidden="false" customHeight="false" outlineLevel="0" collapsed="false">
      <c r="A150" s="6" t="n">
        <f aca="false">Precios!A151</f>
        <v>46156</v>
      </c>
      <c r="B150" s="7" t="n">
        <f aca="false">LN(Precios!B151/Precios!B150)</f>
        <v>-0.0120530679422322</v>
      </c>
      <c r="C150" s="7" t="n">
        <f aca="false">LN(Precios!C151/Precios!C150)</f>
        <v>-0.0180048453268717</v>
      </c>
      <c r="D150" s="7" t="n">
        <f aca="false">LN(Precios!D151/Precios!D150)</f>
        <v>0.000427624552165458</v>
      </c>
      <c r="E150" s="7" t="n">
        <f aca="false">LN(Precios!E151/Precios!E150)</f>
        <v>0.0100452023700994</v>
      </c>
      <c r="F150" s="7" t="n">
        <f aca="false">LN(Precios!F151/Precios!F150)</f>
        <v>-0.00528170241917589</v>
      </c>
      <c r="G150" s="7" t="n">
        <f aca="false">LN(Precios!G151/Precios!G150)</f>
        <v>-0.038626655984201</v>
      </c>
      <c r="H150" s="7" t="n">
        <f aca="false">LN(Precios!H151/Precios!H150)</f>
        <v>-0.00508906950747118</v>
      </c>
      <c r="I150" s="7" t="n">
        <f aca="false">LN(Precios!I151/Precios!I150)</f>
        <v>-0.0201513581172719</v>
      </c>
      <c r="J150" s="7" t="n">
        <f aca="false">LN(Precios!J151/Precios!J150)</f>
        <v>-0.01406967395695</v>
      </c>
    </row>
    <row r="151" customFormat="false" ht="15" hidden="false" customHeight="false" outlineLevel="0" collapsed="false">
      <c r="A151" s="6" t="n">
        <f aca="false">Precios!A152</f>
        <v>46157</v>
      </c>
      <c r="B151" s="7" t="n">
        <f aca="false">LN(Precios!B152/Precios!B151)</f>
        <v>0.00532865056247195</v>
      </c>
      <c r="C151" s="7" t="n">
        <f aca="false">LN(Precios!C152/Precios!C151)</f>
        <v>-0.00517688817953368</v>
      </c>
      <c r="D151" s="7" t="n">
        <f aca="false">LN(Precios!D152/Precios!D151)</f>
        <v>-0.0107458588305571</v>
      </c>
      <c r="E151" s="7" t="n">
        <f aca="false">LN(Precios!E152/Precios!E151)</f>
        <v>0.00388875289282109</v>
      </c>
      <c r="F151" s="7" t="n">
        <f aca="false">LN(Precios!F152/Precios!F151)</f>
        <v>-0.0377742751949355</v>
      </c>
      <c r="G151" s="7" t="n">
        <f aca="false">LN(Precios!G152/Precios!G151)</f>
        <v>-0.00886252761084408</v>
      </c>
      <c r="H151" s="7" t="n">
        <f aca="false">LN(Precios!H152/Precios!H151)</f>
        <v>0.0111619626653704</v>
      </c>
      <c r="I151" s="7" t="n">
        <f aca="false">LN(Precios!I152/Precios!I151)</f>
        <v>0.00384369467456294</v>
      </c>
      <c r="J151" s="7" t="n">
        <f aca="false">LN(Precios!J152/Precios!J151)</f>
        <v>-0.0179377889524613</v>
      </c>
    </row>
    <row r="152" customFormat="false" ht="15" hidden="false" customHeight="false" outlineLevel="0" collapsed="false">
      <c r="A152" s="6" t="n">
        <f aca="false">Precios!A153</f>
        <v>46160</v>
      </c>
      <c r="B152" s="7" t="n">
        <f aca="false">LN(Precios!B153/Precios!B152)</f>
        <v>0.0141332137310764</v>
      </c>
      <c r="C152" s="7" t="n">
        <f aca="false">LN(Precios!C153/Precios!C152)</f>
        <v>-0.0213724863312997</v>
      </c>
      <c r="D152" s="7" t="n">
        <f aca="false">LN(Precios!D153/Precios!D152)</f>
        <v>0.00388182501678736</v>
      </c>
      <c r="E152" s="7" t="n">
        <f aca="false">LN(Precios!E153/Precios!E152)</f>
        <v>-0.0214915315989998</v>
      </c>
      <c r="F152" s="7" t="n">
        <f aca="false">LN(Precios!F153/Precios!F152)</f>
        <v>0.00685090599159401</v>
      </c>
      <c r="G152" s="7" t="n">
        <f aca="false">LN(Precios!G153/Precios!G152)</f>
        <v>0.0238674814066435</v>
      </c>
      <c r="H152" s="7" t="n">
        <f aca="false">LN(Precios!H153/Precios!H152)</f>
        <v>-0.0101420747646248</v>
      </c>
      <c r="I152" s="7" t="n">
        <f aca="false">LN(Precios!I153/Precios!I152)</f>
        <v>0.0240062065230482</v>
      </c>
      <c r="J152" s="7" t="n">
        <f aca="false">LN(Precios!J153/Precios!J152)</f>
        <v>0.0062867879192492</v>
      </c>
    </row>
    <row r="153" customFormat="false" ht="15" hidden="false" customHeight="false" outlineLevel="0" collapsed="false">
      <c r="A153" s="6" t="n">
        <f aca="false">Precios!A154</f>
        <v>46161</v>
      </c>
      <c r="B153" s="7" t="n">
        <f aca="false">LN(Precios!B154/Precios!B153)</f>
        <v>-0.00273760265877342</v>
      </c>
      <c r="C153" s="7" t="n">
        <f aca="false">LN(Precios!C154/Precios!C153)</f>
        <v>-0.000785854657339092</v>
      </c>
      <c r="D153" s="7" t="n">
        <f aca="false">LN(Precios!D154/Precios!D153)</f>
        <v>-0.0017233955148774</v>
      </c>
      <c r="E153" s="7" t="n">
        <f aca="false">LN(Precios!E154/Precios!E153)</f>
        <v>0.0305626504101667</v>
      </c>
      <c r="F153" s="7" t="n">
        <f aca="false">LN(Precios!F154/Precios!F153)</f>
        <v>-0.0267543633022045</v>
      </c>
      <c r="G153" s="7" t="n">
        <f aca="false">LN(Precios!G154/Precios!G153)</f>
        <v>0.016974053714095</v>
      </c>
      <c r="H153" s="7" t="n">
        <f aca="false">LN(Precios!H154/Precios!H153)</f>
        <v>0.00508389503727233</v>
      </c>
      <c r="I153" s="7" t="n">
        <f aca="false">LN(Precios!I154/Precios!I153)</f>
        <v>-0.00895742284375123</v>
      </c>
      <c r="J153" s="7" t="n">
        <f aca="false">LN(Precios!J154/Precios!J153)</f>
        <v>0.0021966873374067</v>
      </c>
    </row>
    <row r="154" customFormat="false" ht="15" hidden="false" customHeight="false" outlineLevel="0" collapsed="false">
      <c r="A154" s="6" t="n">
        <f aca="false">Precios!A155</f>
        <v>46162</v>
      </c>
      <c r="B154" s="7" t="n">
        <f aca="false">LN(Precios!B155/Precios!B154)</f>
        <v>0.00660308872435076</v>
      </c>
      <c r="C154" s="7" t="n">
        <f aca="false">LN(Precios!C155/Precios!C154)</f>
        <v>0.0252293606767156</v>
      </c>
      <c r="D154" s="7" t="n">
        <f aca="false">LN(Precios!D155/Precios!D154)</f>
        <v>-0.00302310746326357</v>
      </c>
      <c r="E154" s="7" t="n">
        <f aca="false">LN(Precios!E155/Precios!E154)</f>
        <v>-0.000669120132024208</v>
      </c>
      <c r="F154" s="7" t="n">
        <f aca="false">LN(Precios!F155/Precios!F154)</f>
        <v>0.0221923115943622</v>
      </c>
      <c r="G154" s="7" t="n">
        <f aca="false">LN(Precios!G155/Precios!G154)</f>
        <v>-0.0159675644224012</v>
      </c>
      <c r="H154" s="7" t="n">
        <f aca="false">LN(Precios!H155/Precios!H154)</f>
        <v>-0.00508389503727217</v>
      </c>
      <c r="I154" s="7" t="n">
        <f aca="false">LN(Precios!I155/Precios!I154)</f>
        <v>0.00143859042972385</v>
      </c>
      <c r="J154" s="7" t="n">
        <f aca="false">LN(Precios!J155/Precios!J154)</f>
        <v>0.00492254297684309</v>
      </c>
    </row>
    <row r="155" customFormat="false" ht="15" hidden="false" customHeight="false" outlineLevel="0" collapsed="false">
      <c r="A155" s="6" t="n">
        <f aca="false">Precios!A156</f>
        <v>46163</v>
      </c>
      <c r="B155" s="7" t="n">
        <f aca="false">LN(Precios!B156/Precios!B155)</f>
        <v>0.00827179440157288</v>
      </c>
      <c r="C155" s="7" t="n">
        <f aca="false">LN(Precios!C156/Precios!C155)</f>
        <v>-0.00287880440637018</v>
      </c>
      <c r="D155" s="7" t="n">
        <f aca="false">LN(Precios!D156/Precios!D155)</f>
        <v>-0.0139375078437816</v>
      </c>
      <c r="E155" s="7" t="n">
        <f aca="false">LN(Precios!E156/Precios!E155)</f>
        <v>-0.0307559710388011</v>
      </c>
      <c r="F155" s="7" t="n">
        <f aca="false">LN(Precios!F156/Precios!F155)</f>
        <v>-0.00504241270093462</v>
      </c>
      <c r="G155" s="7" t="n">
        <f aca="false">LN(Precios!G156/Precios!G155)</f>
        <v>-0.0103247324835143</v>
      </c>
      <c r="H155" s="7" t="n">
        <f aca="false">LN(Precios!H156/Precios!H155)</f>
        <v>-0.0133403722887862</v>
      </c>
      <c r="I155" s="7" t="n">
        <f aca="false">LN(Precios!I156/Precios!I155)</f>
        <v>-0.00649001737171217</v>
      </c>
      <c r="J155" s="7" t="n">
        <f aca="false">LN(Precios!J156/Precios!J155)</f>
        <v>-0.00742320077165624</v>
      </c>
    </row>
    <row r="156" customFormat="false" ht="15" hidden="false" customHeight="false" outlineLevel="0" collapsed="false">
      <c r="A156" s="6" t="n">
        <f aca="false">Precios!A157</f>
        <v>46164</v>
      </c>
      <c r="B156" s="7" t="n">
        <f aca="false">LN(Precios!B157/Precios!B156)</f>
        <v>-0.00537113972093547</v>
      </c>
      <c r="C156" s="7" t="n">
        <f aca="false">LN(Precios!C157/Precios!C156)</f>
        <v>-0.00500964438840214</v>
      </c>
      <c r="D156" s="7" t="n">
        <f aca="false">LN(Precios!D157/Precios!D156)</f>
        <v>-0.00263504763800523</v>
      </c>
      <c r="E156" s="7" t="n">
        <f aca="false">LN(Precios!E157/Precios!E156)</f>
        <v>0.00172413835813973</v>
      </c>
      <c r="F156" s="7" t="n">
        <f aca="false">LN(Precios!F157/Precios!F156)</f>
        <v>0.00183654780730133</v>
      </c>
      <c r="G156" s="7" t="n">
        <f aca="false">LN(Precios!G157/Precios!G156)</f>
        <v>0.0202294549403261</v>
      </c>
      <c r="H156" s="7" t="n">
        <f aca="false">LN(Precios!H157/Precios!H156)</f>
        <v>0.00823049913651544</v>
      </c>
      <c r="I156" s="7" t="n">
        <f aca="false">LN(Precios!I157/Precios!I156)</f>
        <v>0.00469145573579735</v>
      </c>
      <c r="J156" s="7" t="n">
        <f aca="false">LN(Precios!J157/Precios!J156)</f>
        <v>-0.000745184204981036</v>
      </c>
    </row>
    <row r="157" customFormat="false" ht="15" hidden="false" customHeight="false" outlineLevel="0" collapsed="false">
      <c r="A157" s="6" t="n">
        <f aca="false">Precios!A158</f>
        <v>46167</v>
      </c>
      <c r="B157" s="7" t="n">
        <f aca="false">LN(Precios!B158/Precios!B157)</f>
        <v>0.00284713784013166</v>
      </c>
      <c r="C157" s="7" t="n">
        <f aca="false">LN(Precios!C158/Precios!C157)</f>
        <v>-0.00795117153210428</v>
      </c>
      <c r="D157" s="7" t="n">
        <f aca="false">LN(Precios!D158/Precios!D157)</f>
        <v>-0.0204360732633065</v>
      </c>
      <c r="E157" s="7" t="n">
        <f aca="false">LN(Precios!E158/Precios!E157)</f>
        <v>-0.00155159069141883</v>
      </c>
      <c r="F157" s="7" t="n">
        <f aca="false">LN(Precios!F158/Precios!F157)</f>
        <v>0.0123092504736018</v>
      </c>
      <c r="G157" s="7" t="n">
        <f aca="false">LN(Precios!G158/Precios!G157)</f>
        <v>-0.0111762458069332</v>
      </c>
      <c r="H157" s="7" t="n">
        <f aca="false">LN(Precios!H158/Precios!H157)</f>
        <v>-0.0113344850741065</v>
      </c>
      <c r="I157" s="7" t="n">
        <f aca="false">LN(Precios!I158/Precios!I157)</f>
        <v>-0.00632056280258926</v>
      </c>
      <c r="J157" s="7" t="n">
        <f aca="false">LN(Precios!J158/Precios!J157)</f>
        <v>-0.00105860679089476</v>
      </c>
    </row>
    <row r="158" customFormat="false" ht="15" hidden="false" customHeight="false" outlineLevel="0" collapsed="false">
      <c r="A158" s="6" t="n">
        <f aca="false">Precios!A159</f>
        <v>46168</v>
      </c>
      <c r="B158" s="7" t="n">
        <f aca="false">LN(Precios!B159/Precios!B158)</f>
        <v>0.0186879544487677</v>
      </c>
      <c r="C158" s="7" t="n">
        <f aca="false">LN(Precios!C159/Precios!C158)</f>
        <v>0.00504953490876212</v>
      </c>
      <c r="D158" s="7" t="n">
        <f aca="false">LN(Precios!D159/Precios!D158)</f>
        <v>0.0098258941512912</v>
      </c>
      <c r="E158" s="7" t="n">
        <f aca="false">LN(Precios!E159/Precios!E158)</f>
        <v>0.0121754054852868</v>
      </c>
      <c r="F158" s="7" t="n">
        <f aca="false">LN(Precios!F159/Precios!F158)</f>
        <v>0.025057239376801</v>
      </c>
      <c r="G158" s="7" t="n">
        <f aca="false">LN(Precios!G159/Precios!G158)</f>
        <v>0.0217622179981888</v>
      </c>
      <c r="H158" s="7" t="n">
        <f aca="false">LN(Precios!H159/Precios!H158)</f>
        <v>0.0225419380944956</v>
      </c>
      <c r="I158" s="7" t="n">
        <f aca="false">LN(Precios!I159/Precios!I158)</f>
        <v>-0.0147826398481803</v>
      </c>
      <c r="J158" s="7" t="n">
        <f aca="false">LN(Precios!J159/Precios!J158)</f>
        <v>0.0136246627227164</v>
      </c>
    </row>
    <row r="159" customFormat="false" ht="15" hidden="false" customHeight="false" outlineLevel="0" collapsed="false">
      <c r="A159" s="6" t="n">
        <f aca="false">Precios!A160</f>
        <v>46169</v>
      </c>
      <c r="B159" s="7" t="n">
        <f aca="false">LN(Precios!B160/Precios!B159)</f>
        <v>0.0159504227453891</v>
      </c>
      <c r="C159" s="7" t="n">
        <f aca="false">LN(Precios!C160/Precios!C159)</f>
        <v>0.0254388777569477</v>
      </c>
      <c r="D159" s="7" t="n">
        <f aca="false">LN(Precios!D160/Precios!D159)</f>
        <v>0.00487697707950408</v>
      </c>
      <c r="E159" s="7" t="n">
        <f aca="false">LN(Precios!E160/Precios!E159)</f>
        <v>0.0116920759213564</v>
      </c>
      <c r="F159" s="7" t="n">
        <f aca="false">LN(Precios!F160/Precios!F159)</f>
        <v>0.0136056520557787</v>
      </c>
      <c r="G159" s="7" t="n">
        <f aca="false">LN(Precios!G160/Precios!G159)</f>
        <v>0.0338635110448246</v>
      </c>
      <c r="H159" s="7" t="n">
        <f aca="false">LN(Precios!H160/Precios!H159)</f>
        <v>0.00101265831438641</v>
      </c>
      <c r="I159" s="7" t="n">
        <f aca="false">LN(Precios!I160/Precios!I159)</f>
        <v>0.00348720184532308</v>
      </c>
      <c r="J159" s="7" t="n">
        <f aca="false">LN(Precios!J160/Precios!J159)</f>
        <v>0.0118344491461942</v>
      </c>
    </row>
    <row r="160" customFormat="false" ht="15" hidden="false" customHeight="false" outlineLevel="0" collapsed="false">
      <c r="A160" s="6" t="n">
        <f aca="false">Precios!A161</f>
        <v>46170</v>
      </c>
      <c r="B160" s="7" t="n">
        <f aca="false">LN(Precios!B161/Precios!B160)</f>
        <v>-0.0189224567825838</v>
      </c>
      <c r="C160" s="7" t="n">
        <f aca="false">LN(Precios!C161/Precios!C160)</f>
        <v>0.00169827383019161</v>
      </c>
      <c r="D160" s="7" t="n">
        <f aca="false">LN(Precios!D161/Precios!D160)</f>
        <v>-0.00933132742888431</v>
      </c>
      <c r="E160" s="7" t="n">
        <f aca="false">LN(Precios!E161/Precios!E160)</f>
        <v>-0.00930869038726039</v>
      </c>
      <c r="F160" s="7" t="n">
        <f aca="false">LN(Precios!F161/Precios!F160)</f>
        <v>-0.0100767555837576</v>
      </c>
      <c r="G160" s="7" t="n">
        <f aca="false">LN(Precios!G161/Precios!G160)</f>
        <v>-0.0744629104290529</v>
      </c>
      <c r="H160" s="7" t="n">
        <f aca="false">LN(Precios!H161/Precios!H160)</f>
        <v>-0.0194180858571017</v>
      </c>
      <c r="I160" s="7" t="n">
        <f aca="false">LN(Precios!I161/Precios!I160)</f>
        <v>-0.0396165408414647</v>
      </c>
      <c r="J160" s="7" t="n">
        <f aca="false">LN(Precios!J161/Precios!J160)</f>
        <v>-0.0166335422590726</v>
      </c>
    </row>
    <row r="161" customFormat="false" ht="15" hidden="false" customHeight="false" outlineLevel="0" collapsed="false">
      <c r="A161" s="6" t="n">
        <f aca="false">Precios!A162</f>
        <v>46171</v>
      </c>
      <c r="B161" s="7" t="n">
        <f aca="false">LN(Precios!B162/Precios!B161)</f>
        <v>0.000133265220195945</v>
      </c>
      <c r="C161" s="7" t="n">
        <f aca="false">LN(Precios!C162/Precios!C161)</f>
        <v>0.000565450962196529</v>
      </c>
      <c r="D161" s="7" t="n">
        <f aca="false">LN(Precios!D162/Precios!D161)</f>
        <v>-0.0189280098855188</v>
      </c>
      <c r="E161" s="7" t="n">
        <f aca="false">LN(Precios!E162/Precios!E161)</f>
        <v>0.0148525937086939</v>
      </c>
      <c r="F161" s="7" t="n">
        <f aca="false">LN(Precios!F162/Precios!F161)</f>
        <v>0.00527010442423702</v>
      </c>
      <c r="G161" s="7" t="n">
        <f aca="false">LN(Precios!G162/Precios!G161)</f>
        <v>-0.0236141062776708</v>
      </c>
      <c r="H161" s="7" t="n">
        <f aca="false">LN(Precios!H162/Precios!H161)</f>
        <v>-0.040005334613699</v>
      </c>
      <c r="I161" s="7" t="n">
        <f aca="false">LN(Precios!I162/Precios!I161)</f>
        <v>-0.00114438311173114</v>
      </c>
      <c r="J161" s="7" t="n">
        <f aca="false">LN(Precios!J162/Precios!J161)</f>
        <v>-0.0040528517283904</v>
      </c>
    </row>
    <row r="162" customFormat="false" ht="15" hidden="false" customHeight="false" outlineLevel="0" collapsed="false">
      <c r="A162" s="6" t="n">
        <f aca="false">Precios!A163</f>
        <v>46174</v>
      </c>
      <c r="B162" s="7" t="n">
        <f aca="false">LN(Precios!B163/Precios!B162)</f>
        <v>-0.0135953080097657</v>
      </c>
      <c r="C162" s="7" t="n">
        <f aca="false">LN(Precios!C163/Precios!C162)</f>
        <v>-0.0100370125824098</v>
      </c>
      <c r="D162" s="7" t="n">
        <f aca="false">LN(Precios!D163/Precios!D162)</f>
        <v>-0.00182149412839113</v>
      </c>
      <c r="E162" s="7" t="n">
        <f aca="false">LN(Precios!E163/Precios!E162)</f>
        <v>-0.0368579513053563</v>
      </c>
      <c r="F162" s="7" t="n">
        <f aca="false">LN(Precios!F163/Precios!F162)</f>
        <v>0</v>
      </c>
      <c r="G162" s="7" t="n">
        <f aca="false">LN(Precios!G163/Precios!G162)</f>
        <v>-0.00199324577371601</v>
      </c>
      <c r="H162" s="7" t="n">
        <f aca="false">LN(Precios!H163/Precios!H162)</f>
        <v>0.00107353740852419</v>
      </c>
      <c r="I162" s="7" t="n">
        <f aca="false">LN(Precios!I163/Precios!I162)</f>
        <v>-0.00516599254698183</v>
      </c>
      <c r="J162" s="7" t="n">
        <f aca="false">LN(Precios!J163/Precios!J162)</f>
        <v>-0.00659297700915662</v>
      </c>
    </row>
    <row r="163" customFormat="false" ht="15" hidden="false" customHeight="false" outlineLevel="0" collapsed="false">
      <c r="A163" s="6" t="n">
        <f aca="false">Precios!A164</f>
        <v>46175</v>
      </c>
      <c r="B163" s="7" t="n">
        <f aca="false">LN(Precios!B164/Precios!B163)</f>
        <v>0.00139485725331055</v>
      </c>
      <c r="C163" s="7" t="n">
        <f aca="false">LN(Precios!C164/Precios!C163)</f>
        <v>0.0147367110531141</v>
      </c>
      <c r="D163" s="7" t="n">
        <f aca="false">LN(Precios!D164/Precios!D163)</f>
        <v>0.0140305537651649</v>
      </c>
      <c r="E163" s="7" t="n">
        <f aca="false">LN(Precios!E164/Precios!E163)</f>
        <v>0.0112351021918535</v>
      </c>
      <c r="F163" s="7" t="n">
        <f aca="false">LN(Precios!F164/Precios!F163)</f>
        <v>-0.00351031514474466</v>
      </c>
      <c r="G163" s="7" t="n">
        <f aca="false">LN(Precios!G164/Precios!G163)</f>
        <v>0.0100364799685604</v>
      </c>
      <c r="H163" s="7" t="n">
        <f aca="false">LN(Precios!H164/Precios!H163)</f>
        <v>-0.0107875911289974</v>
      </c>
      <c r="I163" s="7" t="n">
        <f aca="false">LN(Precios!I164/Precios!I163)</f>
        <v>-0.00345888123477814</v>
      </c>
      <c r="J163" s="7" t="n">
        <f aca="false">LN(Precios!J164/Precios!J163)</f>
        <v>0.010994995289255</v>
      </c>
    </row>
    <row r="164" customFormat="false" ht="15" hidden="false" customHeight="false" outlineLevel="0" collapsed="false">
      <c r="A164" s="6" t="n">
        <f aca="false">Precios!A165</f>
        <v>46176</v>
      </c>
      <c r="B164" s="7" t="n">
        <f aca="false">LN(Precios!B165/Precios!B164)</f>
        <v>-0.00839847804589495</v>
      </c>
      <c r="C164" s="7" t="n">
        <f aca="false">LN(Precios!C165/Precios!C164)</f>
        <v>-0.0202716044655875</v>
      </c>
      <c r="D164" s="7" t="n">
        <f aca="false">LN(Precios!D165/Precios!D164)</f>
        <v>-0.00224971973401544</v>
      </c>
      <c r="E164" s="7" t="n">
        <f aca="false">LN(Precios!E165/Precios!E164)</f>
        <v>0.00343171235891311</v>
      </c>
      <c r="F164" s="7" t="n">
        <f aca="false">LN(Precios!F165/Precios!F164)</f>
        <v>-0.0132745312086962</v>
      </c>
      <c r="G164" s="7" t="n">
        <f aca="false">LN(Precios!G165/Precios!G164)</f>
        <v>-0.00859651516502814</v>
      </c>
      <c r="H164" s="7" t="n">
        <f aca="false">LN(Precios!H165/Precios!H164)</f>
        <v>-0.0197158631644175</v>
      </c>
      <c r="I164" s="7" t="n">
        <f aca="false">LN(Precios!I165/Precios!I164)</f>
        <v>0.0042258994890649</v>
      </c>
      <c r="J164" s="7" t="n">
        <f aca="false">LN(Precios!J165/Precios!J164)</f>
        <v>-0.00881368828685073</v>
      </c>
    </row>
    <row r="165" customFormat="false" ht="15" hidden="false" customHeight="false" outlineLevel="0" collapsed="false">
      <c r="A165" s="6" t="n">
        <f aca="false">Precios!A166</f>
        <v>46177</v>
      </c>
      <c r="B165" s="7" t="n">
        <f aca="false">LN(Precios!B166/Precios!B165)</f>
        <v>-0.0123182359650283</v>
      </c>
      <c r="C165" s="7" t="n">
        <f aca="false">LN(Precios!C166/Precios!C165)</f>
        <v>-0.0193242728264028</v>
      </c>
      <c r="D165" s="7" t="n">
        <f aca="false">LN(Precios!D166/Precios!D165)</f>
        <v>-0.0154338061298412</v>
      </c>
      <c r="E165" s="7" t="n">
        <f aca="false">LN(Precios!E166/Precios!E165)</f>
        <v>-0.0221692487640042</v>
      </c>
      <c r="F165" s="7" t="n">
        <f aca="false">LN(Precios!F166/Precios!F165)</f>
        <v>-0.000445533533767659</v>
      </c>
      <c r="G165" s="7" t="n">
        <f aca="false">LN(Precios!G166/Precios!G165)</f>
        <v>-0.00671907461595687</v>
      </c>
      <c r="H165" s="7" t="n">
        <f aca="false">LN(Precios!H166/Precios!H165)</f>
        <v>0.0315758404551675</v>
      </c>
      <c r="I165" s="7" t="n">
        <f aca="false">LN(Precios!I166/Precios!I165)</f>
        <v>-0.0131200029762513</v>
      </c>
      <c r="J165" s="7" t="n">
        <f aca="false">LN(Precios!J166/Precios!J165)</f>
        <v>-0.0131729957188272</v>
      </c>
    </row>
    <row r="166" customFormat="false" ht="15" hidden="false" customHeight="false" outlineLevel="0" collapsed="false">
      <c r="A166" s="6" t="n">
        <f aca="false">Precios!A167</f>
        <v>46178</v>
      </c>
      <c r="B166" s="7" t="n">
        <f aca="false">LN(Precios!B167/Precios!B166)</f>
        <v>-0.0102896282170432</v>
      </c>
      <c r="C166" s="7" t="n">
        <f aca="false">LN(Precios!C167/Precios!C166)</f>
        <v>-0.0345409486451859</v>
      </c>
      <c r="D166" s="7" t="n">
        <f aca="false">LN(Precios!D167/Precios!D166)</f>
        <v>-0.00872966720012477</v>
      </c>
      <c r="E166" s="7" t="n">
        <f aca="false">LN(Precios!E167/Precios!E166)</f>
        <v>-0.0221345911467548</v>
      </c>
      <c r="F166" s="7" t="n">
        <f aca="false">LN(Precios!F167/Precios!F166)</f>
        <v>-0.0303122054080395</v>
      </c>
      <c r="G166" s="7" t="n">
        <f aca="false">LN(Precios!G167/Precios!G166)</f>
        <v>-0.0113749020152771</v>
      </c>
      <c r="H166" s="7" t="n">
        <f aca="false">LN(Precios!H167/Precios!H166)</f>
        <v>-0.00969312920565968</v>
      </c>
      <c r="I166" s="7" t="n">
        <f aca="false">LN(Precios!I167/Precios!I166)</f>
        <v>-0.00779883071534341</v>
      </c>
      <c r="J166" s="7" t="n">
        <f aca="false">LN(Precios!J167/Precios!J166)</f>
        <v>-0.0187345636651186</v>
      </c>
    </row>
    <row r="167" customFormat="false" ht="15" hidden="false" customHeight="false" outlineLevel="0" collapsed="false">
      <c r="A167" s="6" t="n">
        <f aca="false">Precios!A168</f>
        <v>46181</v>
      </c>
      <c r="B167" s="7" t="n">
        <f aca="false">LN(Precios!B168/Precios!B167)</f>
        <v>-0.00301925584122517</v>
      </c>
      <c r="C167" s="7" t="n">
        <f aca="false">LN(Precios!C168/Precios!C167)</f>
        <v>-0.000201999798687078</v>
      </c>
      <c r="D167" s="7" t="n">
        <f aca="false">LN(Precios!D168/Precios!D167)</f>
        <v>0.00184416834193266</v>
      </c>
      <c r="E167" s="7" t="n">
        <f aca="false">LN(Precios!E168/Precios!E167)</f>
        <v>0.00053700887355132</v>
      </c>
      <c r="F167" s="7" t="n">
        <f aca="false">LN(Precios!F168/Precios!F167)</f>
        <v>-0.0303124164083953</v>
      </c>
      <c r="G167" s="7" t="n">
        <f aca="false">LN(Precios!G168/Precios!G167)</f>
        <v>-0.0123041838052944</v>
      </c>
      <c r="H167" s="7" t="n">
        <f aca="false">LN(Precios!H168/Precios!H167)</f>
        <v>0.00647251450561752</v>
      </c>
      <c r="I167" s="7" t="n">
        <f aca="false">LN(Precios!I168/Precios!I167)</f>
        <v>0.00507615303186057</v>
      </c>
      <c r="J167" s="7" t="n">
        <f aca="false">LN(Precios!J168/Precios!J167)</f>
        <v>-0.00745346799821943</v>
      </c>
    </row>
    <row r="168" customFormat="false" ht="15" hidden="false" customHeight="false" outlineLevel="0" collapsed="false">
      <c r="A168" s="6" t="n">
        <f aca="false">Precios!A169</f>
        <v>46182</v>
      </c>
      <c r="B168" s="7" t="n">
        <f aca="false">LN(Precios!B169/Precios!B168)</f>
        <v>-0.0167945027260345</v>
      </c>
      <c r="C168" s="7" t="n">
        <f aca="false">LN(Precios!C169/Precios!C168)</f>
        <v>-0.0264062011571137</v>
      </c>
      <c r="D168" s="7" t="n">
        <f aca="false">LN(Precios!D169/Precios!D168)</f>
        <v>0.0159930299351558</v>
      </c>
      <c r="E168" s="7" t="n">
        <f aca="false">LN(Precios!E169/Precios!E168)</f>
        <v>-0.00484349318928854</v>
      </c>
      <c r="F168" s="7" t="n">
        <f aca="false">LN(Precios!F169/Precios!F168)</f>
        <v>-0.00427046912345232</v>
      </c>
      <c r="G168" s="7" t="n">
        <f aca="false">LN(Precios!G169/Precios!G168)</f>
        <v>-0.00268502546411861</v>
      </c>
      <c r="H168" s="7" t="n">
        <f aca="false">LN(Precios!H169/Precios!H168)</f>
        <v>0.0431418821440234</v>
      </c>
      <c r="I168" s="7" t="n">
        <f aca="false">LN(Precios!I169/Precios!I168)</f>
        <v>-0.0143181812575893</v>
      </c>
      <c r="J168" s="7" t="n">
        <f aca="false">LN(Precios!J169/Precios!J168)</f>
        <v>-0.00367390208317508</v>
      </c>
    </row>
    <row r="169" customFormat="false" ht="15" hidden="false" customHeight="false" outlineLevel="0" collapsed="false">
      <c r="A169" s="6" t="n">
        <f aca="false">Precios!A170</f>
        <v>46183</v>
      </c>
      <c r="B169" s="7" t="n">
        <f aca="false">LN(Precios!B170/Precios!B169)</f>
        <v>-0.00907693056352648</v>
      </c>
      <c r="C169" s="7" t="n">
        <f aca="false">LN(Precios!C170/Precios!C169)</f>
        <v>-0.00270017819057877</v>
      </c>
      <c r="D169" s="7" t="n">
        <f aca="false">LN(Precios!D170/Precios!D169)</f>
        <v>0.00271616282877768</v>
      </c>
      <c r="E169" s="7" t="n">
        <f aca="false">LN(Precios!E170/Precios!E169)</f>
        <v>0.0188819289820554</v>
      </c>
      <c r="F169" s="7" t="n">
        <f aca="false">LN(Precios!F170/Precios!F169)</f>
        <v>-0.019203662631448</v>
      </c>
      <c r="G169" s="7" t="n">
        <f aca="false">LN(Precios!G170/Precios!G169)</f>
        <v>0.00182888546148049</v>
      </c>
      <c r="H169" s="7" t="n">
        <f aca="false">LN(Precios!H170/Precios!H169)</f>
        <v>0.0102459912740382</v>
      </c>
      <c r="I169" s="7" t="n">
        <f aca="false">LN(Precios!I170/Precios!I169)</f>
        <v>-0.00813254507036385</v>
      </c>
      <c r="J169" s="7" t="n">
        <f aca="false">LN(Precios!J170/Precios!J169)</f>
        <v>-0.00902816666885693</v>
      </c>
    </row>
    <row r="170" customFormat="false" ht="15" hidden="false" customHeight="false" outlineLevel="0" collapsed="false">
      <c r="A170" s="6" t="n">
        <f aca="false">Precios!A171</f>
        <v>46184</v>
      </c>
      <c r="B170" s="7" t="n">
        <f aca="false">LN(Precios!B171/Precios!B170)</f>
        <v>0.00128813738858431</v>
      </c>
      <c r="C170" s="7" t="n">
        <f aca="false">LN(Precios!C171/Precios!C170)</f>
        <v>0.000623765484410308</v>
      </c>
      <c r="D170" s="7" t="n">
        <f aca="false">LN(Precios!D171/Precios!D170)</f>
        <v>0.074882665543015</v>
      </c>
      <c r="E170" s="7" t="n">
        <f aca="false">LN(Precios!E171/Precios!E170)</f>
        <v>0.0273274337069028</v>
      </c>
      <c r="F170" s="7" t="n">
        <f aca="false">LN(Precios!F171/Precios!F170)</f>
        <v>0.05882665047062</v>
      </c>
      <c r="G170" s="7" t="n">
        <f aca="false">LN(Precios!G171/Precios!G170)</f>
        <v>0.041878935903621</v>
      </c>
      <c r="H170" s="7" t="n">
        <f aca="false">LN(Precios!H171/Precios!H170)</f>
        <v>0.00406918160672575</v>
      </c>
      <c r="I170" s="7" t="n">
        <f aca="false">LN(Precios!I171/Precios!I170)</f>
        <v>0.0313689707800829</v>
      </c>
      <c r="J170" s="7" t="n">
        <f aca="false">LN(Precios!J171/Precios!J170)</f>
        <v>0.0327109879803256</v>
      </c>
    </row>
    <row r="171" customFormat="false" ht="15" hidden="false" customHeight="false" outlineLevel="0" collapsed="false">
      <c r="A171" s="6" t="n">
        <f aca="false">Precios!A172</f>
        <v>46185</v>
      </c>
      <c r="B171" s="7" t="n">
        <f aca="false">LN(Precios!B172/Precios!B171)</f>
        <v>-0.000620007173790053</v>
      </c>
      <c r="C171" s="7" t="n">
        <f aca="false">LN(Precios!C172/Precios!C171)</f>
        <v>0.00103874528920313</v>
      </c>
      <c r="D171" s="7" t="n">
        <f aca="false">LN(Precios!D172/Precios!D171)</f>
        <v>0.00167644632725235</v>
      </c>
      <c r="E171" s="7" t="n">
        <f aca="false">LN(Precios!E172/Precios!E171)</f>
        <v>-0.00154652492375715</v>
      </c>
      <c r="F171" s="7" t="n">
        <f aca="false">LN(Precios!F172/Precios!F171)</f>
        <v>0.0221477979482578</v>
      </c>
      <c r="G171" s="7" t="n">
        <f aca="false">LN(Precios!G172/Precios!G171)</f>
        <v>0.0324859552221253</v>
      </c>
      <c r="H171" s="7" t="n">
        <f aca="false">LN(Precios!H172/Precios!H171)</f>
        <v>0.0101010959865039</v>
      </c>
      <c r="I171" s="7" t="n">
        <f aca="false">LN(Precios!I172/Precios!I171)</f>
        <v>0.0051978170736167</v>
      </c>
      <c r="J171" s="7" t="n">
        <f aca="false">LN(Precios!J172/Precios!J171)</f>
        <v>0.0144890759578734</v>
      </c>
    </row>
    <row r="172" customFormat="false" ht="15" hidden="false" customHeight="false" outlineLevel="0" collapsed="false">
      <c r="A172" s="6" t="n">
        <f aca="false">Precios!A173</f>
        <v>46188</v>
      </c>
      <c r="B172" s="7" t="n">
        <f aca="false">LN(Precios!B173/Precios!B172)</f>
        <v>0.0133167856609243</v>
      </c>
      <c r="C172" s="7" t="n">
        <f aca="false">LN(Precios!C173/Precios!C172)</f>
        <v>-0.0357218579036785</v>
      </c>
      <c r="D172" s="7" t="n">
        <f aca="false">LN(Precios!D173/Precios!D172)</f>
        <v>-0.0224443044094949</v>
      </c>
      <c r="E172" s="7" t="n">
        <f aca="false">LN(Precios!E173/Precios!E172)</f>
        <v>-0.0010323469602322</v>
      </c>
      <c r="F172" s="7" t="n">
        <f aca="false">LN(Precios!F173/Precios!F172)</f>
        <v>-0.00582830611965672</v>
      </c>
      <c r="G172" s="7" t="n">
        <f aca="false">LN(Precios!G173/Precios!G172)</f>
        <v>-0.0055281063547999</v>
      </c>
      <c r="H172" s="7" t="n">
        <f aca="false">LN(Precios!H173/Precios!H172)</f>
        <v>0.0228524599518752</v>
      </c>
      <c r="I172" s="7" t="n">
        <f aca="false">LN(Precios!I173/Precios!I172)</f>
        <v>0.010695289116748</v>
      </c>
      <c r="J172" s="7" t="n">
        <f aca="false">LN(Precios!J173/Precios!J172)</f>
        <v>0.00371689623482657</v>
      </c>
    </row>
    <row r="173" customFormat="false" ht="15" hidden="false" customHeight="false" outlineLevel="0" collapsed="false">
      <c r="A173" s="6" t="n">
        <f aca="false">Precios!A174</f>
        <v>46189</v>
      </c>
      <c r="B173" s="7" t="n">
        <f aca="false">LN(Precios!B174/Precios!B173)</f>
        <v>0.0110953597227785</v>
      </c>
      <c r="C173" s="7" t="n">
        <f aca="false">LN(Precios!C174/Precios!C173)</f>
        <v>0.0092107323553468</v>
      </c>
      <c r="D173" s="7" t="n">
        <f aca="false">LN(Precios!D174/Precios!D173)</f>
        <v>-0.00946650787155858</v>
      </c>
      <c r="E173" s="7" t="n">
        <f aca="false">LN(Precios!E174/Precios!E173)</f>
        <v>-0.00155052145802186</v>
      </c>
      <c r="F173" s="7" t="n">
        <f aca="false">LN(Precios!F174/Precios!F173)</f>
        <v>0.00493385167719635</v>
      </c>
      <c r="G173" s="7" t="n">
        <f aca="false">LN(Precios!G174/Precios!G173)</f>
        <v>0.00939023849983444</v>
      </c>
      <c r="H173" s="7" t="n">
        <f aca="false">LN(Precios!H174/Precios!H173)</f>
        <v>0.00587660848898519</v>
      </c>
      <c r="I173" s="7" t="n">
        <f aca="false">LN(Precios!I174/Precios!I173)</f>
        <v>-0.00839379212846874</v>
      </c>
      <c r="J173" s="7" t="n">
        <f aca="false">LN(Precios!J174/Precios!J173)</f>
        <v>0.00402866756398756</v>
      </c>
    </row>
    <row r="174" customFormat="false" ht="15" hidden="false" customHeight="false" outlineLevel="0" collapsed="false">
      <c r="A174" s="6" t="n">
        <f aca="false">Precios!A175</f>
        <v>46190</v>
      </c>
      <c r="B174" s="7" t="n">
        <f aca="false">LN(Precios!B175/Precios!B174)</f>
        <v>-0.00172409818807824</v>
      </c>
      <c r="C174" s="7" t="n">
        <f aca="false">LN(Precios!C175/Precios!C174)</f>
        <v>0.0260957569026922</v>
      </c>
      <c r="D174" s="7" t="n">
        <f aca="false">LN(Precios!D175/Precios!D174)</f>
        <v>-0.00912058439680885</v>
      </c>
      <c r="E174" s="7" t="n">
        <f aca="false">LN(Precios!E175/Precios!E174)</f>
        <v>-0.00483927664074927</v>
      </c>
      <c r="F174" s="7" t="n">
        <f aca="false">LN(Precios!F175/Precios!F174)</f>
        <v>-0.0230831701828736</v>
      </c>
      <c r="G174" s="7" t="n">
        <f aca="false">LN(Precios!G175/Precios!G174)</f>
        <v>0.00909359994553589</v>
      </c>
      <c r="H174" s="7" t="n">
        <f aca="false">LN(Precios!H175/Precios!H174)</f>
        <v>0.026025565277498</v>
      </c>
      <c r="I174" s="7" t="n">
        <f aca="false">LN(Precios!I175/Precios!I174)</f>
        <v>-0.00788541445279296</v>
      </c>
      <c r="J174" s="7" t="n">
        <f aca="false">LN(Precios!J175/Precios!J174)</f>
        <v>-0.00260564568177941</v>
      </c>
    </row>
    <row r="175" customFormat="false" ht="15" hidden="false" customHeight="false" outlineLevel="0" collapsed="false">
      <c r="A175" s="6" t="n">
        <f aca="false">Precios!A176</f>
        <v>46191</v>
      </c>
      <c r="B175" s="7" t="n">
        <f aca="false">LN(Precios!B176/Precios!B175)</f>
        <v>-0.018688613211514</v>
      </c>
      <c r="C175" s="7" t="n">
        <f aca="false">LN(Precios!C176/Precios!C175)</f>
        <v>-0.028657671198893</v>
      </c>
      <c r="D175" s="7" t="n">
        <f aca="false">LN(Precios!D176/Precios!D175)</f>
        <v>0.00261438057407067</v>
      </c>
      <c r="E175" s="7" t="n">
        <f aca="false">LN(Precios!E176/Precios!E175)</f>
        <v>-0.0122016504211441</v>
      </c>
      <c r="F175" s="7" t="n">
        <f aca="false">LN(Precios!F176/Precios!F175)</f>
        <v>0.0172496333347796</v>
      </c>
      <c r="G175" s="7" t="n">
        <f aca="false">LN(Precios!G176/Precios!G175)</f>
        <v>0.00219527581367991</v>
      </c>
      <c r="H175" s="7" t="n">
        <f aca="false">LN(Precios!H176/Precios!H175)</f>
        <v>-0.00190476248065395</v>
      </c>
      <c r="I175" s="7" t="n">
        <f aca="false">LN(Precios!I176/Precios!I175)</f>
        <v>-0.0293908302519267</v>
      </c>
      <c r="J175" s="7" t="n">
        <f aca="false">LN(Precios!J176/Precios!J175)</f>
        <v>-0.000580215970253854</v>
      </c>
    </row>
    <row r="176" customFormat="false" ht="15" hidden="false" customHeight="false" outlineLevel="0" collapsed="false">
      <c r="A176" s="6" t="n">
        <f aca="false">Precios!A177</f>
        <v>46192</v>
      </c>
      <c r="B176" s="7" t="n">
        <f aca="false">LN(Precios!B177/Precios!B176)</f>
        <v>-0.00753604634935381</v>
      </c>
      <c r="C176" s="7" t="n">
        <f aca="false">LN(Precios!C177/Precios!C176)</f>
        <v>0.00554254243433848</v>
      </c>
      <c r="D176" s="7" t="n">
        <f aca="false">LN(Precios!D177/Precios!D176)</f>
        <v>0.0210987374423225</v>
      </c>
      <c r="E176" s="7" t="n">
        <f aca="false">LN(Precios!E177/Precios!E176)</f>
        <v>0.0297188422859481</v>
      </c>
      <c r="F176" s="7" t="n">
        <f aca="false">LN(Precios!F177/Precios!F176)</f>
        <v>-0.0315454728352122</v>
      </c>
      <c r="G176" s="7" t="n">
        <f aca="false">LN(Precios!G177/Precios!G176)</f>
        <v>-0.0119755619970117</v>
      </c>
      <c r="H176" s="7" t="n">
        <f aca="false">LN(Precios!H177/Precios!H176)</f>
        <v>-0.0270547902316315</v>
      </c>
      <c r="I176" s="7" t="n">
        <f aca="false">LN(Precios!I177/Precios!I176)</f>
        <v>0.0214427414978641</v>
      </c>
      <c r="J176" s="7" t="n">
        <f aca="false">LN(Precios!J177/Precios!J176)</f>
        <v>-0.00823330419860183</v>
      </c>
    </row>
    <row r="177" customFormat="false" ht="15" hidden="false" customHeight="false" outlineLevel="0" collapsed="false">
      <c r="A177" s="6" t="n">
        <f aca="false">Precios!A178</f>
        <v>46195</v>
      </c>
      <c r="B177" s="7" t="n">
        <f aca="false">LN(Precios!B178/Precios!B177)</f>
        <v>-0.0102984548299996</v>
      </c>
      <c r="C177" s="7" t="n">
        <f aca="false">LN(Precios!C178/Precios!C177)</f>
        <v>-0.0182349791478575</v>
      </c>
      <c r="D177" s="7" t="n">
        <f aca="false">LN(Precios!D178/Precios!D177)</f>
        <v>-0.0351217542630718</v>
      </c>
      <c r="E177" s="7" t="n">
        <f aca="false">LN(Precios!E178/Precios!E177)</f>
        <v>-0.0438483602920882</v>
      </c>
      <c r="F177" s="7" t="n">
        <f aca="false">LN(Precios!F178/Precios!F177)</f>
        <v>0.0106261106114703</v>
      </c>
      <c r="G177" s="7" t="n">
        <f aca="false">LN(Precios!G178/Precios!G177)</f>
        <v>-0.00726543115876379</v>
      </c>
      <c r="H177" s="7" t="n">
        <f aca="false">LN(Precios!H178/Precios!H177)</f>
        <v>-0.0720758335700791</v>
      </c>
      <c r="I177" s="7" t="n">
        <f aca="false">LN(Precios!I178/Precios!I177)</f>
        <v>-0.015890476589846</v>
      </c>
      <c r="J177" s="7" t="n">
        <f aca="false">LN(Precios!J178/Precios!J177)</f>
        <v>-0.00860507111217549</v>
      </c>
    </row>
    <row r="178" customFormat="false" ht="15" hidden="false" customHeight="false" outlineLevel="0" collapsed="false">
      <c r="A178" s="6" t="n">
        <f aca="false">Precios!A179</f>
        <v>46196</v>
      </c>
      <c r="B178" s="7" t="n">
        <f aca="false">LN(Precios!B179/Precios!B178)</f>
        <v>0.015455813092976</v>
      </c>
      <c r="C178" s="7" t="n">
        <f aca="false">LN(Precios!C179/Precios!C178)</f>
        <v>0.00324219456171636</v>
      </c>
      <c r="D178" s="7" t="n">
        <f aca="false">LN(Precios!D179/Precios!D178)</f>
        <v>0.00220410051760698</v>
      </c>
      <c r="E178" s="7" t="n">
        <f aca="false">LN(Precios!E179/Precios!E178)</f>
        <v>-0.00588709219677904</v>
      </c>
      <c r="F178" s="7" t="n">
        <f aca="false">LN(Precios!F179/Precios!F178)</f>
        <v>-0.0194901761141347</v>
      </c>
      <c r="G178" s="7" t="n">
        <f aca="false">LN(Precios!G179/Precios!G178)</f>
        <v>-0.0166916527917327</v>
      </c>
      <c r="H178" s="7" t="n">
        <f aca="false">LN(Precios!H179/Precios!H178)</f>
        <v>-0.0021074823395647</v>
      </c>
      <c r="I178" s="7" t="n">
        <f aca="false">LN(Precios!I179/Precios!I178)</f>
        <v>0.00493146280012627</v>
      </c>
      <c r="J178" s="7" t="n">
        <f aca="false">LN(Precios!J179/Precios!J178)</f>
        <v>-0.00413275792720312</v>
      </c>
    </row>
    <row r="179" customFormat="false" ht="15" hidden="false" customHeight="false" outlineLevel="0" collapsed="false">
      <c r="A179" s="6" t="n">
        <f aca="false">Precios!A180</f>
        <v>46197</v>
      </c>
      <c r="B179" s="7" t="n">
        <f aca="false">LN(Precios!B180/Precios!B179)</f>
        <v>0.00347098748498639</v>
      </c>
      <c r="C179" s="7" t="n">
        <f aca="false">LN(Precios!C180/Precios!C179)</f>
        <v>-0.0317904662103895</v>
      </c>
      <c r="D179" s="7" t="n">
        <f aca="false">LN(Precios!D180/Precios!D179)</f>
        <v>0.00833155444272675</v>
      </c>
      <c r="E179" s="7" t="n">
        <f aca="false">LN(Precios!E180/Precios!E179)</f>
        <v>-0.0122413769856536</v>
      </c>
      <c r="F179" s="7" t="n">
        <f aca="false">LN(Precios!F180/Precios!F179)</f>
        <v>-0.0117842513829241</v>
      </c>
      <c r="G179" s="7" t="n">
        <f aca="false">LN(Precios!G180/Precios!G179)</f>
        <v>-0.0135129828222315</v>
      </c>
      <c r="H179" s="7" t="n">
        <f aca="false">LN(Precios!H180/Precios!H179)</f>
        <v>0.0270568013875133</v>
      </c>
      <c r="I179" s="7" t="n">
        <f aca="false">LN(Precios!I180/Precios!I179)</f>
        <v>0.0134859856854758</v>
      </c>
      <c r="J179" s="7" t="n">
        <f aca="false">LN(Precios!J180/Precios!J179)</f>
        <v>-0.00856950029728488</v>
      </c>
    </row>
    <row r="180" customFormat="false" ht="15" hidden="false" customHeight="false" outlineLevel="0" collapsed="false">
      <c r="A180" s="6" t="n">
        <f aca="false">Precios!A181</f>
        <v>46198</v>
      </c>
      <c r="B180" s="7" t="n">
        <f aca="false">LN(Precios!B181/Precios!B180)</f>
        <v>0.00317513239761018</v>
      </c>
      <c r="C180" s="7" t="n">
        <f aca="false">LN(Precios!C181/Precios!C180)</f>
        <v>-0.0127790103548124</v>
      </c>
      <c r="D180" s="7" t="n">
        <f aca="false">LN(Precios!D181/Precios!D180)</f>
        <v>0.00566080327239987</v>
      </c>
      <c r="E180" s="7" t="n">
        <f aca="false">LN(Precios!E181/Precios!E180)</f>
        <v>0.0170606634216023</v>
      </c>
      <c r="F180" s="7" t="n">
        <f aca="false">LN(Precios!F181/Precios!F180)</f>
        <v>0.0294345005750513</v>
      </c>
      <c r="G180" s="7" t="n">
        <f aca="false">LN(Precios!G181/Precios!G180)</f>
        <v>0.019341071198431</v>
      </c>
      <c r="H180" s="7" t="n">
        <f aca="false">LN(Precios!H181/Precios!H180)</f>
        <v>-0.0123968529768287</v>
      </c>
      <c r="I180" s="7" t="n">
        <f aca="false">LN(Precios!I181/Precios!I180)</f>
        <v>-0.00760015350821445</v>
      </c>
      <c r="J180" s="7" t="n">
        <f aca="false">LN(Precios!J181/Precios!J180)</f>
        <v>0.0170274738173912</v>
      </c>
    </row>
    <row r="181" customFormat="false" ht="15" hidden="false" customHeight="false" outlineLevel="0" collapsed="false">
      <c r="A181" s="6" t="n">
        <f aca="false">Precios!A182</f>
        <v>46199</v>
      </c>
      <c r="B181" s="7" t="n">
        <f aca="false">LN(Precios!B182/Precios!B181)</f>
        <v>0.000662189031859826</v>
      </c>
      <c r="C181" s="7" t="n">
        <f aca="false">LN(Precios!C182/Precios!C181)</f>
        <v>0.0031538660970222</v>
      </c>
      <c r="D181" s="7" t="n">
        <f aca="false">LN(Precios!D182/Precios!D181)</f>
        <v>0.0077855064537518</v>
      </c>
      <c r="E181" s="7" t="n">
        <f aca="false">LN(Precios!E182/Precios!E181)</f>
        <v>0.0150219313259348</v>
      </c>
      <c r="F181" s="7" t="n">
        <f aca="false">LN(Precios!F182/Precios!F181)</f>
        <v>-0.00832182333749222</v>
      </c>
      <c r="G181" s="7" t="n">
        <f aca="false">LN(Precios!G182/Precios!G181)</f>
        <v>-0.0196702712452974</v>
      </c>
      <c r="H181" s="7" t="n">
        <f aca="false">LN(Precios!H182/Precios!H181)</f>
        <v>-0.0136056520557785</v>
      </c>
      <c r="I181" s="7" t="n">
        <f aca="false">LN(Precios!I182/Precios!I181)</f>
        <v>-0.00627945548484314</v>
      </c>
      <c r="J181" s="7" t="n">
        <f aca="false">LN(Precios!J182/Precios!J181)</f>
        <v>-0.00282541557038629</v>
      </c>
    </row>
    <row r="182" customFormat="false" ht="15" hidden="false" customHeight="false" outlineLevel="0" collapsed="false">
      <c r="A182" s="6" t="n">
        <f aca="false">Precios!A183</f>
        <v>46202</v>
      </c>
      <c r="B182" s="7" t="n">
        <f aca="false">LN(Precios!B183/Precios!B182)</f>
        <v>-0.00307816405765244</v>
      </c>
      <c r="C182" s="7" t="n">
        <f aca="false">LN(Precios!C183/Precios!C182)</f>
        <v>0.00448833787596112</v>
      </c>
      <c r="D182" s="7" t="n">
        <f aca="false">LN(Precios!D183/Precios!D182)</f>
        <v>0.00515686574699286</v>
      </c>
      <c r="E182" s="7" t="n">
        <f aca="false">LN(Precios!E183/Precios!E182)</f>
        <v>-0.000526361973728286</v>
      </c>
      <c r="F182" s="7" t="n">
        <f aca="false">LN(Precios!F183/Precios!F182)</f>
        <v>-0.0126140425160967</v>
      </c>
      <c r="G182" s="7" t="n">
        <f aca="false">LN(Precios!G183/Precios!G182)</f>
        <v>0.0151943018452089</v>
      </c>
      <c r="H182" s="7" t="n">
        <f aca="false">LN(Precios!H183/Precios!H182)</f>
        <v>0.0187896968433665</v>
      </c>
      <c r="I182" s="7" t="n">
        <f aca="false">LN(Precios!I183/Precios!I182)</f>
        <v>0.00667061527860447</v>
      </c>
      <c r="J182" s="7" t="n">
        <f aca="false">LN(Precios!J183/Precios!J182)</f>
        <v>0.00614802042703603</v>
      </c>
    </row>
    <row r="183" customFormat="false" ht="15" hidden="false" customHeight="false" outlineLevel="0" collapsed="false">
      <c r="A183" s="6" t="n">
        <f aca="false">Precios!A184</f>
        <v>46203</v>
      </c>
      <c r="B183" s="7" t="n">
        <f aca="false">LN(Precios!B184/Precios!B183)</f>
        <v>-0.00599402394021053</v>
      </c>
      <c r="C183" s="7" t="n">
        <f aca="false">LN(Precios!C184/Precios!C183)</f>
        <v>0.0252058447081274</v>
      </c>
      <c r="D183" s="7" t="n">
        <f aca="false">LN(Precios!D184/Precios!D183)</f>
        <v>-0.0295802341042955</v>
      </c>
      <c r="E183" s="7" t="n">
        <f aca="false">LN(Precios!E184/Precios!E183)</f>
        <v>0.00297906117105747</v>
      </c>
      <c r="F183" s="7" t="n">
        <f aca="false">LN(Precios!F184/Precios!F183)</f>
        <v>-0.0127751914887228</v>
      </c>
      <c r="G183" s="7" t="n">
        <f aca="false">LN(Precios!G184/Precios!G183)</f>
        <v>-0.00243513202397271</v>
      </c>
      <c r="H183" s="7" t="n">
        <f aca="false">LN(Precios!H184/Precios!H183)</f>
        <v>-0.0103951040003401</v>
      </c>
      <c r="I183" s="7" t="n">
        <f aca="false">LN(Precios!I184/Precios!I183)</f>
        <v>0.00448737461613582</v>
      </c>
      <c r="J183" s="7" t="n">
        <f aca="false">LN(Precios!J184/Precios!J183)</f>
        <v>-0.0100130643848663</v>
      </c>
    </row>
    <row r="184" customFormat="false" ht="15" hidden="false" customHeight="false" outlineLevel="0" collapsed="false">
      <c r="A184" s="6" t="n">
        <f aca="false">Precios!A185</f>
        <v>46204</v>
      </c>
      <c r="B184" s="7" t="n">
        <f aca="false">LN(Precios!B185/Precios!B184)</f>
        <v>-0.00478286735372875</v>
      </c>
      <c r="C184" s="7" t="n">
        <f aca="false">LN(Precios!C185/Precios!C184)</f>
        <v>-0.0127446242703155</v>
      </c>
      <c r="D184" s="7" t="n">
        <f aca="false">LN(Precios!D185/Precios!D184)</f>
        <v>-0.00486834331741279</v>
      </c>
      <c r="E184" s="7" t="n">
        <f aca="false">LN(Precios!E185/Precios!E184)</f>
        <v>-0.015517856795632</v>
      </c>
      <c r="F184" s="7" t="n">
        <f aca="false">LN(Precios!F185/Precios!F184)</f>
        <v>0.0169975763685711</v>
      </c>
      <c r="G184" s="7" t="n">
        <f aca="false">LN(Precios!G185/Precios!G184)</f>
        <v>0.0277840172466877</v>
      </c>
      <c r="H184" s="7" t="n">
        <f aca="false">LN(Precios!H185/Precios!H184)</f>
        <v>-0.00313972000466786</v>
      </c>
      <c r="I184" s="7" t="n">
        <f aca="false">LN(Precios!I185/Precios!I184)</f>
        <v>-0.00585710381962394</v>
      </c>
      <c r="J184" s="7" t="n">
        <f aca="false">LN(Precios!J185/Precios!J184)</f>
        <v>0.00418897323164364</v>
      </c>
    </row>
    <row r="185" customFormat="false" ht="15" hidden="false" customHeight="false" outlineLevel="0" collapsed="false">
      <c r="A185" s="6" t="n">
        <f aca="false">Precios!A186</f>
        <v>46205</v>
      </c>
      <c r="B185" s="7" t="n">
        <f aca="false">LN(Precios!B186/Precios!B185)</f>
        <v>0.000239687448715772</v>
      </c>
      <c r="C185" s="7" t="n">
        <f aca="false">LN(Precios!C186/Precios!C185)</f>
        <v>0.00683198249686688</v>
      </c>
      <c r="D185" s="7" t="n">
        <f aca="false">LN(Precios!D186/Precios!D185)</f>
        <v>-0.00533809096761624</v>
      </c>
      <c r="E185" s="7" t="n">
        <f aca="false">LN(Precios!E186/Precios!E185)</f>
        <v>0.00213030437390304</v>
      </c>
      <c r="F185" s="7" t="n">
        <f aca="false">LN(Precios!F186/Precios!F185)</f>
        <v>0.000468055239062135</v>
      </c>
      <c r="G185" s="7" t="n">
        <f aca="false">LN(Precios!G186/Precios!G185)</f>
        <v>-0.0109678689734245</v>
      </c>
      <c r="H185" s="7" t="n">
        <f aca="false">LN(Precios!H186/Precios!H185)</f>
        <v>-0.0211872332194438</v>
      </c>
      <c r="I185" s="7" t="n">
        <f aca="false">LN(Precios!I186/Precios!I185)</f>
        <v>-0.0259857922286286</v>
      </c>
      <c r="J185" s="7" t="n">
        <f aca="false">LN(Precios!J186/Precios!J185)</f>
        <v>-0.00263075564046961</v>
      </c>
    </row>
    <row r="186" customFormat="false" ht="15" hidden="false" customHeight="false" outlineLevel="0" collapsed="false">
      <c r="A186" s="6" t="n">
        <f aca="false">Precios!A187</f>
        <v>46206</v>
      </c>
      <c r="B186" s="7" t="n">
        <f aca="false">LN(Precios!B187/Precios!B186)</f>
        <v>-0.00856845523436218</v>
      </c>
      <c r="C186" s="7" t="n">
        <f aca="false">LN(Precios!C187/Precios!C186)</f>
        <v>-0.00948920283805807</v>
      </c>
      <c r="D186" s="7" t="n">
        <f aca="false">LN(Precios!D187/Precios!D186)</f>
        <v>0.00533809096761618</v>
      </c>
      <c r="E186" s="7" t="n">
        <f aca="false">LN(Precios!E187/Precios!E186)</f>
        <v>-0.00195260557290244</v>
      </c>
      <c r="F186" s="7" t="n">
        <f aca="false">LN(Precios!F187/Precios!F186)</f>
        <v>0.00280374015442935</v>
      </c>
      <c r="G186" s="7" t="n">
        <f aca="false">LN(Precios!G187/Precios!G186)</f>
        <v>-0.0034689827983079</v>
      </c>
      <c r="H186" s="7" t="n">
        <f aca="false">LN(Precios!H187/Precios!H186)</f>
        <v>0.00958984440461495</v>
      </c>
      <c r="I186" s="7" t="n">
        <f aca="false">LN(Precios!I187/Precios!I186)</f>
        <v>0.00700914054070922</v>
      </c>
      <c r="J186" s="7" t="n">
        <f aca="false">LN(Precios!J187/Precios!J186)</f>
        <v>-0.000158351947224756</v>
      </c>
    </row>
    <row r="187" customFormat="false" ht="15" hidden="false" customHeight="false" outlineLevel="0" collapsed="false">
      <c r="A187" s="6" t="n">
        <f aca="false">Precios!A188</f>
        <v>46209</v>
      </c>
      <c r="B187" s="7" t="n">
        <f aca="false">LN(Precios!B188/Precios!B187)</f>
        <v>-0.00620728436983888</v>
      </c>
      <c r="C187" s="7" t="n">
        <f aca="false">LN(Precios!C188/Precios!C187)</f>
        <v>-0.00913248356327259</v>
      </c>
      <c r="D187" s="7" t="n">
        <f aca="false">LN(Precios!D188/Precios!D187)</f>
        <v>0.0101523714640181</v>
      </c>
      <c r="E187" s="7" t="n">
        <f aca="false">LN(Precios!E188/Precios!E187)</f>
        <v>0.0134135438598521</v>
      </c>
      <c r="F187" s="7" t="n">
        <f aca="false">LN(Precios!F188/Precios!F187)</f>
        <v>-0.000933706883894221</v>
      </c>
      <c r="G187" s="7" t="n">
        <f aca="false">LN(Precios!G188/Precios!G187)</f>
        <v>0.00724447849575397</v>
      </c>
      <c r="H187" s="7" t="n">
        <f aca="false">LN(Precios!H188/Precios!H187)</f>
        <v>0.015781495337403</v>
      </c>
      <c r="I187" s="7" t="n">
        <f aca="false">LN(Precios!I188/Precios!I187)</f>
        <v>-0.02117655014129</v>
      </c>
      <c r="J187" s="7" t="n">
        <f aca="false">LN(Precios!J188/Precios!J187)</f>
        <v>0.00603553759866224</v>
      </c>
    </row>
    <row r="188" customFormat="false" ht="15" hidden="false" customHeight="false" outlineLevel="0" collapsed="false">
      <c r="A188" s="6" t="n">
        <f aca="false">Precios!A189</f>
        <v>46210</v>
      </c>
      <c r="B188" s="7" t="n">
        <f aca="false">LN(Precios!B189/Precios!B188)</f>
        <v>0.0129526725093706</v>
      </c>
      <c r="C188" s="7" t="n">
        <f aca="false">LN(Precios!C189/Precios!C188)</f>
        <v>-0.00381123653801591</v>
      </c>
      <c r="D188" s="7" t="n">
        <f aca="false">LN(Precios!D189/Precios!D188)</f>
        <v>0.0083096913757174</v>
      </c>
      <c r="E188" s="7" t="n">
        <f aca="false">LN(Precios!E189/Precios!E188)</f>
        <v>-0.00633136128356082</v>
      </c>
      <c r="F188" s="7" t="n">
        <f aca="false">LN(Precios!F189/Precios!F188)</f>
        <v>-0.00938533402500037</v>
      </c>
      <c r="G188" s="7" t="n">
        <f aca="false">LN(Precios!G189/Precios!G188)</f>
        <v>-0.00122148771128958</v>
      </c>
      <c r="H188" s="7" t="n">
        <f aca="false">LN(Precios!H189/Precios!H188)</f>
        <v>0.00416667269484591</v>
      </c>
      <c r="I188" s="7" t="n">
        <f aca="false">LN(Precios!I189/Precios!I188)</f>
        <v>0.0205776879614998</v>
      </c>
      <c r="J188" s="7" t="n">
        <f aca="false">LN(Precios!J189/Precios!J188)</f>
        <v>-0.0118050148790173</v>
      </c>
    </row>
    <row r="189" customFormat="false" ht="15" hidden="false" customHeight="false" outlineLevel="0" collapsed="false">
      <c r="A189" s="6" t="n">
        <f aca="false">Precios!A190</f>
        <v>46211</v>
      </c>
      <c r="B189" s="7" t="n">
        <f aca="false">LN(Precios!B190/Precios!B189)</f>
        <v>-0.0116886956760428</v>
      </c>
      <c r="C189" s="7" t="n">
        <f aca="false">LN(Precios!C190/Precios!C189)</f>
        <v>0.00134680155037857</v>
      </c>
      <c r="D189" s="7" t="n">
        <f aca="false">LN(Precios!D190/Precios!D189)</f>
        <v>0.0112604048183796</v>
      </c>
      <c r="E189" s="7" t="n">
        <f aca="false">LN(Precios!E190/Precios!E189)</f>
        <v>0.00317069140037401</v>
      </c>
      <c r="F189" s="7" t="n">
        <f aca="false">LN(Precios!F190/Precios!F189)</f>
        <v>0.00845075451772325</v>
      </c>
      <c r="G189" s="7" t="n">
        <f aca="false">LN(Precios!G190/Precios!G189)</f>
        <v>-0.00666473635437928</v>
      </c>
      <c r="H189" s="7" t="n">
        <f aca="false">LN(Precios!H190/Precios!H189)</f>
        <v>-0.00835077921741996</v>
      </c>
      <c r="I189" s="7" t="n">
        <f aca="false">LN(Precios!I190/Precios!I189)</f>
        <v>-0.0080192891666197</v>
      </c>
      <c r="J189" s="7" t="n">
        <f aca="false">LN(Precios!J190/Precios!J189)</f>
        <v>-0.000976258803806793</v>
      </c>
    </row>
    <row r="190" customFormat="false" ht="15" hidden="false" customHeight="false" outlineLevel="0" collapsed="false">
      <c r="A190" s="6" t="n">
        <f aca="false">Precios!A191</f>
        <v>46212</v>
      </c>
      <c r="B190" s="7" t="n">
        <f aca="false">LN(Precios!B191/Precios!B190)</f>
        <v>-0.0183869267687282</v>
      </c>
      <c r="C190" s="7" t="n">
        <f aca="false">LN(Precios!C191/Precios!C190)</f>
        <v>0.00782039512434586</v>
      </c>
      <c r="D190" s="7" t="n">
        <f aca="false">LN(Precios!D191/Precios!D190)</f>
        <v>-0.0252957229347632</v>
      </c>
      <c r="E190" s="7" t="n">
        <f aca="false">LN(Precios!E191/Precios!E190)</f>
        <v>-0.0164911973893571</v>
      </c>
      <c r="F190" s="7" t="n">
        <f aca="false">LN(Precios!F191/Precios!F190)</f>
        <v>0.0148494607958863</v>
      </c>
      <c r="G190" s="7" t="n">
        <f aca="false">LN(Precios!G191/Precios!G190)</f>
        <v>-0.00848828562749911</v>
      </c>
      <c r="H190" s="7" t="n">
        <f aca="false">LN(Precios!H191/Precios!H190)</f>
        <v>-0.00525487283835859</v>
      </c>
      <c r="I190" s="7" t="n">
        <f aca="false">LN(Precios!I191/Precios!I190)</f>
        <v>-0.0133740595252568</v>
      </c>
      <c r="J190" s="7" t="n">
        <f aca="false">LN(Precios!J191/Precios!J190)</f>
        <v>-0.00757043486614174</v>
      </c>
    </row>
    <row r="191" customFormat="false" ht="15" hidden="false" customHeight="false" outlineLevel="0" collapsed="false">
      <c r="A191" s="6" t="n">
        <f aca="false">Precios!A192</f>
        <v>46213</v>
      </c>
      <c r="B191" s="7" t="n">
        <f aca="false">LN(Precios!B192/Precios!B191)</f>
        <v>-0.0192356859000615</v>
      </c>
      <c r="C191" s="7" t="n">
        <f aca="false">LN(Precios!C192/Precios!C191)</f>
        <v>-0.0116410537780578</v>
      </c>
      <c r="D191" s="7" t="n">
        <f aca="false">LN(Precios!D192/Precios!D191)</f>
        <v>0.00396738452946968</v>
      </c>
      <c r="E191" s="7" t="n">
        <f aca="false">LN(Precios!E192/Precios!E191)</f>
        <v>0.00303490369515411</v>
      </c>
      <c r="F191" s="7" t="n">
        <f aca="false">LN(Precios!F192/Precios!F191)</f>
        <v>0.00688549885819185</v>
      </c>
      <c r="G191" s="7" t="n">
        <f aca="false">LN(Precios!G192/Precios!G191)</f>
        <v>0.00666776681241645</v>
      </c>
      <c r="H191" s="7" t="n">
        <f aca="false">LN(Precios!H192/Precios!H191)</f>
        <v>0.0249752835760771</v>
      </c>
      <c r="I191" s="7" t="n">
        <f aca="false">LN(Precios!I192/Precios!I191)</f>
        <v>0.00610130019617689</v>
      </c>
      <c r="J191" s="7" t="n">
        <f aca="false">LN(Precios!J192/Precios!J191)</f>
        <v>0.00586442237505042</v>
      </c>
    </row>
    <row r="192" customFormat="false" ht="15" hidden="false" customHeight="false" outlineLevel="0" collapsed="false">
      <c r="A192" s="6" t="n">
        <f aca="false">Precios!A193</f>
        <v>46216</v>
      </c>
      <c r="B192" s="7" t="n">
        <f aca="false">LN(Precios!B193/Precios!B192)</f>
        <v>-0.00161559079923039</v>
      </c>
      <c r="C192" s="7" t="n">
        <f aca="false">LN(Precios!C193/Precios!C192)</f>
        <v>-0.0115503492228852</v>
      </c>
      <c r="D192" s="7" t="n">
        <f aca="false">LN(Precios!D193/Precios!D192)</f>
        <v>0.00263620539314095</v>
      </c>
      <c r="E192" s="7" t="n">
        <f aca="false">LN(Precios!E193/Precios!E192)</f>
        <v>-0.00410824905759327</v>
      </c>
      <c r="F192" s="7" t="n">
        <f aca="false">LN(Precios!F193/Precios!F192)</f>
        <v>-0.00366636524357796</v>
      </c>
      <c r="G192" s="7" t="n">
        <f aca="false">LN(Precios!G193/Precios!G192)</f>
        <v>-0.0245224678932842</v>
      </c>
      <c r="H192" s="7" t="n">
        <f aca="false">LN(Precios!H193/Precios!H192)</f>
        <v>-0.0124096732157127</v>
      </c>
      <c r="I192" s="7" t="n">
        <f aca="false">LN(Precios!I193/Precios!I192)</f>
        <v>0.00666871219503813</v>
      </c>
      <c r="J192" s="7" t="n">
        <f aca="false">LN(Precios!J193/Precios!J192)</f>
        <v>-0.00789651929211904</v>
      </c>
    </row>
    <row r="193" customFormat="false" ht="15" hidden="false" customHeight="false" outlineLevel="0" collapsed="false">
      <c r="A193" s="6" t="n">
        <f aca="false">Precios!A194</f>
        <v>46217</v>
      </c>
      <c r="B193" s="7" t="n">
        <f aca="false">LN(Precios!B194/Precios!B193)</f>
        <v>-0.00258025490350796</v>
      </c>
      <c r="C193" s="7" t="n">
        <f aca="false">LN(Precios!C194/Precios!C193)</f>
        <v>-0.024675528453846</v>
      </c>
      <c r="D193" s="7" t="n">
        <f aca="false">LN(Precios!D194/Precios!D193)</f>
        <v>0.00306681510907172</v>
      </c>
      <c r="E193" s="7" t="n">
        <f aca="false">LN(Precios!E194/Precios!E193)</f>
        <v>0.00873212355942201</v>
      </c>
      <c r="F193" s="7" t="n">
        <f aca="false">LN(Precios!F194/Precios!F193)</f>
        <v>0.0191001713734192</v>
      </c>
      <c r="G193" s="7" t="n">
        <f aca="false">LN(Precios!G194/Precios!G193)</f>
        <v>0.0223764291920875</v>
      </c>
      <c r="H193" s="7" t="n">
        <f aca="false">LN(Precios!H194/Precios!H193)</f>
        <v>-0.00835950531609041</v>
      </c>
      <c r="I193" s="7" t="n">
        <f aca="false">LN(Precios!I194/Precios!I193)</f>
        <v>-0.00768301393530981</v>
      </c>
      <c r="J193" s="7" t="n">
        <f aca="false">LN(Precios!J194/Precios!J193)</f>
        <v>0.00817018210515602</v>
      </c>
    </row>
    <row r="194" customFormat="false" ht="15" hidden="false" customHeight="false" outlineLevel="0" collapsed="false">
      <c r="A194" s="6" t="n">
        <f aca="false">Precios!A195</f>
        <v>46218</v>
      </c>
      <c r="B194" s="7" t="n">
        <f aca="false">LN(Precios!B195/Precios!B194)</f>
        <v>-0.00599564826413647</v>
      </c>
      <c r="C194" s="7" t="n">
        <f aca="false">LN(Precios!C195/Precios!C194)</f>
        <v>-0.027937423014428</v>
      </c>
      <c r="D194" s="7" t="n">
        <f aca="false">LN(Precios!D195/Precios!D194)</f>
        <v>-0.00614306451371405</v>
      </c>
      <c r="E194" s="7" t="n">
        <f aca="false">LN(Precios!E195/Precios!E194)</f>
        <v>0.0203730263823118</v>
      </c>
      <c r="F194" s="7" t="n">
        <f aca="false">LN(Precios!F195/Precios!F194)</f>
        <v>0.0187421818097407</v>
      </c>
      <c r="G194" s="7" t="n">
        <f aca="false">LN(Precios!G195/Precios!G194)</f>
        <v>-0.0147709976264514</v>
      </c>
      <c r="H194" s="7" t="n">
        <f aca="false">LN(Precios!H195/Precios!H194)</f>
        <v>0.00314300939719922</v>
      </c>
      <c r="I194" s="7" t="n">
        <f aca="false">LN(Precios!I195/Precios!I194)</f>
        <v>0.00868955654671129</v>
      </c>
      <c r="J194" s="7" t="n">
        <f aca="false">LN(Precios!J195/Precios!J194)</f>
        <v>-0.00172427313555275</v>
      </c>
    </row>
    <row r="195" customFormat="false" ht="15" hidden="false" customHeight="false" outlineLevel="0" collapsed="false">
      <c r="A195" s="6" t="n">
        <f aca="false">Precios!A196</f>
        <v>46219</v>
      </c>
      <c r="B195" s="7" t="n">
        <f aca="false">LN(Precios!B196/Precios!B195)</f>
        <v>-0.0010708003980611</v>
      </c>
      <c r="C195" s="7" t="n">
        <f aca="false">LN(Precios!C196/Precios!C195)</f>
        <v>0.00335570784697232</v>
      </c>
      <c r="D195" s="7" t="n">
        <f aca="false">LN(Precios!D196/Precios!D195)</f>
        <v>0.00526779093485881</v>
      </c>
      <c r="E195" s="7" t="n">
        <f aca="false">LN(Precios!E196/Precios!E195)</f>
        <v>0.00693003466466963</v>
      </c>
      <c r="F195" s="7" t="n">
        <f aca="false">LN(Precios!F196/Precios!F195)</f>
        <v>0.00704848733106159</v>
      </c>
      <c r="G195" s="7" t="n">
        <f aca="false">LN(Precios!G196/Precios!G195)</f>
        <v>-0.0168754863619226</v>
      </c>
      <c r="H195" s="7" t="n">
        <f aca="false">LN(Precios!H196/Precios!H195)</f>
        <v>-0.00524385050601104</v>
      </c>
      <c r="I195" s="7" t="n">
        <f aca="false">LN(Precios!I196/Precios!I195)</f>
        <v>-0.00282087634164134</v>
      </c>
      <c r="J195" s="7" t="n">
        <f aca="false">LN(Precios!J196/Precios!J195)</f>
        <v>-0.000657146453409276</v>
      </c>
    </row>
    <row r="196" customFormat="false" ht="15" hidden="false" customHeight="false" outlineLevel="0" collapsed="false">
      <c r="A196" s="6" t="n">
        <f aca="false">Precios!A197</f>
        <v>46220</v>
      </c>
      <c r="B196" s="7" t="n">
        <f aca="false">LN(Precios!B197/Precios!B196)</f>
        <v>0.0223991607513322</v>
      </c>
      <c r="C196" s="7" t="n">
        <f aca="false">LN(Precios!C197/Precios!C196)</f>
        <v>-0.00816919487851996</v>
      </c>
      <c r="D196" s="7" t="n">
        <f aca="false">LN(Precios!D197/Precios!D196)</f>
        <v>0.0100196873978529</v>
      </c>
      <c r="E196" s="7" t="n">
        <f aca="false">LN(Precios!E197/Precios!E196)</f>
        <v>0.00138026246895849</v>
      </c>
      <c r="F196" s="7" t="n">
        <f aca="false">LN(Precios!F197/Precios!F196)</f>
        <v>-0.00219732015458431</v>
      </c>
      <c r="G196" s="7" t="n">
        <f aca="false">LN(Precios!G197/Precios!G196)</f>
        <v>0.00420424362149927</v>
      </c>
      <c r="H196" s="7" t="n">
        <f aca="false">LN(Precios!H197/Precios!H196)</f>
        <v>0.00628932890756392</v>
      </c>
      <c r="I196" s="7" t="n">
        <f aca="false">LN(Precios!I197/Precios!I196)</f>
        <v>-0.00141342779714696</v>
      </c>
      <c r="J196" s="7" t="n">
        <f aca="false">LN(Precios!J197/Precios!J196)</f>
        <v>0.00418286692650572</v>
      </c>
    </row>
    <row r="197" customFormat="false" ht="15" hidden="false" customHeight="false" outlineLevel="0" collapsed="false">
      <c r="A197" s="6" t="n">
        <f aca="false">Precios!A198</f>
        <v>46223</v>
      </c>
      <c r="B197" s="7" t="n">
        <f aca="false">LN(Precios!B198/Precios!B197)</f>
        <v>0.0060182718765533</v>
      </c>
      <c r="C197" s="7" t="n">
        <f aca="false">LN(Precios!C198/Precios!C197)</f>
        <v>-0.00120700075003534</v>
      </c>
      <c r="D197" s="7" t="n">
        <f aca="false">LN(Precios!D198/Precios!D197)</f>
        <v>-0.0139679267887029</v>
      </c>
      <c r="E197" s="7" t="n">
        <f aca="false">LN(Precios!E198/Precios!E197)</f>
        <v>0.0255333020051648</v>
      </c>
      <c r="F197" s="7" t="n">
        <f aca="false">LN(Precios!F198/Precios!F197)</f>
        <v>-0.0381126603106715</v>
      </c>
      <c r="G197" s="7" t="n">
        <f aca="false">LN(Precios!G198/Precios!G197)</f>
        <v>-0.00647968373528383</v>
      </c>
      <c r="H197" s="7" t="n">
        <f aca="false">LN(Precios!H198/Precios!H197)</f>
        <v>0.0145230768383707</v>
      </c>
      <c r="I197" s="7" t="n">
        <f aca="false">LN(Precios!I198/Precios!I197)</f>
        <v>-0.00303551786258408</v>
      </c>
      <c r="J197" s="7" t="n">
        <f aca="false">LN(Precios!J198/Precios!J197)</f>
        <v>-0.00770509264001077</v>
      </c>
    </row>
    <row r="198" customFormat="false" ht="15" hidden="false" customHeight="false" outlineLevel="0" collapsed="false">
      <c r="A198" s="6" t="n">
        <f aca="false">Precios!A199</f>
        <v>46224</v>
      </c>
      <c r="B198" s="7" t="n">
        <f aca="false">LN(Precios!B199/Precios!B198)</f>
        <v>0.0107032021305697</v>
      </c>
      <c r="C198" s="7" t="n">
        <f aca="false">LN(Precios!C199/Precios!C198)</f>
        <v>-0.0339015516756812</v>
      </c>
      <c r="D198" s="7" t="n">
        <f aca="false">LN(Precios!D199/Precios!D198)</f>
        <v>0</v>
      </c>
      <c r="E198" s="7" t="n">
        <f aca="false">LN(Precios!E199/Precios!E198)</f>
        <v>-0.00286123228103224</v>
      </c>
      <c r="F198" s="7" t="n">
        <f aca="false">LN(Precios!F199/Precios!F198)</f>
        <v>0.00864624271486463</v>
      </c>
      <c r="G198" s="7" t="n">
        <f aca="false">LN(Precios!G199/Precios!G198)</f>
        <v>0.0386371447550108</v>
      </c>
      <c r="H198" s="7" t="n">
        <f aca="false">LN(Precios!H199/Precios!H198)</f>
        <v>0.00513611812176749</v>
      </c>
      <c r="I198" s="7" t="n">
        <f aca="false">LN(Precios!I199/Precios!I198)</f>
        <v>-0.00446882726232379</v>
      </c>
      <c r="J198" s="7" t="n">
        <f aca="false">LN(Precios!J199/Precios!J198)</f>
        <v>0.00889896091907881</v>
      </c>
    </row>
    <row r="199" customFormat="false" ht="15" hidden="false" customHeight="false" outlineLevel="0" collapsed="false">
      <c r="A199" s="6" t="n">
        <f aca="false">Precios!A200</f>
        <v>46225</v>
      </c>
      <c r="B199" s="7" t="n">
        <f aca="false">LN(Precios!B200/Precios!B199)</f>
        <v>0.00835434910128807</v>
      </c>
      <c r="C199" s="7" t="n">
        <f aca="false">LN(Precios!C200/Precios!C199)</f>
        <v>0.00399003023120096</v>
      </c>
      <c r="D199" s="7" t="n">
        <f aca="false">LN(Precios!D200/Precios!D199)</f>
        <v>-0.00264084660520901</v>
      </c>
      <c r="E199" s="7" t="n">
        <f aca="false">LN(Precios!E200/Precios!E199)</f>
        <v>0.0147233712058047</v>
      </c>
      <c r="F199" s="7" t="n">
        <f aca="false">LN(Precios!F200/Precios!F199)</f>
        <v>0.00452080335957512</v>
      </c>
      <c r="G199" s="7" t="n">
        <f aca="false">LN(Precios!G200/Precios!G199)</f>
        <v>0.0240313658619142</v>
      </c>
      <c r="H199" s="7" t="n">
        <f aca="false">LN(Precios!H200/Precios!H199)</f>
        <v>0.0112074530203891</v>
      </c>
      <c r="I199" s="7" t="n">
        <f aca="false">LN(Precios!I200/Precios!I199)</f>
        <v>-0.0120841204217622</v>
      </c>
      <c r="J199" s="7" t="n">
        <f aca="false">LN(Precios!J200/Precios!J199)</f>
        <v>0.00880486663733978</v>
      </c>
    </row>
    <row r="200" customFormat="false" ht="15" hidden="false" customHeight="false" outlineLevel="0" collapsed="false">
      <c r="A200" s="6" t="n">
        <f aca="false">Precios!A201</f>
        <v>46226</v>
      </c>
      <c r="B200" s="7" t="n">
        <f aca="false">LN(Precios!B201/Precios!B200)</f>
        <v>-0.0455381840697954</v>
      </c>
      <c r="C200" s="7" t="n">
        <f aca="false">LN(Precios!C201/Precios!C200)</f>
        <v>-0.00399003023120089</v>
      </c>
      <c r="D200" s="7" t="n">
        <f aca="false">LN(Precios!D201/Precios!D200)</f>
        <v>0.00308031046637977</v>
      </c>
      <c r="E200" s="7" t="n">
        <f aca="false">LN(Precios!E201/Precios!E200)</f>
        <v>-0.0203010075706371</v>
      </c>
      <c r="F200" s="7" t="n">
        <f aca="false">LN(Precios!F201/Precios!F200)</f>
        <v>-0.030687088494603</v>
      </c>
      <c r="G200" s="7" t="n">
        <f aca="false">LN(Precios!G201/Precios!G200)</f>
        <v>-0.0123925131426407</v>
      </c>
      <c r="H200" s="7" t="n">
        <f aca="false">LN(Precios!H201/Precios!H200)</f>
        <v>-0.00304414238122813</v>
      </c>
      <c r="I200" s="7" t="n">
        <f aca="false">LN(Precios!I201/Precios!I200)</f>
        <v>-0.0248265593312869</v>
      </c>
      <c r="J200" s="7" t="n">
        <f aca="false">LN(Precios!J201/Precios!J200)</f>
        <v>-0.0155400483439512</v>
      </c>
    </row>
    <row r="201" customFormat="false" ht="15" hidden="false" customHeight="false" outlineLevel="0" collapsed="false">
      <c r="A201" s="6" t="n">
        <f aca="false">Precios!A202</f>
        <v>46227</v>
      </c>
      <c r="B201" s="7" t="n">
        <f aca="false">LN(Precios!B202/Precios!B201)</f>
        <v>0.0136545056645736</v>
      </c>
      <c r="C201" s="7" t="n">
        <f aca="false">LN(Precios!C202/Precios!C201)</f>
        <v>0.0183218791989365</v>
      </c>
      <c r="D201" s="7" t="n">
        <f aca="false">LN(Precios!D202/Precios!D201)</f>
        <v>0.00219442703816639</v>
      </c>
      <c r="E201" s="7" t="n">
        <f aca="false">LN(Precios!E202/Precios!E201)</f>
        <v>-0.0117638386716548</v>
      </c>
      <c r="F201" s="7" t="n">
        <f aca="false">LN(Precios!F202/Precios!F201)</f>
        <v>-0.0168859546915255</v>
      </c>
      <c r="G201" s="7" t="n">
        <f aca="false">LN(Precios!G202/Precios!G201)</f>
        <v>0.0157789031041585</v>
      </c>
      <c r="H201" s="7" t="n">
        <f aca="false">LN(Precios!H202/Precios!H201)</f>
        <v>-0.00305343748689023</v>
      </c>
      <c r="I201" s="7" t="n">
        <f aca="false">LN(Precios!I202/Precios!I201)</f>
        <v>0.0155106861411141</v>
      </c>
      <c r="J201" s="7" t="n">
        <f aca="false">LN(Precios!J202/Precios!J201)</f>
        <v>0.00176782021545523</v>
      </c>
    </row>
    <row r="202" customFormat="false" ht="15" hidden="false" customHeight="false" outlineLevel="0" collapsed="false">
      <c r="A202" s="6" t="n">
        <f aca="false">Precios!A203</f>
        <v>46230</v>
      </c>
      <c r="B202" s="7" t="n">
        <f aca="false">LN(Precios!B203/Precios!B202)</f>
        <v>0.00105424342704401</v>
      </c>
      <c r="C202" s="7" t="n">
        <f aca="false">LN(Precios!C203/Precios!C202)</f>
        <v>0.00538293445622953</v>
      </c>
      <c r="D202" s="7" t="n">
        <f aca="false">LN(Precios!D203/Precios!D202)</f>
        <v>-0.0154630869859995</v>
      </c>
      <c r="E202" s="7" t="n">
        <f aca="false">LN(Precios!E203/Precios!E202)</f>
        <v>0.0136265096022134</v>
      </c>
      <c r="F202" s="7" t="n">
        <f aca="false">LN(Precios!F203/Precios!F202)</f>
        <v>0.0108210888889646</v>
      </c>
      <c r="G202" s="7" t="n">
        <f aca="false">LN(Precios!G203/Precios!G202)</f>
        <v>0.0214054995619398</v>
      </c>
      <c r="H202" s="7" t="n">
        <f aca="false">LN(Precios!H203/Precios!H202)</f>
        <v>0.00711023818250481</v>
      </c>
      <c r="I202" s="7" t="n">
        <f aca="false">LN(Precios!I203/Precios!I202)</f>
        <v>0.00663352349563388</v>
      </c>
      <c r="J202" s="7" t="n">
        <f aca="false">LN(Precios!J203/Precios!J202)</f>
        <v>0.0116017957470165</v>
      </c>
    </row>
    <row r="203" customFormat="false" ht="15" hidden="false" customHeight="false" outlineLevel="0" collapsed="false">
      <c r="A203" s="6" t="n">
        <f aca="false">Precios!A204</f>
        <v>46231</v>
      </c>
      <c r="B203" s="7" t="n">
        <f aca="false">LN(Precios!B204/Precios!B203)</f>
        <v>-0.00806049704217791</v>
      </c>
      <c r="C203" s="7" t="n">
        <f aca="false">LN(Precios!C204/Precios!C203)</f>
        <v>0.0183757588383011</v>
      </c>
      <c r="D203" s="7" t="n">
        <f aca="false">LN(Precios!D204/Precios!D203)</f>
        <v>0.00177935990007736</v>
      </c>
      <c r="E203" s="7" t="n">
        <f aca="false">LN(Precios!E204/Precios!E203)</f>
        <v>0.0132763902851255</v>
      </c>
      <c r="F203" s="7" t="n">
        <f aca="false">LN(Precios!F204/Precios!F203)</f>
        <v>-0.0198494229629096</v>
      </c>
      <c r="G203" s="7" t="n">
        <f aca="false">LN(Precios!G204/Precios!G203)</f>
        <v>0.0161595194383773</v>
      </c>
      <c r="H203" s="7" t="n">
        <f aca="false">LN(Precios!H204/Precios!H203)</f>
        <v>-0.00507357760070134</v>
      </c>
      <c r="I203" s="7" t="n">
        <f aca="false">LN(Precios!I204/Precios!I203)</f>
        <v>0.0076155559993752</v>
      </c>
      <c r="J203" s="7" t="n">
        <f aca="false">LN(Precios!J204/Precios!J203)</f>
        <v>0.00222555402537828</v>
      </c>
    </row>
    <row r="204" customFormat="false" ht="15" hidden="false" customHeight="false" outlineLevel="0" collapsed="false">
      <c r="A204" s="6" t="n">
        <f aca="false">Precios!A205</f>
        <v>46232</v>
      </c>
      <c r="B204" s="7" t="n">
        <f aca="false">LN(Precios!B205/Precios!B204)</f>
        <v>0.00217265072959626</v>
      </c>
      <c r="C204" s="7" t="n">
        <f aca="false">LN(Precios!C205/Precios!C204)</f>
        <v>0.00501853126416051</v>
      </c>
      <c r="D204" s="7" t="n">
        <f aca="false">LN(Precios!D205/Precios!D204)</f>
        <v>-0.0302301386485221</v>
      </c>
      <c r="E204" s="7" t="n">
        <f aca="false">LN(Precios!E205/Precios!E204)</f>
        <v>-0.000333945569975967</v>
      </c>
      <c r="F204" s="7" t="n">
        <f aca="false">LN(Precios!F205/Precios!F204)</f>
        <v>-0.0173331253284487</v>
      </c>
      <c r="G204" s="7" t="n">
        <f aca="false">LN(Precios!G205/Precios!G204)</f>
        <v>-0.0147350902409245</v>
      </c>
      <c r="H204" s="7" t="n">
        <f aca="false">LN(Precios!H205/Precios!H204)</f>
        <v>0.00304723445546891</v>
      </c>
      <c r="I204" s="7" t="n">
        <f aca="false">LN(Precios!I205/Precios!I204)</f>
        <v>0.0140488923713089</v>
      </c>
      <c r="J204" s="7" t="n">
        <f aca="false">LN(Precios!J205/Precios!J204)</f>
        <v>-0.012372770123523</v>
      </c>
    </row>
    <row r="205" customFormat="false" ht="15" hidden="false" customHeight="false" outlineLevel="0" collapsed="false">
      <c r="A205" s="6" t="n">
        <f aca="false">Precios!A206</f>
        <v>46233</v>
      </c>
      <c r="B205" s="7" t="n">
        <f aca="false">LN(Precios!B206/Precios!B205)</f>
        <v>0.00528555759732592</v>
      </c>
      <c r="C205" s="7" t="n">
        <f aca="false">LN(Precios!C206/Precios!C205)</f>
        <v>0.00759918166548335</v>
      </c>
      <c r="D205" s="7" t="n">
        <f aca="false">LN(Precios!D206/Precios!D205)</f>
        <v>0.00775728279646333</v>
      </c>
      <c r="E205" s="7" t="n">
        <f aca="false">LN(Precios!E206/Precios!E205)</f>
        <v>0.0137658695909151</v>
      </c>
      <c r="F205" s="7" t="n">
        <f aca="false">LN(Precios!F206/Precios!F205)</f>
        <v>0.0048449707177537</v>
      </c>
      <c r="G205" s="7" t="n">
        <f aca="false">LN(Precios!G206/Precios!G205)</f>
        <v>0.0179858245181063</v>
      </c>
      <c r="H205" s="7" t="n">
        <f aca="false">LN(Precios!H206/Precios!H205)</f>
        <v>0.00202634314523247</v>
      </c>
      <c r="I205" s="7" t="n">
        <f aca="false">LN(Precios!I206/Precios!I205)</f>
        <v>0.0146515415735722</v>
      </c>
      <c r="J205" s="7" t="n">
        <f aca="false">LN(Precios!J206/Precios!J205)</f>
        <v>0.012118085689383</v>
      </c>
    </row>
    <row r="206" customFormat="false" ht="15" hidden="false" customHeight="false" outlineLevel="0" collapsed="false">
      <c r="A206" s="6" t="n">
        <f aca="false">Precios!A207</f>
        <v>46234</v>
      </c>
      <c r="B206" s="7" t="n">
        <f aca="false">LN(Precios!B207/Precios!B206)</f>
        <v>-0.00362137001739805</v>
      </c>
      <c r="C206" s="7" t="n">
        <f aca="false">LN(Precios!C207/Precios!C206)</f>
        <v>-0.00355492731292395</v>
      </c>
      <c r="D206" s="7" t="n">
        <f aca="false">LN(Precios!D207/Precios!D206)</f>
        <v>0.00317676691032917</v>
      </c>
      <c r="E206" s="7" t="n">
        <f aca="false">LN(Precios!E207/Precios!E206)</f>
        <v>0.0203805864063253</v>
      </c>
      <c r="F206" s="7" t="n">
        <f aca="false">LN(Precios!F207/Precios!F206)</f>
        <v>-0.00873791967316245</v>
      </c>
      <c r="G206" s="7" t="n">
        <f aca="false">LN(Precios!G207/Precios!G206)</f>
        <v>0.00149678219831839</v>
      </c>
      <c r="H206" s="7" t="n">
        <f aca="false">LN(Precios!H207/Precios!H206)</f>
        <v>-0.00711023818250477</v>
      </c>
      <c r="I206" s="7" t="n">
        <f aca="false">LN(Precios!I207/Precios!I206)</f>
        <v>0.00119474327234286</v>
      </c>
      <c r="J206" s="7" t="n">
        <f aca="false">LN(Precios!J207/Precios!J206)</f>
        <v>-0.00526585247091114</v>
      </c>
    </row>
    <row r="207" customFormat="false" ht="15" hidden="false" customHeight="false" outlineLevel="0" collapsed="false">
      <c r="A207" s="6" t="n">
        <f aca="false">Precios!A208</f>
        <v>46237</v>
      </c>
      <c r="B207" s="7" t="n">
        <f aca="false">LN(Precios!B208/Precios!B207)</f>
        <v>-0.0143624484128749</v>
      </c>
      <c r="C207" s="7" t="n">
        <f aca="false">LN(Precios!C208/Precios!C207)</f>
        <v>-0.00978177905692081</v>
      </c>
      <c r="D207" s="7" t="n">
        <f aca="false">LN(Precios!D208/Precios!D207)</f>
        <v>-0.0210630497498505</v>
      </c>
      <c r="E207" s="7" t="n">
        <f aca="false">LN(Precios!E208/Precios!E207)</f>
        <v>-0.0108723180510275</v>
      </c>
      <c r="F207" s="7" t="n">
        <f aca="false">LN(Precios!F208/Precios!F207)</f>
        <v>0.00437850371124616</v>
      </c>
      <c r="G207" s="7" t="n">
        <f aca="false">LN(Precios!G208/Precios!G207)</f>
        <v>-0.00971902846015117</v>
      </c>
      <c r="H207" s="7" t="n">
        <f aca="false">LN(Precios!H208/Precios!H207)</f>
        <v>-0.00921665510492395</v>
      </c>
      <c r="I207" s="7" t="n">
        <f aca="false">LN(Precios!I208/Precios!I207)</f>
        <v>-0.00919638628509375</v>
      </c>
      <c r="J207" s="7" t="n">
        <f aca="false">LN(Precios!J208/Precios!J207)</f>
        <v>-0.00358845623876556</v>
      </c>
    </row>
    <row r="208" customFormat="false" ht="15" hidden="false" customHeight="false" outlineLevel="0" collapsed="false">
      <c r="A208" s="6" t="n">
        <f aca="false">Precios!A209</f>
        <v>46238</v>
      </c>
      <c r="B208" s="7" t="n">
        <f aca="false">LN(Precios!B209/Precios!B208)</f>
        <v>-0.00687323181819907</v>
      </c>
      <c r="C208" s="7" t="n">
        <f aca="false">LN(Precios!C209/Precios!C208)</f>
        <v>-0.0135169810857751</v>
      </c>
      <c r="D208" s="7" t="n">
        <f aca="false">LN(Precios!D209/Precios!D208)</f>
        <v>-0.00603390087813057</v>
      </c>
      <c r="E208" s="7" t="n">
        <f aca="false">LN(Precios!E209/Precios!E208)</f>
        <v>-0.00638352278178902</v>
      </c>
      <c r="F208" s="7" t="n">
        <f aca="false">LN(Precios!F209/Precios!F208)</f>
        <v>-0.0255667809720071</v>
      </c>
      <c r="G208" s="7" t="n">
        <f aca="false">LN(Precios!G209/Precios!G208)</f>
        <v>-0.00459167746717288</v>
      </c>
      <c r="H208" s="7" t="n">
        <f aca="false">LN(Precios!H209/Precios!H208)</f>
        <v>-0.0103413537947327</v>
      </c>
      <c r="I208" s="7" t="n">
        <f aca="false">LN(Precios!I209/Precios!I208)</f>
        <v>0.0020064212188547</v>
      </c>
      <c r="J208" s="7" t="n">
        <f aca="false">LN(Precios!J209/Precios!J208)</f>
        <v>0.00203609166638374</v>
      </c>
    </row>
    <row r="209" customFormat="false" ht="15" hidden="false" customHeight="false" outlineLevel="0" collapsed="false">
      <c r="A209" s="6" t="n">
        <f aca="false">Precios!A210</f>
        <v>46239</v>
      </c>
      <c r="B209" s="7" t="n">
        <f aca="false">LN(Precios!B210/Precios!B209)</f>
        <v>-0.00484987020171547</v>
      </c>
      <c r="C209" s="7" t="n">
        <f aca="false">LN(Precios!C210/Precios!C209)</f>
        <v>0.00750517988455467</v>
      </c>
      <c r="D209" s="7" t="n">
        <f aca="false">LN(Precios!D210/Precios!D209)</f>
        <v>-0.0326501677707425</v>
      </c>
      <c r="E209" s="7" t="n">
        <f aca="false">LN(Precios!E210/Precios!E209)</f>
        <v>0.00426020634501027</v>
      </c>
      <c r="F209" s="7" t="n">
        <f aca="false">LN(Precios!F210/Precios!F209)</f>
        <v>-0.00599402394021041</v>
      </c>
      <c r="G209" s="7" t="n">
        <f aca="false">LN(Precios!G210/Precios!G209)</f>
        <v>0.00605054031614777</v>
      </c>
      <c r="H209" s="7" t="n">
        <f aca="false">LN(Precios!H210/Precios!H209)</f>
        <v>-0.0104494158743411</v>
      </c>
      <c r="I209" s="7" t="n">
        <f aca="false">LN(Precios!I210/Precios!I209)</f>
        <v>-0.0276384184558211</v>
      </c>
      <c r="J209" s="7" t="n">
        <f aca="false">LN(Precios!J210/Precios!J209)</f>
        <v>-0.00461884194913115</v>
      </c>
    </row>
    <row r="210" customFormat="false" ht="15" hidden="false" customHeight="false" outlineLevel="0" collapsed="false">
      <c r="A210" s="6" t="n">
        <f aca="false">Precios!A211</f>
        <v>46240</v>
      </c>
      <c r="B210" s="7" t="n">
        <f aca="false">LN(Precios!B211/Precios!B210)</f>
        <v>0.0067524289450414</v>
      </c>
      <c r="C210" s="7" t="n">
        <f aca="false">LN(Precios!C211/Precios!C210)</f>
        <v>0.00840643836084008</v>
      </c>
      <c r="D210" s="7" t="n">
        <f aca="false">LN(Precios!D211/Precios!D210)</f>
        <v>-0.00869570696755393</v>
      </c>
      <c r="E210" s="7" t="n">
        <f aca="false">LN(Precios!E211/Precios!E210)</f>
        <v>-0.00590359208874021</v>
      </c>
      <c r="F210" s="7" t="n">
        <f aca="false">LN(Precios!F211/Precios!F210)</f>
        <v>-0.0222906898983715</v>
      </c>
      <c r="G210" s="7" t="n">
        <f aca="false">LN(Precios!G211/Precios!G210)</f>
        <v>-0.0003519444969584</v>
      </c>
      <c r="H210" s="7" t="n">
        <f aca="false">LN(Precios!H211/Precios!H210)</f>
        <v>0.0248975516217273</v>
      </c>
      <c r="I210" s="7" t="n">
        <f aca="false">LN(Precios!I211/Precios!I210)</f>
        <v>0.00943403223335871</v>
      </c>
      <c r="J210" s="7" t="n">
        <f aca="false">LN(Precios!J211/Precios!J210)</f>
        <v>-0.00194144973615007</v>
      </c>
    </row>
    <row r="211" customFormat="false" ht="15" hidden="false" customHeight="false" outlineLevel="0" collapsed="false">
      <c r="A211" s="6" t="n">
        <f aca="false">Precios!A212</f>
        <v>46241</v>
      </c>
      <c r="B211" s="7" t="n">
        <f aca="false">LN(Precios!B212/Precios!B211)</f>
        <v>0.0140789919913942</v>
      </c>
      <c r="C211" s="7" t="n">
        <f aca="false">LN(Precios!C212/Precios!C211)</f>
        <v>0.00191158959046992</v>
      </c>
      <c r="D211" s="7" t="n">
        <f aca="false">LN(Precios!D212/Precios!D211)</f>
        <v>-0.00877198607283699</v>
      </c>
      <c r="E211" s="7" t="n">
        <f aca="false">LN(Precios!E212/Precios!E211)</f>
        <v>0.00574007316105998</v>
      </c>
      <c r="F211" s="7" t="n">
        <f aca="false">LN(Precios!F212/Precios!F211)</f>
        <v>0.00102406562969013</v>
      </c>
      <c r="G211" s="7" t="n">
        <f aca="false">LN(Precios!G212/Precios!G211)</f>
        <v>0.00461570155207614</v>
      </c>
      <c r="H211" s="7" t="n">
        <f aca="false">LN(Precios!H212/Precios!H211)</f>
        <v>0.00306905611741775</v>
      </c>
      <c r="I211" s="7" t="n">
        <f aca="false">LN(Precios!I212/Precios!I211)</f>
        <v>0.00975022958913379</v>
      </c>
      <c r="J211" s="7" t="n">
        <f aca="false">LN(Precios!J212/Precios!J211)</f>
        <v>0.00813730600160955</v>
      </c>
    </row>
    <row r="212" customFormat="false" ht="15" hidden="false" customHeight="false" outlineLevel="0" collapsed="false">
      <c r="A212" s="6" t="n">
        <f aca="false">Precios!A213</f>
        <v>46244</v>
      </c>
      <c r="B212" s="7" t="n">
        <f aca="false">LN(Precios!B213/Precios!B212)</f>
        <v>-0.00915943712739494</v>
      </c>
      <c r="C212" s="7" t="n">
        <f aca="false">LN(Precios!C213/Precios!C212)</f>
        <v>-0.00526568952458137</v>
      </c>
      <c r="D212" s="7" t="n">
        <f aca="false">LN(Precios!D213/Precios!D212)</f>
        <v>0.00244439134177644</v>
      </c>
      <c r="E212" s="7" t="n">
        <f aca="false">LN(Precios!E213/Precios!E212)</f>
        <v>0.00716965756577054</v>
      </c>
      <c r="F212" s="7" t="n">
        <f aca="false">LN(Precios!F213/Precios!F212)</f>
        <v>-0.00307534840024754</v>
      </c>
      <c r="G212" s="7" t="n">
        <f aca="false">LN(Precios!G213/Precios!G212)</f>
        <v>-0.0132519007803674</v>
      </c>
      <c r="H212" s="7" t="n">
        <f aca="false">LN(Precios!H213/Precios!H212)</f>
        <v>0.0182191274313281</v>
      </c>
      <c r="I212" s="7" t="n">
        <f aca="false">LN(Precios!I213/Precios!I212)</f>
        <v>-0.0264224280528919</v>
      </c>
      <c r="J212" s="7" t="n">
        <f aca="false">LN(Precios!J213/Precios!J212)</f>
        <v>-0.00749846702564242</v>
      </c>
    </row>
    <row r="213" customFormat="false" ht="15" hidden="false" customHeight="false" outlineLevel="0" collapsed="false">
      <c r="A213" s="6" t="n">
        <f aca="false">Precios!A214</f>
        <v>46245</v>
      </c>
      <c r="B213" s="7" t="n">
        <f aca="false">LN(Precios!B214/Precios!B213)</f>
        <v>-0.00810967848533115</v>
      </c>
      <c r="C213" s="7" t="n">
        <f aca="false">LN(Precios!C214/Precios!C213)</f>
        <v>-0.00988793779125643</v>
      </c>
      <c r="D213" s="7" t="n">
        <f aca="false">LN(Precios!D214/Precios!D213)</f>
        <v>-0.0242166516589985</v>
      </c>
      <c r="E213" s="7" t="n">
        <f aca="false">LN(Precios!E214/Precios!E213)</f>
        <v>-0.000324780775833141</v>
      </c>
      <c r="F213" s="7" t="n">
        <f aca="false">LN(Precios!F214/Precios!F213)</f>
        <v>-0.0170855825877341</v>
      </c>
      <c r="G213" s="7" t="n">
        <f aca="false">LN(Precios!G214/Precios!G213)</f>
        <v>-0.0279810467916782</v>
      </c>
      <c r="H213" s="7" t="n">
        <f aca="false">LN(Precios!H214/Precios!H213)</f>
        <v>-0.0284861580710723</v>
      </c>
      <c r="I213" s="7" t="n">
        <f aca="false">LN(Precios!I214/Precios!I213)</f>
        <v>0.00393578964816647</v>
      </c>
      <c r="J213" s="7" t="n">
        <f aca="false">LN(Precios!J214/Precios!J213)</f>
        <v>-0.01323955536253</v>
      </c>
    </row>
    <row r="214" customFormat="false" ht="15" hidden="false" customHeight="false" outlineLevel="0" collapsed="false">
      <c r="A214" s="6" t="n">
        <f aca="false">Precios!A215</f>
        <v>46246</v>
      </c>
      <c r="B214" s="7" t="n">
        <f aca="false">LN(Precios!B215/Precios!B214)</f>
        <v>0.000772737848512709</v>
      </c>
      <c r="C214" s="7" t="n">
        <f aca="false">LN(Precios!C215/Precios!C214)</f>
        <v>0.00916773610366234</v>
      </c>
      <c r="D214" s="7" t="n">
        <f aca="false">LN(Precios!D215/Precios!D214)</f>
        <v>-0.00551794728388066</v>
      </c>
      <c r="E214" s="7" t="n">
        <f aca="false">LN(Precios!E215/Precios!E214)</f>
        <v>-0.0120916505905048</v>
      </c>
      <c r="F214" s="7" t="n">
        <f aca="false">LN(Precios!F215/Precios!F214)</f>
        <v>0.00312826115381043</v>
      </c>
      <c r="G214" s="7" t="n">
        <f aca="false">LN(Precios!G215/Precios!G214)</f>
        <v>0.0148595760153236</v>
      </c>
      <c r="H214" s="7" t="n">
        <f aca="false">LN(Precios!H215/Precios!H214)</f>
        <v>0.00924505814405099</v>
      </c>
      <c r="I214" s="7" t="n">
        <f aca="false">LN(Precios!I215/Precios!I214)</f>
        <v>-0.0105997043546646</v>
      </c>
      <c r="J214" s="7" t="n">
        <f aca="false">LN(Precios!J215/Precios!J214)</f>
        <v>0.00291210892793166</v>
      </c>
    </row>
    <row r="215" customFormat="false" ht="15" hidden="false" customHeight="false" outlineLevel="0" collapsed="false">
      <c r="A215" s="6" t="n">
        <f aca="false">Precios!A216</f>
        <v>46247</v>
      </c>
      <c r="B215" s="7" t="n">
        <f aca="false">LN(Precios!B216/Precios!B215)</f>
        <v>-0.0067169829893797</v>
      </c>
      <c r="C215" s="7" t="n">
        <f aca="false">LN(Precios!C216/Precios!C215)</f>
        <v>-0.0240624077529486</v>
      </c>
      <c r="D215" s="7" t="n">
        <f aca="false">LN(Precios!D216/Precios!D215)</f>
        <v>-0.000503144664702417</v>
      </c>
      <c r="E215" s="7" t="n">
        <f aca="false">LN(Precios!E216/Precios!E215)</f>
        <v>0.000328731100922252</v>
      </c>
      <c r="F215" s="7" t="n">
        <f aca="false">LN(Precios!F216/Precios!F215)</f>
        <v>-0.0125721928335426</v>
      </c>
      <c r="G215" s="7" t="n">
        <f aca="false">LN(Precios!G216/Precios!G215)</f>
        <v>-0.0122548652282418</v>
      </c>
      <c r="H215" s="7" t="n">
        <f aca="false">LN(Precios!H216/Precios!H215)</f>
        <v>0.00102197249569297</v>
      </c>
      <c r="I215" s="7" t="n">
        <f aca="false">LN(Precios!I216/Precios!I215)</f>
        <v>-0.015582543136896</v>
      </c>
      <c r="J215" s="7" t="n">
        <f aca="false">LN(Precios!J216/Precios!J215)</f>
        <v>-0.0142376918754103</v>
      </c>
    </row>
    <row r="216" customFormat="false" ht="15" hidden="false" customHeight="false" outlineLevel="0" collapsed="false">
      <c r="A216" s="6" t="n">
        <f aca="false">Precios!A217</f>
        <v>46248</v>
      </c>
      <c r="B216" s="7" t="n">
        <f aca="false">LN(Precios!B217/Precios!B216)</f>
        <v>-0.000570435880326689</v>
      </c>
      <c r="C216" s="7" t="n">
        <f aca="false">LN(Precios!C217/Precios!C216)</f>
        <v>-0.00616905102671524</v>
      </c>
      <c r="D216" s="7" t="n">
        <f aca="false">LN(Precios!D217/Precios!D216)</f>
        <v>0.00702109203191665</v>
      </c>
      <c r="E216" s="7" t="n">
        <f aca="false">LN(Precios!E217/Precios!E216)</f>
        <v>-0.00791952662520148</v>
      </c>
      <c r="F216" s="7" t="n">
        <f aca="false">LN(Precios!F217/Precios!F216)</f>
        <v>-0.00263922032319046</v>
      </c>
      <c r="G216" s="7" t="n">
        <f aca="false">LN(Precios!G217/Precios!G216)</f>
        <v>-0.0219338181631102</v>
      </c>
      <c r="H216" s="7" t="n">
        <f aca="false">LN(Precios!H217/Precios!H216)</f>
        <v>0.00712471207212515</v>
      </c>
      <c r="I216" s="7" t="n">
        <f aca="false">LN(Precios!I217/Precios!I216)</f>
        <v>0.00634654129392824</v>
      </c>
      <c r="J216" s="7" t="n">
        <f aca="false">LN(Precios!J217/Precios!J216)</f>
        <v>-0.00663873748655588</v>
      </c>
    </row>
    <row r="217" customFormat="false" ht="15" hidden="false" customHeight="false" outlineLevel="0" collapsed="false">
      <c r="A217" s="6" t="n">
        <f aca="false">Precios!A218</f>
        <v>46251</v>
      </c>
      <c r="B217" s="7" t="n">
        <f aca="false">LN(Precios!B218/Precios!B217)</f>
        <v>-0.00938093183376571</v>
      </c>
      <c r="C217" s="7" t="n">
        <f aca="false">LN(Precios!C218/Precios!C217)</f>
        <v>0.00222524507696548</v>
      </c>
      <c r="D217" s="7" t="n">
        <f aca="false">LN(Precios!D218/Precios!D217)</f>
        <v>0.00746829460752574</v>
      </c>
      <c r="E217" s="7" t="n">
        <f aca="false">LN(Precios!E218/Precios!E217)</f>
        <v>-0.0360916069593063</v>
      </c>
      <c r="F217" s="7" t="n">
        <f aca="false">LN(Precios!F218/Precios!F217)</f>
        <v>0.00316622955804951</v>
      </c>
      <c r="G217" s="7" t="n">
        <f aca="false">LN(Precios!G218/Precios!G217)</f>
        <v>0.000265865526783366</v>
      </c>
      <c r="H217" s="7" t="n">
        <f aca="false">LN(Precios!H218/Precios!H217)</f>
        <v>-0.0101937681895429</v>
      </c>
      <c r="I217" s="7" t="n">
        <f aca="false">LN(Precios!I218/Precios!I217)</f>
        <v>-0.00868373560122031</v>
      </c>
      <c r="J217" s="7" t="n">
        <f aca="false">LN(Precios!J218/Precios!J217)</f>
        <v>-0.00221480555383089</v>
      </c>
    </row>
    <row r="218" customFormat="false" ht="15" hidden="false" customHeight="false" outlineLevel="0" collapsed="false">
      <c r="A218" s="6" t="n">
        <f aca="false">Precios!A219</f>
        <v>46252</v>
      </c>
      <c r="B218" s="7" t="n">
        <f aca="false">LN(Precios!B219/Precios!B218)</f>
        <v>-0.000942951507870236</v>
      </c>
      <c r="C218" s="7" t="n">
        <f aca="false">LN(Precios!C219/Precios!C218)</f>
        <v>-0.0106766998063975</v>
      </c>
      <c r="D218" s="7" t="n">
        <f aca="false">LN(Precios!D219/Precios!D218)</f>
        <v>0.0019821612039912</v>
      </c>
      <c r="E218" s="7" t="n">
        <f aca="false">LN(Precios!E219/Precios!E218)</f>
        <v>0.0141531904667481</v>
      </c>
      <c r="F218" s="7" t="n">
        <f aca="false">LN(Precios!F219/Precios!F218)</f>
        <v>-0.0370313307790076</v>
      </c>
      <c r="G218" s="7" t="n">
        <f aca="false">LN(Precios!G219/Precios!G218)</f>
        <v>-0.00287509515481676</v>
      </c>
      <c r="H218" s="7" t="n">
        <f aca="false">LN(Precios!H219/Precios!H218)</f>
        <v>-0.034396303779635</v>
      </c>
      <c r="I218" s="7" t="n">
        <f aca="false">LN(Precios!I219/Precios!I218)</f>
        <v>0.00360972894348981</v>
      </c>
      <c r="J218" s="7" t="n">
        <f aca="false">LN(Precios!J219/Precios!J218)</f>
        <v>-0.00501277800572329</v>
      </c>
    </row>
    <row r="219" customFormat="false" ht="15" hidden="false" customHeight="false" outlineLevel="0" collapsed="false">
      <c r="A219" s="6" t="n">
        <f aca="false">Precios!A220</f>
        <v>46253</v>
      </c>
      <c r="B219" s="7" t="n">
        <f aca="false">LN(Precios!B220/Precios!B219)</f>
        <v>-0.0115973888148291</v>
      </c>
      <c r="C219" s="7" t="n">
        <f aca="false">LN(Precios!C220/Precios!C219)</f>
        <v>0.00646929352544094</v>
      </c>
      <c r="D219" s="7" t="n">
        <f aca="false">LN(Precios!D220/Precios!D219)</f>
        <v>-0.0119523335238411</v>
      </c>
      <c r="E219" s="7" t="n">
        <f aca="false">LN(Precios!E220/Precios!E219)</f>
        <v>-0.00152503630336388</v>
      </c>
      <c r="F219" s="7" t="n">
        <f aca="false">LN(Precios!F220/Precios!F219)</f>
        <v>-0.009338161787941</v>
      </c>
      <c r="G219" s="7" t="n">
        <f aca="false">LN(Precios!G220/Precios!G219)</f>
        <v>-0.0154208788891082</v>
      </c>
      <c r="H219" s="7" t="n">
        <f aca="false">LN(Precios!H220/Precios!H219)</f>
        <v>-0.0117334679478663</v>
      </c>
      <c r="I219" s="7" t="n">
        <f aca="false">LN(Precios!I220/Precios!I219)</f>
        <v>-0.00488686832525695</v>
      </c>
      <c r="J219" s="7" t="n">
        <f aca="false">LN(Precios!J220/Precios!J219)</f>
        <v>0.0010250682993171</v>
      </c>
    </row>
    <row r="220" customFormat="false" ht="15" hidden="false" customHeight="false" outlineLevel="0" collapsed="false">
      <c r="A220" s="6" t="n">
        <f aca="false">Precios!A221</f>
        <v>46254</v>
      </c>
      <c r="B220" s="7" t="n">
        <f aca="false">LN(Precios!B221/Precios!B220)</f>
        <v>0.00644788450298911</v>
      </c>
      <c r="C220" s="7" t="n">
        <f aca="false">LN(Precios!C221/Precios!C220)</f>
        <v>-0.0157483569681393</v>
      </c>
      <c r="D220" s="7" t="n">
        <f aca="false">LN(Precios!D221/Precios!D220)</f>
        <v>-0.00502261226629144</v>
      </c>
      <c r="E220" s="7" t="n">
        <f aca="false">LN(Precios!E221/Precios!E220)</f>
        <v>-0.00834402457088972</v>
      </c>
      <c r="F220" s="7" t="n">
        <f aca="false">LN(Precios!F221/Precios!F220)</f>
        <v>-0.00553404843464144</v>
      </c>
      <c r="G220" s="7" t="n">
        <f aca="false">LN(Precios!G221/Precios!G220)</f>
        <v>0.00448419131149362</v>
      </c>
      <c r="H220" s="7" t="n">
        <f aca="false">LN(Precios!H221/Precios!H220)</f>
        <v>-0.00970358018273906</v>
      </c>
      <c r="I220" s="7" t="n">
        <f aca="false">LN(Precios!I221/Precios!I220)</f>
        <v>0.014799424445939</v>
      </c>
      <c r="J220" s="7" t="n">
        <f aca="false">LN(Precios!J221/Precios!J220)</f>
        <v>0.00546230524137227</v>
      </c>
    </row>
    <row r="221" customFormat="false" ht="15" hidden="false" customHeight="false" outlineLevel="0" collapsed="false">
      <c r="A221" s="6" t="n">
        <f aca="false">Precios!A222</f>
        <v>46255</v>
      </c>
      <c r="B221" s="7" t="n">
        <f aca="false">LN(Precios!B222/Precios!B221)</f>
        <v>0.0122521036293273</v>
      </c>
      <c r="C221" s="7" t="n">
        <f aca="false">LN(Precios!C222/Precios!C221)</f>
        <v>0.0137622589965098</v>
      </c>
      <c r="D221" s="7" t="n">
        <f aca="false">LN(Precios!D222/Precios!D221)</f>
        <v>0.0140002286733897</v>
      </c>
      <c r="E221" s="7" t="n">
        <f aca="false">LN(Precios!E222/Precios!E221)</f>
        <v>0.0233236869830299</v>
      </c>
      <c r="F221" s="7" t="n">
        <f aca="false">LN(Precios!F222/Precios!F221)</f>
        <v>0.0407775984182256</v>
      </c>
      <c r="G221" s="7" t="n">
        <f aca="false">LN(Precios!G222/Precios!G221)</f>
        <v>0.0129075514003755</v>
      </c>
      <c r="H221" s="7" t="n">
        <f aca="false">LN(Precios!H222/Precios!H221)</f>
        <v>0.0139862419747399</v>
      </c>
      <c r="I221" s="7" t="n">
        <f aca="false">LN(Precios!I222/Precios!I221)</f>
        <v>-0.0229260731059253</v>
      </c>
      <c r="J221" s="7" t="n">
        <f aca="false">LN(Precios!J222/Precios!J221)</f>
        <v>0.0212091408858189</v>
      </c>
    </row>
    <row r="222" customFormat="false" ht="15" hidden="false" customHeight="false" outlineLevel="0" collapsed="false">
      <c r="A222" s="6" t="n">
        <f aca="false">Precios!A223</f>
        <v>46258</v>
      </c>
      <c r="B222" s="7" t="n">
        <f aca="false">LN(Precios!B223/Precios!B222)</f>
        <v>0.0164644631694063</v>
      </c>
      <c r="C222" s="7" t="n">
        <f aca="false">LN(Precios!C223/Precios!C222)</f>
        <v>-0.000745804882301137</v>
      </c>
      <c r="D222" s="7" t="n">
        <f aca="false">LN(Precios!D223/Precios!D222)</f>
        <v>0.00247954503432992</v>
      </c>
      <c r="E222" s="7" t="n">
        <f aca="false">LN(Precios!E223/Precios!E222)</f>
        <v>0.00848379038378187</v>
      </c>
      <c r="F222" s="7" t="n">
        <f aca="false">LN(Precios!F223/Precios!F222)</f>
        <v>0.00106496282695637</v>
      </c>
      <c r="G222" s="7" t="n">
        <f aca="false">LN(Precios!G223/Precios!G222)</f>
        <v>-0.000745275520255867</v>
      </c>
      <c r="H222" s="7" t="n">
        <f aca="false">LN(Precios!H223/Precios!H222)</f>
        <v>0.00851068966790861</v>
      </c>
      <c r="I222" s="7" t="n">
        <f aca="false">LN(Precios!I223/Precios!I222)</f>
        <v>0.00471294788383901</v>
      </c>
      <c r="J222" s="7" t="n">
        <f aca="false">LN(Precios!J223/Precios!J222)</f>
        <v>0.000633764135183365</v>
      </c>
    </row>
    <row r="223" customFormat="false" ht="15" hidden="false" customHeight="false" outlineLevel="0" collapsed="false">
      <c r="A223" s="6" t="n">
        <f aca="false">Precios!A224</f>
        <v>46259</v>
      </c>
      <c r="B223" s="7" t="n">
        <f aca="false">LN(Precios!B224/Precios!B223)</f>
        <v>0.01322165205106</v>
      </c>
      <c r="C223" s="7" t="n">
        <f aca="false">LN(Precios!C224/Precios!C223)</f>
        <v>0.0238369806904607</v>
      </c>
      <c r="D223" s="7" t="n">
        <f aca="false">LN(Precios!D224/Precios!D223)</f>
        <v>-0.00247954503432988</v>
      </c>
      <c r="E223" s="7" t="n">
        <f aca="false">LN(Precios!E224/Precios!E223)</f>
        <v>-0.00614773058623409</v>
      </c>
      <c r="F223" s="7" t="n">
        <f aca="false">LN(Precios!F224/Precios!F223)</f>
        <v>-0.00319829696937676</v>
      </c>
      <c r="G223" s="7" t="n">
        <f aca="false">LN(Precios!G224/Precios!G223)</f>
        <v>0.0132256067336793</v>
      </c>
      <c r="H223" s="7" t="n">
        <f aca="false">LN(Precios!H224/Precios!H223)</f>
        <v>-0.00851068966790862</v>
      </c>
      <c r="I223" s="7" t="n">
        <f aca="false">LN(Precios!I224/Precios!I223)</f>
        <v>0.0198906261396803</v>
      </c>
      <c r="J223" s="7" t="n">
        <f aca="false">LN(Precios!J224/Precios!J223)</f>
        <v>0.00790863578663226</v>
      </c>
    </row>
    <row r="224" customFormat="false" ht="15" hidden="false" customHeight="false" outlineLevel="0" collapsed="false">
      <c r="A224" s="6" t="n">
        <f aca="false">Precios!A225</f>
        <v>46260</v>
      </c>
      <c r="B224" s="7" t="n">
        <f aca="false">LN(Precios!B225/Precios!B224)</f>
        <v>-0.0115338016132774</v>
      </c>
      <c r="C224" s="7" t="n">
        <f aca="false">LN(Precios!C225/Precios!C224)</f>
        <v>0.00242541957366396</v>
      </c>
      <c r="D224" s="7" t="n">
        <f aca="false">LN(Precios!D225/Precios!D224)</f>
        <v>-0.00248570846357322</v>
      </c>
      <c r="E224" s="7" t="n">
        <f aca="false">LN(Precios!E225/Precios!E224)</f>
        <v>-0.000666888987703768</v>
      </c>
      <c r="F224" s="7" t="n">
        <f aca="false">LN(Precios!F225/Precios!F224)</f>
        <v>-0.00481670719855198</v>
      </c>
      <c r="G224" s="7" t="n">
        <f aca="false">LN(Precios!G225/Precios!G224)</f>
        <v>0.0167291599837566</v>
      </c>
      <c r="H224" s="7" t="n">
        <f aca="false">LN(Precios!H225/Precios!H224)</f>
        <v>0.0315483577349261</v>
      </c>
      <c r="I224" s="7" t="n">
        <f aca="false">LN(Precios!I225/Precios!I224)</f>
        <v>0.00418148215373481</v>
      </c>
      <c r="J224" s="7" t="n">
        <f aca="false">LN(Precios!J225/Precios!J224)</f>
        <v>-0.00153920294679482</v>
      </c>
    </row>
    <row r="225" customFormat="false" ht="15" hidden="false" customHeight="false" outlineLevel="0" collapsed="false">
      <c r="A225" s="6" t="n">
        <f aca="false">Precios!A226</f>
        <v>46261</v>
      </c>
      <c r="B225" s="7" t="n">
        <f aca="false">LN(Precios!B226/Precios!B225)</f>
        <v>-0.00841634856184652</v>
      </c>
      <c r="C225" s="7" t="n">
        <f aca="false">LN(Precios!C226/Precios!C225)</f>
        <v>-0.00193986481782659</v>
      </c>
      <c r="D225" s="7" t="n">
        <f aca="false">LN(Precios!D226/Precios!D225)</f>
        <v>-0.0059910313991192</v>
      </c>
      <c r="E225" s="7" t="n">
        <f aca="false">LN(Precios!E226/Precios!E225)</f>
        <v>-0.0166488332219842</v>
      </c>
      <c r="F225" s="7" t="n">
        <f aca="false">LN(Precios!F226/Precios!F225)</f>
        <v>-0.00322407587175279</v>
      </c>
      <c r="G225" s="7" t="n">
        <f aca="false">LN(Precios!G226/Precios!G225)</f>
        <v>-0.0119058309305366</v>
      </c>
      <c r="H225" s="7" t="n">
        <f aca="false">LN(Precios!H226/Precios!H225)</f>
        <v>-0.031548357734926</v>
      </c>
      <c r="I225" s="7" t="n">
        <f aca="false">LN(Precios!I226/Precios!I225)</f>
        <v>-0.00376254624480068</v>
      </c>
      <c r="J225" s="7" t="n">
        <f aca="false">LN(Precios!J226/Precios!J225)</f>
        <v>-0.00547080622814978</v>
      </c>
    </row>
    <row r="226" customFormat="false" ht="15" hidden="false" customHeight="false" outlineLevel="0" collapsed="false">
      <c r="A226" s="6" t="n">
        <f aca="false">Precios!A227</f>
        <v>46262</v>
      </c>
      <c r="B226" s="7" t="n">
        <f aca="false">LN(Precios!B227/Precios!B226)</f>
        <v>0.000360685305984387</v>
      </c>
      <c r="C226" s="7" t="n">
        <f aca="false">LN(Precios!C227/Precios!C226)</f>
        <v>-0.00511012183923452</v>
      </c>
      <c r="D226" s="7" t="n">
        <f aca="false">LN(Precios!D227/Precios!D226)</f>
        <v>-0.00854920972723415</v>
      </c>
      <c r="E226" s="7" t="n">
        <f aca="false">LN(Precios!E227/Precios!E226)</f>
        <v>-0.0016972169722428</v>
      </c>
      <c r="F226" s="7" t="n">
        <f aca="false">LN(Precios!F227/Precios!F226)</f>
        <v>0.00107584733346333</v>
      </c>
      <c r="G226" s="7" t="n">
        <f aca="false">LN(Precios!G227/Precios!G226)</f>
        <v>-0.00335289501031088</v>
      </c>
      <c r="H226" s="7" t="n">
        <f aca="false">LN(Precios!H227/Precios!H226)</f>
        <v>-0.00213903824874942</v>
      </c>
      <c r="I226" s="7" t="n">
        <f aca="false">LN(Precios!I227/Precios!I226)</f>
        <v>0.00605493028504342</v>
      </c>
      <c r="J226" s="7" t="n">
        <f aca="false">LN(Precios!J227/Precios!J226)</f>
        <v>-0.00526463299685406</v>
      </c>
    </row>
    <row r="227" customFormat="false" ht="15" hidden="false" customHeight="false" outlineLevel="0" collapsed="false">
      <c r="A227" s="6" t="n">
        <f aca="false">Precios!A228</f>
        <v>46265</v>
      </c>
      <c r="B227" s="7" t="n">
        <f aca="false">LN(Precios!B228/Precios!B227)</f>
        <v>0.00349704650550506</v>
      </c>
      <c r="C227" s="7" t="n">
        <f aca="false">LN(Precios!C228/Precios!C227)</f>
        <v>0.0154929266906378</v>
      </c>
      <c r="D227" s="7" t="n">
        <f aca="false">LN(Precios!D228/Precios!D227)</f>
        <v>-0.00964229749223476</v>
      </c>
      <c r="E227" s="7" t="n">
        <f aca="false">LN(Precios!E228/Precios!E227)</f>
        <v>0.00508303364843276</v>
      </c>
      <c r="F227" s="7" t="n">
        <f aca="false">LN(Precios!F228/Precios!F227)</f>
        <v>-0.0151682214731714</v>
      </c>
      <c r="G227" s="7" t="n">
        <f aca="false">LN(Precios!G228/Precios!G227)</f>
        <v>0.0099212343212649</v>
      </c>
      <c r="H227" s="7" t="n">
        <f aca="false">LN(Precios!H228/Precios!H227)</f>
        <v>0.00213903824874944</v>
      </c>
      <c r="I227" s="7" t="n">
        <f aca="false">LN(Precios!I228/Precios!I227)</f>
        <v>-0.0203981417987319</v>
      </c>
      <c r="J227" s="7" t="n">
        <f aca="false">LN(Precios!J228/Precios!J227)</f>
        <v>-0.000824965077436021</v>
      </c>
    </row>
    <row r="228" customFormat="false" ht="15" hidden="false" customHeight="false" outlineLevel="0" collapsed="false">
      <c r="A228" s="6" t="n">
        <f aca="false">Precios!A229</f>
        <v>46266</v>
      </c>
      <c r="B228" s="7" t="n">
        <f aca="false">LN(Precios!B229/Precios!B228)</f>
        <v>-0.0112027190557868</v>
      </c>
      <c r="C228" s="7" t="n">
        <f aca="false">LN(Precios!C229/Precios!C228)</f>
        <v>-0.00505720523944594</v>
      </c>
      <c r="D228" s="7" t="n">
        <f aca="false">LN(Precios!D229/Precios!D228)</f>
        <v>-0.00102040825180552</v>
      </c>
      <c r="E228" s="7" t="n">
        <f aca="false">LN(Precios!E229/Precios!E228)</f>
        <v>-0.0153272755336199</v>
      </c>
      <c r="F228" s="7" t="n">
        <f aca="false">LN(Precios!F229/Precios!F228)</f>
        <v>-0.0282332619444141</v>
      </c>
      <c r="G228" s="7" t="n">
        <f aca="false">LN(Precios!G229/Precios!G228)</f>
        <v>0.00109054096441402</v>
      </c>
      <c r="H228" s="7" t="n">
        <f aca="false">LN(Precios!H229/Precios!H228)</f>
        <v>-0.0381102188692541</v>
      </c>
      <c r="I228" s="7" t="n">
        <f aca="false">LN(Precios!I229/Precios!I228)</f>
        <v>-0.00383142231155595</v>
      </c>
      <c r="J228" s="7" t="n">
        <f aca="false">LN(Precios!J229/Precios!J228)</f>
        <v>-0.0140996299598027</v>
      </c>
    </row>
    <row r="229" customFormat="false" ht="15" hidden="false" customHeight="false" outlineLevel="0" collapsed="false">
      <c r="A229" s="6" t="n">
        <f aca="false">Precios!A230</f>
        <v>46267</v>
      </c>
      <c r="B229" s="7" t="n">
        <f aca="false">LN(Precios!B230/Precios!B229)</f>
        <v>0.00352405008156696</v>
      </c>
      <c r="C229" s="7" t="n">
        <f aca="false">LN(Precios!C230/Precios!C229)</f>
        <v>0.00601758946692409</v>
      </c>
      <c r="D229" s="7" t="n">
        <f aca="false">LN(Precios!D230/Precios!D229)</f>
        <v>-0.00871576909327039</v>
      </c>
      <c r="E229" s="7" t="n">
        <f aca="false">LN(Precios!E230/Precios!E229)</f>
        <v>-0.00671547939169974</v>
      </c>
      <c r="F229" s="7" t="n">
        <f aca="false">LN(Precios!F230/Precios!F229)</f>
        <v>0.0117221548786217</v>
      </c>
      <c r="G229" s="7" t="n">
        <f aca="false">LN(Precios!G230/Precios!G229)</f>
        <v>0.0181046965400687</v>
      </c>
      <c r="H229" s="7" t="n">
        <f aca="false">LN(Precios!H230/Precios!H229)</f>
        <v>0.00442968609158826</v>
      </c>
      <c r="I229" s="7" t="n">
        <f aca="false">LN(Precios!I230/Precios!I229)</f>
        <v>-0.00213492822337</v>
      </c>
      <c r="J229" s="7" t="n">
        <f aca="false">LN(Precios!J230/Precios!J229)</f>
        <v>0.00571924593938733</v>
      </c>
    </row>
    <row r="230" customFormat="false" ht="15" hidden="false" customHeight="false" outlineLevel="0" collapsed="false">
      <c r="A230" s="6" t="n">
        <f aca="false">Precios!A231</f>
        <v>46268</v>
      </c>
      <c r="B230" s="7" t="n">
        <f aca="false">LN(Precios!B231/Precios!B230)</f>
        <v>0.00376940006889587</v>
      </c>
      <c r="C230" s="7" t="n">
        <f aca="false">LN(Precios!C231/Precios!C230)</f>
        <v>0.0274573461929174</v>
      </c>
      <c r="D230" s="7" t="n">
        <f aca="false">LN(Precios!D231/Precios!D230)</f>
        <v>0.00922610337329263</v>
      </c>
      <c r="E230" s="7" t="n">
        <f aca="false">LN(Precios!E231/Precios!E230)</f>
        <v>0.000172756327630184</v>
      </c>
      <c r="F230" s="7" t="n">
        <f aca="false">LN(Precios!F231/Precios!F230)</f>
        <v>0.0235821183063444</v>
      </c>
      <c r="G230" s="7" t="n">
        <f aca="false">LN(Precios!G231/Precios!G230)</f>
        <v>0.0114032100001106</v>
      </c>
      <c r="H230" s="7" t="n">
        <f aca="false">LN(Precios!H231/Precios!H230)</f>
        <v>0.00220750641521052</v>
      </c>
      <c r="I230" s="7" t="n">
        <f aca="false">LN(Precios!I231/Precios!I230)</f>
        <v>0.0152707103207049</v>
      </c>
      <c r="J230" s="7" t="n">
        <f aca="false">LN(Precios!J231/Precios!J230)</f>
        <v>0.00846963529398661</v>
      </c>
    </row>
    <row r="231" customFormat="false" ht="15" hidden="false" customHeight="false" outlineLevel="0" collapsed="false">
      <c r="A231" s="6" t="n">
        <f aca="false">Precios!A232</f>
        <v>46269</v>
      </c>
      <c r="B231" s="7" t="n">
        <f aca="false">LN(Precios!B232/Precios!B231)</f>
        <v>-0.00750113447104311</v>
      </c>
      <c r="C231" s="7" t="n">
        <f aca="false">LN(Precios!C232/Precios!C231)</f>
        <v>0.000700198418151303</v>
      </c>
      <c r="D231" s="7" t="n">
        <f aca="false">LN(Precios!D232/Precios!D231)</f>
        <v>-0.00768249617201639</v>
      </c>
      <c r="E231" s="7" t="n">
        <f aca="false">LN(Precios!E232/Precios!E231)</f>
        <v>-0.0264301724049468</v>
      </c>
      <c r="F231" s="7" t="n">
        <f aca="false">LN(Precios!F232/Precios!F231)</f>
        <v>0.0113178249326617</v>
      </c>
      <c r="G231" s="7" t="n">
        <f aca="false">LN(Precios!G232/Precios!G231)</f>
        <v>-0.00946818546314091</v>
      </c>
      <c r="H231" s="7" t="n">
        <f aca="false">LN(Precios!H232/Precios!H231)</f>
        <v>-0.0189209873889511</v>
      </c>
      <c r="I231" s="7" t="n">
        <f aca="false">LN(Precios!I232/Precios!I231)</f>
        <v>-0.0059109312908042</v>
      </c>
      <c r="J231" s="7" t="n">
        <f aca="false">LN(Precios!J232/Precios!J231)</f>
        <v>-0.00874200336960024</v>
      </c>
    </row>
    <row r="232" customFormat="false" ht="15" hidden="false" customHeight="false" outlineLevel="0" collapsed="false">
      <c r="A232" s="6" t="n">
        <f aca="false">Precios!A233</f>
        <v>46272</v>
      </c>
      <c r="B232" s="7" t="n">
        <f aca="false">LN(Precios!B233/Precios!B232)</f>
        <v>-0.0083953041648153</v>
      </c>
      <c r="C232" s="7" t="n">
        <f aca="false">LN(Precios!C233/Precios!C232)</f>
        <v>0.0203240252031908</v>
      </c>
      <c r="D232" s="7" t="n">
        <f aca="false">LN(Precios!D233/Precios!D232)</f>
        <v>-0.000514271032162198</v>
      </c>
      <c r="E232" s="7" t="n">
        <f aca="false">LN(Precios!E233/Precios!E232)</f>
        <v>-0.00426591475223005</v>
      </c>
      <c r="F232" s="7" t="n">
        <f aca="false">LN(Precios!F233/Precios!F232)</f>
        <v>0.00534474815888094</v>
      </c>
      <c r="G232" s="7" t="n">
        <f aca="false">LN(Precios!G233/Precios!G232)</f>
        <v>-0.00448682749359292</v>
      </c>
      <c r="H232" s="7" t="n">
        <f aca="false">LN(Precios!H233/Precios!H232)</f>
        <v>-0.139649589136458</v>
      </c>
      <c r="I232" s="7" t="n">
        <f aca="false">LN(Precios!I233/Precios!I232)</f>
        <v>-0.00339342849497471</v>
      </c>
      <c r="J232" s="7" t="n">
        <f aca="false">LN(Precios!J233/Precios!J232)</f>
        <v>-0.00214623967800541</v>
      </c>
    </row>
    <row r="233" customFormat="false" ht="15" hidden="false" customHeight="false" outlineLevel="0" collapsed="false">
      <c r="A233" s="6" t="n">
        <f aca="false">Precios!A234</f>
        <v>46273</v>
      </c>
      <c r="B233" s="7" t="n">
        <f aca="false">LN(Precios!B234/Precios!B233)</f>
        <v>0.00574354126943798</v>
      </c>
      <c r="C233" s="7" t="n">
        <f aca="false">LN(Precios!C234/Precios!C233)</f>
        <v>0.00159908657718534</v>
      </c>
      <c r="D233" s="7" t="n">
        <f aca="false">LN(Precios!D234/Precios!D233)</f>
        <v>0.0015420203518152</v>
      </c>
      <c r="E233" s="7" t="n">
        <f aca="false">LN(Precios!E234/Precios!E233)</f>
        <v>-0.00446309765212961</v>
      </c>
      <c r="F233" s="7" t="n">
        <f aca="false">LN(Precios!F234/Precios!F233)</f>
        <v>-0.00213447252863279</v>
      </c>
      <c r="G233" s="7" t="n">
        <f aca="false">LN(Precios!G234/Precios!G233)</f>
        <v>0.0222354908522872</v>
      </c>
      <c r="H233" s="7" t="n">
        <f aca="false">LN(Precios!H234/Precios!H233)</f>
        <v>0.0877647537674465</v>
      </c>
      <c r="I233" s="7" t="n">
        <f aca="false">LN(Precios!I234/Precios!I233)</f>
        <v>-0.0149831570096815</v>
      </c>
      <c r="J233" s="7" t="n">
        <f aca="false">LN(Precios!J234/Precios!J233)</f>
        <v>0.00520860915095683</v>
      </c>
    </row>
    <row r="234" customFormat="false" ht="15" hidden="false" customHeight="false" outlineLevel="0" collapsed="false">
      <c r="A234" s="6" t="n">
        <f aca="false">Precios!A235</f>
        <v>46274</v>
      </c>
      <c r="B234" s="7" t="n">
        <f aca="false">LN(Precios!B235/Precios!B234)</f>
        <v>0.00772765300835716</v>
      </c>
      <c r="C234" s="7" t="n">
        <f aca="false">LN(Precios!C235/Precios!C234)</f>
        <v>-0.016339104716105</v>
      </c>
      <c r="D234" s="7" t="n">
        <f aca="false">LN(Precios!D235/Precios!D234)</f>
        <v>0.0025647616008381</v>
      </c>
      <c r="E234" s="7" t="n">
        <f aca="false">LN(Precios!E235/Precios!E234)</f>
        <v>0.0120933360734575</v>
      </c>
      <c r="F234" s="7" t="n">
        <f aca="false">LN(Precios!F235/Precios!F234)</f>
        <v>-0.0145281005629097</v>
      </c>
      <c r="G234" s="7" t="n">
        <f aca="false">LN(Precios!G235/Precios!G234)</f>
        <v>-0.0071221085484294</v>
      </c>
      <c r="H234" s="7" t="n">
        <f aca="false">LN(Precios!H235/Precios!H234)</f>
        <v>-0.0484943499386103</v>
      </c>
      <c r="I234" s="7" t="n">
        <f aca="false">LN(Precios!I235/Precios!I234)</f>
        <v>-0.0123686072832302</v>
      </c>
      <c r="J234" s="7" t="n">
        <f aca="false">LN(Precios!J235/Precios!J234)</f>
        <v>-0.00385878177344143</v>
      </c>
    </row>
    <row r="235" customFormat="false" ht="15" hidden="false" customHeight="false" outlineLevel="0" collapsed="false">
      <c r="A235" s="6" t="n">
        <f aca="false">Precios!A236</f>
        <v>46275</v>
      </c>
      <c r="B235" s="7" t="n">
        <f aca="false">LN(Precios!B236/Precios!B235)</f>
        <v>0.00756585095936932</v>
      </c>
      <c r="C235" s="7" t="n">
        <f aca="false">LN(Precios!C236/Precios!C235)</f>
        <v>0.00278035396903776</v>
      </c>
      <c r="D235" s="7" t="n">
        <f aca="false">LN(Precios!D236/Precios!D235)</f>
        <v>-0.00771410356604188</v>
      </c>
      <c r="E235" s="7" t="n">
        <f aca="false">LN(Precios!E236/Precios!E235)</f>
        <v>-0.012451245884007</v>
      </c>
      <c r="F235" s="7" t="n">
        <f aca="false">LN(Precios!F236/Precios!F235)</f>
        <v>-0.0186000985912141</v>
      </c>
      <c r="G235" s="7" t="n">
        <f aca="false">LN(Precios!G236/Precios!G235)</f>
        <v>0.00366770074776593</v>
      </c>
      <c r="H235" s="7" t="n">
        <f aca="false">LN(Precios!H236/Precios!H235)</f>
        <v>-0.0112430915741805</v>
      </c>
      <c r="I235" s="7" t="n">
        <f aca="false">LN(Precios!I236/Precios!I235)</f>
        <v>0.00652885888246363</v>
      </c>
      <c r="J235" s="7" t="n">
        <f aca="false">LN(Precios!J236/Precios!J235)</f>
        <v>-0.0109858406732843</v>
      </c>
    </row>
    <row r="236" customFormat="false" ht="15" hidden="false" customHeight="false" outlineLevel="0" collapsed="false">
      <c r="A236" s="6" t="n">
        <f aca="false">Precios!A237</f>
        <v>46276</v>
      </c>
      <c r="B236" s="7" t="n">
        <f aca="false">LN(Precios!B237/Precios!B236)</f>
        <v>0.00429778098216472</v>
      </c>
      <c r="C236" s="7" t="n">
        <f aca="false">LN(Precios!C237/Precios!C236)</f>
        <v>-0.0062667026484755</v>
      </c>
      <c r="D236" s="7" t="n">
        <f aca="false">LN(Precios!D237/Precios!D236)</f>
        <v>-0.00154998739375633</v>
      </c>
      <c r="E236" s="7" t="n">
        <f aca="false">LN(Precios!E237/Precios!E236)</f>
        <v>-0.00953158911227739</v>
      </c>
      <c r="F236" s="7" t="n">
        <f aca="false">LN(Precios!F237/Precios!F236)</f>
        <v>0.00110375287143775</v>
      </c>
      <c r="G236" s="7" t="n">
        <f aca="false">LN(Precios!G237/Precios!G236)</f>
        <v>-0.00140519946840144</v>
      </c>
      <c r="H236" s="7" t="n">
        <f aca="false">LN(Precios!H237/Precios!H236)</f>
        <v>0.001255492945832</v>
      </c>
      <c r="I236" s="7" t="n">
        <f aca="false">LN(Precios!I237/Precios!I236)</f>
        <v>-0.0120023262966356</v>
      </c>
      <c r="J236" s="7" t="n">
        <f aca="false">LN(Precios!J237/Precios!J236)</f>
        <v>-0.00284383131838361</v>
      </c>
    </row>
    <row r="237" customFormat="false" ht="15" hidden="false" customHeight="false" outlineLevel="0" collapsed="false">
      <c r="A237" s="6" t="n">
        <f aca="false">Precios!A238</f>
        <v>46279</v>
      </c>
      <c r="B237" s="7" t="n">
        <f aca="false">LN(Precios!B238/Precios!B237)</f>
        <v>0.0158033983389225</v>
      </c>
      <c r="C237" s="7" t="n">
        <f aca="false">LN(Precios!C238/Precios!C237)</f>
        <v>0.000930882077925754</v>
      </c>
      <c r="D237" s="7" t="n">
        <f aca="false">LN(Precios!D238/Precios!D237)</f>
        <v>0.0255246118315785</v>
      </c>
      <c r="E237" s="7" t="n">
        <f aca="false">LN(Precios!E238/Precios!E237)</f>
        <v>0.00324734183976924</v>
      </c>
      <c r="F237" s="7" t="n">
        <f aca="false">LN(Precios!F238/Precios!F237)</f>
        <v>-0.0122088086941392</v>
      </c>
      <c r="G237" s="7" t="n">
        <f aca="false">LN(Precios!G238/Precios!G237)</f>
        <v>0.00815269476753453</v>
      </c>
      <c r="H237" s="7" t="n">
        <f aca="false">LN(Precios!H238/Precios!H237)</f>
        <v>0.00375704887771234</v>
      </c>
      <c r="I237" s="7" t="n">
        <f aca="false">LN(Precios!I238/Precios!I237)</f>
        <v>0.0106999601477146</v>
      </c>
      <c r="J237" s="7" t="n">
        <f aca="false">LN(Precios!J238/Precios!J237)</f>
        <v>0.0045607385025621</v>
      </c>
    </row>
    <row r="238" customFormat="false" ht="15" hidden="false" customHeight="false" outlineLevel="0" collapsed="false">
      <c r="A238" s="6" t="n">
        <f aca="false">Precios!A239</f>
        <v>46280</v>
      </c>
      <c r="B238" s="7" t="n">
        <f aca="false">LN(Precios!B239/Precios!B238)</f>
        <v>0.00396218889842923</v>
      </c>
      <c r="C238" s="7" t="n">
        <f aca="false">LN(Precios!C239/Precios!C238)</f>
        <v>0.0177526276055356</v>
      </c>
      <c r="D238" s="7" t="n">
        <f aca="false">LN(Precios!D239/Precios!D238)</f>
        <v>0.00352201621937831</v>
      </c>
      <c r="E238" s="7" t="n">
        <f aca="false">LN(Precios!E239/Precios!E238)</f>
        <v>-0.00795664233809505</v>
      </c>
      <c r="F238" s="7" t="n">
        <f aca="false">LN(Precios!F239/Precios!F238)</f>
        <v>-0.0197356278656499</v>
      </c>
      <c r="G238" s="7" t="n">
        <f aca="false">LN(Precios!G239/Precios!G238)</f>
        <v>-0.0277283490293456</v>
      </c>
      <c r="H238" s="7" t="n">
        <f aca="false">LN(Precios!H239/Precios!H238)</f>
        <v>-0.0473536963834703</v>
      </c>
      <c r="I238" s="7" t="n">
        <f aca="false">LN(Precios!I239/Precios!I238)</f>
        <v>-0.0109195232180883</v>
      </c>
      <c r="J238" s="7" t="n">
        <f aca="false">LN(Precios!J239/Precios!J238)</f>
        <v>-0.0111157935723949</v>
      </c>
    </row>
    <row r="239" customFormat="false" ht="15" hidden="false" customHeight="false" outlineLevel="0" collapsed="false">
      <c r="A239" s="6" t="n">
        <f aca="false">Precios!A240</f>
        <v>46282</v>
      </c>
      <c r="B239" s="7" t="n">
        <f aca="false">LN(Precios!B240/Precios!B239)</f>
        <v>0.00289898738541251</v>
      </c>
      <c r="C239" s="7" t="n">
        <f aca="false">LN(Precios!C240/Precios!C239)</f>
        <v>-0.0140377405842888</v>
      </c>
      <c r="D239" s="7" t="n">
        <f aca="false">LN(Precios!D240/Precios!D239)</f>
        <v>-0.00806862672897407</v>
      </c>
      <c r="E239" s="7" t="n">
        <f aca="false">LN(Precios!E240/Precios!E239)</f>
        <v>0.00127007183905743</v>
      </c>
      <c r="F239" s="7" t="n">
        <f aca="false">LN(Precios!F240/Precios!F239)</f>
        <v>-0.000569638295095645</v>
      </c>
      <c r="G239" s="7" t="n">
        <f aca="false">LN(Precios!G240/Precios!G239)</f>
        <v>0.00398671624382138</v>
      </c>
      <c r="H239" s="7" t="n">
        <f aca="false">LN(Precios!H240/Precios!H239)</f>
        <v>0.038565190350391</v>
      </c>
      <c r="I239" s="7" t="n">
        <f aca="false">LN(Precios!I240/Precios!I239)</f>
        <v>0.0146051642465814</v>
      </c>
      <c r="J239" s="7" t="n">
        <f aca="false">LN(Precios!J240/Precios!J239)</f>
        <v>0.00574987867354045</v>
      </c>
    </row>
    <row r="240" customFormat="false" ht="15" hidden="false" customHeight="false" outlineLevel="0" collapsed="false">
      <c r="A240" s="6" t="n">
        <f aca="false">Precios!A241</f>
        <v>46283</v>
      </c>
      <c r="B240" s="7" t="n">
        <f aca="false">LN(Precios!B241/Precios!B240)</f>
        <v>0.00453154175349026</v>
      </c>
      <c r="C240" s="7" t="n">
        <f aca="false">LN(Precios!C241/Precios!C240)</f>
        <v>0.019734463293563</v>
      </c>
      <c r="D240" s="7" t="n">
        <f aca="false">LN(Precios!D241/Precios!D240)</f>
        <v>-0.0178804252778485</v>
      </c>
      <c r="E240" s="7" t="n">
        <f aca="false">LN(Precios!E241/Precios!E240)</f>
        <v>-0.0173758372539108</v>
      </c>
      <c r="F240" s="7" t="n">
        <f aca="false">LN(Precios!F241/Precios!F240)</f>
        <v>-0.00743497848751798</v>
      </c>
      <c r="G240" s="7" t="n">
        <f aca="false">LN(Precios!G241/Precios!G240)</f>
        <v>-0.0269881447176469</v>
      </c>
      <c r="H240" s="7" t="n">
        <f aca="false">LN(Precios!H241/Precios!H240)</f>
        <v>0.00878850603307934</v>
      </c>
      <c r="I240" s="7" t="n">
        <f aca="false">LN(Precios!I241/Precios!I240)</f>
        <v>0.00237760838256477</v>
      </c>
      <c r="J240" s="7" t="n">
        <f aca="false">LN(Precios!J241/Precios!J240)</f>
        <v>-0.00781761044822841</v>
      </c>
    </row>
    <row r="241" customFormat="false" ht="15" hidden="false" customHeight="false" outlineLevel="0" collapsed="false">
      <c r="A241" s="6" t="n">
        <f aca="false">Precios!A242</f>
        <v>46286</v>
      </c>
      <c r="B241" s="7" t="n">
        <f aca="false">LN(Precios!B242/Precios!B241)</f>
        <v>-0.0230692476991677</v>
      </c>
      <c r="C241" s="7" t="n">
        <f aca="false">LN(Precios!C242/Precios!C241)</f>
        <v>-0.00821359853738886</v>
      </c>
      <c r="D241" s="7" t="n">
        <f aca="false">LN(Precios!D242/Precios!D241)</f>
        <v>-0.00206398422085148</v>
      </c>
      <c r="E241" s="7" t="n">
        <f aca="false">LN(Precios!E242/Precios!E241)</f>
        <v>0.00441826933766474</v>
      </c>
      <c r="F241" s="7" t="n">
        <f aca="false">LN(Precios!F242/Precios!F241)</f>
        <v>-0.00749067172915774</v>
      </c>
      <c r="G241" s="7" t="n">
        <f aca="false">LN(Precios!G242/Precios!G241)</f>
        <v>0.0128093394227503</v>
      </c>
      <c r="H241" s="7" t="n">
        <f aca="false">LN(Precios!H242/Precios!H241)</f>
        <v>0.0850302491845756</v>
      </c>
      <c r="I241" s="7" t="n">
        <f aca="false">LN(Precios!I242/Precios!I241)</f>
        <v>-0.0249193222248826</v>
      </c>
      <c r="J241" s="7" t="n">
        <f aca="false">LN(Precios!J242/Precios!J241)</f>
        <v>0.00253764745905294</v>
      </c>
    </row>
    <row r="242" customFormat="false" ht="15" hidden="false" customHeight="false" outlineLevel="0" collapsed="false">
      <c r="A242" s="6" t="n">
        <f aca="false">Precios!A243</f>
        <v>46287</v>
      </c>
      <c r="B242" s="7" t="n">
        <f aca="false">LN(Precios!B243/Precios!B242)</f>
        <v>0.0046667427700288</v>
      </c>
      <c r="C242" s="7" t="n">
        <f aca="false">LN(Precios!C243/Precios!C242)</f>
        <v>-0.00989993120687126</v>
      </c>
      <c r="D242" s="7" t="n">
        <f aca="false">LN(Precios!D243/Precios!D242)</f>
        <v>-0.00206825306405896</v>
      </c>
      <c r="E242" s="7" t="n">
        <f aca="false">LN(Precios!E243/Precios!E242)</f>
        <v>0.0176609050959929</v>
      </c>
      <c r="F242" s="7" t="n">
        <f aca="false">LN(Precios!F243/Precios!F242)</f>
        <v>0.027383342471361</v>
      </c>
      <c r="G242" s="7" t="n">
        <f aca="false">LN(Precios!G243/Precios!G242)</f>
        <v>0.0176414831614869</v>
      </c>
      <c r="H242" s="7" t="n">
        <f aca="false">LN(Precios!H243/Precios!H242)</f>
        <v>-0.0197107830639331</v>
      </c>
      <c r="I242" s="7" t="n">
        <f aca="false">LN(Precios!I243/Precios!I242)</f>
        <v>0.0131928034845634</v>
      </c>
      <c r="J242" s="7" t="n">
        <f aca="false">LN(Precios!J243/Precios!J242)</f>
        <v>0.0143701901451494</v>
      </c>
    </row>
    <row r="243" customFormat="false" ht="15" hidden="false" customHeight="false" outlineLevel="0" collapsed="false">
      <c r="A243" s="6" t="n">
        <f aca="false">Precios!A244</f>
        <v>46288</v>
      </c>
      <c r="B243" s="7" t="n">
        <f aca="false">LN(Precios!B244/Precios!B243)</f>
        <v>0.000961076479550532</v>
      </c>
      <c r="C243" s="7" t="n">
        <f aca="false">LN(Precios!C244/Precios!C243)</f>
        <v>0.00184928392970429</v>
      </c>
      <c r="D243" s="7" t="n">
        <f aca="false">LN(Precios!D244/Precios!D243)</f>
        <v>0.000517464435867435</v>
      </c>
      <c r="E243" s="7" t="n">
        <f aca="false">LN(Precios!E244/Precios!E243)</f>
        <v>-0.00579187139463297</v>
      </c>
      <c r="F243" s="7" t="n">
        <f aca="false">LN(Precios!F244/Precios!F243)</f>
        <v>-0.0308595916267217</v>
      </c>
      <c r="G243" s="7" t="n">
        <f aca="false">LN(Precios!G244/Precios!G243)</f>
        <v>-0.00433022404128529</v>
      </c>
      <c r="H243" s="7" t="n">
        <f aca="false">LN(Precios!H244/Precios!H243)</f>
        <v>-0.00469484430420762</v>
      </c>
      <c r="I243" s="7" t="n">
        <f aca="false">LN(Precios!I244/Precios!I243)</f>
        <v>0.00239991388232139</v>
      </c>
      <c r="J243" s="7" t="n">
        <f aca="false">LN(Precios!J244/Precios!J243)</f>
        <v>-0.00279446115462394</v>
      </c>
    </row>
    <row r="244" customFormat="false" ht="15" hidden="false" customHeight="false" outlineLevel="0" collapsed="false">
      <c r="A244" s="6" t="n">
        <f aca="false">Precios!A245</f>
        <v>46289</v>
      </c>
      <c r="B244" s="7" t="n">
        <f aca="false">LN(Precios!B245/Precios!B244)</f>
        <v>-0.000404551206528774</v>
      </c>
      <c r="C244" s="7" t="n">
        <f aca="false">LN(Precios!C245/Precios!C244)</f>
        <v>-0.00462963789874199</v>
      </c>
      <c r="D244" s="7" t="n">
        <f aca="false">LN(Precios!D245/Precios!D244)</f>
        <v>0.0138712730162321</v>
      </c>
      <c r="E244" s="7" t="n">
        <f aca="false">LN(Precios!E245/Precios!E244)</f>
        <v>-0.000181537624171121</v>
      </c>
      <c r="F244" s="7" t="n">
        <f aca="false">LN(Precios!F245/Precios!F244)</f>
        <v>-0.0163842167133791</v>
      </c>
      <c r="G244" s="7" t="n">
        <f aca="false">LN(Precios!G245/Precios!G244)</f>
        <v>-0.0101601859237381</v>
      </c>
      <c r="H244" s="7" t="n">
        <f aca="false">LN(Precios!H245/Precios!H244)</f>
        <v>-0.0130256430171558</v>
      </c>
      <c r="I244" s="7" t="n">
        <f aca="false">LN(Precios!I245/Precios!I244)</f>
        <v>0.000653523604568795</v>
      </c>
      <c r="J244" s="7" t="n">
        <f aca="false">LN(Precios!J245/Precios!J244)</f>
        <v>-0.000195424211192117</v>
      </c>
    </row>
    <row r="245" customFormat="false" ht="15" hidden="false" customHeight="false" outlineLevel="0" collapsed="false">
      <c r="A245" s="6" t="n">
        <f aca="false">Precios!A246</f>
        <v>46290</v>
      </c>
      <c r="B245" s="7" t="n">
        <f aca="false">LN(Precios!B246/Precios!B245)</f>
        <v>0.00971443401461923</v>
      </c>
      <c r="C245" s="7" t="n">
        <f aca="false">LN(Precios!C246/Precios!C245)</f>
        <v>0.0404692641047387</v>
      </c>
      <c r="D245" s="7" t="n">
        <f aca="false">LN(Precios!D246/Precios!D245)</f>
        <v>-0.0046024116014517</v>
      </c>
      <c r="E245" s="7" t="n">
        <f aca="false">LN(Precios!E246/Precios!E245)</f>
        <v>0.00145137906464699</v>
      </c>
      <c r="F245" s="7" t="n">
        <f aca="false">LN(Precios!F246/Precios!F245)</f>
        <v>0.0210165353616586</v>
      </c>
      <c r="G245" s="7" t="n">
        <f aca="false">LN(Precios!G246/Precios!G245)</f>
        <v>0.0116906422983805</v>
      </c>
      <c r="H245" s="7" t="n">
        <f aca="false">LN(Precios!H246/Precios!H245)</f>
        <v>-0.00717706430036359</v>
      </c>
      <c r="I245" s="7" t="n">
        <f aca="false">LN(Precios!I246/Precios!I245)</f>
        <v>0.0149143583733386</v>
      </c>
      <c r="J245" s="7" t="n">
        <f aca="false">LN(Precios!J246/Precios!J245)</f>
        <v>0.011265635690531</v>
      </c>
    </row>
    <row r="246" customFormat="false" ht="15" hidden="false" customHeight="false" outlineLevel="0" collapsed="false">
      <c r="A246" s="6" t="n">
        <f aca="false">Precios!A247</f>
        <v>46293</v>
      </c>
      <c r="B246" s="7" t="n">
        <f aca="false">LN(Precios!B247/Precios!B246)</f>
        <v>-0.0109290705321902</v>
      </c>
      <c r="C246" s="7" t="n">
        <f aca="false">LN(Precios!C247/Precios!C246)</f>
        <v>0.0270375850041733</v>
      </c>
      <c r="D246" s="7" t="n">
        <f aca="false">LN(Precios!D247/Precios!D246)</f>
        <v>0</v>
      </c>
      <c r="E246" s="7" t="n">
        <f aca="false">LN(Precios!E247/Precios!E246)</f>
        <v>0.0177886282593512</v>
      </c>
      <c r="F246" s="7" t="n">
        <f aca="false">LN(Precios!F247/Precios!F246)</f>
        <v>-0.009869456018484</v>
      </c>
      <c r="G246" s="7" t="n">
        <f aca="false">LN(Precios!G247/Precios!G246)</f>
        <v>-0.0101960662992953</v>
      </c>
      <c r="H246" s="7" t="n">
        <f aca="false">LN(Precios!H247/Precios!H246)</f>
        <v>0.00836824967051658</v>
      </c>
      <c r="I246" s="7" t="n">
        <f aca="false">LN(Precios!I247/Precios!I246)</f>
        <v>0.00598932271684533</v>
      </c>
      <c r="J246" s="7" t="n">
        <f aca="false">LN(Precios!J247/Precios!J246)</f>
        <v>-0.000736051080880003</v>
      </c>
    </row>
    <row r="247" customFormat="false" ht="15" hidden="false" customHeight="false" outlineLevel="0" collapsed="false">
      <c r="A247" s="6" t="n">
        <f aca="false">Precios!A248</f>
        <v>46294</v>
      </c>
      <c r="B247" s="7" t="n">
        <f aca="false">LN(Precios!B248/Precios!B247)</f>
        <v>-0.0129461543111646</v>
      </c>
      <c r="C247" s="7" t="n">
        <f aca="false">LN(Precios!C248/Precios!C247)</f>
        <v>0.00734661904123346</v>
      </c>
      <c r="D247" s="7" t="n">
        <f aca="false">LN(Precios!D248/Precios!D247)</f>
        <v>0.00969148110892284</v>
      </c>
      <c r="E247" s="7" t="n">
        <f aca="false">LN(Precios!E248/Precios!E247)</f>
        <v>-0.0116436604320633</v>
      </c>
      <c r="F247" s="7" t="n">
        <f aca="false">LN(Precios!F248/Precios!F247)</f>
        <v>0.0202143758608769</v>
      </c>
      <c r="G247" s="7" t="n">
        <f aca="false">LN(Precios!G248/Precios!G247)</f>
        <v>0.00590487197488153</v>
      </c>
      <c r="H247" s="7" t="n">
        <f aca="false">LN(Precios!H248/Precios!H247)</f>
        <v>0.0118344576470028</v>
      </c>
      <c r="I247" s="7" t="n">
        <f aca="false">LN(Precios!I248/Precios!I247)</f>
        <v>-0.00170757778951574</v>
      </c>
      <c r="J247" s="7" t="n">
        <f aca="false">LN(Precios!J248/Precios!J247)</f>
        <v>0.00255522841812796</v>
      </c>
    </row>
    <row r="248" customFormat="false" ht="15" hidden="false" customHeight="false" outlineLevel="0" collapsed="false">
      <c r="A248" s="6" t="n">
        <f aca="false">Precios!A249</f>
        <v>46295</v>
      </c>
      <c r="B248" s="7" t="n">
        <f aca="false">LN(Precios!B249/Precios!B248)</f>
        <v>-0.00694965603711108</v>
      </c>
      <c r="C248" s="7" t="n">
        <f aca="false">LN(Precios!C249/Precios!C248)</f>
        <v>-0.0186880710344975</v>
      </c>
      <c r="D248" s="7" t="n">
        <f aca="false">LN(Precios!D249/Precios!D248)</f>
        <v>-0.0251876589634775</v>
      </c>
      <c r="E248" s="7" t="n">
        <f aca="false">LN(Precios!E249/Precios!E248)</f>
        <v>-0.00868626525596026</v>
      </c>
      <c r="F248" s="7" t="n">
        <f aca="false">LN(Precios!F249/Precios!F248)</f>
        <v>-0.0126583968719234</v>
      </c>
      <c r="G248" s="7" t="n">
        <f aca="false">LN(Precios!G249/Precios!G248)</f>
        <v>-0.0266142858055906</v>
      </c>
      <c r="H248" s="7" t="n">
        <f aca="false">LN(Precios!H249/Precios!H248)</f>
        <v>-0.0347132400319339</v>
      </c>
      <c r="I248" s="7" t="n">
        <f aca="false">LN(Precios!I249/Precios!I248)</f>
        <v>-0.0146333577422501</v>
      </c>
      <c r="J248" s="7" t="n">
        <f aca="false">LN(Precios!J249/Precios!J248)</f>
        <v>-0.0138600399294285</v>
      </c>
    </row>
    <row r="249" customFormat="false" ht="15" hidden="false" customHeight="false" outlineLevel="0" collapsed="false">
      <c r="A249" s="6" t="n">
        <f aca="false">Precios!A250</f>
        <v>46296</v>
      </c>
      <c r="B249" s="7" t="n">
        <f aca="false">LN(Precios!B250/Precios!B249)</f>
        <v>0.00165169852766363</v>
      </c>
      <c r="C249" s="7" t="n">
        <f aca="false">LN(Precios!C250/Precios!C249)</f>
        <v>-0.0019760682684454</v>
      </c>
      <c r="D249" s="7" t="n">
        <f aca="false">LN(Precios!D250/Precios!D249)</f>
        <v>-0.0115184519562709</v>
      </c>
      <c r="E249" s="7" t="n">
        <f aca="false">LN(Precios!E250/Precios!E249)</f>
        <v>0.00199727710516371</v>
      </c>
      <c r="F249" s="7" t="n">
        <f aca="false">LN(Precios!F250/Precios!F249)</f>
        <v>0.00115740753661186</v>
      </c>
      <c r="G249" s="7" t="n">
        <f aca="false">LN(Precios!G250/Precios!G249)</f>
        <v>-0.0169140587506613</v>
      </c>
      <c r="H249" s="7" t="n">
        <f aca="false">LN(Precios!H250/Precios!H249)</f>
        <v>-0.0134888617859439</v>
      </c>
      <c r="I249" s="7" t="n">
        <f aca="false">LN(Precios!I250/Precios!I249)</f>
        <v>0.0112094297236235</v>
      </c>
      <c r="J249" s="7" t="n">
        <f aca="false">LN(Precios!J250/Precios!J249)</f>
        <v>-0.00602549592942088</v>
      </c>
    </row>
    <row r="250" customFormat="false" ht="15" hidden="false" customHeight="false" outlineLevel="0" collapsed="false">
      <c r="A250" s="6" t="n">
        <f aca="false">Precios!A251</f>
        <v>46297</v>
      </c>
      <c r="B250" s="7" t="n">
        <f aca="false">LN(Precios!B251/Precios!B250)</f>
        <v>0.0085758093559515</v>
      </c>
      <c r="C250" s="7" t="n">
        <f aca="false">LN(Precios!C251/Precios!C250)</f>
        <v>0.00635340071209924</v>
      </c>
      <c r="D250" s="7" t="n">
        <f aca="false">LN(Precios!D251/Precios!D250)</f>
        <v>0.0192965570242365</v>
      </c>
      <c r="E250" s="7" t="n">
        <f aca="false">LN(Precios!E251/Precios!E250)</f>
        <v>-0.000544316442723479</v>
      </c>
      <c r="F250" s="7" t="n">
        <f aca="false">LN(Precios!F251/Precios!F250)</f>
        <v>0.00863811878563453</v>
      </c>
      <c r="G250" s="7" t="n">
        <f aca="false">LN(Precios!G251/Precios!G250)</f>
        <v>0.0171769053811667</v>
      </c>
      <c r="H250" s="7" t="n">
        <f aca="false">LN(Precios!H251/Precios!H250)</f>
        <v>0.0134888617859439</v>
      </c>
      <c r="I250" s="7" t="n">
        <f aca="false">LN(Precios!I251/Precios!I250)</f>
        <v>-0.0103426907744552</v>
      </c>
      <c r="J250" s="7" t="n">
        <f aca="false">LN(Precios!J251/Precios!J250)</f>
        <v>0.0109549002442567</v>
      </c>
    </row>
    <row r="251" customFormat="false" ht="15" hidden="false" customHeight="false" outlineLevel="0" collapsed="false">
      <c r="A251" s="6" t="n">
        <f aca="false">Precios!A252</f>
        <v>46300</v>
      </c>
      <c r="B251" s="7" t="n">
        <f aca="false">LN(Precios!B252/Precios!B251)</f>
        <v>-0.0110026816905512</v>
      </c>
      <c r="C251" s="7" t="n">
        <f aca="false">LN(Precios!C252/Precios!C251)</f>
        <v>0.00174558194007651</v>
      </c>
      <c r="D251" s="7" t="n">
        <f aca="false">LN(Precios!D252/Precios!D251)</f>
        <v>0.0370130969784122</v>
      </c>
      <c r="E251" s="7" t="n">
        <f aca="false">LN(Precios!E252/Precios!E251)</f>
        <v>0.0023565677542272</v>
      </c>
      <c r="F251" s="7" t="n">
        <f aca="false">LN(Precios!F252/Precios!F251)</f>
        <v>-0.00459770924862954</v>
      </c>
      <c r="G251" s="7" t="n">
        <f aca="false">LN(Precios!G252/Precios!G251)</f>
        <v>-0.015040266568207</v>
      </c>
      <c r="H251" s="7" t="n">
        <f aca="false">LN(Precios!H252/Precios!H251)</f>
        <v>-0.00366077284968126</v>
      </c>
      <c r="I251" s="7" t="n">
        <f aca="false">LN(Precios!I252/Precios!I251)</f>
        <v>0.00583092031079314</v>
      </c>
      <c r="J251" s="7" t="n">
        <f aca="false">LN(Precios!J252/Precios!J251)</f>
        <v>0.00684754575811915</v>
      </c>
    </row>
    <row r="252" customFormat="false" ht="15" hidden="false" customHeight="false" outlineLevel="0" collapsed="false">
      <c r="A252" s="6" t="n">
        <f aca="false">Precios!A253</f>
        <v>46301</v>
      </c>
      <c r="B252" s="7" t="n">
        <f aca="false">LN(Precios!B253/Precios!B252)</f>
        <v>0.00916021226099596</v>
      </c>
      <c r="C252" s="7" t="n">
        <f aca="false">LN(Precios!C253/Precios!C252)</f>
        <v>0.0121344934227498</v>
      </c>
      <c r="D252" s="7" t="n">
        <f aca="false">LN(Precios!D253/Precios!D252)</f>
        <v>0.00149216640469549</v>
      </c>
      <c r="E252" s="7" t="n">
        <f aca="false">LN(Precios!E253/Precios!E252)</f>
        <v>0.00325379896616204</v>
      </c>
      <c r="F252" s="7" t="n">
        <f aca="false">LN(Precios!F253/Precios!F252)</f>
        <v>0.0339783536418496</v>
      </c>
      <c r="G252" s="7" t="n">
        <f aca="false">LN(Precios!G253/Precios!G252)</f>
        <v>0.0239361912732185</v>
      </c>
      <c r="H252" s="7" t="n">
        <f aca="false">LN(Precios!H253/Precios!H252)</f>
        <v>-0.00244798163864</v>
      </c>
      <c r="I252" s="7" t="n">
        <f aca="false">LN(Precios!I253/Precios!I252)</f>
        <v>0.00429738521254617</v>
      </c>
      <c r="J252" s="7" t="n">
        <f aca="false">LN(Precios!J253/Precios!J252)</f>
        <v>0.00517901794916941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8" t="s">
        <v>19</v>
      </c>
    </row>
    <row r="2" customFormat="false" ht="15" hidden="false" customHeight="false" outlineLevel="0" collapsed="false">
      <c r="A2" s="9" t="s">
        <v>20</v>
      </c>
      <c r="B2" s="10" t="n">
        <v>252</v>
      </c>
      <c r="C2" s="5" t="s">
        <v>21</v>
      </c>
    </row>
    <row r="4" customFormat="false" ht="42" hidden="false" customHeight="tru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</row>
    <row r="5" customFormat="false" ht="15" hidden="false" customHeight="false" outlineLevel="0" collapsed="false">
      <c r="A5" s="9" t="s">
        <v>1</v>
      </c>
      <c r="B5" s="11" t="n">
        <f aca="false">AVERAGE(Rendimientos!$B$2:$B$252)</f>
        <v>0.000135340419822227</v>
      </c>
      <c r="C5" s="11" t="n">
        <f aca="false">STDEV(Rendimientos!$B$2:$B$252)</f>
        <v>0.0136243274658377</v>
      </c>
      <c r="D5" s="12" t="n">
        <f aca="false">B5*Matriz!$B$2</f>
        <v>0.0341057857952013</v>
      </c>
      <c r="E5" s="12" t="n">
        <f aca="false">C5*SQRT(Matriz!$B$2)</f>
        <v>0.21627949353068</v>
      </c>
      <c r="F5" s="13" t="n">
        <f aca="false">IFERROR(E5/D5,"n/a")</f>
        <v>6.34143118206972</v>
      </c>
      <c r="G5" s="14" t="n">
        <f aca="false">SLOPE(Rendimientos!$B$2:$B$252,Rendimientos!$J$2:$J$252)</f>
        <v>0.721420787768232</v>
      </c>
    </row>
    <row r="6" customFormat="false" ht="15" hidden="false" customHeight="false" outlineLevel="0" collapsed="false">
      <c r="A6" s="9" t="s">
        <v>2</v>
      </c>
      <c r="B6" s="11" t="n">
        <f aca="false">AVERAGE(Rendimientos!$C$2:$C$252)</f>
        <v>-0.000875437353859284</v>
      </c>
      <c r="C6" s="11" t="n">
        <f aca="false">STDEV(Rendimientos!$C$2:$C$252)</f>
        <v>0.0155785615935436</v>
      </c>
      <c r="D6" s="12" t="n">
        <f aca="false">B6*Matriz!$B$2</f>
        <v>-0.22061021317254</v>
      </c>
      <c r="E6" s="12" t="n">
        <f aca="false">C6*SQRT(Matriz!$B$2)</f>
        <v>0.24730199856371</v>
      </c>
      <c r="F6" s="13" t="n">
        <f aca="false">IFERROR(E6/D6,"n/a")</f>
        <v>-1.12099070576708</v>
      </c>
      <c r="G6" s="14" t="n">
        <f aca="false">SLOPE(Rendimientos!$C$2:$C$252,Rendimientos!$J$2:$J$252)</f>
        <v>0.543469950228025</v>
      </c>
    </row>
    <row r="7" customFormat="false" ht="15" hidden="false" customHeight="false" outlineLevel="0" collapsed="false">
      <c r="A7" s="9" t="s">
        <v>3</v>
      </c>
      <c r="B7" s="11" t="n">
        <f aca="false">AVERAGE(Rendimientos!$D$2:$D$252)</f>
        <v>0.000192700351290774</v>
      </c>
      <c r="C7" s="11" t="n">
        <f aca="false">STDEV(Rendimientos!$D$2:$D$252)</f>
        <v>0.015522530576543</v>
      </c>
      <c r="D7" s="12" t="n">
        <f aca="false">B7*Matriz!$B$2</f>
        <v>0.048560488525275</v>
      </c>
      <c r="E7" s="12" t="n">
        <f aca="false">C7*SQRT(Matriz!$B$2)</f>
        <v>0.246412533743573</v>
      </c>
      <c r="F7" s="13" t="n">
        <f aca="false">IFERROR(E7/D7,"n/a")</f>
        <v>5.07434214990071</v>
      </c>
      <c r="G7" s="14" t="n">
        <f aca="false">SLOPE(Rendimientos!$D$2:$D$252,Rendimientos!$J$2:$J$252)</f>
        <v>0.777192285177725</v>
      </c>
    </row>
    <row r="8" customFormat="false" ht="15" hidden="false" customHeight="false" outlineLevel="0" collapsed="false">
      <c r="A8" s="9" t="s">
        <v>4</v>
      </c>
      <c r="B8" s="11" t="n">
        <f aca="false">AVERAGE(Rendimientos!$E$2:$E$252)</f>
        <v>-0.000636577774251477</v>
      </c>
      <c r="C8" s="11" t="n">
        <f aca="false">STDEV(Rendimientos!$E$2:$E$252)</f>
        <v>0.0176768865360324</v>
      </c>
      <c r="D8" s="12" t="n">
        <f aca="false">B8*Matriz!$B$2</f>
        <v>-0.160417599111372</v>
      </c>
      <c r="E8" s="12" t="n">
        <f aca="false">C8*SQRT(Matriz!$B$2)</f>
        <v>0.280611874369486</v>
      </c>
      <c r="F8" s="13" t="n">
        <f aca="false">IFERROR(E8/D8,"n/a")</f>
        <v>-1.74925865942344</v>
      </c>
      <c r="G8" s="14" t="n">
        <f aca="false">SLOPE(Rendimientos!$E$2:$E$252,Rendimientos!$J$2:$J$252)</f>
        <v>0.796656113733142</v>
      </c>
    </row>
    <row r="9" customFormat="false" ht="15" hidden="false" customHeight="false" outlineLevel="0" collapsed="false">
      <c r="A9" s="9" t="s">
        <v>5</v>
      </c>
      <c r="B9" s="11" t="n">
        <f aca="false">AVERAGE(Rendimientos!$F$2:$F$252)</f>
        <v>0.000345045891173329</v>
      </c>
      <c r="C9" s="11" t="n">
        <f aca="false">STDEV(Rendimientos!$F$2:$F$252)</f>
        <v>0.020678044326609</v>
      </c>
      <c r="D9" s="12" t="n">
        <f aca="false">B9*Matriz!$B$2</f>
        <v>0.0869515645756788</v>
      </c>
      <c r="E9" s="12" t="n">
        <f aca="false">C9*SQRT(Matriz!$B$2)</f>
        <v>0.328253777324264</v>
      </c>
      <c r="F9" s="13" t="n">
        <f aca="false">IFERROR(E9/D9,"n/a")</f>
        <v>3.7751336497064</v>
      </c>
      <c r="G9" s="14" t="n">
        <f aca="false">SLOPE(Rendimientos!$F$2:$F$252,Rendimientos!$J$2:$J$252)</f>
        <v>1.29038637744709</v>
      </c>
    </row>
    <row r="10" customFormat="false" ht="15" hidden="false" customHeight="false" outlineLevel="0" collapsed="false">
      <c r="A10" s="9" t="s">
        <v>6</v>
      </c>
      <c r="B10" s="11" t="n">
        <f aca="false">AVERAGE(Rendimientos!$G$2:$G$252)</f>
        <v>0.000357409741628662</v>
      </c>
      <c r="C10" s="11" t="n">
        <f aca="false">STDEV(Rendimientos!$G$2:$G$252)</f>
        <v>0.0172312680329634</v>
      </c>
      <c r="D10" s="12" t="n">
        <f aca="false">B10*Matriz!$B$2</f>
        <v>0.0900672548904228</v>
      </c>
      <c r="E10" s="12" t="n">
        <f aca="false">C10*SQRT(Matriz!$B$2)</f>
        <v>0.273537899937109</v>
      </c>
      <c r="F10" s="13" t="n">
        <f aca="false">IFERROR(E10/D10,"n/a")</f>
        <v>3.0370404901304</v>
      </c>
      <c r="G10" s="14" t="n">
        <f aca="false">SLOPE(Rendimientos!$G$2:$G$252,Rendimientos!$J$2:$J$252)</f>
        <v>1.14279250661309</v>
      </c>
    </row>
    <row r="11" customFormat="false" ht="15" hidden="false" customHeight="false" outlineLevel="0" collapsed="false">
      <c r="A11" s="9" t="s">
        <v>7</v>
      </c>
      <c r="B11" s="11" t="n">
        <f aca="false">AVERAGE(Rendimientos!$H$2:$H$252)</f>
        <v>-0.000550872220216394</v>
      </c>
      <c r="C11" s="11" t="n">
        <f aca="false">STDEV(Rendimientos!$H$2:$H$252)</f>
        <v>0.0250097086605733</v>
      </c>
      <c r="D11" s="12" t="n">
        <f aca="false">B11*Matriz!$B$2</f>
        <v>-0.138819799494531</v>
      </c>
      <c r="E11" s="12" t="n">
        <f aca="false">C11*SQRT(Matriz!$B$2)</f>
        <v>0.397016816868332</v>
      </c>
      <c r="F11" s="13" t="n">
        <f aca="false">IFERROR(E11/D11,"n/a")</f>
        <v>-2.85994374227555</v>
      </c>
      <c r="G11" s="14" t="n">
        <f aca="false">SLOPE(Rendimientos!$H$2:$H$252,Rendimientos!$J$2:$J$252)</f>
        <v>0.523588734315326</v>
      </c>
    </row>
    <row r="12" customFormat="false" ht="15" hidden="false" customHeight="false" outlineLevel="0" collapsed="false">
      <c r="A12" s="9" t="s">
        <v>8</v>
      </c>
      <c r="B12" s="11" t="n">
        <f aca="false">AVERAGE(Rendimientos!$I$2:$I$252)</f>
        <v>-0.000629978646874064</v>
      </c>
      <c r="C12" s="11" t="n">
        <f aca="false">STDEV(Rendimientos!$I$2:$I$252)</f>
        <v>0.0137447078483284</v>
      </c>
      <c r="D12" s="12" t="n">
        <f aca="false">B12*Matriz!$B$2</f>
        <v>-0.158754619012264</v>
      </c>
      <c r="E12" s="12" t="n">
        <f aca="false">C12*SQRT(Matriz!$B$2)</f>
        <v>0.218190472859488</v>
      </c>
      <c r="F12" s="13" t="n">
        <f aca="false">IFERROR(E12/D12,"n/a")</f>
        <v>-1.37438818610142</v>
      </c>
      <c r="G12" s="14" t="n">
        <f aca="false">SLOPE(Rendimientos!$I$2:$I$252,Rendimientos!$J$2:$J$252)</f>
        <v>0.558461440006366</v>
      </c>
    </row>
    <row r="13" customFormat="false" ht="15" hidden="false" customHeight="false" outlineLevel="0" collapsed="false">
      <c r="A13" s="9" t="s">
        <v>9</v>
      </c>
      <c r="B13" s="11" t="n">
        <f aca="false">AVERAGE(Rendimientos!$J$2:$J$252)</f>
        <v>0.000311252415629888</v>
      </c>
      <c r="C13" s="11" t="n">
        <f aca="false">STDEV(Rendimientos!$J$2:$J$252)</f>
        <v>0.0106379857247736</v>
      </c>
      <c r="D13" s="12" t="n">
        <f aca="false">B13*Matriz!$B$2</f>
        <v>0.0784356087387318</v>
      </c>
      <c r="E13" s="12" t="n">
        <f aca="false">C13*SQRT(Matriz!$B$2)</f>
        <v>0.168872788070436</v>
      </c>
      <c r="F13" s="13" t="n">
        <f aca="false">IFERROR(E13/D13,"n/a")</f>
        <v>2.15301176067811</v>
      </c>
      <c r="G13" s="14" t="n">
        <f aca="false">SLOPE(Rendimientos!$J$2:$J$252,Rendimientos!$J$2:$J$252)</f>
        <v>1</v>
      </c>
    </row>
    <row r="16" customFormat="false" ht="15" hidden="false" customHeight="false" outlineLevel="0" collapsed="false">
      <c r="A16" s="2" t="s">
        <v>29</v>
      </c>
    </row>
    <row r="17" customFormat="false" ht="15" hidden="false" customHeight="false" outlineLevel="0" collapsed="false">
      <c r="A17" s="1"/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customFormat="false" ht="15" hidden="false" customHeight="false" outlineLevel="0" collapsed="false">
      <c r="A18" s="15" t="s">
        <v>1</v>
      </c>
      <c r="B18" s="16" t="n">
        <f aca="false">COVAR(Rendimientos!$B$2:$B$252,Rendimientos!$B$2:$B$252)*COUNT(Rendimientos!$B$2:$B$252)/(COUNT(Rendimientos!$B$2:$B$252)-1)*Matriz!$B$2</f>
        <v>0.0467768193218874</v>
      </c>
      <c r="C18" s="16" t="n">
        <f aca="false">COVAR(Rendimientos!$B$2:$B$252,Rendimientos!$C$2:$C$252)*COUNT(Rendimientos!$B$2:$B$252)/(COUNT(Rendimientos!$B$2:$B$252)-1)*Matriz!$B$2</f>
        <v>0.0163510070163372</v>
      </c>
      <c r="D18" s="16" t="n">
        <f aca="false">COVAR(Rendimientos!$B$2:$B$252,Rendimientos!$D$2:$D$252)*COUNT(Rendimientos!$B$2:$B$252)/(COUNT(Rendimientos!$B$2:$B$252)-1)*Matriz!$B$2</f>
        <v>0.0161401693636928</v>
      </c>
      <c r="E18" s="16" t="n">
        <f aca="false">COVAR(Rendimientos!$B$2:$B$252,Rendimientos!$E$2:$E$252)*COUNT(Rendimientos!$B$2:$B$252)/(COUNT(Rendimientos!$B$2:$B$252)-1)*Matriz!$B$2</f>
        <v>0.0236588684411258</v>
      </c>
      <c r="F18" s="16" t="n">
        <f aca="false">COVAR(Rendimientos!$B$2:$B$252,Rendimientos!$F$2:$F$252)*COUNT(Rendimientos!$B$2:$B$252)/(COUNT(Rendimientos!$B$2:$B$252)-1)*Matriz!$B$2</f>
        <v>0.0223429633221362</v>
      </c>
      <c r="G18" s="16" t="n">
        <f aca="false">COVAR(Rendimientos!$B$2:$B$252,Rendimientos!$G$2:$G$252)*COUNT(Rendimientos!$B$2:$B$252)/(COUNT(Rendimientos!$B$2:$B$252)-1)*Matriz!$B$2</f>
        <v>0.0254350717160334</v>
      </c>
      <c r="H18" s="16" t="n">
        <f aca="false">COVAR(Rendimientos!$B$2:$B$252,Rendimientos!$H$2:$H$252)*COUNT(Rendimientos!$B$2:$B$252)/(COUNT(Rendimientos!$B$2:$B$252)-1)*Matriz!$B$2</f>
        <v>0.00470161144697676</v>
      </c>
      <c r="I18" s="16" t="n">
        <f aca="false">COVAR(Rendimientos!$B$2:$B$252,Rendimientos!$I$2:$I$252)*COUNT(Rendimientos!$B$2:$B$252)/(COUNT(Rendimientos!$B$2:$B$252)-1)*Matriz!$B$2</f>
        <v>0.0170373670352536</v>
      </c>
    </row>
    <row r="19" customFormat="false" ht="15" hidden="false" customHeight="false" outlineLevel="0" collapsed="false">
      <c r="A19" s="15" t="s">
        <v>2</v>
      </c>
      <c r="B19" s="16" t="n">
        <f aca="false">COVAR(Rendimientos!$C$2:$C$252,Rendimientos!$B$2:$B$252)*COUNT(Rendimientos!$C$2:$C$252)/(COUNT(Rendimientos!$C$2:$C$252)-1)*Matriz!$B$2</f>
        <v>0.0163510070163372</v>
      </c>
      <c r="C19" s="16" t="n">
        <f aca="false">COVAR(Rendimientos!$C$2:$C$252,Rendimientos!$C$2:$C$252)*COUNT(Rendimientos!$C$2:$C$252)/(COUNT(Rendimientos!$C$2:$C$252)-1)*Matriz!$B$2</f>
        <v>0.0611582784936053</v>
      </c>
      <c r="D19" s="16" t="n">
        <f aca="false">COVAR(Rendimientos!$C$2:$C$252,Rendimientos!$D$2:$D$252)*COUNT(Rendimientos!$C$2:$C$252)/(COUNT(Rendimientos!$C$2:$C$252)-1)*Matriz!$B$2</f>
        <v>0.0115065999900617</v>
      </c>
      <c r="E19" s="16" t="n">
        <f aca="false">COVAR(Rendimientos!$C$2:$C$252,Rendimientos!$E$2:$E$252)*COUNT(Rendimientos!$C$2:$C$252)/(COUNT(Rendimientos!$C$2:$C$252)-1)*Matriz!$B$2</f>
        <v>0.0157521869674474</v>
      </c>
      <c r="F19" s="16" t="n">
        <f aca="false">COVAR(Rendimientos!$C$2:$C$252,Rendimientos!$F$2:$F$252)*COUNT(Rendimientos!$C$2:$C$252)/(COUNT(Rendimientos!$C$2:$C$252)-1)*Matriz!$B$2</f>
        <v>0.01200511647392</v>
      </c>
      <c r="G19" s="16" t="n">
        <f aca="false">COVAR(Rendimientos!$C$2:$C$252,Rendimientos!$G$2:$G$252)*COUNT(Rendimientos!$C$2:$C$252)/(COUNT(Rendimientos!$C$2:$C$252)-1)*Matriz!$B$2</f>
        <v>0.0120400254312967</v>
      </c>
      <c r="H19" s="16" t="n">
        <f aca="false">COVAR(Rendimientos!$C$2:$C$252,Rendimientos!$H$2:$H$252)*COUNT(Rendimientos!$C$2:$C$252)/(COUNT(Rendimientos!$C$2:$C$252)-1)*Matriz!$B$2</f>
        <v>0.00651729868207281</v>
      </c>
      <c r="I19" s="16" t="n">
        <f aca="false">COVAR(Rendimientos!$C$2:$C$252,Rendimientos!$I$2:$I$252)*COUNT(Rendimientos!$C$2:$C$252)/(COUNT(Rendimientos!$C$2:$C$252)-1)*Matriz!$B$2</f>
        <v>0.0127145942642116</v>
      </c>
    </row>
    <row r="20" customFormat="false" ht="15" hidden="false" customHeight="false" outlineLevel="0" collapsed="false">
      <c r="A20" s="15" t="s">
        <v>3</v>
      </c>
      <c r="B20" s="16" t="n">
        <f aca="false">COVAR(Rendimientos!$D$2:$D$252,Rendimientos!$B$2:$B$252)*COUNT(Rendimientos!$D$2:$D$252)/(COUNT(Rendimientos!$D$2:$D$252)-1)*Matriz!$B$2</f>
        <v>0.0161401693636928</v>
      </c>
      <c r="C20" s="16" t="n">
        <f aca="false">COVAR(Rendimientos!$D$2:$D$252,Rendimientos!$C$2:$C$252)*COUNT(Rendimientos!$D$2:$D$252)/(COUNT(Rendimientos!$D$2:$D$252)-1)*Matriz!$B$2</f>
        <v>0.0115065999900617</v>
      </c>
      <c r="D20" s="16" t="n">
        <f aca="false">COVAR(Rendimientos!$D$2:$D$252,Rendimientos!$D$2:$D$252)*COUNT(Rendimientos!$D$2:$D$252)/(COUNT(Rendimientos!$D$2:$D$252)-1)*Matriz!$B$2</f>
        <v>0.0607191367859275</v>
      </c>
      <c r="E20" s="16" t="n">
        <f aca="false">COVAR(Rendimientos!$D$2:$D$252,Rendimientos!$E$2:$E$252)*COUNT(Rendimientos!$D$2:$D$252)/(COUNT(Rendimientos!$D$2:$D$252)-1)*Matriz!$B$2</f>
        <v>0.0190928390033395</v>
      </c>
      <c r="F20" s="16" t="n">
        <f aca="false">COVAR(Rendimientos!$D$2:$D$252,Rendimientos!$F$2:$F$252)*COUNT(Rendimientos!$D$2:$D$252)/(COUNT(Rendimientos!$D$2:$D$252)-1)*Matriz!$B$2</f>
        <v>0.0246841597500427</v>
      </c>
      <c r="G20" s="16" t="n">
        <f aca="false">COVAR(Rendimientos!$D$2:$D$252,Rendimientos!$G$2:$G$252)*COUNT(Rendimientos!$D$2:$D$252)/(COUNT(Rendimientos!$D$2:$D$252)-1)*Matriz!$B$2</f>
        <v>0.0213422621694689</v>
      </c>
      <c r="H20" s="16" t="n">
        <f aca="false">COVAR(Rendimientos!$D$2:$D$252,Rendimientos!$H$2:$H$252)*COUNT(Rendimientos!$D$2:$D$252)/(COUNT(Rendimientos!$D$2:$D$252)-1)*Matriz!$B$2</f>
        <v>0.0123508254550815</v>
      </c>
      <c r="I20" s="16" t="n">
        <f aca="false">COVAR(Rendimientos!$D$2:$D$252,Rendimientos!$I$2:$I$252)*COUNT(Rendimientos!$D$2:$D$252)/(COUNT(Rendimientos!$D$2:$D$252)-1)*Matriz!$B$2</f>
        <v>0.0153205876136776</v>
      </c>
    </row>
    <row r="21" customFormat="false" ht="15" hidden="false" customHeight="false" outlineLevel="0" collapsed="false">
      <c r="A21" s="15" t="s">
        <v>4</v>
      </c>
      <c r="B21" s="16" t="n">
        <f aca="false">COVAR(Rendimientos!$E$2:$E$252,Rendimientos!$B$2:$B$252)*COUNT(Rendimientos!$E$2:$E$252)/(COUNT(Rendimientos!$E$2:$E$252)-1)*Matriz!$B$2</f>
        <v>0.0236588684411258</v>
      </c>
      <c r="C21" s="16" t="n">
        <f aca="false">COVAR(Rendimientos!$E$2:$E$252,Rendimientos!$C$2:$C$252)*COUNT(Rendimientos!$E$2:$E$252)/(COUNT(Rendimientos!$E$2:$E$252)-1)*Matriz!$B$2</f>
        <v>0.0157521869674474</v>
      </c>
      <c r="D21" s="16" t="n">
        <f aca="false">COVAR(Rendimientos!$E$2:$E$252,Rendimientos!$D$2:$D$252)*COUNT(Rendimientos!$E$2:$E$252)/(COUNT(Rendimientos!$E$2:$E$252)-1)*Matriz!$B$2</f>
        <v>0.0190928390033395</v>
      </c>
      <c r="E21" s="16" t="n">
        <f aca="false">COVAR(Rendimientos!$E$2:$E$252,Rendimientos!$E$2:$E$252)*COUNT(Rendimientos!$E$2:$E$252)/(COUNT(Rendimientos!$E$2:$E$252)-1)*Matriz!$B$2</f>
        <v>0.0787430240371563</v>
      </c>
      <c r="F21" s="16" t="n">
        <f aca="false">COVAR(Rendimientos!$E$2:$E$252,Rendimientos!$F$2:$F$252)*COUNT(Rendimientos!$E$2:$E$252)/(COUNT(Rendimientos!$E$2:$E$252)-1)*Matriz!$B$2</f>
        <v>0.0244338018690924</v>
      </c>
      <c r="G21" s="16" t="n">
        <f aca="false">COVAR(Rendimientos!$E$2:$E$252,Rendimientos!$G$2:$G$252)*COUNT(Rendimientos!$E$2:$E$252)/(COUNT(Rendimientos!$E$2:$E$252)-1)*Matriz!$B$2</f>
        <v>0.0236233719652799</v>
      </c>
      <c r="H21" s="16" t="n">
        <f aca="false">COVAR(Rendimientos!$E$2:$E$252,Rendimientos!$H$2:$H$252)*COUNT(Rendimientos!$E$2:$E$252)/(COUNT(Rendimientos!$E$2:$E$252)-1)*Matriz!$B$2</f>
        <v>0.0213730016547893</v>
      </c>
      <c r="I21" s="16" t="n">
        <f aca="false">COVAR(Rendimientos!$E$2:$E$252,Rendimientos!$I$2:$I$252)*COUNT(Rendimientos!$E$2:$E$252)/(COUNT(Rendimientos!$E$2:$E$252)-1)*Matriz!$B$2</f>
        <v>0.0157549558175381</v>
      </c>
    </row>
    <row r="22" customFormat="false" ht="15" hidden="false" customHeight="false" outlineLevel="0" collapsed="false">
      <c r="A22" s="15" t="s">
        <v>5</v>
      </c>
      <c r="B22" s="16" t="n">
        <f aca="false">COVAR(Rendimientos!$F$2:$F$252,Rendimientos!$B$2:$B$252)*COUNT(Rendimientos!$F$2:$F$252)/(COUNT(Rendimientos!$F$2:$F$252)-1)*Matriz!$B$2</f>
        <v>0.0223429633221362</v>
      </c>
      <c r="C22" s="16" t="n">
        <f aca="false">COVAR(Rendimientos!$F$2:$F$252,Rendimientos!$C$2:$C$252)*COUNT(Rendimientos!$F$2:$F$252)/(COUNT(Rendimientos!$F$2:$F$252)-1)*Matriz!$B$2</f>
        <v>0.01200511647392</v>
      </c>
      <c r="D22" s="16" t="n">
        <f aca="false">COVAR(Rendimientos!$F$2:$F$252,Rendimientos!$D$2:$D$252)*COUNT(Rendimientos!$F$2:$F$252)/(COUNT(Rendimientos!$F$2:$F$252)-1)*Matriz!$B$2</f>
        <v>0.0246841597500427</v>
      </c>
      <c r="E22" s="16" t="n">
        <f aca="false">COVAR(Rendimientos!$F$2:$F$252,Rendimientos!$E$2:$E$252)*COUNT(Rendimientos!$F$2:$F$252)/(COUNT(Rendimientos!$F$2:$F$252)-1)*Matriz!$B$2</f>
        <v>0.0244338018690924</v>
      </c>
      <c r="F22" s="16" t="n">
        <f aca="false">COVAR(Rendimientos!$F$2:$F$252,Rendimientos!$F$2:$F$252)*COUNT(Rendimientos!$F$2:$F$252)/(COUNT(Rendimientos!$F$2:$F$252)-1)*Matriz!$B$2</f>
        <v>0.107750542327648</v>
      </c>
      <c r="G22" s="16" t="n">
        <f aca="false">COVAR(Rendimientos!$F$2:$F$252,Rendimientos!$G$2:$G$252)*COUNT(Rendimientos!$F$2:$F$252)/(COUNT(Rendimientos!$F$2:$F$252)-1)*Matriz!$B$2</f>
        <v>0.033707346447629</v>
      </c>
      <c r="H22" s="16" t="n">
        <f aca="false">COVAR(Rendimientos!$F$2:$F$252,Rendimientos!$H$2:$H$252)*COUNT(Rendimientos!$F$2:$F$252)/(COUNT(Rendimientos!$F$2:$F$252)-1)*Matriz!$B$2</f>
        <v>0.0254970273587331</v>
      </c>
      <c r="I22" s="16" t="n">
        <f aca="false">COVAR(Rendimientos!$F$2:$F$252,Rendimientos!$I$2:$I$252)*COUNT(Rendimientos!$F$2:$F$252)/(COUNT(Rendimientos!$F$2:$F$252)-1)*Matriz!$B$2</f>
        <v>0.0165592102515267</v>
      </c>
    </row>
    <row r="23" customFormat="false" ht="15" hidden="false" customHeight="false" outlineLevel="0" collapsed="false">
      <c r="A23" s="15" t="s">
        <v>6</v>
      </c>
      <c r="B23" s="16" t="n">
        <f aca="false">COVAR(Rendimientos!$G$2:$G$252,Rendimientos!$B$2:$B$252)*COUNT(Rendimientos!$G$2:$G$252)/(COUNT(Rendimientos!$G$2:$G$252)-1)*Matriz!$B$2</f>
        <v>0.0254350717160334</v>
      </c>
      <c r="C23" s="16" t="n">
        <f aca="false">COVAR(Rendimientos!$G$2:$G$252,Rendimientos!$C$2:$C$252)*COUNT(Rendimientos!$G$2:$G$252)/(COUNT(Rendimientos!$G$2:$G$252)-1)*Matriz!$B$2</f>
        <v>0.0120400254312967</v>
      </c>
      <c r="D23" s="16" t="n">
        <f aca="false">COVAR(Rendimientos!$G$2:$G$252,Rendimientos!$D$2:$D$252)*COUNT(Rendimientos!$G$2:$G$252)/(COUNT(Rendimientos!$G$2:$G$252)-1)*Matriz!$B$2</f>
        <v>0.0213422621694689</v>
      </c>
      <c r="E23" s="16" t="n">
        <f aca="false">COVAR(Rendimientos!$G$2:$G$252,Rendimientos!$E$2:$E$252)*COUNT(Rendimientos!$G$2:$G$252)/(COUNT(Rendimientos!$G$2:$G$252)-1)*Matriz!$B$2</f>
        <v>0.0236233719652799</v>
      </c>
      <c r="F23" s="16" t="n">
        <f aca="false">COVAR(Rendimientos!$G$2:$G$252,Rendimientos!$F$2:$F$252)*COUNT(Rendimientos!$G$2:$G$252)/(COUNT(Rendimientos!$G$2:$G$252)-1)*Matriz!$B$2</f>
        <v>0.033707346447629</v>
      </c>
      <c r="G23" s="16" t="n">
        <f aca="false">COVAR(Rendimientos!$G$2:$G$252,Rendimientos!$G$2:$G$252)*COUNT(Rendimientos!$G$2:$G$252)/(COUNT(Rendimientos!$G$2:$G$252)-1)*Matriz!$B$2</f>
        <v>0.0748229827020041</v>
      </c>
      <c r="H23" s="16" t="n">
        <f aca="false">COVAR(Rendimientos!$G$2:$G$252,Rendimientos!$H$2:$H$252)*COUNT(Rendimientos!$G$2:$G$252)/(COUNT(Rendimientos!$G$2:$G$252)-1)*Matriz!$B$2</f>
        <v>0.0194652655486888</v>
      </c>
      <c r="I23" s="16" t="n">
        <f aca="false">COVAR(Rendimientos!$G$2:$G$252,Rendimientos!$I$2:$I$252)*COUNT(Rendimientos!$G$2:$G$252)/(COUNT(Rendimientos!$G$2:$G$252)-1)*Matriz!$B$2</f>
        <v>0.0188083063988927</v>
      </c>
    </row>
    <row r="24" customFormat="false" ht="15" hidden="false" customHeight="false" outlineLevel="0" collapsed="false">
      <c r="A24" s="15" t="s">
        <v>7</v>
      </c>
      <c r="B24" s="16" t="n">
        <f aca="false">COVAR(Rendimientos!$H$2:$H$252,Rendimientos!$B$2:$B$252)*COUNT(Rendimientos!$H$2:$H$252)/(COUNT(Rendimientos!$H$2:$H$252)-1)*Matriz!$B$2</f>
        <v>0.00470161144697676</v>
      </c>
      <c r="C24" s="16" t="n">
        <f aca="false">COVAR(Rendimientos!$H$2:$H$252,Rendimientos!$C$2:$C$252)*COUNT(Rendimientos!$H$2:$H$252)/(COUNT(Rendimientos!$H$2:$H$252)-1)*Matriz!$B$2</f>
        <v>0.00651729868207281</v>
      </c>
      <c r="D24" s="16" t="n">
        <f aca="false">COVAR(Rendimientos!$H$2:$H$252,Rendimientos!$D$2:$D$252)*COUNT(Rendimientos!$H$2:$H$252)/(COUNT(Rendimientos!$H$2:$H$252)-1)*Matriz!$B$2</f>
        <v>0.0123508254550815</v>
      </c>
      <c r="E24" s="16" t="n">
        <f aca="false">COVAR(Rendimientos!$H$2:$H$252,Rendimientos!$E$2:$E$252)*COUNT(Rendimientos!$H$2:$H$252)/(COUNT(Rendimientos!$H$2:$H$252)-1)*Matriz!$B$2</f>
        <v>0.0213730016547893</v>
      </c>
      <c r="F24" s="16" t="n">
        <f aca="false">COVAR(Rendimientos!$H$2:$H$252,Rendimientos!$F$2:$F$252)*COUNT(Rendimientos!$H$2:$H$252)/(COUNT(Rendimientos!$H$2:$H$252)-1)*Matriz!$B$2</f>
        <v>0.0254970273587331</v>
      </c>
      <c r="G24" s="16" t="n">
        <f aca="false">COVAR(Rendimientos!$H$2:$H$252,Rendimientos!$G$2:$G$252)*COUNT(Rendimientos!$H$2:$H$252)/(COUNT(Rendimientos!$H$2:$H$252)-1)*Matriz!$B$2</f>
        <v>0.0194652655486888</v>
      </c>
      <c r="H24" s="16" t="n">
        <f aca="false">COVAR(Rendimientos!$H$2:$H$252,Rendimientos!$H$2:$H$252)*COUNT(Rendimientos!$H$2:$H$252)/(COUNT(Rendimientos!$H$2:$H$252)-1)*Matriz!$B$2</f>
        <v>0.157622352876263</v>
      </c>
      <c r="I24" s="16" t="n">
        <f aca="false">COVAR(Rendimientos!$H$2:$H$252,Rendimientos!$I$2:$I$252)*COUNT(Rendimientos!$H$2:$H$252)/(COUNT(Rendimientos!$H$2:$H$252)-1)*Matriz!$B$2</f>
        <v>0.00623240635151241</v>
      </c>
    </row>
    <row r="25" customFormat="false" ht="15" hidden="false" customHeight="false" outlineLevel="0" collapsed="false">
      <c r="A25" s="15" t="s">
        <v>8</v>
      </c>
      <c r="B25" s="16" t="n">
        <f aca="false">COVAR(Rendimientos!$I$2:$I$252,Rendimientos!$B$2:$B$252)*COUNT(Rendimientos!$I$2:$I$252)/(COUNT(Rendimientos!$I$2:$I$252)-1)*Matriz!$B$2</f>
        <v>0.0170373670352536</v>
      </c>
      <c r="C25" s="16" t="n">
        <f aca="false">COVAR(Rendimientos!$I$2:$I$252,Rendimientos!$C$2:$C$252)*COUNT(Rendimientos!$I$2:$I$252)/(COUNT(Rendimientos!$I$2:$I$252)-1)*Matriz!$B$2</f>
        <v>0.0127145942642116</v>
      </c>
      <c r="D25" s="16" t="n">
        <f aca="false">COVAR(Rendimientos!$I$2:$I$252,Rendimientos!$D$2:$D$252)*COUNT(Rendimientos!$I$2:$I$252)/(COUNT(Rendimientos!$I$2:$I$252)-1)*Matriz!$B$2</f>
        <v>0.0153205876136776</v>
      </c>
      <c r="E25" s="16" t="n">
        <f aca="false">COVAR(Rendimientos!$I$2:$I$252,Rendimientos!$E$2:$E$252)*COUNT(Rendimientos!$I$2:$I$252)/(COUNT(Rendimientos!$I$2:$I$252)-1)*Matriz!$B$2</f>
        <v>0.0157549558175381</v>
      </c>
      <c r="F25" s="16" t="n">
        <f aca="false">COVAR(Rendimientos!$I$2:$I$252,Rendimientos!$F$2:$F$252)*COUNT(Rendimientos!$I$2:$I$252)/(COUNT(Rendimientos!$I$2:$I$252)-1)*Matriz!$B$2</f>
        <v>0.0165592102515267</v>
      </c>
      <c r="G25" s="16" t="n">
        <f aca="false">COVAR(Rendimientos!$I$2:$I$252,Rendimientos!$G$2:$G$252)*COUNT(Rendimientos!$I$2:$I$252)/(COUNT(Rendimientos!$I$2:$I$252)-1)*Matriz!$B$2</f>
        <v>0.0188083063988927</v>
      </c>
      <c r="H25" s="16" t="n">
        <f aca="false">COVAR(Rendimientos!$I$2:$I$252,Rendimientos!$H$2:$H$252)*COUNT(Rendimientos!$I$2:$I$252)/(COUNT(Rendimientos!$I$2:$I$252)-1)*Matriz!$B$2</f>
        <v>0.00623240635151241</v>
      </c>
      <c r="I25" s="16" t="n">
        <f aca="false">COVAR(Rendimientos!$I$2:$I$252,Rendimientos!$I$2:$I$252)*COUNT(Rendimientos!$I$2:$I$252)/(COUNT(Rendimientos!$I$2:$I$252)-1)*Matriz!$B$2</f>
        <v>0.0476070824466468</v>
      </c>
    </row>
    <row r="28" customFormat="false" ht="15" hidden="false" customHeight="false" outlineLevel="0" collapsed="false">
      <c r="A28" s="2" t="s">
        <v>30</v>
      </c>
    </row>
    <row r="29" customFormat="false" ht="15" hidden="false" customHeight="false" outlineLevel="0" collapsed="false">
      <c r="A29" s="1"/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</row>
    <row r="30" customFormat="false" ht="15" hidden="false" customHeight="false" outlineLevel="0" collapsed="false">
      <c r="A30" s="15" t="s">
        <v>1</v>
      </c>
      <c r="B30" s="13" t="n">
        <f aca="false">CORREL(Rendimientos!$B$2:$B$252,Rendimientos!$B$2:$B$252)</f>
        <v>1</v>
      </c>
      <c r="C30" s="13" t="n">
        <f aca="false">CORREL(Rendimientos!$B$2:$B$252,Rendimientos!$C$2:$C$252)</f>
        <v>0.305704291115328</v>
      </c>
      <c r="D30" s="13" t="n">
        <f aca="false">CORREL(Rendimientos!$B$2:$B$252,Rendimientos!$D$2:$D$252)</f>
        <v>0.302851653603301</v>
      </c>
      <c r="E30" s="13" t="n">
        <f aca="false">CORREL(Rendimientos!$B$2:$B$252,Rendimientos!$E$2:$E$252)</f>
        <v>0.3898275969235</v>
      </c>
      <c r="F30" s="13" t="n">
        <f aca="false">CORREL(Rendimientos!$B$2:$B$252,Rendimientos!$F$2:$F$252)</f>
        <v>0.314713734389417</v>
      </c>
      <c r="G30" s="13" t="n">
        <f aca="false">CORREL(Rendimientos!$B$2:$B$252,Rendimientos!$G$2:$G$252)</f>
        <v>0.429932339781929</v>
      </c>
      <c r="H30" s="13" t="n">
        <f aca="false">CORREL(Rendimientos!$B$2:$B$252,Rendimientos!$H$2:$H$252)</f>
        <v>0.0547548367102587</v>
      </c>
      <c r="I30" s="13" t="n">
        <f aca="false">CORREL(Rendimientos!$B$2:$B$252,Rendimientos!$I$2:$I$252)</f>
        <v>0.361036700973236</v>
      </c>
    </row>
    <row r="31" customFormat="false" ht="15" hidden="false" customHeight="false" outlineLevel="0" collapsed="false">
      <c r="A31" s="15" t="s">
        <v>2</v>
      </c>
      <c r="B31" s="13" t="n">
        <f aca="false">CORREL(Rendimientos!$C$2:$C$252,Rendimientos!$B$2:$B$252)</f>
        <v>0.305704291115328</v>
      </c>
      <c r="C31" s="13" t="n">
        <f aca="false">CORREL(Rendimientos!$C$2:$C$252,Rendimientos!$C$2:$C$252)</f>
        <v>1</v>
      </c>
      <c r="D31" s="13" t="n">
        <f aca="false">CORREL(Rendimientos!$C$2:$C$252,Rendimientos!$D$2:$D$252)</f>
        <v>0.18882373994232</v>
      </c>
      <c r="E31" s="13" t="n">
        <f aca="false">CORREL(Rendimientos!$C$2:$C$252,Rendimientos!$E$2:$E$252)</f>
        <v>0.226990241617419</v>
      </c>
      <c r="F31" s="13" t="n">
        <f aca="false">CORREL(Rendimientos!$C$2:$C$252,Rendimientos!$F$2:$F$252)</f>
        <v>0.147886666437366</v>
      </c>
      <c r="G31" s="13" t="n">
        <f aca="false">CORREL(Rendimientos!$C$2:$C$252,Rendimientos!$G$2:$G$252)</f>
        <v>0.177984535619302</v>
      </c>
      <c r="H31" s="13" t="n">
        <f aca="false">CORREL(Rendimientos!$C$2:$C$252,Rendimientos!$H$2:$H$252)</f>
        <v>0.0663790596346759</v>
      </c>
      <c r="I31" s="13" t="n">
        <f aca="false">CORREL(Rendimientos!$C$2:$C$252,Rendimientos!$I$2:$I$252)</f>
        <v>0.235634618894767</v>
      </c>
    </row>
    <row r="32" customFormat="false" ht="15" hidden="false" customHeight="false" outlineLevel="0" collapsed="false">
      <c r="A32" s="15" t="s">
        <v>3</v>
      </c>
      <c r="B32" s="13" t="n">
        <f aca="false">CORREL(Rendimientos!$D$2:$D$252,Rendimientos!$B$2:$B$252)</f>
        <v>0.302851653603301</v>
      </c>
      <c r="C32" s="13" t="n">
        <f aca="false">CORREL(Rendimientos!$D$2:$D$252,Rendimientos!$C$2:$C$252)</f>
        <v>0.18882373994232</v>
      </c>
      <c r="D32" s="13" t="n">
        <f aca="false">CORREL(Rendimientos!$D$2:$D$252,Rendimientos!$D$2:$D$252)</f>
        <v>1</v>
      </c>
      <c r="E32" s="13" t="n">
        <f aca="false">CORREL(Rendimientos!$D$2:$D$252,Rendimientos!$E$2:$E$252)</f>
        <v>0.276122420258725</v>
      </c>
      <c r="F32" s="13" t="n">
        <f aca="false">CORREL(Rendimientos!$D$2:$D$252,Rendimientos!$F$2:$F$252)</f>
        <v>0.305172799464825</v>
      </c>
      <c r="G32" s="13" t="n">
        <f aca="false">CORREL(Rendimientos!$D$2:$D$252,Rendimientos!$G$2:$G$252)</f>
        <v>0.316635895906432</v>
      </c>
      <c r="H32" s="13" t="n">
        <f aca="false">CORREL(Rendimientos!$D$2:$D$252,Rendimientos!$H$2:$H$252)</f>
        <v>0.126247936034653</v>
      </c>
      <c r="I32" s="13" t="n">
        <f aca="false">CORREL(Rendimientos!$D$2:$D$252,Rendimientos!$I$2:$I$252)</f>
        <v>0.284955369474361</v>
      </c>
    </row>
    <row r="33" customFormat="false" ht="15" hidden="false" customHeight="false" outlineLevel="0" collapsed="false">
      <c r="A33" s="15" t="s">
        <v>4</v>
      </c>
      <c r="B33" s="13" t="n">
        <f aca="false">CORREL(Rendimientos!$E$2:$E$252,Rendimientos!$B$2:$B$252)</f>
        <v>0.3898275969235</v>
      </c>
      <c r="C33" s="13" t="n">
        <f aca="false">CORREL(Rendimientos!$E$2:$E$252,Rendimientos!$C$2:$C$252)</f>
        <v>0.226990241617419</v>
      </c>
      <c r="D33" s="13" t="n">
        <f aca="false">CORREL(Rendimientos!$E$2:$E$252,Rendimientos!$D$2:$D$252)</f>
        <v>0.276122420258725</v>
      </c>
      <c r="E33" s="13" t="n">
        <f aca="false">CORREL(Rendimientos!$E$2:$E$252,Rendimientos!$E$2:$E$252)</f>
        <v>1</v>
      </c>
      <c r="F33" s="13" t="n">
        <f aca="false">CORREL(Rendimientos!$E$2:$E$252,Rendimientos!$F$2:$F$252)</f>
        <v>0.265262141159327</v>
      </c>
      <c r="G33" s="13" t="n">
        <f aca="false">CORREL(Rendimientos!$E$2:$E$252,Rendimientos!$G$2:$G$252)</f>
        <v>0.30776436664578</v>
      </c>
      <c r="H33" s="13" t="n">
        <f aca="false">CORREL(Rendimientos!$E$2:$E$252,Rendimientos!$H$2:$H$252)</f>
        <v>0.19184503837709</v>
      </c>
      <c r="I33" s="13" t="n">
        <f aca="false">CORREL(Rendimientos!$E$2:$E$252,Rendimientos!$I$2:$I$252)</f>
        <v>0.257321077582069</v>
      </c>
    </row>
    <row r="34" customFormat="false" ht="15" hidden="false" customHeight="false" outlineLevel="0" collapsed="false">
      <c r="A34" s="15" t="s">
        <v>5</v>
      </c>
      <c r="B34" s="13" t="n">
        <f aca="false">CORREL(Rendimientos!$F$2:$F$252,Rendimientos!$B$2:$B$252)</f>
        <v>0.314713734389417</v>
      </c>
      <c r="C34" s="13" t="n">
        <f aca="false">CORREL(Rendimientos!$F$2:$F$252,Rendimientos!$C$2:$C$252)</f>
        <v>0.147886666437366</v>
      </c>
      <c r="D34" s="13" t="n">
        <f aca="false">CORREL(Rendimientos!$F$2:$F$252,Rendimientos!$D$2:$D$252)</f>
        <v>0.305172799464825</v>
      </c>
      <c r="E34" s="13" t="n">
        <f aca="false">CORREL(Rendimientos!$F$2:$F$252,Rendimientos!$E$2:$E$252)</f>
        <v>0.265262141159327</v>
      </c>
      <c r="F34" s="13" t="n">
        <f aca="false">CORREL(Rendimientos!$F$2:$F$252,Rendimientos!$F$2:$F$252)</f>
        <v>1</v>
      </c>
      <c r="G34" s="13" t="n">
        <f aca="false">CORREL(Rendimientos!$F$2:$F$252,Rendimientos!$G$2:$G$252)</f>
        <v>0.375402641414203</v>
      </c>
      <c r="H34" s="13" t="n">
        <f aca="false">CORREL(Rendimientos!$F$2:$F$252,Rendimientos!$H$2:$H$252)</f>
        <v>0.195645973617538</v>
      </c>
      <c r="I34" s="13" t="n">
        <f aca="false">CORREL(Rendimientos!$F$2:$F$252,Rendimientos!$I$2:$I$252)</f>
        <v>0.231203340461586</v>
      </c>
    </row>
    <row r="35" customFormat="false" ht="15" hidden="false" customHeight="false" outlineLevel="0" collapsed="false">
      <c r="A35" s="15" t="s">
        <v>6</v>
      </c>
      <c r="B35" s="13" t="n">
        <f aca="false">CORREL(Rendimientos!$G$2:$G$252,Rendimientos!$B$2:$B$252)</f>
        <v>0.429932339781929</v>
      </c>
      <c r="C35" s="13" t="n">
        <f aca="false">CORREL(Rendimientos!$G$2:$G$252,Rendimientos!$C$2:$C$252)</f>
        <v>0.177984535619302</v>
      </c>
      <c r="D35" s="13" t="n">
        <f aca="false">CORREL(Rendimientos!$G$2:$G$252,Rendimientos!$D$2:$D$252)</f>
        <v>0.316635895906432</v>
      </c>
      <c r="E35" s="13" t="n">
        <f aca="false">CORREL(Rendimientos!$G$2:$G$252,Rendimientos!$E$2:$E$252)</f>
        <v>0.30776436664578</v>
      </c>
      <c r="F35" s="13" t="n">
        <f aca="false">CORREL(Rendimientos!$G$2:$G$252,Rendimientos!$F$2:$F$252)</f>
        <v>0.375402641414203</v>
      </c>
      <c r="G35" s="13" t="n">
        <f aca="false">CORREL(Rendimientos!$G$2:$G$252,Rendimientos!$G$2:$G$252)</f>
        <v>1</v>
      </c>
      <c r="H35" s="13" t="n">
        <f aca="false">CORREL(Rendimientos!$G$2:$G$252,Rendimientos!$H$2:$H$252)</f>
        <v>0.179239581591905</v>
      </c>
      <c r="I35" s="13" t="n">
        <f aca="false">CORREL(Rendimientos!$G$2:$G$252,Rendimientos!$I$2:$I$252)</f>
        <v>0.315134825229758</v>
      </c>
    </row>
    <row r="36" customFormat="false" ht="15" hidden="false" customHeight="false" outlineLevel="0" collapsed="false">
      <c r="A36" s="15" t="s">
        <v>7</v>
      </c>
      <c r="B36" s="13" t="n">
        <f aca="false">CORREL(Rendimientos!$H$2:$H$252,Rendimientos!$B$2:$B$252)</f>
        <v>0.0547548367102587</v>
      </c>
      <c r="C36" s="13" t="n">
        <f aca="false">CORREL(Rendimientos!$H$2:$H$252,Rendimientos!$C$2:$C$252)</f>
        <v>0.0663790596346759</v>
      </c>
      <c r="D36" s="13" t="n">
        <f aca="false">CORREL(Rendimientos!$H$2:$H$252,Rendimientos!$D$2:$D$252)</f>
        <v>0.126247936034653</v>
      </c>
      <c r="E36" s="13" t="n">
        <f aca="false">CORREL(Rendimientos!$H$2:$H$252,Rendimientos!$E$2:$E$252)</f>
        <v>0.19184503837709</v>
      </c>
      <c r="F36" s="13" t="n">
        <f aca="false">CORREL(Rendimientos!$H$2:$H$252,Rendimientos!$F$2:$F$252)</f>
        <v>0.195645973617538</v>
      </c>
      <c r="G36" s="13" t="n">
        <f aca="false">CORREL(Rendimientos!$H$2:$H$252,Rendimientos!$G$2:$G$252)</f>
        <v>0.179239581591905</v>
      </c>
      <c r="H36" s="13" t="n">
        <f aca="false">CORREL(Rendimientos!$H$2:$H$252,Rendimientos!$H$2:$H$252)</f>
        <v>1</v>
      </c>
      <c r="I36" s="13" t="n">
        <f aca="false">CORREL(Rendimientos!$H$2:$H$252,Rendimientos!$I$2:$I$252)</f>
        <v>0.0719467324951486</v>
      </c>
    </row>
    <row r="37" customFormat="false" ht="15" hidden="false" customHeight="false" outlineLevel="0" collapsed="false">
      <c r="A37" s="15" t="s">
        <v>8</v>
      </c>
      <c r="B37" s="13" t="n">
        <f aca="false">CORREL(Rendimientos!$I$2:$I$252,Rendimientos!$B$2:$B$252)</f>
        <v>0.361036700973236</v>
      </c>
      <c r="C37" s="13" t="n">
        <f aca="false">CORREL(Rendimientos!$I$2:$I$252,Rendimientos!$C$2:$C$252)</f>
        <v>0.235634618894767</v>
      </c>
      <c r="D37" s="13" t="n">
        <f aca="false">CORREL(Rendimientos!$I$2:$I$252,Rendimientos!$D$2:$D$252)</f>
        <v>0.284955369474361</v>
      </c>
      <c r="E37" s="13" t="n">
        <f aca="false">CORREL(Rendimientos!$I$2:$I$252,Rendimientos!$E$2:$E$252)</f>
        <v>0.257321077582069</v>
      </c>
      <c r="F37" s="13" t="n">
        <f aca="false">CORREL(Rendimientos!$I$2:$I$252,Rendimientos!$F$2:$F$252)</f>
        <v>0.231203340461586</v>
      </c>
      <c r="G37" s="13" t="n">
        <f aca="false">CORREL(Rendimientos!$I$2:$I$252,Rendimientos!$G$2:$G$252)</f>
        <v>0.315134825229758</v>
      </c>
      <c r="H37" s="13" t="n">
        <f aca="false">CORREL(Rendimientos!$I$2:$I$252,Rendimientos!$H$2:$H$252)</f>
        <v>0.0719467324951486</v>
      </c>
      <c r="I37" s="13" t="n">
        <f aca="false">CORREL(Rendimientos!$I$2:$I$252,Rendimientos!$I$2:$I$252)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8" t="s">
        <v>31</v>
      </c>
    </row>
    <row r="3" customFormat="false" ht="15" hidden="false" customHeight="false" outlineLevel="0" collapsed="false">
      <c r="A3" s="9" t="s">
        <v>32</v>
      </c>
      <c r="B3" s="17" t="n">
        <v>0.07</v>
      </c>
      <c r="C3" s="5" t="s">
        <v>33</v>
      </c>
    </row>
    <row r="5" customFormat="false" ht="42" hidden="false" customHeight="true" outlineLevel="0" collapsed="false">
      <c r="A5" s="1" t="s">
        <v>22</v>
      </c>
      <c r="B5" s="1" t="s">
        <v>34</v>
      </c>
      <c r="C5" s="1" t="s">
        <v>35</v>
      </c>
      <c r="D5" s="1" t="s">
        <v>28</v>
      </c>
      <c r="E5" s="1" t="s">
        <v>36</v>
      </c>
      <c r="F5" s="1" t="s">
        <v>37</v>
      </c>
      <c r="G5" s="1" t="s">
        <v>38</v>
      </c>
    </row>
    <row r="6" customFormat="false" ht="15" hidden="false" customHeight="false" outlineLevel="0" collapsed="false">
      <c r="A6" s="18" t="str">
        <f aca="false">Matriz!A5</f>
        <v>AC</v>
      </c>
      <c r="B6" s="19" t="n">
        <f aca="false">Matriz!D5</f>
        <v>0.0341057857952013</v>
      </c>
      <c r="C6" s="19" t="n">
        <f aca="false">Matriz!E5</f>
        <v>0.21627949353068</v>
      </c>
      <c r="D6" s="20" t="n">
        <f aca="false">Matriz!G5</f>
        <v>0.721420787768232</v>
      </c>
      <c r="E6" s="17" t="n">
        <v>0.125</v>
      </c>
      <c r="F6" s="21" t="n">
        <v>0.194349</v>
      </c>
      <c r="G6" s="21" t="n">
        <v>0</v>
      </c>
    </row>
    <row r="7" customFormat="false" ht="15" hidden="false" customHeight="false" outlineLevel="0" collapsed="false">
      <c r="A7" s="18" t="str">
        <f aca="false">Matriz!A6</f>
        <v>ALSEA</v>
      </c>
      <c r="B7" s="19" t="n">
        <f aca="false">Matriz!D6</f>
        <v>-0.22061021317254</v>
      </c>
      <c r="C7" s="19" t="n">
        <f aca="false">Matriz!E6</f>
        <v>0.24730199856371</v>
      </c>
      <c r="D7" s="20" t="n">
        <f aca="false">Matriz!G6</f>
        <v>0.543469950228025</v>
      </c>
      <c r="E7" s="17" t="n">
        <v>0.125</v>
      </c>
      <c r="F7" s="21" t="n">
        <v>0.196195</v>
      </c>
      <c r="G7" s="21" t="n">
        <v>0</v>
      </c>
    </row>
    <row r="8" customFormat="false" ht="15" hidden="false" customHeight="false" outlineLevel="0" collapsed="false">
      <c r="A8" s="18" t="str">
        <f aca="false">Matriz!A7</f>
        <v>AMXB</v>
      </c>
      <c r="B8" s="19" t="n">
        <f aca="false">Matriz!D7</f>
        <v>0.048560488525275</v>
      </c>
      <c r="C8" s="19" t="n">
        <f aca="false">Matriz!E7</f>
        <v>0.246412533743573</v>
      </c>
      <c r="D8" s="20" t="n">
        <f aca="false">Matriz!G7</f>
        <v>0.777192285177725</v>
      </c>
      <c r="E8" s="17" t="n">
        <v>0.125</v>
      </c>
      <c r="F8" s="21" t="n">
        <v>0.157158</v>
      </c>
      <c r="G8" s="21" t="n">
        <v>0</v>
      </c>
    </row>
    <row r="9" customFormat="false" ht="15" hidden="false" customHeight="false" outlineLevel="0" collapsed="false">
      <c r="A9" s="18" t="str">
        <f aca="false">Matriz!A8</f>
        <v>BIMBOA</v>
      </c>
      <c r="B9" s="19" t="n">
        <f aca="false">Matriz!D8</f>
        <v>-0.160417599111372</v>
      </c>
      <c r="C9" s="19" t="n">
        <f aca="false">Matriz!E8</f>
        <v>0.280611874369486</v>
      </c>
      <c r="D9" s="20" t="n">
        <f aca="false">Matriz!G8</f>
        <v>0.796656113733142</v>
      </c>
      <c r="E9" s="17" t="n">
        <v>0.125</v>
      </c>
      <c r="F9" s="21" t="n">
        <v>0.054436</v>
      </c>
      <c r="G9" s="21" t="n">
        <v>0</v>
      </c>
    </row>
    <row r="10" customFormat="false" ht="15" hidden="false" customHeight="false" outlineLevel="0" collapsed="false">
      <c r="A10" s="18" t="str">
        <f aca="false">Matriz!A9</f>
        <v>CEMEXCPO</v>
      </c>
      <c r="B10" s="19" t="n">
        <f aca="false">Matriz!D9</f>
        <v>0.0869515645756788</v>
      </c>
      <c r="C10" s="19" t="n">
        <f aca="false">Matriz!E9</f>
        <v>0.328253777324264</v>
      </c>
      <c r="D10" s="20" t="n">
        <f aca="false">Matriz!G9</f>
        <v>1.29038637744709</v>
      </c>
      <c r="E10" s="17" t="n">
        <v>0.125</v>
      </c>
      <c r="F10" s="21" t="n">
        <v>0.02482</v>
      </c>
      <c r="G10" s="21" t="n">
        <v>0.271187</v>
      </c>
    </row>
    <row r="11" customFormat="false" ht="15" hidden="false" customHeight="false" outlineLevel="0" collapsed="false">
      <c r="A11" s="18" t="str">
        <f aca="false">Matriz!A10</f>
        <v>GFNORTEO</v>
      </c>
      <c r="B11" s="19" t="n">
        <f aca="false">Matriz!D10</f>
        <v>0.0900672548904228</v>
      </c>
      <c r="C11" s="19" t="n">
        <f aca="false">Matriz!E10</f>
        <v>0.273537899937109</v>
      </c>
      <c r="D11" s="20" t="n">
        <f aca="false">Matriz!G10</f>
        <v>1.14279250661309</v>
      </c>
      <c r="E11" s="17" t="n">
        <v>0.125</v>
      </c>
      <c r="F11" s="21" t="n">
        <v>0.043664</v>
      </c>
      <c r="G11" s="21" t="n">
        <v>0.728813</v>
      </c>
    </row>
    <row r="12" customFormat="false" ht="15" hidden="false" customHeight="false" outlineLevel="0" collapsed="false">
      <c r="A12" s="18" t="str">
        <f aca="false">Matriz!A11</f>
        <v>TLEVISACPO</v>
      </c>
      <c r="B12" s="19" t="n">
        <f aca="false">Matriz!D11</f>
        <v>-0.138819799494531</v>
      </c>
      <c r="C12" s="19" t="n">
        <f aca="false">Matriz!E11</f>
        <v>0.397016816868332</v>
      </c>
      <c r="D12" s="20" t="n">
        <f aca="false">Matriz!G11</f>
        <v>0.523588734315326</v>
      </c>
      <c r="E12" s="17" t="n">
        <v>0.125</v>
      </c>
      <c r="F12" s="21" t="n">
        <v>0.088977</v>
      </c>
      <c r="G12" s="21" t="n">
        <v>0</v>
      </c>
    </row>
    <row r="13" customFormat="false" ht="15" hidden="false" customHeight="false" outlineLevel="0" collapsed="false">
      <c r="A13" s="18" t="str">
        <f aca="false">Matriz!A12</f>
        <v>WALMEX</v>
      </c>
      <c r="B13" s="19" t="n">
        <f aca="false">Matriz!D12</f>
        <v>-0.158754619012264</v>
      </c>
      <c r="C13" s="19" t="n">
        <f aca="false">Matriz!E12</f>
        <v>0.218190472859488</v>
      </c>
      <c r="D13" s="20" t="n">
        <f aca="false">Matriz!G12</f>
        <v>0.558461440006366</v>
      </c>
      <c r="E13" s="17" t="n">
        <v>0.125</v>
      </c>
      <c r="F13" s="21" t="n">
        <v>0.240402</v>
      </c>
      <c r="G13" s="21" t="n">
        <v>0</v>
      </c>
    </row>
    <row r="14" customFormat="false" ht="15" hidden="false" customHeight="false" outlineLevel="0" collapsed="false">
      <c r="A14" s="9" t="s">
        <v>39</v>
      </c>
      <c r="E14" s="22" t="n">
        <f aca="false">SUM(E6:E13)</f>
        <v>1</v>
      </c>
      <c r="F14" s="22" t="n">
        <f aca="false">SUM(F6:F13)</f>
        <v>1.000001</v>
      </c>
      <c r="G14" s="22" t="n">
        <f aca="false">SUM(G6:G13)</f>
        <v>1</v>
      </c>
    </row>
    <row r="16" customFormat="false" ht="23.85" hidden="false" customHeight="false" outlineLevel="0" collapsed="false">
      <c r="A16" s="1" t="s">
        <v>40</v>
      </c>
      <c r="B16" s="1"/>
      <c r="C16" s="1"/>
      <c r="D16" s="1"/>
      <c r="E16" s="1" t="s">
        <v>41</v>
      </c>
      <c r="F16" s="1" t="s">
        <v>42</v>
      </c>
      <c r="G16" s="1" t="s">
        <v>43</v>
      </c>
    </row>
    <row r="17" customFormat="false" ht="15" hidden="false" customHeight="false" outlineLevel="0" collapsed="false">
      <c r="A17" s="9" t="s">
        <v>44</v>
      </c>
      <c r="E17" s="12" t="n">
        <f aca="false">SUMPRODUCT($B$6:$B$13,E$6:E$13)</f>
        <v>-0.0523646421255162</v>
      </c>
      <c r="F17" s="12" t="n">
        <f aca="false">SUMPRODUCT($B$6:$B$13,F$6:F$13)</f>
        <v>-0.0821808813485538</v>
      </c>
      <c r="G17" s="12" t="n">
        <f aca="false">SUMPRODUCT($B$6:$B$13,G$6:G$13)</f>
        <v>0.0892223201810383</v>
      </c>
    </row>
    <row r="18" customFormat="false" ht="15" hidden="false" customHeight="false" outlineLevel="0" collapsed="false">
      <c r="A18" s="9" t="s">
        <v>45</v>
      </c>
      <c r="E18" s="12" t="n">
        <f aca="false">SQRT(SUMPRODUCT(MMULT(Matriz!$B$18:$I$25,E$6:E$13),E$6:E$13))</f>
        <v>0.15930006643335</v>
      </c>
      <c r="F18" s="12" t="n">
        <f aca="false">SQRT(SUMPRODUCT(MMULT(Matriz!$B$18:$I$25,F$6:F$13),F$6:F$13))</f>
        <v>0.14934117297524</v>
      </c>
      <c r="G18" s="12" t="n">
        <f aca="false">SQRT(SUMPRODUCT(MMULT(Matriz!$B$18:$I$25,G$6:G$13),G$6:G$13))</f>
        <v>0.24696555676899</v>
      </c>
    </row>
    <row r="19" customFormat="false" ht="15" hidden="false" customHeight="false" outlineLevel="0" collapsed="false">
      <c r="A19" s="9" t="s">
        <v>46</v>
      </c>
      <c r="E19" s="14" t="n">
        <f aca="false">SUMPRODUCT($D$6:$D$13,E$6:E$13)</f>
        <v>0.794246024411124</v>
      </c>
      <c r="F19" s="14" t="n">
        <f aca="false">SUMPRODUCT($D$6:$D$13,F$6:F$13)</f>
        <v>0.67511113673867</v>
      </c>
      <c r="G19" s="14" t="n">
        <f aca="false">SUMPRODUCT($D$6:$D$13,G$6:G$13)</f>
        <v>1.18281804566295</v>
      </c>
    </row>
    <row r="20" customFormat="false" ht="15" hidden="false" customHeight="false" outlineLevel="0" collapsed="false">
      <c r="A20" s="9" t="s">
        <v>47</v>
      </c>
      <c r="E20" s="14" t="n">
        <f aca="false">(E17-$B$3)/E18</f>
        <v>-0.768139303800686</v>
      </c>
      <c r="F20" s="14" t="n">
        <f aca="false">(F17-$B$3)/F18</f>
        <v>-1.01901490604862</v>
      </c>
      <c r="G20" s="14" t="n">
        <f aca="false">(G17-$B$3)/G18</f>
        <v>0.0778340122911097</v>
      </c>
    </row>
    <row r="22" customFormat="false" ht="15" hidden="false" customHeight="false" outlineLevel="0" collapsed="false">
      <c r="A22" s="2" t="s">
        <v>48</v>
      </c>
    </row>
    <row r="23" customFormat="false" ht="15" hidden="false" customHeight="false" outlineLevel="0" collapsed="false">
      <c r="A23" s="5" t="s">
        <v>49</v>
      </c>
      <c r="B23" s="19" t="n">
        <f aca="false">$B$6</f>
        <v>0.0341057857952013</v>
      </c>
      <c r="C23" s="19" t="n">
        <f aca="false">$B$7</f>
        <v>-0.22061021317254</v>
      </c>
      <c r="D23" s="19" t="n">
        <f aca="false">$B$8</f>
        <v>0.048560488525275</v>
      </c>
      <c r="E23" s="19" t="n">
        <f aca="false">$B$9</f>
        <v>-0.160417599111372</v>
      </c>
      <c r="F23" s="19" t="n">
        <f aca="false">$B$10</f>
        <v>0.0869515645756788</v>
      </c>
      <c r="G23" s="19" t="n">
        <f aca="false">$B$11</f>
        <v>0.0900672548904228</v>
      </c>
      <c r="H23" s="19" t="n">
        <f aca="false">$B$12</f>
        <v>-0.138819799494531</v>
      </c>
      <c r="I23" s="19" t="n">
        <f aca="false">$B$13</f>
        <v>-0.158754619012264</v>
      </c>
    </row>
    <row r="24" customFormat="false" ht="30" hidden="false" customHeight="true" outlineLevel="0" collapsed="false">
      <c r="A24" s="1" t="s">
        <v>50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51</v>
      </c>
      <c r="K24" s="1" t="s">
        <v>52</v>
      </c>
      <c r="L24" s="1" t="s">
        <v>53</v>
      </c>
      <c r="M24" s="1" t="s">
        <v>54</v>
      </c>
    </row>
    <row r="25" customFormat="false" ht="15" hidden="false" customHeight="false" outlineLevel="0" collapsed="false">
      <c r="A25" s="23" t="n">
        <v>1</v>
      </c>
      <c r="B25" s="24" t="n">
        <v>0.194348</v>
      </c>
      <c r="C25" s="24" t="n">
        <v>0.196194</v>
      </c>
      <c r="D25" s="24" t="n">
        <v>0.157158</v>
      </c>
      <c r="E25" s="24" t="n">
        <v>0.054436</v>
      </c>
      <c r="F25" s="24" t="n">
        <v>0.024819</v>
      </c>
      <c r="G25" s="24" t="n">
        <v>0.043665</v>
      </c>
      <c r="H25" s="24" t="n">
        <v>0.088977</v>
      </c>
      <c r="I25" s="24" t="n">
        <v>0.240403</v>
      </c>
      <c r="J25" s="12" t="n">
        <f aca="false">SUMPRODUCT($B25:$I25,$B$23:$I$23)</f>
        <v>-0.0821808504830551</v>
      </c>
      <c r="K25" s="12" t="n">
        <f aca="false">SQRT(SUMPRODUCT(MMULT($B25:$I25,Matriz!$B$18:$I$25),$B25:$I25))</f>
        <v>0.149341023634711</v>
      </c>
      <c r="L25" s="14" t="n">
        <f aca="false">(J25-$B$3)/K25</f>
        <v>-1.01901571838218</v>
      </c>
      <c r="M25" s="12" t="n">
        <f aca="false">SUM($B25:$I25)</f>
        <v>1</v>
      </c>
    </row>
    <row r="26" customFormat="false" ht="15" hidden="false" customHeight="false" outlineLevel="0" collapsed="false">
      <c r="A26" s="23" t="n">
        <v>2</v>
      </c>
      <c r="B26" s="24" t="n">
        <v>0.214207</v>
      </c>
      <c r="C26" s="24" t="n">
        <v>0.178831</v>
      </c>
      <c r="D26" s="24" t="n">
        <v>0.170141</v>
      </c>
      <c r="E26" s="24" t="n">
        <v>0.041729</v>
      </c>
      <c r="F26" s="24" t="n">
        <v>0.031545</v>
      </c>
      <c r="G26" s="24" t="n">
        <v>0.056113</v>
      </c>
      <c r="H26" s="24" t="n">
        <v>0.085805</v>
      </c>
      <c r="I26" s="24" t="n">
        <v>0.221629</v>
      </c>
      <c r="J26" s="12" t="n">
        <f aca="false">SUMPRODUCT($B26:$I26,$B$23:$I$23)</f>
        <v>-0.0698774122636567</v>
      </c>
      <c r="K26" s="12" t="n">
        <f aca="false">SQRT(SUMPRODUCT(MMULT($B26:$I26,Matriz!$B$18:$I$25),$B26:$I26))</f>
        <v>0.149583847237092</v>
      </c>
      <c r="L26" s="14" t="n">
        <f aca="false">(J26-$B$3)/K26</f>
        <v>-0.93511040695423</v>
      </c>
      <c r="M26" s="12" t="n">
        <f aca="false">SUM($B26:$I26)</f>
        <v>1</v>
      </c>
    </row>
    <row r="27" customFormat="false" ht="15" hidden="false" customHeight="false" outlineLevel="0" collapsed="false">
      <c r="A27" s="23" t="n">
        <v>3</v>
      </c>
      <c r="B27" s="24" t="n">
        <v>0.234066</v>
      </c>
      <c r="C27" s="24" t="n">
        <v>0.161469</v>
      </c>
      <c r="D27" s="24" t="n">
        <v>0.183124</v>
      </c>
      <c r="E27" s="24" t="n">
        <v>0.029021</v>
      </c>
      <c r="F27" s="24" t="n">
        <v>0.038272</v>
      </c>
      <c r="G27" s="24" t="n">
        <v>0.06856</v>
      </c>
      <c r="H27" s="24" t="n">
        <v>0.082634</v>
      </c>
      <c r="I27" s="24" t="n">
        <v>0.202854</v>
      </c>
      <c r="J27" s="12" t="n">
        <f aca="false">SUMPRODUCT($B27:$I27,$B$23:$I$23)</f>
        <v>-0.0575740174177431</v>
      </c>
      <c r="K27" s="12" t="n">
        <f aca="false">SQRT(SUMPRODUCT(MMULT($B27:$I27,Matriz!$B$18:$I$25),$B27:$I27))</f>
        <v>0.150309966685992</v>
      </c>
      <c r="L27" s="14" t="n">
        <f aca="false">(J27-$B$3)/K27</f>
        <v>-0.848739576160335</v>
      </c>
      <c r="M27" s="12" t="n">
        <f aca="false">SUM($B27:$I27)</f>
        <v>1</v>
      </c>
    </row>
    <row r="28" customFormat="false" ht="15" hidden="false" customHeight="false" outlineLevel="0" collapsed="false">
      <c r="A28" s="23" t="n">
        <v>4</v>
      </c>
      <c r="B28" s="24" t="n">
        <v>0.253925</v>
      </c>
      <c r="C28" s="24" t="n">
        <v>0.144106</v>
      </c>
      <c r="D28" s="24" t="n">
        <v>0.196108</v>
      </c>
      <c r="E28" s="24" t="n">
        <v>0.016314</v>
      </c>
      <c r="F28" s="24" t="n">
        <v>0.044997</v>
      </c>
      <c r="G28" s="24" t="n">
        <v>0.081008</v>
      </c>
      <c r="H28" s="24" t="n">
        <v>0.079462</v>
      </c>
      <c r="I28" s="24" t="n">
        <v>0.18408</v>
      </c>
      <c r="J28" s="12" t="n">
        <f aca="false">SUMPRODUCT($B28:$I28,$B$23:$I$23)</f>
        <v>-0.0452706175894207</v>
      </c>
      <c r="K28" s="12" t="n">
        <f aca="false">SQRT(SUMPRODUCT(MMULT($B28:$I28,Matriz!$B$18:$I$25),$B28:$I28))</f>
        <v>0.151512434177937</v>
      </c>
      <c r="L28" s="14" t="n">
        <f aca="false">(J28-$B$3)/K28</f>
        <v>-0.760799720596176</v>
      </c>
      <c r="M28" s="12" t="n">
        <f aca="false">SUM($B28:$I28)</f>
        <v>1</v>
      </c>
    </row>
    <row r="29" customFormat="false" ht="15" hidden="false" customHeight="false" outlineLevel="0" collapsed="false">
      <c r="A29" s="23" t="n">
        <v>5</v>
      </c>
      <c r="B29" s="24" t="n">
        <v>0.273784</v>
      </c>
      <c r="C29" s="24" t="n">
        <v>0.126744</v>
      </c>
      <c r="D29" s="24" t="n">
        <v>0.209091</v>
      </c>
      <c r="E29" s="24" t="n">
        <v>0.003606</v>
      </c>
      <c r="F29" s="24" t="n">
        <v>0.051724</v>
      </c>
      <c r="G29" s="24" t="n">
        <v>0.093456</v>
      </c>
      <c r="H29" s="24" t="n">
        <v>0.076291</v>
      </c>
      <c r="I29" s="24" t="n">
        <v>0.165306</v>
      </c>
      <c r="J29" s="12" t="n">
        <f aca="false">SUMPRODUCT($B29:$I29,$B$23:$I$23)</f>
        <v>-0.0329672914308712</v>
      </c>
      <c r="K29" s="12" t="n">
        <f aca="false">SQRT(SUMPRODUCT(MMULT($B29:$I29,Matriz!$B$18:$I$25),$B29:$I29))</f>
        <v>0.15318033705967</v>
      </c>
      <c r="L29" s="14" t="n">
        <f aca="false">(J29-$B$3)/K29</f>
        <v>-0.672196532579513</v>
      </c>
      <c r="M29" s="12" t="n">
        <f aca="false">SUM($B29:$I29)</f>
        <v>1.000002</v>
      </c>
    </row>
    <row r="30" customFormat="false" ht="15" hidden="false" customHeight="false" outlineLevel="0" collapsed="false">
      <c r="A30" s="23" t="n">
        <v>6</v>
      </c>
      <c r="B30" s="24" t="n">
        <v>0.292238</v>
      </c>
      <c r="C30" s="24" t="n">
        <v>0.106109</v>
      </c>
      <c r="D30" s="24" t="n">
        <v>0.222053</v>
      </c>
      <c r="E30" s="24" t="n">
        <v>0</v>
      </c>
      <c r="F30" s="24" t="n">
        <v>0.058508</v>
      </c>
      <c r="G30" s="24" t="n">
        <v>0.106315</v>
      </c>
      <c r="H30" s="24" t="n">
        <v>0.071677</v>
      </c>
      <c r="I30" s="24" t="n">
        <v>0.1431</v>
      </c>
      <c r="J30" s="12" t="n">
        <f aca="false">SUMPRODUCT($B30:$I30,$B$23:$I$23)</f>
        <v>-0.0206638307269595</v>
      </c>
      <c r="K30" s="12" t="n">
        <f aca="false">SQRT(SUMPRODUCT(MMULT($B30:$I30,Matriz!$B$18:$I$25),$B30:$I30))</f>
        <v>0.155316676340224</v>
      </c>
      <c r="L30" s="14" t="n">
        <f aca="false">(J30-$B$3)/K30</f>
        <v>-0.583735326194843</v>
      </c>
      <c r="M30" s="12" t="n">
        <f aca="false">SUM($B30:$I30)</f>
        <v>1</v>
      </c>
    </row>
    <row r="31" customFormat="false" ht="15" hidden="false" customHeight="false" outlineLevel="0" collapsed="false">
      <c r="A31" s="23" t="n">
        <v>7</v>
      </c>
      <c r="B31" s="24" t="n">
        <v>0.310137</v>
      </c>
      <c r="C31" s="24" t="n">
        <v>0.084179</v>
      </c>
      <c r="D31" s="24" t="n">
        <v>0.235007</v>
      </c>
      <c r="E31" s="24" t="n">
        <v>0</v>
      </c>
      <c r="F31" s="24" t="n">
        <v>0.065312</v>
      </c>
      <c r="G31" s="24" t="n">
        <v>0.11934</v>
      </c>
      <c r="H31" s="24" t="n">
        <v>0.066493</v>
      </c>
      <c r="I31" s="24" t="n">
        <v>0.119532</v>
      </c>
      <c r="J31" s="12" t="n">
        <f aca="false">SUMPRODUCT($B31:$I31,$B$23:$I$23)</f>
        <v>-0.00836042158199961</v>
      </c>
      <c r="K31" s="12" t="n">
        <f aca="false">SQRT(SUMPRODUCT(MMULT($B31:$I31,Matriz!$B$18:$I$25),$B31:$I31))</f>
        <v>0.15795429128102</v>
      </c>
      <c r="L31" s="14" t="n">
        <f aca="false">(J31-$B$3)/K31</f>
        <v>-0.496095553634479</v>
      </c>
      <c r="M31" s="12" t="n">
        <f aca="false">SUM($B31:$I31)</f>
        <v>1</v>
      </c>
    </row>
    <row r="32" customFormat="false" ht="15" hidden="false" customHeight="false" outlineLevel="0" collapsed="false">
      <c r="A32" s="23" t="n">
        <v>8</v>
      </c>
      <c r="B32" s="24" t="n">
        <v>0.328038</v>
      </c>
      <c r="C32" s="24" t="n">
        <v>0.062246</v>
      </c>
      <c r="D32" s="24" t="n">
        <v>0.24796</v>
      </c>
      <c r="E32" s="24" t="n">
        <v>0</v>
      </c>
      <c r="F32" s="24" t="n">
        <v>0.072116</v>
      </c>
      <c r="G32" s="24" t="n">
        <v>0.132364</v>
      </c>
      <c r="H32" s="24" t="n">
        <v>0.061308</v>
      </c>
      <c r="I32" s="24" t="n">
        <v>0.095967</v>
      </c>
      <c r="J32" s="12" t="n">
        <f aca="false">SUMPRODUCT($B32:$I32,$B$23:$I$23)</f>
        <v>0.00394324153337043</v>
      </c>
      <c r="K32" s="12" t="n">
        <f aca="false">SQRT(SUMPRODUCT(MMULT($B32:$I32,Matriz!$B$18:$I$25),$B32:$I32))</f>
        <v>0.161071032815204</v>
      </c>
      <c r="L32" s="14" t="n">
        <f aca="false">(J32-$B$3)/K32</f>
        <v>-0.410109485933551</v>
      </c>
      <c r="M32" s="12" t="n">
        <f aca="false">SUM($B32:$I32)</f>
        <v>0.999999</v>
      </c>
    </row>
    <row r="33" customFormat="false" ht="15" hidden="false" customHeight="false" outlineLevel="0" collapsed="false">
      <c r="A33" s="23" t="n">
        <v>9</v>
      </c>
      <c r="B33" s="24" t="n">
        <v>0.345939</v>
      </c>
      <c r="C33" s="24" t="n">
        <v>0.040314</v>
      </c>
      <c r="D33" s="24" t="n">
        <v>0.260913</v>
      </c>
      <c r="E33" s="24" t="n">
        <v>0</v>
      </c>
      <c r="F33" s="24" t="n">
        <v>0.078919</v>
      </c>
      <c r="G33" s="24" t="n">
        <v>0.145389</v>
      </c>
      <c r="H33" s="24" t="n">
        <v>0.056124</v>
      </c>
      <c r="I33" s="24" t="n">
        <v>0.072401</v>
      </c>
      <c r="J33" s="12" t="n">
        <f aca="false">SUMPRODUCT($B33:$I33,$B$23:$I$23)</f>
        <v>0.0162467070890371</v>
      </c>
      <c r="K33" s="12" t="n">
        <f aca="false">SQRT(SUMPRODUCT(MMULT($B33:$I33,Matriz!$B$18:$I$25),$B33:$I33))</f>
        <v>0.164639895248905</v>
      </c>
      <c r="L33" s="14" t="n">
        <f aca="false">(J33-$B$3)/K33</f>
        <v>-0.326490082064848</v>
      </c>
      <c r="M33" s="12" t="n">
        <f aca="false">SUM($B33:$I33)</f>
        <v>0.999999</v>
      </c>
    </row>
    <row r="34" customFormat="false" ht="15" hidden="false" customHeight="false" outlineLevel="0" collapsed="false">
      <c r="A34" s="23" t="n">
        <v>10</v>
      </c>
      <c r="B34" s="24" t="n">
        <v>0.363839</v>
      </c>
      <c r="C34" s="24" t="n">
        <v>0.018383</v>
      </c>
      <c r="D34" s="24" t="n">
        <v>0.273867</v>
      </c>
      <c r="E34" s="24" t="n">
        <v>0</v>
      </c>
      <c r="F34" s="24" t="n">
        <v>0.085724</v>
      </c>
      <c r="G34" s="24" t="n">
        <v>0.158413</v>
      </c>
      <c r="H34" s="24" t="n">
        <v>0.050939</v>
      </c>
      <c r="I34" s="24" t="n">
        <v>0.048836</v>
      </c>
      <c r="J34" s="12" t="n">
        <f aca="false">SUMPRODUCT($B34:$I34,$B$23:$I$23)</f>
        <v>0.0285500303902481</v>
      </c>
      <c r="K34" s="12" t="n">
        <f aca="false">SQRT(SUMPRODUCT(MMULT($B34:$I34,Matriz!$B$18:$I$25),$B34:$I34))</f>
        <v>0.168632338381522</v>
      </c>
      <c r="L34" s="14" t="n">
        <f aca="false">(J34-$B$3)/K34</f>
        <v>-0.2458008351635</v>
      </c>
      <c r="M34" s="12" t="n">
        <f aca="false">SUM($B34:$I34)</f>
        <v>1.000001</v>
      </c>
    </row>
    <row r="35" customFormat="false" ht="15" hidden="false" customHeight="false" outlineLevel="0" collapsed="false">
      <c r="A35" s="23" t="n">
        <v>11</v>
      </c>
      <c r="B35" s="24" t="n">
        <v>0.381057</v>
      </c>
      <c r="C35" s="24" t="n">
        <v>0</v>
      </c>
      <c r="D35" s="24" t="n">
        <v>0.286989</v>
      </c>
      <c r="E35" s="24" t="n">
        <v>0</v>
      </c>
      <c r="F35" s="24" t="n">
        <v>0.092942</v>
      </c>
      <c r="G35" s="24" t="n">
        <v>0.172365</v>
      </c>
      <c r="H35" s="24" t="n">
        <v>0.044926</v>
      </c>
      <c r="I35" s="24" t="n">
        <v>0.021722</v>
      </c>
      <c r="J35" s="12" t="n">
        <f aca="false">SUMPRODUCT($B35:$I35,$B$23:$I$23)</f>
        <v>0.0408533830168469</v>
      </c>
      <c r="K35" s="12" t="n">
        <f aca="false">SQRT(SUMPRODUCT(MMULT($B35:$I35,Matriz!$B$18:$I$25),$B35:$I35))</f>
        <v>0.173021782741523</v>
      </c>
      <c r="L35" s="14" t="n">
        <f aca="false">(J35-$B$3)/K35</f>
        <v>-0.168456344174277</v>
      </c>
      <c r="M35" s="12" t="n">
        <f aca="false">SUM($B35:$I35)</f>
        <v>1.000001</v>
      </c>
    </row>
    <row r="36" customFormat="false" ht="15" hidden="false" customHeight="false" outlineLevel="0" collapsed="false">
      <c r="A36" s="23" t="n">
        <v>12</v>
      </c>
      <c r="B36" s="24" t="n">
        <v>0.374929</v>
      </c>
      <c r="C36" s="24" t="n">
        <v>0</v>
      </c>
      <c r="D36" s="24" t="n">
        <v>0.297373</v>
      </c>
      <c r="E36" s="24" t="n">
        <v>0</v>
      </c>
      <c r="F36" s="24" t="n">
        <v>0.110196</v>
      </c>
      <c r="G36" s="24" t="n">
        <v>0.203336</v>
      </c>
      <c r="H36" s="24" t="n">
        <v>0.014166</v>
      </c>
      <c r="I36" s="24" t="n">
        <v>0</v>
      </c>
      <c r="J36" s="12" t="n">
        <f aca="false">SUMPRODUCT($B36:$I36,$B$23:$I$23)</f>
        <v>0.0531569349873766</v>
      </c>
      <c r="K36" s="12" t="n">
        <f aca="false">SQRT(SUMPRODUCT(MMULT($B36:$I36,Matriz!$B$18:$I$25),$B36:$I36))</f>
        <v>0.178205192723748</v>
      </c>
      <c r="L36" s="14" t="n">
        <f aca="false">(J36-$B$3)/K36</f>
        <v>-0.0945150068591626</v>
      </c>
      <c r="M36" s="12" t="n">
        <f aca="false">SUM($B36:$I36)</f>
        <v>1</v>
      </c>
    </row>
    <row r="37" customFormat="false" ht="15" hidden="false" customHeight="false" outlineLevel="0" collapsed="false">
      <c r="A37" s="23" t="n">
        <v>13</v>
      </c>
      <c r="B37" s="24" t="n">
        <v>0.23264</v>
      </c>
      <c r="C37" s="24" t="n">
        <v>0</v>
      </c>
      <c r="D37" s="24" t="n">
        <v>0.266402</v>
      </c>
      <c r="E37" s="24" t="n">
        <v>0</v>
      </c>
      <c r="F37" s="24" t="n">
        <v>0.170274</v>
      </c>
      <c r="G37" s="24" t="n">
        <v>0.330684</v>
      </c>
      <c r="H37" s="24" t="n">
        <v>0</v>
      </c>
      <c r="I37" s="24" t="n">
        <v>0</v>
      </c>
      <c r="J37" s="12" t="n">
        <f aca="false">SUMPRODUCT($B37:$I37,$B$23:$I$23)</f>
        <v>0.0654603720942496</v>
      </c>
      <c r="K37" s="12" t="n">
        <f aca="false">SQRT(SUMPRODUCT(MMULT($B37:$I37,Matriz!$B$18:$I$25),$B37:$I37))</f>
        <v>0.18875043782179</v>
      </c>
      <c r="L37" s="14" t="n">
        <f aca="false">(J37-$B$3)/K37</f>
        <v>-0.0240509529839422</v>
      </c>
      <c r="M37" s="12" t="n">
        <f aca="false">SUM($B37:$I37)</f>
        <v>1</v>
      </c>
    </row>
    <row r="38" customFormat="false" ht="15" hidden="false" customHeight="false" outlineLevel="0" collapsed="false">
      <c r="A38" s="23" t="n">
        <v>14</v>
      </c>
      <c r="B38" s="24" t="n">
        <v>0.042945</v>
      </c>
      <c r="C38" s="24" t="n">
        <v>0</v>
      </c>
      <c r="D38" s="24" t="n">
        <v>0.220155</v>
      </c>
      <c r="E38" s="24" t="n">
        <v>0</v>
      </c>
      <c r="F38" s="24" t="n">
        <v>0.244654</v>
      </c>
      <c r="G38" s="24" t="n">
        <v>0.492246</v>
      </c>
      <c r="H38" s="24" t="n">
        <v>0</v>
      </c>
      <c r="I38" s="24" t="n">
        <v>0</v>
      </c>
      <c r="J38" s="12" t="n">
        <f aca="false">SUMPRODUCT($B38:$I38,$B$23:$I$23)</f>
        <v>0.077763801352746</v>
      </c>
      <c r="K38" s="12" t="n">
        <f aca="false">SQRT(SUMPRODUCT(MMULT($B38:$I38,Matriz!$B$18:$I$25),$B38:$I38))</f>
        <v>0.211807404887401</v>
      </c>
      <c r="L38" s="14" t="n">
        <f aca="false">(J38-$B$3)/K38</f>
        <v>0.0366550043747211</v>
      </c>
      <c r="M38" s="12" t="n">
        <f aca="false">SUM($B38:$I38)</f>
        <v>1</v>
      </c>
    </row>
    <row r="39" customFormat="false" ht="15" hidden="false" customHeight="false" outlineLevel="0" collapsed="false">
      <c r="A39" s="23" t="n">
        <v>15</v>
      </c>
      <c r="B39" s="24" t="n">
        <v>0</v>
      </c>
      <c r="C39" s="24" t="n">
        <v>0</v>
      </c>
      <c r="D39" s="24" t="n">
        <v>0</v>
      </c>
      <c r="E39" s="24" t="n">
        <v>0</v>
      </c>
      <c r="F39" s="24" t="n">
        <v>0</v>
      </c>
      <c r="G39" s="24" t="n">
        <v>1</v>
      </c>
      <c r="H39" s="24" t="n">
        <v>0</v>
      </c>
      <c r="I39" s="24" t="n">
        <v>0</v>
      </c>
      <c r="J39" s="12" t="n">
        <f aca="false">SUMPRODUCT($B39:$I39,$B$23:$I$23)</f>
        <v>0.0900672548904228</v>
      </c>
      <c r="K39" s="12" t="n">
        <f aca="false">SQRT(SUMPRODUCT(MMULT($B39:$I39,Matriz!$B$18:$I$25),$B39:$I39))</f>
        <v>0.273537899937109</v>
      </c>
      <c r="L39" s="14" t="n">
        <f aca="false">(J39-$B$3)/K39</f>
        <v>0.0733618810959524</v>
      </c>
      <c r="M39" s="12" t="n">
        <f aca="false">SUM($B39:$I39)</f>
        <v>1</v>
      </c>
    </row>
    <row r="42" customFormat="false" ht="15" hidden="false" customHeight="false" outlineLevel="0" collapsed="false">
      <c r="A42" s="2" t="s">
        <v>55</v>
      </c>
    </row>
    <row r="43" customFormat="false" ht="15" hidden="false" customHeight="false" outlineLevel="0" collapsed="false">
      <c r="A43" s="5" t="s">
        <v>56</v>
      </c>
    </row>
    <row r="44" customFormat="false" ht="15" hidden="false" customHeight="false" outlineLevel="0" collapsed="false">
      <c r="A44" s="5" t="s">
        <v>57</v>
      </c>
    </row>
    <row r="45" customFormat="false" ht="15" hidden="false" customHeight="false" outlineLevel="0" collapsed="false">
      <c r="A45" s="5" t="s">
        <v>58</v>
      </c>
    </row>
    <row r="46" customFormat="false" ht="15" hidden="false" customHeight="false" outlineLevel="0" collapsed="false">
      <c r="A46" s="5" t="s">
        <v>59</v>
      </c>
    </row>
    <row r="47" customFormat="false" ht="15" hidden="false" customHeight="false" outlineLevel="0" collapsed="false">
      <c r="A47" s="5" t="s">
        <v>60</v>
      </c>
    </row>
    <row r="48" customFormat="false" ht="15" hidden="false" customHeight="false" outlineLevel="0" collapsed="false">
      <c r="A48" s="5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2026-10-07T16:29:12Z</dcterms:created>
  <dc:creator>openpyxl</dc:creator>
  <dc:description/>
  <dc:language>en-US</dc:language>
  <cp:lastModifiedBy/>
  <dcterms:modified xsi:type="dcterms:W3CDTF">2026-10-07T16:29:14Z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